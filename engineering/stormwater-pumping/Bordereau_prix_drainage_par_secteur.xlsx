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Bordereau_prix" sheetId="1" state="visible" r:id="rId1"/>
    <sheet name="Secteur A" sheetId="2" state="visible" r:id="rId2"/>
    <sheet name="Secteur P" sheetId="3" state="visible" r:id="rId3"/>
    <sheet name="Façade" sheetId="4" state="visible" r:id="rId4"/>
    <sheet name="Detail_facade_batim" sheetId="5" state="visible" r:id="rId5"/>
    <sheet name="Traceabilite" sheetId="6" state="visible" r:id="rId6"/>
    <sheet name="Catalogue_items" sheetId="7" state="visible" r:id="rId7"/>
    <sheet name="Estimation_par_secteur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  <font>
      <name val="Cambria"/>
      <charset val="1"/>
      <family val="0"/>
      <b val="1"/>
      <sz val="13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00D9E1F2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8" fillId="0" borderId="0" pivotButton="0" quotePrefix="0" xfId="0"/>
    <xf numFmtId="0" fontId="9" fillId="0" borderId="0" pivotButton="0" quotePrefix="0" xfId="0"/>
    <xf numFmtId="0" fontId="0" fillId="4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E9" activeCellId="0" sqref="E9:E22"/>
    </sheetView>
  </sheetViews>
  <sheetFormatPr baseColWidth="8" defaultColWidth="8.54296875" defaultRowHeight="15" customHeight="1" zeroHeight="0" outlineLevelRow="0"/>
  <cols>
    <col width="12" customWidth="1" style="13" min="1" max="1"/>
    <col width="52" customWidth="1" style="13" min="2" max="2"/>
    <col width="10" customWidth="1" style="13" min="3" max="3"/>
    <col width="16" customWidth="1" style="13" min="4" max="4"/>
    <col width="12" customWidth="1" style="13" min="5" max="5"/>
    <col width="16" customWidth="1" style="13" min="6" max="6"/>
    <col width="32" customWidth="1" style="13" min="7" max="7"/>
    <col width="42" customWidth="1" style="13" min="8" max="8"/>
  </cols>
  <sheetData>
    <row r="1" ht="17.35" customHeight="1" s="14">
      <c r="A1" s="15" t="inlineStr">
        <is>
          <t>BORDEREAU DE PRIX - TRAVAUX DRAINAGE PAR SECTEUR</t>
        </is>
      </c>
    </row>
    <row r="2" ht="15" customHeight="1" s="14">
      <c r="A2" s="16" t="inlineStr">
        <is>
          <t>Quantites consolidees depuis Secteur A, Secteur P, Façade, Detail_facade_batim</t>
        </is>
      </c>
    </row>
    <row r="4" ht="15" customHeight="1" s="14">
      <c r="A4" s="17" t="inlineStr">
        <is>
          <t>Item</t>
        </is>
      </c>
      <c r="B4" s="17" t="inlineStr">
        <is>
          <t>Description</t>
        </is>
      </c>
      <c r="C4" s="17" t="inlineStr">
        <is>
          <t>Unite</t>
        </is>
      </c>
      <c r="D4" s="17" t="inlineStr">
        <is>
          <t>Quantite_totale</t>
        </is>
      </c>
      <c r="E4" s="17" t="inlineStr">
        <is>
          <t>PU</t>
        </is>
      </c>
      <c r="F4" s="17" t="inlineStr">
        <is>
          <t>Montant</t>
        </is>
      </c>
      <c r="G4" s="17" t="inlineStr">
        <is>
          <t>Secteurs/Images</t>
        </is>
      </c>
      <c r="H4" s="17" t="inlineStr">
        <is>
          <t>Observations</t>
        </is>
      </c>
    </row>
    <row r="5" ht="15" customHeight="1" s="14">
      <c r="A5" s="20" t="inlineStr">
        <is>
          <t>SURV-001</t>
        </is>
      </c>
      <c r="B5" s="21" t="inlineStr">
        <is>
          <t>Leve topographique detaille (altimetrie + planimetrie)</t>
        </is>
      </c>
      <c r="C5" s="20" t="inlineStr">
        <is>
          <t>lot</t>
        </is>
      </c>
      <c r="D5" s="20">
        <f>SUMIFS('Secteur A'!$H:$H,'Secteur A'!$C:$C,$A5)+SUMIFS('Secteur P'!$H:$H,'Secteur P'!$C:$C,$A5)+SUMIFS(Façade!$H:$H,Façade!$C:$C,$A5)+SUMIFS(Detail_facade_batim!$H:$H,Detail_facade_batim!$C:$C,$A5)</f>
        <v/>
      </c>
      <c r="E5" s="20" t="n">
        <v>2500</v>
      </c>
      <c r="F5" s="20">
        <f>IF(E5="","",D5*E5)</f>
        <v/>
      </c>
      <c r="G5" s="21" t="inlineStr">
        <is>
          <t>Facade batiment / zones drainage</t>
        </is>
      </c>
      <c r="H5" s="21" t="inlineStr">
        <is>
          <t>Prix indicatif QC (2025-2026), a valider par soumissions</t>
        </is>
      </c>
    </row>
    <row r="6" ht="15" customHeight="1" s="14">
      <c r="A6" s="20" t="inlineStr">
        <is>
          <t>PREP-001</t>
        </is>
      </c>
      <c r="B6" s="21" t="inlineStr">
        <is>
          <t>Mobilisation / installation de chantier</t>
        </is>
      </c>
      <c r="C6" s="20" t="inlineStr">
        <is>
          <t>lot</t>
        </is>
      </c>
      <c r="D6" s="20">
        <f>SUMIFS('Secteur A'!$H:$H,'Secteur A'!$C:$C,$A6)+SUMIFS('Secteur P'!$H:$H,'Secteur P'!$C:$C,$A6)+SUMIFS(Façade!$H:$H,Façade!$C:$C,$A6)+SUMIFS(Detail_facade_batim!$H:$H,Detail_facade_batim!$C:$C,$A6)</f>
        <v/>
      </c>
      <c r="E6" s="20" t="n">
        <v>4500</v>
      </c>
      <c r="F6" s="20">
        <f>IF(E6="","",D6*E6)</f>
        <v/>
      </c>
      <c r="G6" s="21" t="inlineStr">
        <is>
          <t>Tous secteurs</t>
        </is>
      </c>
      <c r="H6" s="21" t="inlineStr">
        <is>
          <t>Prix indicatif QC (2025-2026), a valider par soumissions</t>
        </is>
      </c>
    </row>
    <row r="7" ht="15" customHeight="1" s="14">
      <c r="A7" s="20" t="inlineStr">
        <is>
          <t>PREP-002</t>
        </is>
      </c>
      <c r="B7" s="21" t="inlineStr">
        <is>
          <t>Signalisation et maintien de la circulation</t>
        </is>
      </c>
      <c r="C7" s="20" t="inlineStr">
        <is>
          <t>lot</t>
        </is>
      </c>
      <c r="D7" s="20">
        <f>SUMIFS('Secteur A'!$H:$H,'Secteur A'!$C:$C,$A7)+SUMIFS('Secteur P'!$H:$H,'Secteur P'!$C:$C,$A7)+SUMIFS(Façade!$H:$H,Façade!$C:$C,$A7)+SUMIFS(Detail_facade_batim!$H:$H,Detail_facade_batim!$C:$C,$A7)</f>
        <v/>
      </c>
      <c r="E7" s="20" t="n">
        <v>3000</v>
      </c>
      <c r="F7" s="20">
        <f>IF(E7="","",D7*E7)</f>
        <v/>
      </c>
      <c r="G7" s="21" t="inlineStr">
        <is>
          <t>Tous secteurs</t>
        </is>
      </c>
      <c r="H7" s="21" t="inlineStr">
        <is>
          <t>Prix indicatif QC (2025-2026), a valider par soumissions</t>
        </is>
      </c>
    </row>
    <row r="8" ht="15" customHeight="1" s="14">
      <c r="A8" s="20" t="inlineStr">
        <is>
          <t>SCI-001</t>
        </is>
      </c>
      <c r="B8" s="21" t="inlineStr">
        <is>
          <t>Sciage de pavage</t>
        </is>
      </c>
      <c r="C8" s="20" t="inlineStr">
        <is>
          <t>m</t>
        </is>
      </c>
      <c r="D8" s="20">
        <f>SUMIFS('Secteur A'!$H:$H,'Secteur A'!$C:$C,$A8)+SUMIFS('Secteur P'!$H:$H,'Secteur P'!$C:$C,$A8)+SUMIFS(Façade!$H:$H,Façade!$C:$C,$A8)+SUMIFS(Detail_facade_batim!$H:$H,Detail_facade_batim!$C:$C,$A8)</f>
        <v/>
      </c>
      <c r="E8" s="20" t="n">
        <v>45</v>
      </c>
      <c r="F8" s="20">
        <f>IF(E8="","",D8*E8)</f>
        <v/>
      </c>
      <c r="G8" s="21" t="inlineStr">
        <is>
          <t>Zone de reprofilage</t>
        </is>
      </c>
      <c r="H8" s="21" t="inlineStr">
        <is>
          <t>Prix indicatif QC (2025-2026), a valider par soumissions</t>
        </is>
      </c>
    </row>
    <row r="9" ht="15" customHeight="1" s="14">
      <c r="A9" s="20" t="inlineStr">
        <is>
          <t>DEM-001</t>
        </is>
      </c>
      <c r="B9" s="21" t="inlineStr">
        <is>
          <t>Enlevement de pavage</t>
        </is>
      </c>
      <c r="C9" s="20" t="inlineStr">
        <is>
          <t>m2</t>
        </is>
      </c>
      <c r="D9" s="20">
        <f>SUMIFS('Secteur A'!$H:$H,'Secteur A'!$C:$C,$A9)+SUMIFS('Secteur P'!$H:$H,'Secteur P'!$C:$C,$A9)+SUMIFS(Façade!$H:$H,Façade!$C:$C,$A9)+SUMIFS(Detail_facade_batim!$H:$H,Detail_facade_batim!$C:$C,$A9)</f>
        <v/>
      </c>
      <c r="E9" s="20" t="n">
        <v>14</v>
      </c>
      <c r="F9" s="20">
        <f>IF(E9="","",D9*E9)</f>
        <v/>
      </c>
      <c r="G9" s="21" t="inlineStr">
        <is>
          <t>Zone de reprofilage / secteurs A</t>
        </is>
      </c>
      <c r="H9" s="21" t="inlineStr">
        <is>
          <t>Prix indicatif QC (2025-2026), a valider par soumissions</t>
        </is>
      </c>
    </row>
    <row r="10" ht="15" customHeight="1" s="14">
      <c r="A10" s="20" t="inlineStr">
        <is>
          <t>EXC-001</t>
        </is>
      </c>
      <c r="B10" s="21" t="inlineStr">
        <is>
          <t>Excavation de tranchee pour reseau pluvial</t>
        </is>
      </c>
      <c r="C10" s="20" t="inlineStr">
        <is>
          <t>m3</t>
        </is>
      </c>
      <c r="D10" s="20">
        <f>SUMIFS('Secteur A'!$H:$H,'Secteur A'!$C:$C,$A10)+SUMIFS('Secteur P'!$H:$H,'Secteur P'!$C:$C,$A10)+SUMIFS(Façade!$H:$H,Façade!$C:$C,$A10)+SUMIFS(Detail_facade_batim!$H:$H,Detail_facade_batim!$C:$C,$A10)</f>
        <v/>
      </c>
      <c r="E10" s="20" t="n">
        <v>75</v>
      </c>
      <c r="F10" s="20">
        <f>IF(E10="","",D10*E10)</f>
        <v/>
      </c>
      <c r="G10" s="21" t="inlineStr">
        <is>
          <t>Tous secteurs</t>
        </is>
      </c>
      <c r="H10" s="21" t="inlineStr">
        <is>
          <t>Prix indicatif QC (2025-2026), a valider par soumissions</t>
        </is>
      </c>
    </row>
    <row r="11" ht="15" customHeight="1" s="14">
      <c r="A11" s="20" t="inlineStr">
        <is>
          <t>EXC-002</t>
        </is>
      </c>
      <c r="B11" s="21" t="inlineStr">
        <is>
          <t>Hydro-excavation pour localisation de conduites existantes</t>
        </is>
      </c>
      <c r="C11" s="20" t="inlineStr">
        <is>
          <t>h</t>
        </is>
      </c>
      <c r="D11" s="20">
        <f>SUMIFS('Secteur A'!$H:$H,'Secteur A'!$C:$C,$A11)+SUMIFS('Secteur P'!$H:$H,'Secteur P'!$C:$C,$A11)+SUMIFS(Façade!$H:$H,Façade!$C:$C,$A11)+SUMIFS(Detail_facade_batim!$H:$H,Detail_facade_batim!$C:$C,$A11)</f>
        <v/>
      </c>
      <c r="E11" s="20" t="n">
        <v>472</v>
      </c>
      <c r="F11" s="20">
        <f>IF(E11="","",D11*E11)</f>
        <v/>
      </c>
      <c r="G11" s="21" t="inlineStr">
        <is>
          <t>Secteur Façade / raccord Ø1800</t>
        </is>
      </c>
      <c r="H11" s="21" t="inlineStr">
        <is>
          <t>Prix indicatif QC (2025-2026), a valider par soumissions</t>
        </is>
      </c>
    </row>
    <row r="12" ht="15" customHeight="1" s="14">
      <c r="A12" s="20" t="inlineStr">
        <is>
          <t>CAN-300</t>
        </is>
      </c>
      <c r="B12" s="21" t="inlineStr">
        <is>
          <t>Fourniture et pose conduite pluviale DN300</t>
        </is>
      </c>
      <c r="C12" s="20" t="inlineStr">
        <is>
          <t>m</t>
        </is>
      </c>
      <c r="D12" s="20">
        <f>SUMIFS('Secteur A'!$H:$H,'Secteur A'!$C:$C,$A12)+SUMIFS('Secteur P'!$H:$H,'Secteur P'!$C:$C,$A12)+SUMIFS(Façade!$H:$H,Façade!$C:$C,$A12)+SUMIFS(Detail_facade_batim!$H:$H,Detail_facade_batim!$C:$C,$A12)</f>
        <v/>
      </c>
      <c r="E12" s="20" t="n">
        <v>150</v>
      </c>
      <c r="F12" s="20">
        <f>IF(E12="","",D12*E12)</f>
        <v/>
      </c>
      <c r="G12" s="21" t="inlineStr">
        <is>
          <t>Secteurs avec conduites nouvelles</t>
        </is>
      </c>
      <c r="H12" s="21" t="inlineStr">
        <is>
          <t>Prix indicatif QC (2025-2026), a valider par soumissions</t>
        </is>
      </c>
    </row>
    <row r="13" ht="15" customHeight="1" s="14">
      <c r="A13" s="20" t="inlineStr">
        <is>
          <t>CAN-375</t>
        </is>
      </c>
      <c r="B13" s="21" t="inlineStr">
        <is>
          <t>Fourniture et pose raccord / conduite DN375</t>
        </is>
      </c>
      <c r="C13" s="20" t="inlineStr">
        <is>
          <t>m</t>
        </is>
      </c>
      <c r="D13" s="20">
        <f>SUMIFS('Secteur A'!$H:$H,'Secteur A'!$C:$C,$A13)+SUMIFS('Secteur P'!$H:$H,'Secteur P'!$C:$C,$A13)+SUMIFS(Façade!$H:$H,Façade!$C:$C,$A13)+SUMIFS(Detail_facade_batim!$H:$H,Detail_facade_batim!$C:$C,$A13)</f>
        <v/>
      </c>
      <c r="E13" s="20" t="n">
        <v>180</v>
      </c>
      <c r="F13" s="20">
        <f>IF(E13="","",D13*E13)</f>
        <v/>
      </c>
      <c r="G13" s="21" t="inlineStr">
        <is>
          <t>Raccord propose</t>
        </is>
      </c>
      <c r="H13" s="21" t="inlineStr">
        <is>
          <t>Prix indicatif QC (2025-2026), a valider par soumissions</t>
        </is>
      </c>
    </row>
    <row r="14" ht="15" customHeight="1" s="14">
      <c r="A14" s="20" t="inlineStr">
        <is>
          <t>REG-001</t>
        </is>
      </c>
      <c r="B14" s="21" t="inlineStr">
        <is>
          <t>Regard RP-01 (ajustement / reconstruction locale)</t>
        </is>
      </c>
      <c r="C14" s="20" t="inlineStr">
        <is>
          <t>u</t>
        </is>
      </c>
      <c r="D14" s="20">
        <f>SUMIFS('Secteur A'!$H:$H,'Secteur A'!$C:$C,$A14)+SUMIFS('Secteur P'!$H:$H,'Secteur P'!$C:$C,$A14)+SUMIFS(Façade!$H:$H,Façade!$C:$C,$A14)+SUMIFS(Detail_facade_batim!$H:$H,Detail_facade_batim!$C:$C,$A14)</f>
        <v/>
      </c>
      <c r="E14" s="20" t="n">
        <v>2500</v>
      </c>
      <c r="F14" s="20">
        <f>IF(E14="","",D14*E14)</f>
        <v/>
      </c>
      <c r="G14" s="21" t="inlineStr">
        <is>
          <t>Noeud de repartition</t>
        </is>
      </c>
      <c r="H14" s="21" t="inlineStr">
        <is>
          <t>Prix indicatif QC (2025-2026), a valider par soumissions</t>
        </is>
      </c>
    </row>
    <row r="15" ht="15" customHeight="1" s="14">
      <c r="A15" s="20" t="inlineStr">
        <is>
          <t>REG-002</t>
        </is>
      </c>
      <c r="B15" s="21" t="inlineStr">
        <is>
          <t>Regard RP-02 avec clapet anti-retour</t>
        </is>
      </c>
      <c r="C15" s="20" t="inlineStr">
        <is>
          <t>u</t>
        </is>
      </c>
      <c r="D15" s="20">
        <f>SUMIFS('Secteur A'!$H:$H,'Secteur A'!$C:$C,$A15)+SUMIFS('Secteur P'!$H:$H,'Secteur P'!$C:$C,$A15)+SUMIFS(Façade!$H:$H,Façade!$C:$C,$A15)+SUMIFS(Detail_facade_batim!$H:$H,Detail_facade_batim!$C:$C,$A15)</f>
        <v/>
      </c>
      <c r="E15" s="20" t="n">
        <v>4200</v>
      </c>
      <c r="F15" s="20">
        <f>IF(E15="","",D15*E15)</f>
        <v/>
      </c>
      <c r="G15" s="21" t="inlineStr">
        <is>
          <t>Aval poste / reseau existant</t>
        </is>
      </c>
      <c r="H15" s="21" t="inlineStr">
        <is>
          <t>Prix indicatif QC (2025-2026), a valider par soumissions</t>
        </is>
      </c>
    </row>
    <row r="16" ht="15" customHeight="1" s="14">
      <c r="A16" s="20" t="inlineStr">
        <is>
          <t>PUI-001</t>
        </is>
      </c>
      <c r="B16" s="21" t="inlineStr">
        <is>
          <t>Nouveau puisard</t>
        </is>
      </c>
      <c r="C16" s="20" t="inlineStr">
        <is>
          <t>u</t>
        </is>
      </c>
      <c r="D16" s="20">
        <f>SUMIFS('Secteur A'!$H:$H,'Secteur A'!$C:$C,$A16)+SUMIFS('Secteur P'!$H:$H,'Secteur P'!$C:$C,$A16)+SUMIFS(Façade!$H:$H,Façade!$C:$C,$A16)+SUMIFS(Detail_facade_batim!$H:$H,Detail_facade_batim!$C:$C,$A16)</f>
        <v/>
      </c>
      <c r="E16" s="20" t="n">
        <v>5000</v>
      </c>
      <c r="F16" s="20">
        <f>IF(E16="","",D16*E16)</f>
        <v/>
      </c>
      <c r="G16" s="21" t="inlineStr">
        <is>
          <t>Secteur P</t>
        </is>
      </c>
      <c r="H16" s="21" t="inlineStr">
        <is>
          <t>Prix indicatif QC (2025-2026), a valider par soumissions</t>
        </is>
      </c>
    </row>
    <row r="17" ht="15" customHeight="1" s="14">
      <c r="A17" s="20" t="inlineStr">
        <is>
          <t>BOR-001</t>
        </is>
      </c>
      <c r="B17" s="21" t="inlineStr">
        <is>
          <t>Saignee dans bordure / raccord de bordure</t>
        </is>
      </c>
      <c r="C17" s="20" t="inlineStr">
        <is>
          <t>m</t>
        </is>
      </c>
      <c r="D17" s="20">
        <f>SUMIFS('Secteur A'!$H:$H,'Secteur A'!$C:$C,$A17)+SUMIFS('Secteur P'!$H:$H,'Secteur P'!$C:$C,$A17)+SUMIFS(Façade!$H:$H,Façade!$C:$C,$A17)+SUMIFS(Detail_facade_batim!$H:$H,Detail_facade_batim!$C:$C,$A17)</f>
        <v/>
      </c>
      <c r="E17" s="20" t="n">
        <v>180</v>
      </c>
      <c r="F17" s="20">
        <f>IF(E17="","",D17*E17)</f>
        <v/>
      </c>
      <c r="G17" s="21" t="inlineStr">
        <is>
          <t>Secteur P</t>
        </is>
      </c>
      <c r="H17" s="21" t="inlineStr">
        <is>
          <t>Prix indicatif QC (2025-2026), a valider par soumissions</t>
        </is>
      </c>
    </row>
    <row r="18" ht="15" customHeight="1" s="14">
      <c r="A18" s="20" t="inlineStr">
        <is>
          <t>BORD-001</t>
        </is>
      </c>
      <c r="B18" s="21" t="inlineStr">
        <is>
          <t>Reconstruction de bordure (si requise)</t>
        </is>
      </c>
      <c r="C18" s="20" t="inlineStr">
        <is>
          <t>m</t>
        </is>
      </c>
      <c r="D18" s="20">
        <f>SUMIFS('Secteur A'!$H:$H,'Secteur A'!$C:$C,$A18)+SUMIFS('Secteur P'!$H:$H,'Secteur P'!$C:$C,$A18)+SUMIFS(Façade!$H:$H,Façade!$C:$C,$A18)+SUMIFS(Detail_facade_batim!$H:$H,Detail_facade_batim!$C:$C,$A18)</f>
        <v/>
      </c>
      <c r="E18" s="20" t="n">
        <v>107</v>
      </c>
      <c r="F18" s="20">
        <f>IF(E18="","",D18*E18)</f>
        <v/>
      </c>
      <c r="G18" s="21" t="inlineStr">
        <is>
          <t>Zone de reprofilage</t>
        </is>
      </c>
      <c r="H18" s="21" t="inlineStr">
        <is>
          <t>Prix indicatif QC (2025-2026), a valider par soumissions</t>
        </is>
      </c>
    </row>
    <row r="19" ht="15" customHeight="1" s="14">
      <c r="A19" s="20" t="inlineStr">
        <is>
          <t>RAC-001</t>
        </is>
      </c>
      <c r="B19" s="21" t="inlineStr">
        <is>
          <t>Raccordement a la conduite existante Ø1800</t>
        </is>
      </c>
      <c r="C19" s="20" t="inlineStr">
        <is>
          <t>u</t>
        </is>
      </c>
      <c r="D19" s="20">
        <f>SUMIFS('Secteur A'!$H:$H,'Secteur A'!$C:$C,$A19)+SUMIFS('Secteur P'!$H:$H,'Secteur P'!$C:$C,$A19)+SUMIFS(Façade!$H:$H,Façade!$C:$C,$A19)+SUMIFS(Detail_facade_batim!$H:$H,Detail_facade_batim!$C:$C,$A19)</f>
        <v/>
      </c>
      <c r="E19" s="20" t="n">
        <v>15000</v>
      </c>
      <c r="F19" s="20">
        <f>IF(E19="","",D19*E19)</f>
        <v/>
      </c>
      <c r="G19" s="21" t="inlineStr">
        <is>
          <t>Secteur Façade</t>
        </is>
      </c>
      <c r="H19" s="21" t="inlineStr">
        <is>
          <t>Prix indicatif QC (2025-2026), a valider par soumissions</t>
        </is>
      </c>
    </row>
    <row r="20" ht="15" customHeight="1" s="14">
      <c r="A20" s="20" t="inlineStr">
        <is>
          <t>REM-001</t>
        </is>
      </c>
      <c r="B20" s="21" t="inlineStr">
        <is>
          <t>Remblai et materiaux granulaires</t>
        </is>
      </c>
      <c r="C20" s="20" t="inlineStr">
        <is>
          <t>m3</t>
        </is>
      </c>
      <c r="D20" s="20">
        <f>SUMIFS('Secteur A'!$H:$H,'Secteur A'!$C:$C,$A20)+SUMIFS('Secteur P'!$H:$H,'Secteur P'!$C:$C,$A20)+SUMIFS(Façade!$H:$H,Façade!$C:$C,$A20)+SUMIFS(Detail_facade_batim!$H:$H,Detail_facade_batim!$C:$C,$A20)</f>
        <v/>
      </c>
      <c r="E20" s="20" t="n">
        <v>81</v>
      </c>
      <c r="F20" s="20">
        <f>IF(E20="","",D20*E20)</f>
        <v/>
      </c>
      <c r="G20" s="21" t="inlineStr">
        <is>
          <t>Tous secteurs</t>
        </is>
      </c>
      <c r="H20" s="21" t="inlineStr">
        <is>
          <t>Prix indicatif QC (2025-2026), a valider par soumissions</t>
        </is>
      </c>
    </row>
    <row r="21" ht="15" customHeight="1" s="14">
      <c r="A21" s="20" t="inlineStr">
        <is>
          <t>PAV-001</t>
        </is>
      </c>
      <c r="B21" s="21" t="inlineStr">
        <is>
          <t>Reprofilage / reprise de pavage</t>
        </is>
      </c>
      <c r="C21" s="20" t="inlineStr">
        <is>
          <t>m2</t>
        </is>
      </c>
      <c r="D21" s="20">
        <f>SUMIFS('Secteur A'!$H:$H,'Secteur A'!$C:$C,$A21)+SUMIFS('Secteur P'!$H:$H,'Secteur P'!$C:$C,$A21)+SUMIFS(Façade!$H:$H,Façade!$C:$C,$A21)+SUMIFS(Detail_facade_batim!$H:$H,Detail_facade_batim!$C:$C,$A21)</f>
        <v/>
      </c>
      <c r="E21" s="20" t="n">
        <v>65</v>
      </c>
      <c r="F21" s="20">
        <f>IF(E21="","",D21*E21)</f>
        <v/>
      </c>
      <c r="G21" s="21" t="inlineStr">
        <is>
          <t>Secteurs a risque drainage</t>
        </is>
      </c>
      <c r="H21" s="21" t="inlineStr">
        <is>
          <t>Prix indicatif QC (2025-2026), a valider par soumissions</t>
        </is>
      </c>
    </row>
    <row r="22" ht="15" customHeight="1" s="14">
      <c r="A22" s="20" t="inlineStr">
        <is>
          <t>REF-001</t>
        </is>
      </c>
      <c r="B22" s="21" t="inlineStr">
        <is>
          <t>Refection des surfaces (gazon, etc.)</t>
        </is>
      </c>
      <c r="C22" s="20" t="inlineStr">
        <is>
          <t>m2</t>
        </is>
      </c>
      <c r="D22" s="20">
        <f>SUMIFS('Secteur A'!$H:$H,'Secteur A'!$C:$C,$A22)+SUMIFS('Secteur P'!$H:$H,'Secteur P'!$C:$C,$A22)+SUMIFS(Façade!$H:$H,Façade!$C:$C,$A22)+SUMIFS(Detail_facade_batim!$H:$H,Detail_facade_batim!$C:$C,$A22)</f>
        <v/>
      </c>
      <c r="E22" s="20" t="n">
        <v>18</v>
      </c>
      <c r="F22" s="20">
        <f>IF(E22="","",D22*E22)</f>
        <v/>
      </c>
      <c r="G22" s="21" t="inlineStr">
        <is>
          <t>Zone de reprofilage / finitions</t>
        </is>
      </c>
      <c r="H22" s="21" t="inlineStr">
        <is>
          <t>Prix indicatif QC (2025-2026), a valider par soumissions</t>
        </is>
      </c>
    </row>
    <row r="23" ht="15" customHeight="1" s="14">
      <c r="A23" s="20" t="inlineStr">
        <is>
          <t>AJU-001</t>
        </is>
      </c>
      <c r="B23" s="21" t="inlineStr">
        <is>
          <t>Ajustement d'ouvrages existants</t>
        </is>
      </c>
      <c r="C23" s="20" t="inlineStr">
        <is>
          <t>u</t>
        </is>
      </c>
      <c r="D23" s="20">
        <f>SUMIFS('Secteur A'!$H:$H,'Secteur A'!$C:$C,$A23)+SUMIFS('Secteur P'!$H:$H,'Secteur P'!$C:$C,$A23)+SUMIFS(Façade!$H:$H,Façade!$C:$C,$A23)+SUMIFS(Detail_facade_batim!$H:$H,Detail_facade_batim!$C:$C,$A23)</f>
        <v/>
      </c>
      <c r="E23" s="20" t="n">
        <v>1200</v>
      </c>
      <c r="F23" s="20">
        <f>IF(E23="","",D23*E23)</f>
        <v/>
      </c>
      <c r="G23" s="21" t="inlineStr">
        <is>
          <t>Zone de reprofilage / reseau existant</t>
        </is>
      </c>
      <c r="H23" s="21" t="inlineStr">
        <is>
          <t>Prix indicatif QC (2025-2026), a valider par soumissions</t>
        </is>
      </c>
    </row>
    <row r="24" ht="15" customHeight="1" s="14">
      <c r="A24" s="20" t="inlineStr">
        <is>
          <t>ESS-001</t>
        </is>
      </c>
      <c r="B24" s="21" t="inlineStr">
        <is>
          <t>Essais / verification hydraulique et mise en service</t>
        </is>
      </c>
      <c r="C24" s="20" t="inlineStr">
        <is>
          <t>lot</t>
        </is>
      </c>
      <c r="D24" s="20">
        <f>SUMIFS('Secteur A'!$H:$H,'Secteur A'!$C:$C,$A24)+SUMIFS('Secteur P'!$H:$H,'Secteur P'!$C:$C,$A24)+SUMIFS(Façade!$H:$H,Façade!$C:$C,$A24)+SUMIFS(Detail_facade_batim!$H:$H,Detail_facade_batim!$C:$C,$A24)</f>
        <v/>
      </c>
      <c r="E24" s="20" t="n">
        <v>3000</v>
      </c>
      <c r="F24" s="20">
        <f>IF(E24="","",D24*E24)</f>
        <v/>
      </c>
      <c r="G24" s="21" t="inlineStr">
        <is>
          <t>Reseau pluvial</t>
        </is>
      </c>
      <c r="H24" s="21" t="inlineStr">
        <is>
          <t>Prix indicatif QC (2025-2026), a valider par soumissions</t>
        </is>
      </c>
    </row>
    <row r="25" ht="15" customHeight="1" s="14">
      <c r="A25" s="20" t="inlineStr">
        <is>
          <t>DOC-001</t>
        </is>
      </c>
      <c r="B25" s="21" t="inlineStr">
        <is>
          <t>Plans finaux / dossier de recollement</t>
        </is>
      </c>
      <c r="C25" s="20" t="inlineStr">
        <is>
          <t>lot</t>
        </is>
      </c>
      <c r="D25" s="20">
        <f>SUMIFS('Secteur A'!$H:$H,'Secteur A'!$C:$C,$A25)+SUMIFS('Secteur P'!$H:$H,'Secteur P'!$C:$C,$A25)+SUMIFS(Façade!$H:$H,Façade!$C:$C,$A25)+SUMIFS(Detail_facade_batim!$H:$H,Detail_facade_batim!$C:$C,$A25)</f>
        <v/>
      </c>
      <c r="E25" s="20" t="n">
        <v>4500</v>
      </c>
      <c r="F25" s="20">
        <f>IF(E25="","",D25*E25)</f>
        <v/>
      </c>
      <c r="G25" s="21" t="inlineStr">
        <is>
          <t>Tous secteurs</t>
        </is>
      </c>
      <c r="H25" s="21" t="inlineStr">
        <is>
          <t>Prix indicatif QC (2025-2026), a valider par soumissions</t>
        </is>
      </c>
    </row>
    <row r="26" ht="15" customHeight="1" s="14">
      <c r="A26" s="20" t="n"/>
      <c r="B26" s="21" t="n"/>
      <c r="C26" s="20" t="n"/>
      <c r="D26" s="20" t="n"/>
      <c r="E26" s="20" t="n"/>
      <c r="F26" s="20" t="n"/>
      <c r="G26" s="21" t="n"/>
      <c r="H26" s="21" t="n"/>
    </row>
    <row r="27">
      <c r="D27" s="13" t="inlineStr">
        <is>
          <t>TOTAL</t>
        </is>
      </c>
      <c r="F27" s="13">
        <f>SUM(F5:F25)</f>
        <v/>
      </c>
    </row>
    <row r="28" ht="15" customHeight="1" s="14">
      <c r="D28" s="22" t="n"/>
      <c r="F28" s="22" t="n"/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12" activeCellId="1" sqref="E9:E22 D12"/>
    </sheetView>
  </sheetViews>
  <sheetFormatPr baseColWidth="8" defaultColWidth="8.54296875" defaultRowHeight="15" customHeight="1" zeroHeight="0" outlineLevelRow="0"/>
  <cols>
    <col width="14" customWidth="1" style="13" min="1" max="1"/>
    <col width="24" customWidth="1" style="13" min="2" max="2"/>
    <col width="12" customWidth="1" style="13" min="3" max="3"/>
    <col width="48" customWidth="1" style="13" min="4" max="4"/>
    <col width="10" customWidth="1" style="13" min="5" max="5"/>
    <col width="16" customWidth="1" style="13" min="6" max="8"/>
    <col width="40" customWidth="1" style="13" min="9" max="9"/>
    <col width="44" customWidth="1" style="13" min="10" max="10"/>
  </cols>
  <sheetData>
    <row r="1" ht="16.15" customHeight="1" s="14">
      <c r="A1" s="23" t="inlineStr">
        <is>
          <t>Detail quantites - Image1 (zone de reprofilage)</t>
        </is>
      </c>
    </row>
    <row r="3" ht="26.5" customHeight="1" s="14">
      <c r="A3" s="17" t="inlineStr">
        <is>
          <t>ID_image</t>
        </is>
      </c>
      <c r="B3" s="17" t="inlineStr">
        <is>
          <t>Secteur</t>
        </is>
      </c>
      <c r="C3" s="17" t="inlineStr">
        <is>
          <t>Item</t>
        </is>
      </c>
      <c r="D3" s="17" t="inlineStr">
        <is>
          <t>Description</t>
        </is>
      </c>
      <c r="E3" s="17" t="inlineStr">
        <is>
          <t>Unite</t>
        </is>
      </c>
      <c r="F3" s="17" t="inlineStr">
        <is>
          <t>Quantite_mesuree</t>
        </is>
      </c>
      <c r="G3" s="17" t="inlineStr">
        <is>
          <t>Coef_ajustement</t>
        </is>
      </c>
      <c r="H3" s="17" t="inlineStr">
        <is>
          <t>Quantite_retenue</t>
        </is>
      </c>
      <c r="I3" s="17" t="inlineStr">
        <is>
          <t>Source / annotation</t>
        </is>
      </c>
      <c r="J3" s="17" t="inlineStr">
        <is>
          <t>Hypothese / commentaire</t>
        </is>
      </c>
    </row>
    <row r="4" ht="24.05" customHeight="1" s="14">
      <c r="A4" s="20" t="inlineStr">
        <is>
          <t>fromMiddleZone.png</t>
        </is>
      </c>
      <c r="B4" s="21" t="inlineStr">
        <is>
          <t>Zone de reprofilage A</t>
        </is>
      </c>
      <c r="C4" s="20" t="inlineStr">
        <is>
          <t>SCI-001</t>
        </is>
      </c>
      <c r="D4" s="21" t="inlineStr">
        <is>
          <t>Sciage de pavage</t>
        </is>
      </c>
      <c r="E4" s="20" t="inlineStr">
        <is>
          <t>m</t>
        </is>
      </c>
      <c r="F4" s="20" t="n">
        <v>99</v>
      </c>
      <c r="G4" s="20" t="n">
        <v>1</v>
      </c>
      <c r="H4" s="20">
        <f>IF(F4="","",F4*G4)</f>
        <v/>
      </c>
      <c r="I4" s="21" t="inlineStr">
        <is>
          <t>Longueur a mesurer sur plan DAO/PDF</t>
        </is>
      </c>
      <c r="J4" s="21" t="n"/>
    </row>
    <row r="5" ht="24.05" customHeight="1" s="14">
      <c r="A5" s="20" t="inlineStr">
        <is>
          <t>fromMiddleZone.png</t>
        </is>
      </c>
      <c r="B5" s="21" t="inlineStr">
        <is>
          <t>Zone de reprofilage A</t>
        </is>
      </c>
      <c r="C5" s="20" t="inlineStr">
        <is>
          <t>DEM-001</t>
        </is>
      </c>
      <c r="D5" s="21" t="inlineStr">
        <is>
          <t>Enlevement de pavage</t>
        </is>
      </c>
      <c r="E5" s="20" t="inlineStr">
        <is>
          <t>m2</t>
        </is>
      </c>
      <c r="F5" s="20" t="n">
        <v>557</v>
      </c>
      <c r="G5" s="20" t="n">
        <v>1</v>
      </c>
      <c r="H5" s="20">
        <f>IF(F5="","",F5*G5)</f>
        <v/>
      </c>
      <c r="I5" s="21" t="inlineStr">
        <is>
          <t>Image ajoutee: zone delimitee 557 m2</t>
        </is>
      </c>
      <c r="J5" s="21" t="inlineStr">
        <is>
          <t>Hypothese: enlevement sur toute la zone reprise</t>
        </is>
      </c>
    </row>
    <row r="6" ht="24.05" customHeight="1" s="14">
      <c r="A6" s="20" t="inlineStr">
        <is>
          <t>fromMiddleZone.png</t>
        </is>
      </c>
      <c r="B6" s="21" t="inlineStr">
        <is>
          <t>Zone de reprofilage A</t>
        </is>
      </c>
      <c r="C6" s="20" t="inlineStr">
        <is>
          <t>BORD-001</t>
        </is>
      </c>
      <c r="D6" s="21" t="inlineStr">
        <is>
          <t>Reconstruction de bordure (si requise)</t>
        </is>
      </c>
      <c r="E6" s="20" t="inlineStr">
        <is>
          <t>m</t>
        </is>
      </c>
      <c r="F6" s="20" t="n">
        <v>0</v>
      </c>
      <c r="G6" s="20" t="n">
        <v>1</v>
      </c>
      <c r="H6" s="20">
        <f>IF(F6="","",F6*G6)</f>
        <v/>
      </c>
      <c r="I6" s="21" t="inlineStr">
        <is>
          <t>Longueur conditionnelle selon etat existant</t>
        </is>
      </c>
      <c r="J6" s="21" t="n"/>
    </row>
    <row r="7" ht="24.05" customHeight="1" s="14">
      <c r="A7" s="20" t="inlineStr">
        <is>
          <t>fromMiddleZone.png</t>
        </is>
      </c>
      <c r="B7" s="21" t="inlineStr">
        <is>
          <t>Zone de reprofilage A</t>
        </is>
      </c>
      <c r="C7" s="20" t="inlineStr">
        <is>
          <t>REM-001</t>
        </is>
      </c>
      <c r="D7" s="21" t="inlineStr">
        <is>
          <t>Remblai et materiaux granulaires</t>
        </is>
      </c>
      <c r="E7" s="20" t="inlineStr">
        <is>
          <t>m3</t>
        </is>
      </c>
      <c r="F7" s="20" t="n">
        <v>0</v>
      </c>
      <c r="G7" s="20" t="n">
        <v>1</v>
      </c>
      <c r="H7" s="20">
        <f>IF(F7="","",F7*G7)</f>
        <v/>
      </c>
      <c r="I7" s="21" t="inlineStr">
        <is>
          <t>Volume apres profils et epaisseur finale</t>
        </is>
      </c>
      <c r="J7" s="21" t="n"/>
    </row>
    <row r="8" ht="24.05" customHeight="1" s="14">
      <c r="A8" s="20" t="inlineStr">
        <is>
          <t>fromMiddleZone.png</t>
        </is>
      </c>
      <c r="B8" s="21" t="inlineStr">
        <is>
          <t>Zone de reprofilage A</t>
        </is>
      </c>
      <c r="C8" s="20" t="inlineStr">
        <is>
          <t>AJU-001</t>
        </is>
      </c>
      <c r="D8" s="21" t="inlineStr">
        <is>
          <t>Ajustement d'ouvrages existants</t>
        </is>
      </c>
      <c r="E8" s="20" t="inlineStr">
        <is>
          <t>u</t>
        </is>
      </c>
      <c r="F8" s="20" t="n">
        <v>1</v>
      </c>
      <c r="G8" s="20" t="n">
        <v>1</v>
      </c>
      <c r="H8" s="20">
        <f>IF(F8="","",F8*G8)</f>
        <v/>
      </c>
      <c r="I8" s="21" t="inlineStr">
        <is>
          <t>Minimum 1 unite, ajuster apres releve terrain</t>
        </is>
      </c>
      <c r="J8" s="21" t="n"/>
    </row>
    <row r="9" ht="24.05" customHeight="1" s="14">
      <c r="A9" s="20" t="inlineStr">
        <is>
          <t>fromMiddleZone.png</t>
        </is>
      </c>
      <c r="B9" s="21" t="inlineStr">
        <is>
          <t>Zone de reprofilage A</t>
        </is>
      </c>
      <c r="C9" s="20" t="inlineStr">
        <is>
          <t>PAV-001</t>
        </is>
      </c>
      <c r="D9" s="21" t="inlineStr">
        <is>
          <t>Reprofilage / reprise de pavage (point bas a elev. 29,720 m)</t>
        </is>
      </c>
      <c r="E9" s="20" t="inlineStr">
        <is>
          <t>m2</t>
        </is>
      </c>
      <c r="F9" s="20" t="n">
        <v>557</v>
      </c>
      <c r="G9" s="20" t="n">
        <v>1</v>
      </c>
      <c r="H9" s="20">
        <f>IF(F9="","",F9*G9)</f>
        <v/>
      </c>
      <c r="I9" s="21" t="inlineStr">
        <is>
          <t>Image ajoutee: annotation 557 m2 + cote 29,720</t>
        </is>
      </c>
      <c r="J9" s="21" t="inlineStr">
        <is>
          <t>Surface de reprise de pavage selon zone surlignee</t>
        </is>
      </c>
    </row>
    <row r="10" ht="24.05" customHeight="1" s="14">
      <c r="A10" s="20" t="inlineStr">
        <is>
          <t>fromMiddleZone.png</t>
        </is>
      </c>
      <c r="B10" s="21" t="inlineStr">
        <is>
          <t>Zone de reprofilage A</t>
        </is>
      </c>
      <c r="C10" s="20" t="inlineStr">
        <is>
          <t>REF-001</t>
        </is>
      </c>
      <c r="D10" s="21" t="inlineStr">
        <is>
          <t>Refection des surfaces (gazon, etc.)</t>
        </is>
      </c>
      <c r="E10" s="20" t="inlineStr">
        <is>
          <t>m2</t>
        </is>
      </c>
      <c r="F10" s="20" t="n">
        <v>0</v>
      </c>
      <c r="G10" s="20" t="n">
        <v>1</v>
      </c>
      <c r="H10" s="20">
        <f>IF(F10="","",F10*G10)</f>
        <v/>
      </c>
      <c r="I10" s="21" t="inlineStr">
        <is>
          <t>Si surfaces non pavees sont affectees</t>
        </is>
      </c>
      <c r="J10" s="21" t="inlineStr">
        <is>
          <t>A ajuster apres verification terrain</t>
        </is>
      </c>
    </row>
    <row r="11" ht="26.5" customHeight="1" s="14">
      <c r="A11" s="24" t="inlineStr">
        <is>
          <t>Sous-total (controle)</t>
        </is>
      </c>
      <c r="B11" s="21" t="n"/>
      <c r="C11" s="20" t="n"/>
      <c r="D11" s="21" t="n"/>
      <c r="E11" s="20" t="n"/>
      <c r="F11" s="20" t="n"/>
      <c r="G11" s="20" t="n"/>
      <c r="H11" s="25">
        <f>SUM(H4:H10)</f>
        <v/>
      </c>
      <c r="I11" s="21" t="n"/>
      <c r="J11" s="21" t="n"/>
    </row>
    <row r="12" ht="15" customHeight="1" s="14">
      <c r="A12" s="20" t="n"/>
      <c r="B12" s="21" t="n"/>
      <c r="C12" s="20" t="n"/>
      <c r="D12" s="21" t="n"/>
      <c r="E12" s="20" t="n"/>
      <c r="F12" s="20" t="n"/>
      <c r="G12" s="20" t="n"/>
      <c r="H12" s="20" t="n"/>
      <c r="I12" s="21" t="n"/>
      <c r="J12" s="21" t="n"/>
    </row>
    <row r="14" ht="15" customHeight="1" s="14">
      <c r="A14" s="26" t="n"/>
      <c r="H14" s="26" t="n"/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9" activeCellId="1" sqref="E9:E22 B9"/>
    </sheetView>
  </sheetViews>
  <sheetFormatPr baseColWidth="8" defaultColWidth="8.54296875" defaultRowHeight="15" customHeight="1" zeroHeight="0" outlineLevelRow="0"/>
  <cols>
    <col width="14" customWidth="1" style="13" min="1" max="1"/>
    <col width="24" customWidth="1" style="13" min="2" max="2"/>
    <col width="12" customWidth="1" style="13" min="3" max="3"/>
    <col width="48" customWidth="1" style="13" min="4" max="4"/>
    <col width="10" customWidth="1" style="13" min="5" max="5"/>
    <col width="16" customWidth="1" style="13" min="6" max="8"/>
    <col width="40" customWidth="1" style="13" min="9" max="9"/>
    <col width="44" customWidth="1" style="13" min="10" max="10"/>
  </cols>
  <sheetData>
    <row r="1" ht="16.15" customHeight="1" s="14">
      <c r="A1" s="23" t="inlineStr">
        <is>
          <t>Detail quantites - Detail_Image2</t>
        </is>
      </c>
    </row>
    <row r="3" ht="26.5" customHeight="1" s="14">
      <c r="A3" s="17" t="inlineStr">
        <is>
          <t>ID_image</t>
        </is>
      </c>
      <c r="B3" s="17" t="inlineStr">
        <is>
          <t>Secteur</t>
        </is>
      </c>
      <c r="C3" s="17" t="inlineStr">
        <is>
          <t>Item</t>
        </is>
      </c>
      <c r="D3" s="17" t="inlineStr">
        <is>
          <t>Description</t>
        </is>
      </c>
      <c r="E3" s="17" t="inlineStr">
        <is>
          <t>Unite</t>
        </is>
      </c>
      <c r="F3" s="17" t="inlineStr">
        <is>
          <t>Quantite_mesuree</t>
        </is>
      </c>
      <c r="G3" s="17" t="inlineStr">
        <is>
          <t>Coef_ajustement</t>
        </is>
      </c>
      <c r="H3" s="17" t="inlineStr">
        <is>
          <t>Quantite_retenue</t>
        </is>
      </c>
      <c r="I3" s="17" t="inlineStr">
        <is>
          <t>Source / annotation</t>
        </is>
      </c>
      <c r="J3" s="17" t="inlineStr">
        <is>
          <t>Hypothese / commentaire</t>
        </is>
      </c>
    </row>
    <row r="4" ht="15" customHeight="1" s="14">
      <c r="A4" s="20" t="inlineStr">
        <is>
          <t>saignée.png</t>
        </is>
      </c>
      <c r="B4" s="21" t="inlineStr">
        <is>
          <t>Secteur P haut</t>
        </is>
      </c>
      <c r="C4" s="20" t="inlineStr">
        <is>
          <t>PAV-001</t>
        </is>
      </c>
      <c r="D4" s="21" t="inlineStr">
        <is>
          <t>Reprofilage / reprise de pavage</t>
        </is>
      </c>
      <c r="E4" s="20" t="inlineStr">
        <is>
          <t>m2</t>
        </is>
      </c>
      <c r="F4" s="20" t="n">
        <v>84</v>
      </c>
      <c r="G4" s="20" t="n">
        <v>1</v>
      </c>
      <c r="H4" s="20">
        <f>IF(F4="","",F4*G4)</f>
        <v/>
      </c>
      <c r="I4" s="21" t="inlineStr">
        <is>
          <t>Valeur lue sur plan annote</t>
        </is>
      </c>
      <c r="J4" s="21" t="n"/>
    </row>
    <row r="5" ht="15" customHeight="1" s="14">
      <c r="A5" s="20" t="inlineStr">
        <is>
          <t>saignée.png</t>
        </is>
      </c>
      <c r="B5" s="21" t="inlineStr">
        <is>
          <t>Secteur P bas</t>
        </is>
      </c>
      <c r="C5" s="20" t="inlineStr">
        <is>
          <t>PAV-001</t>
        </is>
      </c>
      <c r="D5" s="21" t="inlineStr">
        <is>
          <t>Reprofilage / reprise de pavage</t>
        </is>
      </c>
      <c r="E5" s="20" t="inlineStr">
        <is>
          <t>m2</t>
        </is>
      </c>
      <c r="F5" s="20" t="n">
        <v>80</v>
      </c>
      <c r="G5" s="20" t="n">
        <v>1</v>
      </c>
      <c r="H5" s="20">
        <f>IF(F5="","",F5*G5)</f>
        <v/>
      </c>
      <c r="I5" s="21" t="inlineStr">
        <is>
          <t>Valeur lue sur plan annote</t>
        </is>
      </c>
      <c r="J5" s="21" t="n"/>
    </row>
    <row r="6" ht="15" customHeight="1" s="14">
      <c r="A6" s="20" t="inlineStr">
        <is>
          <t>saignée.png</t>
        </is>
      </c>
      <c r="B6" s="21" t="inlineStr">
        <is>
          <t xml:space="preserve">Secteur P </t>
        </is>
      </c>
      <c r="C6" s="20" t="inlineStr">
        <is>
          <t>PUI-001</t>
        </is>
      </c>
      <c r="D6" s="21" t="inlineStr">
        <is>
          <t>Nouveau puisard</t>
        </is>
      </c>
      <c r="E6" s="20" t="inlineStr">
        <is>
          <t>u</t>
        </is>
      </c>
      <c r="F6" s="20" t="n">
        <v>1</v>
      </c>
      <c r="G6" s="20" t="n">
        <v>1</v>
      </c>
      <c r="H6" s="20">
        <f>IF(F6="","",F6*G6)</f>
        <v/>
      </c>
      <c r="I6" s="21" t="inlineStr">
        <is>
          <t>A confirmer diametre et profondeur</t>
        </is>
      </c>
      <c r="J6" s="21" t="n"/>
    </row>
    <row r="7" ht="15" customHeight="1" s="14">
      <c r="A7" s="20" t="inlineStr">
        <is>
          <t>saignée.png</t>
        </is>
      </c>
      <c r="B7" s="21" t="inlineStr">
        <is>
          <t xml:space="preserve">Secteur P </t>
        </is>
      </c>
      <c r="C7" s="20" t="inlineStr">
        <is>
          <t>CAN-375</t>
        </is>
      </c>
      <c r="D7" s="21" t="inlineStr">
        <is>
          <t>Raccord propose Ø375</t>
        </is>
      </c>
      <c r="E7" s="20" t="inlineStr">
        <is>
          <t>m</t>
        </is>
      </c>
      <c r="F7" s="20" t="n">
        <v>0</v>
      </c>
      <c r="G7" s="20" t="n">
        <v>1</v>
      </c>
      <c r="H7" s="20">
        <f>IF(F7="","",F7*G7)</f>
        <v/>
      </c>
      <c r="I7" s="21" t="inlineStr">
        <is>
          <t>Longueur a relever au plan topographique</t>
        </is>
      </c>
      <c r="J7" s="21" t="n"/>
    </row>
    <row r="8" ht="15" customHeight="1" s="14">
      <c r="A8" s="20" t="inlineStr">
        <is>
          <t>saignée.png</t>
        </is>
      </c>
      <c r="B8" s="21" t="inlineStr">
        <is>
          <t xml:space="preserve">Secteur P </t>
        </is>
      </c>
      <c r="C8" s="20" t="inlineStr">
        <is>
          <t>BOR-001</t>
        </is>
      </c>
      <c r="D8" s="21" t="inlineStr">
        <is>
          <t>Saignee dans bordure</t>
        </is>
      </c>
      <c r="E8" s="20" t="inlineStr">
        <is>
          <t>m</t>
        </is>
      </c>
      <c r="F8" s="20" t="n">
        <v>0</v>
      </c>
      <c r="G8" s="20" t="n">
        <v>1</v>
      </c>
      <c r="H8" s="20">
        <f>IF(F8="","",F8*G8)</f>
        <v/>
      </c>
      <c r="I8" s="21" t="inlineStr">
        <is>
          <t>Longueur a mesurer sur DAO/PDF origine</t>
        </is>
      </c>
      <c r="J8" s="21" t="n"/>
    </row>
    <row r="9" ht="15" customHeight="1" s="14">
      <c r="A9" s="20" t="inlineStr">
        <is>
          <t>saignée.png</t>
        </is>
      </c>
      <c r="B9" s="21" t="inlineStr">
        <is>
          <t xml:space="preserve">Secteur P </t>
        </is>
      </c>
      <c r="C9" s="20" t="inlineStr">
        <is>
          <t>DEM-001</t>
        </is>
      </c>
      <c r="D9" s="21" t="inlineStr">
        <is>
          <t>Decoupage/demolition de pavage</t>
        </is>
      </c>
      <c r="E9" s="20" t="inlineStr">
        <is>
          <t>m2</t>
        </is>
      </c>
      <c r="F9" s="20" t="n">
        <v>164</v>
      </c>
      <c r="G9" s="20" t="n">
        <v>1</v>
      </c>
      <c r="H9" s="20">
        <f>IF(F9="","",F9*G9)</f>
        <v/>
      </c>
      <c r="I9" s="21" t="inlineStr">
        <is>
          <t>Hypothese initiale a ajuster selon limites exactes</t>
        </is>
      </c>
      <c r="J9" s="21" t="n"/>
    </row>
    <row r="11" ht="15" customHeight="1" s="14">
      <c r="A11" s="26" t="inlineStr">
        <is>
          <t>Sous-total (controle)</t>
        </is>
      </c>
      <c r="H11" s="26">
        <f>SUM(H4:H9)</f>
        <v/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13" activeCellId="1" sqref="E9:E22 D13"/>
    </sheetView>
  </sheetViews>
  <sheetFormatPr baseColWidth="8" defaultColWidth="8.54296875" defaultRowHeight="15" customHeight="1" zeroHeight="0" outlineLevelRow="0"/>
  <cols>
    <col width="15.18" customWidth="1" style="13" min="1" max="1"/>
    <col width="24" customWidth="1" style="13" min="2" max="2"/>
    <col width="12" customWidth="1" style="13" min="3" max="3"/>
    <col width="48" customWidth="1" style="13" min="4" max="4"/>
    <col width="10" customWidth="1" style="13" min="5" max="5"/>
    <col width="16" customWidth="1" style="13" min="6" max="8"/>
    <col width="40" customWidth="1" style="13" min="9" max="9"/>
    <col width="44" customWidth="1" style="13" min="10" max="10"/>
  </cols>
  <sheetData>
    <row r="1" ht="16.15" customHeight="1" s="14">
      <c r="A1" s="23" t="inlineStr">
        <is>
          <t>Detail quantites - Detail_Image3</t>
        </is>
      </c>
    </row>
    <row r="3" ht="26.5" customHeight="1" s="14">
      <c r="A3" s="17" t="inlineStr">
        <is>
          <t>ID_image</t>
        </is>
      </c>
      <c r="B3" s="17" t="inlineStr">
        <is>
          <t>Secteur</t>
        </is>
      </c>
      <c r="C3" s="17" t="inlineStr">
        <is>
          <t>Item</t>
        </is>
      </c>
      <c r="D3" s="17" t="inlineStr">
        <is>
          <t>Description</t>
        </is>
      </c>
      <c r="E3" s="17" t="inlineStr">
        <is>
          <t>Unite</t>
        </is>
      </c>
      <c r="F3" s="17" t="inlineStr">
        <is>
          <t>Quantite_mesuree</t>
        </is>
      </c>
      <c r="G3" s="17" t="inlineStr">
        <is>
          <t>Coef_ajustement</t>
        </is>
      </c>
      <c r="H3" s="17" t="inlineStr">
        <is>
          <t>Quantite_retenue</t>
        </is>
      </c>
      <c r="I3" s="17" t="inlineStr">
        <is>
          <t>Source / annotation</t>
        </is>
      </c>
      <c r="J3" s="17" t="inlineStr">
        <is>
          <t>Hypothese / commentaire</t>
        </is>
      </c>
    </row>
    <row r="4" ht="24.05" customHeight="1" s="14">
      <c r="A4" s="20" t="inlineStr">
        <is>
          <t>Facade_batim.jpg</t>
        </is>
      </c>
      <c r="B4" s="21" t="inlineStr">
        <is>
          <t>Secteur Façade</t>
        </is>
      </c>
      <c r="C4" s="20" t="inlineStr">
        <is>
          <t>EXC-002</t>
        </is>
      </c>
      <c r="D4" s="21" t="inlineStr">
        <is>
          <t>Hydro-excavation localisation conduites existantes</t>
        </is>
      </c>
      <c r="E4" s="20" t="inlineStr">
        <is>
          <t>h</t>
        </is>
      </c>
      <c r="F4" s="20" t="n">
        <v>8</v>
      </c>
      <c r="G4" s="20" t="n">
        <v>1</v>
      </c>
      <c r="H4" s="20">
        <f>IF(F4="","",F4*G4)</f>
        <v/>
      </c>
      <c r="I4" s="21" t="inlineStr">
        <is>
          <t>Hypothese de demarrage (8 h) a ajuster</t>
        </is>
      </c>
      <c r="J4" s="21" t="n"/>
    </row>
    <row r="5" ht="15" customHeight="1" s="14">
      <c r="A5" s="20" t="inlineStr">
        <is>
          <t>Facade_batim.jpg</t>
        </is>
      </c>
      <c r="B5" s="21" t="inlineStr">
        <is>
          <t>Secteur Façade</t>
        </is>
      </c>
      <c r="C5" s="20" t="inlineStr">
        <is>
          <t>RAC-001</t>
        </is>
      </c>
      <c r="D5" s="21" t="inlineStr">
        <is>
          <t>Raccordement a conduite existante Ø1800</t>
        </is>
      </c>
      <c r="E5" s="20" t="inlineStr">
        <is>
          <t>u</t>
        </is>
      </c>
      <c r="F5" s="20" t="n">
        <v>1</v>
      </c>
      <c r="G5" s="20" t="n">
        <v>1</v>
      </c>
      <c r="H5" s="20">
        <f>IF(F5="","",F5*G5)</f>
        <v/>
      </c>
      <c r="I5" s="21" t="inlineStr">
        <is>
          <t>Interface avec reseau existant</t>
        </is>
      </c>
      <c r="J5" s="21" t="n"/>
    </row>
    <row r="6" ht="15" customHeight="1" s="14">
      <c r="A6" s="20" t="inlineStr">
        <is>
          <t>Facade_batim.jpg</t>
        </is>
      </c>
      <c r="B6" s="21" t="inlineStr">
        <is>
          <t>Secteur Façade</t>
        </is>
      </c>
      <c r="C6" s="20" t="inlineStr">
        <is>
          <t>CAN-300</t>
        </is>
      </c>
      <c r="D6" s="21" t="inlineStr">
        <is>
          <t>Conduite DN300 (troncon repere 30.0)</t>
        </is>
      </c>
      <c r="E6" s="20" t="inlineStr">
        <is>
          <t>m</t>
        </is>
      </c>
      <c r="F6" s="20" t="n">
        <v>30</v>
      </c>
      <c r="G6" s="20" t="n">
        <v>1</v>
      </c>
      <c r="H6" s="20">
        <f>IF(F6="","",F6*G6)</f>
        <v/>
      </c>
      <c r="I6" s="21" t="inlineStr">
        <is>
          <t>A confirmer par mesurage sur plan source</t>
        </is>
      </c>
      <c r="J6" s="21" t="n"/>
    </row>
    <row r="7" ht="15" customHeight="1" s="14">
      <c r="A7" s="20" t="inlineStr">
        <is>
          <t>Facade_batim.jpg</t>
        </is>
      </c>
      <c r="B7" s="21" t="inlineStr">
        <is>
          <t>Secteur Façade</t>
        </is>
      </c>
      <c r="C7" s="20" t="inlineStr">
        <is>
          <t>REG-001</t>
        </is>
      </c>
      <c r="D7" s="21" t="inlineStr">
        <is>
          <t>Regard/interconnexion P-01</t>
        </is>
      </c>
      <c r="E7" s="20" t="inlineStr">
        <is>
          <t>u</t>
        </is>
      </c>
      <c r="F7" s="20" t="n">
        <v>1</v>
      </c>
      <c r="G7" s="20" t="n">
        <v>1</v>
      </c>
      <c r="H7" s="20">
        <f>IF(F7="","",F7*G7)</f>
        <v/>
      </c>
      <c r="I7" s="21" t="inlineStr">
        <is>
          <t>Ajustement ouvrage existant</t>
        </is>
      </c>
      <c r="J7" s="21" t="n"/>
    </row>
    <row r="8" ht="15" customHeight="1" s="14">
      <c r="A8" s="20" t="inlineStr">
        <is>
          <t>Facade_batim.jpg</t>
        </is>
      </c>
      <c r="B8" s="21" t="inlineStr">
        <is>
          <t>Secteur Façade</t>
        </is>
      </c>
      <c r="C8" s="20" t="inlineStr">
        <is>
          <t>REG-002</t>
        </is>
      </c>
      <c r="D8" s="21" t="inlineStr">
        <is>
          <t>Regard/interconnexion P-02</t>
        </is>
      </c>
      <c r="E8" s="20" t="inlineStr">
        <is>
          <t>u</t>
        </is>
      </c>
      <c r="F8" s="20" t="n">
        <v>1</v>
      </c>
      <c r="G8" s="20" t="n">
        <v>1</v>
      </c>
      <c r="H8" s="20">
        <f>IF(F8="","",F8*G8)</f>
        <v/>
      </c>
      <c r="I8" s="21" t="inlineStr">
        <is>
          <t>Ajustement ouvrage existant</t>
        </is>
      </c>
      <c r="J8" s="21" t="n"/>
    </row>
    <row r="9" ht="15" customHeight="1" s="14">
      <c r="A9" s="20" t="inlineStr">
        <is>
          <t>Facade_batim.jpg</t>
        </is>
      </c>
      <c r="B9" s="21" t="inlineStr">
        <is>
          <t>Secteur Façade</t>
        </is>
      </c>
      <c r="C9" s="20" t="inlineStr">
        <is>
          <t>EXC-001</t>
        </is>
      </c>
      <c r="D9" s="21" t="inlineStr">
        <is>
          <t>Excavation tranchee (a preciser)</t>
        </is>
      </c>
      <c r="E9" s="20" t="inlineStr">
        <is>
          <t>m3</t>
        </is>
      </c>
      <c r="F9" s="20" t="n">
        <v>0</v>
      </c>
      <c r="G9" s="20" t="n">
        <v>1</v>
      </c>
      <c r="H9" s="20">
        <f>IF(F9="","",F9*G9)</f>
        <v/>
      </c>
      <c r="I9" s="21" t="inlineStr">
        <is>
          <t>A quantifier apres profils/profondeurs</t>
        </is>
      </c>
      <c r="J9" s="21" t="n"/>
    </row>
    <row r="11" ht="15" customHeight="1" s="14">
      <c r="A11" s="26" t="inlineStr">
        <is>
          <t>Sous-total (controle)</t>
        </is>
      </c>
      <c r="H11" s="26">
        <f>SUM(H4:H9)</f>
        <v/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5" activeCellId="1" sqref="E9:E22 A5"/>
    </sheetView>
  </sheetViews>
  <sheetFormatPr baseColWidth="8" defaultColWidth="8.54296875" defaultRowHeight="15" customHeight="1" zeroHeight="0" outlineLevelRow="0"/>
  <cols>
    <col width="14" customWidth="1" style="13" min="1" max="1"/>
    <col width="24" customWidth="1" style="13" min="2" max="2"/>
    <col width="12" customWidth="1" style="13" min="3" max="3"/>
    <col width="48" customWidth="1" style="13" min="4" max="4"/>
    <col width="10" customWidth="1" style="13" min="5" max="5"/>
    <col width="16" customWidth="1" style="13" min="6" max="8"/>
    <col width="40" customWidth="1" style="13" min="9" max="9"/>
    <col width="44" customWidth="1" style="13" min="10" max="10"/>
  </cols>
  <sheetData>
    <row r="1" ht="16.15" customHeight="1" s="14">
      <c r="A1" s="23" t="inlineStr">
        <is>
          <t>Detail quantites - Detail_facade_batim</t>
        </is>
      </c>
    </row>
    <row r="3" ht="26.5" customHeight="1" s="14">
      <c r="A3" s="17" t="inlineStr">
        <is>
          <t>ID_image</t>
        </is>
      </c>
      <c r="B3" s="17" t="inlineStr">
        <is>
          <t>Secteur</t>
        </is>
      </c>
      <c r="C3" s="17" t="inlineStr">
        <is>
          <t>Item</t>
        </is>
      </c>
      <c r="D3" s="17" t="inlineStr">
        <is>
          <t>Description</t>
        </is>
      </c>
      <c r="E3" s="17" t="inlineStr">
        <is>
          <t>Unite</t>
        </is>
      </c>
      <c r="F3" s="17" t="inlineStr">
        <is>
          <t>Quantite_mesuree</t>
        </is>
      </c>
      <c r="G3" s="17" t="inlineStr">
        <is>
          <t>Coef_ajustement</t>
        </is>
      </c>
      <c r="H3" s="17" t="inlineStr">
        <is>
          <t>Quantite_retenue</t>
        </is>
      </c>
      <c r="I3" s="17" t="inlineStr">
        <is>
          <t>Source / annotation</t>
        </is>
      </c>
      <c r="J3" s="17" t="inlineStr">
        <is>
          <t>Hypothese / commentaire</t>
        </is>
      </c>
    </row>
    <row r="4" ht="24.05" customHeight="1" s="14">
      <c r="A4" s="20" t="inlineStr">
        <is>
          <t>facade_batim.jpg</t>
        </is>
      </c>
      <c r="B4" s="21" t="inlineStr">
        <is>
          <t>Facade batiment</t>
        </is>
      </c>
      <c r="C4" s="20" t="inlineStr">
        <is>
          <t>SURV-001</t>
        </is>
      </c>
      <c r="D4" s="21" t="inlineStr">
        <is>
          <t>Leve topographique detaille pour estimation</t>
        </is>
      </c>
      <c r="E4" s="20" t="inlineStr">
        <is>
          <t>lot</t>
        </is>
      </c>
      <c r="F4" s="20" t="n">
        <v>1</v>
      </c>
      <c r="G4" s="20" t="n">
        <v>1</v>
      </c>
      <c r="H4" s="20">
        <f>IF(F4="","",F4*G4)</f>
        <v/>
      </c>
      <c r="I4" s="21" t="inlineStr">
        <is>
          <t>Activite principale pour ce secteur</t>
        </is>
      </c>
      <c r="J4" s="21" t="n"/>
    </row>
    <row r="5" ht="24.05" customHeight="1" s="14">
      <c r="A5" s="20" t="inlineStr">
        <is>
          <t>facade_batim.jpg</t>
        </is>
      </c>
      <c r="B5" s="21" t="inlineStr">
        <is>
          <t>Facade batiment</t>
        </is>
      </c>
      <c r="C5" s="20" t="inlineStr">
        <is>
          <t>DOC-001</t>
        </is>
      </c>
      <c r="D5" s="21" t="inlineStr">
        <is>
          <t>Plan de releve et rapport de points</t>
        </is>
      </c>
      <c r="E5" s="20" t="inlineStr">
        <is>
          <t>lot</t>
        </is>
      </c>
      <c r="F5" s="20" t="n">
        <v>1</v>
      </c>
      <c r="G5" s="20" t="n">
        <v>1</v>
      </c>
      <c r="H5" s="20">
        <f>IF(F5="","",F5*G5)</f>
        <v/>
      </c>
      <c r="I5" s="21" t="inlineStr">
        <is>
          <t>Peut etre inclus dans SURV-001 selon contrat</t>
        </is>
      </c>
      <c r="J5" s="21" t="n"/>
    </row>
    <row r="7" ht="15" customHeight="1" s="14">
      <c r="A7" s="26" t="inlineStr">
        <is>
          <t>Sous-total (controle)</t>
        </is>
      </c>
      <c r="H7" s="26">
        <f>SUM(H4:H5)</f>
        <v/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E9:E22 A1"/>
    </sheetView>
  </sheetViews>
  <sheetFormatPr baseColWidth="8" defaultColWidth="8.54296875" defaultRowHeight="15" customHeight="1" zeroHeight="0" outlineLevelRow="0"/>
  <cols>
    <col width="140" customWidth="1" style="13" min="1" max="1"/>
  </cols>
  <sheetData>
    <row r="1" ht="16.15" customHeight="1" s="14">
      <c r="A1" s="23" t="inlineStr">
        <is>
          <t>Traceabilite des quantites et hypotheses</t>
        </is>
      </c>
    </row>
    <row r="3" ht="15" customHeight="1" s="14">
      <c r="A3" s="26" t="inlineStr">
        <is>
          <t>Principe</t>
        </is>
      </c>
    </row>
    <row r="4" ht="15" customHeight="1" s="14">
      <c r="A4" s="13" t="inlineStr">
        <is>
          <t xml:space="preserve">1) Les quantites sont saisies par image/secteur dans les onglets Detail_*. </t>
        </is>
      </c>
    </row>
    <row r="5" ht="15" customHeight="1" s="14">
      <c r="A5" s="13" t="inlineStr">
        <is>
          <t>2) Quantite_retenue = Quantite_mesuree x Coef_ajustement.</t>
        </is>
      </c>
    </row>
    <row r="6" ht="15" customHeight="1" s="14">
      <c r="A6" s="13" t="inlineStr">
        <is>
          <t>3) Bordereau_prix consolide automatiquement les quantites par code Item.</t>
        </is>
      </c>
    </row>
    <row r="7" ht="15" customHeight="1" s="14">
      <c r="A7" s="13" t="inlineStr">
        <is>
          <t>4) Renseigner PU dans Bordereau_prix pour obtenir les montants.</t>
        </is>
      </c>
    </row>
    <row r="8" ht="15" customHeight="1" s="14">
      <c r="A8" s="13" t="inlineStr">
        <is>
          <t>5) Ajouter des lignes dans les onglets de detail pour de nouveaux travaux.</t>
        </is>
      </c>
    </row>
    <row r="10" ht="15" customHeight="1" s="14">
      <c r="A10" s="26" t="inlineStr">
        <is>
          <t>Notes</t>
        </is>
      </c>
    </row>
    <row r="11" ht="15" customHeight="1" s="14">
      <c r="A11" s="13" t="inlineStr">
        <is>
          <t>- Les valeurs a 0 indiquent un poste identifie mais non mesure a ce stade.</t>
        </is>
      </c>
    </row>
    <row r="12" ht="15" customHeight="1" s="14">
      <c r="A12" s="13" t="inlineStr">
        <is>
          <t>- facade_batim.jpg: activite cle = leve topographique pour definir quantites/couts.</t>
        </is>
      </c>
    </row>
    <row r="13" ht="15" customHeight="1" s="14">
      <c r="A13" s="13" t="inlineStr">
        <is>
          <t>- Remplacer les hypotheses par metrage DAO/terrain des que disponible.</t>
        </is>
      </c>
    </row>
    <row r="14" ht="15" customHeight="1" s="14">
      <c r="A14" s="13" t="inlineStr">
        <is>
          <t>- Detail_Image1 a ete remplace par la zone de reprofilage (items de preparation/refection) selon la nouvelle image.</t>
        </is>
      </c>
    </row>
    <row r="15">
      <c r="A15" s="13" t="inlineStr">
        <is>
          <t>- Toutes les references a l'equipement de traitement hors-perimetre ont ete retirees de ce classeur BOQ.</t>
        </is>
      </c>
    </row>
    <row r="16">
      <c r="A16" s="13" t="inlineStr">
        <is>
          <t>- La colonne PU contient des prix indicatifs Quebec (2025-2026) a valider par soumissions.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7" activeCellId="1" sqref="E9:E22 D17"/>
    </sheetView>
  </sheetViews>
  <sheetFormatPr baseColWidth="8" defaultColWidth="8.54296875" defaultRowHeight="15" customHeight="1" zeroHeight="0" outlineLevelRow="0"/>
  <cols>
    <col width="12" customWidth="1" style="13" min="1" max="1"/>
    <col width="60" customWidth="1" style="13" min="2" max="2"/>
    <col width="12" customWidth="1" style="13" min="3" max="3"/>
    <col width="38" customWidth="1" style="13" min="4" max="4"/>
  </cols>
  <sheetData>
    <row r="1" ht="15" customHeight="1" s="14">
      <c r="A1" s="17" t="inlineStr">
        <is>
          <t>Item</t>
        </is>
      </c>
      <c r="B1" s="17" t="inlineStr">
        <is>
          <t>Description</t>
        </is>
      </c>
      <c r="C1" s="17" t="inlineStr">
        <is>
          <t>Unite</t>
        </is>
      </c>
      <c r="D1" s="17" t="inlineStr">
        <is>
          <t>Perimetre/type</t>
        </is>
      </c>
    </row>
    <row r="2" ht="15" customHeight="1" s="14">
      <c r="A2" s="20" t="inlineStr">
        <is>
          <t>SURV-001</t>
        </is>
      </c>
      <c r="B2" s="21" t="inlineStr">
        <is>
          <t>Leve topographique detaille (altimetrie + planimetrie)</t>
        </is>
      </c>
      <c r="C2" s="20" t="inlineStr">
        <is>
          <t>lot</t>
        </is>
      </c>
      <c r="D2" s="21" t="inlineStr">
        <is>
          <t>Facade batiment / zones drainage</t>
        </is>
      </c>
    </row>
    <row r="3" ht="15" customHeight="1" s="14">
      <c r="A3" s="20" t="inlineStr">
        <is>
          <t>PREP-001</t>
        </is>
      </c>
      <c r="B3" s="21" t="inlineStr">
        <is>
          <t>Mobilisation / installation de chantier</t>
        </is>
      </c>
      <c r="C3" s="20" t="inlineStr">
        <is>
          <t>lot</t>
        </is>
      </c>
      <c r="D3" s="21" t="inlineStr">
        <is>
          <t>Tous secteurs</t>
        </is>
      </c>
    </row>
    <row r="4" ht="15" customHeight="1" s="14">
      <c r="A4" s="20" t="inlineStr">
        <is>
          <t>PREP-002</t>
        </is>
      </c>
      <c r="B4" s="21" t="inlineStr">
        <is>
          <t>Signalisation et maintien de la circulation</t>
        </is>
      </c>
      <c r="C4" s="20" t="inlineStr">
        <is>
          <t>lot</t>
        </is>
      </c>
      <c r="D4" s="21" t="inlineStr">
        <is>
          <t>Tous secteurs</t>
        </is>
      </c>
    </row>
    <row r="5" ht="15" customHeight="1" s="14">
      <c r="A5" s="20" t="inlineStr">
        <is>
          <t>SCI-001</t>
        </is>
      </c>
      <c r="B5" s="21" t="inlineStr">
        <is>
          <t>Sciage de pavage</t>
        </is>
      </c>
      <c r="C5" s="20" t="inlineStr">
        <is>
          <t>m</t>
        </is>
      </c>
      <c r="D5" s="21" t="inlineStr">
        <is>
          <t>Zone de reprofilage</t>
        </is>
      </c>
    </row>
    <row r="6" ht="15" customHeight="1" s="14">
      <c r="A6" s="20" t="inlineStr">
        <is>
          <t>DEM-001</t>
        </is>
      </c>
      <c r="B6" s="21" t="inlineStr">
        <is>
          <t>Enlevement de pavage</t>
        </is>
      </c>
      <c r="C6" s="20" t="inlineStr">
        <is>
          <t>m2</t>
        </is>
      </c>
      <c r="D6" s="21" t="inlineStr">
        <is>
          <t>Zone de reprofilage / secteurs A</t>
        </is>
      </c>
    </row>
    <row r="7" ht="15" customHeight="1" s="14">
      <c r="A7" s="20" t="inlineStr">
        <is>
          <t>EXC-001</t>
        </is>
      </c>
      <c r="B7" s="21" t="inlineStr">
        <is>
          <t>Excavation de tranchee pour reseau pluvial</t>
        </is>
      </c>
      <c r="C7" s="20" t="inlineStr">
        <is>
          <t>m3</t>
        </is>
      </c>
      <c r="D7" s="21" t="inlineStr">
        <is>
          <t>Tous secteurs</t>
        </is>
      </c>
    </row>
    <row r="8" ht="15" customHeight="1" s="14">
      <c r="A8" s="20" t="inlineStr">
        <is>
          <t>EXC-002</t>
        </is>
      </c>
      <c r="B8" s="21" t="inlineStr">
        <is>
          <t>Hydro-excavation pour localisation de conduites existantes</t>
        </is>
      </c>
      <c r="C8" s="20" t="inlineStr">
        <is>
          <t>h</t>
        </is>
      </c>
      <c r="D8" s="21" t="inlineStr">
        <is>
          <t>Secteur Façade / raccord Ø1800</t>
        </is>
      </c>
    </row>
    <row r="9" ht="15" customHeight="1" s="14">
      <c r="A9" s="20" t="inlineStr">
        <is>
          <t>CAN-300</t>
        </is>
      </c>
      <c r="B9" s="21" t="inlineStr">
        <is>
          <t>Fourniture et pose conduite pluviale DN300</t>
        </is>
      </c>
      <c r="C9" s="20" t="inlineStr">
        <is>
          <t>m</t>
        </is>
      </c>
      <c r="D9" s="21" t="inlineStr">
        <is>
          <t>Secteurs avec conduites nouvelles</t>
        </is>
      </c>
    </row>
    <row r="10" ht="15" customHeight="1" s="14">
      <c r="A10" s="20" t="inlineStr">
        <is>
          <t>CAN-375</t>
        </is>
      </c>
      <c r="B10" s="21" t="inlineStr">
        <is>
          <t>Fourniture et pose raccord / conduite DN375</t>
        </is>
      </c>
      <c r="C10" s="20" t="inlineStr">
        <is>
          <t>m</t>
        </is>
      </c>
      <c r="D10" s="21" t="inlineStr">
        <is>
          <t>Raccord propose</t>
        </is>
      </c>
    </row>
    <row r="11" ht="15" customHeight="1" s="14">
      <c r="A11" s="20" t="inlineStr">
        <is>
          <t>REG-001</t>
        </is>
      </c>
      <c r="B11" s="21" t="inlineStr">
        <is>
          <t>Regard RP-01 (ajustement / reconstruction locale)</t>
        </is>
      </c>
      <c r="C11" s="20" t="inlineStr">
        <is>
          <t>u</t>
        </is>
      </c>
      <c r="D11" s="21" t="inlineStr">
        <is>
          <t>Noeud de repartition</t>
        </is>
      </c>
    </row>
    <row r="12" ht="15" customHeight="1" s="14">
      <c r="A12" s="20" t="inlineStr">
        <is>
          <t>REG-002</t>
        </is>
      </c>
      <c r="B12" s="21" t="inlineStr">
        <is>
          <t>Regard RP-02 avec clapet anti-retour</t>
        </is>
      </c>
      <c r="C12" s="20" t="inlineStr">
        <is>
          <t>u</t>
        </is>
      </c>
      <c r="D12" s="21" t="inlineStr">
        <is>
          <t>Aval poste / reseau existant</t>
        </is>
      </c>
    </row>
    <row r="13" ht="15" customHeight="1" s="14">
      <c r="A13" s="20" t="inlineStr">
        <is>
          <t>PUI-001</t>
        </is>
      </c>
      <c r="B13" s="21" t="inlineStr">
        <is>
          <t>Nouveau puisard</t>
        </is>
      </c>
      <c r="C13" s="20" t="inlineStr">
        <is>
          <t>u</t>
        </is>
      </c>
      <c r="D13" s="21" t="inlineStr">
        <is>
          <t>Secteur P</t>
        </is>
      </c>
    </row>
    <row r="14" ht="15" customHeight="1" s="14">
      <c r="A14" s="20" t="inlineStr">
        <is>
          <t>BOR-001</t>
        </is>
      </c>
      <c r="B14" s="21" t="inlineStr">
        <is>
          <t>Saignee dans bordure / raccord de bordure</t>
        </is>
      </c>
      <c r="C14" s="20" t="inlineStr">
        <is>
          <t>m</t>
        </is>
      </c>
      <c r="D14" s="21" t="inlineStr">
        <is>
          <t>Secteur P</t>
        </is>
      </c>
    </row>
    <row r="15" ht="15" customHeight="1" s="14">
      <c r="A15" s="20" t="inlineStr">
        <is>
          <t>BORD-001</t>
        </is>
      </c>
      <c r="B15" s="21" t="inlineStr">
        <is>
          <t>Reconstruction de bordure (si requise)</t>
        </is>
      </c>
      <c r="C15" s="20" t="inlineStr">
        <is>
          <t>m</t>
        </is>
      </c>
      <c r="D15" s="21" t="inlineStr">
        <is>
          <t>Zone de reprofilage</t>
        </is>
      </c>
    </row>
    <row r="16" ht="15" customHeight="1" s="14">
      <c r="A16" s="20" t="inlineStr">
        <is>
          <t>RAC-001</t>
        </is>
      </c>
      <c r="B16" s="21" t="inlineStr">
        <is>
          <t>Raccordement a la conduite existante Ø1800</t>
        </is>
      </c>
      <c r="C16" s="20" t="inlineStr">
        <is>
          <t>u</t>
        </is>
      </c>
      <c r="D16" s="21" t="inlineStr">
        <is>
          <t>Secteur Façade</t>
        </is>
      </c>
    </row>
    <row r="17" ht="15" customHeight="1" s="14">
      <c r="A17" s="20" t="inlineStr">
        <is>
          <t>REM-001</t>
        </is>
      </c>
      <c r="B17" s="21" t="inlineStr">
        <is>
          <t>Remblai et materiaux granulaires</t>
        </is>
      </c>
      <c r="C17" s="20" t="inlineStr">
        <is>
          <t>m3</t>
        </is>
      </c>
      <c r="D17" s="21" t="inlineStr">
        <is>
          <t>Tous secteurs</t>
        </is>
      </c>
    </row>
    <row r="18" ht="15" customHeight="1" s="14">
      <c r="A18" s="20" t="inlineStr">
        <is>
          <t>PAV-001</t>
        </is>
      </c>
      <c r="B18" s="21" t="inlineStr">
        <is>
          <t>Reprofilage / reprise de pavage</t>
        </is>
      </c>
      <c r="C18" s="20" t="inlineStr">
        <is>
          <t>m2</t>
        </is>
      </c>
      <c r="D18" s="21" t="inlineStr">
        <is>
          <t>Secteurs a risque drainage</t>
        </is>
      </c>
    </row>
    <row r="19" ht="15" customHeight="1" s="14">
      <c r="A19" s="20" t="inlineStr">
        <is>
          <t>REF-001</t>
        </is>
      </c>
      <c r="B19" s="21" t="inlineStr">
        <is>
          <t>Refection des surfaces (gazon, etc.)</t>
        </is>
      </c>
      <c r="C19" s="20" t="inlineStr">
        <is>
          <t>m2</t>
        </is>
      </c>
      <c r="D19" s="21" t="inlineStr">
        <is>
          <t>Zone de reprofilage / finitions</t>
        </is>
      </c>
    </row>
    <row r="20" ht="15" customHeight="1" s="14">
      <c r="A20" s="20" t="inlineStr">
        <is>
          <t>AJU-001</t>
        </is>
      </c>
      <c r="B20" s="21" t="inlineStr">
        <is>
          <t>Ajustement d'ouvrages existants</t>
        </is>
      </c>
      <c r="C20" s="20" t="inlineStr">
        <is>
          <t>u</t>
        </is>
      </c>
      <c r="D20" s="21" t="inlineStr">
        <is>
          <t>Zone de reprofilage / reseau existant</t>
        </is>
      </c>
    </row>
    <row r="21" ht="15" customHeight="1" s="14">
      <c r="A21" s="20" t="inlineStr">
        <is>
          <t>ESS-001</t>
        </is>
      </c>
      <c r="B21" s="21" t="inlineStr">
        <is>
          <t>Essais / verification hydraulique et mise en service</t>
        </is>
      </c>
      <c r="C21" s="20" t="inlineStr">
        <is>
          <t>lot</t>
        </is>
      </c>
      <c r="D21" s="21" t="inlineStr">
        <is>
          <t>Reseau pluvial</t>
        </is>
      </c>
    </row>
    <row r="22" ht="15" customHeight="1" s="14">
      <c r="A22" s="20" t="inlineStr">
        <is>
          <t>DOC-001</t>
        </is>
      </c>
      <c r="B22" s="21" t="inlineStr">
        <is>
          <t>Plans finaux / dossier de recollement</t>
        </is>
      </c>
      <c r="C22" s="20" t="inlineStr">
        <is>
          <t>lot</t>
        </is>
      </c>
      <c r="D22" s="21" t="inlineStr">
        <is>
          <t>Tous secteurs</t>
        </is>
      </c>
    </row>
    <row r="23" ht="15" customHeight="1" s="14">
      <c r="A23" s="20" t="n"/>
      <c r="B23" s="21" t="n"/>
      <c r="C23" s="20" t="n"/>
      <c r="D23" s="2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style="14" min="1" max="1"/>
    <col width="48" customWidth="1" style="14" min="2" max="2"/>
    <col width="10" customWidth="1" style="14" min="3" max="3"/>
    <col width="12" customWidth="1" style="14" min="4" max="4"/>
    <col width="12" customWidth="1" style="14" min="5" max="5"/>
    <col width="12" customWidth="1" style="14" min="6" max="6"/>
    <col width="12" customWidth="1" style="14" min="7" max="7"/>
    <col width="12" customWidth="1" style="14" min="8" max="8"/>
    <col width="14" customWidth="1" style="14" min="9" max="9"/>
    <col width="14" customWidth="1" style="14" min="10" max="10"/>
    <col width="18" customWidth="1" style="14" min="11" max="11"/>
    <col width="18" customWidth="1" style="14" min="12" max="12"/>
    <col width="14" customWidth="1" style="14" min="13" max="13"/>
  </cols>
  <sheetData>
    <row r="1">
      <c r="A1" s="27" t="inlineStr">
        <is>
          <t>ESTIMATION DES COUTS PAR SECTEUR</t>
        </is>
      </c>
    </row>
    <row r="3">
      <c r="A3" s="28" t="inlineStr">
        <is>
          <t>Synthese des couts par secteur (CAD)</t>
        </is>
      </c>
    </row>
    <row r="4">
      <c r="A4" s="29" t="inlineStr">
        <is>
          <t>Secteur A</t>
        </is>
      </c>
      <c r="B4" s="30">
        <f>SUM(F13:F33)</f>
        <v/>
      </c>
    </row>
    <row r="5">
      <c r="A5" s="29" t="inlineStr">
        <is>
          <t>Secteur P</t>
        </is>
      </c>
      <c r="B5" s="30">
        <f>SUM(H13:H33)</f>
        <v/>
      </c>
    </row>
    <row r="6">
      <c r="A6" s="29" t="inlineStr">
        <is>
          <t>Façade (reseau)</t>
        </is>
      </c>
      <c r="B6" s="30">
        <f>SUM(J13:J33)</f>
        <v/>
      </c>
    </row>
    <row r="7">
      <c r="A7" s="29" t="inlineStr">
        <is>
          <t>Façade (topo/doc)</t>
        </is>
      </c>
      <c r="B7" s="30">
        <f>SUM(L13:L33)</f>
        <v/>
      </c>
    </row>
    <row r="8">
      <c r="A8" s="31" t="inlineStr">
        <is>
          <t>TOTAL GENERAL</t>
        </is>
      </c>
      <c r="B8" s="32">
        <f>SUM(B4:B7)</f>
        <v/>
      </c>
    </row>
    <row r="9">
      <c r="A9" s="33" t="inlineStr">
        <is>
          <t>Controle vs Bordereau_prix</t>
        </is>
      </c>
      <c r="B9" s="34">
        <f>B8-Bordereau_prix!F27</f>
        <v/>
      </c>
    </row>
    <row r="12">
      <c r="A12" s="35" t="inlineStr">
        <is>
          <t>Item</t>
        </is>
      </c>
      <c r="B12" s="35" t="inlineStr">
        <is>
          <t>Description</t>
        </is>
      </c>
      <c r="C12" s="35" t="inlineStr">
        <is>
          <t>Unite</t>
        </is>
      </c>
      <c r="D12" s="35" t="inlineStr">
        <is>
          <t>PU</t>
        </is>
      </c>
      <c r="E12" s="35" t="inlineStr">
        <is>
          <t>Qte_A</t>
        </is>
      </c>
      <c r="F12" s="35" t="inlineStr">
        <is>
          <t>Cout_A</t>
        </is>
      </c>
      <c r="G12" s="35" t="inlineStr">
        <is>
          <t>Qte_P</t>
        </is>
      </c>
      <c r="H12" s="35" t="inlineStr">
        <is>
          <t>Cout_P</t>
        </is>
      </c>
      <c r="I12" s="35" t="inlineStr">
        <is>
          <t>Qte_Facade</t>
        </is>
      </c>
      <c r="J12" s="35" t="inlineStr">
        <is>
          <t>Cout_Facade</t>
        </is>
      </c>
      <c r="K12" s="35" t="inlineStr">
        <is>
          <t>Qte_Facade_detail</t>
        </is>
      </c>
      <c r="L12" s="35" t="inlineStr">
        <is>
          <t>Cout_Facade_detail</t>
        </is>
      </c>
      <c r="M12" s="35" t="inlineStr">
        <is>
          <t>Cout_total_item</t>
        </is>
      </c>
    </row>
    <row r="13">
      <c r="A13" s="36">
        <f>Bordereau_prix!A5</f>
        <v/>
      </c>
      <c r="B13" s="37">
        <f>Bordereau_prix!B5</f>
        <v/>
      </c>
      <c r="C13" s="36">
        <f>Bordereau_prix!C5</f>
        <v/>
      </c>
      <c r="D13" s="36">
        <f>Bordereau_prix!E5</f>
        <v/>
      </c>
      <c r="E13" s="36">
        <f>SUMIFS('Secteur A'!$H:$H,'Secteur A'!$C:$C,$A13)</f>
        <v/>
      </c>
      <c r="F13" s="36">
        <f>E13*D13</f>
        <v/>
      </c>
      <c r="G13" s="36">
        <f>SUMIFS('Secteur P'!$H:$H,'Secteur P'!$C:$C,$A13)</f>
        <v/>
      </c>
      <c r="H13" s="36">
        <f>G13*D13</f>
        <v/>
      </c>
      <c r="I13" s="36">
        <f>SUMIFS(Façade!$H:$H,Façade!$C:$C,$A13)</f>
        <v/>
      </c>
      <c r="J13" s="36">
        <f>I13*D13</f>
        <v/>
      </c>
      <c r="K13" s="36">
        <f>SUMIFS(Detail_facade_batim!$H:$H,Detail_facade_batim!$C:$C,$A13)</f>
        <v/>
      </c>
      <c r="L13" s="36">
        <f>K13*D13</f>
        <v/>
      </c>
      <c r="M13" s="36">
        <f>SUM(F13,H13,J13,L13)</f>
        <v/>
      </c>
    </row>
    <row r="14">
      <c r="A14" s="36">
        <f>Bordereau_prix!A6</f>
        <v/>
      </c>
      <c r="B14" s="37">
        <f>Bordereau_prix!B6</f>
        <v/>
      </c>
      <c r="C14" s="36">
        <f>Bordereau_prix!C6</f>
        <v/>
      </c>
      <c r="D14" s="36">
        <f>Bordereau_prix!E6</f>
        <v/>
      </c>
      <c r="E14" s="36">
        <f>SUMIFS('Secteur A'!$H:$H,'Secteur A'!$C:$C,$A14)</f>
        <v/>
      </c>
      <c r="F14" s="36">
        <f>E14*D14</f>
        <v/>
      </c>
      <c r="G14" s="36">
        <f>SUMIFS('Secteur P'!$H:$H,'Secteur P'!$C:$C,$A14)</f>
        <v/>
      </c>
      <c r="H14" s="36">
        <f>G14*D14</f>
        <v/>
      </c>
      <c r="I14" s="36">
        <f>SUMIFS(Façade!$H:$H,Façade!$C:$C,$A14)</f>
        <v/>
      </c>
      <c r="J14" s="36">
        <f>I14*D14</f>
        <v/>
      </c>
      <c r="K14" s="36">
        <f>SUMIFS(Detail_facade_batim!$H:$H,Detail_facade_batim!$C:$C,$A14)</f>
        <v/>
      </c>
      <c r="L14" s="36">
        <f>K14*D14</f>
        <v/>
      </c>
      <c r="M14" s="36">
        <f>SUM(F14,H14,J14,L14)</f>
        <v/>
      </c>
    </row>
    <row r="15">
      <c r="A15" s="36">
        <f>Bordereau_prix!A7</f>
        <v/>
      </c>
      <c r="B15" s="37">
        <f>Bordereau_prix!B7</f>
        <v/>
      </c>
      <c r="C15" s="36">
        <f>Bordereau_prix!C7</f>
        <v/>
      </c>
      <c r="D15" s="36">
        <f>Bordereau_prix!E7</f>
        <v/>
      </c>
      <c r="E15" s="36">
        <f>SUMIFS('Secteur A'!$H:$H,'Secteur A'!$C:$C,$A15)</f>
        <v/>
      </c>
      <c r="F15" s="36">
        <f>E15*D15</f>
        <v/>
      </c>
      <c r="G15" s="36">
        <f>SUMIFS('Secteur P'!$H:$H,'Secteur P'!$C:$C,$A15)</f>
        <v/>
      </c>
      <c r="H15" s="36">
        <f>G15*D15</f>
        <v/>
      </c>
      <c r="I15" s="36">
        <f>SUMIFS(Façade!$H:$H,Façade!$C:$C,$A15)</f>
        <v/>
      </c>
      <c r="J15" s="36">
        <f>I15*D15</f>
        <v/>
      </c>
      <c r="K15" s="36">
        <f>SUMIFS(Detail_facade_batim!$H:$H,Detail_facade_batim!$C:$C,$A15)</f>
        <v/>
      </c>
      <c r="L15" s="36">
        <f>K15*D15</f>
        <v/>
      </c>
      <c r="M15" s="36">
        <f>SUM(F15,H15,J15,L15)</f>
        <v/>
      </c>
    </row>
    <row r="16">
      <c r="A16" s="36">
        <f>Bordereau_prix!A8</f>
        <v/>
      </c>
      <c r="B16" s="37">
        <f>Bordereau_prix!B8</f>
        <v/>
      </c>
      <c r="C16" s="36">
        <f>Bordereau_prix!C8</f>
        <v/>
      </c>
      <c r="D16" s="36">
        <f>Bordereau_prix!E8</f>
        <v/>
      </c>
      <c r="E16" s="36">
        <f>SUMIFS('Secteur A'!$H:$H,'Secteur A'!$C:$C,$A16)</f>
        <v/>
      </c>
      <c r="F16" s="36">
        <f>E16*D16</f>
        <v/>
      </c>
      <c r="G16" s="36">
        <f>SUMIFS('Secteur P'!$H:$H,'Secteur P'!$C:$C,$A16)</f>
        <v/>
      </c>
      <c r="H16" s="36">
        <f>G16*D16</f>
        <v/>
      </c>
      <c r="I16" s="36">
        <f>SUMIFS(Façade!$H:$H,Façade!$C:$C,$A16)</f>
        <v/>
      </c>
      <c r="J16" s="36">
        <f>I16*D16</f>
        <v/>
      </c>
      <c r="K16" s="36">
        <f>SUMIFS(Detail_facade_batim!$H:$H,Detail_facade_batim!$C:$C,$A16)</f>
        <v/>
      </c>
      <c r="L16" s="36">
        <f>K16*D16</f>
        <v/>
      </c>
      <c r="M16" s="36">
        <f>SUM(F16,H16,J16,L16)</f>
        <v/>
      </c>
    </row>
    <row r="17">
      <c r="A17" s="36">
        <f>Bordereau_prix!A9</f>
        <v/>
      </c>
      <c r="B17" s="37">
        <f>Bordereau_prix!B9</f>
        <v/>
      </c>
      <c r="C17" s="36">
        <f>Bordereau_prix!C9</f>
        <v/>
      </c>
      <c r="D17" s="36">
        <f>Bordereau_prix!E9</f>
        <v/>
      </c>
      <c r="E17" s="36">
        <f>SUMIFS('Secteur A'!$H:$H,'Secteur A'!$C:$C,$A17)</f>
        <v/>
      </c>
      <c r="F17" s="36">
        <f>E17*D17</f>
        <v/>
      </c>
      <c r="G17" s="36">
        <f>SUMIFS('Secteur P'!$H:$H,'Secteur P'!$C:$C,$A17)</f>
        <v/>
      </c>
      <c r="H17" s="36">
        <f>G17*D17</f>
        <v/>
      </c>
      <c r="I17" s="36">
        <f>SUMIFS(Façade!$H:$H,Façade!$C:$C,$A17)</f>
        <v/>
      </c>
      <c r="J17" s="36">
        <f>I17*D17</f>
        <v/>
      </c>
      <c r="K17" s="36">
        <f>SUMIFS(Detail_facade_batim!$H:$H,Detail_facade_batim!$C:$C,$A17)</f>
        <v/>
      </c>
      <c r="L17" s="36">
        <f>K17*D17</f>
        <v/>
      </c>
      <c r="M17" s="36">
        <f>SUM(F17,H17,J17,L17)</f>
        <v/>
      </c>
    </row>
    <row r="18">
      <c r="A18" s="36">
        <f>Bordereau_prix!A10</f>
        <v/>
      </c>
      <c r="B18" s="37">
        <f>Bordereau_prix!B10</f>
        <v/>
      </c>
      <c r="C18" s="36">
        <f>Bordereau_prix!C10</f>
        <v/>
      </c>
      <c r="D18" s="36">
        <f>Bordereau_prix!E10</f>
        <v/>
      </c>
      <c r="E18" s="36">
        <f>SUMIFS('Secteur A'!$H:$H,'Secteur A'!$C:$C,$A18)</f>
        <v/>
      </c>
      <c r="F18" s="36">
        <f>E18*D18</f>
        <v/>
      </c>
      <c r="G18" s="36">
        <f>SUMIFS('Secteur P'!$H:$H,'Secteur P'!$C:$C,$A18)</f>
        <v/>
      </c>
      <c r="H18" s="36">
        <f>G18*D18</f>
        <v/>
      </c>
      <c r="I18" s="36">
        <f>SUMIFS(Façade!$H:$H,Façade!$C:$C,$A18)</f>
        <v/>
      </c>
      <c r="J18" s="36">
        <f>I18*D18</f>
        <v/>
      </c>
      <c r="K18" s="36">
        <f>SUMIFS(Detail_facade_batim!$H:$H,Detail_facade_batim!$C:$C,$A18)</f>
        <v/>
      </c>
      <c r="L18" s="36">
        <f>K18*D18</f>
        <v/>
      </c>
      <c r="M18" s="36">
        <f>SUM(F18,H18,J18,L18)</f>
        <v/>
      </c>
    </row>
    <row r="19">
      <c r="A19" s="36">
        <f>Bordereau_prix!A11</f>
        <v/>
      </c>
      <c r="B19" s="37">
        <f>Bordereau_prix!B11</f>
        <v/>
      </c>
      <c r="C19" s="36">
        <f>Bordereau_prix!C11</f>
        <v/>
      </c>
      <c r="D19" s="36">
        <f>Bordereau_prix!E11</f>
        <v/>
      </c>
      <c r="E19" s="36">
        <f>SUMIFS('Secteur A'!$H:$H,'Secteur A'!$C:$C,$A19)</f>
        <v/>
      </c>
      <c r="F19" s="36">
        <f>E19*D19</f>
        <v/>
      </c>
      <c r="G19" s="36">
        <f>SUMIFS('Secteur P'!$H:$H,'Secteur P'!$C:$C,$A19)</f>
        <v/>
      </c>
      <c r="H19" s="36">
        <f>G19*D19</f>
        <v/>
      </c>
      <c r="I19" s="36">
        <f>SUMIFS(Façade!$H:$H,Façade!$C:$C,$A19)</f>
        <v/>
      </c>
      <c r="J19" s="36">
        <f>I19*D19</f>
        <v/>
      </c>
      <c r="K19" s="36">
        <f>SUMIFS(Detail_facade_batim!$H:$H,Detail_facade_batim!$C:$C,$A19)</f>
        <v/>
      </c>
      <c r="L19" s="36">
        <f>K19*D19</f>
        <v/>
      </c>
      <c r="M19" s="36">
        <f>SUM(F19,H19,J19,L19)</f>
        <v/>
      </c>
    </row>
    <row r="20">
      <c r="A20" s="36">
        <f>Bordereau_prix!A12</f>
        <v/>
      </c>
      <c r="B20" s="37">
        <f>Bordereau_prix!B12</f>
        <v/>
      </c>
      <c r="C20" s="36">
        <f>Bordereau_prix!C12</f>
        <v/>
      </c>
      <c r="D20" s="36">
        <f>Bordereau_prix!E12</f>
        <v/>
      </c>
      <c r="E20" s="36">
        <f>SUMIFS('Secteur A'!$H:$H,'Secteur A'!$C:$C,$A20)</f>
        <v/>
      </c>
      <c r="F20" s="36">
        <f>E20*D20</f>
        <v/>
      </c>
      <c r="G20" s="36">
        <f>SUMIFS('Secteur P'!$H:$H,'Secteur P'!$C:$C,$A20)</f>
        <v/>
      </c>
      <c r="H20" s="36">
        <f>G20*D20</f>
        <v/>
      </c>
      <c r="I20" s="36">
        <f>SUMIFS(Façade!$H:$H,Façade!$C:$C,$A20)</f>
        <v/>
      </c>
      <c r="J20" s="36">
        <f>I20*D20</f>
        <v/>
      </c>
      <c r="K20" s="36">
        <f>SUMIFS(Detail_facade_batim!$H:$H,Detail_facade_batim!$C:$C,$A20)</f>
        <v/>
      </c>
      <c r="L20" s="36">
        <f>K20*D20</f>
        <v/>
      </c>
      <c r="M20" s="36">
        <f>SUM(F20,H20,J20,L20)</f>
        <v/>
      </c>
    </row>
    <row r="21">
      <c r="A21" s="36">
        <f>Bordereau_prix!A13</f>
        <v/>
      </c>
      <c r="B21" s="37">
        <f>Bordereau_prix!B13</f>
        <v/>
      </c>
      <c r="C21" s="36">
        <f>Bordereau_prix!C13</f>
        <v/>
      </c>
      <c r="D21" s="36">
        <f>Bordereau_prix!E13</f>
        <v/>
      </c>
      <c r="E21" s="36">
        <f>SUMIFS('Secteur A'!$H:$H,'Secteur A'!$C:$C,$A21)</f>
        <v/>
      </c>
      <c r="F21" s="36">
        <f>E21*D21</f>
        <v/>
      </c>
      <c r="G21" s="36">
        <f>SUMIFS('Secteur P'!$H:$H,'Secteur P'!$C:$C,$A21)</f>
        <v/>
      </c>
      <c r="H21" s="36">
        <f>G21*D21</f>
        <v/>
      </c>
      <c r="I21" s="36">
        <f>SUMIFS(Façade!$H:$H,Façade!$C:$C,$A21)</f>
        <v/>
      </c>
      <c r="J21" s="36">
        <f>I21*D21</f>
        <v/>
      </c>
      <c r="K21" s="36">
        <f>SUMIFS(Detail_facade_batim!$H:$H,Detail_facade_batim!$C:$C,$A21)</f>
        <v/>
      </c>
      <c r="L21" s="36">
        <f>K21*D21</f>
        <v/>
      </c>
      <c r="M21" s="36">
        <f>SUM(F21,H21,J21,L21)</f>
        <v/>
      </c>
    </row>
    <row r="22">
      <c r="A22" s="36">
        <f>Bordereau_prix!A14</f>
        <v/>
      </c>
      <c r="B22" s="37">
        <f>Bordereau_prix!B14</f>
        <v/>
      </c>
      <c r="C22" s="36">
        <f>Bordereau_prix!C14</f>
        <v/>
      </c>
      <c r="D22" s="36">
        <f>Bordereau_prix!E14</f>
        <v/>
      </c>
      <c r="E22" s="36">
        <f>SUMIFS('Secteur A'!$H:$H,'Secteur A'!$C:$C,$A22)</f>
        <v/>
      </c>
      <c r="F22" s="36">
        <f>E22*D22</f>
        <v/>
      </c>
      <c r="G22" s="36">
        <f>SUMIFS('Secteur P'!$H:$H,'Secteur P'!$C:$C,$A22)</f>
        <v/>
      </c>
      <c r="H22" s="36">
        <f>G22*D22</f>
        <v/>
      </c>
      <c r="I22" s="36">
        <f>SUMIFS(Façade!$H:$H,Façade!$C:$C,$A22)</f>
        <v/>
      </c>
      <c r="J22" s="36">
        <f>I22*D22</f>
        <v/>
      </c>
      <c r="K22" s="36">
        <f>SUMIFS(Detail_facade_batim!$H:$H,Detail_facade_batim!$C:$C,$A22)</f>
        <v/>
      </c>
      <c r="L22" s="36">
        <f>K22*D22</f>
        <v/>
      </c>
      <c r="M22" s="36">
        <f>SUM(F22,H22,J22,L22)</f>
        <v/>
      </c>
    </row>
    <row r="23">
      <c r="A23" s="36">
        <f>Bordereau_prix!A15</f>
        <v/>
      </c>
      <c r="B23" s="37">
        <f>Bordereau_prix!B15</f>
        <v/>
      </c>
      <c r="C23" s="36">
        <f>Bordereau_prix!C15</f>
        <v/>
      </c>
      <c r="D23" s="36">
        <f>Bordereau_prix!E15</f>
        <v/>
      </c>
      <c r="E23" s="36">
        <f>SUMIFS('Secteur A'!$H:$H,'Secteur A'!$C:$C,$A23)</f>
        <v/>
      </c>
      <c r="F23" s="36">
        <f>E23*D23</f>
        <v/>
      </c>
      <c r="G23" s="36">
        <f>SUMIFS('Secteur P'!$H:$H,'Secteur P'!$C:$C,$A23)</f>
        <v/>
      </c>
      <c r="H23" s="36">
        <f>G23*D23</f>
        <v/>
      </c>
      <c r="I23" s="36">
        <f>SUMIFS(Façade!$H:$H,Façade!$C:$C,$A23)</f>
        <v/>
      </c>
      <c r="J23" s="36">
        <f>I23*D23</f>
        <v/>
      </c>
      <c r="K23" s="36">
        <f>SUMIFS(Detail_facade_batim!$H:$H,Detail_facade_batim!$C:$C,$A23)</f>
        <v/>
      </c>
      <c r="L23" s="36">
        <f>K23*D23</f>
        <v/>
      </c>
      <c r="M23" s="36">
        <f>SUM(F23,H23,J23,L23)</f>
        <v/>
      </c>
    </row>
    <row r="24">
      <c r="A24" s="36">
        <f>Bordereau_prix!A16</f>
        <v/>
      </c>
      <c r="B24" s="37">
        <f>Bordereau_prix!B16</f>
        <v/>
      </c>
      <c r="C24" s="36">
        <f>Bordereau_prix!C16</f>
        <v/>
      </c>
      <c r="D24" s="36">
        <f>Bordereau_prix!E16</f>
        <v/>
      </c>
      <c r="E24" s="36">
        <f>SUMIFS('Secteur A'!$H:$H,'Secteur A'!$C:$C,$A24)</f>
        <v/>
      </c>
      <c r="F24" s="36">
        <f>E24*D24</f>
        <v/>
      </c>
      <c r="G24" s="36">
        <f>SUMIFS('Secteur P'!$H:$H,'Secteur P'!$C:$C,$A24)</f>
        <v/>
      </c>
      <c r="H24" s="36">
        <f>G24*D24</f>
        <v/>
      </c>
      <c r="I24" s="36">
        <f>SUMIFS(Façade!$H:$H,Façade!$C:$C,$A24)</f>
        <v/>
      </c>
      <c r="J24" s="36">
        <f>I24*D24</f>
        <v/>
      </c>
      <c r="K24" s="36">
        <f>SUMIFS(Detail_facade_batim!$H:$H,Detail_facade_batim!$C:$C,$A24)</f>
        <v/>
      </c>
      <c r="L24" s="36">
        <f>K24*D24</f>
        <v/>
      </c>
      <c r="M24" s="36">
        <f>SUM(F24,H24,J24,L24)</f>
        <v/>
      </c>
    </row>
    <row r="25">
      <c r="A25" s="36">
        <f>Bordereau_prix!A17</f>
        <v/>
      </c>
      <c r="B25" s="37">
        <f>Bordereau_prix!B17</f>
        <v/>
      </c>
      <c r="C25" s="36">
        <f>Bordereau_prix!C17</f>
        <v/>
      </c>
      <c r="D25" s="36">
        <f>Bordereau_prix!E17</f>
        <v/>
      </c>
      <c r="E25" s="36">
        <f>SUMIFS('Secteur A'!$H:$H,'Secteur A'!$C:$C,$A25)</f>
        <v/>
      </c>
      <c r="F25" s="36">
        <f>E25*D25</f>
        <v/>
      </c>
      <c r="G25" s="36">
        <f>SUMIFS('Secteur P'!$H:$H,'Secteur P'!$C:$C,$A25)</f>
        <v/>
      </c>
      <c r="H25" s="36">
        <f>G25*D25</f>
        <v/>
      </c>
      <c r="I25" s="36">
        <f>SUMIFS(Façade!$H:$H,Façade!$C:$C,$A25)</f>
        <v/>
      </c>
      <c r="J25" s="36">
        <f>I25*D25</f>
        <v/>
      </c>
      <c r="K25" s="36">
        <f>SUMIFS(Detail_facade_batim!$H:$H,Detail_facade_batim!$C:$C,$A25)</f>
        <v/>
      </c>
      <c r="L25" s="36">
        <f>K25*D25</f>
        <v/>
      </c>
      <c r="M25" s="36">
        <f>SUM(F25,H25,J25,L25)</f>
        <v/>
      </c>
    </row>
    <row r="26">
      <c r="A26" s="36">
        <f>Bordereau_prix!A18</f>
        <v/>
      </c>
      <c r="B26" s="37">
        <f>Bordereau_prix!B18</f>
        <v/>
      </c>
      <c r="C26" s="36">
        <f>Bordereau_prix!C18</f>
        <v/>
      </c>
      <c r="D26" s="36">
        <f>Bordereau_prix!E18</f>
        <v/>
      </c>
      <c r="E26" s="36">
        <f>SUMIFS('Secteur A'!$H:$H,'Secteur A'!$C:$C,$A26)</f>
        <v/>
      </c>
      <c r="F26" s="36">
        <f>E26*D26</f>
        <v/>
      </c>
      <c r="G26" s="36">
        <f>SUMIFS('Secteur P'!$H:$H,'Secteur P'!$C:$C,$A26)</f>
        <v/>
      </c>
      <c r="H26" s="36">
        <f>G26*D26</f>
        <v/>
      </c>
      <c r="I26" s="36">
        <f>SUMIFS(Façade!$H:$H,Façade!$C:$C,$A26)</f>
        <v/>
      </c>
      <c r="J26" s="36">
        <f>I26*D26</f>
        <v/>
      </c>
      <c r="K26" s="36">
        <f>SUMIFS(Detail_facade_batim!$H:$H,Detail_facade_batim!$C:$C,$A26)</f>
        <v/>
      </c>
      <c r="L26" s="36">
        <f>K26*D26</f>
        <v/>
      </c>
      <c r="M26" s="36">
        <f>SUM(F26,H26,J26,L26)</f>
        <v/>
      </c>
    </row>
    <row r="27">
      <c r="A27" s="36">
        <f>Bordereau_prix!A19</f>
        <v/>
      </c>
      <c r="B27" s="37">
        <f>Bordereau_prix!B19</f>
        <v/>
      </c>
      <c r="C27" s="36">
        <f>Bordereau_prix!C19</f>
        <v/>
      </c>
      <c r="D27" s="36">
        <f>Bordereau_prix!E19</f>
        <v/>
      </c>
      <c r="E27" s="36">
        <f>SUMIFS('Secteur A'!$H:$H,'Secteur A'!$C:$C,$A27)</f>
        <v/>
      </c>
      <c r="F27" s="36">
        <f>E27*D27</f>
        <v/>
      </c>
      <c r="G27" s="36">
        <f>SUMIFS('Secteur P'!$H:$H,'Secteur P'!$C:$C,$A27)</f>
        <v/>
      </c>
      <c r="H27" s="36">
        <f>G27*D27</f>
        <v/>
      </c>
      <c r="I27" s="36">
        <f>SUMIFS(Façade!$H:$H,Façade!$C:$C,$A27)</f>
        <v/>
      </c>
      <c r="J27" s="36">
        <f>I27*D27</f>
        <v/>
      </c>
      <c r="K27" s="36">
        <f>SUMIFS(Detail_facade_batim!$H:$H,Detail_facade_batim!$C:$C,$A27)</f>
        <v/>
      </c>
      <c r="L27" s="36">
        <f>K27*D27</f>
        <v/>
      </c>
      <c r="M27" s="36">
        <f>SUM(F27,H27,J27,L27)</f>
        <v/>
      </c>
    </row>
    <row r="28">
      <c r="A28" s="36">
        <f>Bordereau_prix!A20</f>
        <v/>
      </c>
      <c r="B28" s="37">
        <f>Bordereau_prix!B20</f>
        <v/>
      </c>
      <c r="C28" s="36">
        <f>Bordereau_prix!C20</f>
        <v/>
      </c>
      <c r="D28" s="36">
        <f>Bordereau_prix!E20</f>
        <v/>
      </c>
      <c r="E28" s="36">
        <f>SUMIFS('Secteur A'!$H:$H,'Secteur A'!$C:$C,$A28)</f>
        <v/>
      </c>
      <c r="F28" s="36">
        <f>E28*D28</f>
        <v/>
      </c>
      <c r="G28" s="36">
        <f>SUMIFS('Secteur P'!$H:$H,'Secteur P'!$C:$C,$A28)</f>
        <v/>
      </c>
      <c r="H28" s="36">
        <f>G28*D28</f>
        <v/>
      </c>
      <c r="I28" s="36">
        <f>SUMIFS(Façade!$H:$H,Façade!$C:$C,$A28)</f>
        <v/>
      </c>
      <c r="J28" s="36">
        <f>I28*D28</f>
        <v/>
      </c>
      <c r="K28" s="36">
        <f>SUMIFS(Detail_facade_batim!$H:$H,Detail_facade_batim!$C:$C,$A28)</f>
        <v/>
      </c>
      <c r="L28" s="36">
        <f>K28*D28</f>
        <v/>
      </c>
      <c r="M28" s="36">
        <f>SUM(F28,H28,J28,L28)</f>
        <v/>
      </c>
    </row>
    <row r="29">
      <c r="A29" s="36">
        <f>Bordereau_prix!A21</f>
        <v/>
      </c>
      <c r="B29" s="37">
        <f>Bordereau_prix!B21</f>
        <v/>
      </c>
      <c r="C29" s="36">
        <f>Bordereau_prix!C21</f>
        <v/>
      </c>
      <c r="D29" s="36">
        <f>Bordereau_prix!E21</f>
        <v/>
      </c>
      <c r="E29" s="36">
        <f>SUMIFS('Secteur A'!$H:$H,'Secteur A'!$C:$C,$A29)</f>
        <v/>
      </c>
      <c r="F29" s="36">
        <f>E29*D29</f>
        <v/>
      </c>
      <c r="G29" s="36">
        <f>SUMIFS('Secteur P'!$H:$H,'Secteur P'!$C:$C,$A29)</f>
        <v/>
      </c>
      <c r="H29" s="36">
        <f>G29*D29</f>
        <v/>
      </c>
      <c r="I29" s="36">
        <f>SUMIFS(Façade!$H:$H,Façade!$C:$C,$A29)</f>
        <v/>
      </c>
      <c r="J29" s="36">
        <f>I29*D29</f>
        <v/>
      </c>
      <c r="K29" s="36">
        <f>SUMIFS(Detail_facade_batim!$H:$H,Detail_facade_batim!$C:$C,$A29)</f>
        <v/>
      </c>
      <c r="L29" s="36">
        <f>K29*D29</f>
        <v/>
      </c>
      <c r="M29" s="36">
        <f>SUM(F29,H29,J29,L29)</f>
        <v/>
      </c>
    </row>
    <row r="30">
      <c r="A30" s="36">
        <f>Bordereau_prix!A22</f>
        <v/>
      </c>
      <c r="B30" s="37">
        <f>Bordereau_prix!B22</f>
        <v/>
      </c>
      <c r="C30" s="36">
        <f>Bordereau_prix!C22</f>
        <v/>
      </c>
      <c r="D30" s="36">
        <f>Bordereau_prix!E22</f>
        <v/>
      </c>
      <c r="E30" s="36">
        <f>SUMIFS('Secteur A'!$H:$H,'Secteur A'!$C:$C,$A30)</f>
        <v/>
      </c>
      <c r="F30" s="36">
        <f>E30*D30</f>
        <v/>
      </c>
      <c r="G30" s="36">
        <f>SUMIFS('Secteur P'!$H:$H,'Secteur P'!$C:$C,$A30)</f>
        <v/>
      </c>
      <c r="H30" s="36">
        <f>G30*D30</f>
        <v/>
      </c>
      <c r="I30" s="36">
        <f>SUMIFS(Façade!$H:$H,Façade!$C:$C,$A30)</f>
        <v/>
      </c>
      <c r="J30" s="36">
        <f>I30*D30</f>
        <v/>
      </c>
      <c r="K30" s="36">
        <f>SUMIFS(Detail_facade_batim!$H:$H,Detail_facade_batim!$C:$C,$A30)</f>
        <v/>
      </c>
      <c r="L30" s="36">
        <f>K30*D30</f>
        <v/>
      </c>
      <c r="M30" s="36">
        <f>SUM(F30,H30,J30,L30)</f>
        <v/>
      </c>
    </row>
    <row r="31">
      <c r="A31" s="36">
        <f>Bordereau_prix!A23</f>
        <v/>
      </c>
      <c r="B31" s="37">
        <f>Bordereau_prix!B23</f>
        <v/>
      </c>
      <c r="C31" s="36">
        <f>Bordereau_prix!C23</f>
        <v/>
      </c>
      <c r="D31" s="36">
        <f>Bordereau_prix!E23</f>
        <v/>
      </c>
      <c r="E31" s="36">
        <f>SUMIFS('Secteur A'!$H:$H,'Secteur A'!$C:$C,$A31)</f>
        <v/>
      </c>
      <c r="F31" s="36">
        <f>E31*D31</f>
        <v/>
      </c>
      <c r="G31" s="36">
        <f>SUMIFS('Secteur P'!$H:$H,'Secteur P'!$C:$C,$A31)</f>
        <v/>
      </c>
      <c r="H31" s="36">
        <f>G31*D31</f>
        <v/>
      </c>
      <c r="I31" s="36">
        <f>SUMIFS(Façade!$H:$H,Façade!$C:$C,$A31)</f>
        <v/>
      </c>
      <c r="J31" s="36">
        <f>I31*D31</f>
        <v/>
      </c>
      <c r="K31" s="36">
        <f>SUMIFS(Detail_facade_batim!$H:$H,Detail_facade_batim!$C:$C,$A31)</f>
        <v/>
      </c>
      <c r="L31" s="36">
        <f>K31*D31</f>
        <v/>
      </c>
      <c r="M31" s="36">
        <f>SUM(F31,H31,J31,L31)</f>
        <v/>
      </c>
    </row>
    <row r="32">
      <c r="A32" s="36">
        <f>Bordereau_prix!A24</f>
        <v/>
      </c>
      <c r="B32" s="37">
        <f>Bordereau_prix!B24</f>
        <v/>
      </c>
      <c r="C32" s="36">
        <f>Bordereau_prix!C24</f>
        <v/>
      </c>
      <c r="D32" s="36">
        <f>Bordereau_prix!E24</f>
        <v/>
      </c>
      <c r="E32" s="36">
        <f>SUMIFS('Secteur A'!$H:$H,'Secteur A'!$C:$C,$A32)</f>
        <v/>
      </c>
      <c r="F32" s="36">
        <f>E32*D32</f>
        <v/>
      </c>
      <c r="G32" s="36">
        <f>SUMIFS('Secteur P'!$H:$H,'Secteur P'!$C:$C,$A32)</f>
        <v/>
      </c>
      <c r="H32" s="36">
        <f>G32*D32</f>
        <v/>
      </c>
      <c r="I32" s="36">
        <f>SUMIFS(Façade!$H:$H,Façade!$C:$C,$A32)</f>
        <v/>
      </c>
      <c r="J32" s="36">
        <f>I32*D32</f>
        <v/>
      </c>
      <c r="K32" s="36">
        <f>SUMIFS(Detail_facade_batim!$H:$H,Detail_facade_batim!$C:$C,$A32)</f>
        <v/>
      </c>
      <c r="L32" s="36">
        <f>K32*D32</f>
        <v/>
      </c>
      <c r="M32" s="36">
        <f>SUM(F32,H32,J32,L32)</f>
        <v/>
      </c>
    </row>
    <row r="33">
      <c r="A33" s="36">
        <f>Bordereau_prix!A25</f>
        <v/>
      </c>
      <c r="B33" s="37">
        <f>Bordereau_prix!B25</f>
        <v/>
      </c>
      <c r="C33" s="36">
        <f>Bordereau_prix!C25</f>
        <v/>
      </c>
      <c r="D33" s="36">
        <f>Bordereau_prix!E25</f>
        <v/>
      </c>
      <c r="E33" s="36">
        <f>SUMIFS('Secteur A'!$H:$H,'Secteur A'!$C:$C,$A33)</f>
        <v/>
      </c>
      <c r="F33" s="36">
        <f>E33*D33</f>
        <v/>
      </c>
      <c r="G33" s="36">
        <f>SUMIFS('Secteur P'!$H:$H,'Secteur P'!$C:$C,$A33)</f>
        <v/>
      </c>
      <c r="H33" s="36">
        <f>G33*D33</f>
        <v/>
      </c>
      <c r="I33" s="36">
        <f>SUMIFS(Façade!$H:$H,Façade!$C:$C,$A33)</f>
        <v/>
      </c>
      <c r="J33" s="36">
        <f>I33*D33</f>
        <v/>
      </c>
      <c r="K33" s="36">
        <f>SUMIFS(Detail_facade_batim!$H:$H,Detail_facade_batim!$C:$C,$A33)</f>
        <v/>
      </c>
      <c r="L33" s="36">
        <f>K33*D33</f>
        <v/>
      </c>
      <c r="M33" s="36">
        <f>SUM(F33,H33,J33,L33)</f>
        <v/>
      </c>
    </row>
    <row r="34">
      <c r="A34" s="32" t="inlineStr">
        <is>
          <t>TOTAL</t>
        </is>
      </c>
      <c r="F34" s="32">
        <f>SUM(F13:F33)</f>
        <v/>
      </c>
      <c r="H34" s="32">
        <f>SUM(H13:H33)</f>
        <v/>
      </c>
      <c r="J34" s="32">
        <f>SUM(J13:J33)</f>
        <v/>
      </c>
      <c r="L34" s="32">
        <f>SUM(L13:L33)</f>
        <v/>
      </c>
      <c r="M34" s="32">
        <f>SUM(M13:M33)</f>
        <v/>
      </c>
    </row>
    <row r="36">
      <c r="A36" s="16" t="inlineStr">
        <is>
          <t>Note: cette feuille conserve la synthese globale et detaille la repartition des couts par secteur.</t>
        </is>
      </c>
    </row>
  </sheetData>
  <mergeCells count="2">
    <mergeCell ref="A36:M36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2026-06-06T13:48:52Z</dcterms:created>
  <dcterms:modified xsi:type="dcterms:W3CDTF">2026-06-07T05:33:46Z</dcterms:modified>
  <cp:revision>5</cp:revision>
</cp:coreProperties>
</file>