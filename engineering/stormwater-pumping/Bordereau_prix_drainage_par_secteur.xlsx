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Bordereau_prix" sheetId="1" state="visible" r:id="rId3"/>
    <sheet name="Secteur A" sheetId="2" state="visible" r:id="rId4"/>
    <sheet name="Secteur P" sheetId="3" state="visible" r:id="rId5"/>
    <sheet name="Façade" sheetId="4" state="visible" r:id="rId6"/>
    <sheet name="Detail_facade_batim" sheetId="5" state="visible" r:id="rId7"/>
    <sheet name="Traceabilite" sheetId="6" state="visible" r:id="rId8"/>
    <sheet name="Catalogue_items" sheetId="7" state="visible" r:id="rId9"/>
    <sheet name="Estimation_par_secteur" sheetId="8" state="visible" r:id="rId10"/>
    <sheet name="Justification_technique"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<sst xmlns="http://schemas.openxmlformats.org/spreadsheetml/2006/main" count="463" uniqueCount="192">
  <si>
    <t xml:space="preserve">BORDEREAU DE PRIX - TRAVAUX DRAINAGE PAR SECTEUR</t>
  </si>
  <si>
    <t xml:space="preserve">Quantites consolidees depuis Secteur A, Secteur P, Façade, Detail_facade_batim</t>
  </si>
  <si>
    <t xml:space="preserve">Item</t>
  </si>
  <si>
    <t xml:space="preserve">Description</t>
  </si>
  <si>
    <t xml:space="preserve">Unite</t>
  </si>
  <si>
    <t xml:space="preserve">Quantite_totale</t>
  </si>
  <si>
    <t xml:space="preserve">PU</t>
  </si>
  <si>
    <t xml:space="preserve">Montant</t>
  </si>
  <si>
    <t xml:space="preserve">Secteurs/Images</t>
  </si>
  <si>
    <t xml:space="preserve">Observations</t>
  </si>
  <si>
    <t xml:space="preserve">SURV-001</t>
  </si>
  <si>
    <t xml:space="preserve">Leve topographique detaille (altimetrie + planimetrie)</t>
  </si>
  <si>
    <t xml:space="preserve">lot</t>
  </si>
  <si>
    <t xml:space="preserve">Facade batiment / zones drainage</t>
  </si>
  <si>
    <t xml:space="preserve">Prix indicatif QC (2025-2026), a valider par soumissions</t>
  </si>
  <si>
    <t xml:space="preserve">PREP-001</t>
  </si>
  <si>
    <t xml:space="preserve">Mobilisation / installation de chantier</t>
  </si>
  <si>
    <t xml:space="preserve">Tous secteurs</t>
  </si>
  <si>
    <t xml:space="preserve">PREP-002</t>
  </si>
  <si>
    <t xml:space="preserve">Signalisation et maintien de la circulation</t>
  </si>
  <si>
    <t xml:space="preserve">SCI-001</t>
  </si>
  <si>
    <t xml:space="preserve">Sciage de pavage</t>
  </si>
  <si>
    <t xml:space="preserve">m</t>
  </si>
  <si>
    <t xml:space="preserve">Zone de reprofilage</t>
  </si>
  <si>
    <t xml:space="preserve">DEM-001</t>
  </si>
  <si>
    <t xml:space="preserve">Enlevement de pavage</t>
  </si>
  <si>
    <t xml:space="preserve">m2</t>
  </si>
  <si>
    <t xml:space="preserve">Zone de reprofilage / secteurs A</t>
  </si>
  <si>
    <t xml:space="preserve">EXC-001</t>
  </si>
  <si>
    <t xml:space="preserve">Excavation de tranchee pour reseau pluvial</t>
  </si>
  <si>
    <t xml:space="preserve">m3</t>
  </si>
  <si>
    <t xml:space="preserve">EXC-002</t>
  </si>
  <si>
    <t xml:space="preserve">Hydro-excavation pour localisation de conduites existantes</t>
  </si>
  <si>
    <t xml:space="preserve">h</t>
  </si>
  <si>
    <t xml:space="preserve">Secteur Façade / raccord Ø1800</t>
  </si>
  <si>
    <t xml:space="preserve">CAN-300</t>
  </si>
  <si>
    <t xml:space="preserve">Fourniture et pose conduite pluviale DN300</t>
  </si>
  <si>
    <t xml:space="preserve">Secteurs avec conduites nouvelles</t>
  </si>
  <si>
    <t xml:space="preserve">CAN-375</t>
  </si>
  <si>
    <t xml:space="preserve">Fourniture et pose raccord / conduite DN375</t>
  </si>
  <si>
    <t xml:space="preserve">Raccord propose</t>
  </si>
  <si>
    <t xml:space="preserve">PUI-010</t>
  </si>
  <si>
    <t xml:space="preserve">Nouveau puisard P-01</t>
  </si>
  <si>
    <t xml:space="preserve">u</t>
  </si>
  <si>
    <t xml:space="preserve">Secteur Façade</t>
  </si>
  <si>
    <t xml:space="preserve">PUI-020</t>
  </si>
  <si>
    <t xml:space="preserve">Nouveau puisard P-02</t>
  </si>
  <si>
    <t xml:space="preserve">PUI-001</t>
  </si>
  <si>
    <t xml:space="preserve">Nouveau puisard</t>
  </si>
  <si>
    <t xml:space="preserve">Secteur P</t>
  </si>
  <si>
    <t xml:space="preserve">BOR-001</t>
  </si>
  <si>
    <t xml:space="preserve">Saignee dans bordure / raccord de bordure</t>
  </si>
  <si>
    <t xml:space="preserve">BORD-001</t>
  </si>
  <si>
    <t xml:space="preserve">Reconstruction de bordure (si requise)</t>
  </si>
  <si>
    <t xml:space="preserve">RAC-001</t>
  </si>
  <si>
    <t xml:space="preserve">Raccordement a la conduite existante Ø1800</t>
  </si>
  <si>
    <t xml:space="preserve">REM-001</t>
  </si>
  <si>
    <t xml:space="preserve">Remblai et materiaux granulaires</t>
  </si>
  <si>
    <t xml:space="preserve">PAV-001</t>
  </si>
  <si>
    <t xml:space="preserve">Reprofilage / reprise de pavage</t>
  </si>
  <si>
    <t xml:space="preserve">Secteurs a risque drainage</t>
  </si>
  <si>
    <t xml:space="preserve">REF-001</t>
  </si>
  <si>
    <t xml:space="preserve">Refection des surfaces (gazon, etc.)</t>
  </si>
  <si>
    <t xml:space="preserve">Zone de reprofilage / finitions</t>
  </si>
  <si>
    <t xml:space="preserve">AJU-001</t>
  </si>
  <si>
    <t xml:space="preserve">Ajustement d'ouvrages existants</t>
  </si>
  <si>
    <t xml:space="preserve">Zone de reprofilage / reseau existant</t>
  </si>
  <si>
    <t xml:space="preserve">ESS-001</t>
  </si>
  <si>
    <t xml:space="preserve">Essais / verification hydraulique et mise en service</t>
  </si>
  <si>
    <t xml:space="preserve">Reseau pluvial</t>
  </si>
  <si>
    <t xml:space="preserve">DOC-001</t>
  </si>
  <si>
    <t xml:space="preserve">Plans finaux / dossier de recollement</t>
  </si>
  <si>
    <t xml:space="preserve">TOTAL</t>
  </si>
  <si>
    <t xml:space="preserve">Detail quantites - Image1 (zone de reprofilage)</t>
  </si>
  <si>
    <t xml:space="preserve">ID_image</t>
  </si>
  <si>
    <t xml:space="preserve">Secteur</t>
  </si>
  <si>
    <t xml:space="preserve">Quantite_mesuree</t>
  </si>
  <si>
    <t xml:space="preserve">Coef_ajustement</t>
  </si>
  <si>
    <t xml:space="preserve">Quantite_retenue</t>
  </si>
  <si>
    <t xml:space="preserve">Source / annotation</t>
  </si>
  <si>
    <t xml:space="preserve">Hypothese / commentaire</t>
  </si>
  <si>
    <t xml:space="preserve">fromMiddleZone.png</t>
  </si>
  <si>
    <t xml:space="preserve">Zone de reprofilage A</t>
  </si>
  <si>
    <t xml:space="preserve">Longueur a mesurer sur plan DAO/PDF</t>
  </si>
  <si>
    <t xml:space="preserve">Image ajoutee: zone delimitee 557 m2</t>
  </si>
  <si>
    <t xml:space="preserve">Hypothese: enlevement sur toute la zone reprise</t>
  </si>
  <si>
    <t xml:space="preserve">Longueur conditionnelle selon etat existant</t>
  </si>
  <si>
    <t xml:space="preserve">Volume apres profils et epaisseur finale</t>
  </si>
  <si>
    <t xml:space="preserve">Minimum 1 unite, ajuster apres releve terrain</t>
  </si>
  <si>
    <t xml:space="preserve">Reprofilage / reprise de pavage (point bas a elev. 29,720 m)</t>
  </si>
  <si>
    <t xml:space="preserve">Image ajoutee: annotation 557 m2 + cote 29,720</t>
  </si>
  <si>
    <t xml:space="preserve">Surface de reprise de pavage selon zone surlignee</t>
  </si>
  <si>
    <t xml:space="preserve">Si surfaces non pavees sont affectees</t>
  </si>
  <si>
    <t xml:space="preserve">A ajuster apres verification terrain</t>
  </si>
  <si>
    <t xml:space="preserve">Sous-total (controle)</t>
  </si>
  <si>
    <t xml:space="preserve">Detail quantites - Detail_Image2</t>
  </si>
  <si>
    <t xml:space="preserve">saignée.png</t>
  </si>
  <si>
    <t xml:space="preserve">Secteur P haut</t>
  </si>
  <si>
    <t xml:space="preserve">Valeur lue sur plan annote</t>
  </si>
  <si>
    <t xml:space="preserve">Secteur P bas</t>
  </si>
  <si>
    <t xml:space="preserve">Secteur P </t>
  </si>
  <si>
    <t xml:space="preserve">A confirmer diametre et profondeur</t>
  </si>
  <si>
    <t xml:space="preserve">Raccord propose Ø375</t>
  </si>
  <si>
    <t xml:space="preserve">Longueur a relever au plan topographique</t>
  </si>
  <si>
    <t xml:space="preserve">Saignee dans bordure</t>
  </si>
  <si>
    <t xml:space="preserve">Longueur a mesurer sur DAO/PDF origine</t>
  </si>
  <si>
    <t xml:space="preserve">Decoupage/demolition de pavage</t>
  </si>
  <si>
    <t xml:space="preserve">Hypothese initiale a ajuster selon limites exactes</t>
  </si>
  <si>
    <t xml:space="preserve">Detail quantites - Detail_Image3</t>
  </si>
  <si>
    <t xml:space="preserve">Facade_batim.jpg</t>
  </si>
  <si>
    <t xml:space="preserve">Hydro-excavation localisation conduites existantes</t>
  </si>
  <si>
    <t xml:space="preserve">Hypothese de demarrage (8 h) a ajuster</t>
  </si>
  <si>
    <t xml:space="preserve">Raccordement a conduite existante Ø1800</t>
  </si>
  <si>
    <t xml:space="preserve">Interface avec reseau existant</t>
  </si>
  <si>
    <t xml:space="preserve">Conduite DN300 (troncon repere 30.0)</t>
  </si>
  <si>
    <t xml:space="preserve">A confirmer par mesurage sur plan source</t>
  </si>
  <si>
    <t xml:space="preserve">Ajustement ouvrage existant</t>
  </si>
  <si>
    <t xml:space="preserve">Excavation tranchee (a preciser)</t>
  </si>
  <si>
    <t xml:space="preserve">A quantifier apres profils/profondeurs</t>
  </si>
  <si>
    <t xml:space="preserve">Detail quantites - Detail_facade_batim</t>
  </si>
  <si>
    <t xml:space="preserve">facade_batim.jpg</t>
  </si>
  <si>
    <t xml:space="preserve">Facade batiment</t>
  </si>
  <si>
    <t xml:space="preserve">Leve topographique detaille pour estimation</t>
  </si>
  <si>
    <t xml:space="preserve">Activite principale pour ce secteur</t>
  </si>
  <si>
    <t xml:space="preserve">Plan de releve et rapport de points</t>
  </si>
  <si>
    <t xml:space="preserve">Peut etre inclus dans SURV-001 selon contrat</t>
  </si>
  <si>
    <t xml:space="preserve">Traceabilite des quantites et hypotheses</t>
  </si>
  <si>
    <t xml:space="preserve">Principe</t>
  </si>
  <si>
    <t xml:space="preserve">1) Les quantites sont saisies par image/secteur dans les onglets Detail_*. </t>
  </si>
  <si>
    <t xml:space="preserve">2) Quantite_retenue = Quantite_mesuree x Coef_ajustement.</t>
  </si>
  <si>
    <t xml:space="preserve">3) Bordereau_prix consolide automatiquement les quantites par code Item.</t>
  </si>
  <si>
    <t xml:space="preserve">4) Renseigner PU dans Bordereau_prix pour obtenir les montants.</t>
  </si>
  <si>
    <t xml:space="preserve">5) Ajouter des lignes dans les onglets de detail pour de nouveaux travaux.</t>
  </si>
  <si>
    <t xml:space="preserve">Notes</t>
  </si>
  <si>
    <t xml:space="preserve">- Les valeurs a 0 indiquent un poste identifie mais non mesure a ce stade.</t>
  </si>
  <si>
    <t xml:space="preserve">- facade_batim.jpg: activite cle = leve topographique pour definir quantites/couts.</t>
  </si>
  <si>
    <t xml:space="preserve">- Remplacer les hypotheses par metrage DAO/terrain des que disponible.</t>
  </si>
  <si>
    <t xml:space="preserve">- Detail_Image1 a ete remplace par la zone de reprofilage (items de preparation/refection) selon la nouvelle image.</t>
  </si>
  <si>
    <t xml:space="preserve">- Toutes les references a l'equipement de traitement hors-perimetre ont ete retirees de ce classeur BOQ.</t>
  </si>
  <si>
    <t xml:space="preserve">- La colonne PU contient des prix indicatifs Quebec (2025-2026) a valider par soumissions.</t>
  </si>
  <si>
    <t xml:space="preserve">- Voir onglet Justification_technique pour le raisonnement hydraulique par secteur (A, P, Façade).</t>
  </si>
  <si>
    <t xml:space="preserve">- Les postes RP-01/RP-02 du bordereau ont ete renommes en nouveaux puisards P-01/P-02.</t>
  </si>
  <si>
    <t xml:space="preserve">Perimetre/type</t>
  </si>
  <si>
    <t xml:space="preserve">ESTIMATION DES COUTS PAR SECTEUR</t>
  </si>
  <si>
    <t xml:space="preserve">Synthese des couts par secteur (CAD)</t>
  </si>
  <si>
    <t xml:space="preserve">Verification Façade (reseau) par code</t>
  </si>
  <si>
    <t xml:space="preserve">Secteur A</t>
  </si>
  <si>
    <t xml:space="preserve">Code</t>
  </si>
  <si>
    <t xml:space="preserve">Qte_Façade</t>
  </si>
  <si>
    <t xml:space="preserve">Cout</t>
  </si>
  <si>
    <t xml:space="preserve">Façade (reseau)</t>
  </si>
  <si>
    <t xml:space="preserve">Façade (topo/doc)</t>
  </si>
  <si>
    <t xml:space="preserve">TOTAL GENERAL</t>
  </si>
  <si>
    <t xml:space="preserve">Controle vs Bordereau_prix</t>
  </si>
  <si>
    <t xml:space="preserve">Sous-total Façade (reseau)</t>
  </si>
  <si>
    <t xml:space="preserve">Qte_A</t>
  </si>
  <si>
    <t xml:space="preserve">Cout_A</t>
  </si>
  <si>
    <t xml:space="preserve">Qte_P</t>
  </si>
  <si>
    <t xml:space="preserve">Cout_P</t>
  </si>
  <si>
    <t xml:space="preserve">Qte_Facade</t>
  </si>
  <si>
    <t xml:space="preserve">Cout_Facade</t>
  </si>
  <si>
    <t xml:space="preserve">Qte_Facade_detail</t>
  </si>
  <si>
    <t xml:space="preserve">Cout_Facade_detail</t>
  </si>
  <si>
    <t xml:space="preserve">Cout_total_item</t>
  </si>
  <si>
    <t xml:space="preserve">Note: cette feuille conserve la synthese globale et detaille la repartition des couts par secteur.</t>
  </si>
  <si>
    <t xml:space="preserve">Controle: EXC-002 (Hydro-excavation) est comptabilise dans le Cout_Façade via l'onglet Façade.</t>
  </si>
  <si>
    <t xml:space="preserve">JUSTIFICATION TECHNIQUE - SOLUTIONS DE DRAINAGE PAR SECTEUR</t>
  </si>
  <si>
    <t xml:space="preserve">Problematique constatee</t>
  </si>
  <si>
    <t xml:space="preserve">Principe de solution</t>
  </si>
  <si>
    <t xml:space="preserve">Travaux proposes</t>
  </si>
  <si>
    <t xml:space="preserve">Justification hydraulique</t>
  </si>
  <si>
    <t xml:space="preserve">Resultat attendu</t>
  </si>
  <si>
    <t xml:space="preserve">Points de validation terrain</t>
  </si>
  <si>
    <t xml:space="preserve">Accumulation d'eau et risque d'inondation localisee au sud-ouest du batiment, en aval de la zone de reprofilage (zone identifiee 'A').</t>
  </si>
  <si>
    <t xml:space="preserve">Corriger les pentes de surface pour eliminer le point bas actuel et evacuer le ruissellement vers le reseau pluvial plutot que vers la facade du batiment.</t>
  </si>
  <si>
    <t xml:space="preserve">- Reprofilage de la surface pavee
- Sciage et enlevement local du pavage si requis
- Remblai/ajustement granulaire pour obtenir les nouvelles pentes
- Refection finale des surfaces</t>
  </si>
  <si>
    <t xml:space="preserve">La remise en pente diminue la hauteur d'eau stockee en surface et augmente la vitesse de drainage vers les exutoires. En supprimant la cuvette locale, on reduit la frequence de stagnation et de debordement vers le batiment.</t>
  </si>
  <si>
    <t xml:space="preserve">Reduction significative des eaux de surface dirigees vers le batiment et disparition du point d'eau recurrent en condition de pluie courante.</t>
  </si>
  <si>
    <t xml:space="preserve">- Validation altimetrique apres travaux
- Verification des pentes minimales reelles
- Arrosage/test pluie pour confirmer l'ecoulement</t>
  </si>
  <si>
    <t xml:space="preserve">Probleme similaire de drainage de surface avec accumulation locale. Le ruissellement n'est pas capte efficacement dans l'etat actuel.</t>
  </si>
  <si>
    <t xml:space="preserve">Creer un chemin hydraulique preferentiel vers un nouveau puisard par reprofilage des pentes et ouverture de bordure (saignee).</t>
  </si>
  <si>
    <t xml:space="preserve">- Saignée dans bordure au nord de la zone problematique
- Nouveau puisard (Secteur P)
- Reprofilage des pentes vers le puisard
- Ajustements connexes de surface</t>
  </si>
  <si>
    <t xml:space="preserve">La saignee de bordure agit comme point d'entree gravitaire controle vers le systeme de captation. Le reprofilage assure une convergence des filets d'eau vers le puisard, ce qui reduit le volume en nappe sur la zone pavee.</t>
  </si>
  <si>
    <t xml:space="preserve">Captage plus rapide des eaux de ruissellement et reduction des zones de stagnation en pied de pente.</t>
  </si>
  <si>
    <t xml:space="preserve">- Cote d'entree de saignee
- Capacite et niveau d'inversion du nouveau puisard
- Verification des pentes transversales et longitudinales</t>
  </si>
  <si>
    <t xml:space="preserve">Le ruissellement actuel tend a descendre vers l'avant du batiment (condition existante defavorable), avec risque de concentration d'eau en facade.</t>
  </si>
  <si>
    <t xml:space="preserve">Inverser/reorienter l'ecoulement de surface pour eloigner l'eau de la facade et la capter par de nouveaux points de collecte.</t>
  </si>
  <si>
    <t xml:space="preserve">- Installation de deux nouveaux puisards P-01 et P-02
- Preparation/modelage de terrain dans la zone delimitee en rouge (facade-batim)
- Raccordement du ruissellement vers les nouveaux puisards</t>
  </si>
  <si>
    <t xml:space="preserve">Le double captage (P-01 et P-02) augmente la robustesse hydraulique locale et reduit la longueur de cheminement de l'eau vers un point d'entree. Le remodelage de terrain inverse la direction de pente dominante pour eviter la mise en charge de la facade.</t>
  </si>
  <si>
    <t xml:space="preserve">Derivation du ruissellement a l'oppose de la facade et reduction du risque d'infiltration/accumulation au front du batiment.</t>
  </si>
  <si>
    <t xml:space="preserve">- Releve final des cotes de surface en facade
- Verification fonctionnelle des puisards P-01/P-02
- Confirmation visuelle de la nouvelle direction d'ecoulement</t>
  </si>
  <si>
    <t xml:space="preserve">Note: Cette justification accompagne le bordereau de prix et doit etre validee avec le releve final (topographie as-built) avant emission finale pour construction.</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</si>
</sst>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
      <b val="true"/>
      <sz val="13"/>
      <name val="Cambria"/>
      <family val="0"/>
      <charset val="1"/>
    </font>
  </fonts>
  <fills count="4">
    <fill>
      <patternFill patternType="none"/>
    </fill>
    <fill>
      <patternFill patternType="gray125"/>
    </fill>
    <fill>
      <patternFill patternType="solid">
        <fgColor rgb="FF1F4E78"/>
        <bgColor rgb="FF003366"/>
      </patternFill>
    </fill>
    <fill>
      <patternFill patternType="solid">
        <fgColor rgb="FFD9E1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0" fillId="3" borderId="1" xfId="0" applyFont="true" applyBorder="true" applyAlignment="true" applyProtection="false">
      <alignment horizontal="left" vertical="center" textRotation="0" wrapText="true" indent="0" shrinkToFit="false"/>
      <protection locked="true" hidden="false"/>
    </xf>
    <xf numFmtId="164" fontId="0" fillId="3" borderId="1" xfId="0" applyFont="fals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4" fontId="0"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E17" activeCellId="0" sqref="E17"/>
    </sheetView>
  </sheetViews>
  <sheetFormatPr defaultColWidth="8.54296875" defaultRowHeight="15" customHeight="true" zeroHeight="false" outlineLevelRow="0" outlineLevelCol="0"/>
  <cols>
    <col collapsed="false" customWidth="true" hidden="false" outlineLevel="0" max="1" min="1" style="1" width="12"/>
    <col collapsed="false" customWidth="true" hidden="false" outlineLevel="0" max="2" min="2" style="1" width="52"/>
    <col collapsed="false" customWidth="true" hidden="false" outlineLevel="0" max="3" min="3" style="1" width="10"/>
    <col collapsed="false" customWidth="true" hidden="false" outlineLevel="0" max="4" min="4" style="1" width="16"/>
    <col collapsed="false" customWidth="true" hidden="false" outlineLevel="0" max="5" min="5" style="1" width="12"/>
    <col collapsed="false" customWidth="true" hidden="false" outlineLevel="0" max="6" min="6" style="1" width="16"/>
    <col collapsed="false" customWidth="true" hidden="false" outlineLevel="0" max="7" min="7" style="1" width="32"/>
    <col collapsed="false" customWidth="true" hidden="false" outlineLevel="0" max="8" min="8" style="1" width="42"/>
  </cols>
  <sheetData>
    <row r="1" customFormat="false" ht="17.2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t="s">
        <v>3</v>
      </c>
      <c r="C4" s="4" t="s">
        <v>4</v>
      </c>
      <c r="D4" s="4" t="s">
        <v>5</v>
      </c>
      <c r="E4" s="4" t="s">
        <v>6</v>
      </c>
      <c r="F4" s="4" t="s">
        <v>7</v>
      </c>
      <c r="G4" s="4" t="s">
        <v>8</v>
      </c>
      <c r="H4" s="4" t="s">
        <v>9</v>
      </c>
    </row>
    <row r="5" customFormat="false" ht="15" hidden="false" customHeight="true" outlineLevel="0" collapsed="false">
      <c r="A5" s="5" t="s">
        <v>10</v>
      </c>
      <c r="B5" s="6" t="s">
        <v>11</v>
      </c>
      <c r="C5" s="5" t="s">
        <v>12</v>
      </c>
      <c r="D5" s="5" t="n">
        <f aca="false">SUMIFS('Secteur A'!$H:$H,'Secteur A'!$C:$C,$A5)+SUMIFS('Secteur P'!$H:$H,'Secteur P'!$C:$C,$A5)+SUMIFS(Façade!$H:$H,Façade!$C:$C,$A5)+SUMIFS(Detail_facade_batim!$H:$H,Detail_facade_batim!$C:$C,$A5)</f>
        <v>1</v>
      </c>
      <c r="E5" s="5" t="n">
        <v>2500</v>
      </c>
      <c r="F5" s="5" t="n">
        <f aca="false">IF(E5="","",D5*E5)</f>
        <v>2500</v>
      </c>
      <c r="G5" s="6" t="s">
        <v>13</v>
      </c>
      <c r="H5" s="6" t="s">
        <v>14</v>
      </c>
    </row>
    <row r="6" customFormat="false" ht="15" hidden="false" customHeight="true" outlineLevel="0" collapsed="false">
      <c r="A6" s="5" t="s">
        <v>15</v>
      </c>
      <c r="B6" s="6" t="s">
        <v>16</v>
      </c>
      <c r="C6" s="5" t="s">
        <v>12</v>
      </c>
      <c r="D6" s="5" t="n">
        <f aca="false">SUMIFS('Secteur A'!$H:$H,'Secteur A'!$C:$C,$A6)+SUMIFS('Secteur P'!$H:$H,'Secteur P'!$C:$C,$A6)+SUMIFS(Façade!$H:$H,Façade!$C:$C,$A6)+SUMIFS(Detail_facade_batim!$H:$H,Detail_facade_batim!$C:$C,$A6)</f>
        <v>0</v>
      </c>
      <c r="E6" s="5" t="n">
        <v>4500</v>
      </c>
      <c r="F6" s="5" t="n">
        <f aca="false">IF(E6="","",D6*E6)</f>
        <v>0</v>
      </c>
      <c r="G6" s="6" t="s">
        <v>17</v>
      </c>
      <c r="H6" s="6" t="s">
        <v>14</v>
      </c>
    </row>
    <row r="7" customFormat="false" ht="15" hidden="false" customHeight="true" outlineLevel="0" collapsed="false">
      <c r="A7" s="5" t="s">
        <v>18</v>
      </c>
      <c r="B7" s="6" t="s">
        <v>19</v>
      </c>
      <c r="C7" s="5" t="s">
        <v>12</v>
      </c>
      <c r="D7" s="5" t="n">
        <f aca="false">SUMIFS('Secteur A'!$H:$H,'Secteur A'!$C:$C,$A7)+SUMIFS('Secteur P'!$H:$H,'Secteur P'!$C:$C,$A7)+SUMIFS(Façade!$H:$H,Façade!$C:$C,$A7)+SUMIFS(Detail_facade_batim!$H:$H,Detail_facade_batim!$C:$C,$A7)</f>
        <v>0</v>
      </c>
      <c r="E7" s="5" t="n">
        <v>3000</v>
      </c>
      <c r="F7" s="5" t="n">
        <f aca="false">IF(E7="","",D7*E7)</f>
        <v>0</v>
      </c>
      <c r="G7" s="6" t="s">
        <v>17</v>
      </c>
      <c r="H7" s="6" t="s">
        <v>14</v>
      </c>
    </row>
    <row r="8" customFormat="false" ht="15" hidden="false" customHeight="true" outlineLevel="0" collapsed="false">
      <c r="A8" s="5" t="s">
        <v>20</v>
      </c>
      <c r="B8" s="6" t="s">
        <v>21</v>
      </c>
      <c r="C8" s="5" t="s">
        <v>22</v>
      </c>
      <c r="D8" s="5" t="n">
        <f aca="false">SUMIFS('Secteur A'!$H:$H,'Secteur A'!$C:$C,$A8)+SUMIFS('Secteur P'!$H:$H,'Secteur P'!$C:$C,$A8)+SUMIFS(Façade!$H:$H,Façade!$C:$C,$A8)+SUMIFS(Detail_facade_batim!$H:$H,Detail_facade_batim!$C:$C,$A8)</f>
        <v>99</v>
      </c>
      <c r="E8" s="5" t="n">
        <v>45</v>
      </c>
      <c r="F8" s="5" t="n">
        <f aca="false">IF(E8="","",D8*E8)</f>
        <v>4455</v>
      </c>
      <c r="G8" s="6" t="s">
        <v>23</v>
      </c>
      <c r="H8" s="6" t="s">
        <v>14</v>
      </c>
    </row>
    <row r="9" customFormat="false" ht="15" hidden="false" customHeight="true" outlineLevel="0" collapsed="false">
      <c r="A9" s="5" t="s">
        <v>24</v>
      </c>
      <c r="B9" s="6" t="s">
        <v>25</v>
      </c>
      <c r="C9" s="5" t="s">
        <v>26</v>
      </c>
      <c r="D9" s="5" t="n">
        <f aca="false">SUMIFS('Secteur A'!$H:$H,'Secteur A'!$C:$C,$A9)+SUMIFS('Secteur P'!$H:$H,'Secteur P'!$C:$C,$A9)+SUMIFS(Façade!$H:$H,Façade!$C:$C,$A9)+SUMIFS(Detail_facade_batim!$H:$H,Detail_facade_batim!$C:$C,$A9)</f>
        <v>721</v>
      </c>
      <c r="E9" s="5" t="n">
        <v>14</v>
      </c>
      <c r="F9" s="5" t="n">
        <f aca="false">IF(E9="","",D9*E9)</f>
        <v>10094</v>
      </c>
      <c r="G9" s="6" t="s">
        <v>27</v>
      </c>
      <c r="H9" s="6" t="s">
        <v>14</v>
      </c>
    </row>
    <row r="10" customFormat="false" ht="15" hidden="false" customHeight="true" outlineLevel="0" collapsed="false">
      <c r="A10" s="5" t="s">
        <v>28</v>
      </c>
      <c r="B10" s="6" t="s">
        <v>29</v>
      </c>
      <c r="C10" s="5" t="s">
        <v>30</v>
      </c>
      <c r="D10" s="5" t="n">
        <f aca="false">SUMIFS('Secteur A'!$H:$H,'Secteur A'!$C:$C,$A10)+SUMIFS('Secteur P'!$H:$H,'Secteur P'!$C:$C,$A10)+SUMIFS(Façade!$H:$H,Façade!$C:$C,$A10)+SUMIFS(Detail_facade_batim!$H:$H,Detail_facade_batim!$C:$C,$A10)</f>
        <v>0</v>
      </c>
      <c r="E10" s="5" t="n">
        <v>75</v>
      </c>
      <c r="F10" s="5" t="n">
        <f aca="false">IF(E10="","",D10*E10)</f>
        <v>0</v>
      </c>
      <c r="G10" s="6" t="s">
        <v>17</v>
      </c>
      <c r="H10" s="6" t="s">
        <v>14</v>
      </c>
    </row>
    <row r="11" customFormat="false" ht="15" hidden="false" customHeight="true" outlineLevel="0" collapsed="false">
      <c r="A11" s="5" t="s">
        <v>31</v>
      </c>
      <c r="B11" s="6" t="s">
        <v>32</v>
      </c>
      <c r="C11" s="5" t="s">
        <v>33</v>
      </c>
      <c r="D11" s="5" t="n">
        <f aca="false">SUMIFS('Secteur A'!$H:$H,'Secteur A'!$C:$C,$A11)+SUMIFS('Secteur P'!$H:$H,'Secteur P'!$C:$C,$A11)+SUMIFS(Façade!$H:$H,Façade!$C:$C,$A11)+SUMIFS(Detail_facade_batim!$H:$H,Detail_facade_batim!$C:$C,$A11)</f>
        <v>8</v>
      </c>
      <c r="E11" s="5" t="n">
        <v>472</v>
      </c>
      <c r="F11" s="5" t="n">
        <f aca="false">IF(E11="","",D11*E11)</f>
        <v>3776</v>
      </c>
      <c r="G11" s="6" t="s">
        <v>34</v>
      </c>
      <c r="H11" s="6" t="s">
        <v>14</v>
      </c>
    </row>
    <row r="12" customFormat="false" ht="15" hidden="false" customHeight="true" outlineLevel="0" collapsed="false">
      <c r="A12" s="5" t="s">
        <v>35</v>
      </c>
      <c r="B12" s="6" t="s">
        <v>36</v>
      </c>
      <c r="C12" s="5" t="s">
        <v>22</v>
      </c>
      <c r="D12" s="5" t="n">
        <f aca="false">SUMIFS('Secteur A'!$H:$H,'Secteur A'!$C:$C,$A12)+SUMIFS('Secteur P'!$H:$H,'Secteur P'!$C:$C,$A12)+SUMIFS(Façade!$H:$H,Façade!$C:$C,$A12)+SUMIFS(Detail_facade_batim!$H:$H,Detail_facade_batim!$C:$C,$A12)</f>
        <v>30</v>
      </c>
      <c r="E12" s="5" t="n">
        <v>150</v>
      </c>
      <c r="F12" s="5" t="n">
        <f aca="false">IF(E12="","",D12*E12)</f>
        <v>4500</v>
      </c>
      <c r="G12" s="6" t="s">
        <v>37</v>
      </c>
      <c r="H12" s="6" t="s">
        <v>14</v>
      </c>
    </row>
    <row r="13" customFormat="false" ht="15" hidden="false" customHeight="true" outlineLevel="0" collapsed="false">
      <c r="A13" s="5" t="s">
        <v>38</v>
      </c>
      <c r="B13" s="6" t="s">
        <v>39</v>
      </c>
      <c r="C13" s="5" t="s">
        <v>22</v>
      </c>
      <c r="D13" s="5" t="n">
        <f aca="false">SUMIFS('Secteur A'!$H:$H,'Secteur A'!$C:$C,$A13)+SUMIFS('Secteur P'!$H:$H,'Secteur P'!$C:$C,$A13)+SUMIFS(Façade!$H:$H,Façade!$C:$C,$A13)+SUMIFS(Detail_facade_batim!$H:$H,Detail_facade_batim!$C:$C,$A13)</f>
        <v>0</v>
      </c>
      <c r="E13" s="5" t="n">
        <v>180</v>
      </c>
      <c r="F13" s="5" t="n">
        <f aca="false">IF(E13="","",D13*E13)</f>
        <v>0</v>
      </c>
      <c r="G13" s="6" t="s">
        <v>40</v>
      </c>
      <c r="H13" s="6" t="s">
        <v>14</v>
      </c>
    </row>
    <row r="14" customFormat="false" ht="15" hidden="false" customHeight="true" outlineLevel="0" collapsed="false">
      <c r="A14" s="5" t="s">
        <v>41</v>
      </c>
      <c r="B14" s="6" t="s">
        <v>42</v>
      </c>
      <c r="C14" s="5" t="s">
        <v>43</v>
      </c>
      <c r="D14" s="5" t="n">
        <f aca="false">SUMIFS('Secteur A'!$H:$H,'Secteur A'!$C:$C,$A14)+SUMIFS('Secteur P'!$H:$H,'Secteur P'!$C:$C,$A14)+SUMIFS(Façade!$H:$H,Façade!$C:$C,$A14)+SUMIFS(Detail_facade_batim!$H:$H,Detail_facade_batim!$C:$C,$A14)</f>
        <v>1</v>
      </c>
      <c r="E14" s="5" t="n">
        <v>2500</v>
      </c>
      <c r="F14" s="5" t="n">
        <f aca="false">IF(E14="","",D14*E14)</f>
        <v>2500</v>
      </c>
      <c r="G14" s="6" t="s">
        <v>44</v>
      </c>
      <c r="H14" s="6" t="s">
        <v>14</v>
      </c>
    </row>
    <row r="15" customFormat="false" ht="15" hidden="false" customHeight="true" outlineLevel="0" collapsed="false">
      <c r="A15" s="5" t="s">
        <v>45</v>
      </c>
      <c r="B15" s="6" t="s">
        <v>46</v>
      </c>
      <c r="C15" s="5" t="s">
        <v>43</v>
      </c>
      <c r="D15" s="5" t="n">
        <f aca="false">SUMIFS('Secteur A'!$H:$H,'Secteur A'!$C:$C,$A15)+SUMIFS('Secteur P'!$H:$H,'Secteur P'!$C:$C,$A15)+SUMIFS(Façade!$H:$H,Façade!$C:$C,$A15)+SUMIFS(Detail_facade_batim!$H:$H,Detail_facade_batim!$C:$C,$A15)</f>
        <v>1</v>
      </c>
      <c r="E15" s="5" t="n">
        <v>4200</v>
      </c>
      <c r="F15" s="5" t="n">
        <f aca="false">IF(E15="","",D15*E15)</f>
        <v>4200</v>
      </c>
      <c r="G15" s="6" t="s">
        <v>44</v>
      </c>
      <c r="H15" s="6" t="s">
        <v>14</v>
      </c>
    </row>
    <row r="16" customFormat="false" ht="15" hidden="false" customHeight="true" outlineLevel="0" collapsed="false">
      <c r="A16" s="5" t="s">
        <v>47</v>
      </c>
      <c r="B16" s="6" t="s">
        <v>48</v>
      </c>
      <c r="C16" s="5" t="s">
        <v>43</v>
      </c>
      <c r="D16" s="5" t="n">
        <f aca="false">SUMIFS('Secteur A'!$H:$H,'Secteur A'!$C:$C,$A16)+SUMIFS('Secteur P'!$H:$H,'Secteur P'!$C:$C,$A16)+SUMIFS(Façade!$H:$H,Façade!$C:$C,$A16)+SUMIFS(Detail_facade_batim!$H:$H,Detail_facade_batim!$C:$C,$A16)</f>
        <v>1</v>
      </c>
      <c r="E16" s="5" t="n">
        <v>5000</v>
      </c>
      <c r="F16" s="5" t="n">
        <f aca="false">IF(E16="","",D16*E16)</f>
        <v>5000</v>
      </c>
      <c r="G16" s="6" t="s">
        <v>49</v>
      </c>
      <c r="H16" s="6" t="s">
        <v>14</v>
      </c>
    </row>
    <row r="17" customFormat="false" ht="15" hidden="false" customHeight="true" outlineLevel="0" collapsed="false">
      <c r="A17" s="5" t="s">
        <v>50</v>
      </c>
      <c r="B17" s="6" t="s">
        <v>51</v>
      </c>
      <c r="C17" s="5" t="s">
        <v>22</v>
      </c>
      <c r="D17" s="5" t="n">
        <f aca="false">SUMIFS('Secteur A'!$H:$H,'Secteur A'!$C:$C,$A17)+SUMIFS('Secteur P'!$H:$H,'Secteur P'!$C:$C,$A17)+SUMIFS(Façade!$H:$H,Façade!$C:$C,$A17)+SUMIFS(Detail_facade_batim!$H:$H,Detail_facade_batim!$C:$C,$A17)</f>
        <v>0</v>
      </c>
      <c r="E17" s="5" t="n">
        <v>180</v>
      </c>
      <c r="F17" s="5" t="n">
        <f aca="false">IF(E17="","",D17*E17)</f>
        <v>0</v>
      </c>
      <c r="G17" s="6" t="s">
        <v>49</v>
      </c>
      <c r="H17" s="6" t="s">
        <v>14</v>
      </c>
    </row>
    <row r="18" customFormat="false" ht="15" hidden="false" customHeight="true" outlineLevel="0" collapsed="false">
      <c r="A18" s="5" t="s">
        <v>52</v>
      </c>
      <c r="B18" s="6" t="s">
        <v>53</v>
      </c>
      <c r="C18" s="5" t="s">
        <v>22</v>
      </c>
      <c r="D18" s="5" t="n">
        <f aca="false">SUMIFS('Secteur A'!$H:$H,'Secteur A'!$C:$C,$A18)+SUMIFS('Secteur P'!$H:$H,'Secteur P'!$C:$C,$A18)+SUMIFS(Façade!$H:$H,Façade!$C:$C,$A18)+SUMIFS(Detail_facade_batim!$H:$H,Detail_facade_batim!$C:$C,$A18)</f>
        <v>0</v>
      </c>
      <c r="E18" s="5" t="n">
        <v>107</v>
      </c>
      <c r="F18" s="5" t="n">
        <f aca="false">IF(E18="","",D18*E18)</f>
        <v>0</v>
      </c>
      <c r="G18" s="6" t="s">
        <v>23</v>
      </c>
      <c r="H18" s="6" t="s">
        <v>14</v>
      </c>
    </row>
    <row r="19" customFormat="false" ht="15" hidden="false" customHeight="true" outlineLevel="0" collapsed="false">
      <c r="A19" s="5" t="s">
        <v>54</v>
      </c>
      <c r="B19" s="6" t="s">
        <v>55</v>
      </c>
      <c r="C19" s="5" t="s">
        <v>43</v>
      </c>
      <c r="D19" s="5" t="n">
        <f aca="false">SUMIFS('Secteur A'!$H:$H,'Secteur A'!$C:$C,$A19)+SUMIFS('Secteur P'!$H:$H,'Secteur P'!$C:$C,$A19)+SUMIFS(Façade!$H:$H,Façade!$C:$C,$A19)+SUMIFS(Detail_facade_batim!$H:$H,Detail_facade_batim!$C:$C,$A19)</f>
        <v>1</v>
      </c>
      <c r="E19" s="5" t="n">
        <v>15000</v>
      </c>
      <c r="F19" s="5" t="n">
        <f aca="false">IF(E19="","",D19*E19)</f>
        <v>15000</v>
      </c>
      <c r="G19" s="6" t="s">
        <v>44</v>
      </c>
      <c r="H19" s="6" t="s">
        <v>14</v>
      </c>
    </row>
    <row r="20" customFormat="false" ht="15" hidden="false" customHeight="true" outlineLevel="0" collapsed="false">
      <c r="A20" s="5" t="s">
        <v>56</v>
      </c>
      <c r="B20" s="6" t="s">
        <v>57</v>
      </c>
      <c r="C20" s="5" t="s">
        <v>30</v>
      </c>
      <c r="D20" s="5" t="n">
        <f aca="false">SUMIFS('Secteur A'!$H:$H,'Secteur A'!$C:$C,$A20)+SUMIFS('Secteur P'!$H:$H,'Secteur P'!$C:$C,$A20)+SUMIFS(Façade!$H:$H,Façade!$C:$C,$A20)+SUMIFS(Detail_facade_batim!$H:$H,Detail_facade_batim!$C:$C,$A20)</f>
        <v>0</v>
      </c>
      <c r="E20" s="5" t="n">
        <v>81</v>
      </c>
      <c r="F20" s="5" t="n">
        <f aca="false">IF(E20="","",D20*E20)</f>
        <v>0</v>
      </c>
      <c r="G20" s="6" t="s">
        <v>17</v>
      </c>
      <c r="H20" s="6" t="s">
        <v>14</v>
      </c>
    </row>
    <row r="21" customFormat="false" ht="15" hidden="false" customHeight="true" outlineLevel="0" collapsed="false">
      <c r="A21" s="5" t="s">
        <v>58</v>
      </c>
      <c r="B21" s="6" t="s">
        <v>59</v>
      </c>
      <c r="C21" s="5" t="s">
        <v>26</v>
      </c>
      <c r="D21" s="5" t="n">
        <f aca="false">SUMIFS('Secteur A'!$H:$H,'Secteur A'!$C:$C,$A21)+SUMIFS('Secteur P'!$H:$H,'Secteur P'!$C:$C,$A21)+SUMIFS(Façade!$H:$H,Façade!$C:$C,$A21)+SUMIFS(Detail_facade_batim!$H:$H,Detail_facade_batim!$C:$C,$A21)</f>
        <v>721</v>
      </c>
      <c r="E21" s="5" t="n">
        <v>65</v>
      </c>
      <c r="F21" s="5" t="n">
        <f aca="false">IF(E21="","",D21*E21)</f>
        <v>46865</v>
      </c>
      <c r="G21" s="6" t="s">
        <v>60</v>
      </c>
      <c r="H21" s="6" t="s">
        <v>14</v>
      </c>
    </row>
    <row r="22" customFormat="false" ht="15" hidden="false" customHeight="true" outlineLevel="0" collapsed="false">
      <c r="A22" s="5" t="s">
        <v>61</v>
      </c>
      <c r="B22" s="6" t="s">
        <v>62</v>
      </c>
      <c r="C22" s="5" t="s">
        <v>26</v>
      </c>
      <c r="D22" s="5" t="n">
        <f aca="false">SUMIFS('Secteur A'!$H:$H,'Secteur A'!$C:$C,$A22)+SUMIFS('Secteur P'!$H:$H,'Secteur P'!$C:$C,$A22)+SUMIFS(Façade!$H:$H,Façade!$C:$C,$A22)+SUMIFS(Detail_facade_batim!$H:$H,Detail_facade_batim!$C:$C,$A22)</f>
        <v>0</v>
      </c>
      <c r="E22" s="5" t="n">
        <v>18</v>
      </c>
      <c r="F22" s="5" t="n">
        <f aca="false">IF(E22="","",D22*E22)</f>
        <v>0</v>
      </c>
      <c r="G22" s="6" t="s">
        <v>63</v>
      </c>
      <c r="H22" s="6" t="s">
        <v>14</v>
      </c>
    </row>
    <row r="23" customFormat="false" ht="15" hidden="false" customHeight="true" outlineLevel="0" collapsed="false">
      <c r="A23" s="5" t="s">
        <v>64</v>
      </c>
      <c r="B23" s="6" t="s">
        <v>65</v>
      </c>
      <c r="C23" s="5" t="s">
        <v>43</v>
      </c>
      <c r="D23" s="5" t="n">
        <f aca="false">SUMIFS('Secteur A'!$H:$H,'Secteur A'!$C:$C,$A23)+SUMIFS('Secteur P'!$H:$H,'Secteur P'!$C:$C,$A23)+SUMIFS(Façade!$H:$H,Façade!$C:$C,$A23)+SUMIFS(Detail_facade_batim!$H:$H,Detail_facade_batim!$C:$C,$A23)</f>
        <v>1</v>
      </c>
      <c r="E23" s="5" t="n">
        <v>1200</v>
      </c>
      <c r="F23" s="5" t="n">
        <f aca="false">IF(E23="","",D23*E23)</f>
        <v>1200</v>
      </c>
      <c r="G23" s="6" t="s">
        <v>66</v>
      </c>
      <c r="H23" s="6" t="s">
        <v>14</v>
      </c>
    </row>
    <row r="24" customFormat="false" ht="15" hidden="false" customHeight="true" outlineLevel="0" collapsed="false">
      <c r="A24" s="5" t="s">
        <v>67</v>
      </c>
      <c r="B24" s="6" t="s">
        <v>68</v>
      </c>
      <c r="C24" s="5" t="s">
        <v>12</v>
      </c>
      <c r="D24" s="5" t="n">
        <f aca="false">SUMIFS('Secteur A'!$H:$H,'Secteur A'!$C:$C,$A24)+SUMIFS('Secteur P'!$H:$H,'Secteur P'!$C:$C,$A24)+SUMIFS(Façade!$H:$H,Façade!$C:$C,$A24)+SUMIFS(Detail_facade_batim!$H:$H,Detail_facade_batim!$C:$C,$A24)</f>
        <v>0</v>
      </c>
      <c r="E24" s="5" t="n">
        <v>3000</v>
      </c>
      <c r="F24" s="5" t="n">
        <f aca="false">IF(E24="","",D24*E24)</f>
        <v>0</v>
      </c>
      <c r="G24" s="6" t="s">
        <v>69</v>
      </c>
      <c r="H24" s="6" t="s">
        <v>14</v>
      </c>
    </row>
    <row r="25" customFormat="false" ht="15" hidden="false" customHeight="true" outlineLevel="0" collapsed="false">
      <c r="A25" s="5" t="s">
        <v>70</v>
      </c>
      <c r="B25" s="6" t="s">
        <v>71</v>
      </c>
      <c r="C25" s="5" t="s">
        <v>12</v>
      </c>
      <c r="D25" s="5" t="n">
        <f aca="false">SUMIFS('Secteur A'!$H:$H,'Secteur A'!$C:$C,$A25)+SUMIFS('Secteur P'!$H:$H,'Secteur P'!$C:$C,$A25)+SUMIFS(Façade!$H:$H,Façade!$C:$C,$A25)+SUMIFS(Detail_facade_batim!$H:$H,Detail_facade_batim!$C:$C,$A25)</f>
        <v>0</v>
      </c>
      <c r="E25" s="5" t="n">
        <v>4500</v>
      </c>
      <c r="F25" s="5" t="n">
        <f aca="false">IF(E25="","",D25*E25)</f>
        <v>0</v>
      </c>
      <c r="G25" s="6" t="s">
        <v>17</v>
      </c>
      <c r="H25" s="6" t="s">
        <v>14</v>
      </c>
    </row>
    <row r="26" customFormat="false" ht="15" hidden="false" customHeight="true" outlineLevel="0" collapsed="false">
      <c r="A26" s="5"/>
      <c r="B26" s="6"/>
      <c r="C26" s="5"/>
      <c r="D26" s="5"/>
      <c r="E26" s="5"/>
      <c r="F26" s="5"/>
      <c r="G26" s="6"/>
      <c r="H26" s="6"/>
    </row>
    <row r="27" customFormat="false" ht="15" hidden="false" customHeight="false" outlineLevel="0" collapsed="false">
      <c r="D27" s="1" t="s">
        <v>72</v>
      </c>
      <c r="F27" s="1" t="n">
        <f aca="false">SUM(F5:F25)</f>
        <v>100090</v>
      </c>
    </row>
    <row r="28" customFormat="false" ht="15" hidden="false" customHeight="true" outlineLevel="0" collapsed="false">
      <c r="D28" s="7"/>
      <c r="F28" s="7"/>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D12" activeCellId="0" sqref="D12"/>
    </sheetView>
  </sheetViews>
  <sheetFormatPr defaultColWidth="8.54296875" defaultRowHeight="15" customHeight="true" zeroHeight="false" outlineLevelRow="0" outlineLevelCol="0"/>
  <cols>
    <col collapsed="false" customWidth="true" hidden="false" outlineLevel="0" max="1" min="1" style="1" width="14"/>
    <col collapsed="false" customWidth="true" hidden="false" outlineLevel="0" max="2" min="2" style="1" width="24"/>
    <col collapsed="false" customWidth="true" hidden="false" outlineLevel="0" max="3" min="3" style="1" width="12"/>
    <col collapsed="false" customWidth="true" hidden="false" outlineLevel="0" max="4" min="4" style="1" width="48"/>
    <col collapsed="false" customWidth="true" hidden="false" outlineLevel="0" max="5" min="5" style="1" width="10"/>
    <col collapsed="false" customWidth="true" hidden="false" outlineLevel="0" max="8" min="6" style="1" width="16"/>
    <col collapsed="false" customWidth="true" hidden="false" outlineLevel="0" max="9" min="9" style="1" width="40"/>
    <col collapsed="false" customWidth="true" hidden="false" outlineLevel="0" max="10" min="10" style="1" width="44"/>
  </cols>
  <sheetData>
    <row r="1" customFormat="false" ht="15.75" hidden="false" customHeight="true" outlineLevel="0" collapsed="false">
      <c r="A1" s="8" t="s">
        <v>73</v>
      </c>
      <c r="B1" s="8"/>
      <c r="C1" s="8"/>
      <c r="D1" s="8"/>
      <c r="E1" s="8"/>
      <c r="F1" s="8"/>
      <c r="G1" s="8"/>
      <c r="H1" s="8"/>
      <c r="I1" s="8"/>
      <c r="J1" s="8"/>
    </row>
    <row r="3" customFormat="false" ht="26.25" hidden="false" customHeight="true" outlineLevel="0" collapsed="false">
      <c r="A3" s="4" t="s">
        <v>74</v>
      </c>
      <c r="B3" s="4" t="s">
        <v>75</v>
      </c>
      <c r="C3" s="4" t="s">
        <v>2</v>
      </c>
      <c r="D3" s="4" t="s">
        <v>3</v>
      </c>
      <c r="E3" s="4" t="s">
        <v>4</v>
      </c>
      <c r="F3" s="4" t="s">
        <v>76</v>
      </c>
      <c r="G3" s="4" t="s">
        <v>77</v>
      </c>
      <c r="H3" s="4" t="s">
        <v>78</v>
      </c>
      <c r="I3" s="4" t="s">
        <v>79</v>
      </c>
      <c r="J3" s="4" t="s">
        <v>80</v>
      </c>
    </row>
    <row r="4" customFormat="false" ht="24" hidden="false" customHeight="true" outlineLevel="0" collapsed="false">
      <c r="A4" s="5" t="s">
        <v>81</v>
      </c>
      <c r="B4" s="6" t="s">
        <v>82</v>
      </c>
      <c r="C4" s="5" t="s">
        <v>20</v>
      </c>
      <c r="D4" s="6" t="s">
        <v>21</v>
      </c>
      <c r="E4" s="5" t="s">
        <v>22</v>
      </c>
      <c r="F4" s="5" t="n">
        <v>99</v>
      </c>
      <c r="G4" s="5" t="n">
        <v>1</v>
      </c>
      <c r="H4" s="5" t="n">
        <f aca="false">IF(F4="","",F4*G4)</f>
        <v>99</v>
      </c>
      <c r="I4" s="6" t="s">
        <v>83</v>
      </c>
      <c r="J4" s="6"/>
    </row>
    <row r="5" customFormat="false" ht="24" hidden="false" customHeight="true" outlineLevel="0" collapsed="false">
      <c r="A5" s="5" t="s">
        <v>81</v>
      </c>
      <c r="B5" s="6" t="s">
        <v>82</v>
      </c>
      <c r="C5" s="5" t="s">
        <v>24</v>
      </c>
      <c r="D5" s="6" t="s">
        <v>25</v>
      </c>
      <c r="E5" s="5" t="s">
        <v>26</v>
      </c>
      <c r="F5" s="5" t="n">
        <v>557</v>
      </c>
      <c r="G5" s="5" t="n">
        <v>1</v>
      </c>
      <c r="H5" s="5" t="n">
        <f aca="false">IF(F5="","",F5*G5)</f>
        <v>557</v>
      </c>
      <c r="I5" s="6" t="s">
        <v>84</v>
      </c>
      <c r="J5" s="6" t="s">
        <v>85</v>
      </c>
    </row>
    <row r="6" customFormat="false" ht="24" hidden="false" customHeight="true" outlineLevel="0" collapsed="false">
      <c r="A6" s="5" t="s">
        <v>81</v>
      </c>
      <c r="B6" s="6" t="s">
        <v>82</v>
      </c>
      <c r="C6" s="5" t="s">
        <v>52</v>
      </c>
      <c r="D6" s="6" t="s">
        <v>53</v>
      </c>
      <c r="E6" s="5" t="s">
        <v>22</v>
      </c>
      <c r="F6" s="5" t="n">
        <v>0</v>
      </c>
      <c r="G6" s="5" t="n">
        <v>1</v>
      </c>
      <c r="H6" s="5" t="n">
        <f aca="false">IF(F6="","",F6*G6)</f>
        <v>0</v>
      </c>
      <c r="I6" s="6" t="s">
        <v>86</v>
      </c>
      <c r="J6" s="6"/>
    </row>
    <row r="7" customFormat="false" ht="24" hidden="false" customHeight="true" outlineLevel="0" collapsed="false">
      <c r="A7" s="5" t="s">
        <v>81</v>
      </c>
      <c r="B7" s="6" t="s">
        <v>82</v>
      </c>
      <c r="C7" s="5" t="s">
        <v>56</v>
      </c>
      <c r="D7" s="6" t="s">
        <v>57</v>
      </c>
      <c r="E7" s="5" t="s">
        <v>30</v>
      </c>
      <c r="F7" s="5" t="n">
        <v>0</v>
      </c>
      <c r="G7" s="5" t="n">
        <v>1</v>
      </c>
      <c r="H7" s="5" t="n">
        <f aca="false">IF(F7="","",F7*G7)</f>
        <v>0</v>
      </c>
      <c r="I7" s="6" t="s">
        <v>87</v>
      </c>
      <c r="J7" s="6"/>
    </row>
    <row r="8" customFormat="false" ht="24" hidden="false" customHeight="true" outlineLevel="0" collapsed="false">
      <c r="A8" s="5" t="s">
        <v>81</v>
      </c>
      <c r="B8" s="6" t="s">
        <v>82</v>
      </c>
      <c r="C8" s="5" t="s">
        <v>64</v>
      </c>
      <c r="D8" s="6" t="s">
        <v>65</v>
      </c>
      <c r="E8" s="5" t="s">
        <v>43</v>
      </c>
      <c r="F8" s="5" t="n">
        <v>1</v>
      </c>
      <c r="G8" s="5" t="n">
        <v>1</v>
      </c>
      <c r="H8" s="5" t="n">
        <f aca="false">IF(F8="","",F8*G8)</f>
        <v>1</v>
      </c>
      <c r="I8" s="6" t="s">
        <v>88</v>
      </c>
      <c r="J8" s="6"/>
    </row>
    <row r="9" customFormat="false" ht="24" hidden="false" customHeight="true" outlineLevel="0" collapsed="false">
      <c r="A9" s="5" t="s">
        <v>81</v>
      </c>
      <c r="B9" s="6" t="s">
        <v>82</v>
      </c>
      <c r="C9" s="5" t="s">
        <v>58</v>
      </c>
      <c r="D9" s="6" t="s">
        <v>89</v>
      </c>
      <c r="E9" s="5" t="s">
        <v>26</v>
      </c>
      <c r="F9" s="5" t="n">
        <v>557</v>
      </c>
      <c r="G9" s="5" t="n">
        <v>1</v>
      </c>
      <c r="H9" s="5" t="n">
        <f aca="false">IF(F9="","",F9*G9)</f>
        <v>557</v>
      </c>
      <c r="I9" s="6" t="s">
        <v>90</v>
      </c>
      <c r="J9" s="6" t="s">
        <v>91</v>
      </c>
    </row>
    <row r="10" customFormat="false" ht="24" hidden="false" customHeight="true" outlineLevel="0" collapsed="false">
      <c r="A10" s="5" t="s">
        <v>81</v>
      </c>
      <c r="B10" s="6" t="s">
        <v>82</v>
      </c>
      <c r="C10" s="5" t="s">
        <v>61</v>
      </c>
      <c r="D10" s="6" t="s">
        <v>62</v>
      </c>
      <c r="E10" s="5" t="s">
        <v>26</v>
      </c>
      <c r="F10" s="5" t="n">
        <v>0</v>
      </c>
      <c r="G10" s="5" t="n">
        <v>1</v>
      </c>
      <c r="H10" s="5" t="n">
        <f aca="false">IF(F10="","",F10*G10)</f>
        <v>0</v>
      </c>
      <c r="I10" s="6" t="s">
        <v>92</v>
      </c>
      <c r="J10" s="6" t="s">
        <v>93</v>
      </c>
    </row>
    <row r="11" customFormat="false" ht="26.25" hidden="false" customHeight="true" outlineLevel="0" collapsed="false">
      <c r="A11" s="9" t="s">
        <v>94</v>
      </c>
      <c r="B11" s="6"/>
      <c r="C11" s="5"/>
      <c r="D11" s="6"/>
      <c r="E11" s="5"/>
      <c r="F11" s="5"/>
      <c r="G11" s="5"/>
      <c r="H11" s="10" t="n">
        <f aca="false">SUM(H4:H10)</f>
        <v>1214</v>
      </c>
      <c r="I11" s="6"/>
      <c r="J11" s="6"/>
    </row>
    <row r="12" customFormat="false" ht="15" hidden="false" customHeight="true" outlineLevel="0" collapsed="false">
      <c r="A12" s="5"/>
      <c r="B12" s="6"/>
      <c r="C12" s="5"/>
      <c r="D12" s="6"/>
      <c r="E12" s="5"/>
      <c r="F12" s="5"/>
      <c r="G12" s="5"/>
      <c r="H12" s="5"/>
      <c r="I12" s="6"/>
      <c r="J12" s="6"/>
    </row>
    <row r="14" customFormat="false" ht="15" hidden="false" customHeight="true" outlineLevel="0" collapsed="false">
      <c r="A14" s="11"/>
      <c r="H14" s="11"/>
    </row>
  </sheetData>
  <mergeCells count="1">
    <mergeCell ref="A1:J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B10" activeCellId="0" sqref="B10"/>
    </sheetView>
  </sheetViews>
  <sheetFormatPr defaultColWidth="8.54296875" defaultRowHeight="15" customHeight="true" zeroHeight="false" outlineLevelRow="0" outlineLevelCol="0"/>
  <cols>
    <col collapsed="false" customWidth="true" hidden="false" outlineLevel="0" max="1" min="1" style="1" width="14"/>
    <col collapsed="false" customWidth="true" hidden="false" outlineLevel="0" max="2" min="2" style="1" width="24"/>
    <col collapsed="false" customWidth="true" hidden="false" outlineLevel="0" max="3" min="3" style="1" width="12"/>
    <col collapsed="false" customWidth="true" hidden="false" outlineLevel="0" max="4" min="4" style="1" width="48"/>
    <col collapsed="false" customWidth="true" hidden="false" outlineLevel="0" max="5" min="5" style="1" width="10"/>
    <col collapsed="false" customWidth="true" hidden="false" outlineLevel="0" max="8" min="6" style="1" width="16"/>
    <col collapsed="false" customWidth="true" hidden="false" outlineLevel="0" max="9" min="9" style="1" width="40"/>
    <col collapsed="false" customWidth="true" hidden="false" outlineLevel="0" max="10" min="10" style="1" width="44"/>
  </cols>
  <sheetData>
    <row r="1" customFormat="false" ht="15.75" hidden="false" customHeight="true" outlineLevel="0" collapsed="false">
      <c r="A1" s="8" t="s">
        <v>95</v>
      </c>
      <c r="B1" s="8"/>
      <c r="C1" s="8"/>
      <c r="D1" s="8"/>
      <c r="E1" s="8"/>
      <c r="F1" s="8"/>
      <c r="G1" s="8"/>
      <c r="H1" s="8"/>
      <c r="I1" s="8"/>
      <c r="J1" s="8"/>
    </row>
    <row r="3" customFormat="false" ht="26.25" hidden="false" customHeight="true" outlineLevel="0" collapsed="false">
      <c r="A3" s="4" t="s">
        <v>74</v>
      </c>
      <c r="B3" s="4" t="s">
        <v>75</v>
      </c>
      <c r="C3" s="4" t="s">
        <v>2</v>
      </c>
      <c r="D3" s="4" t="s">
        <v>3</v>
      </c>
      <c r="E3" s="4" t="s">
        <v>4</v>
      </c>
      <c r="F3" s="4" t="s">
        <v>76</v>
      </c>
      <c r="G3" s="4" t="s">
        <v>77</v>
      </c>
      <c r="H3" s="4" t="s">
        <v>78</v>
      </c>
      <c r="I3" s="4" t="s">
        <v>79</v>
      </c>
      <c r="J3" s="4" t="s">
        <v>80</v>
      </c>
    </row>
    <row r="4" customFormat="false" ht="15" hidden="false" customHeight="true" outlineLevel="0" collapsed="false">
      <c r="A4" s="5" t="s">
        <v>96</v>
      </c>
      <c r="B4" s="6" t="s">
        <v>97</v>
      </c>
      <c r="C4" s="5" t="s">
        <v>58</v>
      </c>
      <c r="D4" s="6" t="s">
        <v>59</v>
      </c>
      <c r="E4" s="5" t="s">
        <v>26</v>
      </c>
      <c r="F4" s="5" t="n">
        <v>84</v>
      </c>
      <c r="G4" s="5" t="n">
        <v>1</v>
      </c>
      <c r="H4" s="5" t="n">
        <f aca="false">IF(F4="","",F4*G4)</f>
        <v>84</v>
      </c>
      <c r="I4" s="6" t="s">
        <v>98</v>
      </c>
      <c r="J4" s="6"/>
    </row>
    <row r="5" customFormat="false" ht="15" hidden="false" customHeight="true" outlineLevel="0" collapsed="false">
      <c r="A5" s="5" t="s">
        <v>96</v>
      </c>
      <c r="B5" s="6" t="s">
        <v>99</v>
      </c>
      <c r="C5" s="5" t="s">
        <v>58</v>
      </c>
      <c r="D5" s="6" t="s">
        <v>59</v>
      </c>
      <c r="E5" s="5" t="s">
        <v>26</v>
      </c>
      <c r="F5" s="5" t="n">
        <v>80</v>
      </c>
      <c r="G5" s="5" t="n">
        <v>1</v>
      </c>
      <c r="H5" s="5" t="n">
        <f aca="false">IF(F5="","",F5*G5)</f>
        <v>80</v>
      </c>
      <c r="I5" s="6" t="s">
        <v>98</v>
      </c>
      <c r="J5" s="6"/>
    </row>
    <row r="6" customFormat="false" ht="15" hidden="false" customHeight="true" outlineLevel="0" collapsed="false">
      <c r="A6" s="5" t="s">
        <v>96</v>
      </c>
      <c r="B6" s="6" t="s">
        <v>100</v>
      </c>
      <c r="C6" s="5" t="s">
        <v>47</v>
      </c>
      <c r="D6" s="6" t="s">
        <v>48</v>
      </c>
      <c r="E6" s="5" t="s">
        <v>43</v>
      </c>
      <c r="F6" s="5" t="n">
        <v>1</v>
      </c>
      <c r="G6" s="5" t="n">
        <v>1</v>
      </c>
      <c r="H6" s="5" t="n">
        <f aca="false">IF(F6="","",F6*G6)</f>
        <v>1</v>
      </c>
      <c r="I6" s="6" t="s">
        <v>101</v>
      </c>
      <c r="J6" s="6"/>
    </row>
    <row r="7" customFormat="false" ht="15" hidden="false" customHeight="true" outlineLevel="0" collapsed="false">
      <c r="A7" s="5" t="s">
        <v>96</v>
      </c>
      <c r="B7" s="6" t="s">
        <v>100</v>
      </c>
      <c r="C7" s="5" t="s">
        <v>38</v>
      </c>
      <c r="D7" s="6" t="s">
        <v>102</v>
      </c>
      <c r="E7" s="5" t="s">
        <v>22</v>
      </c>
      <c r="F7" s="5" t="n">
        <v>0</v>
      </c>
      <c r="G7" s="5" t="n">
        <v>1</v>
      </c>
      <c r="H7" s="5" t="n">
        <f aca="false">IF(F7="","",F7*G7)</f>
        <v>0</v>
      </c>
      <c r="I7" s="6" t="s">
        <v>103</v>
      </c>
      <c r="J7" s="6"/>
    </row>
    <row r="8" customFormat="false" ht="15" hidden="false" customHeight="true" outlineLevel="0" collapsed="false">
      <c r="A8" s="5" t="s">
        <v>96</v>
      </c>
      <c r="B8" s="6" t="s">
        <v>100</v>
      </c>
      <c r="C8" s="5" t="s">
        <v>50</v>
      </c>
      <c r="D8" s="6" t="s">
        <v>104</v>
      </c>
      <c r="E8" s="5" t="s">
        <v>22</v>
      </c>
      <c r="F8" s="5" t="n">
        <v>0</v>
      </c>
      <c r="G8" s="5" t="n">
        <v>1</v>
      </c>
      <c r="H8" s="5" t="n">
        <f aca="false">IF(F8="","",F8*G8)</f>
        <v>0</v>
      </c>
      <c r="I8" s="6" t="s">
        <v>105</v>
      </c>
      <c r="J8" s="6"/>
    </row>
    <row r="9" customFormat="false" ht="15" hidden="false" customHeight="true" outlineLevel="0" collapsed="false">
      <c r="A9" s="5" t="s">
        <v>96</v>
      </c>
      <c r="B9" s="6" t="s">
        <v>100</v>
      </c>
      <c r="C9" s="5" t="s">
        <v>24</v>
      </c>
      <c r="D9" s="6" t="s">
        <v>106</v>
      </c>
      <c r="E9" s="5" t="s">
        <v>26</v>
      </c>
      <c r="F9" s="5" t="n">
        <v>164</v>
      </c>
      <c r="G9" s="5" t="n">
        <v>1</v>
      </c>
      <c r="H9" s="5" t="n">
        <f aca="false">IF(F9="","",F9*G9)</f>
        <v>164</v>
      </c>
      <c r="I9" s="6" t="s">
        <v>107</v>
      </c>
      <c r="J9" s="6"/>
    </row>
    <row r="11" customFormat="false" ht="15" hidden="false" customHeight="true" outlineLevel="0" collapsed="false">
      <c r="A11" s="11" t="s">
        <v>94</v>
      </c>
      <c r="H11" s="11" t="n">
        <f aca="false">SUM(H4:H9)</f>
        <v>329</v>
      </c>
    </row>
  </sheetData>
  <mergeCells count="1">
    <mergeCell ref="A1:J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D13" activeCellId="0" sqref="D13"/>
    </sheetView>
  </sheetViews>
  <sheetFormatPr defaultColWidth="8.54296875" defaultRowHeight="15" customHeight="true" zeroHeight="false" outlineLevelRow="0" outlineLevelCol="0"/>
  <cols>
    <col collapsed="false" customWidth="true" hidden="false" outlineLevel="0" max="1" min="1" style="1" width="16.69"/>
    <col collapsed="false" customWidth="true" hidden="false" outlineLevel="0" max="2" min="2" style="1" width="24"/>
    <col collapsed="false" customWidth="true" hidden="false" outlineLevel="0" max="3" min="3" style="1" width="12"/>
    <col collapsed="false" customWidth="true" hidden="false" outlineLevel="0" max="4" min="4" style="1" width="48"/>
    <col collapsed="false" customWidth="true" hidden="false" outlineLevel="0" max="5" min="5" style="1" width="10"/>
    <col collapsed="false" customWidth="true" hidden="false" outlineLevel="0" max="8" min="6" style="1" width="16"/>
    <col collapsed="false" customWidth="true" hidden="false" outlineLevel="0" max="9" min="9" style="1" width="40"/>
    <col collapsed="false" customWidth="true" hidden="false" outlineLevel="0" max="10" min="10" style="1" width="44"/>
  </cols>
  <sheetData>
    <row r="1" customFormat="false" ht="15.75" hidden="false" customHeight="true" outlineLevel="0" collapsed="false">
      <c r="A1" s="8" t="s">
        <v>108</v>
      </c>
      <c r="B1" s="8"/>
      <c r="C1" s="8"/>
      <c r="D1" s="8"/>
      <c r="E1" s="8"/>
      <c r="F1" s="8"/>
      <c r="G1" s="8"/>
      <c r="H1" s="8"/>
      <c r="I1" s="8"/>
      <c r="J1" s="8"/>
    </row>
    <row r="3" customFormat="false" ht="26.25" hidden="false" customHeight="true" outlineLevel="0" collapsed="false">
      <c r="A3" s="4" t="s">
        <v>74</v>
      </c>
      <c r="B3" s="4" t="s">
        <v>75</v>
      </c>
      <c r="C3" s="4" t="s">
        <v>2</v>
      </c>
      <c r="D3" s="4" t="s">
        <v>3</v>
      </c>
      <c r="E3" s="4" t="s">
        <v>4</v>
      </c>
      <c r="F3" s="4" t="s">
        <v>76</v>
      </c>
      <c r="G3" s="4" t="s">
        <v>77</v>
      </c>
      <c r="H3" s="4" t="s">
        <v>78</v>
      </c>
      <c r="I3" s="4" t="s">
        <v>79</v>
      </c>
      <c r="J3" s="4" t="s">
        <v>80</v>
      </c>
    </row>
    <row r="4" customFormat="false" ht="24" hidden="false" customHeight="true" outlineLevel="0" collapsed="false">
      <c r="A4" s="5" t="s">
        <v>109</v>
      </c>
      <c r="B4" s="6" t="s">
        <v>44</v>
      </c>
      <c r="C4" s="5" t="s">
        <v>31</v>
      </c>
      <c r="D4" s="6" t="s">
        <v>110</v>
      </c>
      <c r="E4" s="5" t="s">
        <v>33</v>
      </c>
      <c r="F4" s="5" t="n">
        <v>8</v>
      </c>
      <c r="G4" s="5" t="n">
        <v>1</v>
      </c>
      <c r="H4" s="5" t="n">
        <f aca="false">IF(F4="","",F4*G4)</f>
        <v>8</v>
      </c>
      <c r="I4" s="6" t="s">
        <v>111</v>
      </c>
      <c r="J4" s="6"/>
    </row>
    <row r="5" customFormat="false" ht="15" hidden="false" customHeight="true" outlineLevel="0" collapsed="false">
      <c r="A5" s="5" t="s">
        <v>109</v>
      </c>
      <c r="B5" s="6" t="s">
        <v>44</v>
      </c>
      <c r="C5" s="5" t="s">
        <v>54</v>
      </c>
      <c r="D5" s="6" t="s">
        <v>112</v>
      </c>
      <c r="E5" s="5" t="s">
        <v>43</v>
      </c>
      <c r="F5" s="5" t="n">
        <v>1</v>
      </c>
      <c r="G5" s="5" t="n">
        <v>1</v>
      </c>
      <c r="H5" s="5" t="n">
        <f aca="false">IF(F5="","",F5*G5)</f>
        <v>1</v>
      </c>
      <c r="I5" s="6" t="s">
        <v>113</v>
      </c>
      <c r="J5" s="6"/>
    </row>
    <row r="6" customFormat="false" ht="15" hidden="false" customHeight="true" outlineLevel="0" collapsed="false">
      <c r="A6" s="5" t="s">
        <v>109</v>
      </c>
      <c r="B6" s="6" t="s">
        <v>44</v>
      </c>
      <c r="C6" s="5" t="s">
        <v>35</v>
      </c>
      <c r="D6" s="6" t="s">
        <v>114</v>
      </c>
      <c r="E6" s="5" t="s">
        <v>22</v>
      </c>
      <c r="F6" s="5" t="n">
        <v>30</v>
      </c>
      <c r="G6" s="5" t="n">
        <v>1</v>
      </c>
      <c r="H6" s="5" t="n">
        <f aca="false">IF(F6="","",F6*G6)</f>
        <v>30</v>
      </c>
      <c r="I6" s="6" t="s">
        <v>115</v>
      </c>
      <c r="J6" s="6"/>
    </row>
    <row r="7" customFormat="false" ht="15" hidden="false" customHeight="true" outlineLevel="0" collapsed="false">
      <c r="A7" s="5" t="s">
        <v>109</v>
      </c>
      <c r="B7" s="6" t="s">
        <v>44</v>
      </c>
      <c r="C7" s="5" t="s">
        <v>41</v>
      </c>
      <c r="D7" s="6" t="s">
        <v>42</v>
      </c>
      <c r="E7" s="5" t="s">
        <v>43</v>
      </c>
      <c r="F7" s="5" t="n">
        <v>1</v>
      </c>
      <c r="G7" s="5" t="n">
        <v>1</v>
      </c>
      <c r="H7" s="5" t="n">
        <f aca="false">IF(F7="","",F7*G7)</f>
        <v>1</v>
      </c>
      <c r="I7" s="6" t="s">
        <v>116</v>
      </c>
      <c r="J7" s="6"/>
    </row>
    <row r="8" customFormat="false" ht="15" hidden="false" customHeight="true" outlineLevel="0" collapsed="false">
      <c r="A8" s="5" t="s">
        <v>109</v>
      </c>
      <c r="B8" s="6" t="s">
        <v>44</v>
      </c>
      <c r="C8" s="5" t="s">
        <v>45</v>
      </c>
      <c r="D8" s="6" t="s">
        <v>46</v>
      </c>
      <c r="E8" s="5" t="s">
        <v>43</v>
      </c>
      <c r="F8" s="5" t="n">
        <v>1</v>
      </c>
      <c r="G8" s="5" t="n">
        <v>1</v>
      </c>
      <c r="H8" s="5" t="n">
        <f aca="false">IF(F8="","",F8*G8)</f>
        <v>1</v>
      </c>
      <c r="I8" s="6" t="s">
        <v>116</v>
      </c>
      <c r="J8" s="6"/>
    </row>
    <row r="9" customFormat="false" ht="15" hidden="false" customHeight="true" outlineLevel="0" collapsed="false">
      <c r="A9" s="5" t="s">
        <v>109</v>
      </c>
      <c r="B9" s="6" t="s">
        <v>44</v>
      </c>
      <c r="C9" s="5" t="s">
        <v>28</v>
      </c>
      <c r="D9" s="6" t="s">
        <v>117</v>
      </c>
      <c r="E9" s="5" t="s">
        <v>30</v>
      </c>
      <c r="F9" s="5" t="n">
        <v>0</v>
      </c>
      <c r="G9" s="5" t="n">
        <v>1</v>
      </c>
      <c r="H9" s="5" t="n">
        <f aca="false">IF(F9="","",F9*G9)</f>
        <v>0</v>
      </c>
      <c r="I9" s="6" t="s">
        <v>118</v>
      </c>
      <c r="J9" s="6"/>
    </row>
    <row r="11" customFormat="false" ht="15" hidden="false" customHeight="true" outlineLevel="0" collapsed="false">
      <c r="A11" s="11" t="s">
        <v>94</v>
      </c>
      <c r="H11" s="11" t="n">
        <f aca="false">SUM(H4:H9)</f>
        <v>41</v>
      </c>
    </row>
  </sheetData>
  <mergeCells count="1">
    <mergeCell ref="A1:J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B1" colorId="64" zoomScale="90" zoomScaleNormal="90" zoomScalePageLayoutView="100" workbookViewId="0">
      <pane xSplit="0" ySplit="3" topLeftCell="A4" activePane="bottomLeft" state="frozen"/>
      <selection pane="topLeft" activeCell="B1" activeCellId="0" sqref="B1"/>
      <selection pane="bottomLeft" activeCell="F15" activeCellId="0" sqref="F15"/>
    </sheetView>
  </sheetViews>
  <sheetFormatPr defaultColWidth="8.54296875" defaultRowHeight="15" customHeight="true" zeroHeight="false" outlineLevelRow="0" outlineLevelCol="0"/>
  <cols>
    <col collapsed="false" customWidth="true" hidden="false" outlineLevel="0" max="1" min="1" style="1" width="14"/>
    <col collapsed="false" customWidth="true" hidden="false" outlineLevel="0" max="2" min="2" style="1" width="24"/>
    <col collapsed="false" customWidth="true" hidden="false" outlineLevel="0" max="3" min="3" style="1" width="12"/>
    <col collapsed="false" customWidth="true" hidden="false" outlineLevel="0" max="4" min="4" style="1" width="48"/>
    <col collapsed="false" customWidth="true" hidden="false" outlineLevel="0" max="5" min="5" style="1" width="10"/>
    <col collapsed="false" customWidth="true" hidden="false" outlineLevel="0" max="8" min="6" style="1" width="16"/>
    <col collapsed="false" customWidth="true" hidden="false" outlineLevel="0" max="9" min="9" style="1" width="40"/>
    <col collapsed="false" customWidth="true" hidden="false" outlineLevel="0" max="10" min="10" style="1" width="44"/>
  </cols>
  <sheetData>
    <row r="1" customFormat="false" ht="15.75" hidden="false" customHeight="true" outlineLevel="0" collapsed="false">
      <c r="A1" s="8" t="s">
        <v>119</v>
      </c>
      <c r="B1" s="8"/>
      <c r="C1" s="8"/>
      <c r="D1" s="8"/>
      <c r="E1" s="8"/>
      <c r="F1" s="8"/>
      <c r="G1" s="8"/>
      <c r="H1" s="8"/>
      <c r="I1" s="8"/>
      <c r="J1" s="8"/>
    </row>
    <row r="3" customFormat="false" ht="26.25" hidden="false" customHeight="true" outlineLevel="0" collapsed="false">
      <c r="A3" s="4" t="s">
        <v>74</v>
      </c>
      <c r="B3" s="4" t="s">
        <v>75</v>
      </c>
      <c r="C3" s="4" t="s">
        <v>2</v>
      </c>
      <c r="D3" s="4" t="s">
        <v>3</v>
      </c>
      <c r="E3" s="4" t="s">
        <v>4</v>
      </c>
      <c r="F3" s="4" t="s">
        <v>76</v>
      </c>
      <c r="G3" s="4" t="s">
        <v>77</v>
      </c>
      <c r="H3" s="4" t="s">
        <v>78</v>
      </c>
      <c r="I3" s="4" t="s">
        <v>79</v>
      </c>
      <c r="J3" s="4" t="s">
        <v>80</v>
      </c>
    </row>
    <row r="4" customFormat="false" ht="24" hidden="false" customHeight="true" outlineLevel="0" collapsed="false">
      <c r="A4" s="5" t="s">
        <v>120</v>
      </c>
      <c r="B4" s="6" t="s">
        <v>121</v>
      </c>
      <c r="C4" s="5" t="s">
        <v>10</v>
      </c>
      <c r="D4" s="6" t="s">
        <v>122</v>
      </c>
      <c r="E4" s="5" t="s">
        <v>12</v>
      </c>
      <c r="F4" s="5" t="n">
        <v>1</v>
      </c>
      <c r="G4" s="5" t="n">
        <v>1</v>
      </c>
      <c r="H4" s="5" t="n">
        <f aca="false">IF(F4="","",F4*G4)</f>
        <v>1</v>
      </c>
      <c r="I4" s="6" t="s">
        <v>123</v>
      </c>
      <c r="J4" s="6"/>
    </row>
    <row r="5" customFormat="false" ht="24" hidden="false" customHeight="true" outlineLevel="0" collapsed="false">
      <c r="A5" s="5" t="s">
        <v>120</v>
      </c>
      <c r="B5" s="6" t="s">
        <v>121</v>
      </c>
      <c r="C5" s="5" t="s">
        <v>70</v>
      </c>
      <c r="D5" s="6" t="s">
        <v>124</v>
      </c>
      <c r="E5" s="5" t="s">
        <v>12</v>
      </c>
      <c r="F5" s="5" t="n">
        <v>0</v>
      </c>
      <c r="G5" s="5" t="n">
        <v>1</v>
      </c>
      <c r="H5" s="5" t="n">
        <f aca="false">IF(F5="","",F5*G5)</f>
        <v>0</v>
      </c>
      <c r="I5" s="6" t="s">
        <v>125</v>
      </c>
      <c r="J5" s="6"/>
    </row>
    <row r="7" customFormat="false" ht="15" hidden="false" customHeight="true" outlineLevel="0" collapsed="false">
      <c r="A7" s="11" t="s">
        <v>94</v>
      </c>
      <c r="H7" s="11" t="n">
        <f aca="false">SUM(H4:H5)</f>
        <v>1</v>
      </c>
    </row>
  </sheetData>
  <mergeCells count="1">
    <mergeCell ref="A1:J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4296875" defaultRowHeight="15" customHeight="true" zeroHeight="false" outlineLevelRow="0" outlineLevelCol="0"/>
  <cols>
    <col collapsed="false" customWidth="true" hidden="false" outlineLevel="0" max="1" min="1" style="1" width="140"/>
  </cols>
  <sheetData>
    <row r="1" customFormat="false" ht="15.75" hidden="false" customHeight="true" outlineLevel="0" collapsed="false">
      <c r="A1" s="12" t="s">
        <v>126</v>
      </c>
    </row>
    <row r="3" customFormat="false" ht="15" hidden="false" customHeight="true" outlineLevel="0" collapsed="false">
      <c r="A3" s="11" t="s">
        <v>127</v>
      </c>
    </row>
    <row r="4" customFormat="false" ht="15" hidden="false" customHeight="true" outlineLevel="0" collapsed="false">
      <c r="A4" s="1" t="s">
        <v>128</v>
      </c>
    </row>
    <row r="5" customFormat="false" ht="15" hidden="false" customHeight="true" outlineLevel="0" collapsed="false">
      <c r="A5" s="1" t="s">
        <v>129</v>
      </c>
    </row>
    <row r="6" customFormat="false" ht="15" hidden="false" customHeight="true" outlineLevel="0" collapsed="false">
      <c r="A6" s="1" t="s">
        <v>130</v>
      </c>
    </row>
    <row r="7" customFormat="false" ht="15" hidden="false" customHeight="true" outlineLevel="0" collapsed="false">
      <c r="A7" s="1" t="s">
        <v>131</v>
      </c>
    </row>
    <row r="8" customFormat="false" ht="15" hidden="false" customHeight="true" outlineLevel="0" collapsed="false">
      <c r="A8" s="1" t="s">
        <v>132</v>
      </c>
    </row>
    <row r="10" customFormat="false" ht="15" hidden="false" customHeight="true" outlineLevel="0" collapsed="false">
      <c r="A10" s="11" t="s">
        <v>133</v>
      </c>
    </row>
    <row r="11" customFormat="false" ht="15" hidden="false" customHeight="true" outlineLevel="0" collapsed="false">
      <c r="A11" s="1" t="s">
        <v>134</v>
      </c>
    </row>
    <row r="12" customFormat="false" ht="15" hidden="false" customHeight="true" outlineLevel="0" collapsed="false">
      <c r="A12" s="1" t="s">
        <v>135</v>
      </c>
    </row>
    <row r="13" customFormat="false" ht="15" hidden="false" customHeight="true" outlineLevel="0" collapsed="false">
      <c r="A13" s="1" t="s">
        <v>136</v>
      </c>
    </row>
    <row r="14" customFormat="false" ht="15" hidden="false" customHeight="true" outlineLevel="0" collapsed="false">
      <c r="A14" s="1" t="s">
        <v>137</v>
      </c>
    </row>
    <row r="15" customFormat="false" ht="15" hidden="false" customHeight="false" outlineLevel="0" collapsed="false">
      <c r="A15" s="1" t="s">
        <v>138</v>
      </c>
    </row>
    <row r="16" customFormat="false" ht="15" hidden="false" customHeight="false" outlineLevel="0" collapsed="false">
      <c r="A16" s="1" t="s">
        <v>139</v>
      </c>
    </row>
    <row r="17" customFormat="false" ht="15" hidden="false" customHeight="false" outlineLevel="0" collapsed="false">
      <c r="A17" s="1" t="s">
        <v>140</v>
      </c>
    </row>
    <row r="18" customFormat="false" ht="15" hidden="false" customHeight="false" outlineLevel="0" collapsed="false">
      <c r="A18" s="1" t="s">
        <v>141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D17" activeCellId="0" sqref="D17"/>
    </sheetView>
  </sheetViews>
  <sheetFormatPr defaultColWidth="8.54296875" defaultRowHeight="15" customHeight="true" zeroHeight="false" outlineLevelRow="0" outlineLevelCol="0"/>
  <cols>
    <col collapsed="false" customWidth="true" hidden="false" outlineLevel="0" max="1" min="1" style="1" width="12"/>
    <col collapsed="false" customWidth="true" hidden="false" outlineLevel="0" max="2" min="2" style="1" width="60"/>
    <col collapsed="false" customWidth="true" hidden="false" outlineLevel="0" max="3" min="3" style="1" width="12"/>
    <col collapsed="false" customWidth="true" hidden="false" outlineLevel="0" max="4" min="4" style="1" width="38"/>
  </cols>
  <sheetData>
    <row r="1" customFormat="false" ht="15" hidden="false" customHeight="true" outlineLevel="0" collapsed="false">
      <c r="A1" s="4" t="s">
        <v>2</v>
      </c>
      <c r="B1" s="4" t="s">
        <v>3</v>
      </c>
      <c r="C1" s="4" t="s">
        <v>4</v>
      </c>
      <c r="D1" s="4" t="s">
        <v>142</v>
      </c>
    </row>
    <row r="2" customFormat="false" ht="15" hidden="false" customHeight="true" outlineLevel="0" collapsed="false">
      <c r="A2" s="5" t="s">
        <v>10</v>
      </c>
      <c r="B2" s="6" t="s">
        <v>11</v>
      </c>
      <c r="C2" s="5" t="s">
        <v>12</v>
      </c>
      <c r="D2" s="6" t="s">
        <v>13</v>
      </c>
    </row>
    <row r="3" customFormat="false" ht="15" hidden="false" customHeight="true" outlineLevel="0" collapsed="false">
      <c r="A3" s="5" t="s">
        <v>15</v>
      </c>
      <c r="B3" s="6" t="s">
        <v>16</v>
      </c>
      <c r="C3" s="5" t="s">
        <v>12</v>
      </c>
      <c r="D3" s="6" t="s">
        <v>17</v>
      </c>
    </row>
    <row r="4" customFormat="false" ht="15" hidden="false" customHeight="true" outlineLevel="0" collapsed="false">
      <c r="A4" s="5" t="s">
        <v>18</v>
      </c>
      <c r="B4" s="6" t="s">
        <v>19</v>
      </c>
      <c r="C4" s="5" t="s">
        <v>12</v>
      </c>
      <c r="D4" s="6" t="s">
        <v>17</v>
      </c>
    </row>
    <row r="5" customFormat="false" ht="15" hidden="false" customHeight="true" outlineLevel="0" collapsed="false">
      <c r="A5" s="5" t="s">
        <v>20</v>
      </c>
      <c r="B5" s="6" t="s">
        <v>21</v>
      </c>
      <c r="C5" s="5" t="s">
        <v>22</v>
      </c>
      <c r="D5" s="6" t="s">
        <v>23</v>
      </c>
    </row>
    <row r="6" customFormat="false" ht="15" hidden="false" customHeight="true" outlineLevel="0" collapsed="false">
      <c r="A6" s="5" t="s">
        <v>24</v>
      </c>
      <c r="B6" s="6" t="s">
        <v>25</v>
      </c>
      <c r="C6" s="5" t="s">
        <v>26</v>
      </c>
      <c r="D6" s="6" t="s">
        <v>27</v>
      </c>
    </row>
    <row r="7" customFormat="false" ht="15" hidden="false" customHeight="true" outlineLevel="0" collapsed="false">
      <c r="A7" s="5" t="s">
        <v>28</v>
      </c>
      <c r="B7" s="6" t="s">
        <v>29</v>
      </c>
      <c r="C7" s="5" t="s">
        <v>30</v>
      </c>
      <c r="D7" s="6" t="s">
        <v>17</v>
      </c>
    </row>
    <row r="8" customFormat="false" ht="15" hidden="false" customHeight="true" outlineLevel="0" collapsed="false">
      <c r="A8" s="5" t="s">
        <v>31</v>
      </c>
      <c r="B8" s="6" t="s">
        <v>32</v>
      </c>
      <c r="C8" s="5" t="s">
        <v>33</v>
      </c>
      <c r="D8" s="6" t="s">
        <v>34</v>
      </c>
    </row>
    <row r="9" customFormat="false" ht="15" hidden="false" customHeight="true" outlineLevel="0" collapsed="false">
      <c r="A9" s="5" t="s">
        <v>35</v>
      </c>
      <c r="B9" s="6" t="s">
        <v>36</v>
      </c>
      <c r="C9" s="5" t="s">
        <v>22</v>
      </c>
      <c r="D9" s="6" t="s">
        <v>37</v>
      </c>
    </row>
    <row r="10" customFormat="false" ht="15" hidden="false" customHeight="true" outlineLevel="0" collapsed="false">
      <c r="A10" s="5" t="s">
        <v>38</v>
      </c>
      <c r="B10" s="6" t="s">
        <v>39</v>
      </c>
      <c r="C10" s="5" t="s">
        <v>22</v>
      </c>
      <c r="D10" s="6" t="s">
        <v>40</v>
      </c>
    </row>
    <row r="11" customFormat="false" ht="15" hidden="false" customHeight="true" outlineLevel="0" collapsed="false">
      <c r="A11" s="5" t="s">
        <v>41</v>
      </c>
      <c r="B11" s="6" t="s">
        <v>42</v>
      </c>
      <c r="C11" s="5" t="s">
        <v>43</v>
      </c>
      <c r="D11" s="6" t="s">
        <v>44</v>
      </c>
    </row>
    <row r="12" customFormat="false" ht="15" hidden="false" customHeight="true" outlineLevel="0" collapsed="false">
      <c r="A12" s="5" t="s">
        <v>45</v>
      </c>
      <c r="B12" s="6" t="s">
        <v>46</v>
      </c>
      <c r="C12" s="5" t="s">
        <v>43</v>
      </c>
      <c r="D12" s="6" t="s">
        <v>44</v>
      </c>
    </row>
    <row r="13" customFormat="false" ht="15" hidden="false" customHeight="true" outlineLevel="0" collapsed="false">
      <c r="A13" s="5" t="s">
        <v>47</v>
      </c>
      <c r="B13" s="6" t="s">
        <v>48</v>
      </c>
      <c r="C13" s="5" t="s">
        <v>43</v>
      </c>
      <c r="D13" s="6" t="s">
        <v>49</v>
      </c>
    </row>
    <row r="14" customFormat="false" ht="15" hidden="false" customHeight="true" outlineLevel="0" collapsed="false">
      <c r="A14" s="5" t="s">
        <v>50</v>
      </c>
      <c r="B14" s="6" t="s">
        <v>51</v>
      </c>
      <c r="C14" s="5" t="s">
        <v>22</v>
      </c>
      <c r="D14" s="6" t="s">
        <v>49</v>
      </c>
    </row>
    <row r="15" customFormat="false" ht="15" hidden="false" customHeight="true" outlineLevel="0" collapsed="false">
      <c r="A15" s="5" t="s">
        <v>52</v>
      </c>
      <c r="B15" s="6" t="s">
        <v>53</v>
      </c>
      <c r="C15" s="5" t="s">
        <v>22</v>
      </c>
      <c r="D15" s="6" t="s">
        <v>23</v>
      </c>
    </row>
    <row r="16" customFormat="false" ht="15" hidden="false" customHeight="true" outlineLevel="0" collapsed="false">
      <c r="A16" s="5" t="s">
        <v>54</v>
      </c>
      <c r="B16" s="6" t="s">
        <v>55</v>
      </c>
      <c r="C16" s="5" t="s">
        <v>43</v>
      </c>
      <c r="D16" s="6" t="s">
        <v>44</v>
      </c>
    </row>
    <row r="17" customFormat="false" ht="15" hidden="false" customHeight="true" outlineLevel="0" collapsed="false">
      <c r="A17" s="5" t="s">
        <v>56</v>
      </c>
      <c r="B17" s="6" t="s">
        <v>57</v>
      </c>
      <c r="C17" s="5" t="s">
        <v>30</v>
      </c>
      <c r="D17" s="6" t="s">
        <v>17</v>
      </c>
    </row>
    <row r="18" customFormat="false" ht="15" hidden="false" customHeight="true" outlineLevel="0" collapsed="false">
      <c r="A18" s="5" t="s">
        <v>58</v>
      </c>
      <c r="B18" s="6" t="s">
        <v>59</v>
      </c>
      <c r="C18" s="5" t="s">
        <v>26</v>
      </c>
      <c r="D18" s="6" t="s">
        <v>60</v>
      </c>
    </row>
    <row r="19" customFormat="false" ht="15" hidden="false" customHeight="true" outlineLevel="0" collapsed="false">
      <c r="A19" s="5" t="s">
        <v>61</v>
      </c>
      <c r="B19" s="6" t="s">
        <v>62</v>
      </c>
      <c r="C19" s="5" t="s">
        <v>26</v>
      </c>
      <c r="D19" s="6" t="s">
        <v>63</v>
      </c>
    </row>
    <row r="20" customFormat="false" ht="15" hidden="false" customHeight="true" outlineLevel="0" collapsed="false">
      <c r="A20" s="5" t="s">
        <v>64</v>
      </c>
      <c r="B20" s="6" t="s">
        <v>65</v>
      </c>
      <c r="C20" s="5" t="s">
        <v>43</v>
      </c>
      <c r="D20" s="6" t="s">
        <v>66</v>
      </c>
    </row>
    <row r="21" customFormat="false" ht="15" hidden="false" customHeight="true" outlineLevel="0" collapsed="false">
      <c r="A21" s="5" t="s">
        <v>67</v>
      </c>
      <c r="B21" s="6" t="s">
        <v>68</v>
      </c>
      <c r="C21" s="5" t="s">
        <v>12</v>
      </c>
      <c r="D21" s="6" t="s">
        <v>69</v>
      </c>
    </row>
    <row r="22" customFormat="false" ht="15" hidden="false" customHeight="true" outlineLevel="0" collapsed="false">
      <c r="A22" s="5" t="s">
        <v>70</v>
      </c>
      <c r="B22" s="6" t="s">
        <v>71</v>
      </c>
      <c r="C22" s="5" t="s">
        <v>12</v>
      </c>
      <c r="D22" s="6" t="s">
        <v>17</v>
      </c>
    </row>
    <row r="23" customFormat="false" ht="15" hidden="false" customHeight="true" outlineLevel="0" collapsed="false">
      <c r="A23" s="5"/>
      <c r="B23" s="6"/>
      <c r="C23" s="5"/>
      <c r="D23" s="6"/>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2" topLeftCell="A13" activePane="bottomLeft" state="frozen"/>
      <selection pane="topLeft" activeCell="A1" activeCellId="0" sqref="A1"/>
      <selection pane="bottomLeft" activeCell="K33" activeCellId="0" sqref="K33"/>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2" min="2" style="0" width="48"/>
    <col collapsed="false" customWidth="true" hidden="false" outlineLevel="0" max="3" min="3" style="0" width="10"/>
    <col collapsed="false" customWidth="true" hidden="false" outlineLevel="0" max="8" min="4" style="0" width="12"/>
    <col collapsed="false" customWidth="true" hidden="false" outlineLevel="0" max="10" min="9" style="0" width="14"/>
    <col collapsed="false" customWidth="true" hidden="false" outlineLevel="0" max="12" min="11" style="0" width="18"/>
    <col collapsed="false" customWidth="true" hidden="false" outlineLevel="0" max="13" min="13" style="0" width="14"/>
  </cols>
  <sheetData>
    <row r="1" customFormat="false" ht="17.35" hidden="false" customHeight="false" outlineLevel="0" collapsed="false">
      <c r="A1" s="13" t="s">
        <v>143</v>
      </c>
      <c r="B1" s="13"/>
      <c r="C1" s="13"/>
      <c r="D1" s="13"/>
      <c r="E1" s="13"/>
      <c r="F1" s="13"/>
      <c r="G1" s="13"/>
      <c r="H1" s="13"/>
      <c r="I1" s="13"/>
      <c r="J1" s="13"/>
      <c r="K1" s="13"/>
      <c r="L1" s="13"/>
      <c r="M1" s="13"/>
    </row>
    <row r="3" customFormat="false" ht="15" hidden="false" customHeight="true" outlineLevel="0" collapsed="false">
      <c r="A3" s="14" t="s">
        <v>144</v>
      </c>
      <c r="D3" s="15" t="s">
        <v>145</v>
      </c>
      <c r="E3" s="15"/>
      <c r="F3" s="15"/>
      <c r="G3" s="15"/>
    </row>
    <row r="4" customFormat="false" ht="15" hidden="false" customHeight="false" outlineLevel="0" collapsed="false">
      <c r="A4" s="16" t="s">
        <v>146</v>
      </c>
      <c r="B4" s="17" t="n">
        <f aca="false">SUM(F13:F33)</f>
        <v>49658</v>
      </c>
      <c r="D4" s="4" t="s">
        <v>147</v>
      </c>
      <c r="E4" s="4" t="s">
        <v>148</v>
      </c>
      <c r="F4" s="4" t="s">
        <v>6</v>
      </c>
      <c r="G4" s="4" t="s">
        <v>149</v>
      </c>
    </row>
    <row r="5" customFormat="false" ht="15" hidden="false" customHeight="false" outlineLevel="0" collapsed="false">
      <c r="A5" s="16" t="s">
        <v>49</v>
      </c>
      <c r="B5" s="17" t="n">
        <f aca="false">SUM(H13:H33)</f>
        <v>17956</v>
      </c>
      <c r="D5" s="5" t="s">
        <v>31</v>
      </c>
      <c r="E5" s="5" t="n">
        <f aca="false">SUMIFS(Façade!$H:$H,Façade!$C:$C,D5)</f>
        <v>8</v>
      </c>
      <c r="F5" s="5" t="n">
        <f aca="false">IFERROR(INDEX(Bordereau_prix!$E$5:$E$25,MATCH(D5,Bordereau_prix!$A$5:$A$25,0)),0)</f>
        <v>472</v>
      </c>
      <c r="G5" s="5" t="n">
        <f aca="false">E5*F5</f>
        <v>3776</v>
      </c>
    </row>
    <row r="6" customFormat="false" ht="23.85" hidden="false" customHeight="false" outlineLevel="0" collapsed="false">
      <c r="A6" s="16" t="s">
        <v>150</v>
      </c>
      <c r="B6" s="17" t="n">
        <f aca="false">SUM(J13:J33)</f>
        <v>29976</v>
      </c>
      <c r="D6" s="5" t="s">
        <v>54</v>
      </c>
      <c r="E6" s="5" t="n">
        <f aca="false">SUMIFS(Façade!$H:$H,Façade!$C:$C,D6)</f>
        <v>1</v>
      </c>
      <c r="F6" s="5" t="n">
        <f aca="false">IFERROR(INDEX(Bordereau_prix!$E$5:$E$25,MATCH(D6,Bordereau_prix!$A$5:$A$25,0)),0)</f>
        <v>15000</v>
      </c>
      <c r="G6" s="5" t="n">
        <f aca="false">E6*F6</f>
        <v>15000</v>
      </c>
    </row>
    <row r="7" customFormat="false" ht="23.85" hidden="false" customHeight="false" outlineLevel="0" collapsed="false">
      <c r="A7" s="16" t="s">
        <v>151</v>
      </c>
      <c r="B7" s="17" t="n">
        <f aca="false">SUM(L13:L33)</f>
        <v>2500</v>
      </c>
      <c r="D7" s="5" t="s">
        <v>35</v>
      </c>
      <c r="E7" s="5" t="n">
        <f aca="false">SUMIFS(Façade!$H:$H,Façade!$C:$C,D7)</f>
        <v>30</v>
      </c>
      <c r="F7" s="5" t="n">
        <f aca="false">IFERROR(INDEX(Bordereau_prix!$E$5:$E$25,MATCH(D7,Bordereau_prix!$A$5:$A$25,0)),0)</f>
        <v>150</v>
      </c>
      <c r="G7" s="5" t="n">
        <f aca="false">E7*F7</f>
        <v>4500</v>
      </c>
    </row>
    <row r="8" customFormat="false" ht="26.85" hidden="false" customHeight="false" outlineLevel="0" collapsed="false">
      <c r="A8" s="15" t="s">
        <v>152</v>
      </c>
      <c r="B8" s="7" t="n">
        <f aca="false">SUM(B4:B7)</f>
        <v>100090</v>
      </c>
      <c r="D8" s="5" t="s">
        <v>41</v>
      </c>
      <c r="E8" s="5" t="n">
        <f aca="false">SUMIFS(Façade!$H:$H,Façade!$C:$C,D8)</f>
        <v>1</v>
      </c>
      <c r="F8" s="5" t="n">
        <f aca="false">IFERROR(INDEX(Bordereau_prix!$E$5:$E$25,MATCH(D8,Bordereau_prix!$A$5:$A$25,0)),0)</f>
        <v>2500</v>
      </c>
      <c r="G8" s="5" t="n">
        <f aca="false">E8*F8</f>
        <v>2500</v>
      </c>
    </row>
    <row r="9" customFormat="false" ht="39.55" hidden="false" customHeight="false" outlineLevel="0" collapsed="false">
      <c r="A9" s="9" t="s">
        <v>153</v>
      </c>
      <c r="B9" s="10" t="n">
        <f aca="false">B8-Bordereau_prix!F27</f>
        <v>0</v>
      </c>
      <c r="D9" s="5" t="s">
        <v>45</v>
      </c>
      <c r="E9" s="5" t="n">
        <f aca="false">SUMIFS(Façade!$H:$H,Façade!$C:$C,D9)</f>
        <v>1</v>
      </c>
      <c r="F9" s="5" t="n">
        <f aca="false">IFERROR(INDEX(Bordereau_prix!$E$5:$E$25,MATCH(D9,Bordereau_prix!$A$5:$A$25,0)),0)</f>
        <v>4200</v>
      </c>
      <c r="G9" s="5" t="n">
        <f aca="false">E9*F9</f>
        <v>4200</v>
      </c>
    </row>
    <row r="10" customFormat="false" ht="15" hidden="false" customHeight="false" outlineLevel="0" collapsed="false">
      <c r="D10" s="5" t="s">
        <v>28</v>
      </c>
      <c r="E10" s="5" t="n">
        <f aca="false">SUMIFS(Façade!$H:$H,Façade!$C:$C,D10)</f>
        <v>0</v>
      </c>
      <c r="F10" s="5" t="n">
        <f aca="false">IFERROR(INDEX(Bordereau_prix!$E$5:$E$25,MATCH(D10,Bordereau_prix!$A$5:$A$25,0)),0)</f>
        <v>75</v>
      </c>
      <c r="G10" s="5" t="n">
        <f aca="false">E10*F10</f>
        <v>0</v>
      </c>
    </row>
    <row r="11" customFormat="false" ht="15" hidden="false" customHeight="false" outlineLevel="0" collapsed="false">
      <c r="D11" s="18" t="s">
        <v>154</v>
      </c>
      <c r="E11" s="19"/>
      <c r="F11" s="19"/>
      <c r="G11" s="18" t="n">
        <f aca="false">SUM(G5:G10)</f>
        <v>29976</v>
      </c>
    </row>
    <row r="12" customFormat="false" ht="26.85" hidden="false" customHeight="false" outlineLevel="0" collapsed="false">
      <c r="A12" s="4" t="s">
        <v>2</v>
      </c>
      <c r="B12" s="4" t="s">
        <v>3</v>
      </c>
      <c r="C12" s="4" t="s">
        <v>4</v>
      </c>
      <c r="D12" s="4" t="s">
        <v>6</v>
      </c>
      <c r="E12" s="4" t="s">
        <v>155</v>
      </c>
      <c r="F12" s="4" t="s">
        <v>156</v>
      </c>
      <c r="G12" s="4" t="s">
        <v>157</v>
      </c>
      <c r="H12" s="4" t="s">
        <v>158</v>
      </c>
      <c r="I12" s="4" t="s">
        <v>159</v>
      </c>
      <c r="J12" s="4" t="s">
        <v>160</v>
      </c>
      <c r="K12" s="4" t="s">
        <v>161</v>
      </c>
      <c r="L12" s="4" t="s">
        <v>162</v>
      </c>
      <c r="M12" s="4" t="s">
        <v>163</v>
      </c>
    </row>
    <row r="13" customFormat="false" ht="15" hidden="false" customHeight="false" outlineLevel="0" collapsed="false">
      <c r="A13" s="5" t="str">
        <f aca="false">Bordereau_prix!A5</f>
        <v>SURV-001</v>
      </c>
      <c r="B13" s="6" t="str">
        <f aca="false">Bordereau_prix!B5</f>
        <v>Leve topographique detaille (altimetrie + planimetrie)</v>
      </c>
      <c r="C13" s="5" t="str">
        <f aca="false">Bordereau_prix!C5</f>
        <v>lot</v>
      </c>
      <c r="D13" s="5" t="n">
        <f aca="false">Bordereau_prix!E5</f>
        <v>2500</v>
      </c>
      <c r="E13" s="5" t="n">
        <f aca="false">SUMIFS('Secteur A'!$H:$H,'Secteur A'!$C:$C,$A13)</f>
        <v>0</v>
      </c>
      <c r="F13" s="5" t="n">
        <f aca="false">E13*D13</f>
        <v>0</v>
      </c>
      <c r="G13" s="5" t="n">
        <f aca="false">SUMIFS('Secteur P'!$H:$H,'Secteur P'!$C:$C,$A13)</f>
        <v>0</v>
      </c>
      <c r="H13" s="5" t="n">
        <f aca="false">G13*D13</f>
        <v>0</v>
      </c>
      <c r="I13" s="5" t="n">
        <f aca="false">SUMIFS(Façade!$H:$H,Façade!$C:$C,$A13)</f>
        <v>0</v>
      </c>
      <c r="J13" s="5" t="n">
        <f aca="false">I13*D13</f>
        <v>0</v>
      </c>
      <c r="K13" s="5" t="n">
        <f aca="false">SUMIFS(Detail_facade_batim!$H:$H,Detail_facade_batim!$C:$C,$A13)</f>
        <v>1</v>
      </c>
      <c r="L13" s="5" t="n">
        <f aca="false">K13*D13</f>
        <v>2500</v>
      </c>
      <c r="M13" s="5" t="n">
        <f aca="false">SUM(F13,H13,J13,L13)</f>
        <v>2500</v>
      </c>
    </row>
    <row r="14" customFormat="false" ht="15" hidden="false" customHeight="false" outlineLevel="0" collapsed="false">
      <c r="A14" s="5" t="str">
        <f aca="false">Bordereau_prix!A6</f>
        <v>PREP-001</v>
      </c>
      <c r="B14" s="6" t="str">
        <f aca="false">Bordereau_prix!B6</f>
        <v>Mobilisation / installation de chantier</v>
      </c>
      <c r="C14" s="5" t="str">
        <f aca="false">Bordereau_prix!C6</f>
        <v>lot</v>
      </c>
      <c r="D14" s="5" t="n">
        <f aca="false">Bordereau_prix!E6</f>
        <v>4500</v>
      </c>
      <c r="E14" s="5" t="n">
        <f aca="false">SUMIFS('Secteur A'!$H:$H,'Secteur A'!$C:$C,$A14)</f>
        <v>0</v>
      </c>
      <c r="F14" s="5" t="n">
        <f aca="false">E14*D14</f>
        <v>0</v>
      </c>
      <c r="G14" s="5" t="n">
        <f aca="false">SUMIFS('Secteur P'!$H:$H,'Secteur P'!$C:$C,$A14)</f>
        <v>0</v>
      </c>
      <c r="H14" s="5" t="n">
        <f aca="false">G14*D14</f>
        <v>0</v>
      </c>
      <c r="I14" s="5" t="n">
        <f aca="false">SUMIFS(Façade!$H:$H,Façade!$C:$C,$A14)</f>
        <v>0</v>
      </c>
      <c r="J14" s="5" t="n">
        <f aca="false">I14*D14</f>
        <v>0</v>
      </c>
      <c r="K14" s="5" t="n">
        <f aca="false">SUMIFS(Detail_facade_batim!$H:$H,Detail_facade_batim!$C:$C,$A14)</f>
        <v>0</v>
      </c>
      <c r="L14" s="5" t="n">
        <f aca="false">K14*D14</f>
        <v>0</v>
      </c>
      <c r="M14" s="5" t="n">
        <f aca="false">SUM(F14,H14,J14,L14)</f>
        <v>0</v>
      </c>
    </row>
    <row r="15" customFormat="false" ht="15" hidden="false" customHeight="false" outlineLevel="0" collapsed="false">
      <c r="A15" s="5" t="str">
        <f aca="false">Bordereau_prix!A7</f>
        <v>PREP-002</v>
      </c>
      <c r="B15" s="6" t="str">
        <f aca="false">Bordereau_prix!B7</f>
        <v>Signalisation et maintien de la circulation</v>
      </c>
      <c r="C15" s="5" t="str">
        <f aca="false">Bordereau_prix!C7</f>
        <v>lot</v>
      </c>
      <c r="D15" s="5" t="n">
        <f aca="false">Bordereau_prix!E7</f>
        <v>3000</v>
      </c>
      <c r="E15" s="5" t="n">
        <f aca="false">SUMIFS('Secteur A'!$H:$H,'Secteur A'!$C:$C,$A15)</f>
        <v>0</v>
      </c>
      <c r="F15" s="5" t="n">
        <f aca="false">E15*D15</f>
        <v>0</v>
      </c>
      <c r="G15" s="5" t="n">
        <f aca="false">SUMIFS('Secteur P'!$H:$H,'Secteur P'!$C:$C,$A15)</f>
        <v>0</v>
      </c>
      <c r="H15" s="5" t="n">
        <f aca="false">G15*D15</f>
        <v>0</v>
      </c>
      <c r="I15" s="5" t="n">
        <f aca="false">SUMIFS(Façade!$H:$H,Façade!$C:$C,$A15)</f>
        <v>0</v>
      </c>
      <c r="J15" s="5" t="n">
        <f aca="false">I15*D15</f>
        <v>0</v>
      </c>
      <c r="K15" s="5" t="n">
        <f aca="false">SUMIFS(Detail_facade_batim!$H:$H,Detail_facade_batim!$C:$C,$A15)</f>
        <v>0</v>
      </c>
      <c r="L15" s="5" t="n">
        <f aca="false">K15*D15</f>
        <v>0</v>
      </c>
      <c r="M15" s="5" t="n">
        <f aca="false">SUM(F15,H15,J15,L15)</f>
        <v>0</v>
      </c>
    </row>
    <row r="16" customFormat="false" ht="15" hidden="false" customHeight="false" outlineLevel="0" collapsed="false">
      <c r="A16" s="5" t="str">
        <f aca="false">Bordereau_prix!A8</f>
        <v>SCI-001</v>
      </c>
      <c r="B16" s="6" t="str">
        <f aca="false">Bordereau_prix!B8</f>
        <v>Sciage de pavage</v>
      </c>
      <c r="C16" s="5" t="str">
        <f aca="false">Bordereau_prix!C8</f>
        <v>m</v>
      </c>
      <c r="D16" s="5" t="n">
        <f aca="false">Bordereau_prix!E8</f>
        <v>45</v>
      </c>
      <c r="E16" s="5" t="n">
        <f aca="false">SUMIFS('Secteur A'!$H:$H,'Secteur A'!$C:$C,$A16)</f>
        <v>99</v>
      </c>
      <c r="F16" s="5" t="n">
        <f aca="false">E16*D16</f>
        <v>4455</v>
      </c>
      <c r="G16" s="5" t="n">
        <f aca="false">SUMIFS('Secteur P'!$H:$H,'Secteur P'!$C:$C,$A16)</f>
        <v>0</v>
      </c>
      <c r="H16" s="5" t="n">
        <f aca="false">G16*D16</f>
        <v>0</v>
      </c>
      <c r="I16" s="5" t="n">
        <f aca="false">SUMIFS(Façade!$H:$H,Façade!$C:$C,$A16)</f>
        <v>0</v>
      </c>
      <c r="J16" s="5" t="n">
        <f aca="false">I16*D16</f>
        <v>0</v>
      </c>
      <c r="K16" s="5" t="n">
        <f aca="false">SUMIFS(Detail_facade_batim!$H:$H,Detail_facade_batim!$C:$C,$A16)</f>
        <v>0</v>
      </c>
      <c r="L16" s="5" t="n">
        <f aca="false">K16*D16</f>
        <v>0</v>
      </c>
      <c r="M16" s="5" t="n">
        <f aca="false">SUM(F16,H16,J16,L16)</f>
        <v>4455</v>
      </c>
    </row>
    <row r="17" customFormat="false" ht="15" hidden="false" customHeight="false" outlineLevel="0" collapsed="false">
      <c r="A17" s="5" t="str">
        <f aca="false">Bordereau_prix!A9</f>
        <v>DEM-001</v>
      </c>
      <c r="B17" s="6" t="str">
        <f aca="false">Bordereau_prix!B9</f>
        <v>Enlevement de pavage</v>
      </c>
      <c r="C17" s="5" t="str">
        <f aca="false">Bordereau_prix!C9</f>
        <v>m2</v>
      </c>
      <c r="D17" s="5" t="n">
        <f aca="false">Bordereau_prix!E9</f>
        <v>14</v>
      </c>
      <c r="E17" s="5" t="n">
        <f aca="false">SUMIFS('Secteur A'!$H:$H,'Secteur A'!$C:$C,$A17)</f>
        <v>557</v>
      </c>
      <c r="F17" s="5" t="n">
        <f aca="false">E17*D17</f>
        <v>7798</v>
      </c>
      <c r="G17" s="5" t="n">
        <f aca="false">SUMIFS('Secteur P'!$H:$H,'Secteur P'!$C:$C,$A17)</f>
        <v>164</v>
      </c>
      <c r="H17" s="5" t="n">
        <f aca="false">G17*D17</f>
        <v>2296</v>
      </c>
      <c r="I17" s="5" t="n">
        <f aca="false">SUMIFS(Façade!$H:$H,Façade!$C:$C,$A17)</f>
        <v>0</v>
      </c>
      <c r="J17" s="5" t="n">
        <f aca="false">I17*D17</f>
        <v>0</v>
      </c>
      <c r="K17" s="5" t="n">
        <f aca="false">SUMIFS(Detail_facade_batim!$H:$H,Detail_facade_batim!$C:$C,$A17)</f>
        <v>0</v>
      </c>
      <c r="L17" s="5" t="n">
        <f aca="false">K17*D17</f>
        <v>0</v>
      </c>
      <c r="M17" s="5" t="n">
        <f aca="false">SUM(F17,H17,J17,L17)</f>
        <v>10094</v>
      </c>
    </row>
    <row r="18" customFormat="false" ht="15" hidden="false" customHeight="false" outlineLevel="0" collapsed="false">
      <c r="A18" s="5" t="str">
        <f aca="false">Bordereau_prix!A10</f>
        <v>EXC-001</v>
      </c>
      <c r="B18" s="6" t="str">
        <f aca="false">Bordereau_prix!B10</f>
        <v>Excavation de tranchee pour reseau pluvial</v>
      </c>
      <c r="C18" s="5" t="str">
        <f aca="false">Bordereau_prix!C10</f>
        <v>m3</v>
      </c>
      <c r="D18" s="5" t="n">
        <f aca="false">Bordereau_prix!E10</f>
        <v>75</v>
      </c>
      <c r="E18" s="5" t="n">
        <f aca="false">SUMIFS('Secteur A'!$H:$H,'Secteur A'!$C:$C,$A18)</f>
        <v>0</v>
      </c>
      <c r="F18" s="5" t="n">
        <f aca="false">E18*D18</f>
        <v>0</v>
      </c>
      <c r="G18" s="5" t="n">
        <f aca="false">SUMIFS('Secteur P'!$H:$H,'Secteur P'!$C:$C,$A18)</f>
        <v>0</v>
      </c>
      <c r="H18" s="5" t="n">
        <f aca="false">G18*D18</f>
        <v>0</v>
      </c>
      <c r="I18" s="5" t="n">
        <f aca="false">SUMIFS(Façade!$H:$H,Façade!$C:$C,$A18)</f>
        <v>0</v>
      </c>
      <c r="J18" s="5" t="n">
        <f aca="false">I18*D18</f>
        <v>0</v>
      </c>
      <c r="K18" s="5" t="n">
        <f aca="false">SUMIFS(Detail_facade_batim!$H:$H,Detail_facade_batim!$C:$C,$A18)</f>
        <v>0</v>
      </c>
      <c r="L18" s="5" t="n">
        <f aca="false">K18*D18</f>
        <v>0</v>
      </c>
      <c r="M18" s="5" t="n">
        <f aca="false">SUM(F18,H18,J18,L18)</f>
        <v>0</v>
      </c>
    </row>
    <row r="19" customFormat="false" ht="23.85" hidden="false" customHeight="false" outlineLevel="0" collapsed="false">
      <c r="A19" s="5" t="str">
        <f aca="false">Bordereau_prix!A11</f>
        <v>EXC-002</v>
      </c>
      <c r="B19" s="6" t="str">
        <f aca="false">Bordereau_prix!B11</f>
        <v>Hydro-excavation pour localisation de conduites existantes</v>
      </c>
      <c r="C19" s="5" t="str">
        <f aca="false">Bordereau_prix!C11</f>
        <v>h</v>
      </c>
      <c r="D19" s="5" t="n">
        <f aca="false">Bordereau_prix!E11</f>
        <v>472</v>
      </c>
      <c r="E19" s="5" t="n">
        <f aca="false">SUMIFS('Secteur A'!$H:$H,'Secteur A'!$C:$C,$A19)</f>
        <v>0</v>
      </c>
      <c r="F19" s="5" t="n">
        <f aca="false">E19*D19</f>
        <v>0</v>
      </c>
      <c r="G19" s="5" t="n">
        <f aca="false">SUMIFS('Secteur P'!$H:$H,'Secteur P'!$C:$C,$A19)</f>
        <v>0</v>
      </c>
      <c r="H19" s="5" t="n">
        <f aca="false">G19*D19</f>
        <v>0</v>
      </c>
      <c r="I19" s="5" t="n">
        <f aca="false">SUMIFS(Façade!$H:$H,Façade!$C:$C,$A19)</f>
        <v>8</v>
      </c>
      <c r="J19" s="5" t="n">
        <f aca="false">I19*D19</f>
        <v>3776</v>
      </c>
      <c r="K19" s="5" t="n">
        <f aca="false">SUMIFS(Detail_facade_batim!$H:$H,Detail_facade_batim!$C:$C,$A19)</f>
        <v>0</v>
      </c>
      <c r="L19" s="5" t="n">
        <f aca="false">K19*D19</f>
        <v>0</v>
      </c>
      <c r="M19" s="5" t="n">
        <f aca="false">SUM(F19,H19,J19,L19)</f>
        <v>3776</v>
      </c>
    </row>
    <row r="20" customFormat="false" ht="15" hidden="false" customHeight="false" outlineLevel="0" collapsed="false">
      <c r="A20" s="5" t="str">
        <f aca="false">Bordereau_prix!A12</f>
        <v>CAN-300</v>
      </c>
      <c r="B20" s="6" t="str">
        <f aca="false">Bordereau_prix!B12</f>
        <v>Fourniture et pose conduite pluviale DN300</v>
      </c>
      <c r="C20" s="5" t="str">
        <f aca="false">Bordereau_prix!C12</f>
        <v>m</v>
      </c>
      <c r="D20" s="5" t="n">
        <f aca="false">Bordereau_prix!E12</f>
        <v>150</v>
      </c>
      <c r="E20" s="5" t="n">
        <f aca="false">SUMIFS('Secteur A'!$H:$H,'Secteur A'!$C:$C,$A20)</f>
        <v>0</v>
      </c>
      <c r="F20" s="5" t="n">
        <f aca="false">E20*D20</f>
        <v>0</v>
      </c>
      <c r="G20" s="5" t="n">
        <f aca="false">SUMIFS('Secteur P'!$H:$H,'Secteur P'!$C:$C,$A20)</f>
        <v>0</v>
      </c>
      <c r="H20" s="5" t="n">
        <f aca="false">G20*D20</f>
        <v>0</v>
      </c>
      <c r="I20" s="5" t="n">
        <f aca="false">SUMIFS(Façade!$H:$H,Façade!$C:$C,$A20)</f>
        <v>30</v>
      </c>
      <c r="J20" s="5" t="n">
        <f aca="false">I20*D20</f>
        <v>4500</v>
      </c>
      <c r="K20" s="5" t="n">
        <f aca="false">SUMIFS(Detail_facade_batim!$H:$H,Detail_facade_batim!$C:$C,$A20)</f>
        <v>0</v>
      </c>
      <c r="L20" s="5" t="n">
        <f aca="false">K20*D20</f>
        <v>0</v>
      </c>
      <c r="M20" s="5" t="n">
        <f aca="false">SUM(F20,H20,J20,L20)</f>
        <v>4500</v>
      </c>
    </row>
    <row r="21" customFormat="false" ht="15" hidden="false" customHeight="false" outlineLevel="0" collapsed="false">
      <c r="A21" s="5" t="str">
        <f aca="false">Bordereau_prix!A13</f>
        <v>CAN-375</v>
      </c>
      <c r="B21" s="6" t="str">
        <f aca="false">Bordereau_prix!B13</f>
        <v>Fourniture et pose raccord / conduite DN375</v>
      </c>
      <c r="C21" s="5" t="str">
        <f aca="false">Bordereau_prix!C13</f>
        <v>m</v>
      </c>
      <c r="D21" s="5" t="n">
        <f aca="false">Bordereau_prix!E13</f>
        <v>180</v>
      </c>
      <c r="E21" s="5" t="n">
        <f aca="false">SUMIFS('Secteur A'!$H:$H,'Secteur A'!$C:$C,$A21)</f>
        <v>0</v>
      </c>
      <c r="F21" s="5" t="n">
        <f aca="false">E21*D21</f>
        <v>0</v>
      </c>
      <c r="G21" s="5" t="n">
        <f aca="false">SUMIFS('Secteur P'!$H:$H,'Secteur P'!$C:$C,$A21)</f>
        <v>0</v>
      </c>
      <c r="H21" s="5" t="n">
        <f aca="false">G21*D21</f>
        <v>0</v>
      </c>
      <c r="I21" s="5" t="n">
        <f aca="false">SUMIFS(Façade!$H:$H,Façade!$C:$C,$A21)</f>
        <v>0</v>
      </c>
      <c r="J21" s="5" t="n">
        <f aca="false">I21*D21</f>
        <v>0</v>
      </c>
      <c r="K21" s="5" t="n">
        <f aca="false">SUMIFS(Detail_facade_batim!$H:$H,Detail_facade_batim!$C:$C,$A21)</f>
        <v>0</v>
      </c>
      <c r="L21" s="5" t="n">
        <f aca="false">K21*D21</f>
        <v>0</v>
      </c>
      <c r="M21" s="5" t="n">
        <f aca="false">SUM(F21,H21,J21,L21)</f>
        <v>0</v>
      </c>
    </row>
    <row r="22" customFormat="false" ht="15" hidden="false" customHeight="false" outlineLevel="0" collapsed="false">
      <c r="A22" s="5" t="str">
        <f aca="false">Bordereau_prix!A14</f>
        <v>PUI-010</v>
      </c>
      <c r="B22" s="6" t="str">
        <f aca="false">Bordereau_prix!B14</f>
        <v>Nouveau puisard P-01</v>
      </c>
      <c r="C22" s="5" t="str">
        <f aca="false">Bordereau_prix!C14</f>
        <v>u</v>
      </c>
      <c r="D22" s="5" t="n">
        <f aca="false">Bordereau_prix!E14</f>
        <v>2500</v>
      </c>
      <c r="E22" s="5" t="n">
        <f aca="false">SUMIFS('Secteur A'!$H:$H,'Secteur A'!$C:$C,$A22)</f>
        <v>0</v>
      </c>
      <c r="F22" s="5" t="n">
        <f aca="false">E22*D22</f>
        <v>0</v>
      </c>
      <c r="G22" s="5" t="n">
        <f aca="false">SUMIFS('Secteur P'!$H:$H,'Secteur P'!$C:$C,$A22)</f>
        <v>0</v>
      </c>
      <c r="H22" s="5" t="n">
        <f aca="false">G22*D22</f>
        <v>0</v>
      </c>
      <c r="I22" s="5" t="n">
        <f aca="false">SUMIFS(Façade!$H:$H,Façade!$C:$C,$A22)</f>
        <v>1</v>
      </c>
      <c r="J22" s="5" t="n">
        <f aca="false">I22*D22</f>
        <v>2500</v>
      </c>
      <c r="K22" s="5" t="n">
        <f aca="false">SUMIFS(Detail_facade_batim!$H:$H,Detail_facade_batim!$C:$C,$A22)</f>
        <v>0</v>
      </c>
      <c r="L22" s="5" t="n">
        <f aca="false">K22*D22</f>
        <v>0</v>
      </c>
      <c r="M22" s="5" t="n">
        <f aca="false">SUM(F22,H22,J22,L22)</f>
        <v>2500</v>
      </c>
    </row>
    <row r="23" customFormat="false" ht="15" hidden="false" customHeight="false" outlineLevel="0" collapsed="false">
      <c r="A23" s="5" t="str">
        <f aca="false">Bordereau_prix!A15</f>
        <v>PUI-020</v>
      </c>
      <c r="B23" s="6" t="str">
        <f aca="false">Bordereau_prix!B15</f>
        <v>Nouveau puisard P-02</v>
      </c>
      <c r="C23" s="5" t="str">
        <f aca="false">Bordereau_prix!C15</f>
        <v>u</v>
      </c>
      <c r="D23" s="5" t="n">
        <f aca="false">Bordereau_prix!E15</f>
        <v>4200</v>
      </c>
      <c r="E23" s="5" t="n">
        <f aca="false">SUMIFS('Secteur A'!$H:$H,'Secteur A'!$C:$C,$A23)</f>
        <v>0</v>
      </c>
      <c r="F23" s="5" t="n">
        <f aca="false">E23*D23</f>
        <v>0</v>
      </c>
      <c r="G23" s="5" t="n">
        <f aca="false">SUMIFS('Secteur P'!$H:$H,'Secteur P'!$C:$C,$A23)</f>
        <v>0</v>
      </c>
      <c r="H23" s="5" t="n">
        <f aca="false">G23*D23</f>
        <v>0</v>
      </c>
      <c r="I23" s="5" t="n">
        <f aca="false">SUMIFS(Façade!$H:$H,Façade!$C:$C,$A23)</f>
        <v>1</v>
      </c>
      <c r="J23" s="5" t="n">
        <f aca="false">I23*D23</f>
        <v>4200</v>
      </c>
      <c r="K23" s="5" t="n">
        <f aca="false">SUMIFS(Detail_facade_batim!$H:$H,Detail_facade_batim!$C:$C,$A23)</f>
        <v>0</v>
      </c>
      <c r="L23" s="5" t="n">
        <f aca="false">K23*D23</f>
        <v>0</v>
      </c>
      <c r="M23" s="5" t="n">
        <f aca="false">SUM(F23,H23,J23,L23)</f>
        <v>4200</v>
      </c>
    </row>
    <row r="24" customFormat="false" ht="15" hidden="false" customHeight="false" outlineLevel="0" collapsed="false">
      <c r="A24" s="5" t="str">
        <f aca="false">Bordereau_prix!A16</f>
        <v>PUI-001</v>
      </c>
      <c r="B24" s="6" t="str">
        <f aca="false">Bordereau_prix!B16</f>
        <v>Nouveau puisard</v>
      </c>
      <c r="C24" s="5" t="str">
        <f aca="false">Bordereau_prix!C16</f>
        <v>u</v>
      </c>
      <c r="D24" s="5" t="n">
        <f aca="false">Bordereau_prix!E16</f>
        <v>5000</v>
      </c>
      <c r="E24" s="5" t="n">
        <f aca="false">SUMIFS('Secteur A'!$H:$H,'Secteur A'!$C:$C,$A24)</f>
        <v>0</v>
      </c>
      <c r="F24" s="5" t="n">
        <f aca="false">E24*D24</f>
        <v>0</v>
      </c>
      <c r="G24" s="5" t="n">
        <f aca="false">SUMIFS('Secteur P'!$H:$H,'Secteur P'!$C:$C,$A24)</f>
        <v>1</v>
      </c>
      <c r="H24" s="5" t="n">
        <f aca="false">G24*D24</f>
        <v>5000</v>
      </c>
      <c r="I24" s="5" t="n">
        <f aca="false">SUMIFS(Façade!$H:$H,Façade!$C:$C,$A24)</f>
        <v>0</v>
      </c>
      <c r="J24" s="5" t="n">
        <f aca="false">I24*D24</f>
        <v>0</v>
      </c>
      <c r="K24" s="5" t="n">
        <f aca="false">SUMIFS(Detail_facade_batim!$H:$H,Detail_facade_batim!$C:$C,$A24)</f>
        <v>0</v>
      </c>
      <c r="L24" s="5" t="n">
        <f aca="false">K24*D24</f>
        <v>0</v>
      </c>
      <c r="M24" s="5" t="n">
        <f aca="false">SUM(F24,H24,J24,L24)</f>
        <v>5000</v>
      </c>
    </row>
    <row r="25" customFormat="false" ht="15" hidden="false" customHeight="false" outlineLevel="0" collapsed="false">
      <c r="A25" s="5" t="str">
        <f aca="false">Bordereau_prix!A17</f>
        <v>BOR-001</v>
      </c>
      <c r="B25" s="6" t="str">
        <f aca="false">Bordereau_prix!B17</f>
        <v>Saignee dans bordure / raccord de bordure</v>
      </c>
      <c r="C25" s="5" t="str">
        <f aca="false">Bordereau_prix!C17</f>
        <v>m</v>
      </c>
      <c r="D25" s="5" t="n">
        <f aca="false">Bordereau_prix!E17</f>
        <v>180</v>
      </c>
      <c r="E25" s="5" t="n">
        <f aca="false">SUMIFS('Secteur A'!$H:$H,'Secteur A'!$C:$C,$A25)</f>
        <v>0</v>
      </c>
      <c r="F25" s="5" t="n">
        <f aca="false">E25*D25</f>
        <v>0</v>
      </c>
      <c r="G25" s="5" t="n">
        <f aca="false">SUMIFS('Secteur P'!$H:$H,'Secteur P'!$C:$C,$A25)</f>
        <v>0</v>
      </c>
      <c r="H25" s="5" t="n">
        <f aca="false">G25*D25</f>
        <v>0</v>
      </c>
      <c r="I25" s="5" t="n">
        <f aca="false">SUMIFS(Façade!$H:$H,Façade!$C:$C,$A25)</f>
        <v>0</v>
      </c>
      <c r="J25" s="5" t="n">
        <f aca="false">I25*D25</f>
        <v>0</v>
      </c>
      <c r="K25" s="5" t="n">
        <f aca="false">SUMIFS(Detail_facade_batim!$H:$H,Detail_facade_batim!$C:$C,$A25)</f>
        <v>0</v>
      </c>
      <c r="L25" s="5" t="n">
        <f aca="false">K25*D25</f>
        <v>0</v>
      </c>
      <c r="M25" s="5" t="n">
        <f aca="false">SUM(F25,H25,J25,L25)</f>
        <v>0</v>
      </c>
    </row>
    <row r="26" customFormat="false" ht="15" hidden="false" customHeight="false" outlineLevel="0" collapsed="false">
      <c r="A26" s="5" t="str">
        <f aca="false">Bordereau_prix!A18</f>
        <v>BORD-001</v>
      </c>
      <c r="B26" s="6" t="str">
        <f aca="false">Bordereau_prix!B18</f>
        <v>Reconstruction de bordure (si requise)</v>
      </c>
      <c r="C26" s="5" t="str">
        <f aca="false">Bordereau_prix!C18</f>
        <v>m</v>
      </c>
      <c r="D26" s="5" t="n">
        <f aca="false">Bordereau_prix!E18</f>
        <v>107</v>
      </c>
      <c r="E26" s="5" t="n">
        <f aca="false">SUMIFS('Secteur A'!$H:$H,'Secteur A'!$C:$C,$A26)</f>
        <v>0</v>
      </c>
      <c r="F26" s="5" t="n">
        <f aca="false">E26*D26</f>
        <v>0</v>
      </c>
      <c r="G26" s="5" t="n">
        <f aca="false">SUMIFS('Secteur P'!$H:$H,'Secteur P'!$C:$C,$A26)</f>
        <v>0</v>
      </c>
      <c r="H26" s="5" t="n">
        <f aca="false">G26*D26</f>
        <v>0</v>
      </c>
      <c r="I26" s="5" t="n">
        <f aca="false">SUMIFS(Façade!$H:$H,Façade!$C:$C,$A26)</f>
        <v>0</v>
      </c>
      <c r="J26" s="5" t="n">
        <f aca="false">I26*D26</f>
        <v>0</v>
      </c>
      <c r="K26" s="5" t="n">
        <f aca="false">SUMIFS(Detail_facade_batim!$H:$H,Detail_facade_batim!$C:$C,$A26)</f>
        <v>0</v>
      </c>
      <c r="L26" s="5" t="n">
        <f aca="false">K26*D26</f>
        <v>0</v>
      </c>
      <c r="M26" s="5" t="n">
        <f aca="false">SUM(F26,H26,J26,L26)</f>
        <v>0</v>
      </c>
    </row>
    <row r="27" customFormat="false" ht="15" hidden="false" customHeight="false" outlineLevel="0" collapsed="false">
      <c r="A27" s="5" t="str">
        <f aca="false">Bordereau_prix!A19</f>
        <v>RAC-001</v>
      </c>
      <c r="B27" s="6" t="str">
        <f aca="false">Bordereau_prix!B19</f>
        <v>Raccordement a la conduite existante Ø1800</v>
      </c>
      <c r="C27" s="5" t="str">
        <f aca="false">Bordereau_prix!C19</f>
        <v>u</v>
      </c>
      <c r="D27" s="5" t="n">
        <f aca="false">Bordereau_prix!E19</f>
        <v>15000</v>
      </c>
      <c r="E27" s="5" t="n">
        <f aca="false">SUMIFS('Secteur A'!$H:$H,'Secteur A'!$C:$C,$A27)</f>
        <v>0</v>
      </c>
      <c r="F27" s="5" t="n">
        <f aca="false">E27*D27</f>
        <v>0</v>
      </c>
      <c r="G27" s="5" t="n">
        <f aca="false">SUMIFS('Secteur P'!$H:$H,'Secteur P'!$C:$C,$A27)</f>
        <v>0</v>
      </c>
      <c r="H27" s="5" t="n">
        <f aca="false">G27*D27</f>
        <v>0</v>
      </c>
      <c r="I27" s="5" t="n">
        <f aca="false">SUMIFS(Façade!$H:$H,Façade!$C:$C,$A27)</f>
        <v>1</v>
      </c>
      <c r="J27" s="5" t="n">
        <f aca="false">I27*D27</f>
        <v>15000</v>
      </c>
      <c r="K27" s="5" t="n">
        <f aca="false">SUMIFS(Detail_facade_batim!$H:$H,Detail_facade_batim!$C:$C,$A27)</f>
        <v>0</v>
      </c>
      <c r="L27" s="5" t="n">
        <f aca="false">K27*D27</f>
        <v>0</v>
      </c>
      <c r="M27" s="5" t="n">
        <f aca="false">SUM(F27,H27,J27,L27)</f>
        <v>15000</v>
      </c>
    </row>
    <row r="28" customFormat="false" ht="15" hidden="false" customHeight="false" outlineLevel="0" collapsed="false">
      <c r="A28" s="5" t="str">
        <f aca="false">Bordereau_prix!A20</f>
        <v>REM-001</v>
      </c>
      <c r="B28" s="6" t="str">
        <f aca="false">Bordereau_prix!B20</f>
        <v>Remblai et materiaux granulaires</v>
      </c>
      <c r="C28" s="5" t="str">
        <f aca="false">Bordereau_prix!C20</f>
        <v>m3</v>
      </c>
      <c r="D28" s="5" t="n">
        <f aca="false">Bordereau_prix!E20</f>
        <v>81</v>
      </c>
      <c r="E28" s="5" t="n">
        <f aca="false">SUMIFS('Secteur A'!$H:$H,'Secteur A'!$C:$C,$A28)</f>
        <v>0</v>
      </c>
      <c r="F28" s="5" t="n">
        <f aca="false">E28*D28</f>
        <v>0</v>
      </c>
      <c r="G28" s="5" t="n">
        <f aca="false">SUMIFS('Secteur P'!$H:$H,'Secteur P'!$C:$C,$A28)</f>
        <v>0</v>
      </c>
      <c r="H28" s="5" t="n">
        <f aca="false">G28*D28</f>
        <v>0</v>
      </c>
      <c r="I28" s="5" t="n">
        <f aca="false">SUMIFS(Façade!$H:$H,Façade!$C:$C,$A28)</f>
        <v>0</v>
      </c>
      <c r="J28" s="5" t="n">
        <f aca="false">I28*D28</f>
        <v>0</v>
      </c>
      <c r="K28" s="5" t="n">
        <f aca="false">SUMIFS(Detail_facade_batim!$H:$H,Detail_facade_batim!$C:$C,$A28)</f>
        <v>0</v>
      </c>
      <c r="L28" s="5" t="n">
        <f aca="false">K28*D28</f>
        <v>0</v>
      </c>
      <c r="M28" s="5" t="n">
        <f aca="false">SUM(F28,H28,J28,L28)</f>
        <v>0</v>
      </c>
    </row>
    <row r="29" customFormat="false" ht="15" hidden="false" customHeight="false" outlineLevel="0" collapsed="false">
      <c r="A29" s="5" t="str">
        <f aca="false">Bordereau_prix!A21</f>
        <v>PAV-001</v>
      </c>
      <c r="B29" s="6" t="str">
        <f aca="false">Bordereau_prix!B21</f>
        <v>Reprofilage / reprise de pavage</v>
      </c>
      <c r="C29" s="5" t="str">
        <f aca="false">Bordereau_prix!C21</f>
        <v>m2</v>
      </c>
      <c r="D29" s="5" t="n">
        <f aca="false">Bordereau_prix!E21</f>
        <v>65</v>
      </c>
      <c r="E29" s="5" t="n">
        <f aca="false">SUMIFS('Secteur A'!$H:$H,'Secteur A'!$C:$C,$A29)</f>
        <v>557</v>
      </c>
      <c r="F29" s="5" t="n">
        <f aca="false">E29*D29</f>
        <v>36205</v>
      </c>
      <c r="G29" s="5" t="n">
        <f aca="false">SUMIFS('Secteur P'!$H:$H,'Secteur P'!$C:$C,$A29)</f>
        <v>164</v>
      </c>
      <c r="H29" s="5" t="n">
        <f aca="false">G29*D29</f>
        <v>10660</v>
      </c>
      <c r="I29" s="5" t="n">
        <f aca="false">SUMIFS(Façade!$H:$H,Façade!$C:$C,$A29)</f>
        <v>0</v>
      </c>
      <c r="J29" s="5" t="n">
        <f aca="false">I29*D29</f>
        <v>0</v>
      </c>
      <c r="K29" s="5" t="n">
        <f aca="false">SUMIFS(Detail_facade_batim!$H:$H,Detail_facade_batim!$C:$C,$A29)</f>
        <v>0</v>
      </c>
      <c r="L29" s="5" t="n">
        <f aca="false">K29*D29</f>
        <v>0</v>
      </c>
      <c r="M29" s="5" t="n">
        <f aca="false">SUM(F29,H29,J29,L29)</f>
        <v>46865</v>
      </c>
    </row>
    <row r="30" customFormat="false" ht="15" hidden="false" customHeight="false" outlineLevel="0" collapsed="false">
      <c r="A30" s="5" t="str">
        <f aca="false">Bordereau_prix!A22</f>
        <v>REF-001</v>
      </c>
      <c r="B30" s="6" t="str">
        <f aca="false">Bordereau_prix!B22</f>
        <v>Refection des surfaces (gazon, etc.)</v>
      </c>
      <c r="C30" s="5" t="str">
        <f aca="false">Bordereau_prix!C22</f>
        <v>m2</v>
      </c>
      <c r="D30" s="5" t="n">
        <f aca="false">Bordereau_prix!E22</f>
        <v>18</v>
      </c>
      <c r="E30" s="5" t="n">
        <f aca="false">SUMIFS('Secteur A'!$H:$H,'Secteur A'!$C:$C,$A30)</f>
        <v>0</v>
      </c>
      <c r="F30" s="5" t="n">
        <f aca="false">E30*D30</f>
        <v>0</v>
      </c>
      <c r="G30" s="5" t="n">
        <f aca="false">SUMIFS('Secteur P'!$H:$H,'Secteur P'!$C:$C,$A30)</f>
        <v>0</v>
      </c>
      <c r="H30" s="5" t="n">
        <f aca="false">G30*D30</f>
        <v>0</v>
      </c>
      <c r="I30" s="5" t="n">
        <f aca="false">SUMIFS(Façade!$H:$H,Façade!$C:$C,$A30)</f>
        <v>0</v>
      </c>
      <c r="J30" s="5" t="n">
        <f aca="false">I30*D30</f>
        <v>0</v>
      </c>
      <c r="K30" s="5" t="n">
        <f aca="false">SUMIFS(Detail_facade_batim!$H:$H,Detail_facade_batim!$C:$C,$A30)</f>
        <v>0</v>
      </c>
      <c r="L30" s="5" t="n">
        <f aca="false">K30*D30</f>
        <v>0</v>
      </c>
      <c r="M30" s="5" t="n">
        <f aca="false">SUM(F30,H30,J30,L30)</f>
        <v>0</v>
      </c>
    </row>
    <row r="31" customFormat="false" ht="15" hidden="false" customHeight="false" outlineLevel="0" collapsed="false">
      <c r="A31" s="5" t="str">
        <f aca="false">Bordereau_prix!A23</f>
        <v>AJU-001</v>
      </c>
      <c r="B31" s="6" t="str">
        <f aca="false">Bordereau_prix!B23</f>
        <v>Ajustement d'ouvrages existants</v>
      </c>
      <c r="C31" s="5" t="str">
        <f aca="false">Bordereau_prix!C23</f>
        <v>u</v>
      </c>
      <c r="D31" s="5" t="n">
        <f aca="false">Bordereau_prix!E23</f>
        <v>1200</v>
      </c>
      <c r="E31" s="5" t="n">
        <f aca="false">SUMIFS('Secteur A'!$H:$H,'Secteur A'!$C:$C,$A31)</f>
        <v>1</v>
      </c>
      <c r="F31" s="5" t="n">
        <f aca="false">E31*D31</f>
        <v>1200</v>
      </c>
      <c r="G31" s="5" t="n">
        <f aca="false">SUMIFS('Secteur P'!$H:$H,'Secteur P'!$C:$C,$A31)</f>
        <v>0</v>
      </c>
      <c r="H31" s="5" t="n">
        <f aca="false">G31*D31</f>
        <v>0</v>
      </c>
      <c r="I31" s="5" t="n">
        <f aca="false">SUMIFS(Façade!$H:$H,Façade!$C:$C,$A31)</f>
        <v>0</v>
      </c>
      <c r="J31" s="5" t="n">
        <f aca="false">I31*D31</f>
        <v>0</v>
      </c>
      <c r="K31" s="5" t="n">
        <f aca="false">SUMIFS(Detail_facade_batim!$H:$H,Detail_facade_batim!$C:$C,$A31)</f>
        <v>0</v>
      </c>
      <c r="L31" s="5" t="n">
        <f aca="false">K31*D31</f>
        <v>0</v>
      </c>
      <c r="M31" s="5" t="n">
        <f aca="false">SUM(F31,H31,J31,L31)</f>
        <v>1200</v>
      </c>
    </row>
    <row r="32" customFormat="false" ht="15" hidden="false" customHeight="false" outlineLevel="0" collapsed="false">
      <c r="A32" s="5" t="str">
        <f aca="false">Bordereau_prix!A24</f>
        <v>ESS-001</v>
      </c>
      <c r="B32" s="6" t="str">
        <f aca="false">Bordereau_prix!B24</f>
        <v>Essais / verification hydraulique et mise en service</v>
      </c>
      <c r="C32" s="5" t="str">
        <f aca="false">Bordereau_prix!C24</f>
        <v>lot</v>
      </c>
      <c r="D32" s="5" t="n">
        <f aca="false">Bordereau_prix!E24</f>
        <v>3000</v>
      </c>
      <c r="E32" s="5" t="n">
        <f aca="false">SUMIFS('Secteur A'!$H:$H,'Secteur A'!$C:$C,$A32)</f>
        <v>0</v>
      </c>
      <c r="F32" s="5" t="n">
        <f aca="false">E32*D32</f>
        <v>0</v>
      </c>
      <c r="G32" s="5" t="n">
        <f aca="false">SUMIFS('Secteur P'!$H:$H,'Secteur P'!$C:$C,$A32)</f>
        <v>0</v>
      </c>
      <c r="H32" s="5" t="n">
        <f aca="false">G32*D32</f>
        <v>0</v>
      </c>
      <c r="I32" s="5" t="n">
        <f aca="false">SUMIFS(Façade!$H:$H,Façade!$C:$C,$A32)</f>
        <v>0</v>
      </c>
      <c r="J32" s="5" t="n">
        <f aca="false">I32*D32</f>
        <v>0</v>
      </c>
      <c r="K32" s="5" t="n">
        <f aca="false">SUMIFS(Detail_facade_batim!$H:$H,Detail_facade_batim!$C:$C,$A32)</f>
        <v>0</v>
      </c>
      <c r="L32" s="5" t="n">
        <f aca="false">K32*D32</f>
        <v>0</v>
      </c>
      <c r="M32" s="5" t="n">
        <f aca="false">SUM(F32,H32,J32,L32)</f>
        <v>0</v>
      </c>
    </row>
    <row r="33" customFormat="false" ht="15" hidden="false" customHeight="false" outlineLevel="0" collapsed="false">
      <c r="A33" s="5" t="str">
        <f aca="false">Bordereau_prix!A25</f>
        <v>DOC-001</v>
      </c>
      <c r="B33" s="6" t="str">
        <f aca="false">Bordereau_prix!B25</f>
        <v>Plans finaux / dossier de recollement</v>
      </c>
      <c r="C33" s="5" t="str">
        <f aca="false">Bordereau_prix!C25</f>
        <v>lot</v>
      </c>
      <c r="D33" s="5" t="n">
        <f aca="false">Bordereau_prix!E25</f>
        <v>4500</v>
      </c>
      <c r="E33" s="5" t="n">
        <f aca="false">SUMIFS('Secteur A'!$H:$H,'Secteur A'!$C:$C,$A33)</f>
        <v>0</v>
      </c>
      <c r="F33" s="5" t="n">
        <f aca="false">E33*D33</f>
        <v>0</v>
      </c>
      <c r="G33" s="5" t="n">
        <f aca="false">SUMIFS('Secteur P'!$H:$H,'Secteur P'!$C:$C,$A33)</f>
        <v>0</v>
      </c>
      <c r="H33" s="5" t="n">
        <f aca="false">G33*D33</f>
        <v>0</v>
      </c>
      <c r="I33" s="5" t="n">
        <f aca="false">SUMIFS(Façade!$H:$H,Façade!$C:$C,$A33)</f>
        <v>0</v>
      </c>
      <c r="J33" s="5" t="n">
        <f aca="false">I33*D33</f>
        <v>0</v>
      </c>
      <c r="K33" s="5" t="n">
        <f aca="false">SUMIFS(Detail_facade_batim!$H:$H,Detail_facade_batim!$C:$C,$A33)</f>
        <v>0</v>
      </c>
      <c r="L33" s="5" t="n">
        <f aca="false">K33*D33</f>
        <v>0</v>
      </c>
      <c r="M33" s="5" t="n">
        <f aca="false">SUM(F33,H33,J33,L33)</f>
        <v>0</v>
      </c>
    </row>
    <row r="34" customFormat="false" ht="15" hidden="false" customHeight="false" outlineLevel="0" collapsed="false">
      <c r="A34" s="7" t="s">
        <v>72</v>
      </c>
      <c r="F34" s="7" t="n">
        <f aca="false">SUM(F13:F33)</f>
        <v>49658</v>
      </c>
      <c r="H34" s="7" t="n">
        <f aca="false">SUM(H13:H33)</f>
        <v>17956</v>
      </c>
      <c r="J34" s="7" t="n">
        <f aca="false">SUM(J13:J33)</f>
        <v>29976</v>
      </c>
      <c r="L34" s="7" t="n">
        <f aca="false">SUM(L13:L33)</f>
        <v>2500</v>
      </c>
      <c r="M34" s="7" t="n">
        <f aca="false">SUM(M13:M33)</f>
        <v>100090</v>
      </c>
    </row>
    <row r="36" customFormat="false" ht="15" hidden="false" customHeight="true" outlineLevel="0" collapsed="false">
      <c r="A36" s="3" t="s">
        <v>164</v>
      </c>
      <c r="B36" s="3"/>
      <c r="C36" s="3"/>
      <c r="D36" s="3"/>
      <c r="E36" s="3"/>
      <c r="F36" s="3"/>
      <c r="G36" s="3"/>
      <c r="H36" s="3"/>
      <c r="I36" s="3"/>
      <c r="J36" s="3"/>
      <c r="K36" s="3"/>
      <c r="L36" s="3"/>
      <c r="M36" s="3"/>
    </row>
    <row r="37" customFormat="false" ht="15" hidden="false" customHeight="true" outlineLevel="0" collapsed="false">
      <c r="A37" s="20" t="s">
        <v>165</v>
      </c>
      <c r="B37" s="20"/>
      <c r="C37" s="20"/>
      <c r="D37" s="20"/>
      <c r="E37" s="20"/>
      <c r="F37" s="20"/>
      <c r="G37" s="20"/>
      <c r="H37" s="20"/>
      <c r="I37" s="20"/>
      <c r="J37" s="20"/>
      <c r="K37" s="20"/>
      <c r="L37" s="20"/>
      <c r="M37" s="20"/>
    </row>
  </sheetData>
  <mergeCells count="4">
    <mergeCell ref="A1:M1"/>
    <mergeCell ref="D3:G3"/>
    <mergeCell ref="A36:M36"/>
    <mergeCell ref="A37:M3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6"/>
    <col collapsed="false" customWidth="true" hidden="false" outlineLevel="0" max="2" min="2" style="0" width="44"/>
    <col collapsed="false" customWidth="true" hidden="false" outlineLevel="0" max="4" min="3" style="0" width="42"/>
    <col collapsed="false" customWidth="true" hidden="false" outlineLevel="0" max="5" min="5" style="0" width="46"/>
    <col collapsed="false" customWidth="true" hidden="false" outlineLevel="0" max="6" min="6" style="0" width="38"/>
    <col collapsed="false" customWidth="true" hidden="false" outlineLevel="0" max="7" min="7" style="0" width="36"/>
  </cols>
  <sheetData>
    <row r="1" customFormat="false" ht="17.35" hidden="false" customHeight="false" outlineLevel="0" collapsed="false">
      <c r="A1" s="13" t="s">
        <v>166</v>
      </c>
      <c r="B1" s="13"/>
      <c r="C1" s="13"/>
      <c r="D1" s="13"/>
      <c r="E1" s="13"/>
      <c r="F1" s="13"/>
      <c r="G1" s="13"/>
    </row>
    <row r="3" customFormat="false" ht="15" hidden="false" customHeight="false" outlineLevel="0" collapsed="false">
      <c r="A3" s="4" t="s">
        <v>75</v>
      </c>
      <c r="B3" s="4" t="s">
        <v>167</v>
      </c>
      <c r="C3" s="4" t="s">
        <v>168</v>
      </c>
      <c r="D3" s="4" t="s">
        <v>169</v>
      </c>
      <c r="E3" s="4" t="s">
        <v>170</v>
      </c>
      <c r="F3" s="4" t="s">
        <v>171</v>
      </c>
      <c r="G3" s="4" t="s">
        <v>172</v>
      </c>
    </row>
    <row r="4" customFormat="false" ht="57.45" hidden="false" customHeight="false" outlineLevel="0" collapsed="false">
      <c r="A4" s="21" t="s">
        <v>146</v>
      </c>
      <c r="B4" s="22" t="s">
        <v>173</v>
      </c>
      <c r="C4" s="22" t="s">
        <v>174</v>
      </c>
      <c r="D4" s="22" t="s">
        <v>175</v>
      </c>
      <c r="E4" s="22" t="s">
        <v>176</v>
      </c>
      <c r="F4" s="22" t="s">
        <v>177</v>
      </c>
      <c r="G4" s="22" t="s">
        <v>178</v>
      </c>
    </row>
    <row r="5" customFormat="false" ht="57.45" hidden="false" customHeight="false" outlineLevel="0" collapsed="false">
      <c r="A5" s="21" t="s">
        <v>49</v>
      </c>
      <c r="B5" s="22" t="s">
        <v>179</v>
      </c>
      <c r="C5" s="22" t="s">
        <v>180</v>
      </c>
      <c r="D5" s="22" t="s">
        <v>181</v>
      </c>
      <c r="E5" s="22" t="s">
        <v>182</v>
      </c>
      <c r="F5" s="22" t="s">
        <v>183</v>
      </c>
      <c r="G5" s="22" t="s">
        <v>184</v>
      </c>
    </row>
    <row r="6" customFormat="false" ht="68.65" hidden="false" customHeight="false" outlineLevel="0" collapsed="false">
      <c r="A6" s="21" t="s">
        <v>44</v>
      </c>
      <c r="B6" s="22" t="s">
        <v>185</v>
      </c>
      <c r="C6" s="22" t="s">
        <v>186</v>
      </c>
      <c r="D6" s="22" t="s">
        <v>187</v>
      </c>
      <c r="E6" s="22" t="s">
        <v>188</v>
      </c>
      <c r="F6" s="22" t="s">
        <v>189</v>
      </c>
      <c r="G6" s="22" t="s">
        <v>190</v>
      </c>
    </row>
    <row r="8" customFormat="false" ht="15" hidden="false" customHeight="true" outlineLevel="0" collapsed="false">
      <c r="A8" s="23" t="s">
        <v>191</v>
      </c>
      <c r="B8" s="23"/>
      <c r="C8" s="23"/>
      <c r="D8" s="23"/>
      <c r="E8" s="23"/>
      <c r="F8" s="23"/>
      <c r="G8" s="23"/>
    </row>
  </sheetData>
  <mergeCells count="2">
    <mergeCell ref="A1:G1"/>
    <mergeCell ref="A8:G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469</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2026-06-06T13:48:52Z</dcterms:created>
  <dc:creator>openpyxl</dc:creator>
  <dc:description/>
  <dc:language>en-US</dc:language>
  <cp:lastModifiedBy/>
  <dcterms:modified xsi:type="dcterms:W3CDTF">2026-06-08T05:12:36Z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