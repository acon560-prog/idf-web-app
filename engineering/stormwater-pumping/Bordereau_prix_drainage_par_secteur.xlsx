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rdereau_prix" sheetId="1" state="visible" r:id="rId1"/>
    <sheet name="Detail_Image1" sheetId="2" state="visible" r:id="rId2"/>
    <sheet name="Detail_Image2" sheetId="3" state="visible" r:id="rId3"/>
    <sheet name="Detail_Image3" sheetId="4" state="visible" r:id="rId4"/>
    <sheet name="Detail_facade_batim" sheetId="5" state="visible" r:id="rId5"/>
    <sheet name="Traceabilite" sheetId="6" state="visible" r:id="rId6"/>
    <sheet name="Catalogue_item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3" borderId="1" pivotButton="0" quotePrefix="0" xfId="0"/>
    <xf numFmtId="0" fontId="1" fillId="0" borderId="0" pivotButton="0" quotePrefix="0" xfId="0"/>
    <xf numFmtId="0" fontId="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10" customWidth="1" min="3" max="3"/>
    <col width="16" customWidth="1" min="4" max="4"/>
    <col width="12" customWidth="1" min="5" max="5"/>
    <col width="16" customWidth="1" min="6" max="6"/>
    <col width="32" customWidth="1" min="7" max="7"/>
    <col width="42" customWidth="1" min="8" max="8"/>
  </cols>
  <sheetData>
    <row r="1">
      <c r="A1" s="1" t="inlineStr">
        <is>
          <t>BORDEREAU DE PRIX - TRAVAUX DRAINAGE PAR SECTEUR</t>
        </is>
      </c>
    </row>
    <row r="2">
      <c r="A2" s="2" t="inlineStr">
        <is>
          <t>Quantites consolidees depuis Detail_Image1, Detail_Image2, Detail_Image3, Detail_facade_batim</t>
        </is>
      </c>
    </row>
    <row r="4">
      <c r="A4" s="3" t="inlineStr">
        <is>
          <t>Item</t>
        </is>
      </c>
      <c r="B4" s="3" t="inlineStr">
        <is>
          <t>Description</t>
        </is>
      </c>
      <c r="C4" s="3" t="inlineStr">
        <is>
          <t>Unite</t>
        </is>
      </c>
      <c r="D4" s="3" t="inlineStr">
        <is>
          <t>Quantite_totale</t>
        </is>
      </c>
      <c r="E4" s="3" t="inlineStr">
        <is>
          <t>PU</t>
        </is>
      </c>
      <c r="F4" s="3" t="inlineStr">
        <is>
          <t>Montant</t>
        </is>
      </c>
      <c r="G4" s="3" t="inlineStr">
        <is>
          <t>Secteurs/Images</t>
        </is>
      </c>
      <c r="H4" s="3" t="inlineStr">
        <is>
          <t>Observations</t>
        </is>
      </c>
    </row>
    <row r="5">
      <c r="A5" s="4" t="inlineStr">
        <is>
          <t>SURV-001</t>
        </is>
      </c>
      <c r="B5" s="5" t="inlineStr">
        <is>
          <t>Leve topographique detaille (altimetrie + planimetrie)</t>
        </is>
      </c>
      <c r="C5" s="4" t="inlineStr">
        <is>
          <t>lot</t>
        </is>
      </c>
      <c r="D5" s="4">
        <f>SUMIFS(Detail_Image1!$H:$H,Detail_Image1!$C:$C,$A5)+SUMIFS(Detail_Image2!$H:$H,Detail_Image2!$C:$C,$A5)+SUMIFS(Detail_Image3!$H:$H,Detail_Image3!$C:$C,$A5)+SUMIFS(Detail_facade_batim!$H:$H,Detail_facade_batim!$C:$C,$A5)</f>
        <v/>
      </c>
      <c r="E5" s="4" t="n"/>
      <c r="F5" s="4">
        <f>IF(E5="","",D5*E5)</f>
        <v/>
      </c>
      <c r="G5" s="5" t="inlineStr">
        <is>
          <t>Facade batiment / zones drainage</t>
        </is>
      </c>
      <c r="H5" s="5" t="n"/>
    </row>
    <row r="6">
      <c r="A6" s="4" t="inlineStr">
        <is>
          <t>PREP-001</t>
        </is>
      </c>
      <c r="B6" s="5" t="inlineStr">
        <is>
          <t>Mobilisation / installation de chantier</t>
        </is>
      </c>
      <c r="C6" s="4" t="inlineStr">
        <is>
          <t>lot</t>
        </is>
      </c>
      <c r="D6" s="4">
        <f>SUMIFS(Detail_Image1!$H:$H,Detail_Image1!$C:$C,$A6)+SUMIFS(Detail_Image2!$H:$H,Detail_Image2!$C:$C,$A6)+SUMIFS(Detail_Image3!$H:$H,Detail_Image3!$C:$C,$A6)+SUMIFS(Detail_facade_batim!$H:$H,Detail_facade_batim!$C:$C,$A6)</f>
        <v/>
      </c>
      <c r="E6" s="4" t="n"/>
      <c r="F6" s="4">
        <f>IF(E6="","",D6*E6)</f>
        <v/>
      </c>
      <c r="G6" s="5" t="inlineStr">
        <is>
          <t>Tous secteurs</t>
        </is>
      </c>
      <c r="H6" s="5" t="n"/>
    </row>
    <row r="7">
      <c r="A7" s="4" t="inlineStr">
        <is>
          <t>PREP-002</t>
        </is>
      </c>
      <c r="B7" s="5" t="inlineStr">
        <is>
          <t>Signalisation et maintien de la circulation</t>
        </is>
      </c>
      <c r="C7" s="4" t="inlineStr">
        <is>
          <t>lot</t>
        </is>
      </c>
      <c r="D7" s="4">
        <f>SUMIFS(Detail_Image1!$H:$H,Detail_Image1!$C:$C,$A7)+SUMIFS(Detail_Image2!$H:$H,Detail_Image2!$C:$C,$A7)+SUMIFS(Detail_Image3!$H:$H,Detail_Image3!$C:$C,$A7)+SUMIFS(Detail_facade_batim!$H:$H,Detail_facade_batim!$C:$C,$A7)</f>
        <v/>
      </c>
      <c r="E7" s="4" t="n"/>
      <c r="F7" s="4">
        <f>IF(E7="","",D7*E7)</f>
        <v/>
      </c>
      <c r="G7" s="5" t="inlineStr">
        <is>
          <t>Tous secteurs</t>
        </is>
      </c>
      <c r="H7" s="5" t="n"/>
    </row>
    <row r="8">
      <c r="A8" s="4" t="inlineStr">
        <is>
          <t>SCI-001</t>
        </is>
      </c>
      <c r="B8" s="5" t="inlineStr">
        <is>
          <t>Sciage de pavage</t>
        </is>
      </c>
      <c r="C8" s="4" t="inlineStr">
        <is>
          <t>m</t>
        </is>
      </c>
      <c r="D8" s="4">
        <f>SUMIFS(Detail_Image1!$H:$H,Detail_Image1!$C:$C,$A8)+SUMIFS(Detail_Image2!$H:$H,Detail_Image2!$C:$C,$A8)+SUMIFS(Detail_Image3!$H:$H,Detail_Image3!$C:$C,$A8)+SUMIFS(Detail_facade_batim!$H:$H,Detail_facade_batim!$C:$C,$A8)</f>
        <v/>
      </c>
      <c r="E8" s="4" t="n"/>
      <c r="F8" s="4">
        <f>IF(E8="","",D8*E8)</f>
        <v/>
      </c>
      <c r="G8" s="5" t="inlineStr">
        <is>
          <t>Zone de reprofilage</t>
        </is>
      </c>
      <c r="H8" s="5" t="n"/>
    </row>
    <row r="9">
      <c r="A9" s="4" t="inlineStr">
        <is>
          <t>DEM-001</t>
        </is>
      </c>
      <c r="B9" s="5" t="inlineStr">
        <is>
          <t>Enlevement de pavage</t>
        </is>
      </c>
      <c r="C9" s="4" t="inlineStr">
        <is>
          <t>m2</t>
        </is>
      </c>
      <c r="D9" s="4">
        <f>SUMIFS(Detail_Image1!$H:$H,Detail_Image1!$C:$C,$A9)+SUMIFS(Detail_Image2!$H:$H,Detail_Image2!$C:$C,$A9)+SUMIFS(Detail_Image3!$H:$H,Detail_Image3!$C:$C,$A9)+SUMIFS(Detail_facade_batim!$H:$H,Detail_facade_batim!$C:$C,$A9)</f>
        <v/>
      </c>
      <c r="E9" s="4" t="n"/>
      <c r="F9" s="4">
        <f>IF(E9="","",D9*E9)</f>
        <v/>
      </c>
      <c r="G9" s="5" t="inlineStr">
        <is>
          <t>Zone de reprofilage / secteurs A</t>
        </is>
      </c>
      <c r="H9" s="5" t="n"/>
    </row>
    <row r="10">
      <c r="A10" s="4" t="inlineStr">
        <is>
          <t>EXC-001</t>
        </is>
      </c>
      <c r="B10" s="5" t="inlineStr">
        <is>
          <t>Excavation de tranchee pour reseau pluvial</t>
        </is>
      </c>
      <c r="C10" s="4" t="inlineStr">
        <is>
          <t>m3</t>
        </is>
      </c>
      <c r="D10" s="4">
        <f>SUMIFS(Detail_Image1!$H:$H,Detail_Image1!$C:$C,$A10)+SUMIFS(Detail_Image2!$H:$H,Detail_Image2!$C:$C,$A10)+SUMIFS(Detail_Image3!$H:$H,Detail_Image3!$C:$C,$A10)+SUMIFS(Detail_facade_batim!$H:$H,Detail_facade_batim!$C:$C,$A10)</f>
        <v/>
      </c>
      <c r="E10" s="4" t="n"/>
      <c r="F10" s="4">
        <f>IF(E10="","",D10*E10)</f>
        <v/>
      </c>
      <c r="G10" s="5" t="inlineStr">
        <is>
          <t>Tous secteurs</t>
        </is>
      </c>
      <c r="H10" s="5" t="n"/>
    </row>
    <row r="11">
      <c r="A11" s="4" t="inlineStr">
        <is>
          <t>EXC-002</t>
        </is>
      </c>
      <c r="B11" s="5" t="inlineStr">
        <is>
          <t>Hydro-excavation pour localisation de conduites existantes</t>
        </is>
      </c>
      <c r="C11" s="4" t="inlineStr">
        <is>
          <t>h</t>
        </is>
      </c>
      <c r="D11" s="4">
        <f>SUMIFS(Detail_Image1!$H:$H,Detail_Image1!$C:$C,$A11)+SUMIFS(Detail_Image2!$H:$H,Detail_Image2!$C:$C,$A11)+SUMIFS(Detail_Image3!$H:$H,Detail_Image3!$C:$C,$A11)+SUMIFS(Detail_facade_batim!$H:$H,Detail_facade_batim!$C:$C,$A11)</f>
        <v/>
      </c>
      <c r="E11" s="4" t="n"/>
      <c r="F11" s="4">
        <f>IF(E11="","",D11*E11)</f>
        <v/>
      </c>
      <c r="G11" s="5" t="inlineStr">
        <is>
          <t>Secteur P-01 / P-02 / raccord Ø1800</t>
        </is>
      </c>
      <c r="H11" s="5" t="n"/>
    </row>
    <row r="12">
      <c r="A12" s="4" t="inlineStr">
        <is>
          <t>CAN-300</t>
        </is>
      </c>
      <c r="B12" s="5" t="inlineStr">
        <is>
          <t>Fourniture et pose conduite pluviale DN300</t>
        </is>
      </c>
      <c r="C12" s="4" t="inlineStr">
        <is>
          <t>m</t>
        </is>
      </c>
      <c r="D12" s="4">
        <f>SUMIFS(Detail_Image1!$H:$H,Detail_Image1!$C:$C,$A12)+SUMIFS(Detail_Image2!$H:$H,Detail_Image2!$C:$C,$A12)+SUMIFS(Detail_Image3!$H:$H,Detail_Image3!$C:$C,$A12)+SUMIFS(Detail_facade_batim!$H:$H,Detail_facade_batim!$C:$C,$A12)</f>
        <v/>
      </c>
      <c r="E12" s="4" t="n"/>
      <c r="F12" s="4">
        <f>IF(E12="","",D12*E12)</f>
        <v/>
      </c>
      <c r="G12" s="5" t="inlineStr">
        <is>
          <t>Secteurs avec conduites nouvelles</t>
        </is>
      </c>
      <c r="H12" s="5" t="n"/>
    </row>
    <row r="13">
      <c r="A13" s="4" t="inlineStr">
        <is>
          <t>CAN-375</t>
        </is>
      </c>
      <c r="B13" s="5" t="inlineStr">
        <is>
          <t>Fourniture et pose raccord / conduite DN375</t>
        </is>
      </c>
      <c r="C13" s="4" t="inlineStr">
        <is>
          <t>m</t>
        </is>
      </c>
      <c r="D13" s="4">
        <f>SUMIFS(Detail_Image1!$H:$H,Detail_Image1!$C:$C,$A13)+SUMIFS(Detail_Image2!$H:$H,Detail_Image2!$C:$C,$A13)+SUMIFS(Detail_Image3!$H:$H,Detail_Image3!$C:$C,$A13)+SUMIFS(Detail_facade_batim!$H:$H,Detail_facade_batim!$C:$C,$A13)</f>
        <v/>
      </c>
      <c r="E13" s="4" t="n"/>
      <c r="F13" s="4">
        <f>IF(E13="","",D13*E13)</f>
        <v/>
      </c>
      <c r="G13" s="5" t="inlineStr">
        <is>
          <t>Raccord propose</t>
        </is>
      </c>
      <c r="H13" s="5" t="n"/>
    </row>
    <row r="14">
      <c r="A14" s="4" t="inlineStr">
        <is>
          <t>REG-001</t>
        </is>
      </c>
      <c r="B14" s="5" t="inlineStr">
        <is>
          <t>Regard RP-01 (ajustement / reconstruction locale)</t>
        </is>
      </c>
      <c r="C14" s="4" t="inlineStr">
        <is>
          <t>u</t>
        </is>
      </c>
      <c r="D14" s="4">
        <f>SUMIFS(Detail_Image1!$H:$H,Detail_Image1!$C:$C,$A14)+SUMIFS(Detail_Image2!$H:$H,Detail_Image2!$C:$C,$A14)+SUMIFS(Detail_Image3!$H:$H,Detail_Image3!$C:$C,$A14)+SUMIFS(Detail_facade_batim!$H:$H,Detail_facade_batim!$C:$C,$A14)</f>
        <v/>
      </c>
      <c r="E14" s="4" t="n"/>
      <c r="F14" s="4">
        <f>IF(E14="","",D14*E14)</f>
        <v/>
      </c>
      <c r="G14" s="5" t="inlineStr">
        <is>
          <t>Noeud de repartition</t>
        </is>
      </c>
      <c r="H14" s="5" t="n"/>
    </row>
    <row r="15">
      <c r="A15" s="4" t="inlineStr">
        <is>
          <t>REG-002</t>
        </is>
      </c>
      <c r="B15" s="5" t="inlineStr">
        <is>
          <t>Regard RP-02 avec clapet anti-retour</t>
        </is>
      </c>
      <c r="C15" s="4" t="inlineStr">
        <is>
          <t>u</t>
        </is>
      </c>
      <c r="D15" s="4">
        <f>SUMIFS(Detail_Image1!$H:$H,Detail_Image1!$C:$C,$A15)+SUMIFS(Detail_Image2!$H:$H,Detail_Image2!$C:$C,$A15)+SUMIFS(Detail_Image3!$H:$H,Detail_Image3!$C:$C,$A15)+SUMIFS(Detail_facade_batim!$H:$H,Detail_facade_batim!$C:$C,$A15)</f>
        <v/>
      </c>
      <c r="E15" s="4" t="n"/>
      <c r="F15" s="4">
        <f>IF(E15="","",D15*E15)</f>
        <v/>
      </c>
      <c r="G15" s="5" t="inlineStr">
        <is>
          <t>Aval poste / reseau existant</t>
        </is>
      </c>
      <c r="H15" s="5" t="n"/>
    </row>
    <row r="16">
      <c r="A16" s="4" t="inlineStr">
        <is>
          <t>SEP-001</t>
        </is>
      </c>
      <c r="B16" s="5" t="inlineStr">
        <is>
          <t>Unite de traitement type Jellyfish (DP-01)</t>
        </is>
      </c>
      <c r="C16" s="4" t="inlineStr">
        <is>
          <t>u</t>
        </is>
      </c>
      <c r="D16" s="4">
        <f>SUMIFS(Detail_Image1!$H:$H,Detail_Image1!$C:$C,$A16)+SUMIFS(Detail_Image2!$H:$H,Detail_Image2!$C:$C,$A16)+SUMIFS(Detail_Image3!$H:$H,Detail_Image3!$C:$C,$A16)+SUMIFS(Detail_facade_batim!$H:$H,Detail_facade_batim!$C:$C,$A16)</f>
        <v/>
      </c>
      <c r="E16" s="4" t="n"/>
      <c r="F16" s="4">
        <f>IF(E16="","",D16*E16)</f>
        <v/>
      </c>
      <c r="G16" s="5" t="inlineStr">
        <is>
          <t>Branche traitement</t>
        </is>
      </c>
      <c r="H16" s="5" t="n"/>
    </row>
    <row r="17">
      <c r="A17" s="4" t="inlineStr">
        <is>
          <t>PUI-001</t>
        </is>
      </c>
      <c r="B17" s="5" t="inlineStr">
        <is>
          <t>Nouveau puisard</t>
        </is>
      </c>
      <c r="C17" s="4" t="inlineStr">
        <is>
          <t>u</t>
        </is>
      </c>
      <c r="D17" s="4">
        <f>SUMIFS(Detail_Image1!$H:$H,Detail_Image1!$C:$C,$A17)+SUMIFS(Detail_Image2!$H:$H,Detail_Image2!$C:$C,$A17)+SUMIFS(Detail_Image3!$H:$H,Detail_Image3!$C:$C,$A17)+SUMIFS(Detail_facade_batim!$H:$H,Detail_facade_batim!$C:$C,$A17)</f>
        <v/>
      </c>
      <c r="E17" s="4" t="n"/>
      <c r="F17" s="4">
        <f>IF(E17="","",D17*E17)</f>
        <v/>
      </c>
      <c r="G17" s="5" t="inlineStr">
        <is>
          <t>Secteur A</t>
        </is>
      </c>
      <c r="H17" s="5" t="n"/>
    </row>
    <row r="18">
      <c r="A18" s="4" t="inlineStr">
        <is>
          <t>BOR-001</t>
        </is>
      </c>
      <c r="B18" s="5" t="inlineStr">
        <is>
          <t>Saignee dans bordure / raccord de bordure</t>
        </is>
      </c>
      <c r="C18" s="4" t="inlineStr">
        <is>
          <t>m</t>
        </is>
      </c>
      <c r="D18" s="4">
        <f>SUMIFS(Detail_Image1!$H:$H,Detail_Image1!$C:$C,$A18)+SUMIFS(Detail_Image2!$H:$H,Detail_Image2!$C:$C,$A18)+SUMIFS(Detail_Image3!$H:$H,Detail_Image3!$C:$C,$A18)+SUMIFS(Detail_facade_batim!$H:$H,Detail_facade_batim!$C:$C,$A18)</f>
        <v/>
      </c>
      <c r="E18" s="4" t="n"/>
      <c r="F18" s="4">
        <f>IF(E18="","",D18*E18)</f>
        <v/>
      </c>
      <c r="G18" s="5" t="inlineStr">
        <is>
          <t>Secteur A</t>
        </is>
      </c>
      <c r="H18" s="5" t="n"/>
    </row>
    <row r="19">
      <c r="A19" s="4" t="inlineStr">
        <is>
          <t>BORD-001</t>
        </is>
      </c>
      <c r="B19" s="5" t="inlineStr">
        <is>
          <t>Reconstruction de bordure (si requise)</t>
        </is>
      </c>
      <c r="C19" s="4" t="inlineStr">
        <is>
          <t>m</t>
        </is>
      </c>
      <c r="D19" s="4">
        <f>SUMIFS(Detail_Image1!$H:$H,Detail_Image1!$C:$C,$A19)+SUMIFS(Detail_Image2!$H:$H,Detail_Image2!$C:$C,$A19)+SUMIFS(Detail_Image3!$H:$H,Detail_Image3!$C:$C,$A19)+SUMIFS(Detail_facade_batim!$H:$H,Detail_facade_batim!$C:$C,$A19)</f>
        <v/>
      </c>
      <c r="E19" s="4" t="n"/>
      <c r="F19" s="4">
        <f>IF(E19="","",D19*E19)</f>
        <v/>
      </c>
      <c r="G19" s="5" t="inlineStr">
        <is>
          <t>Zone de reprofilage</t>
        </is>
      </c>
      <c r="H19" s="5" t="n"/>
    </row>
    <row r="20">
      <c r="A20" s="4" t="inlineStr">
        <is>
          <t>RAC-001</t>
        </is>
      </c>
      <c r="B20" s="5" t="inlineStr">
        <is>
          <t>Raccordement a la conduite existante Ø1800</t>
        </is>
      </c>
      <c r="C20" s="4" t="inlineStr">
        <is>
          <t>u</t>
        </is>
      </c>
      <c r="D20" s="4">
        <f>SUMIFS(Detail_Image1!$H:$H,Detail_Image1!$C:$C,$A20)+SUMIFS(Detail_Image2!$H:$H,Detail_Image2!$C:$C,$A20)+SUMIFS(Detail_Image3!$H:$H,Detail_Image3!$C:$C,$A20)+SUMIFS(Detail_facade_batim!$H:$H,Detail_facade_batim!$C:$C,$A20)</f>
        <v/>
      </c>
      <c r="E20" s="4" t="n"/>
      <c r="F20" s="4">
        <f>IF(E20="","",D20*E20)</f>
        <v/>
      </c>
      <c r="G20" s="5" t="inlineStr">
        <is>
          <t>Secteur P-01 / P-02</t>
        </is>
      </c>
      <c r="H20" s="5" t="n"/>
    </row>
    <row r="21">
      <c r="A21" s="4" t="inlineStr">
        <is>
          <t>REM-001</t>
        </is>
      </c>
      <c r="B21" s="5" t="inlineStr">
        <is>
          <t>Remblai et materiaux granulaires</t>
        </is>
      </c>
      <c r="C21" s="4" t="inlineStr">
        <is>
          <t>m3</t>
        </is>
      </c>
      <c r="D21" s="4">
        <f>SUMIFS(Detail_Image1!$H:$H,Detail_Image1!$C:$C,$A21)+SUMIFS(Detail_Image2!$H:$H,Detail_Image2!$C:$C,$A21)+SUMIFS(Detail_Image3!$H:$H,Detail_Image3!$C:$C,$A21)+SUMIFS(Detail_facade_batim!$H:$H,Detail_facade_batim!$C:$C,$A21)</f>
        <v/>
      </c>
      <c r="E21" s="4" t="n"/>
      <c r="F21" s="4">
        <f>IF(E21="","",D21*E21)</f>
        <v/>
      </c>
      <c r="G21" s="5" t="inlineStr">
        <is>
          <t>Tous secteurs</t>
        </is>
      </c>
      <c r="H21" s="5" t="n"/>
    </row>
    <row r="22">
      <c r="A22" s="4" t="inlineStr">
        <is>
          <t>PAV-001</t>
        </is>
      </c>
      <c r="B22" s="5" t="inlineStr">
        <is>
          <t>Reprofilage / reprise de pavage</t>
        </is>
      </c>
      <c r="C22" s="4" t="inlineStr">
        <is>
          <t>m2</t>
        </is>
      </c>
      <c r="D22" s="4">
        <f>SUMIFS(Detail_Image1!$H:$H,Detail_Image1!$C:$C,$A22)+SUMIFS(Detail_Image2!$H:$H,Detail_Image2!$C:$C,$A22)+SUMIFS(Detail_Image3!$H:$H,Detail_Image3!$C:$C,$A22)+SUMIFS(Detail_facade_batim!$H:$H,Detail_facade_batim!$C:$C,$A22)</f>
        <v/>
      </c>
      <c r="E22" s="4" t="n"/>
      <c r="F22" s="4">
        <f>IF(E22="","",D22*E22)</f>
        <v/>
      </c>
      <c r="G22" s="5" t="inlineStr">
        <is>
          <t>Secteurs a risque drainage</t>
        </is>
      </c>
      <c r="H22" s="5" t="n"/>
    </row>
    <row r="23">
      <c r="A23" s="4" t="inlineStr">
        <is>
          <t>REF-001</t>
        </is>
      </c>
      <c r="B23" s="5" t="inlineStr">
        <is>
          <t>Refection des surfaces (gazon, etc.)</t>
        </is>
      </c>
      <c r="C23" s="4" t="inlineStr">
        <is>
          <t>m2</t>
        </is>
      </c>
      <c r="D23" s="4">
        <f>SUMIFS(Detail_Image1!$H:$H,Detail_Image1!$C:$C,$A23)+SUMIFS(Detail_Image2!$H:$H,Detail_Image2!$C:$C,$A23)+SUMIFS(Detail_Image3!$H:$H,Detail_Image3!$C:$C,$A23)+SUMIFS(Detail_facade_batim!$H:$H,Detail_facade_batim!$C:$C,$A23)</f>
        <v/>
      </c>
      <c r="E23" s="4" t="n"/>
      <c r="F23" s="4">
        <f>IF(E23="","",D23*E23)</f>
        <v/>
      </c>
      <c r="G23" s="5" t="inlineStr">
        <is>
          <t>Zone de reprofilage / finitions</t>
        </is>
      </c>
      <c r="H23" s="5" t="n"/>
    </row>
    <row r="24">
      <c r="A24" s="4" t="inlineStr">
        <is>
          <t>AJU-001</t>
        </is>
      </c>
      <c r="B24" s="5" t="inlineStr">
        <is>
          <t>Ajustement d'ouvrages existants</t>
        </is>
      </c>
      <c r="C24" s="4" t="inlineStr">
        <is>
          <t>u</t>
        </is>
      </c>
      <c r="D24" s="9">
        <f>SUMIFS(Detail_Image1!$H:$H,Detail_Image1!$C:$C,$A24)+SUMIFS(Detail_Image2!$H:$H,Detail_Image2!$C:$C,$A24)+SUMIFS(Detail_Image3!$H:$H,Detail_Image3!$C:$C,$A24)+SUMIFS(Detail_facade_batim!$H:$H,Detail_facade_batim!$C:$C,$A24)</f>
        <v/>
      </c>
      <c r="E24" s="4" t="n"/>
      <c r="F24" s="9">
        <f>IF(E24="","",D24*E24)</f>
        <v/>
      </c>
      <c r="G24" s="5" t="inlineStr">
        <is>
          <t>Zone de reprofilage / reseau existant</t>
        </is>
      </c>
      <c r="H24" s="5" t="n"/>
    </row>
    <row r="25">
      <c r="A25" s="4" t="inlineStr">
        <is>
          <t>ESS-001</t>
        </is>
      </c>
      <c r="B25" s="5" t="inlineStr">
        <is>
          <t>Essais / verification hydraulique et mise en service</t>
        </is>
      </c>
      <c r="C25" s="4" t="inlineStr">
        <is>
          <t>lot</t>
        </is>
      </c>
      <c r="D25" s="4">
        <f>SUMIFS(Detail_Image1!$H:$H,Detail_Image1!$C:$C,$A25)+SUMIFS(Detail_Image2!$H:$H,Detail_Image2!$C:$C,$A25)+SUMIFS(Detail_Image3!$H:$H,Detail_Image3!$C:$C,$A25)+SUMIFS(Detail_facade_batim!$H:$H,Detail_facade_batim!$C:$C,$A25)</f>
        <v/>
      </c>
      <c r="E25" s="4" t="n"/>
      <c r="F25" s="4">
        <f>IF(E25="","",D25*E25)</f>
        <v/>
      </c>
      <c r="G25" s="5" t="inlineStr">
        <is>
          <t>Reseau pluvial</t>
        </is>
      </c>
      <c r="H25" s="5" t="n"/>
    </row>
    <row r="26">
      <c r="A26" s="4" t="inlineStr">
        <is>
          <t>DOC-001</t>
        </is>
      </c>
      <c r="B26" s="5" t="inlineStr">
        <is>
          <t>Plans finaux / dossier de recollement</t>
        </is>
      </c>
      <c r="C26" s="4" t="inlineStr">
        <is>
          <t>lot</t>
        </is>
      </c>
      <c r="D26" s="4">
        <f>SUMIFS(Detail_Image1!$H:$H,Detail_Image1!$C:$C,$A26)+SUMIFS(Detail_Image2!$H:$H,Detail_Image2!$C:$C,$A26)+SUMIFS(Detail_Image3!$H:$H,Detail_Image3!$C:$C,$A26)+SUMIFS(Detail_facade_batim!$H:$H,Detail_facade_batim!$C:$C,$A26)</f>
        <v/>
      </c>
      <c r="E26" s="4" t="n"/>
      <c r="F26" s="4">
        <f>IF(E26="","",D26*E26)</f>
        <v/>
      </c>
      <c r="G26" s="5" t="inlineStr">
        <is>
          <t>Tous secteurs</t>
        </is>
      </c>
      <c r="H26" s="5" t="n"/>
    </row>
    <row r="28">
      <c r="D28" s="9" t="inlineStr">
        <is>
          <t>TOTAL</t>
        </is>
      </c>
      <c r="F28" s="9">
        <f>SUM(F5:F26)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48" customWidth="1" min="4" max="4"/>
    <col width="10" customWidth="1" min="5" max="5"/>
    <col width="16" customWidth="1" min="6" max="6"/>
    <col width="16" customWidth="1" min="7" max="7"/>
    <col width="16" customWidth="1" min="8" max="8"/>
    <col width="40" customWidth="1" min="9" max="9"/>
    <col width="44" customWidth="1" min="10" max="10"/>
  </cols>
  <sheetData>
    <row r="1">
      <c r="A1" s="7" t="inlineStr">
        <is>
          <t>Detail quantites - Image1 (zone de reprofilage)</t>
        </is>
      </c>
    </row>
    <row r="3">
      <c r="A3" s="3" t="inlineStr">
        <is>
          <t>ID_image</t>
        </is>
      </c>
      <c r="B3" s="3" t="inlineStr">
        <is>
          <t>Secteur</t>
        </is>
      </c>
      <c r="C3" s="3" t="inlineStr">
        <is>
          <t>Item</t>
        </is>
      </c>
      <c r="D3" s="3" t="inlineStr">
        <is>
          <t>Description</t>
        </is>
      </c>
      <c r="E3" s="3" t="inlineStr">
        <is>
          <t>Unite</t>
        </is>
      </c>
      <c r="F3" s="3" t="inlineStr">
        <is>
          <t>Quantite_mesuree</t>
        </is>
      </c>
      <c r="G3" s="3" t="inlineStr">
        <is>
          <t>Coef_ajustement</t>
        </is>
      </c>
      <c r="H3" s="3" t="inlineStr">
        <is>
          <t>Quantite_retenue</t>
        </is>
      </c>
      <c r="I3" s="3" t="inlineStr">
        <is>
          <t>Source / annotation</t>
        </is>
      </c>
      <c r="J3" s="3" t="inlineStr">
        <is>
          <t>Hypothese / commentaire</t>
        </is>
      </c>
    </row>
    <row r="4">
      <c r="A4" s="4" t="inlineStr">
        <is>
          <t>Image1_reprofilage</t>
        </is>
      </c>
      <c r="B4" s="5" t="inlineStr">
        <is>
          <t>Zone de reprofilage</t>
        </is>
      </c>
      <c r="C4" s="4" t="inlineStr">
        <is>
          <t>SCI-001</t>
        </is>
      </c>
      <c r="D4" s="5" t="inlineStr">
        <is>
          <t>Sciage de pavage</t>
        </is>
      </c>
      <c r="E4" s="4" t="inlineStr">
        <is>
          <t>m</t>
        </is>
      </c>
      <c r="F4" s="4" t="n">
        <v>0</v>
      </c>
      <c r="G4" s="4" t="n">
        <v>1</v>
      </c>
      <c r="H4" s="4">
        <f>IF(F4="","",F4*G4)</f>
        <v/>
      </c>
      <c r="I4" s="5" t="inlineStr">
        <is>
          <t>Longueur a mesurer sur plan DAO/PDF</t>
        </is>
      </c>
      <c r="J4" s="5" t="n"/>
    </row>
    <row r="5">
      <c r="A5" s="4" t="inlineStr">
        <is>
          <t>Image1_reprofilage</t>
        </is>
      </c>
      <c r="B5" s="5" t="inlineStr">
        <is>
          <t>Zone de reprofilage</t>
        </is>
      </c>
      <c r="C5" s="4" t="inlineStr">
        <is>
          <t>DEM-001</t>
        </is>
      </c>
      <c r="D5" s="5" t="inlineStr">
        <is>
          <t>Enlevement de pavage</t>
        </is>
      </c>
      <c r="E5" s="4" t="inlineStr">
        <is>
          <t>m2</t>
        </is>
      </c>
      <c r="F5" s="4" t="n">
        <v>557</v>
      </c>
      <c r="G5" s="4" t="n">
        <v>1</v>
      </c>
      <c r="H5" s="4">
        <f>IF(F5="","",F5*G5)</f>
        <v/>
      </c>
      <c r="I5" s="5" t="inlineStr">
        <is>
          <t>Image ajoutee: zone delimitee 557 m2</t>
        </is>
      </c>
      <c r="J5" s="5" t="inlineStr">
        <is>
          <t>Hypothese: enlevement sur toute la zone reprise</t>
        </is>
      </c>
    </row>
    <row r="6">
      <c r="A6" s="4" t="inlineStr">
        <is>
          <t>Image1_reprofilage</t>
        </is>
      </c>
      <c r="B6" s="5" t="inlineStr">
        <is>
          <t>Zone de reprofilage</t>
        </is>
      </c>
      <c r="C6" s="4" t="inlineStr">
        <is>
          <t>BORD-001</t>
        </is>
      </c>
      <c r="D6" s="5" t="inlineStr">
        <is>
          <t>Reconstruction de bordure (si requise)</t>
        </is>
      </c>
      <c r="E6" s="4" t="inlineStr">
        <is>
          <t>m</t>
        </is>
      </c>
      <c r="F6" s="4" t="n">
        <v>0</v>
      </c>
      <c r="G6" s="4" t="n">
        <v>1</v>
      </c>
      <c r="H6" s="4">
        <f>IF(F6="","",F6*G6)</f>
        <v/>
      </c>
      <c r="I6" s="5" t="inlineStr">
        <is>
          <t>Longueur conditionnelle selon etat existant</t>
        </is>
      </c>
      <c r="J6" s="5" t="n"/>
    </row>
    <row r="7">
      <c r="A7" s="4" t="inlineStr">
        <is>
          <t>Image1_reprofilage</t>
        </is>
      </c>
      <c r="B7" s="5" t="inlineStr">
        <is>
          <t>Zone de reprofilage</t>
        </is>
      </c>
      <c r="C7" s="4" t="inlineStr">
        <is>
          <t>REM-001</t>
        </is>
      </c>
      <c r="D7" s="5" t="inlineStr">
        <is>
          <t>Remblai et materiaux granulaires</t>
        </is>
      </c>
      <c r="E7" s="4" t="inlineStr">
        <is>
          <t>m3</t>
        </is>
      </c>
      <c r="F7" s="4" t="n">
        <v>0</v>
      </c>
      <c r="G7" s="4" t="n">
        <v>1</v>
      </c>
      <c r="H7" s="4">
        <f>IF(F7="","",F7*G7)</f>
        <v/>
      </c>
      <c r="I7" s="5" t="inlineStr">
        <is>
          <t>Volume apres profils et epaisseur finale</t>
        </is>
      </c>
      <c r="J7" s="5" t="n"/>
    </row>
    <row r="8">
      <c r="A8" s="4" t="inlineStr">
        <is>
          <t>Image1_reprofilage</t>
        </is>
      </c>
      <c r="B8" s="5" t="inlineStr">
        <is>
          <t>Zone de reprofilage</t>
        </is>
      </c>
      <c r="C8" s="4" t="inlineStr">
        <is>
          <t>AJU-001</t>
        </is>
      </c>
      <c r="D8" s="5" t="inlineStr">
        <is>
          <t>Ajustement d'ouvrages existants</t>
        </is>
      </c>
      <c r="E8" s="4" t="inlineStr">
        <is>
          <t>u</t>
        </is>
      </c>
      <c r="F8" s="4" t="n">
        <v>1</v>
      </c>
      <c r="G8" s="4" t="n">
        <v>1</v>
      </c>
      <c r="H8" s="4">
        <f>IF(F8="","",F8*G8)</f>
        <v/>
      </c>
      <c r="I8" s="5" t="inlineStr">
        <is>
          <t>Minimum 1 unite, ajuster apres releve terrain</t>
        </is>
      </c>
      <c r="J8" s="5" t="n"/>
    </row>
    <row r="9">
      <c r="A9" s="4" t="inlineStr">
        <is>
          <t>Image1_reprofilage</t>
        </is>
      </c>
      <c r="B9" s="5" t="inlineStr">
        <is>
          <t>Zone de reprofilage</t>
        </is>
      </c>
      <c r="C9" s="4" t="inlineStr">
        <is>
          <t>PAV-001</t>
        </is>
      </c>
      <c r="D9" s="5" t="inlineStr">
        <is>
          <t>Reprofilage / reprise de pavage (point bas a elev. 29,720 m)</t>
        </is>
      </c>
      <c r="E9" s="4" t="inlineStr">
        <is>
          <t>m2</t>
        </is>
      </c>
      <c r="F9" s="4" t="n">
        <v>557</v>
      </c>
      <c r="G9" s="4" t="n">
        <v>1</v>
      </c>
      <c r="H9" s="4">
        <f>IF(F9="","",F9*G9)</f>
        <v/>
      </c>
      <c r="I9" s="5" t="inlineStr">
        <is>
          <t>Image ajoutee: annotation 557 m2 + cote 29,720</t>
        </is>
      </c>
      <c r="J9" s="5" t="inlineStr">
        <is>
          <t>Surface de reprise de pavage selon zone surlignee</t>
        </is>
      </c>
    </row>
    <row r="10">
      <c r="A10" s="4" t="inlineStr">
        <is>
          <t>Image1_reprofilage</t>
        </is>
      </c>
      <c r="B10" s="5" t="inlineStr">
        <is>
          <t>Zone de reprofilage</t>
        </is>
      </c>
      <c r="C10" s="4" t="inlineStr">
        <is>
          <t>REF-001</t>
        </is>
      </c>
      <c r="D10" s="5" t="inlineStr">
        <is>
          <t>Refection des surfaces (gazon, etc.)</t>
        </is>
      </c>
      <c r="E10" s="4" t="inlineStr">
        <is>
          <t>m2</t>
        </is>
      </c>
      <c r="F10" s="4" t="n">
        <v>0</v>
      </c>
      <c r="G10" s="4" t="n">
        <v>1</v>
      </c>
      <c r="H10" s="4">
        <f>IF(F10="","",F10*G10)</f>
        <v/>
      </c>
      <c r="I10" s="5" t="inlineStr">
        <is>
          <t>Si surfaces non pavees sont affectees</t>
        </is>
      </c>
      <c r="J10" s="5" t="inlineStr">
        <is>
          <t>A ajuster apres verification terrain</t>
        </is>
      </c>
    </row>
    <row r="11">
      <c r="A11" s="10" t="inlineStr">
        <is>
          <t>Sous-total (controle)</t>
        </is>
      </c>
      <c r="B11" s="5" t="n"/>
      <c r="C11" s="4" t="n"/>
      <c r="D11" s="5" t="n"/>
      <c r="E11" s="4" t="n"/>
      <c r="F11" s="4" t="n"/>
      <c r="G11" s="4" t="n"/>
      <c r="H11" s="11">
        <f>SUM(H4:H10)</f>
        <v/>
      </c>
      <c r="I11" s="5" t="n"/>
      <c r="J11" s="5" t="n"/>
    </row>
    <row r="12">
      <c r="A12" s="4" t="n"/>
      <c r="B12" s="5" t="n"/>
      <c r="C12" s="4" t="n"/>
      <c r="D12" s="5" t="n"/>
      <c r="E12" s="4" t="n"/>
      <c r="F12" s="4" t="n"/>
      <c r="G12" s="4" t="n"/>
      <c r="H12" s="4" t="n"/>
      <c r="I12" s="5" t="n"/>
      <c r="J12" s="5" t="n"/>
    </row>
    <row r="13"/>
    <row r="14">
      <c r="A14" s="8" t="n"/>
      <c r="H14" s="8" t="n"/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48" customWidth="1" min="4" max="4"/>
    <col width="10" customWidth="1" min="5" max="5"/>
    <col width="16" customWidth="1" min="6" max="6"/>
    <col width="16" customWidth="1" min="7" max="7"/>
    <col width="16" customWidth="1" min="8" max="8"/>
    <col width="40" customWidth="1" min="9" max="9"/>
    <col width="44" customWidth="1" min="10" max="10"/>
  </cols>
  <sheetData>
    <row r="1">
      <c r="A1" s="7" t="inlineStr">
        <is>
          <t>Detail quantites - Detail_Image2</t>
        </is>
      </c>
    </row>
    <row r="3">
      <c r="A3" s="3" t="inlineStr">
        <is>
          <t>ID_image</t>
        </is>
      </c>
      <c r="B3" s="3" t="inlineStr">
        <is>
          <t>Secteur</t>
        </is>
      </c>
      <c r="C3" s="3" t="inlineStr">
        <is>
          <t>Item</t>
        </is>
      </c>
      <c r="D3" s="3" t="inlineStr">
        <is>
          <t>Description</t>
        </is>
      </c>
      <c r="E3" s="3" t="inlineStr">
        <is>
          <t>Unite</t>
        </is>
      </c>
      <c r="F3" s="3" t="inlineStr">
        <is>
          <t>Quantite_mesuree</t>
        </is>
      </c>
      <c r="G3" s="3" t="inlineStr">
        <is>
          <t>Coef_ajustement</t>
        </is>
      </c>
      <c r="H3" s="3" t="inlineStr">
        <is>
          <t>Quantite_retenue</t>
        </is>
      </c>
      <c r="I3" s="3" t="inlineStr">
        <is>
          <t>Source / annotation</t>
        </is>
      </c>
      <c r="J3" s="3" t="inlineStr">
        <is>
          <t>Hypothese / commentaire</t>
        </is>
      </c>
    </row>
    <row r="4">
      <c r="A4" s="4" t="inlineStr">
        <is>
          <t>Image2</t>
        </is>
      </c>
      <c r="B4" s="5" t="inlineStr">
        <is>
          <t>Secteur A haut</t>
        </is>
      </c>
      <c r="C4" s="4" t="inlineStr">
        <is>
          <t>PAV-001</t>
        </is>
      </c>
      <c r="D4" s="5" t="inlineStr">
        <is>
          <t>Reprofilage / reprise de pavage</t>
        </is>
      </c>
      <c r="E4" s="4" t="inlineStr">
        <is>
          <t>m2</t>
        </is>
      </c>
      <c r="F4" s="4" t="n">
        <v>84</v>
      </c>
      <c r="G4" s="4" t="n">
        <v>1</v>
      </c>
      <c r="H4" s="4">
        <f>IF(F4="","",F4*G4)</f>
        <v/>
      </c>
      <c r="I4" s="5" t="inlineStr">
        <is>
          <t>Valeur lue sur plan annote</t>
        </is>
      </c>
      <c r="J4" s="5" t="n"/>
    </row>
    <row r="5">
      <c r="A5" s="4" t="inlineStr">
        <is>
          <t>Image2</t>
        </is>
      </c>
      <c r="B5" s="5" t="inlineStr">
        <is>
          <t>Secteur A bas</t>
        </is>
      </c>
      <c r="C5" s="4" t="inlineStr">
        <is>
          <t>PAV-001</t>
        </is>
      </c>
      <c r="D5" s="5" t="inlineStr">
        <is>
          <t>Reprofilage / reprise de pavage</t>
        </is>
      </c>
      <c r="E5" s="4" t="inlineStr">
        <is>
          <t>m2</t>
        </is>
      </c>
      <c r="F5" s="4" t="n">
        <v>80</v>
      </c>
      <c r="G5" s="4" t="n">
        <v>1</v>
      </c>
      <c r="H5" s="4">
        <f>IF(F5="","",F5*G5)</f>
        <v/>
      </c>
      <c r="I5" s="5" t="inlineStr">
        <is>
          <t>Valeur lue sur plan annote</t>
        </is>
      </c>
      <c r="J5" s="5" t="n"/>
    </row>
    <row r="6">
      <c r="A6" s="4" t="inlineStr">
        <is>
          <t>Image2</t>
        </is>
      </c>
      <c r="B6" s="5" t="inlineStr">
        <is>
          <t>Secteur A</t>
        </is>
      </c>
      <c r="C6" s="4" t="inlineStr">
        <is>
          <t>PUI-001</t>
        </is>
      </c>
      <c r="D6" s="5" t="inlineStr">
        <is>
          <t>Nouveau puisard</t>
        </is>
      </c>
      <c r="E6" s="4" t="inlineStr">
        <is>
          <t>u</t>
        </is>
      </c>
      <c r="F6" s="4" t="n">
        <v>1</v>
      </c>
      <c r="G6" s="4" t="n">
        <v>1</v>
      </c>
      <c r="H6" s="4">
        <f>IF(F6="","",F6*G6)</f>
        <v/>
      </c>
      <c r="I6" s="5" t="inlineStr">
        <is>
          <t>A confirmer diametre et profondeur</t>
        </is>
      </c>
      <c r="J6" s="5" t="n"/>
    </row>
    <row r="7">
      <c r="A7" s="4" t="inlineStr">
        <is>
          <t>Image2</t>
        </is>
      </c>
      <c r="B7" s="5" t="inlineStr">
        <is>
          <t>Secteur A</t>
        </is>
      </c>
      <c r="C7" s="4" t="inlineStr">
        <is>
          <t>CAN-375</t>
        </is>
      </c>
      <c r="D7" s="5" t="inlineStr">
        <is>
          <t>Raccord propose Ø375</t>
        </is>
      </c>
      <c r="E7" s="4" t="inlineStr">
        <is>
          <t>m</t>
        </is>
      </c>
      <c r="F7" s="4" t="n">
        <v>0</v>
      </c>
      <c r="G7" s="4" t="n">
        <v>1</v>
      </c>
      <c r="H7" s="4">
        <f>IF(F7="","",F7*G7)</f>
        <v/>
      </c>
      <c r="I7" s="5" t="inlineStr">
        <is>
          <t>Longueur a relever au plan topographique</t>
        </is>
      </c>
      <c r="J7" s="5" t="n"/>
    </row>
    <row r="8">
      <c r="A8" s="4" t="inlineStr">
        <is>
          <t>Image2</t>
        </is>
      </c>
      <c r="B8" s="5" t="inlineStr">
        <is>
          <t>Secteur A</t>
        </is>
      </c>
      <c r="C8" s="4" t="inlineStr">
        <is>
          <t>BOR-001</t>
        </is>
      </c>
      <c r="D8" s="5" t="inlineStr">
        <is>
          <t>Saignee dans bordure</t>
        </is>
      </c>
      <c r="E8" s="4" t="inlineStr">
        <is>
          <t>m</t>
        </is>
      </c>
      <c r="F8" s="4" t="n">
        <v>0</v>
      </c>
      <c r="G8" s="4" t="n">
        <v>1</v>
      </c>
      <c r="H8" s="4">
        <f>IF(F8="","",F8*G8)</f>
        <v/>
      </c>
      <c r="I8" s="5" t="inlineStr">
        <is>
          <t>Longueur a mesurer sur DAO/PDF origine</t>
        </is>
      </c>
      <c r="J8" s="5" t="n"/>
    </row>
    <row r="9">
      <c r="A9" s="4" t="inlineStr">
        <is>
          <t>Image2</t>
        </is>
      </c>
      <c r="B9" s="5" t="inlineStr">
        <is>
          <t>Secteur A</t>
        </is>
      </c>
      <c r="C9" s="4" t="inlineStr">
        <is>
          <t>DEM-001</t>
        </is>
      </c>
      <c r="D9" s="5" t="inlineStr">
        <is>
          <t>Decoupage/demolition de pavage</t>
        </is>
      </c>
      <c r="E9" s="4" t="inlineStr">
        <is>
          <t>m2</t>
        </is>
      </c>
      <c r="F9" s="4" t="n">
        <v>164</v>
      </c>
      <c r="G9" s="4" t="n">
        <v>1</v>
      </c>
      <c r="H9" s="4">
        <f>IF(F9="","",F9*G9)</f>
        <v/>
      </c>
      <c r="I9" s="5" t="inlineStr">
        <is>
          <t>Hypothese initiale a ajuster selon limites exactes</t>
        </is>
      </c>
      <c r="J9" s="5" t="n"/>
    </row>
    <row r="11">
      <c r="A11" s="8" t="inlineStr">
        <is>
          <t>Sous-total (controle)</t>
        </is>
      </c>
      <c r="H11" s="8">
        <f>SUM(H4:H9)</f>
        <v/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48" customWidth="1" min="4" max="4"/>
    <col width="10" customWidth="1" min="5" max="5"/>
    <col width="16" customWidth="1" min="6" max="6"/>
    <col width="16" customWidth="1" min="7" max="7"/>
    <col width="16" customWidth="1" min="8" max="8"/>
    <col width="40" customWidth="1" min="9" max="9"/>
    <col width="44" customWidth="1" min="10" max="10"/>
  </cols>
  <sheetData>
    <row r="1">
      <c r="A1" s="7" t="inlineStr">
        <is>
          <t>Detail quantites - Detail_Image3</t>
        </is>
      </c>
    </row>
    <row r="3">
      <c r="A3" s="3" t="inlineStr">
        <is>
          <t>ID_image</t>
        </is>
      </c>
      <c r="B3" s="3" t="inlineStr">
        <is>
          <t>Secteur</t>
        </is>
      </c>
      <c r="C3" s="3" t="inlineStr">
        <is>
          <t>Item</t>
        </is>
      </c>
      <c r="D3" s="3" t="inlineStr">
        <is>
          <t>Description</t>
        </is>
      </c>
      <c r="E3" s="3" t="inlineStr">
        <is>
          <t>Unite</t>
        </is>
      </c>
      <c r="F3" s="3" t="inlineStr">
        <is>
          <t>Quantite_mesuree</t>
        </is>
      </c>
      <c r="G3" s="3" t="inlineStr">
        <is>
          <t>Coef_ajustement</t>
        </is>
      </c>
      <c r="H3" s="3" t="inlineStr">
        <is>
          <t>Quantite_retenue</t>
        </is>
      </c>
      <c r="I3" s="3" t="inlineStr">
        <is>
          <t>Source / annotation</t>
        </is>
      </c>
      <c r="J3" s="3" t="inlineStr">
        <is>
          <t>Hypothese / commentaire</t>
        </is>
      </c>
    </row>
    <row r="4">
      <c r="A4" s="4" t="inlineStr">
        <is>
          <t>Image3</t>
        </is>
      </c>
      <c r="B4" s="5" t="inlineStr">
        <is>
          <t>Secteur P-01/P-02</t>
        </is>
      </c>
      <c r="C4" s="4" t="inlineStr">
        <is>
          <t>EXC-002</t>
        </is>
      </c>
      <c r="D4" s="5" t="inlineStr">
        <is>
          <t>Hydro-excavation localisation conduites existantes</t>
        </is>
      </c>
      <c r="E4" s="4" t="inlineStr">
        <is>
          <t>h</t>
        </is>
      </c>
      <c r="F4" s="4" t="n">
        <v>8</v>
      </c>
      <c r="G4" s="4" t="n">
        <v>1</v>
      </c>
      <c r="H4" s="4">
        <f>IF(F4="","",F4*G4)</f>
        <v/>
      </c>
      <c r="I4" s="5" t="inlineStr">
        <is>
          <t>Hypothese de demarrage (8 h) a ajuster</t>
        </is>
      </c>
      <c r="J4" s="5" t="n"/>
    </row>
    <row r="5">
      <c r="A5" s="4" t="inlineStr">
        <is>
          <t>Image3</t>
        </is>
      </c>
      <c r="B5" s="5" t="inlineStr">
        <is>
          <t>Secteur P-01/P-02</t>
        </is>
      </c>
      <c r="C5" s="4" t="inlineStr">
        <is>
          <t>RAC-001</t>
        </is>
      </c>
      <c r="D5" s="5" t="inlineStr">
        <is>
          <t>Raccordement a conduite existante Ø1800</t>
        </is>
      </c>
      <c r="E5" s="4" t="inlineStr">
        <is>
          <t>u</t>
        </is>
      </c>
      <c r="F5" s="4" t="n">
        <v>1</v>
      </c>
      <c r="G5" s="4" t="n">
        <v>1</v>
      </c>
      <c r="H5" s="4">
        <f>IF(F5="","",F5*G5)</f>
        <v/>
      </c>
      <c r="I5" s="5" t="inlineStr">
        <is>
          <t>Interface avec reseau existant</t>
        </is>
      </c>
      <c r="J5" s="5" t="n"/>
    </row>
    <row r="6">
      <c r="A6" s="4" t="inlineStr">
        <is>
          <t>Image3</t>
        </is>
      </c>
      <c r="B6" s="5" t="inlineStr">
        <is>
          <t>Secteur P-01/P-02</t>
        </is>
      </c>
      <c r="C6" s="4" t="inlineStr">
        <is>
          <t>CAN-300</t>
        </is>
      </c>
      <c r="D6" s="5" t="inlineStr">
        <is>
          <t>Conduite DN300 (troncon repere 30.0)</t>
        </is>
      </c>
      <c r="E6" s="4" t="inlineStr">
        <is>
          <t>m</t>
        </is>
      </c>
      <c r="F6" s="4" t="n">
        <v>30</v>
      </c>
      <c r="G6" s="4" t="n">
        <v>1</v>
      </c>
      <c r="H6" s="4">
        <f>IF(F6="","",F6*G6)</f>
        <v/>
      </c>
      <c r="I6" s="5" t="inlineStr">
        <is>
          <t>A confirmer par mesurage sur plan source</t>
        </is>
      </c>
      <c r="J6" s="5" t="n"/>
    </row>
    <row r="7">
      <c r="A7" s="4" t="inlineStr">
        <is>
          <t>Image3</t>
        </is>
      </c>
      <c r="B7" s="5" t="inlineStr">
        <is>
          <t>Secteur P-01/P-02</t>
        </is>
      </c>
      <c r="C7" s="4" t="inlineStr">
        <is>
          <t>REG-001</t>
        </is>
      </c>
      <c r="D7" s="5" t="inlineStr">
        <is>
          <t>Regard/interconnexion P-01</t>
        </is>
      </c>
      <c r="E7" s="4" t="inlineStr">
        <is>
          <t>u</t>
        </is>
      </c>
      <c r="F7" s="4" t="n">
        <v>1</v>
      </c>
      <c r="G7" s="4" t="n">
        <v>1</v>
      </c>
      <c r="H7" s="4">
        <f>IF(F7="","",F7*G7)</f>
        <v/>
      </c>
      <c r="I7" s="5" t="inlineStr">
        <is>
          <t>Ajustement ouvrage existant</t>
        </is>
      </c>
      <c r="J7" s="5" t="n"/>
    </row>
    <row r="8">
      <c r="A8" s="4" t="inlineStr">
        <is>
          <t>Image3</t>
        </is>
      </c>
      <c r="B8" s="5" t="inlineStr">
        <is>
          <t>Secteur P-01/P-02</t>
        </is>
      </c>
      <c r="C8" s="4" t="inlineStr">
        <is>
          <t>REG-002</t>
        </is>
      </c>
      <c r="D8" s="5" t="inlineStr">
        <is>
          <t>Regard/interconnexion P-02</t>
        </is>
      </c>
      <c r="E8" s="4" t="inlineStr">
        <is>
          <t>u</t>
        </is>
      </c>
      <c r="F8" s="4" t="n">
        <v>1</v>
      </c>
      <c r="G8" s="4" t="n">
        <v>1</v>
      </c>
      <c r="H8" s="4">
        <f>IF(F8="","",F8*G8)</f>
        <v/>
      </c>
      <c r="I8" s="5" t="inlineStr">
        <is>
          <t>Ajustement ouvrage existant</t>
        </is>
      </c>
      <c r="J8" s="5" t="n"/>
    </row>
    <row r="9">
      <c r="A9" s="4" t="inlineStr">
        <is>
          <t>Image3</t>
        </is>
      </c>
      <c r="B9" s="5" t="inlineStr">
        <is>
          <t>Secteur P-01/P-02</t>
        </is>
      </c>
      <c r="C9" s="4" t="inlineStr">
        <is>
          <t>EXC-001</t>
        </is>
      </c>
      <c r="D9" s="5" t="inlineStr">
        <is>
          <t>Excavation tranchee (a preciser)</t>
        </is>
      </c>
      <c r="E9" s="4" t="inlineStr">
        <is>
          <t>m3</t>
        </is>
      </c>
      <c r="F9" s="4" t="n">
        <v>0</v>
      </c>
      <c r="G9" s="4" t="n">
        <v>1</v>
      </c>
      <c r="H9" s="4">
        <f>IF(F9="","",F9*G9)</f>
        <v/>
      </c>
      <c r="I9" s="5" t="inlineStr">
        <is>
          <t>A quantifier apres profils/profondeurs</t>
        </is>
      </c>
      <c r="J9" s="5" t="n"/>
    </row>
    <row r="11">
      <c r="A11" s="8" t="inlineStr">
        <is>
          <t>Sous-total (controle)</t>
        </is>
      </c>
      <c r="H11" s="8">
        <f>SUM(H4:H9)</f>
        <v/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48" customWidth="1" min="4" max="4"/>
    <col width="10" customWidth="1" min="5" max="5"/>
    <col width="16" customWidth="1" min="6" max="6"/>
    <col width="16" customWidth="1" min="7" max="7"/>
    <col width="16" customWidth="1" min="8" max="8"/>
    <col width="40" customWidth="1" min="9" max="9"/>
    <col width="44" customWidth="1" min="10" max="10"/>
  </cols>
  <sheetData>
    <row r="1">
      <c r="A1" s="7" t="inlineStr">
        <is>
          <t>Detail quantites - Detail_facade_batim</t>
        </is>
      </c>
    </row>
    <row r="3">
      <c r="A3" s="3" t="inlineStr">
        <is>
          <t>ID_image</t>
        </is>
      </c>
      <c r="B3" s="3" t="inlineStr">
        <is>
          <t>Secteur</t>
        </is>
      </c>
      <c r="C3" s="3" t="inlineStr">
        <is>
          <t>Item</t>
        </is>
      </c>
      <c r="D3" s="3" t="inlineStr">
        <is>
          <t>Description</t>
        </is>
      </c>
      <c r="E3" s="3" t="inlineStr">
        <is>
          <t>Unite</t>
        </is>
      </c>
      <c r="F3" s="3" t="inlineStr">
        <is>
          <t>Quantite_mesuree</t>
        </is>
      </c>
      <c r="G3" s="3" t="inlineStr">
        <is>
          <t>Coef_ajustement</t>
        </is>
      </c>
      <c r="H3" s="3" t="inlineStr">
        <is>
          <t>Quantite_retenue</t>
        </is>
      </c>
      <c r="I3" s="3" t="inlineStr">
        <is>
          <t>Source / annotation</t>
        </is>
      </c>
      <c r="J3" s="3" t="inlineStr">
        <is>
          <t>Hypothese / commentaire</t>
        </is>
      </c>
    </row>
    <row r="4">
      <c r="A4" s="4" t="inlineStr">
        <is>
          <t>facade_batim.jpg</t>
        </is>
      </c>
      <c r="B4" s="5" t="inlineStr">
        <is>
          <t>Facade batiment</t>
        </is>
      </c>
      <c r="C4" s="4" t="inlineStr">
        <is>
          <t>SURV-001</t>
        </is>
      </c>
      <c r="D4" s="5" t="inlineStr">
        <is>
          <t>Leve topographique detaille pour estimation</t>
        </is>
      </c>
      <c r="E4" s="4" t="inlineStr">
        <is>
          <t>lot</t>
        </is>
      </c>
      <c r="F4" s="4" t="n">
        <v>1</v>
      </c>
      <c r="G4" s="4" t="n">
        <v>1</v>
      </c>
      <c r="H4" s="4">
        <f>IF(F4="","",F4*G4)</f>
        <v/>
      </c>
      <c r="I4" s="5" t="inlineStr">
        <is>
          <t>Activite principale pour ce secteur</t>
        </is>
      </c>
      <c r="J4" s="5" t="n"/>
    </row>
    <row r="5">
      <c r="A5" s="4" t="inlineStr">
        <is>
          <t>facade_batim.jpg</t>
        </is>
      </c>
      <c r="B5" s="5" t="inlineStr">
        <is>
          <t>Facade batiment</t>
        </is>
      </c>
      <c r="C5" s="4" t="inlineStr">
        <is>
          <t>DOC-001</t>
        </is>
      </c>
      <c r="D5" s="5" t="inlineStr">
        <is>
          <t>Plan de releve et rapport de points</t>
        </is>
      </c>
      <c r="E5" s="4" t="inlineStr">
        <is>
          <t>lot</t>
        </is>
      </c>
      <c r="F5" s="4" t="n">
        <v>1</v>
      </c>
      <c r="G5" s="4" t="n">
        <v>1</v>
      </c>
      <c r="H5" s="4">
        <f>IF(F5="","",F5*G5)</f>
        <v/>
      </c>
      <c r="I5" s="5" t="inlineStr">
        <is>
          <t>Peut etre inclus dans SURV-001 selon contrat</t>
        </is>
      </c>
      <c r="J5" s="5" t="n"/>
    </row>
    <row r="7">
      <c r="A7" s="8" t="inlineStr">
        <is>
          <t>Sous-total (controle)</t>
        </is>
      </c>
      <c r="H7" s="8">
        <f>SUM(H4:H5)</f>
        <v/>
      </c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7" t="inlineStr">
        <is>
          <t>Traceabilite des quantites et hypotheses</t>
        </is>
      </c>
    </row>
    <row r="3">
      <c r="A3" s="8" t="inlineStr">
        <is>
          <t>Principe</t>
        </is>
      </c>
    </row>
    <row r="4">
      <c r="A4" t="inlineStr">
        <is>
          <t xml:space="preserve">1) Les quantites sont saisies par image/secteur dans les onglets Detail_*. </t>
        </is>
      </c>
    </row>
    <row r="5">
      <c r="A5" t="inlineStr">
        <is>
          <t>2) Quantite_retenue = Quantite_mesuree x Coef_ajustement.</t>
        </is>
      </c>
    </row>
    <row r="6">
      <c r="A6" t="inlineStr">
        <is>
          <t>3) Bordereau_prix consolide automatiquement les quantites par code Item.</t>
        </is>
      </c>
    </row>
    <row r="7">
      <c r="A7" t="inlineStr">
        <is>
          <t>4) Renseigner PU dans Bordereau_prix pour obtenir les montants.</t>
        </is>
      </c>
    </row>
    <row r="8">
      <c r="A8" t="inlineStr">
        <is>
          <t>5) Ajouter des lignes dans les onglets de detail pour de nouveaux travaux.</t>
        </is>
      </c>
    </row>
    <row r="10">
      <c r="A10" s="8" t="inlineStr">
        <is>
          <t>Notes</t>
        </is>
      </c>
    </row>
    <row r="11">
      <c r="A11" t="inlineStr">
        <is>
          <t>- Les valeurs a 0 indiquent un poste identifie mais non mesure a ce stade.</t>
        </is>
      </c>
    </row>
    <row r="12">
      <c r="A12" t="inlineStr">
        <is>
          <t>- facade_batim.jpg: activite cle = leve topographique pour definir quantites/couts.</t>
        </is>
      </c>
    </row>
    <row r="13">
      <c r="A13" t="inlineStr">
        <is>
          <t>- Remplacer les hypotheses par metrage DAO/terrain des que disponible.</t>
        </is>
      </c>
    </row>
    <row r="14">
      <c r="A14" t="inlineStr">
        <is>
          <t>- Detail_Image1 a ete remplace par la zone de reprofilage (items de preparation/refection) selon la nouvelle image.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38" customWidth="1" min="4" max="4"/>
  </cols>
  <sheetData>
    <row r="1">
      <c r="A1" s="3" t="inlineStr">
        <is>
          <t>Item</t>
        </is>
      </c>
      <c r="B1" s="3" t="inlineStr">
        <is>
          <t>Description</t>
        </is>
      </c>
      <c r="C1" s="3" t="inlineStr">
        <is>
          <t>Unite</t>
        </is>
      </c>
      <c r="D1" s="3" t="inlineStr">
        <is>
          <t>Perimetre/type</t>
        </is>
      </c>
    </row>
    <row r="2">
      <c r="A2" s="4" t="inlineStr">
        <is>
          <t>SURV-001</t>
        </is>
      </c>
      <c r="B2" s="5" t="inlineStr">
        <is>
          <t>Leve topographique detaille (altimetrie + planimetrie)</t>
        </is>
      </c>
      <c r="C2" s="4" t="inlineStr">
        <is>
          <t>lot</t>
        </is>
      </c>
      <c r="D2" s="5" t="inlineStr">
        <is>
          <t>Facade batiment / zones drainage</t>
        </is>
      </c>
    </row>
    <row r="3">
      <c r="A3" s="4" t="inlineStr">
        <is>
          <t>PREP-001</t>
        </is>
      </c>
      <c r="B3" s="5" t="inlineStr">
        <is>
          <t>Mobilisation / installation de chantier</t>
        </is>
      </c>
      <c r="C3" s="4" t="inlineStr">
        <is>
          <t>lot</t>
        </is>
      </c>
      <c r="D3" s="5" t="inlineStr">
        <is>
          <t>Tous secteurs</t>
        </is>
      </c>
    </row>
    <row r="4">
      <c r="A4" s="4" t="inlineStr">
        <is>
          <t>PREP-002</t>
        </is>
      </c>
      <c r="B4" s="5" t="inlineStr">
        <is>
          <t>Signalisation et maintien de la circulation</t>
        </is>
      </c>
      <c r="C4" s="4" t="inlineStr">
        <is>
          <t>lot</t>
        </is>
      </c>
      <c r="D4" s="5" t="inlineStr">
        <is>
          <t>Tous secteurs</t>
        </is>
      </c>
    </row>
    <row r="5">
      <c r="A5" s="4" t="inlineStr">
        <is>
          <t>SCI-001</t>
        </is>
      </c>
      <c r="B5" s="5" t="inlineStr">
        <is>
          <t>Sciage de pavage</t>
        </is>
      </c>
      <c r="C5" s="4" t="inlineStr">
        <is>
          <t>m</t>
        </is>
      </c>
      <c r="D5" s="5" t="inlineStr">
        <is>
          <t>Zone de reprofilage</t>
        </is>
      </c>
    </row>
    <row r="6">
      <c r="A6" s="4" t="inlineStr">
        <is>
          <t>DEM-001</t>
        </is>
      </c>
      <c r="B6" s="5" t="inlineStr">
        <is>
          <t>Enlevement de pavage</t>
        </is>
      </c>
      <c r="C6" s="4" t="inlineStr">
        <is>
          <t>m2</t>
        </is>
      </c>
      <c r="D6" s="5" t="inlineStr">
        <is>
          <t>Zone de reprofilage / secteurs A</t>
        </is>
      </c>
    </row>
    <row r="7">
      <c r="A7" s="4" t="inlineStr">
        <is>
          <t>EXC-001</t>
        </is>
      </c>
      <c r="B7" s="5" t="inlineStr">
        <is>
          <t>Excavation de tranchee pour reseau pluvial</t>
        </is>
      </c>
      <c r="C7" s="4" t="inlineStr">
        <is>
          <t>m3</t>
        </is>
      </c>
      <c r="D7" s="5" t="inlineStr">
        <is>
          <t>Tous secteurs</t>
        </is>
      </c>
    </row>
    <row r="8">
      <c r="A8" s="4" t="inlineStr">
        <is>
          <t>EXC-002</t>
        </is>
      </c>
      <c r="B8" s="5" t="inlineStr">
        <is>
          <t>Hydro-excavation pour localisation de conduites existantes</t>
        </is>
      </c>
      <c r="C8" s="4" t="inlineStr">
        <is>
          <t>h</t>
        </is>
      </c>
      <c r="D8" s="5" t="inlineStr">
        <is>
          <t>Secteur P-01 / P-02 / raccord Ø1800</t>
        </is>
      </c>
    </row>
    <row r="9">
      <c r="A9" s="4" t="inlineStr">
        <is>
          <t>CAN-300</t>
        </is>
      </c>
      <c r="B9" s="5" t="inlineStr">
        <is>
          <t>Fourniture et pose conduite pluviale DN300</t>
        </is>
      </c>
      <c r="C9" s="4" t="inlineStr">
        <is>
          <t>m</t>
        </is>
      </c>
      <c r="D9" s="5" t="inlineStr">
        <is>
          <t>Secteurs avec conduites nouvelles</t>
        </is>
      </c>
    </row>
    <row r="10">
      <c r="A10" s="4" t="inlineStr">
        <is>
          <t>CAN-375</t>
        </is>
      </c>
      <c r="B10" s="5" t="inlineStr">
        <is>
          <t>Fourniture et pose raccord / conduite DN375</t>
        </is>
      </c>
      <c r="C10" s="4" t="inlineStr">
        <is>
          <t>m</t>
        </is>
      </c>
      <c r="D10" s="5" t="inlineStr">
        <is>
          <t>Raccord propose</t>
        </is>
      </c>
    </row>
    <row r="11">
      <c r="A11" s="4" t="inlineStr">
        <is>
          <t>REG-001</t>
        </is>
      </c>
      <c r="B11" s="5" t="inlineStr">
        <is>
          <t>Regard RP-01 (ajustement / reconstruction locale)</t>
        </is>
      </c>
      <c r="C11" s="4" t="inlineStr">
        <is>
          <t>u</t>
        </is>
      </c>
      <c r="D11" s="5" t="inlineStr">
        <is>
          <t>Noeud de repartition</t>
        </is>
      </c>
    </row>
    <row r="12">
      <c r="A12" s="4" t="inlineStr">
        <is>
          <t>REG-002</t>
        </is>
      </c>
      <c r="B12" s="5" t="inlineStr">
        <is>
          <t>Regard RP-02 avec clapet anti-retour</t>
        </is>
      </c>
      <c r="C12" s="4" t="inlineStr">
        <is>
          <t>u</t>
        </is>
      </c>
      <c r="D12" s="5" t="inlineStr">
        <is>
          <t>Aval poste / reseau existant</t>
        </is>
      </c>
    </row>
    <row r="13">
      <c r="A13" s="4" t="inlineStr">
        <is>
          <t>SEP-001</t>
        </is>
      </c>
      <c r="B13" s="5" t="inlineStr">
        <is>
          <t>Unite de traitement type Jellyfish (DP-01)</t>
        </is>
      </c>
      <c r="C13" s="4" t="inlineStr">
        <is>
          <t>u</t>
        </is>
      </c>
      <c r="D13" s="5" t="inlineStr">
        <is>
          <t>Branche traitement</t>
        </is>
      </c>
    </row>
    <row r="14">
      <c r="A14" s="4" t="inlineStr">
        <is>
          <t>PUI-001</t>
        </is>
      </c>
      <c r="B14" s="5" t="inlineStr">
        <is>
          <t>Nouveau puisard</t>
        </is>
      </c>
      <c r="C14" s="4" t="inlineStr">
        <is>
          <t>u</t>
        </is>
      </c>
      <c r="D14" s="5" t="inlineStr">
        <is>
          <t>Secteur A</t>
        </is>
      </c>
    </row>
    <row r="15">
      <c r="A15" s="4" t="inlineStr">
        <is>
          <t>BOR-001</t>
        </is>
      </c>
      <c r="B15" s="5" t="inlineStr">
        <is>
          <t>Saignee dans bordure / raccord de bordure</t>
        </is>
      </c>
      <c r="C15" s="4" t="inlineStr">
        <is>
          <t>m</t>
        </is>
      </c>
      <c r="D15" s="5" t="inlineStr">
        <is>
          <t>Secteur A</t>
        </is>
      </c>
    </row>
    <row r="16">
      <c r="A16" s="4" t="inlineStr">
        <is>
          <t>BORD-001</t>
        </is>
      </c>
      <c r="B16" s="5" t="inlineStr">
        <is>
          <t>Reconstruction de bordure (si requise)</t>
        </is>
      </c>
      <c r="C16" s="4" t="inlineStr">
        <is>
          <t>m</t>
        </is>
      </c>
      <c r="D16" s="5" t="inlineStr">
        <is>
          <t>Zone de reprofilage</t>
        </is>
      </c>
    </row>
    <row r="17">
      <c r="A17" s="4" t="inlineStr">
        <is>
          <t>RAC-001</t>
        </is>
      </c>
      <c r="B17" s="5" t="inlineStr">
        <is>
          <t>Raccordement a la conduite existante Ø1800</t>
        </is>
      </c>
      <c r="C17" s="4" t="inlineStr">
        <is>
          <t>u</t>
        </is>
      </c>
      <c r="D17" s="5" t="inlineStr">
        <is>
          <t>Secteur P-01 / P-02</t>
        </is>
      </c>
    </row>
    <row r="18">
      <c r="A18" s="4" t="inlineStr">
        <is>
          <t>REM-001</t>
        </is>
      </c>
      <c r="B18" s="5" t="inlineStr">
        <is>
          <t>Remblai et materiaux granulaires</t>
        </is>
      </c>
      <c r="C18" s="4" t="inlineStr">
        <is>
          <t>m3</t>
        </is>
      </c>
      <c r="D18" s="5" t="inlineStr">
        <is>
          <t>Tous secteurs</t>
        </is>
      </c>
    </row>
    <row r="19">
      <c r="A19" s="4" t="inlineStr">
        <is>
          <t>PAV-001</t>
        </is>
      </c>
      <c r="B19" s="5" t="inlineStr">
        <is>
          <t>Reprofilage / reprise de pavage</t>
        </is>
      </c>
      <c r="C19" s="4" t="inlineStr">
        <is>
          <t>m2</t>
        </is>
      </c>
      <c r="D19" s="5" t="inlineStr">
        <is>
          <t>Secteurs a risque drainage</t>
        </is>
      </c>
    </row>
    <row r="20">
      <c r="A20" s="4" t="inlineStr">
        <is>
          <t>REF-001</t>
        </is>
      </c>
      <c r="B20" s="5" t="inlineStr">
        <is>
          <t>Refection des surfaces (gazon, etc.)</t>
        </is>
      </c>
      <c r="C20" s="4" t="inlineStr">
        <is>
          <t>m2</t>
        </is>
      </c>
      <c r="D20" s="5" t="inlineStr">
        <is>
          <t>Zone de reprofilage / finitions</t>
        </is>
      </c>
    </row>
    <row r="21">
      <c r="A21" s="4" t="inlineStr">
        <is>
          <t>AJU-001</t>
        </is>
      </c>
      <c r="B21" s="5" t="inlineStr">
        <is>
          <t>Ajustement d'ouvrages existants</t>
        </is>
      </c>
      <c r="C21" s="4" t="inlineStr">
        <is>
          <t>u</t>
        </is>
      </c>
      <c r="D21" s="5" t="inlineStr">
        <is>
          <t>Zone de reprofilage / reseau existant</t>
        </is>
      </c>
    </row>
    <row r="22">
      <c r="A22" s="4" t="inlineStr">
        <is>
          <t>ESS-001</t>
        </is>
      </c>
      <c r="B22" s="5" t="inlineStr">
        <is>
          <t>Essais / verification hydraulique et mise en service</t>
        </is>
      </c>
      <c r="C22" s="4" t="inlineStr">
        <is>
          <t>lot</t>
        </is>
      </c>
      <c r="D22" s="5" t="inlineStr">
        <is>
          <t>Reseau pluvial</t>
        </is>
      </c>
    </row>
    <row r="23">
      <c r="A23" s="4" t="inlineStr">
        <is>
          <t>DOC-001</t>
        </is>
      </c>
      <c r="B23" s="5" t="inlineStr">
        <is>
          <t>Plans finaux / dossier de recollement</t>
        </is>
      </c>
      <c r="C23" s="4" t="inlineStr">
        <is>
          <t>lot</t>
        </is>
      </c>
      <c r="D23" s="5" t="inlineStr">
        <is>
          <t>Tous secteurs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2026-06-06T13:48:52Z</dcterms:created>
  <dcterms:modified xsi:type="dcterms:W3CDTF">2026-06-06T14:44:57Z</dcterms:modified>
</cp:coreProperties>
</file>