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rdereau_prix" sheetId="1" state="visible" r:id="rId3"/>
    <sheet name="Secteur A" sheetId="2" state="visible" r:id="rId4"/>
    <sheet name="Secteur P" sheetId="3" state="visible" r:id="rId5"/>
    <sheet name="Façade" sheetId="4" state="visible" r:id="rId6"/>
    <sheet name="Detail_facade_batim" sheetId="5" state="visible" r:id="rId7"/>
    <sheet name="Traceabilite" sheetId="6" state="visible" r:id="rId8"/>
    <sheet name="Catalogue_item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<sst xmlns="http://schemas.openxmlformats.org/spreadsheetml/2006/main" count="380" uniqueCount="145">
  <si>
    <t xml:space="preserve">BORDEREAU DE PRIX - TRAVAUX DRAINAGE PAR SECTEUR</t>
  </si>
  <si>
    <t xml:space="preserve">Quantites consolidees depuis Detail_Image1, Detail_Image2, Detail_Image3, Detail_facade_batim</t>
  </si>
  <si>
    <t xml:space="preserve">Item</t>
  </si>
  <si>
    <t xml:space="preserve">Description</t>
  </si>
  <si>
    <t xml:space="preserve">Unite</t>
  </si>
  <si>
    <t xml:space="preserve">Quantite_totale</t>
  </si>
  <si>
    <t xml:space="preserve">PU</t>
  </si>
  <si>
    <t xml:space="preserve">Montant</t>
  </si>
  <si>
    <t xml:space="preserve">Secteurs/Images</t>
  </si>
  <si>
    <t xml:space="preserve">Observations</t>
  </si>
  <si>
    <t xml:space="preserve">SURV-001</t>
  </si>
  <si>
    <t xml:space="preserve">Leve topographique detaille (altimetrie + planimetrie)</t>
  </si>
  <si>
    <t xml:space="preserve">lot</t>
  </si>
  <si>
    <t xml:space="preserve">Facade batiment / zones drainage</t>
  </si>
  <si>
    <t xml:space="preserve">PREP-001</t>
  </si>
  <si>
    <t xml:space="preserve">Mobilisation / installation de chantier</t>
  </si>
  <si>
    <t xml:space="preserve">Tous secteurs</t>
  </si>
  <si>
    <t xml:space="preserve">PREP-002</t>
  </si>
  <si>
    <t xml:space="preserve">Signalisation et maintien de la circulation</t>
  </si>
  <si>
    <t xml:space="preserve">SCI-001</t>
  </si>
  <si>
    <t xml:space="preserve">Sciage de pavage</t>
  </si>
  <si>
    <t xml:space="preserve">m</t>
  </si>
  <si>
    <t xml:space="preserve">Zone de reprofilage</t>
  </si>
  <si>
    <t xml:space="preserve">DEM-001</t>
  </si>
  <si>
    <t xml:space="preserve">Enlevement de pavage</t>
  </si>
  <si>
    <t xml:space="preserve">m2</t>
  </si>
  <si>
    <t xml:space="preserve">Zone de reprofilage / secteurs A</t>
  </si>
  <si>
    <t xml:space="preserve">EXC-001</t>
  </si>
  <si>
    <t xml:space="preserve">Excavation de tranchee pour reseau pluvial</t>
  </si>
  <si>
    <t xml:space="preserve">m3</t>
  </si>
  <si>
    <t xml:space="preserve">EXC-002</t>
  </si>
  <si>
    <t xml:space="preserve">Hydro-excavation pour localisation de conduites existantes</t>
  </si>
  <si>
    <t xml:space="preserve">h</t>
  </si>
  <si>
    <t xml:space="preserve">Secteur Façade / raccord Ø1800</t>
  </si>
  <si>
    <t xml:space="preserve">CAN-300</t>
  </si>
  <si>
    <t xml:space="preserve">Fourniture et pose conduite pluviale DN300</t>
  </si>
  <si>
    <t xml:space="preserve">Secteurs avec conduites nouvelles</t>
  </si>
  <si>
    <t xml:space="preserve">CAN-375</t>
  </si>
  <si>
    <t xml:space="preserve">Fourniture et pose raccord / conduite DN375</t>
  </si>
  <si>
    <t xml:space="preserve">Raccord propose</t>
  </si>
  <si>
    <t xml:space="preserve">REG-001</t>
  </si>
  <si>
    <t xml:space="preserve">Regard RP-01 (ajustement / reconstruction locale)</t>
  </si>
  <si>
    <t xml:space="preserve">u</t>
  </si>
  <si>
    <t xml:space="preserve">Noeud de repartition</t>
  </si>
  <si>
    <t xml:space="preserve">REG-002</t>
  </si>
  <si>
    <t xml:space="preserve">Regard RP-02 avec clapet anti-retour</t>
  </si>
  <si>
    <t xml:space="preserve">Aval poste / reseau existant</t>
  </si>
  <si>
    <t xml:space="preserve">SEP-001</t>
  </si>
  <si>
    <t xml:space="preserve">Unite de traitement type Jellyfish (DP-01)</t>
  </si>
  <si>
    <t xml:space="preserve">Branche traitement</t>
  </si>
  <si>
    <t xml:space="preserve">PUI-001</t>
  </si>
  <si>
    <t xml:space="preserve">Nouveau puisard</t>
  </si>
  <si>
    <t xml:space="preserve">Secteur P</t>
  </si>
  <si>
    <t xml:space="preserve">BOR-001</t>
  </si>
  <si>
    <t xml:space="preserve">Saignee dans bordure / raccord de bordure</t>
  </si>
  <si>
    <t xml:space="preserve">BORD-001</t>
  </si>
  <si>
    <t xml:space="preserve">Reconstruction de bordure (si requise)</t>
  </si>
  <si>
    <t xml:space="preserve">RAC-001</t>
  </si>
  <si>
    <t xml:space="preserve">Raccordement a la conduite existante Ø1800</t>
  </si>
  <si>
    <t xml:space="preserve">Secteur Façade</t>
  </si>
  <si>
    <t xml:space="preserve">REM-001</t>
  </si>
  <si>
    <t xml:space="preserve">Remblai et materiaux granulaires</t>
  </si>
  <si>
    <t xml:space="preserve">PAV-001</t>
  </si>
  <si>
    <t xml:space="preserve">Reprofilage / reprise de pavage</t>
  </si>
  <si>
    <t xml:space="preserve">Secteurs a risque drainage</t>
  </si>
  <si>
    <t xml:space="preserve">REF-001</t>
  </si>
  <si>
    <t xml:space="preserve">Refection des surfaces (gazon, etc.)</t>
  </si>
  <si>
    <t xml:space="preserve">Zone de reprofilage / finitions</t>
  </si>
  <si>
    <t xml:space="preserve">AJU-001</t>
  </si>
  <si>
    <t xml:space="preserve">Ajustement d'ouvrages existants</t>
  </si>
  <si>
    <t xml:space="preserve">Zone de reprofilage / reseau existant</t>
  </si>
  <si>
    <t xml:space="preserve">ESS-001</t>
  </si>
  <si>
    <t xml:space="preserve">Essais / verification hydraulique et mise en service</t>
  </si>
  <si>
    <t xml:space="preserve">Reseau pluvial</t>
  </si>
  <si>
    <t xml:space="preserve">DOC-001</t>
  </si>
  <si>
    <t xml:space="preserve">Plans finaux / dossier de recollement</t>
  </si>
  <si>
    <t xml:space="preserve">TOTAL</t>
  </si>
  <si>
    <t xml:space="preserve">Detail quantites - Image1 (zone de reprofilage)</t>
  </si>
  <si>
    <t xml:space="preserve">ID_image</t>
  </si>
  <si>
    <t xml:space="preserve">Secteur</t>
  </si>
  <si>
    <t xml:space="preserve">Quantite_mesuree</t>
  </si>
  <si>
    <t xml:space="preserve">Coef_ajustement</t>
  </si>
  <si>
    <t xml:space="preserve">Quantite_retenue</t>
  </si>
  <si>
    <t xml:space="preserve">Source / annotation</t>
  </si>
  <si>
    <t xml:space="preserve">Hypothese / commentaire</t>
  </si>
  <si>
    <t xml:space="preserve">fromMiddleZone.png</t>
  </si>
  <si>
    <t xml:space="preserve">Zone de reprofilage A</t>
  </si>
  <si>
    <t xml:space="preserve">Longueur a mesurer sur plan DAO/PDF</t>
  </si>
  <si>
    <t xml:space="preserve">Image ajoutee: zone delimitee 557 m2</t>
  </si>
  <si>
    <t xml:space="preserve">Hypothese: enlevement sur toute la zone reprise</t>
  </si>
  <si>
    <t xml:space="preserve">Longueur conditionnelle selon etat existant</t>
  </si>
  <si>
    <t xml:space="preserve">Volume apres profils et epaisseur finale</t>
  </si>
  <si>
    <t xml:space="preserve">Minimum 1 unite, ajuster apres releve terrain</t>
  </si>
  <si>
    <t xml:space="preserve">Reprofilage / reprise de pavage (point bas a elev. 29,720 m)</t>
  </si>
  <si>
    <t xml:space="preserve">Image ajoutee: annotation 557 m2 + cote 29,720</t>
  </si>
  <si>
    <t xml:space="preserve">Surface de reprise de pavage selon zone surlignee</t>
  </si>
  <si>
    <t xml:space="preserve">Si surfaces non pavees sont affectees</t>
  </si>
  <si>
    <t xml:space="preserve">A ajuster apres verification terrain</t>
  </si>
  <si>
    <t xml:space="preserve">Sous-total (controle)</t>
  </si>
  <si>
    <t xml:space="preserve">Detail quantites - Detail_Image2</t>
  </si>
  <si>
    <t xml:space="preserve">saignée.png</t>
  </si>
  <si>
    <t xml:space="preserve">Secteur P haut</t>
  </si>
  <si>
    <t xml:space="preserve">Valeur lue sur plan annote</t>
  </si>
  <si>
    <t xml:space="preserve">Secteur P bas</t>
  </si>
  <si>
    <t xml:space="preserve">Secteur P </t>
  </si>
  <si>
    <t xml:space="preserve">A confirmer diametre et profondeur</t>
  </si>
  <si>
    <t xml:space="preserve">Raccord propose Ø375</t>
  </si>
  <si>
    <t xml:space="preserve">Longueur a relever au plan topographique</t>
  </si>
  <si>
    <t xml:space="preserve">Saignee dans bordure</t>
  </si>
  <si>
    <t xml:space="preserve">Longueur a mesurer sur DAO/PDF origine</t>
  </si>
  <si>
    <t xml:space="preserve">Decoupage/demolition de pavage</t>
  </si>
  <si>
    <t xml:space="preserve">Hypothese initiale a ajuster selon limites exactes</t>
  </si>
  <si>
    <t xml:space="preserve">Detail quantites - Detail_Image3</t>
  </si>
  <si>
    <t xml:space="preserve">Facade_batim.jpg</t>
  </si>
  <si>
    <t xml:space="preserve">Hydro-excavation localisation conduites existantes</t>
  </si>
  <si>
    <t xml:space="preserve">Hypothese de demarrage (8 h) a ajuster</t>
  </si>
  <si>
    <t xml:space="preserve">Raccordement a conduite existante Ø1800</t>
  </si>
  <si>
    <t xml:space="preserve">Interface avec reseau existant</t>
  </si>
  <si>
    <t xml:space="preserve">Conduite DN300 (troncon repere 30.0)</t>
  </si>
  <si>
    <t xml:space="preserve">A confirmer par mesurage sur plan source</t>
  </si>
  <si>
    <t xml:space="preserve">Regard/interconnexion P-01</t>
  </si>
  <si>
    <t xml:space="preserve">Ajustement ouvrage existant</t>
  </si>
  <si>
    <t xml:space="preserve">Regard/interconnexion P-02</t>
  </si>
  <si>
    <t xml:space="preserve">Excavation tranchee (a preciser)</t>
  </si>
  <si>
    <t xml:space="preserve">A quantifier apres profils/profondeurs</t>
  </si>
  <si>
    <t xml:space="preserve">Detail quantites - Detail_facade_batim</t>
  </si>
  <si>
    <t xml:space="preserve">facade_batim.jpg</t>
  </si>
  <si>
    <t xml:space="preserve">Facade batiment</t>
  </si>
  <si>
    <t xml:space="preserve">Leve topographique detaille pour estimation</t>
  </si>
  <si>
    <t xml:space="preserve">Activite principale pour ce secteur</t>
  </si>
  <si>
    <t xml:space="preserve">Plan de releve et rapport de points</t>
  </si>
  <si>
    <t xml:space="preserve">Peut etre inclus dans SURV-001 selon contrat</t>
  </si>
  <si>
    <t xml:space="preserve">Traceabilite des quantites et hypotheses</t>
  </si>
  <si>
    <t xml:space="preserve">Principe</t>
  </si>
  <si>
    <t xml:space="preserve">1) Les quantites sont saisies par image/secteur dans les onglets Detail_*. </t>
  </si>
  <si>
    <t xml:space="preserve">2) Quantite_retenue = Quantite_mesuree x Coef_ajustement.</t>
  </si>
  <si>
    <t xml:space="preserve">3) Bordereau_prix consolide automatiquement les quantites par code Item.</t>
  </si>
  <si>
    <t xml:space="preserve">4) Renseigner PU dans Bordereau_prix pour obtenir les montants.</t>
  </si>
  <si>
    <t xml:space="preserve">5) Ajouter des lignes dans les onglets de detail pour de nouveaux travaux.</t>
  </si>
  <si>
    <t xml:space="preserve">Notes</t>
  </si>
  <si>
    <t xml:space="preserve">- Les valeurs a 0 indiquent un poste identifie mais non mesure a ce stade.</t>
  </si>
  <si>
    <t xml:space="preserve">- facade_batim.jpg: activite cle = leve topographique pour definir quantites/couts.</t>
  </si>
  <si>
    <t xml:space="preserve">- Remplacer les hypotheses par metrage DAO/terrain des que disponible.</t>
  </si>
  <si>
    <t xml:space="preserve">- Detail_Image1 a ete remplace par la zone de reprofilage (items de preparation/refection) selon la nouvelle image.</t>
  </si>
  <si>
    <t xml:space="preserve">Perimetre/type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</si>
</sst>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9" activeCellId="0" sqref="E9:E22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32"/>
    <col collapsed="false" customWidth="true" hidden="false" outlineLevel="0" max="8" min="8" style="0" width="4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s">
        <v>11</v>
      </c>
      <c r="C5" s="4" t="s">
        <v>12</v>
      </c>
      <c r="D5" s="4" t="n">
        <f aca="false">SUMIFS('Secteur A'!$H:$H,'Secteur A'!$C:$C,$A5)+SUMIFS('Secteur P'!$H:$H,'Secteur P'!$C:$C,$A5)+SUMIFS(Façade!$H:$H,Façade!$C:$C,$A5)+SUMIFS(Detail_facade_batim!$H:$H,Detail_facade_batim!$C:$C,$A5)</f>
        <v>1</v>
      </c>
      <c r="E5" s="4"/>
      <c r="F5" s="6" t="str">
        <f aca="false">IF(E5="","",D5*E5)</f>
        <v/>
      </c>
      <c r="G5" s="5" t="s">
        <v>13</v>
      </c>
      <c r="H5" s="5"/>
    </row>
    <row r="6" customFormat="false" ht="15" hidden="false" customHeight="false" outlineLevel="0" collapsed="false">
      <c r="A6" s="4" t="s">
        <v>14</v>
      </c>
      <c r="B6" s="5" t="s">
        <v>15</v>
      </c>
      <c r="C6" s="4" t="s">
        <v>12</v>
      </c>
      <c r="D6" s="4" t="n">
        <f aca="false">SUMIFS('Secteur A'!$H:$H,'Secteur A'!$C:$C,$A6)+SUMIFS('Secteur P'!$H:$H,'Secteur P'!$C:$C,$A6)+SUMIFS(Façade!$H:$H,Façade!$C:$C,$A6)+SUMIFS(Detail_facade_batim!$H:$H,Detail_facade_batim!$C:$C,$A6)</f>
        <v>0</v>
      </c>
      <c r="E6" s="4"/>
      <c r="F6" s="4" t="str">
        <f aca="false">IF(E6="","",D6*E6)</f>
        <v/>
      </c>
      <c r="G6" s="5" t="s">
        <v>16</v>
      </c>
      <c r="H6" s="5"/>
    </row>
    <row r="7" customFormat="false" ht="15" hidden="false" customHeight="false" outlineLevel="0" collapsed="false">
      <c r="A7" s="4" t="s">
        <v>17</v>
      </c>
      <c r="B7" s="5" t="s">
        <v>18</v>
      </c>
      <c r="C7" s="4" t="s">
        <v>12</v>
      </c>
      <c r="D7" s="4" t="n">
        <f aca="false">SUMIFS('Secteur A'!$H:$H,'Secteur A'!$C:$C,$A7)+SUMIFS('Secteur P'!$H:$H,'Secteur P'!$C:$C,$A7)+SUMIFS(Façade!$H:$H,Façade!$C:$C,$A7)+SUMIFS(Detail_facade_batim!$H:$H,Detail_facade_batim!$C:$C,$A7)</f>
        <v>0</v>
      </c>
      <c r="E7" s="4"/>
      <c r="F7" s="4" t="str">
        <f aca="false">IF(E7="","",D7*E7)</f>
        <v/>
      </c>
      <c r="G7" s="5" t="s">
        <v>16</v>
      </c>
      <c r="H7" s="5"/>
    </row>
    <row r="8" customFormat="false" ht="15" hidden="false" customHeight="false" outlineLevel="0" collapsed="false">
      <c r="A8" s="4" t="s">
        <v>19</v>
      </c>
      <c r="B8" s="5" t="s">
        <v>20</v>
      </c>
      <c r="C8" s="4" t="s">
        <v>21</v>
      </c>
      <c r="D8" s="4" t="n">
        <f aca="false">SUMIFS('Secteur A'!$H:$H,'Secteur A'!$C:$C,$A8)+SUMIFS('Secteur P'!$H:$H,'Secteur P'!$C:$C,$A8)+SUMIFS(Façade!$H:$H,Façade!$C:$C,$A8)+SUMIFS(Detail_facade_batim!$H:$H,Detail_facade_batim!$C:$C,$A8)</f>
        <v>99</v>
      </c>
      <c r="E8" s="4"/>
      <c r="F8" s="4" t="str">
        <f aca="false">IF(E8="","",D8*E8)</f>
        <v/>
      </c>
      <c r="G8" s="5" t="s">
        <v>22</v>
      </c>
      <c r="H8" s="5"/>
    </row>
    <row r="9" customFormat="false" ht="15" hidden="false" customHeight="false" outlineLevel="0" collapsed="false">
      <c r="A9" s="4" t="s">
        <v>23</v>
      </c>
      <c r="B9" s="5" t="s">
        <v>24</v>
      </c>
      <c r="C9" s="4" t="s">
        <v>25</v>
      </c>
      <c r="D9" s="4" t="n">
        <f aca="false">SUMIFS('Secteur A'!$H:$H,'Secteur A'!$C:$C,$A9)+SUMIFS('Secteur P'!$H:$H,'Secteur P'!$C:$C,$A9)+SUMIFS(Façade!$H:$H,Façade!$C:$C,$A9)+SUMIFS(Detail_facade_batim!$H:$H,Detail_facade_batim!$C:$C,$A9)</f>
        <v>721</v>
      </c>
      <c r="E9" s="4"/>
      <c r="F9" s="6" t="str">
        <f aca="false">IF(E9="","",D9*E9)</f>
        <v/>
      </c>
      <c r="G9" s="5" t="s">
        <v>26</v>
      </c>
      <c r="H9" s="5"/>
    </row>
    <row r="10" customFormat="false" ht="15" hidden="false" customHeight="false" outlineLevel="0" collapsed="false">
      <c r="A10" s="4" t="s">
        <v>27</v>
      </c>
      <c r="B10" s="5" t="s">
        <v>28</v>
      </c>
      <c r="C10" s="4" t="s">
        <v>29</v>
      </c>
      <c r="D10" s="4" t="n">
        <f aca="false">SUMIFS('Secteur A'!$H:$H,'Secteur A'!$C:$C,$A10)+SUMIFS('Secteur P'!$H:$H,'Secteur P'!$C:$C,$A10)+SUMIFS(Façade!$H:$H,Façade!$C:$C,$A10)+SUMIFS(Detail_facade_batim!$H:$H,Detail_facade_batim!$C:$C,$A10)</f>
        <v>0</v>
      </c>
      <c r="E10" s="4"/>
      <c r="F10" s="4" t="str">
        <f aca="false">IF(E10="","",D10*E10)</f>
        <v/>
      </c>
      <c r="G10" s="5" t="s">
        <v>16</v>
      </c>
      <c r="H10" s="5"/>
    </row>
    <row r="11" customFormat="false" ht="15" hidden="false" customHeight="false" outlineLevel="0" collapsed="false">
      <c r="A11" s="4" t="s">
        <v>30</v>
      </c>
      <c r="B11" s="5" t="s">
        <v>31</v>
      </c>
      <c r="C11" s="4" t="s">
        <v>32</v>
      </c>
      <c r="D11" s="4" t="n">
        <f aca="false">SUMIFS('Secteur A'!$H:$H,'Secteur A'!$C:$C,$A11)+SUMIFS('Secteur P'!$H:$H,'Secteur P'!$C:$C,$A11)+SUMIFS(Façade!$H:$H,Façade!$C:$C,$A11)+SUMIFS(Detail_facade_batim!$H:$H,Detail_facade_batim!$C:$C,$A11)</f>
        <v>8</v>
      </c>
      <c r="E11" s="4"/>
      <c r="F11" s="6" t="str">
        <f aca="false">IF(E11="","",D11*E11)</f>
        <v/>
      </c>
      <c r="G11" s="5" t="s">
        <v>33</v>
      </c>
      <c r="H11" s="5"/>
    </row>
    <row r="12" customFormat="false" ht="15" hidden="false" customHeight="false" outlineLevel="0" collapsed="false">
      <c r="A12" s="4" t="s">
        <v>34</v>
      </c>
      <c r="B12" s="5" t="s">
        <v>35</v>
      </c>
      <c r="C12" s="4" t="s">
        <v>21</v>
      </c>
      <c r="D12" s="4" t="n">
        <f aca="false">SUMIFS('Secteur A'!$H:$H,'Secteur A'!$C:$C,$A12)+SUMIFS('Secteur P'!$H:$H,'Secteur P'!$C:$C,$A12)+SUMIFS(Façade!$H:$H,Façade!$C:$C,$A12)+SUMIFS(Detail_facade_batim!$H:$H,Detail_facade_batim!$C:$C,$A12)</f>
        <v>30</v>
      </c>
      <c r="E12" s="4"/>
      <c r="F12" s="4" t="str">
        <f aca="false">IF(E12="","",D12*E12)</f>
        <v/>
      </c>
      <c r="G12" s="5" t="s">
        <v>36</v>
      </c>
      <c r="H12" s="5"/>
    </row>
    <row r="13" customFormat="false" ht="15" hidden="false" customHeight="false" outlineLevel="0" collapsed="false">
      <c r="A13" s="4" t="s">
        <v>37</v>
      </c>
      <c r="B13" s="5" t="s">
        <v>38</v>
      </c>
      <c r="C13" s="4" t="s">
        <v>21</v>
      </c>
      <c r="D13" s="4" t="n">
        <f aca="false">SUMIFS('Secteur A'!$H:$H,'Secteur A'!$C:$C,$A13)+SUMIFS('Secteur P'!$H:$H,'Secteur P'!$C:$C,$A13)+SUMIFS(Façade!$H:$H,Façade!$C:$C,$A13)+SUMIFS(Detail_facade_batim!$H:$H,Detail_facade_batim!$C:$C,$A13)</f>
        <v>0</v>
      </c>
      <c r="E13" s="4"/>
      <c r="F13" s="4" t="str">
        <f aca="false">IF(E13="","",D13*E13)</f>
        <v/>
      </c>
      <c r="G13" s="5" t="s">
        <v>39</v>
      </c>
      <c r="H13" s="5"/>
    </row>
    <row r="14" customFormat="false" ht="15" hidden="false" customHeight="false" outlineLevel="0" collapsed="false">
      <c r="A14" s="4" t="s">
        <v>40</v>
      </c>
      <c r="B14" s="5" t="s">
        <v>41</v>
      </c>
      <c r="C14" s="4" t="s">
        <v>42</v>
      </c>
      <c r="D14" s="4" t="n">
        <f aca="false">SUMIFS('Secteur A'!$H:$H,'Secteur A'!$C:$C,$A14)+SUMIFS('Secteur P'!$H:$H,'Secteur P'!$C:$C,$A14)+SUMIFS(Façade!$H:$H,Façade!$C:$C,$A14)+SUMIFS(Detail_facade_batim!$H:$H,Detail_facade_batim!$C:$C,$A14)</f>
        <v>1</v>
      </c>
      <c r="E14" s="4"/>
      <c r="F14" s="4" t="str">
        <f aca="false">IF(E14="","",D14*E14)</f>
        <v/>
      </c>
      <c r="G14" s="5" t="s">
        <v>43</v>
      </c>
      <c r="H14" s="5"/>
    </row>
    <row r="15" customFormat="false" ht="15" hidden="false" customHeight="false" outlineLevel="0" collapsed="false">
      <c r="A15" s="4" t="s">
        <v>44</v>
      </c>
      <c r="B15" s="5" t="s">
        <v>45</v>
      </c>
      <c r="C15" s="4" t="s">
        <v>42</v>
      </c>
      <c r="D15" s="4" t="n">
        <f aca="false">SUMIFS('Secteur A'!$H:$H,'Secteur A'!$C:$C,$A15)+SUMIFS('Secteur P'!$H:$H,'Secteur P'!$C:$C,$A15)+SUMIFS(Façade!$H:$H,Façade!$C:$C,$A15)+SUMIFS(Detail_facade_batim!$H:$H,Detail_facade_batim!$C:$C,$A15)</f>
        <v>1</v>
      </c>
      <c r="E15" s="4"/>
      <c r="F15" s="4" t="str">
        <f aca="false">IF(E15="","",D15*E15)</f>
        <v/>
      </c>
      <c r="G15" s="5" t="s">
        <v>46</v>
      </c>
      <c r="H15" s="5"/>
    </row>
    <row r="16" customFormat="false" ht="15" hidden="false" customHeight="false" outlineLevel="0" collapsed="false">
      <c r="A16" s="4" t="s">
        <v>47</v>
      </c>
      <c r="B16" s="5" t="s">
        <v>48</v>
      </c>
      <c r="C16" s="4" t="s">
        <v>42</v>
      </c>
      <c r="D16" s="4" t="n">
        <f aca="false">SUMIFS('Secteur A'!$H:$H,'Secteur A'!$C:$C,$A16)+SUMIFS('Secteur P'!$H:$H,'Secteur P'!$C:$C,$A16)+SUMIFS(Façade!$H:$H,Façade!$C:$C,$A16)+SUMIFS(Detail_facade_batim!$H:$H,Detail_facade_batim!$C:$C,$A16)</f>
        <v>0</v>
      </c>
      <c r="E16" s="4"/>
      <c r="F16" s="4" t="str">
        <f aca="false">IF(E16="","",D16*E16)</f>
        <v/>
      </c>
      <c r="G16" s="5" t="s">
        <v>49</v>
      </c>
      <c r="H16" s="5"/>
    </row>
    <row r="17" customFormat="false" ht="15" hidden="false" customHeight="false" outlineLevel="0" collapsed="false">
      <c r="A17" s="4" t="s">
        <v>50</v>
      </c>
      <c r="B17" s="5" t="s">
        <v>51</v>
      </c>
      <c r="C17" s="4" t="s">
        <v>42</v>
      </c>
      <c r="D17" s="4" t="n">
        <f aca="false">SUMIFS('Secteur A'!$H:$H,'Secteur A'!$C:$C,$A17)+SUMIFS('Secteur P'!$H:$H,'Secteur P'!$C:$C,$A17)+SUMIFS(Façade!$H:$H,Façade!$C:$C,$A17)+SUMIFS(Detail_facade_batim!$H:$H,Detail_facade_batim!$C:$C,$A17)</f>
        <v>1</v>
      </c>
      <c r="E17" s="4"/>
      <c r="F17" s="4" t="str">
        <f aca="false">IF(E17="","",D17*E17)</f>
        <v/>
      </c>
      <c r="G17" s="5" t="s">
        <v>52</v>
      </c>
      <c r="H17" s="5"/>
    </row>
    <row r="18" customFormat="false" ht="15" hidden="false" customHeight="false" outlineLevel="0" collapsed="false">
      <c r="A18" s="4" t="s">
        <v>53</v>
      </c>
      <c r="B18" s="5" t="s">
        <v>54</v>
      </c>
      <c r="C18" s="4" t="s">
        <v>21</v>
      </c>
      <c r="D18" s="4" t="n">
        <f aca="false">SUMIFS('Secteur A'!$H:$H,'Secteur A'!$C:$C,$A18)+SUMIFS('Secteur P'!$H:$H,'Secteur P'!$C:$C,$A18)+SUMIFS(Façade!$H:$H,Façade!$C:$C,$A18)+SUMIFS(Detail_facade_batim!$H:$H,Detail_facade_batim!$C:$C,$A18)</f>
        <v>0</v>
      </c>
      <c r="E18" s="4"/>
      <c r="F18" s="4" t="str">
        <f aca="false">IF(E18="","",D18*E18)</f>
        <v/>
      </c>
      <c r="G18" s="5" t="s">
        <v>52</v>
      </c>
      <c r="H18" s="5"/>
    </row>
    <row r="19" customFormat="false" ht="15" hidden="false" customHeight="false" outlineLevel="0" collapsed="false">
      <c r="A19" s="4" t="s">
        <v>55</v>
      </c>
      <c r="B19" s="5" t="s">
        <v>56</v>
      </c>
      <c r="C19" s="4" t="s">
        <v>21</v>
      </c>
      <c r="D19" s="4" t="n">
        <f aca="false">SUMIFS('Secteur A'!$H:$H,'Secteur A'!$C:$C,$A19)+SUMIFS('Secteur P'!$H:$H,'Secteur P'!$C:$C,$A19)+SUMIFS(Façade!$H:$H,Façade!$C:$C,$A19)+SUMIFS(Detail_facade_batim!$H:$H,Detail_facade_batim!$C:$C,$A19)</f>
        <v>0</v>
      </c>
      <c r="E19" s="4"/>
      <c r="F19" s="4" t="str">
        <f aca="false">IF(E19="","",D19*E19)</f>
        <v/>
      </c>
      <c r="G19" s="5" t="s">
        <v>22</v>
      </c>
      <c r="H19" s="5"/>
    </row>
    <row r="20" customFormat="false" ht="15" hidden="false" customHeight="false" outlineLevel="0" collapsed="false">
      <c r="A20" s="4" t="s">
        <v>57</v>
      </c>
      <c r="B20" s="5" t="s">
        <v>58</v>
      </c>
      <c r="C20" s="4" t="s">
        <v>42</v>
      </c>
      <c r="D20" s="4" t="n">
        <f aca="false">SUMIFS('Secteur A'!$H:$H,'Secteur A'!$C:$C,$A20)+SUMIFS('Secteur P'!$H:$H,'Secteur P'!$C:$C,$A20)+SUMIFS(Façade!$H:$H,Façade!$C:$C,$A20)+SUMIFS(Detail_facade_batim!$H:$H,Detail_facade_batim!$C:$C,$A20)</f>
        <v>1</v>
      </c>
      <c r="E20" s="4"/>
      <c r="F20" s="4" t="str">
        <f aca="false">IF(E20="","",D20*E20)</f>
        <v/>
      </c>
      <c r="G20" s="5" t="s">
        <v>59</v>
      </c>
      <c r="H20" s="5"/>
    </row>
    <row r="21" customFormat="false" ht="15" hidden="false" customHeight="false" outlineLevel="0" collapsed="false">
      <c r="A21" s="4" t="s">
        <v>60</v>
      </c>
      <c r="B21" s="5" t="s">
        <v>61</v>
      </c>
      <c r="C21" s="4" t="s">
        <v>29</v>
      </c>
      <c r="D21" s="4" t="n">
        <f aca="false">SUMIFS('Secteur A'!$H:$H,'Secteur A'!$C:$C,$A21)+SUMIFS('Secteur P'!$H:$H,'Secteur P'!$C:$C,$A21)+SUMIFS(Façade!$H:$H,Façade!$C:$C,$A21)+SUMIFS(Detail_facade_batim!$H:$H,Detail_facade_batim!$C:$C,$A21)</f>
        <v>0</v>
      </c>
      <c r="E21" s="4"/>
      <c r="F21" s="4" t="str">
        <f aca="false">IF(E21="","",D21*E21)</f>
        <v/>
      </c>
      <c r="G21" s="5" t="s">
        <v>16</v>
      </c>
      <c r="H21" s="5"/>
    </row>
    <row r="22" customFormat="false" ht="15" hidden="false" customHeight="false" outlineLevel="0" collapsed="false">
      <c r="A22" s="4" t="s">
        <v>62</v>
      </c>
      <c r="B22" s="5" t="s">
        <v>63</v>
      </c>
      <c r="C22" s="4" t="s">
        <v>25</v>
      </c>
      <c r="D22" s="4" t="n">
        <f aca="false">SUMIFS('Secteur A'!$H:$H,'Secteur A'!$C:$C,$A22)+SUMIFS('Secteur P'!$H:$H,'Secteur P'!$C:$C,$A22)+SUMIFS(Façade!$H:$H,Façade!$C:$C,$A22)+SUMIFS(Detail_facade_batim!$H:$H,Detail_facade_batim!$C:$C,$A22)</f>
        <v>721</v>
      </c>
      <c r="E22" s="4"/>
      <c r="F22" s="6" t="str">
        <f aca="false">IF(E22="","",D22*E22)</f>
        <v/>
      </c>
      <c r="G22" s="5" t="s">
        <v>64</v>
      </c>
      <c r="H22" s="5"/>
    </row>
    <row r="23" customFormat="false" ht="15" hidden="false" customHeight="false" outlineLevel="0" collapsed="false">
      <c r="A23" s="4" t="s">
        <v>65</v>
      </c>
      <c r="B23" s="5" t="s">
        <v>66</v>
      </c>
      <c r="C23" s="4" t="s">
        <v>25</v>
      </c>
      <c r="D23" s="4" t="n">
        <f aca="false">SUMIFS('Secteur A'!$H:$H,'Secteur A'!$C:$C,$A23)+SUMIFS('Secteur P'!$H:$H,'Secteur P'!$C:$C,$A23)+SUMIFS(Façade!$H:$H,Façade!$C:$C,$A23)+SUMIFS(Detail_facade_batim!$H:$H,Detail_facade_batim!$C:$C,$A23)</f>
        <v>0</v>
      </c>
      <c r="E23" s="4"/>
      <c r="F23" s="4" t="str">
        <f aca="false">IF(E23="","",D23*E23)</f>
        <v/>
      </c>
      <c r="G23" s="5" t="s">
        <v>67</v>
      </c>
      <c r="H23" s="5"/>
    </row>
    <row r="24" customFormat="false" ht="15" hidden="false" customHeight="false" outlineLevel="0" collapsed="false">
      <c r="A24" s="4" t="s">
        <v>68</v>
      </c>
      <c r="B24" s="5" t="s">
        <v>69</v>
      </c>
      <c r="C24" s="4" t="s">
        <v>42</v>
      </c>
      <c r="D24" s="7" t="n">
        <f aca="false">SUMIFS('Secteur A'!$H:$H,'Secteur A'!$C:$C,$A24)+SUMIFS('Secteur P'!$H:$H,'Secteur P'!$C:$C,$A24)+SUMIFS(Façade!$H:$H,Façade!$C:$C,$A24)+SUMIFS(Detail_facade_batim!$H:$H,Detail_facade_batim!$C:$C,$A24)</f>
        <v>1</v>
      </c>
      <c r="E24" s="4"/>
      <c r="F24" s="7" t="str">
        <f aca="false">IF(E24="","",D24*E24)</f>
        <v/>
      </c>
      <c r="G24" s="5" t="s">
        <v>70</v>
      </c>
      <c r="H24" s="5"/>
    </row>
    <row r="25" customFormat="false" ht="15" hidden="false" customHeight="false" outlineLevel="0" collapsed="false">
      <c r="A25" s="4" t="s">
        <v>71</v>
      </c>
      <c r="B25" s="5" t="s">
        <v>72</v>
      </c>
      <c r="C25" s="4" t="s">
        <v>12</v>
      </c>
      <c r="D25" s="4" t="n">
        <f aca="false">SUMIFS('Secteur A'!$H:$H,'Secteur A'!$C:$C,$A25)+SUMIFS('Secteur P'!$H:$H,'Secteur P'!$C:$C,$A25)+SUMIFS(Façade!$H:$H,Façade!$C:$C,$A25)+SUMIFS(Detail_facade_batim!$H:$H,Detail_facade_batim!$C:$C,$A25)</f>
        <v>0</v>
      </c>
      <c r="E25" s="4"/>
      <c r="F25" s="4" t="str">
        <f aca="false">IF(E25="","",D25*E25)</f>
        <v/>
      </c>
      <c r="G25" s="5" t="s">
        <v>73</v>
      </c>
      <c r="H25" s="5"/>
    </row>
    <row r="26" customFormat="false" ht="15" hidden="false" customHeight="false" outlineLevel="0" collapsed="false">
      <c r="A26" s="4" t="s">
        <v>74</v>
      </c>
      <c r="B26" s="5" t="s">
        <v>75</v>
      </c>
      <c r="C26" s="4" t="s">
        <v>12</v>
      </c>
      <c r="D26" s="4" t="n">
        <f aca="false">SUMIFS('Secteur A'!$H:$H,'Secteur A'!$C:$C,$A26)+SUMIFS('Secteur P'!$H:$H,'Secteur P'!$C:$C,$A26)+SUMIFS(Façade!$H:$H,Façade!$C:$C,$A26)+SUMIFS(Detail_facade_batim!$H:$H,Detail_facade_batim!$C:$C,$A26)</f>
        <v>1</v>
      </c>
      <c r="E26" s="4"/>
      <c r="F26" s="4" t="str">
        <f aca="false">IF(E26="","",D26*E26)</f>
        <v/>
      </c>
      <c r="G26" s="5" t="s">
        <v>16</v>
      </c>
      <c r="H26" s="5"/>
    </row>
    <row r="28" customFormat="false" ht="15" hidden="false" customHeight="false" outlineLevel="0" collapsed="false">
      <c r="D28" s="7" t="s">
        <v>76</v>
      </c>
      <c r="F28" s="7" t="n">
        <f aca="false">SUM(F5:F26)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2" activeCellId="1" sqref="E9:E22 D12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8" min="6" style="0" width="16"/>
    <col collapsed="false" customWidth="true" hidden="false" outlineLevel="0" max="9" min="9" style="0" width="40"/>
    <col collapsed="false" customWidth="true" hidden="false" outlineLevel="0" max="10" min="10" style="0" width="44"/>
  </cols>
  <sheetData>
    <row r="1" customFormat="false" ht="16.15" hidden="false" customHeight="false" outlineLevel="0" collapsed="false">
      <c r="A1" s="8" t="s">
        <v>77</v>
      </c>
      <c r="B1" s="8"/>
      <c r="C1" s="8"/>
      <c r="D1" s="8"/>
      <c r="E1" s="8"/>
      <c r="F1" s="8"/>
      <c r="G1" s="8"/>
      <c r="H1" s="8"/>
      <c r="I1" s="8"/>
      <c r="J1" s="8"/>
    </row>
    <row r="3" customFormat="false" ht="26.5" hidden="false" customHeight="false" outlineLevel="0" collapsed="false">
      <c r="A3" s="3" t="s">
        <v>78</v>
      </c>
      <c r="B3" s="3" t="s">
        <v>79</v>
      </c>
      <c r="C3" s="3" t="s">
        <v>2</v>
      </c>
      <c r="D3" s="3" t="s">
        <v>3</v>
      </c>
      <c r="E3" s="3" t="s">
        <v>4</v>
      </c>
      <c r="F3" s="3" t="s">
        <v>80</v>
      </c>
      <c r="G3" s="3" t="s">
        <v>81</v>
      </c>
      <c r="H3" s="3" t="s">
        <v>82</v>
      </c>
      <c r="I3" s="3" t="s">
        <v>83</v>
      </c>
      <c r="J3" s="3" t="s">
        <v>84</v>
      </c>
    </row>
    <row r="4" customFormat="false" ht="24.05" hidden="false" customHeight="false" outlineLevel="0" collapsed="false">
      <c r="A4" s="4" t="s">
        <v>85</v>
      </c>
      <c r="B4" s="5" t="s">
        <v>86</v>
      </c>
      <c r="C4" s="4" t="s">
        <v>19</v>
      </c>
      <c r="D4" s="5" t="s">
        <v>20</v>
      </c>
      <c r="E4" s="4" t="s">
        <v>21</v>
      </c>
      <c r="F4" s="4" t="n">
        <v>99</v>
      </c>
      <c r="G4" s="4" t="n">
        <v>1</v>
      </c>
      <c r="H4" s="4" t="n">
        <f aca="false">IF(F4="","",F4*G4)</f>
        <v>99</v>
      </c>
      <c r="I4" s="5" t="s">
        <v>87</v>
      </c>
      <c r="J4" s="5"/>
    </row>
    <row r="5" customFormat="false" ht="24.05" hidden="false" customHeight="false" outlineLevel="0" collapsed="false">
      <c r="A5" s="4" t="s">
        <v>85</v>
      </c>
      <c r="B5" s="5" t="s">
        <v>86</v>
      </c>
      <c r="C5" s="4" t="s">
        <v>23</v>
      </c>
      <c r="D5" s="5" t="s">
        <v>24</v>
      </c>
      <c r="E5" s="4" t="s">
        <v>25</v>
      </c>
      <c r="F5" s="4" t="n">
        <v>557</v>
      </c>
      <c r="G5" s="4" t="n">
        <v>1</v>
      </c>
      <c r="H5" s="4" t="n">
        <f aca="false">IF(F5="","",F5*G5)</f>
        <v>557</v>
      </c>
      <c r="I5" s="5" t="s">
        <v>88</v>
      </c>
      <c r="J5" s="5" t="s">
        <v>89</v>
      </c>
    </row>
    <row r="6" customFormat="false" ht="24.05" hidden="false" customHeight="false" outlineLevel="0" collapsed="false">
      <c r="A6" s="4" t="s">
        <v>85</v>
      </c>
      <c r="B6" s="5" t="s">
        <v>86</v>
      </c>
      <c r="C6" s="4" t="s">
        <v>55</v>
      </c>
      <c r="D6" s="5" t="s">
        <v>56</v>
      </c>
      <c r="E6" s="4" t="s">
        <v>21</v>
      </c>
      <c r="F6" s="4" t="n">
        <v>0</v>
      </c>
      <c r="G6" s="4" t="n">
        <v>1</v>
      </c>
      <c r="H6" s="4" t="n">
        <f aca="false">IF(F6="","",F6*G6)</f>
        <v>0</v>
      </c>
      <c r="I6" s="5" t="s">
        <v>90</v>
      </c>
      <c r="J6" s="5"/>
    </row>
    <row r="7" customFormat="false" ht="24.05" hidden="false" customHeight="false" outlineLevel="0" collapsed="false">
      <c r="A7" s="4" t="s">
        <v>85</v>
      </c>
      <c r="B7" s="5" t="s">
        <v>86</v>
      </c>
      <c r="C7" s="4" t="s">
        <v>60</v>
      </c>
      <c r="D7" s="5" t="s">
        <v>61</v>
      </c>
      <c r="E7" s="4" t="s">
        <v>29</v>
      </c>
      <c r="F7" s="4" t="n">
        <v>0</v>
      </c>
      <c r="G7" s="4" t="n">
        <v>1</v>
      </c>
      <c r="H7" s="4" t="n">
        <f aca="false">IF(F7="","",F7*G7)</f>
        <v>0</v>
      </c>
      <c r="I7" s="5" t="s">
        <v>91</v>
      </c>
      <c r="J7" s="5"/>
    </row>
    <row r="8" customFormat="false" ht="24.05" hidden="false" customHeight="false" outlineLevel="0" collapsed="false">
      <c r="A8" s="4" t="s">
        <v>85</v>
      </c>
      <c r="B8" s="5" t="s">
        <v>86</v>
      </c>
      <c r="C8" s="4" t="s">
        <v>68</v>
      </c>
      <c r="D8" s="5" t="s">
        <v>69</v>
      </c>
      <c r="E8" s="4" t="s">
        <v>42</v>
      </c>
      <c r="F8" s="4" t="n">
        <v>1</v>
      </c>
      <c r="G8" s="4" t="n">
        <v>1</v>
      </c>
      <c r="H8" s="4" t="n">
        <f aca="false">IF(F8="","",F8*G8)</f>
        <v>1</v>
      </c>
      <c r="I8" s="5" t="s">
        <v>92</v>
      </c>
      <c r="J8" s="5"/>
    </row>
    <row r="9" customFormat="false" ht="24.05" hidden="false" customHeight="false" outlineLevel="0" collapsed="false">
      <c r="A9" s="4" t="s">
        <v>85</v>
      </c>
      <c r="B9" s="5" t="s">
        <v>86</v>
      </c>
      <c r="C9" s="4" t="s">
        <v>62</v>
      </c>
      <c r="D9" s="5" t="s">
        <v>93</v>
      </c>
      <c r="E9" s="4" t="s">
        <v>25</v>
      </c>
      <c r="F9" s="4" t="n">
        <v>557</v>
      </c>
      <c r="G9" s="4" t="n">
        <v>1</v>
      </c>
      <c r="H9" s="4" t="n">
        <f aca="false">IF(F9="","",F9*G9)</f>
        <v>557</v>
      </c>
      <c r="I9" s="5" t="s">
        <v>94</v>
      </c>
      <c r="J9" s="5" t="s">
        <v>95</v>
      </c>
    </row>
    <row r="10" customFormat="false" ht="24.05" hidden="false" customHeight="false" outlineLevel="0" collapsed="false">
      <c r="A10" s="4" t="s">
        <v>85</v>
      </c>
      <c r="B10" s="5" t="s">
        <v>86</v>
      </c>
      <c r="C10" s="4" t="s">
        <v>65</v>
      </c>
      <c r="D10" s="5" t="s">
        <v>66</v>
      </c>
      <c r="E10" s="4" t="s">
        <v>25</v>
      </c>
      <c r="F10" s="4" t="n">
        <v>0</v>
      </c>
      <c r="G10" s="4" t="n">
        <v>1</v>
      </c>
      <c r="H10" s="4" t="n">
        <f aca="false">IF(F10="","",F10*G10)</f>
        <v>0</v>
      </c>
      <c r="I10" s="5" t="s">
        <v>96</v>
      </c>
      <c r="J10" s="5" t="s">
        <v>97</v>
      </c>
    </row>
    <row r="11" customFormat="false" ht="26.5" hidden="false" customHeight="false" outlineLevel="0" collapsed="false">
      <c r="A11" s="9" t="s">
        <v>98</v>
      </c>
      <c r="B11" s="5"/>
      <c r="C11" s="4"/>
      <c r="D11" s="5"/>
      <c r="E11" s="4"/>
      <c r="F11" s="4"/>
      <c r="G11" s="4"/>
      <c r="H11" s="10" t="n">
        <f aca="false">SUM(H4:H10)</f>
        <v>1214</v>
      </c>
      <c r="I11" s="5"/>
      <c r="J11" s="5"/>
    </row>
    <row r="12" customFormat="false" ht="15" hidden="false" customHeight="false" outlineLevel="0" collapsed="false">
      <c r="A12" s="4"/>
      <c r="B12" s="5"/>
      <c r="C12" s="4"/>
      <c r="D12" s="5"/>
      <c r="E12" s="4"/>
      <c r="F12" s="4"/>
      <c r="G12" s="4"/>
      <c r="H12" s="4"/>
      <c r="I12" s="5"/>
      <c r="J12" s="5"/>
    </row>
    <row r="14" customFormat="false" ht="15" hidden="false" customHeight="false" outlineLevel="0" collapsed="false">
      <c r="A14" s="11"/>
      <c r="H14" s="11"/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9" activeCellId="1" sqref="E9:E22 B9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8" min="6" style="0" width="16"/>
    <col collapsed="false" customWidth="true" hidden="false" outlineLevel="0" max="9" min="9" style="0" width="40"/>
    <col collapsed="false" customWidth="true" hidden="false" outlineLevel="0" max="10" min="10" style="0" width="44"/>
  </cols>
  <sheetData>
    <row r="1" customFormat="false" ht="16.15" hidden="false" customHeight="false" outlineLevel="0" collapsed="false">
      <c r="A1" s="8" t="s">
        <v>99</v>
      </c>
      <c r="B1" s="8"/>
      <c r="C1" s="8"/>
      <c r="D1" s="8"/>
      <c r="E1" s="8"/>
      <c r="F1" s="8"/>
      <c r="G1" s="8"/>
      <c r="H1" s="8"/>
      <c r="I1" s="8"/>
      <c r="J1" s="8"/>
    </row>
    <row r="3" customFormat="false" ht="26.5" hidden="false" customHeight="false" outlineLevel="0" collapsed="false">
      <c r="A3" s="3" t="s">
        <v>78</v>
      </c>
      <c r="B3" s="3" t="s">
        <v>79</v>
      </c>
      <c r="C3" s="3" t="s">
        <v>2</v>
      </c>
      <c r="D3" s="3" t="s">
        <v>3</v>
      </c>
      <c r="E3" s="3" t="s">
        <v>4</v>
      </c>
      <c r="F3" s="3" t="s">
        <v>80</v>
      </c>
      <c r="G3" s="3" t="s">
        <v>81</v>
      </c>
      <c r="H3" s="3" t="s">
        <v>82</v>
      </c>
      <c r="I3" s="3" t="s">
        <v>83</v>
      </c>
      <c r="J3" s="3" t="s">
        <v>84</v>
      </c>
    </row>
    <row r="4" customFormat="false" ht="15" hidden="false" customHeight="false" outlineLevel="0" collapsed="false">
      <c r="A4" s="4" t="s">
        <v>100</v>
      </c>
      <c r="B4" s="5" t="s">
        <v>101</v>
      </c>
      <c r="C4" s="4" t="s">
        <v>62</v>
      </c>
      <c r="D4" s="5" t="s">
        <v>63</v>
      </c>
      <c r="E4" s="4" t="s">
        <v>25</v>
      </c>
      <c r="F4" s="4" t="n">
        <v>84</v>
      </c>
      <c r="G4" s="4" t="n">
        <v>1</v>
      </c>
      <c r="H4" s="4" t="n">
        <f aca="false">IF(F4="","",F4*G4)</f>
        <v>84</v>
      </c>
      <c r="I4" s="5" t="s">
        <v>102</v>
      </c>
      <c r="J4" s="5"/>
    </row>
    <row r="5" customFormat="false" ht="15" hidden="false" customHeight="false" outlineLevel="0" collapsed="false">
      <c r="A5" s="4" t="s">
        <v>100</v>
      </c>
      <c r="B5" s="5" t="s">
        <v>103</v>
      </c>
      <c r="C5" s="4" t="s">
        <v>62</v>
      </c>
      <c r="D5" s="5" t="s">
        <v>63</v>
      </c>
      <c r="E5" s="4" t="s">
        <v>25</v>
      </c>
      <c r="F5" s="4" t="n">
        <v>80</v>
      </c>
      <c r="G5" s="4" t="n">
        <v>1</v>
      </c>
      <c r="H5" s="4" t="n">
        <f aca="false">IF(F5="","",F5*G5)</f>
        <v>80</v>
      </c>
      <c r="I5" s="5" t="s">
        <v>102</v>
      </c>
      <c r="J5" s="5"/>
    </row>
    <row r="6" customFormat="false" ht="15" hidden="false" customHeight="false" outlineLevel="0" collapsed="false">
      <c r="A6" s="4" t="s">
        <v>100</v>
      </c>
      <c r="B6" s="5" t="s">
        <v>104</v>
      </c>
      <c r="C6" s="4" t="s">
        <v>50</v>
      </c>
      <c r="D6" s="5" t="s">
        <v>51</v>
      </c>
      <c r="E6" s="4" t="s">
        <v>42</v>
      </c>
      <c r="F6" s="4" t="n">
        <v>1</v>
      </c>
      <c r="G6" s="4" t="n">
        <v>1</v>
      </c>
      <c r="H6" s="4" t="n">
        <f aca="false">IF(F6="","",F6*G6)</f>
        <v>1</v>
      </c>
      <c r="I6" s="5" t="s">
        <v>105</v>
      </c>
      <c r="J6" s="5"/>
    </row>
    <row r="7" customFormat="false" ht="15" hidden="false" customHeight="false" outlineLevel="0" collapsed="false">
      <c r="A7" s="4" t="s">
        <v>100</v>
      </c>
      <c r="B7" s="5" t="s">
        <v>104</v>
      </c>
      <c r="C7" s="4" t="s">
        <v>37</v>
      </c>
      <c r="D7" s="5" t="s">
        <v>106</v>
      </c>
      <c r="E7" s="4" t="s">
        <v>21</v>
      </c>
      <c r="F7" s="4" t="n">
        <v>0</v>
      </c>
      <c r="G7" s="4" t="n">
        <v>1</v>
      </c>
      <c r="H7" s="4" t="n">
        <f aca="false">IF(F7="","",F7*G7)</f>
        <v>0</v>
      </c>
      <c r="I7" s="5" t="s">
        <v>107</v>
      </c>
      <c r="J7" s="5"/>
    </row>
    <row r="8" customFormat="false" ht="15" hidden="false" customHeight="false" outlineLevel="0" collapsed="false">
      <c r="A8" s="4" t="s">
        <v>100</v>
      </c>
      <c r="B8" s="5" t="s">
        <v>104</v>
      </c>
      <c r="C8" s="4" t="s">
        <v>53</v>
      </c>
      <c r="D8" s="5" t="s">
        <v>108</v>
      </c>
      <c r="E8" s="4" t="s">
        <v>21</v>
      </c>
      <c r="F8" s="4" t="n">
        <v>0</v>
      </c>
      <c r="G8" s="4" t="n">
        <v>1</v>
      </c>
      <c r="H8" s="4" t="n">
        <f aca="false">IF(F8="","",F8*G8)</f>
        <v>0</v>
      </c>
      <c r="I8" s="5" t="s">
        <v>109</v>
      </c>
      <c r="J8" s="5"/>
    </row>
    <row r="9" customFormat="false" ht="15" hidden="false" customHeight="false" outlineLevel="0" collapsed="false">
      <c r="A9" s="4" t="s">
        <v>100</v>
      </c>
      <c r="B9" s="5" t="s">
        <v>104</v>
      </c>
      <c r="C9" s="4" t="s">
        <v>23</v>
      </c>
      <c r="D9" s="5" t="s">
        <v>110</v>
      </c>
      <c r="E9" s="4" t="s">
        <v>25</v>
      </c>
      <c r="F9" s="4" t="n">
        <v>164</v>
      </c>
      <c r="G9" s="4" t="n">
        <v>1</v>
      </c>
      <c r="H9" s="4" t="n">
        <f aca="false">IF(F9="","",F9*G9)</f>
        <v>164</v>
      </c>
      <c r="I9" s="5" t="s">
        <v>111</v>
      </c>
      <c r="J9" s="5"/>
    </row>
    <row r="11" customFormat="false" ht="15" hidden="false" customHeight="false" outlineLevel="0" collapsed="false">
      <c r="A11" s="11" t="s">
        <v>98</v>
      </c>
      <c r="H11" s="11" t="n">
        <f aca="false">SUM(H4:H9)</f>
        <v>329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3" activeCellId="1" sqref="E9:E22 D13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5.18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8" min="6" style="0" width="16"/>
    <col collapsed="false" customWidth="true" hidden="false" outlineLevel="0" max="9" min="9" style="0" width="40"/>
    <col collapsed="false" customWidth="true" hidden="false" outlineLevel="0" max="10" min="10" style="0" width="44"/>
  </cols>
  <sheetData>
    <row r="1" customFormat="false" ht="16.15" hidden="false" customHeight="false" outlineLevel="0" collapsed="false">
      <c r="A1" s="8" t="s">
        <v>112</v>
      </c>
      <c r="B1" s="8"/>
      <c r="C1" s="8"/>
      <c r="D1" s="8"/>
      <c r="E1" s="8"/>
      <c r="F1" s="8"/>
      <c r="G1" s="8"/>
      <c r="H1" s="8"/>
      <c r="I1" s="8"/>
      <c r="J1" s="8"/>
    </row>
    <row r="3" customFormat="false" ht="26.5" hidden="false" customHeight="false" outlineLevel="0" collapsed="false">
      <c r="A3" s="3" t="s">
        <v>78</v>
      </c>
      <c r="B3" s="3" t="s">
        <v>79</v>
      </c>
      <c r="C3" s="3" t="s">
        <v>2</v>
      </c>
      <c r="D3" s="3" t="s">
        <v>3</v>
      </c>
      <c r="E3" s="3" t="s">
        <v>4</v>
      </c>
      <c r="F3" s="3" t="s">
        <v>80</v>
      </c>
      <c r="G3" s="3" t="s">
        <v>81</v>
      </c>
      <c r="H3" s="3" t="s">
        <v>82</v>
      </c>
      <c r="I3" s="3" t="s">
        <v>83</v>
      </c>
      <c r="J3" s="3" t="s">
        <v>84</v>
      </c>
    </row>
    <row r="4" customFormat="false" ht="24.05" hidden="false" customHeight="false" outlineLevel="0" collapsed="false">
      <c r="A4" s="4" t="s">
        <v>113</v>
      </c>
      <c r="B4" s="5" t="s">
        <v>59</v>
      </c>
      <c r="C4" s="4" t="s">
        <v>30</v>
      </c>
      <c r="D4" s="5" t="s">
        <v>114</v>
      </c>
      <c r="E4" s="4" t="s">
        <v>32</v>
      </c>
      <c r="F4" s="4" t="n">
        <v>8</v>
      </c>
      <c r="G4" s="4" t="n">
        <v>1</v>
      </c>
      <c r="H4" s="4" t="n">
        <f aca="false">IF(F4="","",F4*G4)</f>
        <v>8</v>
      </c>
      <c r="I4" s="5" t="s">
        <v>115</v>
      </c>
      <c r="J4" s="5"/>
    </row>
    <row r="5" customFormat="false" ht="15" hidden="false" customHeight="false" outlineLevel="0" collapsed="false">
      <c r="A5" s="4" t="s">
        <v>113</v>
      </c>
      <c r="B5" s="5" t="s">
        <v>59</v>
      </c>
      <c r="C5" s="4" t="s">
        <v>57</v>
      </c>
      <c r="D5" s="5" t="s">
        <v>116</v>
      </c>
      <c r="E5" s="4" t="s">
        <v>42</v>
      </c>
      <c r="F5" s="4" t="n">
        <v>1</v>
      </c>
      <c r="G5" s="4" t="n">
        <v>1</v>
      </c>
      <c r="H5" s="4" t="n">
        <f aca="false">IF(F5="","",F5*G5)</f>
        <v>1</v>
      </c>
      <c r="I5" s="5" t="s">
        <v>117</v>
      </c>
      <c r="J5" s="5"/>
    </row>
    <row r="6" customFormat="false" ht="15" hidden="false" customHeight="false" outlineLevel="0" collapsed="false">
      <c r="A6" s="4" t="s">
        <v>113</v>
      </c>
      <c r="B6" s="5" t="s">
        <v>59</v>
      </c>
      <c r="C6" s="4" t="s">
        <v>34</v>
      </c>
      <c r="D6" s="5" t="s">
        <v>118</v>
      </c>
      <c r="E6" s="4" t="s">
        <v>21</v>
      </c>
      <c r="F6" s="4" t="n">
        <v>30</v>
      </c>
      <c r="G6" s="4" t="n">
        <v>1</v>
      </c>
      <c r="H6" s="4" t="n">
        <f aca="false">IF(F6="","",F6*G6)</f>
        <v>30</v>
      </c>
      <c r="I6" s="5" t="s">
        <v>119</v>
      </c>
      <c r="J6" s="5"/>
    </row>
    <row r="7" customFormat="false" ht="15" hidden="false" customHeight="false" outlineLevel="0" collapsed="false">
      <c r="A7" s="4" t="s">
        <v>113</v>
      </c>
      <c r="B7" s="5" t="s">
        <v>59</v>
      </c>
      <c r="C7" s="4" t="s">
        <v>40</v>
      </c>
      <c r="D7" s="5" t="s">
        <v>120</v>
      </c>
      <c r="E7" s="4" t="s">
        <v>42</v>
      </c>
      <c r="F7" s="4" t="n">
        <v>1</v>
      </c>
      <c r="G7" s="4" t="n">
        <v>1</v>
      </c>
      <c r="H7" s="4" t="n">
        <f aca="false">IF(F7="","",F7*G7)</f>
        <v>1</v>
      </c>
      <c r="I7" s="5" t="s">
        <v>121</v>
      </c>
      <c r="J7" s="5"/>
    </row>
    <row r="8" customFormat="false" ht="15" hidden="false" customHeight="false" outlineLevel="0" collapsed="false">
      <c r="A8" s="4" t="s">
        <v>113</v>
      </c>
      <c r="B8" s="5" t="s">
        <v>59</v>
      </c>
      <c r="C8" s="4" t="s">
        <v>44</v>
      </c>
      <c r="D8" s="5" t="s">
        <v>122</v>
      </c>
      <c r="E8" s="4" t="s">
        <v>42</v>
      </c>
      <c r="F8" s="4" t="n">
        <v>1</v>
      </c>
      <c r="G8" s="4" t="n">
        <v>1</v>
      </c>
      <c r="H8" s="4" t="n">
        <f aca="false">IF(F8="","",F8*G8)</f>
        <v>1</v>
      </c>
      <c r="I8" s="5" t="s">
        <v>121</v>
      </c>
      <c r="J8" s="5"/>
    </row>
    <row r="9" customFormat="false" ht="15" hidden="false" customHeight="false" outlineLevel="0" collapsed="false">
      <c r="A9" s="4" t="s">
        <v>113</v>
      </c>
      <c r="B9" s="5" t="s">
        <v>59</v>
      </c>
      <c r="C9" s="4" t="s">
        <v>27</v>
      </c>
      <c r="D9" s="5" t="s">
        <v>123</v>
      </c>
      <c r="E9" s="4" t="s">
        <v>29</v>
      </c>
      <c r="F9" s="4" t="n">
        <v>0</v>
      </c>
      <c r="G9" s="4" t="n">
        <v>1</v>
      </c>
      <c r="H9" s="4" t="n">
        <f aca="false">IF(F9="","",F9*G9)</f>
        <v>0</v>
      </c>
      <c r="I9" s="5" t="s">
        <v>124</v>
      </c>
      <c r="J9" s="5"/>
    </row>
    <row r="11" customFormat="false" ht="15" hidden="false" customHeight="false" outlineLevel="0" collapsed="false">
      <c r="A11" s="11" t="s">
        <v>98</v>
      </c>
      <c r="H11" s="11" t="n">
        <f aca="false">SUM(H4:H9)</f>
        <v>41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5" activeCellId="1" sqref="E9:E22 A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8" min="6" style="0" width="16"/>
    <col collapsed="false" customWidth="true" hidden="false" outlineLevel="0" max="9" min="9" style="0" width="40"/>
    <col collapsed="false" customWidth="true" hidden="false" outlineLevel="0" max="10" min="10" style="0" width="44"/>
  </cols>
  <sheetData>
    <row r="1" customFormat="false" ht="16.15" hidden="false" customHeight="false" outlineLevel="0" collapsed="false">
      <c r="A1" s="8" t="s">
        <v>125</v>
      </c>
      <c r="B1" s="8"/>
      <c r="C1" s="8"/>
      <c r="D1" s="8"/>
      <c r="E1" s="8"/>
      <c r="F1" s="8"/>
      <c r="G1" s="8"/>
      <c r="H1" s="8"/>
      <c r="I1" s="8"/>
      <c r="J1" s="8"/>
    </row>
    <row r="3" customFormat="false" ht="26.5" hidden="false" customHeight="false" outlineLevel="0" collapsed="false">
      <c r="A3" s="3" t="s">
        <v>78</v>
      </c>
      <c r="B3" s="3" t="s">
        <v>79</v>
      </c>
      <c r="C3" s="3" t="s">
        <v>2</v>
      </c>
      <c r="D3" s="3" t="s">
        <v>3</v>
      </c>
      <c r="E3" s="3" t="s">
        <v>4</v>
      </c>
      <c r="F3" s="3" t="s">
        <v>80</v>
      </c>
      <c r="G3" s="3" t="s">
        <v>81</v>
      </c>
      <c r="H3" s="3" t="s">
        <v>82</v>
      </c>
      <c r="I3" s="3" t="s">
        <v>83</v>
      </c>
      <c r="J3" s="3" t="s">
        <v>84</v>
      </c>
    </row>
    <row r="4" customFormat="false" ht="24.05" hidden="false" customHeight="false" outlineLevel="0" collapsed="false">
      <c r="A4" s="4" t="s">
        <v>126</v>
      </c>
      <c r="B4" s="5" t="s">
        <v>127</v>
      </c>
      <c r="C4" s="4" t="s">
        <v>10</v>
      </c>
      <c r="D4" s="5" t="s">
        <v>128</v>
      </c>
      <c r="E4" s="4" t="s">
        <v>12</v>
      </c>
      <c r="F4" s="4" t="n">
        <v>1</v>
      </c>
      <c r="G4" s="4" t="n">
        <v>1</v>
      </c>
      <c r="H4" s="4" t="n">
        <f aca="false">IF(F4="","",F4*G4)</f>
        <v>1</v>
      </c>
      <c r="I4" s="5" t="s">
        <v>129</v>
      </c>
      <c r="J4" s="5"/>
    </row>
    <row r="5" customFormat="false" ht="24.05" hidden="false" customHeight="false" outlineLevel="0" collapsed="false">
      <c r="A5" s="4" t="s">
        <v>126</v>
      </c>
      <c r="B5" s="5" t="s">
        <v>127</v>
      </c>
      <c r="C5" s="4" t="s">
        <v>74</v>
      </c>
      <c r="D5" s="5" t="s">
        <v>130</v>
      </c>
      <c r="E5" s="4" t="s">
        <v>12</v>
      </c>
      <c r="F5" s="4" t="n">
        <v>1</v>
      </c>
      <c r="G5" s="4" t="n">
        <v>1</v>
      </c>
      <c r="H5" s="4" t="n">
        <f aca="false">IF(F5="","",F5*G5)</f>
        <v>1</v>
      </c>
      <c r="I5" s="5" t="s">
        <v>131</v>
      </c>
      <c r="J5" s="5"/>
    </row>
    <row r="7" customFormat="false" ht="15" hidden="false" customHeight="false" outlineLevel="0" collapsed="false">
      <c r="A7" s="11" t="s">
        <v>98</v>
      </c>
      <c r="H7" s="11" t="n">
        <f aca="false">SUM(H4:H5)</f>
        <v>2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9:E22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40"/>
  </cols>
  <sheetData>
    <row r="1" customFormat="false" ht="16.15" hidden="false" customHeight="false" outlineLevel="0" collapsed="false">
      <c r="A1" s="12" t="s">
        <v>132</v>
      </c>
    </row>
    <row r="3" customFormat="false" ht="15" hidden="false" customHeight="false" outlineLevel="0" collapsed="false">
      <c r="A3" s="11" t="s">
        <v>133</v>
      </c>
    </row>
    <row r="4" customFormat="false" ht="15" hidden="false" customHeight="false" outlineLevel="0" collapsed="false">
      <c r="A4" s="0" t="s">
        <v>134</v>
      </c>
    </row>
    <row r="5" customFormat="false" ht="15" hidden="false" customHeight="false" outlineLevel="0" collapsed="false">
      <c r="A5" s="0" t="s">
        <v>135</v>
      </c>
    </row>
    <row r="6" customFormat="false" ht="15" hidden="false" customHeight="false" outlineLevel="0" collapsed="false">
      <c r="A6" s="0" t="s">
        <v>136</v>
      </c>
    </row>
    <row r="7" customFormat="false" ht="15" hidden="false" customHeight="false" outlineLevel="0" collapsed="false">
      <c r="A7" s="0" t="s">
        <v>137</v>
      </c>
    </row>
    <row r="8" customFormat="false" ht="15" hidden="false" customHeight="false" outlineLevel="0" collapsed="false">
      <c r="A8" s="0" t="s">
        <v>138</v>
      </c>
    </row>
    <row r="10" customFormat="false" ht="15" hidden="false" customHeight="false" outlineLevel="0" collapsed="false">
      <c r="A10" s="11" t="s">
        <v>139</v>
      </c>
    </row>
    <row r="11" customFormat="false" ht="15" hidden="false" customHeight="false" outlineLevel="0" collapsed="false">
      <c r="A11" s="0" t="s">
        <v>140</v>
      </c>
    </row>
    <row r="12" customFormat="false" ht="15" hidden="false" customHeight="false" outlineLevel="0" collapsed="false">
      <c r="A12" s="0" t="s">
        <v>141</v>
      </c>
    </row>
    <row r="13" customFormat="false" ht="15" hidden="false" customHeight="false" outlineLevel="0" collapsed="false">
      <c r="A13" s="0" t="s">
        <v>142</v>
      </c>
    </row>
    <row r="14" customFormat="false" ht="15" hidden="false" customHeight="false" outlineLevel="0" collapsed="false">
      <c r="A14" s="0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7" activeCellId="1" sqref="E9:E22 D17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38"/>
  </cols>
  <sheetData>
    <row r="1" customFormat="false" ht="15" hidden="false" customHeight="false" outlineLevel="0" collapsed="false">
      <c r="A1" s="3" t="s">
        <v>2</v>
      </c>
      <c r="B1" s="3" t="s">
        <v>3</v>
      </c>
      <c r="C1" s="3" t="s">
        <v>4</v>
      </c>
      <c r="D1" s="3" t="s">
        <v>144</v>
      </c>
    </row>
    <row r="2" customFormat="false" ht="15" hidden="false" customHeight="false" outlineLevel="0" collapsed="false">
      <c r="A2" s="4" t="s">
        <v>10</v>
      </c>
      <c r="B2" s="5" t="s">
        <v>11</v>
      </c>
      <c r="C2" s="4" t="s">
        <v>12</v>
      </c>
      <c r="D2" s="5" t="s">
        <v>13</v>
      </c>
    </row>
    <row r="3" customFormat="false" ht="15" hidden="false" customHeight="false" outlineLevel="0" collapsed="false">
      <c r="A3" s="4" t="s">
        <v>14</v>
      </c>
      <c r="B3" s="5" t="s">
        <v>15</v>
      </c>
      <c r="C3" s="4" t="s">
        <v>12</v>
      </c>
      <c r="D3" s="5" t="s">
        <v>16</v>
      </c>
    </row>
    <row r="4" customFormat="false" ht="15" hidden="false" customHeight="false" outlineLevel="0" collapsed="false">
      <c r="A4" s="4" t="s">
        <v>17</v>
      </c>
      <c r="B4" s="5" t="s">
        <v>18</v>
      </c>
      <c r="C4" s="4" t="s">
        <v>12</v>
      </c>
      <c r="D4" s="5" t="s">
        <v>16</v>
      </c>
    </row>
    <row r="5" customFormat="false" ht="15" hidden="false" customHeight="false" outlineLevel="0" collapsed="false">
      <c r="A5" s="4" t="s">
        <v>19</v>
      </c>
      <c r="B5" s="5" t="s">
        <v>20</v>
      </c>
      <c r="C5" s="4" t="s">
        <v>21</v>
      </c>
      <c r="D5" s="5" t="s">
        <v>22</v>
      </c>
    </row>
    <row r="6" customFormat="false" ht="15" hidden="false" customHeight="false" outlineLevel="0" collapsed="false">
      <c r="A6" s="4" t="s">
        <v>23</v>
      </c>
      <c r="B6" s="5" t="s">
        <v>24</v>
      </c>
      <c r="C6" s="4" t="s">
        <v>25</v>
      </c>
      <c r="D6" s="5" t="s">
        <v>26</v>
      </c>
    </row>
    <row r="7" customFormat="false" ht="15" hidden="false" customHeight="false" outlineLevel="0" collapsed="false">
      <c r="A7" s="4" t="s">
        <v>27</v>
      </c>
      <c r="B7" s="5" t="s">
        <v>28</v>
      </c>
      <c r="C7" s="4" t="s">
        <v>29</v>
      </c>
      <c r="D7" s="5" t="s">
        <v>16</v>
      </c>
    </row>
    <row r="8" customFormat="false" ht="15" hidden="false" customHeight="false" outlineLevel="0" collapsed="false">
      <c r="A8" s="4" t="s">
        <v>30</v>
      </c>
      <c r="B8" s="5" t="s">
        <v>31</v>
      </c>
      <c r="C8" s="4" t="s">
        <v>32</v>
      </c>
      <c r="D8" s="5" t="s">
        <v>33</v>
      </c>
    </row>
    <row r="9" customFormat="false" ht="15" hidden="false" customHeight="false" outlineLevel="0" collapsed="false">
      <c r="A9" s="4" t="s">
        <v>34</v>
      </c>
      <c r="B9" s="5" t="s">
        <v>35</v>
      </c>
      <c r="C9" s="4" t="s">
        <v>21</v>
      </c>
      <c r="D9" s="5" t="s">
        <v>36</v>
      </c>
    </row>
    <row r="10" customFormat="false" ht="15" hidden="false" customHeight="false" outlineLevel="0" collapsed="false">
      <c r="A10" s="4" t="s">
        <v>37</v>
      </c>
      <c r="B10" s="5" t="s">
        <v>38</v>
      </c>
      <c r="C10" s="4" t="s">
        <v>21</v>
      </c>
      <c r="D10" s="5" t="s">
        <v>39</v>
      </c>
    </row>
    <row r="11" customFormat="false" ht="15" hidden="false" customHeight="false" outlineLevel="0" collapsed="false">
      <c r="A11" s="4" t="s">
        <v>40</v>
      </c>
      <c r="B11" s="5" t="s">
        <v>41</v>
      </c>
      <c r="C11" s="4" t="s">
        <v>42</v>
      </c>
      <c r="D11" s="5" t="s">
        <v>43</v>
      </c>
    </row>
    <row r="12" customFormat="false" ht="15" hidden="false" customHeight="false" outlineLevel="0" collapsed="false">
      <c r="A12" s="4" t="s">
        <v>44</v>
      </c>
      <c r="B12" s="5" t="s">
        <v>45</v>
      </c>
      <c r="C12" s="4" t="s">
        <v>42</v>
      </c>
      <c r="D12" s="5" t="s">
        <v>46</v>
      </c>
    </row>
    <row r="13" customFormat="false" ht="15" hidden="false" customHeight="false" outlineLevel="0" collapsed="false">
      <c r="A13" s="4" t="s">
        <v>47</v>
      </c>
      <c r="B13" s="5" t="s">
        <v>48</v>
      </c>
      <c r="C13" s="4" t="s">
        <v>42</v>
      </c>
      <c r="D13" s="5" t="s">
        <v>49</v>
      </c>
    </row>
    <row r="14" customFormat="false" ht="15" hidden="false" customHeight="false" outlineLevel="0" collapsed="false">
      <c r="A14" s="4" t="s">
        <v>50</v>
      </c>
      <c r="B14" s="5" t="s">
        <v>51</v>
      </c>
      <c r="C14" s="4" t="s">
        <v>42</v>
      </c>
      <c r="D14" s="5" t="s">
        <v>52</v>
      </c>
    </row>
    <row r="15" customFormat="false" ht="15" hidden="false" customHeight="false" outlineLevel="0" collapsed="false">
      <c r="A15" s="4" t="s">
        <v>53</v>
      </c>
      <c r="B15" s="5" t="s">
        <v>54</v>
      </c>
      <c r="C15" s="4" t="s">
        <v>21</v>
      </c>
      <c r="D15" s="5" t="s">
        <v>52</v>
      </c>
    </row>
    <row r="16" customFormat="false" ht="15" hidden="false" customHeight="false" outlineLevel="0" collapsed="false">
      <c r="A16" s="4" t="s">
        <v>55</v>
      </c>
      <c r="B16" s="5" t="s">
        <v>56</v>
      </c>
      <c r="C16" s="4" t="s">
        <v>21</v>
      </c>
      <c r="D16" s="5" t="s">
        <v>22</v>
      </c>
    </row>
    <row r="17" customFormat="false" ht="15" hidden="false" customHeight="false" outlineLevel="0" collapsed="false">
      <c r="A17" s="4" t="s">
        <v>57</v>
      </c>
      <c r="B17" s="5" t="s">
        <v>58</v>
      </c>
      <c r="C17" s="4" t="s">
        <v>42</v>
      </c>
      <c r="D17" s="5" t="s">
        <v>59</v>
      </c>
    </row>
    <row r="18" customFormat="false" ht="15" hidden="false" customHeight="false" outlineLevel="0" collapsed="false">
      <c r="A18" s="4" t="s">
        <v>60</v>
      </c>
      <c r="B18" s="5" t="s">
        <v>61</v>
      </c>
      <c r="C18" s="4" t="s">
        <v>29</v>
      </c>
      <c r="D18" s="5" t="s">
        <v>16</v>
      </c>
    </row>
    <row r="19" customFormat="false" ht="15" hidden="false" customHeight="false" outlineLevel="0" collapsed="false">
      <c r="A19" s="4" t="s">
        <v>62</v>
      </c>
      <c r="B19" s="5" t="s">
        <v>63</v>
      </c>
      <c r="C19" s="4" t="s">
        <v>25</v>
      </c>
      <c r="D19" s="5" t="s">
        <v>64</v>
      </c>
    </row>
    <row r="20" customFormat="false" ht="15" hidden="false" customHeight="false" outlineLevel="0" collapsed="false">
      <c r="A20" s="4" t="s">
        <v>65</v>
      </c>
      <c r="B20" s="5" t="s">
        <v>66</v>
      </c>
      <c r="C20" s="4" t="s">
        <v>25</v>
      </c>
      <c r="D20" s="5" t="s">
        <v>67</v>
      </c>
    </row>
    <row r="21" customFormat="false" ht="15" hidden="false" customHeight="false" outlineLevel="0" collapsed="false">
      <c r="A21" s="4" t="s">
        <v>68</v>
      </c>
      <c r="B21" s="5" t="s">
        <v>69</v>
      </c>
      <c r="C21" s="4" t="s">
        <v>42</v>
      </c>
      <c r="D21" s="5" t="s">
        <v>70</v>
      </c>
    </row>
    <row r="22" customFormat="false" ht="15" hidden="false" customHeight="false" outlineLevel="0" collapsed="false">
      <c r="A22" s="4" t="s">
        <v>71</v>
      </c>
      <c r="B22" s="5" t="s">
        <v>72</v>
      </c>
      <c r="C22" s="4" t="s">
        <v>12</v>
      </c>
      <c r="D22" s="5" t="s">
        <v>73</v>
      </c>
    </row>
    <row r="23" customFormat="false" ht="15" hidden="false" customHeight="false" outlineLevel="0" collapsed="false">
      <c r="A23" s="4" t="s">
        <v>74</v>
      </c>
      <c r="B23" s="5" t="s">
        <v>75</v>
      </c>
      <c r="C23" s="4" t="s">
        <v>12</v>
      </c>
      <c r="D23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2026-06-06T13:48:52Z</dcterms:created>
  <dc:creator>openpyxl</dc:creator>
  <dc:description/>
  <dc:language>en-US</dc:language>
  <cp:lastModifiedBy/>
  <dcterms:modified xsi:type="dcterms:W3CDTF">2026-06-07T01:04:01Z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