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Inputs" sheetId="1" state="visible" r:id="rId1"/>
    <sheet name="IDF_Hyetograph" sheetId="2" state="visible" r:id="rId2"/>
    <sheet name="Routing" sheetId="3" state="visible" r:id="rId3"/>
    <sheet name="Pump_Sizing" sheetId="4" state="visible" r:id="rId4"/>
    <sheet name="Quick checks" sheetId="5" state="visible" r:id="rId5"/>
    <sheet name="Pertes_singulieres_detail" sheetId="6" state="visible" r:id="rId6"/>
    <sheet name="Analyse_duree" sheetId="7" state="visible" r:id="rId7"/>
    <sheet name="Aval_manhole_sync" sheetId="8" state="visible" r:id="rId8"/>
  </sheets>
  <definedNames>
    <definedName name="A_wetwell" hidden="0" function="0" vbProcedure="0">Pump_Sizing!$E$39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mm/dd/yy"/>
    <numFmt numFmtId="165" formatCode="#,##0.000"/>
    <numFmt numFmtId="166" formatCode="#,##0.0000"/>
    <numFmt numFmtId="167" formatCode="0.000"/>
    <numFmt numFmtId="168" formatCode="[&lt;1]0.000;0.00"/>
  </numFmts>
  <fonts count="3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492300"/>
      <sz val="10"/>
    </font>
    <font>
      <name val="Arial"/>
      <charset val="1"/>
      <family val="2"/>
      <b val="1"/>
      <color rgb="FF006100"/>
      <sz val="10"/>
    </font>
    <font>
      <name val="Arial"/>
      <charset val="1"/>
      <family val="2"/>
      <sz val="16"/>
    </font>
    <font>
      <name val="Arial"/>
      <charset val="1"/>
      <family val="2"/>
      <i val="1"/>
      <color rgb="FF1C1C1C"/>
      <sz val="10"/>
    </font>
    <font>
      <name val="Arial"/>
      <charset val="1"/>
      <family val="2"/>
      <b val="1"/>
      <color rgb="FFFF0000"/>
      <sz val="10"/>
    </font>
    <font>
      <name val="Times New Roman"/>
      <charset val="1"/>
      <family val="1"/>
      <sz val="10"/>
    </font>
    <font>
      <name val="Times New Roman"/>
      <charset val="1"/>
      <family val="1"/>
      <b val="1"/>
      <sz val="10"/>
    </font>
    <font>
      <name val="Times New Roman"/>
      <charset val="1"/>
      <family val="0"/>
      <sz val="10"/>
    </font>
    <font>
      <name val="Arial"/>
      <charset val="1"/>
      <family val="2"/>
      <color rgb="FFF2F2F2"/>
      <sz val="13"/>
    </font>
    <font>
      <name val="Arial"/>
      <charset val="1"/>
      <family val="2"/>
      <color rgb="FF1F4E78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color rgb="FF1C1C1C"/>
      <sz val="10"/>
    </font>
    <font>
      <name val="Times New Roman"/>
      <charset val="1"/>
      <family val="1"/>
      <sz val="11"/>
    </font>
    <font>
      <name val="Arial"/>
      <charset val="1"/>
      <family val="2"/>
      <sz val="11"/>
    </font>
    <font>
      <name val="Arial"/>
      <charset val="1"/>
      <family val="2"/>
      <sz val="14"/>
    </font>
    <font>
      <name val="Times New Roman"/>
      <charset val="1"/>
      <family val="1"/>
      <b val="1"/>
      <sz val="12"/>
    </font>
    <font>
      <name val="Times New Roman"/>
      <charset val="1"/>
      <family val="1"/>
      <b val="1"/>
      <sz val="16"/>
    </font>
    <font>
      <name val="Arial"/>
      <charset val="1"/>
      <family val="2"/>
      <b val="1"/>
      <sz val="12"/>
    </font>
    <font>
      <name val="Arial"/>
      <charset val="1"/>
      <family val="0"/>
      <sz val="10"/>
    </font>
    <font>
      <b val="1"/>
      <color rgb="00FFFFFF"/>
      <sz val="12"/>
    </font>
    <font>
      <i val="1"/>
    </font>
    <font>
      <i val="1"/>
      <color rgb="009C0006"/>
    </font>
    <font>
      <b val="1"/>
    </font>
    <font>
      <b val="1"/>
      <color rgb="00FFFFFF"/>
    </font>
    <font>
      <b val="1"/>
      <sz val="13"/>
    </font>
  </fonts>
  <fills count="19">
    <fill>
      <patternFill/>
    </fill>
    <fill>
      <patternFill patternType="gray125"/>
    </fill>
    <fill>
      <patternFill patternType="solid">
        <fgColor rgb="FFFFC7CE"/>
        <bgColor rgb="FFFFE699"/>
      </patternFill>
    </fill>
    <fill>
      <patternFill patternType="solid">
        <fgColor rgb="FFFFE699"/>
        <bgColor rgb="FFE8F2A1"/>
      </patternFill>
    </fill>
    <fill>
      <patternFill patternType="solid">
        <fgColor rgb="FFC6EFCE"/>
        <bgColor rgb="FFE2F0D9"/>
      </patternFill>
    </fill>
    <fill>
      <patternFill patternType="solid">
        <fgColor rgb="FF1F4E78"/>
        <bgColor rgb="FF003366"/>
      </patternFill>
    </fill>
    <fill>
      <patternFill patternType="solid">
        <fgColor rgb="FFDCE6F1"/>
        <bgColor rgb="FFE2F0D9"/>
      </patternFill>
    </fill>
    <fill>
      <patternFill patternType="solid">
        <fgColor rgb="FFFFF2CC"/>
        <bgColor rgb="FFFFF5CE"/>
      </patternFill>
    </fill>
    <fill>
      <patternFill patternType="solid">
        <fgColor rgb="FFE2F0D9"/>
        <bgColor rgb="FFDCE6F1"/>
      </patternFill>
    </fill>
    <fill>
      <patternFill patternType="solid">
        <fgColor rgb="FFF2F2F2"/>
        <bgColor rgb="FFEAF1FB"/>
      </patternFill>
    </fill>
    <fill>
      <patternFill patternType="solid">
        <fgColor rgb="FFFFF5CE"/>
        <bgColor rgb="FFFFF2CC"/>
      </patternFill>
    </fill>
    <fill>
      <patternFill patternType="solid">
        <fgColor rgb="FFE8F2A1"/>
        <bgColor rgb="FFFFE699"/>
      </patternFill>
    </fill>
    <fill>
      <patternFill patternType="solid">
        <fgColor rgb="FFEAF1FB"/>
        <bgColor rgb="FFF2F2F2"/>
      </patternFill>
    </fill>
    <fill>
      <patternFill patternType="solid">
        <fgColor rgb="FF2F75B5"/>
        <bgColor rgb="FF0066CC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1F2"/>
      </patternFill>
    </fill>
  </fills>
  <borders count="23">
    <border>
      <left/>
      <right/>
      <top/>
      <bottom/>
      <diagonal/>
    </border>
    <border>
      <left style="thin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dashed"/>
      <top/>
      <bottom/>
      <diagonal/>
    </border>
    <border>
      <left/>
      <right style="dashed"/>
      <top style="dotted"/>
      <bottom/>
      <diagonal/>
    </border>
    <border>
      <left style="dotted"/>
      <right style="dotted"/>
      <top style="dotted"/>
      <bottom/>
      <diagonal/>
    </border>
    <border>
      <left style="dotted"/>
      <right style="dotted"/>
      <top/>
      <bottom/>
      <diagonal/>
    </border>
    <border>
      <left/>
      <right style="dashed"/>
      <top/>
      <bottom style="thin"/>
      <diagonal/>
    </border>
    <border>
      <left style="dashed"/>
      <right style="dashed"/>
      <top/>
      <bottom style="thin"/>
      <diagonal/>
    </border>
    <border>
      <left style="thin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bottom"/>
    </xf>
    <xf numFmtId="0" fontId="5" fillId="3" borderId="0" applyAlignment="1">
      <alignment horizontal="general" vertical="bottom"/>
    </xf>
    <xf numFmtId="0" fontId="6" fillId="4" borderId="0" applyAlignment="1">
      <alignment horizontal="general" vertical="bottom"/>
    </xf>
  </cellStyleXfs>
  <cellXfs count="29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general" vertical="bottom"/>
    </xf>
    <xf numFmtId="0" fontId="8" fillId="7" borderId="2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8" fillId="7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164" fontId="0" fillId="0" borderId="1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top"/>
    </xf>
    <xf numFmtId="0" fontId="4" fillId="5" borderId="0" applyAlignment="1" pivotButton="0" quotePrefix="0" xfId="0">
      <alignment horizontal="center" vertical="center"/>
    </xf>
    <xf numFmtId="0" fontId="4" fillId="5" borderId="11" applyAlignment="1" pivotButton="0" quotePrefix="0" xfId="0">
      <alignment horizontal="left" vertical="bottom"/>
    </xf>
    <xf numFmtId="0" fontId="4" fillId="5" borderId="0" applyAlignment="1" pivotButton="0" quotePrefix="0" xfId="0">
      <alignment horizontal="center" vertical="bottom"/>
    </xf>
    <xf numFmtId="0" fontId="0" fillId="6" borderId="5" applyAlignment="1" pivotButton="0" quotePrefix="0" xfId="0">
      <alignment horizontal="left" vertical="top" wrapText="1"/>
    </xf>
    <xf numFmtId="4" fontId="0" fillId="8" borderId="12" applyAlignment="1" pivotButton="0" quotePrefix="0" xfId="0">
      <alignment horizontal="general" vertical="bottom"/>
    </xf>
    <xf numFmtId="4" fontId="0" fillId="9" borderId="13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 wrapText="1"/>
    </xf>
    <xf numFmtId="0" fontId="0" fillId="6" borderId="7" applyAlignment="1" pivotButton="0" quotePrefix="0" xfId="0">
      <alignment horizontal="left" vertical="center"/>
    </xf>
    <xf numFmtId="4" fontId="0" fillId="8" borderId="11" applyAlignment="1" pivotButton="0" quotePrefix="0" xfId="0">
      <alignment horizontal="general" vertical="bottom"/>
    </xf>
    <xf numFmtId="4" fontId="0" fillId="9" borderId="14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wrapText="1"/>
    </xf>
    <xf numFmtId="0" fontId="0" fillId="6" borderId="7" applyAlignment="1" pivotButton="0" quotePrefix="0" xfId="0">
      <alignment horizontal="left" vertical="top" wrapText="1"/>
    </xf>
    <xf numFmtId="0" fontId="0" fillId="6" borderId="7" applyAlignment="1" pivotButton="0" quotePrefix="0" xfId="0">
      <alignment horizontal="general" vertical="bottom"/>
    </xf>
    <xf numFmtId="4" fontId="0" fillId="9" borderId="14" applyAlignment="1" pivotButton="0" quotePrefix="0" xfId="0">
      <alignment horizontal="general" vertical="top" wrapText="1"/>
    </xf>
    <xf numFmtId="0" fontId="0" fillId="8" borderId="11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8" borderId="11" applyAlignment="1" pivotButton="0" quotePrefix="0" xfId="0">
      <alignment horizontal="general" vertical="bottom" wrapText="1"/>
    </xf>
    <xf numFmtId="165" fontId="0" fillId="8" borderId="11" applyAlignment="1" pivotButton="0" quotePrefix="0" xfId="0">
      <alignment horizontal="general" vertical="bottom"/>
    </xf>
    <xf numFmtId="0" fontId="0" fillId="6" borderId="7" applyAlignment="1" pivotButton="0" quotePrefix="0" xfId="0">
      <alignment horizontal="general" vertical="bottom"/>
    </xf>
    <xf numFmtId="0" fontId="0" fillId="6" borderId="9" applyAlignment="1" pivotButton="0" quotePrefix="0" xfId="0">
      <alignment horizontal="left" vertical="top" wrapText="1"/>
    </xf>
    <xf numFmtId="0" fontId="0" fillId="8" borderId="15" applyAlignment="1" pivotButton="0" quotePrefix="0" xfId="0">
      <alignment horizontal="general" vertical="bottom"/>
    </xf>
    <xf numFmtId="0" fontId="0" fillId="9" borderId="16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 wrapText="1"/>
    </xf>
    <xf numFmtId="0" fontId="9" fillId="6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 wrapText="1"/>
    </xf>
    <xf numFmtId="0" fontId="4" fillId="6" borderId="3" applyAlignment="1" pivotButton="0" quotePrefix="0" xfId="0">
      <alignment horizontal="general" vertical="top" wrapText="1"/>
    </xf>
    <xf numFmtId="4" fontId="8" fillId="7" borderId="4" applyAlignment="1" pivotButton="0" quotePrefix="0" xfId="0">
      <alignment horizontal="general" vertical="bottom"/>
    </xf>
    <xf numFmtId="166" fontId="8" fillId="7" borderId="4" applyAlignment="1" pivotButton="0" quotePrefix="0" xfId="0">
      <alignment horizontal="general" vertical="bottom"/>
    </xf>
    <xf numFmtId="0" fontId="4" fillId="6" borderId="17" applyAlignment="1" pivotButton="0" quotePrefix="0" xfId="0">
      <alignment horizontal="general" vertical="top" wrapText="1"/>
    </xf>
    <xf numFmtId="0" fontId="8" fillId="7" borderId="1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7" fontId="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2" fontId="10" fillId="0" borderId="0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3" fontId="10" fillId="0" borderId="0" applyAlignment="1" pivotButton="0" quotePrefix="0" xfId="0">
      <alignment horizontal="general" vertical="bottom" wrapText="1"/>
    </xf>
    <xf numFmtId="4" fontId="10" fillId="0" borderId="0" applyAlignment="1" pivotButton="0" quotePrefix="0" xfId="0">
      <alignment horizontal="general" vertical="bottom" wrapText="1"/>
    </xf>
    <xf numFmtId="167" fontId="0" fillId="0" borderId="0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4" fontId="0" fillId="10" borderId="0" applyAlignment="1" pivotButton="0" quotePrefix="0" xfId="0">
      <alignment horizontal="general" vertical="bottom" wrapText="1"/>
    </xf>
    <xf numFmtId="4" fontId="0" fillId="11" borderId="0" applyAlignment="1" pivotButton="0" quotePrefix="0" xfId="0">
      <alignment horizontal="general" vertical="bottom" wrapText="1"/>
    </xf>
    <xf numFmtId="4" fontId="0" fillId="11" borderId="0" applyAlignment="1" pivotButton="0" quotePrefix="0" xfId="0">
      <alignment horizontal="general" vertical="bottom"/>
    </xf>
    <xf numFmtId="4" fontId="0" fillId="10" borderId="0" applyAlignment="1" pivotButton="0" quotePrefix="0" xfId="0">
      <alignment horizontal="general" vertical="top" wrapText="1"/>
    </xf>
    <xf numFmtId="4" fontId="0" fillId="11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3" fillId="5" borderId="19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general" vertical="bottom" wrapText="1"/>
    </xf>
    <xf numFmtId="165" fontId="0" fillId="7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general" vertical="bottom"/>
    </xf>
    <xf numFmtId="2" fontId="4" fillId="7" borderId="0" applyAlignment="1" pivotButton="0" quotePrefix="0" xfId="0">
      <alignment horizontal="general" vertical="bottom"/>
    </xf>
    <xf numFmtId="0" fontId="4" fillId="13" borderId="5" applyAlignment="1" pivotButton="0" quotePrefix="0" xfId="0">
      <alignment horizontal="general" vertical="bottom"/>
    </xf>
    <xf numFmtId="0" fontId="0" fillId="13" borderId="20" applyAlignment="1" pivotButton="0" quotePrefix="0" xfId="0">
      <alignment horizontal="general" vertical="bottom"/>
    </xf>
    <xf numFmtId="0" fontId="0" fillId="13" borderId="6" applyAlignment="1" pivotButton="0" quotePrefix="0" xfId="0">
      <alignment horizontal="general" vertical="bottom"/>
    </xf>
    <xf numFmtId="165" fontId="0" fillId="8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5" fontId="0" fillId="8" borderId="0" applyAlignment="1" pivotButton="0" quotePrefix="0" xfId="0">
      <alignment horizontal="center" vertical="bottom"/>
    </xf>
    <xf numFmtId="165" fontId="17" fillId="7" borderId="0" applyAlignment="1" pivotButton="0" quotePrefix="0" xfId="0">
      <alignment horizontal="general" vertical="bottom" wrapText="1"/>
    </xf>
    <xf numFmtId="0" fontId="15" fillId="12" borderId="0" applyAlignment="1" pivotButton="0" quotePrefix="0" xfId="0">
      <alignment horizontal="general" vertical="top"/>
    </xf>
    <xf numFmtId="165" fontId="0" fillId="7" borderId="0" applyAlignment="1" pivotButton="0" quotePrefix="0" xfId="0">
      <alignment horizontal="general" vertical="bottom" wrapText="1"/>
    </xf>
    <xf numFmtId="3" fontId="0" fillId="8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4" fontId="0" fillId="8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 wrapText="1"/>
    </xf>
    <xf numFmtId="0" fontId="0" fillId="6" borderId="7" applyAlignment="1" pivotButton="0" quotePrefix="0" xfId="0">
      <alignment horizontal="general" vertical="bottom" wrapText="1"/>
    </xf>
    <xf numFmtId="165" fontId="0" fillId="8" borderId="0" applyAlignment="1" pivotButton="0" quotePrefix="0" xfId="0">
      <alignment horizontal="right" vertical="bottom"/>
    </xf>
    <xf numFmtId="167" fontId="18" fillId="7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2" fontId="18" fillId="7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top" wrapText="1"/>
    </xf>
    <xf numFmtId="4" fontId="0" fillId="7" borderId="0" applyAlignment="1" pivotButton="0" quotePrefix="0" xfId="0">
      <alignment horizontal="general" vertical="bottom" wrapText="1"/>
    </xf>
    <xf numFmtId="4" fontId="10" fillId="7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2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general" vertical="top" wrapText="1"/>
    </xf>
    <xf numFmtId="0" fontId="2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general" vertical="bottom"/>
    </xf>
    <xf numFmtId="0" fontId="8" fillId="7" borderId="2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/>
    </xf>
    <xf numFmtId="0" fontId="8" fillId="7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164" fontId="0" fillId="0" borderId="1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top"/>
    </xf>
    <xf numFmtId="0" fontId="4" fillId="5" borderId="0" applyAlignment="1" pivotButton="0" quotePrefix="0" xfId="0">
      <alignment horizontal="center" vertical="center"/>
    </xf>
    <xf numFmtId="0" fontId="4" fillId="5" borderId="11" applyAlignment="1" pivotButton="0" quotePrefix="0" xfId="0">
      <alignment horizontal="left" vertical="bottom"/>
    </xf>
    <xf numFmtId="0" fontId="4" fillId="5" borderId="0" applyAlignment="1" pivotButton="0" quotePrefix="0" xfId="0">
      <alignment horizontal="center" vertical="bottom"/>
    </xf>
    <xf numFmtId="0" fontId="0" fillId="6" borderId="5" applyAlignment="1" pivotButton="0" quotePrefix="0" xfId="0">
      <alignment horizontal="left" vertical="top" wrapText="1"/>
    </xf>
    <xf numFmtId="4" fontId="0" fillId="8" borderId="12" applyAlignment="1" pivotButton="0" quotePrefix="0" xfId="0">
      <alignment horizontal="general" vertical="bottom"/>
    </xf>
    <xf numFmtId="4" fontId="0" fillId="9" borderId="13" applyAlignment="1" pivotButton="0" quotePrefix="0" xfId="0">
      <alignment horizontal="general" vertical="bottom"/>
    </xf>
    <xf numFmtId="0" fontId="0" fillId="0" borderId="6" applyAlignment="1" pivotButton="0" quotePrefix="0" xfId="0">
      <alignment horizontal="center" vertical="bottom" wrapText="1"/>
    </xf>
    <xf numFmtId="0" fontId="0" fillId="6" borderId="7" applyAlignment="1" pivotButton="0" quotePrefix="0" xfId="0">
      <alignment horizontal="left" vertical="center"/>
    </xf>
    <xf numFmtId="4" fontId="0" fillId="8" borderId="11" applyAlignment="1" pivotButton="0" quotePrefix="0" xfId="0">
      <alignment horizontal="general" vertical="bottom"/>
    </xf>
    <xf numFmtId="4" fontId="0" fillId="9" borderId="14" applyAlignment="1" pivotButton="0" quotePrefix="0" xfId="0">
      <alignment horizontal="general" vertical="bottom"/>
    </xf>
    <xf numFmtId="0" fontId="0" fillId="0" borderId="8" applyAlignment="1" pivotButton="0" quotePrefix="0" xfId="0">
      <alignment horizontal="center" vertical="bottom" wrapText="1"/>
    </xf>
    <xf numFmtId="0" fontId="0" fillId="6" borderId="7" applyAlignment="1" pivotButton="0" quotePrefix="0" xfId="0">
      <alignment horizontal="left" vertical="top" wrapText="1"/>
    </xf>
    <xf numFmtId="0" fontId="0" fillId="6" borderId="7" applyAlignment="1" pivotButton="0" quotePrefix="0" xfId="0">
      <alignment horizontal="general" vertical="bottom"/>
    </xf>
    <xf numFmtId="4" fontId="0" fillId="9" borderId="14" applyAlignment="1" pivotButton="0" quotePrefix="0" xfId="0">
      <alignment horizontal="general" vertical="top" wrapText="1"/>
    </xf>
    <xf numFmtId="0" fontId="0" fillId="8" borderId="11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8" borderId="11" applyAlignment="1" pivotButton="0" quotePrefix="0" xfId="0">
      <alignment horizontal="general" vertical="bottom" wrapText="1"/>
    </xf>
    <xf numFmtId="165" fontId="0" fillId="8" borderId="11" applyAlignment="1" pivotButton="0" quotePrefix="0" xfId="0">
      <alignment horizontal="general" vertical="bottom"/>
    </xf>
    <xf numFmtId="0" fontId="0" fillId="6" borderId="9" applyAlignment="1" pivotButton="0" quotePrefix="0" xfId="0">
      <alignment horizontal="left" vertical="top" wrapText="1"/>
    </xf>
    <xf numFmtId="0" fontId="0" fillId="8" borderId="15" applyAlignment="1" pivotButton="0" quotePrefix="0" xfId="0">
      <alignment horizontal="general" vertical="bottom"/>
    </xf>
    <xf numFmtId="0" fontId="0" fillId="9" borderId="16" applyAlignment="1" pivotButton="0" quotePrefix="0" xfId="0">
      <alignment horizontal="general" vertical="bottom"/>
    </xf>
    <xf numFmtId="0" fontId="0" fillId="0" borderId="10" applyAlignment="1" pivotButton="0" quotePrefix="0" xfId="0">
      <alignment horizontal="center" vertical="bottom" wrapText="1"/>
    </xf>
    <xf numFmtId="0" fontId="9" fillId="6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general" vertical="bottom"/>
    </xf>
    <xf numFmtId="0" fontId="4" fillId="6" borderId="3" applyAlignment="1" pivotButton="0" quotePrefix="0" xfId="0">
      <alignment horizontal="general" vertical="bottom" wrapText="1"/>
    </xf>
    <xf numFmtId="0" fontId="4" fillId="6" borderId="3" applyAlignment="1" pivotButton="0" quotePrefix="0" xfId="0">
      <alignment horizontal="general" vertical="top" wrapText="1"/>
    </xf>
    <xf numFmtId="4" fontId="8" fillId="7" borderId="4" applyAlignment="1" pivotButton="0" quotePrefix="0" xfId="0">
      <alignment horizontal="general" vertical="bottom"/>
    </xf>
    <xf numFmtId="166" fontId="8" fillId="7" borderId="4" applyAlignment="1" pivotButton="0" quotePrefix="0" xfId="0">
      <alignment horizontal="general" vertical="bottom"/>
    </xf>
    <xf numFmtId="0" fontId="4" fillId="6" borderId="17" applyAlignment="1" pivotButton="0" quotePrefix="0" xfId="0">
      <alignment horizontal="general" vertical="top" wrapText="1"/>
    </xf>
    <xf numFmtId="0" fontId="8" fillId="7" borderId="18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7" fontId="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/>
    </xf>
    <xf numFmtId="167" fontId="10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center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 wrapText="1"/>
    </xf>
    <xf numFmtId="2" fontId="10" fillId="0" borderId="0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3" fontId="10" fillId="0" borderId="0" applyAlignment="1" pivotButton="0" quotePrefix="0" xfId="0">
      <alignment horizontal="general" vertical="bottom" wrapText="1"/>
    </xf>
    <xf numFmtId="4" fontId="10" fillId="0" borderId="0" applyAlignment="1" pivotButton="0" quotePrefix="0" xfId="0">
      <alignment horizontal="general" vertical="bottom" wrapText="1"/>
    </xf>
    <xf numFmtId="167" fontId="0" fillId="0" borderId="0" applyAlignment="1" pivotButton="0" quotePrefix="0" xfId="0">
      <alignment horizontal="general" vertical="bottom" wrapText="1"/>
    </xf>
    <xf numFmtId="165" fontId="0" fillId="0" borderId="0" applyAlignment="1" pivotButton="0" quotePrefix="0" xfId="0">
      <alignment horizontal="general" vertical="bottom" wrapText="1"/>
    </xf>
    <xf numFmtId="4" fontId="0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4" fontId="0" fillId="10" borderId="0" applyAlignment="1" pivotButton="0" quotePrefix="0" xfId="0">
      <alignment horizontal="general" vertical="bottom" wrapText="1"/>
    </xf>
    <xf numFmtId="4" fontId="0" fillId="11" borderId="0" applyAlignment="1" pivotButton="0" quotePrefix="0" xfId="0">
      <alignment horizontal="general" vertical="bottom" wrapText="1"/>
    </xf>
    <xf numFmtId="4" fontId="0" fillId="11" borderId="0" applyAlignment="1" pivotButton="0" quotePrefix="0" xfId="0">
      <alignment horizontal="general" vertical="bottom"/>
    </xf>
    <xf numFmtId="4" fontId="0" fillId="10" borderId="0" applyAlignment="1" pivotButton="0" quotePrefix="0" xfId="0">
      <alignment horizontal="general" vertical="top" wrapText="1"/>
    </xf>
    <xf numFmtId="4" fontId="0" fillId="11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3" fillId="5" borderId="19" applyAlignment="1" pivotButton="0" quotePrefix="0" xfId="0">
      <alignment horizontal="center" vertical="center" wrapText="1"/>
    </xf>
    <xf numFmtId="0" fontId="0" fillId="0" borderId="19" pivotButton="0" quotePrefix="0" xfId="0"/>
    <xf numFmtId="0" fontId="14" fillId="6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general" vertical="bottom" wrapText="1"/>
    </xf>
    <xf numFmtId="165" fontId="0" fillId="7" borderId="0" applyAlignment="1" pivotButton="0" quotePrefix="0" xfId="0">
      <alignment horizontal="general" vertical="bottom"/>
    </xf>
    <xf numFmtId="0" fontId="4" fillId="7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general" vertical="bottom"/>
    </xf>
    <xf numFmtId="2" fontId="4" fillId="7" borderId="0" applyAlignment="1" pivotButton="0" quotePrefix="0" xfId="0">
      <alignment horizontal="general" vertical="bottom"/>
    </xf>
    <xf numFmtId="0" fontId="4" fillId="13" borderId="5" applyAlignment="1" pivotButton="0" quotePrefix="0" xfId="0">
      <alignment horizontal="general" vertical="bottom"/>
    </xf>
    <xf numFmtId="0" fontId="0" fillId="13" borderId="20" applyAlignment="1" pivotButton="0" quotePrefix="0" xfId="0">
      <alignment horizontal="general" vertical="bottom"/>
    </xf>
    <xf numFmtId="0" fontId="0" fillId="13" borderId="6" applyAlignment="1" pivotButton="0" quotePrefix="0" xfId="0">
      <alignment horizontal="general" vertical="bottom"/>
    </xf>
    <xf numFmtId="165" fontId="0" fillId="8" borderId="0" applyAlignment="1" pivotButton="0" quotePrefix="0" xfId="0">
      <alignment horizontal="general" vertical="bottom"/>
    </xf>
    <xf numFmtId="0" fontId="16" fillId="7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5" fontId="0" fillId="8" borderId="0" applyAlignment="1" pivotButton="0" quotePrefix="0" xfId="0">
      <alignment horizontal="center" vertical="bottom"/>
    </xf>
    <xf numFmtId="165" fontId="17" fillId="7" borderId="0" applyAlignment="1" pivotButton="0" quotePrefix="0" xfId="0">
      <alignment horizontal="general" vertical="bottom" wrapText="1"/>
    </xf>
    <xf numFmtId="0" fontId="15" fillId="12" borderId="0" applyAlignment="1" pivotButton="0" quotePrefix="0" xfId="0">
      <alignment horizontal="general" vertical="top"/>
    </xf>
    <xf numFmtId="165" fontId="0" fillId="7" borderId="0" applyAlignment="1" pivotButton="0" quotePrefix="0" xfId="0">
      <alignment horizontal="general" vertical="bottom" wrapText="1"/>
    </xf>
    <xf numFmtId="3" fontId="0" fillId="8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/>
    </xf>
    <xf numFmtId="4" fontId="0" fillId="8" borderId="0" applyAlignment="1" pivotButton="0" quotePrefix="0" xfId="0">
      <alignment horizontal="general" vertical="bottom"/>
    </xf>
    <xf numFmtId="0" fontId="18" fillId="7" borderId="0" applyAlignment="1" pivotButton="0" quotePrefix="0" xfId="0">
      <alignment horizontal="general" vertical="bottom" wrapText="1"/>
    </xf>
    <xf numFmtId="0" fontId="0" fillId="6" borderId="7" applyAlignment="1" pivotButton="0" quotePrefix="0" xfId="0">
      <alignment horizontal="general" vertical="bottom" wrapText="1"/>
    </xf>
    <xf numFmtId="165" fontId="0" fillId="8" borderId="0" applyAlignment="1" pivotButton="0" quotePrefix="0" xfId="0">
      <alignment horizontal="right" vertical="bottom"/>
    </xf>
    <xf numFmtId="167" fontId="18" fillId="7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 wrapText="1"/>
    </xf>
    <xf numFmtId="2" fontId="18" fillId="7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top" wrapText="1"/>
    </xf>
    <xf numFmtId="4" fontId="0" fillId="7" borderId="0" applyAlignment="1" pivotButton="0" quotePrefix="0" xfId="0">
      <alignment horizontal="general" vertical="bottom" wrapText="1"/>
    </xf>
    <xf numFmtId="4" fontId="10" fillId="7" borderId="0" applyAlignment="1" pivotButton="0" quotePrefix="0" xfId="0">
      <alignment horizontal="general" vertical="bottom" wrapText="1"/>
    </xf>
    <xf numFmtId="0" fontId="0" fillId="7" borderId="0" applyAlignment="1" pivotButton="0" quotePrefix="0" xfId="0">
      <alignment horizontal="general" vertical="bottom" wrapText="1"/>
    </xf>
    <xf numFmtId="0" fontId="2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2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center" wrapText="1"/>
    </xf>
    <xf numFmtId="0" fontId="23" fillId="0" borderId="0" applyAlignment="1" pivotButton="0" quotePrefix="0" xfId="0">
      <alignment horizontal="left" vertical="top" wrapText="1" indent="1"/>
    </xf>
    <xf numFmtId="0" fontId="24" fillId="14" borderId="0" applyAlignment="1" pivotButton="0" quotePrefix="0" xfId="0">
      <alignment horizontal="center"/>
    </xf>
    <xf numFmtId="0" fontId="25" fillId="0" borderId="0" pivotButton="0" quotePrefix="0" xfId="0"/>
    <xf numFmtId="0" fontId="26" fillId="0" borderId="0" pivotButton="0" quotePrefix="0" xfId="0"/>
    <xf numFmtId="0" fontId="27" fillId="15" borderId="0" pivotButton="0" quotePrefix="0" xfId="0"/>
    <xf numFmtId="0" fontId="0" fillId="16" borderId="0" pivotButton="0" quotePrefix="0" xfId="0"/>
    <xf numFmtId="0" fontId="28" fillId="14" borderId="21" applyAlignment="1" pivotButton="0" quotePrefix="0" xfId="0">
      <alignment horizontal="center"/>
    </xf>
    <xf numFmtId="0" fontId="28" fillId="14" borderId="0" applyAlignment="1" pivotButton="0" quotePrefix="0" xfId="0">
      <alignment horizontal="center"/>
    </xf>
    <xf numFmtId="0" fontId="0" fillId="16" borderId="21" pivotButton="0" quotePrefix="0" xfId="0"/>
    <xf numFmtId="0" fontId="0" fillId="17" borderId="21" pivotButton="0" quotePrefix="0" xfId="0"/>
    <xf numFmtId="0" fontId="0" fillId="15" borderId="21" pivotButton="0" quotePrefix="0" xfId="0"/>
    <xf numFmtId="0" fontId="27" fillId="0" borderId="0" pivotButton="0" quotePrefix="0" xfId="0"/>
    <xf numFmtId="168" fontId="8" fillId="7" borderId="2" applyAlignment="1" pivotButton="0" quotePrefix="0" xfId="0">
      <alignment horizontal="general" vertical="bottom"/>
    </xf>
    <xf numFmtId="168" fontId="8" fillId="7" borderId="4" applyAlignment="1" pivotButton="0" quotePrefix="0" xfId="0">
      <alignment horizontal="general" vertical="bottom"/>
    </xf>
    <xf numFmtId="168" fontId="0" fillId="8" borderId="12" applyAlignment="1" pivotButton="0" quotePrefix="0" xfId="0">
      <alignment horizontal="general" vertical="bottom"/>
    </xf>
    <xf numFmtId="168" fontId="0" fillId="9" borderId="13" applyAlignment="1" pivotButton="0" quotePrefix="0" xfId="0">
      <alignment horizontal="general" vertical="bottom"/>
    </xf>
    <xf numFmtId="168" fontId="0" fillId="8" borderId="11" applyAlignment="1" pivotButton="0" quotePrefix="0" xfId="0">
      <alignment horizontal="general" vertical="bottom"/>
    </xf>
    <xf numFmtId="168" fontId="0" fillId="9" borderId="14" applyAlignment="1" pivotButton="0" quotePrefix="0" xfId="0">
      <alignment horizontal="general" vertical="bottom"/>
    </xf>
    <xf numFmtId="168" fontId="0" fillId="9" borderId="14" applyAlignment="1" pivotButton="0" quotePrefix="0" xfId="0">
      <alignment horizontal="general" vertical="top" wrapText="1"/>
    </xf>
    <xf numFmtId="168" fontId="0" fillId="8" borderId="11" applyAlignment="1" pivotButton="0" quotePrefix="0" xfId="0">
      <alignment horizontal="general" vertical="bottom" wrapText="1"/>
    </xf>
    <xf numFmtId="168" fontId="8" fillId="7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8" fontId="0" fillId="0" borderId="0" pivotButton="0" quotePrefix="0" xfId="0"/>
    <xf numFmtId="168" fontId="10" fillId="0" borderId="0" applyAlignment="1" pivotButton="0" quotePrefix="0" xfId="0">
      <alignment horizontal="general" vertical="bottom"/>
    </xf>
    <xf numFmtId="168" fontId="10" fillId="0" borderId="0" applyAlignment="1" pivotButton="0" quotePrefix="0" xfId="0">
      <alignment horizontal="general" vertical="bottom" wrapText="1"/>
    </xf>
    <xf numFmtId="168" fontId="0" fillId="0" borderId="0" applyAlignment="1" pivotButton="0" quotePrefix="0" xfId="0">
      <alignment horizontal="general" vertical="bottom" wrapText="1"/>
    </xf>
    <xf numFmtId="168" fontId="12" fillId="0" borderId="0" applyAlignment="1" pivotButton="0" quotePrefix="0" xfId="0">
      <alignment horizontal="general" vertical="bottom"/>
    </xf>
    <xf numFmtId="168" fontId="0" fillId="10" borderId="0" applyAlignment="1" pivotButton="0" quotePrefix="0" xfId="0">
      <alignment horizontal="general" vertical="bottom" wrapText="1"/>
    </xf>
    <xf numFmtId="168" fontId="0" fillId="11" borderId="0" applyAlignment="1" pivotButton="0" quotePrefix="0" xfId="0">
      <alignment horizontal="general" vertical="bottom" wrapText="1"/>
    </xf>
    <xf numFmtId="168" fontId="0" fillId="11" borderId="0" applyAlignment="1" pivotButton="0" quotePrefix="0" xfId="0">
      <alignment horizontal="general" vertical="bottom"/>
    </xf>
    <xf numFmtId="168" fontId="0" fillId="10" borderId="0" applyAlignment="1" pivotButton="0" quotePrefix="0" xfId="0">
      <alignment horizontal="general" vertical="top" wrapText="1"/>
    </xf>
    <xf numFmtId="168" fontId="0" fillId="11" borderId="0" applyAlignment="1" pivotButton="0" quotePrefix="0" xfId="0">
      <alignment horizontal="general" vertical="top" wrapText="1"/>
    </xf>
    <xf numFmtId="168" fontId="0" fillId="7" borderId="0" applyAlignment="1" pivotButton="0" quotePrefix="0" xfId="0">
      <alignment horizontal="general" vertical="bottom"/>
    </xf>
    <xf numFmtId="168" fontId="4" fillId="7" borderId="0" applyAlignment="1" pivotButton="0" quotePrefix="0" xfId="0">
      <alignment horizontal="general" vertical="bottom"/>
    </xf>
    <xf numFmtId="168" fontId="16" fillId="7" borderId="0" applyAlignment="1" pivotButton="0" quotePrefix="0" xfId="0">
      <alignment horizontal="general" vertical="bottom"/>
    </xf>
    <xf numFmtId="168" fontId="17" fillId="7" borderId="0" applyAlignment="1" pivotButton="0" quotePrefix="0" xfId="0">
      <alignment horizontal="general" vertical="bottom" wrapText="1"/>
    </xf>
    <xf numFmtId="168" fontId="0" fillId="7" borderId="0" applyAlignment="1" pivotButton="0" quotePrefix="0" xfId="0">
      <alignment horizontal="general" vertical="bottom" wrapText="1"/>
    </xf>
    <xf numFmtId="168" fontId="18" fillId="7" borderId="0" applyAlignment="1" pivotButton="0" quotePrefix="0" xfId="0">
      <alignment horizontal="general" vertical="bottom"/>
    </xf>
    <xf numFmtId="168" fontId="18" fillId="7" borderId="0" applyAlignment="1" pivotButton="0" quotePrefix="0" xfId="0">
      <alignment horizontal="general" vertical="bottom" wrapText="1"/>
    </xf>
    <xf numFmtId="168" fontId="10" fillId="7" borderId="0" applyAlignment="1" pivotButton="0" quotePrefix="0" xfId="0">
      <alignment horizontal="general" vertical="bottom" wrapText="1"/>
    </xf>
    <xf numFmtId="168" fontId="0" fillId="7" borderId="0" applyAlignment="1" pivotButton="0" quotePrefix="0" xfId="0">
      <alignment horizontal="center" vertical="bottom" wrapText="1"/>
    </xf>
    <xf numFmtId="0" fontId="29" fillId="0" borderId="0" pivotButton="0" quotePrefix="0" xfId="0"/>
    <xf numFmtId="0" fontId="27" fillId="18" borderId="0" pivotButton="0" quotePrefix="0" xfId="0"/>
    <xf numFmtId="168" fontId="27" fillId="18" borderId="0" pivotButton="0" quotePrefix="0" xfId="0"/>
    <xf numFmtId="0" fontId="28" fillId="14" borderId="22" applyAlignment="1" pivotButton="0" quotePrefix="0" xfId="0">
      <alignment horizontal="center" vertical="center" wrapText="1"/>
    </xf>
    <xf numFmtId="168" fontId="28" fillId="14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168" fontId="0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27" fillId="18" borderId="22" pivotButton="0" quotePrefix="0" xfId="0"/>
    <xf numFmtId="168" fontId="27" fillId="18" borderId="22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18" borderId="0" pivotButton="0" quotePrefix="0" xfId="0"/>
    <xf numFmtId="168" fontId="0" fillId="16" borderId="22" pivotButton="0" quotePrefix="0" xfId="0"/>
    <xf numFmtId="168" fontId="0" fillId="17" borderId="22" pivotButton="0" quotePrefix="0" xfId="0"/>
    <xf numFmtId="0" fontId="28" fillId="14" borderId="22" pivotButton="0" quotePrefix="0" xfId="0"/>
    <xf numFmtId="0" fontId="0" fillId="17" borderId="22" pivotButton="0" quotePrefix="0" xfId="0"/>
    <xf numFmtId="0" fontId="0" fillId="16" borderId="22" pivotButton="0" quotePrefix="0" xfId="0"/>
    <xf numFmtId="0" fontId="28" fillId="14" borderId="22" applyAlignment="1" pivotButton="0" quotePrefix="0" xfId="0">
      <alignment horizontal="center"/>
    </xf>
    <xf numFmtId="0" fontId="0" fillId="0" borderId="22" pivotButton="0" quotePrefix="0" xfId="0"/>
    <xf numFmtId="168" fontId="0" fillId="0" borderId="22" pivotButton="0" quotePrefix="0" xfId="0"/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F_FAIL" xfId="6"/>
    <cellStyle name="CF_INFO" xfId="7"/>
    <cellStyle name="CF_PASS" xfId="8"/>
  </cellStyles>
  <dxfs count="3">
    <dxf>
      <font>
        <name val="Arial"/>
        <charset val="1"/>
        <family val="2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2"/>
        <b val="1"/>
      </font>
      <fill>
        <patternFill>
          <bgColor rgb="FFFFC7CE"/>
        </patternFill>
      </fill>
    </dxf>
    <dxf>
      <font>
        <name val="Arial"/>
        <charset val="1"/>
        <family val="2"/>
        <color rgb="FF492300"/>
      </font>
      <fill>
        <patternFill>
          <bgColor rgb="FFFFE69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FE699"/>
      <rgbColor rgb="FF808080"/>
      <rgbColor rgb="FF9999FF"/>
      <rgbColor rgb="FF993366"/>
      <rgbColor rgb="FFFFF5CE"/>
      <rgbColor rgb="FFEAF1FB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E8F2A1"/>
      <rgbColor rgb="FFFFF2CC"/>
      <rgbColor rgb="FFFF99CC"/>
      <rgbColor rgb="FFCC99FF"/>
      <rgbColor rgb="FFFFC7CE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92300"/>
      <rgbColor rgb="FF993300"/>
      <rgbColor rgb="FF993366"/>
      <rgbColor rgb="FF1F4E78"/>
      <rgbColor rgb="FF1C1C1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3"/>
  <sheetViews>
    <sheetView showFormulas="0" showGridLines="1" showRowColHeaders="1" showZeros="1" rightToLeft="0" tabSelected="0" showOutlineSymbols="1" defaultGridColor="1" view="normal" topLeftCell="A10" colorId="64" zoomScale="95" zoomScaleNormal="95" zoomScalePageLayoutView="100" workbookViewId="0">
      <selection pane="topLeft" activeCell="B44" activeCellId="0" sqref="B44"/>
    </sheetView>
  </sheetViews>
  <sheetFormatPr baseColWidth="8" defaultColWidth="11.5703125" defaultRowHeight="12.75" customHeight="1" zeroHeight="0" outlineLevelRow="0"/>
  <cols>
    <col width="23.48" customWidth="1" style="116" min="1" max="1"/>
    <col width="23.67" customWidth="1" style="116" min="5" max="5"/>
    <col width="19.69" customWidth="1" style="116" min="7" max="7"/>
    <col width="17.25" customWidth="1" style="116" min="8" max="8"/>
  </cols>
  <sheetData>
    <row r="1" ht="12.75" customHeight="1" s="117">
      <c r="A1" s="118" t="inlineStr">
        <is>
          <t>STORMWATER PUMP STATION SIZING (PRELIMINARY)</t>
        </is>
      </c>
    </row>
    <row r="2" ht="12.75" customHeight="1" s="117">
      <c r="A2" s="119" t="inlineStr">
        <is>
          <t>Surface_m2</t>
        </is>
      </c>
      <c r="B2" s="241" t="n">
        <v>7800</v>
      </c>
    </row>
    <row r="3" ht="12.75" customHeight="1" s="117">
      <c r="A3" s="121" t="inlineStr">
        <is>
          <t>Surface_ha</t>
        </is>
      </c>
      <c r="B3" s="242">
        <f>B2/10000</f>
        <v/>
      </c>
      <c r="J3" s="123" t="inlineStr">
        <is>
          <t>Projet: 1792</t>
        </is>
      </c>
      <c r="K3" s="124" t="n"/>
    </row>
    <row r="4" ht="12.75" customHeight="1" s="117">
      <c r="A4" s="121" t="inlineStr">
        <is>
          <t>Coeff_ruissellement_C</t>
        </is>
      </c>
      <c r="B4" s="242" t="n">
        <v>0.4</v>
      </c>
      <c r="J4" s="125" t="inlineStr">
        <is>
          <t>Location: Métabetchouan</t>
        </is>
      </c>
      <c r="K4" s="126" t="n"/>
    </row>
    <row r="5" ht="12.75" customHeight="1" s="117">
      <c r="A5" s="121" t="inlineStr">
        <is>
          <t>IDF_a</t>
        </is>
      </c>
      <c r="B5" s="242" t="n">
        <v>4156.21</v>
      </c>
      <c r="J5" s="127" t="inlineStr">
        <is>
          <t>Date:</t>
        </is>
      </c>
      <c r="K5" s="128">
        <f>TODAY()</f>
        <v/>
      </c>
    </row>
    <row r="6" ht="12.75" customHeight="1" s="117">
      <c r="A6" s="121" t="inlineStr">
        <is>
          <t>IDF_b</t>
        </is>
      </c>
      <c r="B6" s="242" t="n">
        <v>15.1</v>
      </c>
    </row>
    <row r="7" ht="12.75" customHeight="1" s="117">
      <c r="A7" s="121" t="inlineStr">
        <is>
          <t>IDF_c</t>
        </is>
      </c>
      <c r="B7" s="242" t="n">
        <v>1.026</v>
      </c>
      <c r="E7" s="129" t="inlineStr">
        <is>
          <t>VÉRIFICATIONS DE CONCEPTION (MODÈLE vs LIMITES)</t>
        </is>
      </c>
    </row>
    <row r="8" ht="12.75" customHeight="1" s="117">
      <c r="A8" s="121" t="inlineStr">
        <is>
          <t>Pas_temps_min</t>
        </is>
      </c>
      <c r="B8" s="242" t="n">
        <v>5</v>
      </c>
      <c r="E8" s="130" t="inlineStr">
        <is>
          <t xml:space="preserve"> Indicateur</t>
        </is>
      </c>
      <c r="F8" s="131" t="inlineStr">
        <is>
          <t>Valeur du modèle</t>
        </is>
      </c>
      <c r="G8" s="132" t="inlineStr">
        <is>
          <t>Limite de conception</t>
        </is>
      </c>
      <c r="H8" s="132" t="inlineStr">
        <is>
          <t xml:space="preserve"> Statut</t>
        </is>
      </c>
    </row>
    <row r="9" ht="12.75" customHeight="1" s="117">
      <c r="A9" s="121" t="inlineStr">
        <is>
          <t>Pas_temps_sec</t>
        </is>
      </c>
      <c r="B9" s="242">
        <f>B8*60</f>
        <v/>
      </c>
      <c r="E9" s="133" t="inlineStr">
        <is>
          <t>S1_Stormbrixx max (m³)</t>
        </is>
      </c>
      <c r="F9" s="243">
        <f>MAX(Routing!$D$2:INDEX(Routing!$D:$D,Inputs!$B$53+2))</f>
        <v/>
      </c>
      <c r="G9" s="244">
        <f>B30</f>
        <v/>
      </c>
      <c r="H9" s="136">
        <f>IF(F9&lt;=G9,"PASS","FAIL")</f>
        <v/>
      </c>
    </row>
    <row r="10" ht="12.75" customHeight="1" s="117">
      <c r="A10" s="121" t="inlineStr">
        <is>
          <t>Radier_bassin_m</t>
        </is>
      </c>
      <c r="B10" s="242" t="n">
        <v>102.7</v>
      </c>
      <c r="E10" s="137" t="inlineStr">
        <is>
          <t>Niveau WL1 max (WL1 = niveau d’eau)</t>
        </is>
      </c>
      <c r="F10" s="245">
        <f>MAX(Routing!$E$2:INDEX(Routing!$E:$E,Inputs!$B$53+2))</f>
        <v/>
      </c>
      <c r="G10" s="246" t="n">
        <v>104.2</v>
      </c>
      <c r="H10" s="140">
        <f>IF(F10&lt;=G10,"PASS","FAIL")</f>
        <v/>
      </c>
    </row>
    <row r="11" ht="12.75" customHeight="1" s="117">
      <c r="A11" s="121" t="inlineStr">
        <is>
          <t>Radier_exutoire_m</t>
        </is>
      </c>
      <c r="B11" s="242" t="n">
        <v>103.32</v>
      </c>
      <c r="E11" s="141" t="inlineStr">
        <is>
          <t>Volume total de surverse Q_overflow1</t>
        </is>
      </c>
      <c r="F11" s="245">
        <f>SUM(Routing!$G$2:INDEX(Routing!$G:$G,Inputs!$B$53+2))*Inputs!$B$9</f>
        <v/>
      </c>
      <c r="G11" s="246" t="n">
        <v>0</v>
      </c>
      <c r="H11" s="140">
        <f>IF(F11&lt;=G11,"PASS","FAIL")</f>
        <v/>
      </c>
    </row>
    <row r="12" ht="12.75" customHeight="1" s="117">
      <c r="A12" s="121" t="inlineStr">
        <is>
          <t>Niveau_eau_ruisseau_m</t>
        </is>
      </c>
      <c r="B12" s="242" t="n">
        <v>103.32</v>
      </c>
      <c r="E12" s="142" t="inlineStr">
        <is>
          <t>S2_puisard max (m³)</t>
        </is>
      </c>
      <c r="F12" s="245">
        <f>MAX(Routing!$H$2:INDEX(Routing!$H:$H,Inputs!$B$53+2))</f>
        <v/>
      </c>
      <c r="G12" s="247">
        <f>B44</f>
        <v/>
      </c>
      <c r="H12" s="140">
        <f>IF(F12&lt;=G12,"PASS","FAIL")</f>
        <v/>
      </c>
    </row>
    <row r="13" ht="12.75" customHeight="1" s="117">
      <c r="A13" s="121" t="inlineStr">
        <is>
          <t>Debit_unitaire_pompe_m3s</t>
        </is>
      </c>
      <c r="B13" s="242">
        <f>B49</f>
        <v/>
      </c>
      <c r="E13" s="142" t="inlineStr">
        <is>
          <t>Niveau WL2 max</t>
        </is>
      </c>
      <c r="F13" s="245">
        <f>MAX(Routing!$J$2:INDEX(Routing!$J:$J,Inputs!$B$53+2))</f>
        <v/>
      </c>
      <c r="G13" s="246" t="n">
        <v>104</v>
      </c>
      <c r="H13" s="140">
        <f>IF(F13&lt;=G13,"PASS","FAIL")</f>
        <v/>
      </c>
    </row>
    <row r="14" ht="12.75" customHeight="1" s="117">
      <c r="A14" s="121" t="inlineStr">
        <is>
          <t>Pompes_en_service</t>
        </is>
      </c>
      <c r="B14" s="242" t="n">
        <v>1</v>
      </c>
      <c r="E14" s="142" t="inlineStr">
        <is>
          <t>Volume total de surverse Q_overflow2</t>
        </is>
      </c>
      <c r="F14" s="245">
        <f>SUM(Routing!$I$2:INDEX(Routing!$I:$I,Inputs!$B$53+2))*Inputs!$B$9</f>
        <v/>
      </c>
      <c r="G14" s="246" t="n">
        <v>0</v>
      </c>
      <c r="H14" s="140">
        <f>IF(F14&lt;=G14,"PASS","FAIL")</f>
        <v/>
      </c>
    </row>
    <row r="15" ht="12.75" customHeight="1" s="117">
      <c r="A15" s="121" t="inlineStr">
        <is>
          <t>Longueur_conduite_refoulement_m</t>
        </is>
      </c>
      <c r="B15" s="242" t="n">
        <v>31.5</v>
      </c>
      <c r="E15" s="141" t="inlineStr">
        <is>
          <t>Nombre total de démarrages (CumStarts final)</t>
        </is>
      </c>
      <c r="F15" s="245">
        <f>Routing!$O$205</f>
        <v/>
      </c>
      <c r="G15" s="246" t="n"/>
      <c r="H15" s="140">
        <f>IF(G15="","INFO",IF(F15&lt;=G15,"PASS","FAIL"))</f>
        <v/>
      </c>
    </row>
    <row r="16" ht="12.75" customHeight="1" s="117">
      <c r="A16" s="121" t="inlineStr">
        <is>
          <t>Diametre_conduite_refoulement_m</t>
        </is>
      </c>
      <c r="B16" s="242" t="n">
        <v>0.2</v>
      </c>
      <c r="E16" s="141" t="inlineStr">
        <is>
          <t xml:space="preserve"> Démarrages/heure</t>
        </is>
      </c>
      <c r="F16" s="248">
        <f>Routing!$O$207</f>
        <v/>
      </c>
      <c r="G16" s="246" t="n">
        <v>10</v>
      </c>
      <c r="H16" s="140">
        <f>IF(F16&lt;=G16,"PASS","FAIL")</f>
        <v/>
      </c>
    </row>
    <row r="17" ht="12.75" customHeight="1" s="117">
      <c r="A17" s="121" t="inlineStr">
        <is>
          <t>Coeff_HazenC</t>
        </is>
      </c>
      <c r="B17" s="242" t="n">
        <v>130</v>
      </c>
      <c r="E17" s="141" t="inlineStr">
        <is>
          <t>Débit maximal de pompage utilisé</t>
        </is>
      </c>
      <c r="F17" s="245">
        <f>MAX(Routing!$M$2:INDEX(Routing!$M:$M,MIN(200,Inputs!$B$53+2)))</f>
        <v/>
      </c>
      <c r="G17" s="246">
        <f>B13*B14</f>
        <v/>
      </c>
      <c r="H17" s="140">
        <f>IF(F17&lt;=G17,"PASS","FAIL")</f>
        <v/>
      </c>
    </row>
    <row r="18" ht="12.75" customHeight="1" s="117">
      <c r="A18" s="121" t="inlineStr">
        <is>
          <t>Coeff_pertes_singulieres_K_total</t>
        </is>
      </c>
      <c r="B18" s="242">
        <f>IFERROR(INDEX(Pertes_singulieres_detail!$K$10:$K$40,MATCH("S5",Pertes_singulieres_detail!$A$10:$A$40,0)),0)</f>
        <v/>
      </c>
      <c r="E18" s="142" t="n"/>
      <c r="F18" s="144" t="n"/>
      <c r="G18" s="145" t="n"/>
      <c r="H18" s="126" t="n"/>
    </row>
    <row r="19" ht="12.75" customHeight="1" s="117">
      <c r="A19" s="121" t="inlineStr">
        <is>
          <t>Niveau_marche_pompe_m</t>
        </is>
      </c>
      <c r="B19" s="242" t="n">
        <v>103.4</v>
      </c>
      <c r="C19" s="116" t="n">
        <v>102.8</v>
      </c>
      <c r="E19" s="148" t="inlineStr">
        <is>
          <t>Statut global</t>
        </is>
      </c>
      <c r="F19" s="149" t="n"/>
      <c r="G19" s="150" t="n"/>
      <c r="H19" s="151">
        <f>IF(COUNTIF(H9:H17,"FAIL")&gt;0,"FAIL","PASS")</f>
        <v/>
      </c>
    </row>
    <row r="20" ht="12.75" customHeight="1" s="117">
      <c r="A20" s="121" t="inlineStr">
        <is>
          <t>Niveau_arret_pompe_m</t>
        </is>
      </c>
      <c r="B20" s="242" t="n">
        <v>102.8</v>
      </c>
      <c r="C20" s="116" t="n">
        <v>103.4</v>
      </c>
    </row>
    <row r="21" ht="12.75" customHeight="1" s="117">
      <c r="A21" s="152" t="inlineStr">
        <is>
          <t>Surface_plan_bassin_m2</t>
        </is>
      </c>
      <c r="B21" s="242" t="n">
        <v>130</v>
      </c>
    </row>
    <row r="22" ht="12.75" customHeight="1" s="117">
      <c r="A22" s="121" t="inlineStr">
        <is>
          <t>Taux_vide_StormBrixx</t>
        </is>
      </c>
      <c r="B22" s="242" t="n">
        <v>0.9</v>
      </c>
      <c r="G22" s="153" t="inlineStr">
        <is>
          <t xml:space="preserve">V_reconstructed_from_area_depth_m3 </t>
        </is>
      </c>
      <c r="H22" s="116">
        <f>B30*B32</f>
        <v/>
      </c>
    </row>
    <row r="23" ht="13.55" customHeight="1" s="117">
      <c r="A23" s="121" t="n"/>
      <c r="B23" s="122" t="n"/>
      <c r="G23" s="116" t="inlineStr">
        <is>
          <t>DeltaV_m3</t>
        </is>
      </c>
      <c r="H23" s="116">
        <f>H22-B30</f>
        <v/>
      </c>
    </row>
    <row r="24" ht="12.75" customHeight="1" s="117">
      <c r="A24" s="121" t="n"/>
      <c r="B24" s="122" t="n"/>
      <c r="H24" s="154">
        <f>IF(ABS(H23)&lt;=0.01,"PASS","FAIL")</f>
        <v/>
      </c>
    </row>
    <row r="25" ht="12.75" customHeight="1" s="117">
      <c r="A25" s="121" t="n"/>
      <c r="B25" s="122" t="n"/>
    </row>
    <row r="26" ht="12.75" customHeight="1" s="117">
      <c r="A26" s="121" t="n"/>
      <c r="B26" s="122" t="n"/>
      <c r="G26" s="116" t="inlineStr">
        <is>
          <t>Effective volume per block</t>
        </is>
      </c>
      <c r="H26" s="116">
        <f>0.8*0.8*0.66*B22</f>
        <v/>
      </c>
    </row>
    <row r="27" ht="12.75" customHeight="1" s="117">
      <c r="A27" s="121" t="n"/>
      <c r="B27" s="122" t="n"/>
      <c r="H27" s="155">
        <f>B30/H26</f>
        <v/>
      </c>
    </row>
    <row r="28" ht="12.75" customHeight="1" s="117">
      <c r="A28" s="121" t="n"/>
      <c r="B28" s="122" t="n"/>
      <c r="H28" s="116">
        <f>ROUND(H27,0)</f>
        <v/>
      </c>
    </row>
    <row r="29" ht="12.75" customHeight="1" s="117">
      <c r="A29" s="121" t="n"/>
      <c r="B29" s="122" t="n"/>
      <c r="H29" s="155">
        <f>H28*H26</f>
        <v/>
      </c>
    </row>
    <row r="30" ht="12.75" customHeight="1" s="117">
      <c r="A30" s="156" t="inlineStr">
        <is>
          <t>Stormbrixx_Vmax_m3</t>
        </is>
      </c>
      <c r="B30" s="242" t="n">
        <v>139</v>
      </c>
      <c r="H30" s="155">
        <f>H29-B30</f>
        <v/>
      </c>
    </row>
    <row r="31" ht="12.75" customHeight="1" s="117">
      <c r="A31" s="156" t="inlineStr">
        <is>
          <t>Stormbrixx_invert_m</t>
        </is>
      </c>
      <c r="B31" s="242" t="n">
        <v>102.7</v>
      </c>
    </row>
    <row r="32" ht="12.75" customHeight="1" s="117">
      <c r="A32" s="157" t="inlineStr">
        <is>
          <t>Stormbrixx_effective_depth_m</t>
        </is>
      </c>
      <c r="B32" s="242" t="n">
        <v>1.32</v>
      </c>
    </row>
    <row r="33" ht="12.75" customHeight="1" s="117">
      <c r="A33" s="156" t="inlineStr">
        <is>
          <t>Stormbrixx_eq_area_m2</t>
        </is>
      </c>
      <c r="B33" s="242">
        <f>B30/B32</f>
        <v/>
      </c>
    </row>
    <row r="34" ht="12.75" customHeight="1" s="117">
      <c r="A34" s="156" t="inlineStr">
        <is>
          <t>Orifice_d_m</t>
        </is>
      </c>
      <c r="B34" s="242" t="n">
        <v>0.11</v>
      </c>
    </row>
    <row r="35" ht="12.75" customHeight="1" s="117">
      <c r="A35" s="156" t="inlineStr">
        <is>
          <t>Cd_orifice</t>
        </is>
      </c>
      <c r="B35" s="242" t="n">
        <v>0.62</v>
      </c>
    </row>
    <row r="36" ht="12.75" customHeight="1" s="117">
      <c r="A36" s="156" t="inlineStr">
        <is>
          <t>Orifice_area_m2</t>
        </is>
      </c>
      <c r="B36" s="242">
        <f>PI()*B34^2/4</f>
        <v/>
      </c>
    </row>
    <row r="37" ht="12.75" customHeight="1" s="117">
      <c r="A37" s="156" t="inlineStr">
        <is>
          <t>g</t>
        </is>
      </c>
      <c r="B37" s="242" t="n">
        <v>9.81</v>
      </c>
    </row>
    <row r="38" ht="12.75" customHeight="1" s="117">
      <c r="A38" s="121" t="n"/>
      <c r="B38" s="122" t="n"/>
    </row>
    <row r="39" ht="12.75" customHeight="1" s="117">
      <c r="A39" s="121" t="inlineStr">
        <is>
          <t>Wetwell_top_level_m</t>
        </is>
      </c>
      <c r="B39" s="242">
        <f>MAX(B45,B46)+0.30</f>
        <v/>
      </c>
      <c r="C39" s="116" t="inlineStr">
        <is>
          <t>m</t>
        </is>
      </c>
      <c r="D39" s="116" t="inlineStr">
        <is>
          <t>Niveau de référence du puits (couvercle/limite utile). Ajustable. Par défaut: max niveau marche/arrêt + 0.30 m.</t>
        </is>
      </c>
    </row>
    <row r="40" ht="12.75" customHeight="1" s="117">
      <c r="A40" s="156" t="inlineStr">
        <is>
          <t>Wetwell_invert_m</t>
        </is>
      </c>
      <c r="B40" s="242" t="n">
        <v>101.5</v>
      </c>
      <c r="C40" s="116" t="n">
        <v>102.5</v>
      </c>
      <c r="D40" s="116" t="n">
        <v>101</v>
      </c>
    </row>
    <row r="41" ht="12.75" customHeight="1" s="117">
      <c r="A41" s="156" t="inlineStr">
        <is>
          <t>Wetwell_diameter_m</t>
        </is>
      </c>
      <c r="B41" s="242" t="n">
        <v>2.8</v>
      </c>
      <c r="C41" s="116" t="n">
        <v>3</v>
      </c>
      <c r="D41" s="116" t="n">
        <v>2</v>
      </c>
    </row>
    <row r="42" ht="12.75" customHeight="1" s="117">
      <c r="A42" s="156" t="inlineStr">
        <is>
          <t>Wetwell_area_m2</t>
        </is>
      </c>
      <c r="B42" s="242">
        <f>PI()*B41^2/4</f>
        <v/>
      </c>
    </row>
    <row r="43" ht="12.75" customHeight="1" s="117">
      <c r="A43" s="121" t="inlineStr">
        <is>
          <t>Wetwell_total_depth_m</t>
        </is>
      </c>
      <c r="B43" s="242">
        <f>MAX(0,B39-B40)</f>
        <v/>
      </c>
      <c r="C43" s="116" t="inlineStr">
        <is>
          <t>m</t>
        </is>
      </c>
      <c r="D43" s="116" t="inlineStr">
        <is>
          <t>Profondeur utile calculée = Wetwell_top_level_m - Wetwell_invert_m.</t>
        </is>
      </c>
    </row>
    <row r="44" ht="12.75" customHeight="1" s="117">
      <c r="A44" s="121" t="inlineStr">
        <is>
          <t>S2_max_wetwell_m3</t>
        </is>
      </c>
      <c r="B44" s="242">
        <f>B42*B43</f>
        <v/>
      </c>
    </row>
    <row r="45" ht="12.75" customHeight="1" s="117">
      <c r="A45" s="157" t="inlineStr">
        <is>
          <t>Pump_ON_1_m</t>
        </is>
      </c>
      <c r="B45" s="242" t="n">
        <v>102</v>
      </c>
      <c r="E45" s="116" t="n">
        <v>103.1</v>
      </c>
    </row>
    <row r="46" ht="12.75" customHeight="1" s="117">
      <c r="A46" s="157" t="inlineStr">
        <is>
          <t>Pump_OFF_1_m</t>
        </is>
      </c>
      <c r="B46" s="242" t="n">
        <v>102.6</v>
      </c>
      <c r="E46" s="116" t="n">
        <v>102.74</v>
      </c>
    </row>
    <row r="47" ht="12.75" customHeight="1" s="117">
      <c r="A47" s="157" t="inlineStr">
        <is>
          <t>Pump_ON_2_m</t>
        </is>
      </c>
      <c r="B47" s="242" t="n">
        <v>999</v>
      </c>
    </row>
    <row r="48" ht="12.75" customHeight="1" s="117">
      <c r="A48" s="156" t="inlineStr">
        <is>
          <t>Pump_OFF_2_m</t>
        </is>
      </c>
      <c r="B48" s="242" t="n">
        <v>998</v>
      </c>
    </row>
    <row r="49" ht="12.75" customHeight="1" s="117">
      <c r="A49" s="160" t="inlineStr">
        <is>
          <t>Q_pump_each_m3s</t>
        </is>
      </c>
      <c r="B49" s="249" t="n">
        <v>0.039</v>
      </c>
    </row>
    <row r="50">
      <c r="A50" s="116" t="inlineStr">
        <is>
          <t>Q_jelly_cap_m3s</t>
        </is>
      </c>
      <c r="B50" s="250">
        <f>B49</f>
        <v/>
      </c>
    </row>
    <row r="51">
      <c r="A51" s="116" t="inlineStr">
        <is>
          <t>Rendement_retour_jelly</t>
        </is>
      </c>
      <c r="B51" s="250" t="n">
        <v>1</v>
      </c>
    </row>
    <row r="52">
      <c r="A52" s="116" t="inlineStr">
        <is>
          <t>Duree_hyetographe_min</t>
        </is>
      </c>
      <c r="B52" s="251">
        <f>IFERROR(Analyse_duree!$B$2,60)</f>
        <v/>
      </c>
    </row>
    <row r="53">
      <c r="A53" s="116" t="inlineStr">
        <is>
          <t>Nb_pas_hyetographe</t>
        </is>
      </c>
      <c r="B53" s="251">
        <f>ROUNDUP(B52/B8,0)</f>
        <v/>
      </c>
    </row>
  </sheetData>
  <mergeCells count="2">
    <mergeCell ref="E7:G7"/>
    <mergeCell ref="A1:L1"/>
  </mergeCells>
  <conditionalFormatting sqref="H9:H17 H19">
    <cfRule type="expression" rank="0" priority="2" equalAverage="0" aboveAverage="0" dxfId="0" text="" percent="0" bottom="0">
      <formula>UPPER(TRIM($H9))="PASS"</formula>
    </cfRule>
    <cfRule type="expression" rank="0" priority="3" equalAverage="0" aboveAverage="0" dxfId="1" text="" percent="0" bottom="0">
      <formula>UPPER(TRIM($H9))="FAIL"</formula>
    </cfRule>
    <cfRule type="expression" rank="0" priority="4" equalAverage="0" aboveAverage="0" dxfId="2" text="" percent="0" bottom="0">
      <formula>UPPER(TRIM($H9))="INFO"</formula>
    </cfRule>
  </conditionalFormatting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C8" activeCellId="0" sqref="C8"/>
    </sheetView>
  </sheetViews>
  <sheetFormatPr baseColWidth="8" defaultColWidth="11.5703125" defaultRowHeight="12.75" customHeight="1" zeroHeight="0" outlineLevelRow="0"/>
  <cols>
    <col width="11.71" customWidth="1" style="116" min="10" max="10"/>
  </cols>
  <sheetData>
    <row r="1" ht="12.75" customHeight="1" s="117">
      <c r="A1" s="116" t="inlineStr">
        <is>
          <t xml:space="preserve"> Durée_min</t>
        </is>
      </c>
      <c r="B1" s="116" t="inlineStr">
        <is>
          <t>Intensité_mmh</t>
        </is>
      </c>
      <c r="C1" s="116" t="inlineStr">
        <is>
          <t>Lame_cumulée_mm</t>
        </is>
      </c>
      <c r="D1" s="116" t="inlineStr">
        <is>
          <t>Lame_incrementale_mm</t>
        </is>
      </c>
      <c r="E1" s="162" t="inlineStr">
        <is>
          <t xml:space="preserve">Rang </t>
        </is>
      </c>
      <c r="F1" s="162" t="inlineStr">
        <is>
          <t xml:space="preserve">Position </t>
        </is>
      </c>
      <c r="H1" s="116" t="inlineStr">
        <is>
          <t xml:space="preserve"> Indice_chronologique</t>
        </is>
      </c>
      <c r="I1" s="116" t="inlineStr">
        <is>
          <t>Lame_bloc_mm</t>
        </is>
      </c>
      <c r="J1" s="116" t="inlineStr">
        <is>
          <t>Intensité_bloc_mmh</t>
        </is>
      </c>
      <c r="K1" s="116" t="inlineStr">
        <is>
          <t>Temps_min</t>
        </is>
      </c>
    </row>
    <row r="2" ht="12.75" customHeight="1" s="117">
      <c r="A2" s="116">
        <f>Inputs!$B$8</f>
        <v/>
      </c>
      <c r="B2" s="250">
        <f>Inputs!$B$5/((A2+Inputs!$B$6)^Inputs!$B$7)</f>
        <v/>
      </c>
      <c r="C2" s="252">
        <f>B2*A2/60</f>
        <v/>
      </c>
      <c r="D2" s="253">
        <f>IF(A2&lt;=Inputs!$B$52,C2-IF(ROW()=2,0,C1),"")</f>
        <v/>
      </c>
      <c r="E2" s="166">
        <f>IF(D2="","",COUNTIF($D$2:$D$37,"&gt;"&amp;D2)+COUNTIF($D$2:D2,D2))</f>
        <v/>
      </c>
      <c r="F2" s="166">
        <f>IF(E2="","",IF(E2=1,ROUNDUP(Inputs!$B$53/2,0),IF(MOD(E2,2)=0,ROUNDUP(Inputs!$B$53/2,0)+E2/2,ROUNDUP(Inputs!$B$53/2,0)-(E2-1)/2)))</f>
        <v/>
      </c>
      <c r="H2" s="116" t="n">
        <v>1</v>
      </c>
      <c r="I2" s="253">
        <f>IF(H2&lt;=Inputs!$B$53,IFERROR(INDEX($D$2:$D$37,MATCH(H2,$F$2:$F$37,0)),0),0)</f>
        <v/>
      </c>
      <c r="J2" s="253">
        <f>IF(H2&lt;=Inputs!$B$53,I2*60/Inputs!$B$8,0)</f>
        <v/>
      </c>
      <c r="K2" s="166">
        <f>H2*Inputs!$B$8</f>
        <v/>
      </c>
    </row>
    <row r="3" ht="12.75" customHeight="1" s="117">
      <c r="A3" s="116">
        <f>A2+Inputs!$B$8</f>
        <v/>
      </c>
      <c r="B3" s="250">
        <f>Inputs!$B$5/((A3+Inputs!$B$6)^Inputs!$B$7)</f>
        <v/>
      </c>
      <c r="C3" s="252">
        <f>B3*A3/60</f>
        <v/>
      </c>
      <c r="D3" s="253">
        <f>IF(A3&lt;=Inputs!$B$52,C3-IF(ROW()=2,0,C2),"")</f>
        <v/>
      </c>
      <c r="E3" s="166">
        <f>IF(D3="","",COUNTIF($D$2:$D$37,"&gt;"&amp;D3)+COUNTIF($D$2:D3,D3))</f>
        <v/>
      </c>
      <c r="F3" s="166">
        <f>IF(E3="","",IF(E3=1,ROUNDUP(Inputs!$B$53/2,0),IF(MOD(E3,2)=0,ROUNDUP(Inputs!$B$53/2,0)+E3/2,ROUNDUP(Inputs!$B$53/2,0)-(E3-1)/2)))</f>
        <v/>
      </c>
      <c r="H3" s="116" t="n">
        <v>2</v>
      </c>
      <c r="I3" s="253">
        <f>IF(H3&lt;=Inputs!$B$53,IFERROR(INDEX($D$2:$D$37,MATCH(H3,$F$2:$F$37,0)),0),0)</f>
        <v/>
      </c>
      <c r="J3" s="253">
        <f>IF(H3&lt;=Inputs!$B$53,I3*60/Inputs!$B$8,0)</f>
        <v/>
      </c>
      <c r="K3" s="166">
        <f>H3*Inputs!$B$8</f>
        <v/>
      </c>
    </row>
    <row r="4" ht="12.75" customHeight="1" s="117">
      <c r="A4" s="116">
        <f>A3+Inputs!$B$8</f>
        <v/>
      </c>
      <c r="B4" s="250">
        <f>Inputs!$B$5/((A4+Inputs!$B$6)^Inputs!$B$7)</f>
        <v/>
      </c>
      <c r="C4" s="252">
        <f>B4*A4/60</f>
        <v/>
      </c>
      <c r="D4" s="253">
        <f>IF(A4&lt;=Inputs!$B$52,C4-IF(ROW()=2,0,C3),"")</f>
        <v/>
      </c>
      <c r="E4" s="166">
        <f>IF(D4="","",COUNTIF($D$2:$D$37,"&gt;"&amp;D4)+COUNTIF($D$2:D4,D4))</f>
        <v/>
      </c>
      <c r="F4" s="166">
        <f>IF(E4="","",IF(E4=1,ROUNDUP(Inputs!$B$53/2,0),IF(MOD(E4,2)=0,ROUNDUP(Inputs!$B$53/2,0)+E4/2,ROUNDUP(Inputs!$B$53/2,0)-(E4-1)/2)))</f>
        <v/>
      </c>
      <c r="H4" s="116" t="n">
        <v>3</v>
      </c>
      <c r="I4" s="253">
        <f>IF(H4&lt;=Inputs!$B$53,IFERROR(INDEX($D$2:$D$37,MATCH(H4,$F$2:$F$37,0)),0),0)</f>
        <v/>
      </c>
      <c r="J4" s="253">
        <f>IF(H4&lt;=Inputs!$B$53,I4*60/Inputs!$B$8,0)</f>
        <v/>
      </c>
      <c r="K4" s="166">
        <f>H4*Inputs!$B$8</f>
        <v/>
      </c>
    </row>
    <row r="5" ht="12.75" customHeight="1" s="117">
      <c r="A5" s="116">
        <f>A4+Inputs!$B$8</f>
        <v/>
      </c>
      <c r="B5" s="250">
        <f>Inputs!$B$5/((A5+Inputs!$B$6)^Inputs!$B$7)</f>
        <v/>
      </c>
      <c r="C5" s="252">
        <f>B5*A5/60</f>
        <v/>
      </c>
      <c r="D5" s="253">
        <f>IF(A5&lt;=Inputs!$B$52,C5-IF(ROW()=2,0,C4),"")</f>
        <v/>
      </c>
      <c r="E5" s="166">
        <f>IF(D5="","",COUNTIF($D$2:$D$37,"&gt;"&amp;D5)+COUNTIF($D$2:D5,D5))</f>
        <v/>
      </c>
      <c r="F5" s="166">
        <f>IF(E5="","",IF(E5=1,ROUNDUP(Inputs!$B$53/2,0),IF(MOD(E5,2)=0,ROUNDUP(Inputs!$B$53/2,0)+E5/2,ROUNDUP(Inputs!$B$53/2,0)-(E5-1)/2)))</f>
        <v/>
      </c>
      <c r="H5" s="116" t="n">
        <v>4</v>
      </c>
      <c r="I5" s="253">
        <f>IF(H5&lt;=Inputs!$B$53,IFERROR(INDEX($D$2:$D$37,MATCH(H5,$F$2:$F$37,0)),0),0)</f>
        <v/>
      </c>
      <c r="J5" s="253">
        <f>IF(H5&lt;=Inputs!$B$53,I5*60/Inputs!$B$8,0)</f>
        <v/>
      </c>
      <c r="K5" s="166">
        <f>H5*Inputs!$B$8</f>
        <v/>
      </c>
    </row>
    <row r="6" ht="12.75" customHeight="1" s="117">
      <c r="A6" s="116">
        <f>A5+Inputs!$B$8</f>
        <v/>
      </c>
      <c r="B6" s="250">
        <f>Inputs!$B$5/((A6+Inputs!$B$6)^Inputs!$B$7)</f>
        <v/>
      </c>
      <c r="C6" s="252">
        <f>B6*A6/60</f>
        <v/>
      </c>
      <c r="D6" s="253">
        <f>IF(A6&lt;=Inputs!$B$52,C6-IF(ROW()=2,0,C5),"")</f>
        <v/>
      </c>
      <c r="E6" s="166">
        <f>IF(D6="","",COUNTIF($D$2:$D$37,"&gt;"&amp;D6)+COUNTIF($D$2:D6,D6))</f>
        <v/>
      </c>
      <c r="F6" s="166">
        <f>IF(E6="","",IF(E6=1,ROUNDUP(Inputs!$B$53/2,0),IF(MOD(E6,2)=0,ROUNDUP(Inputs!$B$53/2,0)+E6/2,ROUNDUP(Inputs!$B$53/2,0)-(E6-1)/2)))</f>
        <v/>
      </c>
      <c r="H6" s="116" t="n">
        <v>5</v>
      </c>
      <c r="I6" s="253">
        <f>IF(H6&lt;=Inputs!$B$53,IFERROR(INDEX($D$2:$D$37,MATCH(H6,$F$2:$F$37,0)),0),0)</f>
        <v/>
      </c>
      <c r="J6" s="253">
        <f>IF(H6&lt;=Inputs!$B$53,I6*60/Inputs!$B$8,0)</f>
        <v/>
      </c>
      <c r="K6" s="166">
        <f>H6*Inputs!$B$8</f>
        <v/>
      </c>
    </row>
    <row r="7" ht="12.75" customHeight="1" s="117">
      <c r="A7" s="116">
        <f>A6+Inputs!$B$8</f>
        <v/>
      </c>
      <c r="B7" s="250">
        <f>Inputs!$B$5/((A7+Inputs!$B$6)^Inputs!$B$7)</f>
        <v/>
      </c>
      <c r="C7" s="252">
        <f>B7*A7/60</f>
        <v/>
      </c>
      <c r="D7" s="253">
        <f>IF(A7&lt;=Inputs!$B$52,C7-IF(ROW()=2,0,C6),"")</f>
        <v/>
      </c>
      <c r="E7" s="166">
        <f>IF(D7="","",COUNTIF($D$2:$D$37,"&gt;"&amp;D7)+COUNTIF($D$2:D7,D7))</f>
        <v/>
      </c>
      <c r="F7" s="166">
        <f>IF(E7="","",IF(E7=1,ROUNDUP(Inputs!$B$53/2,0),IF(MOD(E7,2)=0,ROUNDUP(Inputs!$B$53/2,0)+E7/2,ROUNDUP(Inputs!$B$53/2,0)-(E7-1)/2)))</f>
        <v/>
      </c>
      <c r="H7" s="116" t="n">
        <v>6</v>
      </c>
      <c r="I7" s="253">
        <f>IF(H7&lt;=Inputs!$B$53,IFERROR(INDEX($D$2:$D$37,MATCH(H7,$F$2:$F$37,0)),0),0)</f>
        <v/>
      </c>
      <c r="J7" s="253">
        <f>IF(H7&lt;=Inputs!$B$53,I7*60/Inputs!$B$8,0)</f>
        <v/>
      </c>
      <c r="K7" s="166">
        <f>H7*Inputs!$B$8</f>
        <v/>
      </c>
    </row>
    <row r="8" ht="12.75" customHeight="1" s="117">
      <c r="A8" s="116">
        <f>A7+Inputs!$B$8</f>
        <v/>
      </c>
      <c r="B8" s="250">
        <f>Inputs!$B$5/((A8+Inputs!$B$6)^Inputs!$B$7)</f>
        <v/>
      </c>
      <c r="C8" s="252">
        <f>B8*A8/60</f>
        <v/>
      </c>
      <c r="D8" s="253">
        <f>IF(A8&lt;=Inputs!$B$52,C8-IF(ROW()=2,0,C7),"")</f>
        <v/>
      </c>
      <c r="E8" s="166">
        <f>IF(D8="","",COUNTIF($D$2:$D$37,"&gt;"&amp;D8)+COUNTIF($D$2:D8,D8))</f>
        <v/>
      </c>
      <c r="F8" s="166">
        <f>IF(E8="","",IF(E8=1,ROUNDUP(Inputs!$B$53/2,0),IF(MOD(E8,2)=0,ROUNDUP(Inputs!$B$53/2,0)+E8/2,ROUNDUP(Inputs!$B$53/2,0)-(E8-1)/2)))</f>
        <v/>
      </c>
      <c r="H8" s="116" t="n">
        <v>7</v>
      </c>
      <c r="I8" s="253">
        <f>IF(H8&lt;=Inputs!$B$53,IFERROR(INDEX($D$2:$D$37,MATCH(H8,$F$2:$F$37,0)),0),0)</f>
        <v/>
      </c>
      <c r="J8" s="253">
        <f>IF(H8&lt;=Inputs!$B$53,I8*60/Inputs!$B$8,0)</f>
        <v/>
      </c>
      <c r="K8" s="166">
        <f>H8*Inputs!$B$8</f>
        <v/>
      </c>
    </row>
    <row r="9" ht="12.75" customHeight="1" s="117">
      <c r="A9" s="116">
        <f>A8+Inputs!$B$8</f>
        <v/>
      </c>
      <c r="B9" s="250">
        <f>Inputs!$B$5/((A9+Inputs!$B$6)^Inputs!$B$7)</f>
        <v/>
      </c>
      <c r="C9" s="252">
        <f>B9*A9/60</f>
        <v/>
      </c>
      <c r="D9" s="253">
        <f>IF(A9&lt;=Inputs!$B$52,C9-IF(ROW()=2,0,C8),"")</f>
        <v/>
      </c>
      <c r="E9" s="166">
        <f>IF(D9="","",COUNTIF($D$2:$D$37,"&gt;"&amp;D9)+COUNTIF($D$2:D9,D9))</f>
        <v/>
      </c>
      <c r="F9" s="166">
        <f>IF(E9="","",IF(E9=1,ROUNDUP(Inputs!$B$53/2,0),IF(MOD(E9,2)=0,ROUNDUP(Inputs!$B$53/2,0)+E9/2,ROUNDUP(Inputs!$B$53/2,0)-(E9-1)/2)))</f>
        <v/>
      </c>
      <c r="H9" s="116" t="n">
        <v>8</v>
      </c>
      <c r="I9" s="253">
        <f>IF(H9&lt;=Inputs!$B$53,IFERROR(INDEX($D$2:$D$37,MATCH(H9,$F$2:$F$37,0)),0),0)</f>
        <v/>
      </c>
      <c r="J9" s="253">
        <f>IF(H9&lt;=Inputs!$B$53,I9*60/Inputs!$B$8,0)</f>
        <v/>
      </c>
      <c r="K9" s="166">
        <f>H9*Inputs!$B$8</f>
        <v/>
      </c>
    </row>
    <row r="10" ht="12.75" customHeight="1" s="117">
      <c r="A10" s="116">
        <f>A9+Inputs!$B$8</f>
        <v/>
      </c>
      <c r="B10" s="250">
        <f>Inputs!$B$5/((A10+Inputs!$B$6)^Inputs!$B$7)</f>
        <v/>
      </c>
      <c r="C10" s="252">
        <f>B10*A10/60</f>
        <v/>
      </c>
      <c r="D10" s="253">
        <f>IF(A10&lt;=Inputs!$B$52,C10-IF(ROW()=2,0,C9),"")</f>
        <v/>
      </c>
      <c r="E10" s="166">
        <f>IF(D10="","",COUNTIF($D$2:$D$37,"&gt;"&amp;D10)+COUNTIF($D$2:D10,D10))</f>
        <v/>
      </c>
      <c r="F10" s="166">
        <f>IF(E10="","",IF(E10=1,ROUNDUP(Inputs!$B$53/2,0),IF(MOD(E10,2)=0,ROUNDUP(Inputs!$B$53/2,0)+E10/2,ROUNDUP(Inputs!$B$53/2,0)-(E10-1)/2)))</f>
        <v/>
      </c>
      <c r="H10" s="116" t="n">
        <v>9</v>
      </c>
      <c r="I10" s="253">
        <f>IF(H10&lt;=Inputs!$B$53,IFERROR(INDEX($D$2:$D$37,MATCH(H10,$F$2:$F$37,0)),0),0)</f>
        <v/>
      </c>
      <c r="J10" s="253">
        <f>IF(H10&lt;=Inputs!$B$53,I10*60/Inputs!$B$8,0)</f>
        <v/>
      </c>
      <c r="K10" s="166">
        <f>H10*Inputs!$B$8</f>
        <v/>
      </c>
    </row>
    <row r="11" ht="12.75" customHeight="1" s="117">
      <c r="A11" s="116">
        <f>A10+Inputs!$B$8</f>
        <v/>
      </c>
      <c r="B11" s="250">
        <f>Inputs!$B$5/((A11+Inputs!$B$6)^Inputs!$B$7)</f>
        <v/>
      </c>
      <c r="C11" s="252">
        <f>B11*A11/60</f>
        <v/>
      </c>
      <c r="D11" s="253">
        <f>IF(A11&lt;=Inputs!$B$52,C11-IF(ROW()=2,0,C10),"")</f>
        <v/>
      </c>
      <c r="E11" s="166">
        <f>IF(D11="","",COUNTIF($D$2:$D$37,"&gt;"&amp;D11)+COUNTIF($D$2:D11,D11))</f>
        <v/>
      </c>
      <c r="F11" s="166">
        <f>IF(E11="","",IF(E11=1,ROUNDUP(Inputs!$B$53/2,0),IF(MOD(E11,2)=0,ROUNDUP(Inputs!$B$53/2,0)+E11/2,ROUNDUP(Inputs!$B$53/2,0)-(E11-1)/2)))</f>
        <v/>
      </c>
      <c r="H11" s="116" t="n">
        <v>10</v>
      </c>
      <c r="I11" s="253">
        <f>IF(H11&lt;=Inputs!$B$53,IFERROR(INDEX($D$2:$D$37,MATCH(H11,$F$2:$F$37,0)),0),0)</f>
        <v/>
      </c>
      <c r="J11" s="253">
        <f>IF(H11&lt;=Inputs!$B$53,I11*60/Inputs!$B$8,0)</f>
        <v/>
      </c>
      <c r="K11" s="166">
        <f>H11*Inputs!$B$8</f>
        <v/>
      </c>
    </row>
    <row r="12" ht="12.75" customHeight="1" s="117">
      <c r="A12" s="116">
        <f>A11+Inputs!$B$8</f>
        <v/>
      </c>
      <c r="B12" s="250">
        <f>Inputs!$B$5/((A12+Inputs!$B$6)^Inputs!$B$7)</f>
        <v/>
      </c>
      <c r="C12" s="252">
        <f>B12*A12/60</f>
        <v/>
      </c>
      <c r="D12" s="253">
        <f>IF(A12&lt;=Inputs!$B$52,C12-IF(ROW()=2,0,C11),"")</f>
        <v/>
      </c>
      <c r="E12" s="166">
        <f>IF(D12="","",COUNTIF($D$2:$D$37,"&gt;"&amp;D12)+COUNTIF($D$2:D12,D12))</f>
        <v/>
      </c>
      <c r="F12" s="166">
        <f>IF(E12="","",IF(E12=1,ROUNDUP(Inputs!$B$53/2,0),IF(MOD(E12,2)=0,ROUNDUP(Inputs!$B$53/2,0)+E12/2,ROUNDUP(Inputs!$B$53/2,0)-(E12-1)/2)))</f>
        <v/>
      </c>
      <c r="H12" s="116" t="n">
        <v>11</v>
      </c>
      <c r="I12" s="253">
        <f>IF(H12&lt;=Inputs!$B$53,IFERROR(INDEX($D$2:$D$37,MATCH(H12,$F$2:$F$37,0)),0),0)</f>
        <v/>
      </c>
      <c r="J12" s="253">
        <f>IF(H12&lt;=Inputs!$B$53,I12*60/Inputs!$B$8,0)</f>
        <v/>
      </c>
      <c r="K12" s="166">
        <f>H12*Inputs!$B$8</f>
        <v/>
      </c>
    </row>
    <row r="13" ht="12.75" customHeight="1" s="117">
      <c r="A13" s="116">
        <f>A12+Inputs!$B$8</f>
        <v/>
      </c>
      <c r="B13" s="250">
        <f>Inputs!$B$5/((A13+Inputs!$B$6)^Inputs!$B$7)</f>
        <v/>
      </c>
      <c r="C13" s="252">
        <f>B13*A13/60</f>
        <v/>
      </c>
      <c r="D13" s="253">
        <f>IF(A13&lt;=Inputs!$B$52,C13-IF(ROW()=2,0,C12),"")</f>
        <v/>
      </c>
      <c r="E13" s="166">
        <f>IF(D13="","",COUNTIF($D$2:$D$37,"&gt;"&amp;D13)+COUNTIF($D$2:D13,D13))</f>
        <v/>
      </c>
      <c r="F13" s="166">
        <f>IF(E13="","",IF(E13=1,ROUNDUP(Inputs!$B$53/2,0),IF(MOD(E13,2)=0,ROUNDUP(Inputs!$B$53/2,0)+E13/2,ROUNDUP(Inputs!$B$53/2,0)-(E13-1)/2)))</f>
        <v/>
      </c>
      <c r="H13" s="116" t="n">
        <v>12</v>
      </c>
      <c r="I13" s="253">
        <f>IF(H13&lt;=Inputs!$B$53,IFERROR(INDEX($D$2:$D$37,MATCH(H13,$F$2:$F$37,0)),0),0)</f>
        <v/>
      </c>
      <c r="J13" s="253">
        <f>IF(H13&lt;=Inputs!$B$53,I13*60/Inputs!$B$8,0)</f>
        <v/>
      </c>
      <c r="K13" s="166">
        <f>H13*Inputs!$B$8</f>
        <v/>
      </c>
    </row>
    <row r="14" ht="12.75" customHeight="1" s="117">
      <c r="A14" s="116">
        <f>A13+Inputs!$B$8</f>
        <v/>
      </c>
      <c r="B14" s="251">
        <f>Inputs!$B$5/((A14+Inputs!$B$6)^Inputs!$B$7)</f>
        <v/>
      </c>
      <c r="C14" s="250">
        <f>B14*A14/60</f>
        <v/>
      </c>
      <c r="D14" s="250">
        <f>IF(A14&lt;=Inputs!$B$52,C14-IF(ROW()=2,0,C13),"")</f>
        <v/>
      </c>
      <c r="E14" s="163">
        <f>IF(D14="","",COUNTIF($D$2:$D$37,"&gt;"&amp;D14)+COUNTIF($D$2:D14,D14))</f>
        <v/>
      </c>
      <c r="F14" s="163">
        <f>IF(E14="","",IF(E14=1,ROUNDUP(Inputs!$B$53/2,0),IF(MOD(E14,2)=0,ROUNDUP(Inputs!$B$53/2,0)+E14/2,ROUNDUP(Inputs!$B$53/2,0)-(E14-1)/2)))</f>
        <v/>
      </c>
      <c r="H14" s="116" t="n">
        <v>13</v>
      </c>
      <c r="I14" s="251">
        <f>IF(H14&lt;=Inputs!$B$53,IFERROR(INDEX($D$2:$D$37,MATCH(H14,$F$2:$F$37,0)),0),0)</f>
        <v/>
      </c>
      <c r="J14" s="251">
        <f>IF(H14&lt;=Inputs!$B$53,I14*60/Inputs!$B$8,0)</f>
        <v/>
      </c>
      <c r="K14" s="116">
        <f>H14*Inputs!$B$8</f>
        <v/>
      </c>
    </row>
    <row r="15" ht="12.75" customHeight="1" s="117">
      <c r="A15" s="116">
        <f>A14+Inputs!$B$8</f>
        <v/>
      </c>
      <c r="B15" s="251">
        <f>Inputs!$B$5/((A15+Inputs!$B$6)^Inputs!$B$7)</f>
        <v/>
      </c>
      <c r="C15" s="250">
        <f>B15*A15/60</f>
        <v/>
      </c>
      <c r="D15" s="250">
        <f>IF(A15&lt;=Inputs!$B$52,C15-IF(ROW()=2,0,C14),"")</f>
        <v/>
      </c>
      <c r="E15" s="163">
        <f>IF(D15="","",COUNTIF($D$2:$D$37,"&gt;"&amp;D15)+COUNTIF($D$2:D15,D15))</f>
        <v/>
      </c>
      <c r="F15" s="163">
        <f>IF(E15="","",IF(E15=1,ROUNDUP(Inputs!$B$53/2,0),IF(MOD(E15,2)=0,ROUNDUP(Inputs!$B$53/2,0)+E15/2,ROUNDUP(Inputs!$B$53/2,0)-(E15-1)/2)))</f>
        <v/>
      </c>
      <c r="H15" s="116" t="n">
        <v>14</v>
      </c>
      <c r="I15" s="251">
        <f>IF(H15&lt;=Inputs!$B$53,IFERROR(INDEX($D$2:$D$37,MATCH(H15,$F$2:$F$37,0)),0),0)</f>
        <v/>
      </c>
      <c r="J15" s="251">
        <f>IF(H15&lt;=Inputs!$B$53,I15*60/Inputs!$B$8,0)</f>
        <v/>
      </c>
      <c r="K15" s="116">
        <f>H15*Inputs!$B$8</f>
        <v/>
      </c>
    </row>
    <row r="16">
      <c r="A16" s="116">
        <f>A15+Inputs!$B$8</f>
        <v/>
      </c>
      <c r="B16" s="251">
        <f>Inputs!$B$5/((A16+Inputs!$B$6)^Inputs!$B$7)</f>
        <v/>
      </c>
      <c r="C16" s="251">
        <f>B16*A16/60</f>
        <v/>
      </c>
      <c r="D16" s="251">
        <f>IF(A16&lt;=Inputs!$B$52,C16-IF(ROW()=2,0,C15),"")</f>
        <v/>
      </c>
      <c r="E16" s="116">
        <f>IF(D16="","",COUNTIF($D$2:$D$37,"&gt;"&amp;D16)+COUNTIF($D$2:D16,D16))</f>
        <v/>
      </c>
      <c r="F16" s="116">
        <f>IF(E16="","",IF(E16=1,ROUNDUP(Inputs!$B$53/2,0),IF(MOD(E16,2)=0,ROUNDUP(Inputs!$B$53/2,0)+E16/2,ROUNDUP(Inputs!$B$53/2,0)-(E16-1)/2)))</f>
        <v/>
      </c>
      <c r="H16" s="116" t="n">
        <v>15</v>
      </c>
      <c r="I16" s="251">
        <f>IF(H16&lt;=Inputs!$B$53,IFERROR(INDEX($D$2:$D$37,MATCH(H16,$F$2:$F$37,0)),0),0)</f>
        <v/>
      </c>
      <c r="J16" s="251">
        <f>IF(H16&lt;=Inputs!$B$53,I16*60/Inputs!$B$8,0)</f>
        <v/>
      </c>
      <c r="K16" s="116">
        <f>H16*Inputs!$B$8</f>
        <v/>
      </c>
    </row>
    <row r="17">
      <c r="A17" s="116">
        <f>A16+Inputs!$B$8</f>
        <v/>
      </c>
      <c r="B17" s="251">
        <f>Inputs!$B$5/((A17+Inputs!$B$6)^Inputs!$B$7)</f>
        <v/>
      </c>
      <c r="C17" s="251">
        <f>B17*A17/60</f>
        <v/>
      </c>
      <c r="D17" s="251">
        <f>IF(A17&lt;=Inputs!$B$52,C17-IF(ROW()=2,0,C16),"")</f>
        <v/>
      </c>
      <c r="E17" s="116">
        <f>IF(D17="","",COUNTIF($D$2:$D$37,"&gt;"&amp;D17)+COUNTIF($D$2:D17,D17))</f>
        <v/>
      </c>
      <c r="F17" s="116">
        <f>IF(E17="","",IF(E17=1,ROUNDUP(Inputs!$B$53/2,0),IF(MOD(E17,2)=0,ROUNDUP(Inputs!$B$53/2,0)+E17/2,ROUNDUP(Inputs!$B$53/2,0)-(E17-1)/2)))</f>
        <v/>
      </c>
      <c r="H17" s="116" t="n">
        <v>16</v>
      </c>
      <c r="I17" s="251">
        <f>IF(H17&lt;=Inputs!$B$53,IFERROR(INDEX($D$2:$D$37,MATCH(H17,$F$2:$F$37,0)),0),0)</f>
        <v/>
      </c>
      <c r="J17" s="251">
        <f>IF(H17&lt;=Inputs!$B$53,I17*60/Inputs!$B$8,0)</f>
        <v/>
      </c>
      <c r="K17" s="116">
        <f>H17*Inputs!$B$8</f>
        <v/>
      </c>
    </row>
    <row r="18">
      <c r="A18" s="116">
        <f>A17+Inputs!$B$8</f>
        <v/>
      </c>
      <c r="B18" s="251">
        <f>Inputs!$B$5/((A18+Inputs!$B$6)^Inputs!$B$7)</f>
        <v/>
      </c>
      <c r="C18" s="251">
        <f>B18*A18/60</f>
        <v/>
      </c>
      <c r="D18" s="251">
        <f>IF(A18&lt;=Inputs!$B$52,C18-IF(ROW()=2,0,C17),"")</f>
        <v/>
      </c>
      <c r="E18" s="116">
        <f>IF(D18="","",COUNTIF($D$2:$D$37,"&gt;"&amp;D18)+COUNTIF($D$2:D18,D18))</f>
        <v/>
      </c>
      <c r="F18" s="116">
        <f>IF(E18="","",IF(E18=1,ROUNDUP(Inputs!$B$53/2,0),IF(MOD(E18,2)=0,ROUNDUP(Inputs!$B$53/2,0)+E18/2,ROUNDUP(Inputs!$B$53/2,0)-(E18-1)/2)))</f>
        <v/>
      </c>
      <c r="H18" s="116" t="n">
        <v>17</v>
      </c>
      <c r="I18" s="251">
        <f>IF(H18&lt;=Inputs!$B$53,IFERROR(INDEX($D$2:$D$37,MATCH(H18,$F$2:$F$37,0)),0),0)</f>
        <v/>
      </c>
      <c r="J18" s="251">
        <f>IF(H18&lt;=Inputs!$B$53,I18*60/Inputs!$B$8,0)</f>
        <v/>
      </c>
      <c r="K18" s="116">
        <f>H18*Inputs!$B$8</f>
        <v/>
      </c>
    </row>
    <row r="19">
      <c r="A19" s="116">
        <f>A18+Inputs!$B$8</f>
        <v/>
      </c>
      <c r="B19" s="251">
        <f>Inputs!$B$5/((A19+Inputs!$B$6)^Inputs!$B$7)</f>
        <v/>
      </c>
      <c r="C19" s="251">
        <f>B19*A19/60</f>
        <v/>
      </c>
      <c r="D19" s="251">
        <f>IF(A19&lt;=Inputs!$B$52,C19-IF(ROW()=2,0,C18),"")</f>
        <v/>
      </c>
      <c r="E19" s="116">
        <f>IF(D19="","",COUNTIF($D$2:$D$37,"&gt;"&amp;D19)+COUNTIF($D$2:D19,D19))</f>
        <v/>
      </c>
      <c r="F19" s="116">
        <f>IF(E19="","",IF(E19=1,ROUNDUP(Inputs!$B$53/2,0),IF(MOD(E19,2)=0,ROUNDUP(Inputs!$B$53/2,0)+E19/2,ROUNDUP(Inputs!$B$53/2,0)-(E19-1)/2)))</f>
        <v/>
      </c>
      <c r="H19" s="116" t="n">
        <v>18</v>
      </c>
      <c r="I19" s="251">
        <f>IF(H19&lt;=Inputs!$B$53,IFERROR(INDEX($D$2:$D$37,MATCH(H19,$F$2:$F$37,0)),0),0)</f>
        <v/>
      </c>
      <c r="J19" s="251">
        <f>IF(H19&lt;=Inputs!$B$53,I19*60/Inputs!$B$8,0)</f>
        <v/>
      </c>
      <c r="K19" s="116">
        <f>H19*Inputs!$B$8</f>
        <v/>
      </c>
    </row>
    <row r="20">
      <c r="A20" s="116">
        <f>A19+Inputs!$B$8</f>
        <v/>
      </c>
      <c r="B20" s="251">
        <f>Inputs!$B$5/((A20+Inputs!$B$6)^Inputs!$B$7)</f>
        <v/>
      </c>
      <c r="C20" s="251">
        <f>B20*A20/60</f>
        <v/>
      </c>
      <c r="D20" s="251">
        <f>IF(A20&lt;=Inputs!$B$52,C20-IF(ROW()=2,0,C19),"")</f>
        <v/>
      </c>
      <c r="E20" s="116">
        <f>IF(D20="","",COUNTIF($D$2:$D$37,"&gt;"&amp;D20)+COUNTIF($D$2:D20,D20))</f>
        <v/>
      </c>
      <c r="F20" s="116">
        <f>IF(E20="","",IF(E20=1,ROUNDUP(Inputs!$B$53/2,0),IF(MOD(E20,2)=0,ROUNDUP(Inputs!$B$53/2,0)+E20/2,ROUNDUP(Inputs!$B$53/2,0)-(E20-1)/2)))</f>
        <v/>
      </c>
      <c r="H20" s="116" t="n">
        <v>19</v>
      </c>
      <c r="I20" s="251">
        <f>IF(H20&lt;=Inputs!$B$53,IFERROR(INDEX($D$2:$D$37,MATCH(H20,$F$2:$F$37,0)),0),0)</f>
        <v/>
      </c>
      <c r="J20" s="251">
        <f>IF(H20&lt;=Inputs!$B$53,I20*60/Inputs!$B$8,0)</f>
        <v/>
      </c>
      <c r="K20" s="116">
        <f>H20*Inputs!$B$8</f>
        <v/>
      </c>
    </row>
    <row r="21">
      <c r="A21" s="116">
        <f>A20+Inputs!$B$8</f>
        <v/>
      </c>
      <c r="B21" s="251">
        <f>Inputs!$B$5/((A21+Inputs!$B$6)^Inputs!$B$7)</f>
        <v/>
      </c>
      <c r="C21" s="251">
        <f>B21*A21/60</f>
        <v/>
      </c>
      <c r="D21" s="251">
        <f>IF(A21&lt;=Inputs!$B$52,C21-IF(ROW()=2,0,C20),"")</f>
        <v/>
      </c>
      <c r="E21" s="116">
        <f>IF(D21="","",COUNTIF($D$2:$D$37,"&gt;"&amp;D21)+COUNTIF($D$2:D21,D21))</f>
        <v/>
      </c>
      <c r="F21" s="116">
        <f>IF(E21="","",IF(E21=1,ROUNDUP(Inputs!$B$53/2,0),IF(MOD(E21,2)=0,ROUNDUP(Inputs!$B$53/2,0)+E21/2,ROUNDUP(Inputs!$B$53/2,0)-(E21-1)/2)))</f>
        <v/>
      </c>
      <c r="H21" s="116" t="n">
        <v>20</v>
      </c>
      <c r="I21" s="251">
        <f>IF(H21&lt;=Inputs!$B$53,IFERROR(INDEX($D$2:$D$37,MATCH(H21,$F$2:$F$37,0)),0),0)</f>
        <v/>
      </c>
      <c r="J21" s="251">
        <f>IF(H21&lt;=Inputs!$B$53,I21*60/Inputs!$B$8,0)</f>
        <v/>
      </c>
      <c r="K21" s="116">
        <f>H21*Inputs!$B$8</f>
        <v/>
      </c>
    </row>
    <row r="22">
      <c r="A22" s="116">
        <f>A21+Inputs!$B$8</f>
        <v/>
      </c>
      <c r="B22" s="251">
        <f>Inputs!$B$5/((A22+Inputs!$B$6)^Inputs!$B$7)</f>
        <v/>
      </c>
      <c r="C22" s="251">
        <f>B22*A22/60</f>
        <v/>
      </c>
      <c r="D22" s="251">
        <f>IF(A22&lt;=Inputs!$B$52,C22-IF(ROW()=2,0,C21),"")</f>
        <v/>
      </c>
      <c r="E22" s="116">
        <f>IF(D22="","",COUNTIF($D$2:$D$37,"&gt;"&amp;D22)+COUNTIF($D$2:D22,D22))</f>
        <v/>
      </c>
      <c r="F22" s="116">
        <f>IF(E22="","",IF(E22=1,ROUNDUP(Inputs!$B$53/2,0),IF(MOD(E22,2)=0,ROUNDUP(Inputs!$B$53/2,0)+E22/2,ROUNDUP(Inputs!$B$53/2,0)-(E22-1)/2)))</f>
        <v/>
      </c>
      <c r="H22" s="116" t="n">
        <v>21</v>
      </c>
      <c r="I22" s="251">
        <f>IF(H22&lt;=Inputs!$B$53,IFERROR(INDEX($D$2:$D$37,MATCH(H22,$F$2:$F$37,0)),0),0)</f>
        <v/>
      </c>
      <c r="J22" s="251">
        <f>IF(H22&lt;=Inputs!$B$53,I22*60/Inputs!$B$8,0)</f>
        <v/>
      </c>
      <c r="K22" s="116">
        <f>H22*Inputs!$B$8</f>
        <v/>
      </c>
    </row>
    <row r="23">
      <c r="A23" s="116">
        <f>A22+Inputs!$B$8</f>
        <v/>
      </c>
      <c r="B23" s="251">
        <f>Inputs!$B$5/((A23+Inputs!$B$6)^Inputs!$B$7)</f>
        <v/>
      </c>
      <c r="C23" s="251">
        <f>B23*A23/60</f>
        <v/>
      </c>
      <c r="D23" s="251">
        <f>IF(A23&lt;=Inputs!$B$52,C23-IF(ROW()=2,0,C22),"")</f>
        <v/>
      </c>
      <c r="E23" s="116">
        <f>IF(D23="","",COUNTIF($D$2:$D$37,"&gt;"&amp;D23)+COUNTIF($D$2:D23,D23))</f>
        <v/>
      </c>
      <c r="F23" s="116">
        <f>IF(E23="","",IF(E23=1,ROUNDUP(Inputs!$B$53/2,0),IF(MOD(E23,2)=0,ROUNDUP(Inputs!$B$53/2,0)+E23/2,ROUNDUP(Inputs!$B$53/2,0)-(E23-1)/2)))</f>
        <v/>
      </c>
      <c r="H23" s="116" t="n">
        <v>22</v>
      </c>
      <c r="I23" s="251">
        <f>IF(H23&lt;=Inputs!$B$53,IFERROR(INDEX($D$2:$D$37,MATCH(H23,$F$2:$F$37,0)),0),0)</f>
        <v/>
      </c>
      <c r="J23" s="251">
        <f>IF(H23&lt;=Inputs!$B$53,I23*60/Inputs!$B$8,0)</f>
        <v/>
      </c>
      <c r="K23" s="116">
        <f>H23*Inputs!$B$8</f>
        <v/>
      </c>
    </row>
    <row r="24">
      <c r="A24" s="116">
        <f>A23+Inputs!$B$8</f>
        <v/>
      </c>
      <c r="B24" s="251">
        <f>Inputs!$B$5/((A24+Inputs!$B$6)^Inputs!$B$7)</f>
        <v/>
      </c>
      <c r="C24" s="251">
        <f>B24*A24/60</f>
        <v/>
      </c>
      <c r="D24" s="251">
        <f>IF(A24&lt;=Inputs!$B$52,C24-IF(ROW()=2,0,C23),"")</f>
        <v/>
      </c>
      <c r="E24" s="116">
        <f>IF(D24="","",COUNTIF($D$2:$D$37,"&gt;"&amp;D24)+COUNTIF($D$2:D24,D24))</f>
        <v/>
      </c>
      <c r="F24" s="116">
        <f>IF(E24="","",IF(E24=1,ROUNDUP(Inputs!$B$53/2,0),IF(MOD(E24,2)=0,ROUNDUP(Inputs!$B$53/2,0)+E24/2,ROUNDUP(Inputs!$B$53/2,0)-(E24-1)/2)))</f>
        <v/>
      </c>
      <c r="H24" s="116" t="n">
        <v>23</v>
      </c>
      <c r="I24" s="251">
        <f>IF(H24&lt;=Inputs!$B$53,IFERROR(INDEX($D$2:$D$37,MATCH(H24,$F$2:$F$37,0)),0),0)</f>
        <v/>
      </c>
      <c r="J24" s="251">
        <f>IF(H24&lt;=Inputs!$B$53,I24*60/Inputs!$B$8,0)</f>
        <v/>
      </c>
      <c r="K24" s="116">
        <f>H24*Inputs!$B$8</f>
        <v/>
      </c>
    </row>
    <row r="25">
      <c r="A25" s="116">
        <f>A24+Inputs!$B$8</f>
        <v/>
      </c>
      <c r="B25" s="251">
        <f>Inputs!$B$5/((A25+Inputs!$B$6)^Inputs!$B$7)</f>
        <v/>
      </c>
      <c r="C25" s="251">
        <f>B25*A25/60</f>
        <v/>
      </c>
      <c r="D25" s="251">
        <f>IF(A25&lt;=Inputs!$B$52,C25-IF(ROW()=2,0,C24),"")</f>
        <v/>
      </c>
      <c r="E25" s="116">
        <f>IF(D25="","",COUNTIF($D$2:$D$37,"&gt;"&amp;D25)+COUNTIF($D$2:D25,D25))</f>
        <v/>
      </c>
      <c r="F25" s="116">
        <f>IF(E25="","",IF(E25=1,ROUNDUP(Inputs!$B$53/2,0),IF(MOD(E25,2)=0,ROUNDUP(Inputs!$B$53/2,0)+E25/2,ROUNDUP(Inputs!$B$53/2,0)-(E25-1)/2)))</f>
        <v/>
      </c>
      <c r="H25" s="116" t="n">
        <v>24</v>
      </c>
      <c r="I25" s="251">
        <f>IF(H25&lt;=Inputs!$B$53,IFERROR(INDEX($D$2:$D$37,MATCH(H25,$F$2:$F$37,0)),0),0)</f>
        <v/>
      </c>
      <c r="J25" s="251">
        <f>IF(H25&lt;=Inputs!$B$53,I25*60/Inputs!$B$8,0)</f>
        <v/>
      </c>
      <c r="K25" s="116">
        <f>H25*Inputs!$B$8</f>
        <v/>
      </c>
    </row>
    <row r="26">
      <c r="A26" s="116">
        <f>A25+Inputs!$B$8</f>
        <v/>
      </c>
      <c r="B26" s="251">
        <f>Inputs!$B$5/((A26+Inputs!$B$6)^Inputs!$B$7)</f>
        <v/>
      </c>
      <c r="C26" s="251">
        <f>B26*A26/60</f>
        <v/>
      </c>
      <c r="D26" s="251">
        <f>IF(A26&lt;=Inputs!$B$52,C26-IF(ROW()=2,0,C25),"")</f>
        <v/>
      </c>
      <c r="E26" s="116">
        <f>IF(D26="","",COUNTIF($D$2:$D$37,"&gt;"&amp;D26)+COUNTIF($D$2:D26,D26))</f>
        <v/>
      </c>
      <c r="F26" s="116">
        <f>IF(E26="","",IF(E26=1,ROUNDUP(Inputs!$B$53/2,0),IF(MOD(E26,2)=0,ROUNDUP(Inputs!$B$53/2,0)+E26/2,ROUNDUP(Inputs!$B$53/2,0)-(E26-1)/2)))</f>
        <v/>
      </c>
      <c r="H26" s="116" t="n">
        <v>25</v>
      </c>
      <c r="I26" s="251">
        <f>IF(H26&lt;=Inputs!$B$53,IFERROR(INDEX($D$2:$D$37,MATCH(H26,$F$2:$F$37,0)),0),0)</f>
        <v/>
      </c>
      <c r="J26" s="251">
        <f>IF(H26&lt;=Inputs!$B$53,I26*60/Inputs!$B$8,0)</f>
        <v/>
      </c>
      <c r="K26" s="116">
        <f>H26*Inputs!$B$8</f>
        <v/>
      </c>
    </row>
    <row r="27">
      <c r="A27" s="116">
        <f>A26+Inputs!$B$8</f>
        <v/>
      </c>
      <c r="B27" s="251">
        <f>Inputs!$B$5/((A27+Inputs!$B$6)^Inputs!$B$7)</f>
        <v/>
      </c>
      <c r="C27" s="251">
        <f>B27*A27/60</f>
        <v/>
      </c>
      <c r="D27" s="251">
        <f>IF(A27&lt;=Inputs!$B$52,C27-IF(ROW()=2,0,C26),"")</f>
        <v/>
      </c>
      <c r="E27" s="116">
        <f>IF(D27="","",COUNTIF($D$2:$D$37,"&gt;"&amp;D27)+COUNTIF($D$2:D27,D27))</f>
        <v/>
      </c>
      <c r="F27" s="116">
        <f>IF(E27="","",IF(E27=1,ROUNDUP(Inputs!$B$53/2,0),IF(MOD(E27,2)=0,ROUNDUP(Inputs!$B$53/2,0)+E27/2,ROUNDUP(Inputs!$B$53/2,0)-(E27-1)/2)))</f>
        <v/>
      </c>
      <c r="H27" s="116" t="n">
        <v>26</v>
      </c>
      <c r="I27" s="251">
        <f>IF(H27&lt;=Inputs!$B$53,IFERROR(INDEX($D$2:$D$37,MATCH(H27,$F$2:$F$37,0)),0),0)</f>
        <v/>
      </c>
      <c r="J27" s="251">
        <f>IF(H27&lt;=Inputs!$B$53,I27*60/Inputs!$B$8,0)</f>
        <v/>
      </c>
      <c r="K27" s="116">
        <f>H27*Inputs!$B$8</f>
        <v/>
      </c>
    </row>
    <row r="28">
      <c r="A28" s="116">
        <f>A27+Inputs!$B$8</f>
        <v/>
      </c>
      <c r="B28" s="251">
        <f>Inputs!$B$5/((A28+Inputs!$B$6)^Inputs!$B$7)</f>
        <v/>
      </c>
      <c r="C28" s="251">
        <f>B28*A28/60</f>
        <v/>
      </c>
      <c r="D28" s="251">
        <f>IF(A28&lt;=Inputs!$B$52,C28-IF(ROW()=2,0,C27),"")</f>
        <v/>
      </c>
      <c r="E28" s="116">
        <f>IF(D28="","",COUNTIF($D$2:$D$37,"&gt;"&amp;D28)+COUNTIF($D$2:D28,D28))</f>
        <v/>
      </c>
      <c r="F28" s="116">
        <f>IF(E28="","",IF(E28=1,ROUNDUP(Inputs!$B$53/2,0),IF(MOD(E28,2)=0,ROUNDUP(Inputs!$B$53/2,0)+E28/2,ROUNDUP(Inputs!$B$53/2,0)-(E28-1)/2)))</f>
        <v/>
      </c>
      <c r="H28" s="116" t="n">
        <v>27</v>
      </c>
      <c r="I28" s="251">
        <f>IF(H28&lt;=Inputs!$B$53,IFERROR(INDEX($D$2:$D$37,MATCH(H28,$F$2:$F$37,0)),0),0)</f>
        <v/>
      </c>
      <c r="J28" s="251">
        <f>IF(H28&lt;=Inputs!$B$53,I28*60/Inputs!$B$8,0)</f>
        <v/>
      </c>
      <c r="K28" s="116">
        <f>H28*Inputs!$B$8</f>
        <v/>
      </c>
    </row>
    <row r="29">
      <c r="A29" s="116">
        <f>A28+Inputs!$B$8</f>
        <v/>
      </c>
      <c r="B29" s="251">
        <f>Inputs!$B$5/((A29+Inputs!$B$6)^Inputs!$B$7)</f>
        <v/>
      </c>
      <c r="C29" s="251">
        <f>B29*A29/60</f>
        <v/>
      </c>
      <c r="D29" s="251">
        <f>IF(A29&lt;=Inputs!$B$52,C29-IF(ROW()=2,0,C28),"")</f>
        <v/>
      </c>
      <c r="E29" s="116">
        <f>IF(D29="","",COUNTIF($D$2:$D$37,"&gt;"&amp;D29)+COUNTIF($D$2:D29,D29))</f>
        <v/>
      </c>
      <c r="F29" s="116">
        <f>IF(E29="","",IF(E29=1,ROUNDUP(Inputs!$B$53/2,0),IF(MOD(E29,2)=0,ROUNDUP(Inputs!$B$53/2,0)+E29/2,ROUNDUP(Inputs!$B$53/2,0)-(E29-1)/2)))</f>
        <v/>
      </c>
      <c r="H29" s="116" t="n">
        <v>28</v>
      </c>
      <c r="I29" s="251">
        <f>IF(H29&lt;=Inputs!$B$53,IFERROR(INDEX($D$2:$D$37,MATCH(H29,$F$2:$F$37,0)),0),0)</f>
        <v/>
      </c>
      <c r="J29" s="251">
        <f>IF(H29&lt;=Inputs!$B$53,I29*60/Inputs!$B$8,0)</f>
        <v/>
      </c>
      <c r="K29" s="116">
        <f>H29*Inputs!$B$8</f>
        <v/>
      </c>
    </row>
    <row r="30">
      <c r="A30" s="116">
        <f>A29+Inputs!$B$8</f>
        <v/>
      </c>
      <c r="B30" s="251">
        <f>Inputs!$B$5/((A30+Inputs!$B$6)^Inputs!$B$7)</f>
        <v/>
      </c>
      <c r="C30" s="251">
        <f>B30*A30/60</f>
        <v/>
      </c>
      <c r="D30" s="251">
        <f>IF(A30&lt;=Inputs!$B$52,C30-IF(ROW()=2,0,C29),"")</f>
        <v/>
      </c>
      <c r="E30" s="116">
        <f>IF(D30="","",COUNTIF($D$2:$D$37,"&gt;"&amp;D30)+COUNTIF($D$2:D30,D30))</f>
        <v/>
      </c>
      <c r="F30" s="116">
        <f>IF(E30="","",IF(E30=1,ROUNDUP(Inputs!$B$53/2,0),IF(MOD(E30,2)=0,ROUNDUP(Inputs!$B$53/2,0)+E30/2,ROUNDUP(Inputs!$B$53/2,0)-(E30-1)/2)))</f>
        <v/>
      </c>
      <c r="H30" s="116" t="n">
        <v>29</v>
      </c>
      <c r="I30" s="251">
        <f>IF(H30&lt;=Inputs!$B$53,IFERROR(INDEX($D$2:$D$37,MATCH(H30,$F$2:$F$37,0)),0),0)</f>
        <v/>
      </c>
      <c r="J30" s="251">
        <f>IF(H30&lt;=Inputs!$B$53,I30*60/Inputs!$B$8,0)</f>
        <v/>
      </c>
      <c r="K30" s="116">
        <f>H30*Inputs!$B$8</f>
        <v/>
      </c>
    </row>
    <row r="31">
      <c r="A31" s="116">
        <f>A30+Inputs!$B$8</f>
        <v/>
      </c>
      <c r="B31" s="251">
        <f>Inputs!$B$5/((A31+Inputs!$B$6)^Inputs!$B$7)</f>
        <v/>
      </c>
      <c r="C31" s="251">
        <f>B31*A31/60</f>
        <v/>
      </c>
      <c r="D31" s="251">
        <f>IF(A31&lt;=Inputs!$B$52,C31-IF(ROW()=2,0,C30),"")</f>
        <v/>
      </c>
      <c r="E31" s="116">
        <f>IF(D31="","",COUNTIF($D$2:$D$37,"&gt;"&amp;D31)+COUNTIF($D$2:D31,D31))</f>
        <v/>
      </c>
      <c r="F31" s="116">
        <f>IF(E31="","",IF(E31=1,ROUNDUP(Inputs!$B$53/2,0),IF(MOD(E31,2)=0,ROUNDUP(Inputs!$B$53/2,0)+E31/2,ROUNDUP(Inputs!$B$53/2,0)-(E31-1)/2)))</f>
        <v/>
      </c>
      <c r="H31" s="116" t="n">
        <v>30</v>
      </c>
      <c r="I31" s="251">
        <f>IF(H31&lt;=Inputs!$B$53,IFERROR(INDEX($D$2:$D$37,MATCH(H31,$F$2:$F$37,0)),0),0)</f>
        <v/>
      </c>
      <c r="J31" s="251">
        <f>IF(H31&lt;=Inputs!$B$53,I31*60/Inputs!$B$8,0)</f>
        <v/>
      </c>
      <c r="K31" s="116">
        <f>H31*Inputs!$B$8</f>
        <v/>
      </c>
    </row>
    <row r="32">
      <c r="A32" s="116">
        <f>A31+Inputs!$B$8</f>
        <v/>
      </c>
      <c r="B32" s="251">
        <f>Inputs!$B$5/((A32+Inputs!$B$6)^Inputs!$B$7)</f>
        <v/>
      </c>
      <c r="C32" s="251">
        <f>B32*A32/60</f>
        <v/>
      </c>
      <c r="D32" s="251">
        <f>IF(A32&lt;=Inputs!$B$52,C32-IF(ROW()=2,0,C31),"")</f>
        <v/>
      </c>
      <c r="E32" s="116">
        <f>IF(D32="","",COUNTIF($D$2:$D$37,"&gt;"&amp;D32)+COUNTIF($D$2:D32,D32))</f>
        <v/>
      </c>
      <c r="F32" s="116">
        <f>IF(E32="","",IF(E32=1,ROUNDUP(Inputs!$B$53/2,0),IF(MOD(E32,2)=0,ROUNDUP(Inputs!$B$53/2,0)+E32/2,ROUNDUP(Inputs!$B$53/2,0)-(E32-1)/2)))</f>
        <v/>
      </c>
      <c r="H32" s="116" t="n">
        <v>31</v>
      </c>
      <c r="I32" s="251">
        <f>IF(H32&lt;=Inputs!$B$53,IFERROR(INDEX($D$2:$D$37,MATCH(H32,$F$2:$F$37,0)),0),0)</f>
        <v/>
      </c>
      <c r="J32" s="251">
        <f>IF(H32&lt;=Inputs!$B$53,I32*60/Inputs!$B$8,0)</f>
        <v/>
      </c>
      <c r="K32" s="116">
        <f>H32*Inputs!$B$8</f>
        <v/>
      </c>
    </row>
    <row r="33">
      <c r="A33" s="116">
        <f>A32+Inputs!$B$8</f>
        <v/>
      </c>
      <c r="B33" s="251">
        <f>Inputs!$B$5/((A33+Inputs!$B$6)^Inputs!$B$7)</f>
        <v/>
      </c>
      <c r="C33" s="251">
        <f>B33*A33/60</f>
        <v/>
      </c>
      <c r="D33" s="251">
        <f>IF(A33&lt;=Inputs!$B$52,C33-IF(ROW()=2,0,C32),"")</f>
        <v/>
      </c>
      <c r="E33" s="116">
        <f>IF(D33="","",COUNTIF($D$2:$D$37,"&gt;"&amp;D33)+COUNTIF($D$2:D33,D33))</f>
        <v/>
      </c>
      <c r="F33" s="116">
        <f>IF(E33="","",IF(E33=1,ROUNDUP(Inputs!$B$53/2,0),IF(MOD(E33,2)=0,ROUNDUP(Inputs!$B$53/2,0)+E33/2,ROUNDUP(Inputs!$B$53/2,0)-(E33-1)/2)))</f>
        <v/>
      </c>
      <c r="H33" s="116" t="n">
        <v>32</v>
      </c>
      <c r="I33" s="251">
        <f>IF(H33&lt;=Inputs!$B$53,IFERROR(INDEX($D$2:$D$37,MATCH(H33,$F$2:$F$37,0)),0),0)</f>
        <v/>
      </c>
      <c r="J33" s="251">
        <f>IF(H33&lt;=Inputs!$B$53,I33*60/Inputs!$B$8,0)</f>
        <v/>
      </c>
      <c r="K33" s="116">
        <f>H33*Inputs!$B$8</f>
        <v/>
      </c>
    </row>
    <row r="34">
      <c r="A34" s="116">
        <f>A33+Inputs!$B$8</f>
        <v/>
      </c>
      <c r="B34" s="251">
        <f>Inputs!$B$5/((A34+Inputs!$B$6)^Inputs!$B$7)</f>
        <v/>
      </c>
      <c r="C34" s="251">
        <f>B34*A34/60</f>
        <v/>
      </c>
      <c r="D34" s="251">
        <f>IF(A34&lt;=Inputs!$B$52,C34-IF(ROW()=2,0,C33),"")</f>
        <v/>
      </c>
      <c r="E34" s="116">
        <f>IF(D34="","",COUNTIF($D$2:$D$37,"&gt;"&amp;D34)+COUNTIF($D$2:D34,D34))</f>
        <v/>
      </c>
      <c r="F34" s="116">
        <f>IF(E34="","",IF(E34=1,ROUNDUP(Inputs!$B$53/2,0),IF(MOD(E34,2)=0,ROUNDUP(Inputs!$B$53/2,0)+E34/2,ROUNDUP(Inputs!$B$53/2,0)-(E34-1)/2)))</f>
        <v/>
      </c>
      <c r="H34" s="116" t="n">
        <v>33</v>
      </c>
      <c r="I34" s="251">
        <f>IF(H34&lt;=Inputs!$B$53,IFERROR(INDEX($D$2:$D$37,MATCH(H34,$F$2:$F$37,0)),0),0)</f>
        <v/>
      </c>
      <c r="J34" s="251">
        <f>IF(H34&lt;=Inputs!$B$53,I34*60/Inputs!$B$8,0)</f>
        <v/>
      </c>
      <c r="K34" s="116">
        <f>H34*Inputs!$B$8</f>
        <v/>
      </c>
    </row>
    <row r="35">
      <c r="A35" s="116">
        <f>A34+Inputs!$B$8</f>
        <v/>
      </c>
      <c r="B35" s="251">
        <f>Inputs!$B$5/((A35+Inputs!$B$6)^Inputs!$B$7)</f>
        <v/>
      </c>
      <c r="C35" s="251">
        <f>B35*A35/60</f>
        <v/>
      </c>
      <c r="D35" s="251">
        <f>IF(A35&lt;=Inputs!$B$52,C35-IF(ROW()=2,0,C34),"")</f>
        <v/>
      </c>
      <c r="E35" s="116">
        <f>IF(D35="","",COUNTIF($D$2:$D$37,"&gt;"&amp;D35)+COUNTIF($D$2:D35,D35))</f>
        <v/>
      </c>
      <c r="F35" s="116">
        <f>IF(E35="","",IF(E35=1,ROUNDUP(Inputs!$B$53/2,0),IF(MOD(E35,2)=0,ROUNDUP(Inputs!$B$53/2,0)+E35/2,ROUNDUP(Inputs!$B$53/2,0)-(E35-1)/2)))</f>
        <v/>
      </c>
      <c r="H35" s="116" t="n">
        <v>34</v>
      </c>
      <c r="I35" s="251">
        <f>IF(H35&lt;=Inputs!$B$53,IFERROR(INDEX($D$2:$D$37,MATCH(H35,$F$2:$F$37,0)),0),0)</f>
        <v/>
      </c>
      <c r="J35" s="251">
        <f>IF(H35&lt;=Inputs!$B$53,I35*60/Inputs!$B$8,0)</f>
        <v/>
      </c>
      <c r="K35" s="116">
        <f>H35*Inputs!$B$8</f>
        <v/>
      </c>
    </row>
    <row r="36">
      <c r="A36" s="116">
        <f>A35+Inputs!$B$8</f>
        <v/>
      </c>
      <c r="B36" s="251">
        <f>Inputs!$B$5/((A36+Inputs!$B$6)^Inputs!$B$7)</f>
        <v/>
      </c>
      <c r="C36" s="251">
        <f>B36*A36/60</f>
        <v/>
      </c>
      <c r="D36" s="251">
        <f>IF(A36&lt;=Inputs!$B$52,C36-IF(ROW()=2,0,C35),"")</f>
        <v/>
      </c>
      <c r="E36" s="116">
        <f>IF(D36="","",COUNTIF($D$2:$D$37,"&gt;"&amp;D36)+COUNTIF($D$2:D36,D36))</f>
        <v/>
      </c>
      <c r="F36" s="116">
        <f>IF(E36="","",IF(E36=1,ROUNDUP(Inputs!$B$53/2,0),IF(MOD(E36,2)=0,ROUNDUP(Inputs!$B$53/2,0)+E36/2,ROUNDUP(Inputs!$B$53/2,0)-(E36-1)/2)))</f>
        <v/>
      </c>
      <c r="H36" s="116" t="n">
        <v>35</v>
      </c>
      <c r="I36" s="251">
        <f>IF(H36&lt;=Inputs!$B$53,IFERROR(INDEX($D$2:$D$37,MATCH(H36,$F$2:$F$37,0)),0),0)</f>
        <v/>
      </c>
      <c r="J36" s="251">
        <f>IF(H36&lt;=Inputs!$B$53,I36*60/Inputs!$B$8,0)</f>
        <v/>
      </c>
      <c r="K36" s="116">
        <f>H36*Inputs!$B$8</f>
        <v/>
      </c>
    </row>
    <row r="37">
      <c r="A37" s="116">
        <f>A36+Inputs!$B$8</f>
        <v/>
      </c>
      <c r="B37" s="251">
        <f>Inputs!$B$5/((A37+Inputs!$B$6)^Inputs!$B$7)</f>
        <v/>
      </c>
      <c r="C37" s="251">
        <f>B37*A37/60</f>
        <v/>
      </c>
      <c r="D37" s="251">
        <f>IF(A37&lt;=Inputs!$B$52,C37-IF(ROW()=2,0,C36),"")</f>
        <v/>
      </c>
      <c r="E37" s="116">
        <f>IF(D37="","",COUNTIF($D$2:$D$37,"&gt;"&amp;D37)+COUNTIF($D$2:D37,D37))</f>
        <v/>
      </c>
      <c r="F37" s="116">
        <f>IF(E37="","",IF(E37=1,ROUNDUP(Inputs!$B$53/2,0),IF(MOD(E37,2)=0,ROUNDUP(Inputs!$B$53/2,0)+E37/2,ROUNDUP(Inputs!$B$53/2,0)-(E37-1)/2)))</f>
        <v/>
      </c>
      <c r="H37" s="116" t="n">
        <v>36</v>
      </c>
      <c r="I37" s="251">
        <f>IF(H37&lt;=Inputs!$B$53,IFERROR(INDEX($D$2:$D$37,MATCH(H37,$F$2:$F$37,0)),0),0)</f>
        <v/>
      </c>
      <c r="J37" s="251">
        <f>IF(H37&lt;=Inputs!$B$53,I37*60/Inputs!$B$8,0)</f>
        <v/>
      </c>
      <c r="K37" s="116">
        <f>H37*Inputs!$B$8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207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H1" activeCellId="0" sqref="H1"/>
    </sheetView>
  </sheetViews>
  <sheetFormatPr baseColWidth="8" defaultColWidth="11.5703125" defaultRowHeight="12.75" customHeight="1" zeroHeight="0" outlineLevelRow="0"/>
  <cols>
    <col width="12.29" customWidth="1" style="116" min="2" max="2"/>
    <col width="15.85" customWidth="1" style="116" min="4" max="4"/>
    <col width="12.67" customWidth="1" style="116" min="6" max="6"/>
    <col width="14.27" customWidth="1" style="116" min="7" max="7"/>
    <col width="12.65" customWidth="1" style="116" min="8" max="8"/>
    <col width="14.04" customWidth="1" style="116" min="9" max="9"/>
    <col width="13.1" customWidth="1" style="116" min="10" max="10"/>
    <col width="8.220000000000001" customWidth="1" style="116" min="14" max="14"/>
    <col width="9.48" customWidth="1" style="116" min="15" max="15"/>
    <col width="9.48" customWidth="1" style="117" min="16" max="16"/>
    <col width="9.48" customWidth="1" style="117" min="17" max="17"/>
    <col width="9.48" customWidth="1" style="117" min="18" max="18"/>
    <col width="9.48" customWidth="1" style="117" min="19" max="19"/>
  </cols>
  <sheetData>
    <row r="1" ht="26.6" customHeight="1" s="117">
      <c r="A1" s="116" t="inlineStr">
        <is>
          <t>Temps_min</t>
        </is>
      </c>
      <c r="B1" s="116" t="inlineStr">
        <is>
          <t>Pluie_mmh</t>
        </is>
      </c>
      <c r="C1" s="166" t="inlineStr">
        <is>
          <t>Debit_entrant_toiture_m3s</t>
        </is>
      </c>
      <c r="D1" s="167" t="inlineStr">
        <is>
          <t>Stockage_S1_Stormbrixx_m3</t>
        </is>
      </c>
      <c r="E1" s="168" t="inlineStr">
        <is>
          <t xml:space="preserve">Niveau_WL1_Stormbrixx_m </t>
        </is>
      </c>
      <c r="F1" s="167" t="inlineStr">
        <is>
          <t>Q_RP_total_m3s</t>
        </is>
      </c>
      <c r="G1" s="169" t="inlineStr">
        <is>
          <t xml:space="preserve">Debit_surverse1_m3s </t>
        </is>
      </c>
      <c r="H1" s="167" t="inlineStr">
        <is>
          <t>Stockage_S2_puisard_m3</t>
        </is>
      </c>
      <c r="I1" s="169" t="inlineStr">
        <is>
          <t>Debit_surverse2_m3s</t>
        </is>
      </c>
      <c r="J1" s="167" t="inlineStr">
        <is>
          <t>Niveau_WL2_puisard_m</t>
        </is>
      </c>
      <c r="K1" s="167" t="inlineStr">
        <is>
          <t>Pompes_en_marche</t>
        </is>
      </c>
      <c r="L1" s="167" t="inlineStr">
        <is>
          <t>Debit_pompe_commande_m3s</t>
        </is>
      </c>
      <c r="M1" s="167" t="inlineStr">
        <is>
          <t>Debit_pompe_effectif_m3s</t>
        </is>
      </c>
      <c r="N1" s="167" t="inlineStr">
        <is>
          <t>Indicateur_demarrage</t>
        </is>
      </c>
      <c r="O1" s="170" t="inlineStr">
        <is>
          <t>Cumul_demarrages</t>
        </is>
      </c>
      <c r="P1" s="170" t="inlineStr">
        <is>
          <t>Q_jelly_in_m3s</t>
        </is>
      </c>
      <c r="Q1" s="170" t="inlineStr">
        <is>
          <t>Q_bypass_m3s</t>
        </is>
      </c>
      <c r="R1" s="170" t="inlineStr">
        <is>
          <t>Q_jelly_out_m3s</t>
        </is>
      </c>
      <c r="S1" s="170" t="inlineStr">
        <is>
          <t>Q_in_poste_m3s</t>
        </is>
      </c>
      <c r="V1" s="116" t="inlineStr">
        <is>
          <t>BlockDepth_mm</t>
        </is>
      </c>
    </row>
    <row r="2" ht="12.75" customHeight="1" s="117">
      <c r="A2" s="116" t="n">
        <v>0</v>
      </c>
      <c r="B2" s="253">
        <f>IF(A2=0,0,IFERROR(INDEX(IDF_Hyetograph!$J$2:$J$37,MATCH(A2,IDF_Hyetograph!$K$2:$K$37,0)),0))</f>
        <v/>
      </c>
      <c r="C2" s="253">
        <f>0.00278*Inputs!$B$4*Inputs!$B$3*B2</f>
        <v/>
      </c>
      <c r="D2" s="250" t="n">
        <v>0</v>
      </c>
      <c r="E2" s="250">
        <f>Inputs!$B$31</f>
        <v/>
      </c>
      <c r="F2" s="253" t="n">
        <v>0</v>
      </c>
      <c r="G2" s="253" t="n">
        <v>0</v>
      </c>
      <c r="H2" s="253" t="n">
        <v>0</v>
      </c>
      <c r="I2" s="253" t="n">
        <v>0</v>
      </c>
      <c r="J2" s="250">
        <f>Inputs!$B$40</f>
        <v/>
      </c>
      <c r="K2" s="174" t="n">
        <v>0</v>
      </c>
      <c r="L2" s="253" t="n">
        <v>0</v>
      </c>
      <c r="M2" s="253" t="n">
        <v>0</v>
      </c>
      <c r="N2" s="170" t="n">
        <v>0</v>
      </c>
      <c r="O2" s="116" t="n">
        <v>0</v>
      </c>
      <c r="P2" s="250" t="n">
        <v>0</v>
      </c>
      <c r="Q2" s="250" t="n">
        <v>0</v>
      </c>
      <c r="R2" s="250" t="n">
        <v>0</v>
      </c>
      <c r="S2" s="250" t="n">
        <v>0</v>
      </c>
      <c r="U2" s="116" t="n">
        <v>1</v>
      </c>
      <c r="V2" s="165">
        <f>IFERROR(INDEX(IDF_Hyetograph!$D$2:$D$37, MATCH(U2, IDF_Hyetograph!$F$2:$F$37, 0)),"")</f>
        <v/>
      </c>
    </row>
    <row r="3" ht="12.75" customHeight="1" s="117">
      <c r="A3" s="166">
        <f>IF(ROW()&lt;=Inputs!$B$53+2,A2+Inputs!$B$8,"")</f>
        <v/>
      </c>
      <c r="B3" s="254">
        <f>IF(A3="","",IFERROR(INDEX(IDF_Hyetograph!$J$2:$J$37,MATCH(A3,IDF_Hyetograph!$K$2:$K$37,0)),0))</f>
        <v/>
      </c>
      <c r="C3" s="254">
        <f>IF(A3="","",0.00278*Inputs!$B$4*Inputs!$B$3*B3)</f>
        <v/>
      </c>
      <c r="D3" s="254">
        <f>IF(A3="","",MIN( Inputs!$B$30, MAX(0, D2 + (C3-F3-G3)*Inputs!$B$9) ))</f>
        <v/>
      </c>
      <c r="E3" s="254">
        <f>IF(A3="","",Inputs!$B$31 + D3/Inputs!$B$33)</f>
        <v/>
      </c>
      <c r="F3" s="254">
        <f>IF(A3="","",MIN( D2/Inputs!$B$9, Inputs!$B$35*Inputs!$B$36*SQRT(2*Inputs!$B$37*MAX(E2-J2,0)) ))</f>
        <v/>
      </c>
      <c r="G3" s="254">
        <f>IF(A3="","",MAX(0,(D2 + (C3-F3)*Inputs!$B$9 - Inputs!$B$30)/Inputs!$B$9))</f>
        <v/>
      </c>
      <c r="H3" s="254">
        <f>IF(A3="","",MAX(0,MIN(Inputs!$B$44,H2+(S3-M3-I3)*Inputs!$B$9)))</f>
        <v/>
      </c>
      <c r="I3" s="254">
        <f>IF(A3="","",MAX(0,(H2+(S3-M3)*Inputs!$B$9-Inputs!$B$44)/Inputs!$B$9))</f>
        <v/>
      </c>
      <c r="J3" s="254">
        <f>IF(A3="","",Inputs!$B$40 + H3/Inputs!$B$42)</f>
        <v/>
      </c>
      <c r="K3" s="170">
        <f>IF(A3="","",IF(J2&gt;=Inputs!$B$47,2, IF(J2&gt;=Inputs!$B$45,1, IF(J2&lt;=Inputs!$B$46,0,K2))))</f>
        <v/>
      </c>
      <c r="L3" s="254">
        <f>IF(A3="","",K3*Inputs!$B$49)</f>
        <v/>
      </c>
      <c r="M3" s="254">
        <f>IF(A3="","",MIN(L3,H2/Inputs!$B$9+S3))</f>
        <v/>
      </c>
      <c r="N3" s="170">
        <f>IF(A3="","",IF(AND(K3&gt;0,K2=0),1,0))</f>
        <v/>
      </c>
      <c r="O3" s="170">
        <f>IF(A3="","",O2+N3)</f>
        <v/>
      </c>
      <c r="P3" s="250">
        <f>IF(A3="","",MIN(F3,Inputs!$B$50))</f>
        <v/>
      </c>
      <c r="Q3" s="250">
        <f>IF(A3="","",MAX(0,F3-P3))</f>
        <v/>
      </c>
      <c r="R3" s="250">
        <f>IF(A3="","",P3*Inputs!$B$51)</f>
        <v/>
      </c>
      <c r="S3" s="250">
        <f>IF(A3="","",Q3+R3)</f>
        <v/>
      </c>
      <c r="U3" s="116" t="n">
        <v>2</v>
      </c>
      <c r="V3" s="165">
        <f>IFERROR(INDEX(IDF_Hyetograph!$D$2:$D$37, MATCH(U3, IDF_Hyetograph!$F$2:$F$37, 0)),"")</f>
        <v/>
      </c>
    </row>
    <row r="4" ht="12.75" customHeight="1" s="117">
      <c r="A4" s="166">
        <f>IF(ROW()&lt;=Inputs!$B$53+2,A3+Inputs!$B$8,"")</f>
        <v/>
      </c>
      <c r="B4" s="254">
        <f>IF(A4="","",IFERROR(INDEX(IDF_Hyetograph!$J$2:$J$37,MATCH(A4,IDF_Hyetograph!$K$2:$K$37,0)),0))</f>
        <v/>
      </c>
      <c r="C4" s="254">
        <f>IF(A4="","",0.00278*Inputs!$B$4*Inputs!$B$3*B4)</f>
        <v/>
      </c>
      <c r="D4" s="254">
        <f>IF(A4="","",MIN( Inputs!$B$30, MAX(0, D3 + (C4-F4-G4)*Inputs!$B$9) ))</f>
        <v/>
      </c>
      <c r="E4" s="254">
        <f>IF(A4="","",Inputs!$B$31 + D4/Inputs!$B$33)</f>
        <v/>
      </c>
      <c r="F4" s="254">
        <f>IF(A4="","",MIN( D3/Inputs!$B$9, Inputs!$B$35*Inputs!$B$36*SQRT(2*Inputs!$B$37*MAX(E3-J3,0)) ))</f>
        <v/>
      </c>
      <c r="G4" s="254">
        <f>IF(A4="","",MAX(0,(D3 + (C4-F4)*Inputs!$B$9 - Inputs!$B$30)/Inputs!$B$9))</f>
        <v/>
      </c>
      <c r="H4" s="254">
        <f>IF(A4="","",MAX(0,MIN(Inputs!$B$44,H3+(S4-M4-I4)*Inputs!$B$9)))</f>
        <v/>
      </c>
      <c r="I4" s="254">
        <f>IF(A4="","",MAX(0,(H3+(S4-M4)*Inputs!$B$9-Inputs!$B$44)/Inputs!$B$9))</f>
        <v/>
      </c>
      <c r="J4" s="254">
        <f>IF(A4="","",Inputs!$B$40 + H4/Inputs!$B$42)</f>
        <v/>
      </c>
      <c r="K4" s="170">
        <f>IF(A4="","",IF(J3&gt;=Inputs!$B$47,2, IF(J3&gt;=Inputs!$B$45,1, IF(J3&lt;=Inputs!$B$46,0,K3))))</f>
        <v/>
      </c>
      <c r="L4" s="254">
        <f>IF(A4="","",K4*Inputs!$B$49)</f>
        <v/>
      </c>
      <c r="M4" s="254">
        <f>IF(A4="","",MIN(L4,H3/Inputs!$B$9+S4))</f>
        <v/>
      </c>
      <c r="N4" s="170">
        <f>IF(A4="","",IF(AND(K4&gt;0,K3=0),1,0))</f>
        <v/>
      </c>
      <c r="O4" s="170">
        <f>IF(A4="","",O3+N4)</f>
        <v/>
      </c>
      <c r="P4" s="250">
        <f>IF(A4="","",MIN(F4,Inputs!$B$50))</f>
        <v/>
      </c>
      <c r="Q4" s="250">
        <f>IF(A4="","",MAX(0,F4-P4))</f>
        <v/>
      </c>
      <c r="R4" s="250">
        <f>IF(A4="","",P4*Inputs!$B$51)</f>
        <v/>
      </c>
      <c r="S4" s="250">
        <f>IF(A4="","",Q4+R4)</f>
        <v/>
      </c>
      <c r="U4" s="116" t="n">
        <v>3</v>
      </c>
      <c r="V4" s="165">
        <f>IFERROR(INDEX(IDF_Hyetograph!$D$2:$D$37, MATCH(U4, IDF_Hyetograph!$F$2:$F$37, 0)),"")</f>
        <v/>
      </c>
    </row>
    <row r="5" ht="12.75" customHeight="1" s="117">
      <c r="A5" s="166">
        <f>IF(ROW()&lt;=Inputs!$B$53+2,A4+Inputs!$B$8,"")</f>
        <v/>
      </c>
      <c r="B5" s="254">
        <f>IF(A5="","",IFERROR(INDEX(IDF_Hyetograph!$J$2:$J$37,MATCH(A5,IDF_Hyetograph!$K$2:$K$37,0)),0))</f>
        <v/>
      </c>
      <c r="C5" s="254">
        <f>IF(A5="","",0.00278*Inputs!$B$4*Inputs!$B$3*B5)</f>
        <v/>
      </c>
      <c r="D5" s="254">
        <f>IF(A5="","",MIN( Inputs!$B$30, MAX(0, D4 + (C5-F5-G5)*Inputs!$B$9) ))</f>
        <v/>
      </c>
      <c r="E5" s="254">
        <f>IF(A5="","",Inputs!$B$31 + D5/Inputs!$B$33)</f>
        <v/>
      </c>
      <c r="F5" s="254">
        <f>IF(A5="","",MIN( D4/Inputs!$B$9, Inputs!$B$35*Inputs!$B$36*SQRT(2*Inputs!$B$37*MAX(E4-J4,0)) ))</f>
        <v/>
      </c>
      <c r="G5" s="254">
        <f>IF(A5="","",MAX(0,(D4 + (C5-F5)*Inputs!$B$9 - Inputs!$B$30)/Inputs!$B$9))</f>
        <v/>
      </c>
      <c r="H5" s="254">
        <f>IF(A5="","",MAX(0,MIN(Inputs!$B$44,H4+(S5-M5-I5)*Inputs!$B$9)))</f>
        <v/>
      </c>
      <c r="I5" s="254">
        <f>IF(A5="","",MAX(0,(H4+(S5-M5)*Inputs!$B$9-Inputs!$B$44)/Inputs!$B$9))</f>
        <v/>
      </c>
      <c r="J5" s="254">
        <f>IF(A5="","",Inputs!$B$40 + H5/Inputs!$B$42)</f>
        <v/>
      </c>
      <c r="K5" s="170">
        <f>IF(A5="","",IF(J4&gt;=Inputs!$B$47,2, IF(J4&gt;=Inputs!$B$45,1, IF(J4&lt;=Inputs!$B$46,0,K4))))</f>
        <v/>
      </c>
      <c r="L5" s="254">
        <f>IF(A5="","",K5*Inputs!$B$49)</f>
        <v/>
      </c>
      <c r="M5" s="254">
        <f>IF(A5="","",MIN(L5,H4/Inputs!$B$9+S5))</f>
        <v/>
      </c>
      <c r="N5" s="170">
        <f>IF(A5="","",IF(AND(K5&gt;0,K4=0),1,0))</f>
        <v/>
      </c>
      <c r="O5" s="170">
        <f>IF(A5="","",O4+N5)</f>
        <v/>
      </c>
      <c r="P5" s="250">
        <f>IF(A5="","",MIN(F5,Inputs!$B$50))</f>
        <v/>
      </c>
      <c r="Q5" s="250">
        <f>IF(A5="","",MAX(0,F5-P5))</f>
        <v/>
      </c>
      <c r="R5" s="250">
        <f>IF(A5="","",P5*Inputs!$B$51)</f>
        <v/>
      </c>
      <c r="S5" s="250">
        <f>IF(A5="","",Q5+R5)</f>
        <v/>
      </c>
      <c r="U5" s="116" t="n">
        <v>4</v>
      </c>
      <c r="V5" s="165">
        <f>IFERROR(INDEX(IDF_Hyetograph!$D$2:$D$37, MATCH(U5, IDF_Hyetograph!$F$2:$F$37, 0)),"")</f>
        <v/>
      </c>
    </row>
    <row r="6" ht="12.75" customHeight="1" s="117">
      <c r="A6" s="166">
        <f>IF(ROW()&lt;=Inputs!$B$53+2,A5+Inputs!$B$8,"")</f>
        <v/>
      </c>
      <c r="B6" s="254">
        <f>IF(A6="","",IFERROR(INDEX(IDF_Hyetograph!$J$2:$J$37,MATCH(A6,IDF_Hyetograph!$K$2:$K$37,0)),0))</f>
        <v/>
      </c>
      <c r="C6" s="254">
        <f>IF(A6="","",0.00278*Inputs!$B$4*Inputs!$B$3*B6)</f>
        <v/>
      </c>
      <c r="D6" s="254">
        <f>IF(A6="","",MIN( Inputs!$B$30, MAX(0, D5 + (C6-F6-G6)*Inputs!$B$9) ))</f>
        <v/>
      </c>
      <c r="E6" s="254">
        <f>IF(A6="","",Inputs!$B$31 + D6/Inputs!$B$33)</f>
        <v/>
      </c>
      <c r="F6" s="254">
        <f>IF(A6="","",MIN( D5/Inputs!$B$9, Inputs!$B$35*Inputs!$B$36*SQRT(2*Inputs!$B$37*MAX(E5-J5,0)) ))</f>
        <v/>
      </c>
      <c r="G6" s="254">
        <f>IF(A6="","",MAX(0,(D5 + (C6-F6)*Inputs!$B$9 - Inputs!$B$30)/Inputs!$B$9))</f>
        <v/>
      </c>
      <c r="H6" s="254">
        <f>IF(A6="","",MAX(0,MIN(Inputs!$B$44,H5+(S6-M6-I6)*Inputs!$B$9)))</f>
        <v/>
      </c>
      <c r="I6" s="254">
        <f>IF(A6="","",MAX(0,(H5+(S6-M6)*Inputs!$B$9-Inputs!$B$44)/Inputs!$B$9))</f>
        <v/>
      </c>
      <c r="J6" s="254">
        <f>IF(A6="","",Inputs!$B$40 + H6/Inputs!$B$42)</f>
        <v/>
      </c>
      <c r="K6" s="170">
        <f>IF(A6="","",IF(J5&gt;=Inputs!$B$47,2, IF(J5&gt;=Inputs!$B$45,1, IF(J5&lt;=Inputs!$B$46,0,K5))))</f>
        <v/>
      </c>
      <c r="L6" s="254">
        <f>IF(A6="","",K6*Inputs!$B$49)</f>
        <v/>
      </c>
      <c r="M6" s="254">
        <f>IF(A6="","",MIN(L6,H5/Inputs!$B$9+S6))</f>
        <v/>
      </c>
      <c r="N6" s="170">
        <f>IF(A6="","",IF(AND(K6&gt;0,K5=0),1,0))</f>
        <v/>
      </c>
      <c r="O6" s="170">
        <f>IF(A6="","",O5+N6)</f>
        <v/>
      </c>
      <c r="P6" s="250">
        <f>IF(A6="","",MIN(F6,Inputs!$B$50))</f>
        <v/>
      </c>
      <c r="Q6" s="250">
        <f>IF(A6="","",MAX(0,F6-P6))</f>
        <v/>
      </c>
      <c r="R6" s="250">
        <f>IF(A6="","",P6*Inputs!$B$51)</f>
        <v/>
      </c>
      <c r="S6" s="250">
        <f>IF(A6="","",Q6+R6)</f>
        <v/>
      </c>
      <c r="U6" s="116" t="n">
        <v>5</v>
      </c>
      <c r="V6" s="165">
        <f>IFERROR(INDEX(IDF_Hyetograph!$D$2:$D$37, MATCH(U6, IDF_Hyetograph!$F$2:$F$37, 0)),"")</f>
        <v/>
      </c>
    </row>
    <row r="7" ht="12.75" customHeight="1" s="117">
      <c r="A7" s="166">
        <f>IF(ROW()&lt;=Inputs!$B$53+2,A6+Inputs!$B$8,"")</f>
        <v/>
      </c>
      <c r="B7" s="254">
        <f>IF(A7="","",IFERROR(INDEX(IDF_Hyetograph!$J$2:$J$37,MATCH(A7,IDF_Hyetograph!$K$2:$K$37,0)),0))</f>
        <v/>
      </c>
      <c r="C7" s="254">
        <f>IF(A7="","",0.00278*Inputs!$B$4*Inputs!$B$3*B7)</f>
        <v/>
      </c>
      <c r="D7" s="254">
        <f>IF(A7="","",MIN( Inputs!$B$30, MAX(0, D6 + (C7-F7-G7)*Inputs!$B$9) ))</f>
        <v/>
      </c>
      <c r="E7" s="254">
        <f>IF(A7="","",Inputs!$B$31 + D7/Inputs!$B$33)</f>
        <v/>
      </c>
      <c r="F7" s="254">
        <f>IF(A7="","",MIN( D6/Inputs!$B$9, Inputs!$B$35*Inputs!$B$36*SQRT(2*Inputs!$B$37*MAX(E6-J6,0)) ))</f>
        <v/>
      </c>
      <c r="G7" s="254">
        <f>IF(A7="","",MAX(0,(D6 + (C7-F7)*Inputs!$B$9 - Inputs!$B$30)/Inputs!$B$9))</f>
        <v/>
      </c>
      <c r="H7" s="254">
        <f>IF(A7="","",MAX(0,MIN(Inputs!$B$44,H6+(S7-M7-I7)*Inputs!$B$9)))</f>
        <v/>
      </c>
      <c r="I7" s="254">
        <f>IF(A7="","",MAX(0,(H6+(S7-M7)*Inputs!$B$9-Inputs!$B$44)/Inputs!$B$9))</f>
        <v/>
      </c>
      <c r="J7" s="254">
        <f>IF(A7="","",Inputs!$B$40 + H7/Inputs!$B$42)</f>
        <v/>
      </c>
      <c r="K7" s="170">
        <f>IF(A7="","",IF(J6&gt;=Inputs!$B$47,2, IF(J6&gt;=Inputs!$B$45,1, IF(J6&lt;=Inputs!$B$46,0,K6))))</f>
        <v/>
      </c>
      <c r="L7" s="254">
        <f>IF(A7="","",K7*Inputs!$B$49)</f>
        <v/>
      </c>
      <c r="M7" s="254">
        <f>IF(A7="","",MIN(L7,H6/Inputs!$B$9+S7))</f>
        <v/>
      </c>
      <c r="N7" s="170">
        <f>IF(A7="","",IF(AND(K7&gt;0,K6=0),1,0))</f>
        <v/>
      </c>
      <c r="O7" s="170">
        <f>IF(A7="","",O6+N7)</f>
        <v/>
      </c>
      <c r="P7" s="250">
        <f>IF(A7="","",MIN(F7,Inputs!$B$50))</f>
        <v/>
      </c>
      <c r="Q7" s="250">
        <f>IF(A7="","",MAX(0,F7-P7))</f>
        <v/>
      </c>
      <c r="R7" s="250">
        <f>IF(A7="","",P7*Inputs!$B$51)</f>
        <v/>
      </c>
      <c r="S7" s="250">
        <f>IF(A7="","",Q7+R7)</f>
        <v/>
      </c>
      <c r="U7" s="116" t="n">
        <v>6</v>
      </c>
      <c r="V7" s="165">
        <f>IFERROR(INDEX(IDF_Hyetograph!$D$2:$D$37, MATCH(U7, IDF_Hyetograph!$F$2:$F$37, 0)),"")</f>
        <v/>
      </c>
    </row>
    <row r="8" ht="12.75" customHeight="1" s="117">
      <c r="A8" s="166">
        <f>IF(ROW()&lt;=Inputs!$B$53+2,A7+Inputs!$B$8,"")</f>
        <v/>
      </c>
      <c r="B8" s="254">
        <f>IF(A8="","",IFERROR(INDEX(IDF_Hyetograph!$J$2:$J$37,MATCH(A8,IDF_Hyetograph!$K$2:$K$37,0)),0))</f>
        <v/>
      </c>
      <c r="C8" s="254">
        <f>IF(A8="","",0.00278*Inputs!$B$4*Inputs!$B$3*B8)</f>
        <v/>
      </c>
      <c r="D8" s="254">
        <f>IF(A8="","",MIN( Inputs!$B$30, MAX(0, D7 + (C8-F8-G8)*Inputs!$B$9) ))</f>
        <v/>
      </c>
      <c r="E8" s="254">
        <f>IF(A8="","",Inputs!$B$31 + D8/Inputs!$B$33)</f>
        <v/>
      </c>
      <c r="F8" s="254">
        <f>IF(A8="","",MIN( D7/Inputs!$B$9, Inputs!$B$35*Inputs!$B$36*SQRT(2*Inputs!$B$37*MAX(E7-J7,0)) ))</f>
        <v/>
      </c>
      <c r="G8" s="254">
        <f>IF(A8="","",MAX(0,(D7 + (C8-F8)*Inputs!$B$9 - Inputs!$B$30)/Inputs!$B$9))</f>
        <v/>
      </c>
      <c r="H8" s="254">
        <f>IF(A8="","",MAX(0,MIN(Inputs!$B$44,H7+(S8-M8-I8)*Inputs!$B$9)))</f>
        <v/>
      </c>
      <c r="I8" s="254">
        <f>IF(A8="","",MAX(0,(H7+(S8-M8)*Inputs!$B$9-Inputs!$B$44)/Inputs!$B$9))</f>
        <v/>
      </c>
      <c r="J8" s="254">
        <f>IF(A8="","",Inputs!$B$40 + H8/Inputs!$B$42)</f>
        <v/>
      </c>
      <c r="K8" s="170">
        <f>IF(A8="","",IF(J7&gt;=Inputs!$B$47,2, IF(J7&gt;=Inputs!$B$45,1, IF(J7&lt;=Inputs!$B$46,0,K7))))</f>
        <v/>
      </c>
      <c r="L8" s="254">
        <f>IF(A8="","",K8*Inputs!$B$49)</f>
        <v/>
      </c>
      <c r="M8" s="254">
        <f>IF(A8="","",MIN(L8,H7/Inputs!$B$9+S8))</f>
        <v/>
      </c>
      <c r="N8" s="170">
        <f>IF(A8="","",IF(AND(K8&gt;0,K7=0),1,0))</f>
        <v/>
      </c>
      <c r="O8" s="170">
        <f>IF(A8="","",O7+N8)</f>
        <v/>
      </c>
      <c r="P8" s="250">
        <f>IF(A8="","",MIN(F8,Inputs!$B$50))</f>
        <v/>
      </c>
      <c r="Q8" s="250">
        <f>IF(A8="","",MAX(0,F8-P8))</f>
        <v/>
      </c>
      <c r="R8" s="250">
        <f>IF(A8="","",P8*Inputs!$B$51)</f>
        <v/>
      </c>
      <c r="S8" s="250">
        <f>IF(A8="","",Q8+R8)</f>
        <v/>
      </c>
      <c r="U8" s="116" t="n">
        <v>7</v>
      </c>
      <c r="V8" s="165">
        <f>IFERROR(INDEX(IDF_Hyetograph!$D$2:$D$37, MATCH(U8, IDF_Hyetograph!$F$2:$F$37, 0)),"")</f>
        <v/>
      </c>
    </row>
    <row r="9" ht="12.75" customHeight="1" s="117">
      <c r="A9" s="166">
        <f>IF(ROW()&lt;=Inputs!$B$53+2,A8+Inputs!$B$8,"")</f>
        <v/>
      </c>
      <c r="B9" s="254">
        <f>IF(A9="","",IFERROR(INDEX(IDF_Hyetograph!$J$2:$J$37,MATCH(A9,IDF_Hyetograph!$K$2:$K$37,0)),0))</f>
        <v/>
      </c>
      <c r="C9" s="254">
        <f>IF(A9="","",0.00278*Inputs!$B$4*Inputs!$B$3*B9)</f>
        <v/>
      </c>
      <c r="D9" s="254">
        <f>IF(A9="","",MIN( Inputs!$B$30, MAX(0, D8 + (C9-F9-G9)*Inputs!$B$9) ))</f>
        <v/>
      </c>
      <c r="E9" s="254">
        <f>IF(A9="","",Inputs!$B$31 + D9/Inputs!$B$33)</f>
        <v/>
      </c>
      <c r="F9" s="254">
        <f>IF(A9="","",MIN( D8/Inputs!$B$9, Inputs!$B$35*Inputs!$B$36*SQRT(2*Inputs!$B$37*MAX(E8-J8,0)) ))</f>
        <v/>
      </c>
      <c r="G9" s="254">
        <f>IF(A9="","",MAX(0,(D8 + (C9-F9)*Inputs!$B$9 - Inputs!$B$30)/Inputs!$B$9))</f>
        <v/>
      </c>
      <c r="H9" s="254">
        <f>IF(A9="","",MAX(0,MIN(Inputs!$B$44,H8+(S9-M9-I9)*Inputs!$B$9)))</f>
        <v/>
      </c>
      <c r="I9" s="254">
        <f>IF(A9="","",MAX(0,(H8+(S9-M9)*Inputs!$B$9-Inputs!$B$44)/Inputs!$B$9))</f>
        <v/>
      </c>
      <c r="J9" s="254">
        <f>IF(A9="","",Inputs!$B$40 + H9/Inputs!$B$42)</f>
        <v/>
      </c>
      <c r="K9" s="170">
        <f>IF(A9="","",IF(J8&gt;=Inputs!$B$47,2, IF(J8&gt;=Inputs!$B$45,1, IF(J8&lt;=Inputs!$B$46,0,K8))))</f>
        <v/>
      </c>
      <c r="L9" s="254">
        <f>IF(A9="","",K9*Inputs!$B$49)</f>
        <v/>
      </c>
      <c r="M9" s="254">
        <f>IF(A9="","",MIN(L9,H8/Inputs!$B$9+S9))</f>
        <v/>
      </c>
      <c r="N9" s="170">
        <f>IF(A9="","",IF(AND(K9&gt;0,K8=0),1,0))</f>
        <v/>
      </c>
      <c r="O9" s="170">
        <f>IF(A9="","",O8+N9)</f>
        <v/>
      </c>
      <c r="P9" s="250">
        <f>IF(A9="","",MIN(F9,Inputs!$B$50))</f>
        <v/>
      </c>
      <c r="Q9" s="250">
        <f>IF(A9="","",MAX(0,F9-P9))</f>
        <v/>
      </c>
      <c r="R9" s="250">
        <f>IF(A9="","",P9*Inputs!$B$51)</f>
        <v/>
      </c>
      <c r="S9" s="250">
        <f>IF(A9="","",Q9+R9)</f>
        <v/>
      </c>
      <c r="U9" s="116" t="n">
        <v>8</v>
      </c>
      <c r="V9" s="165">
        <f>IFERROR(INDEX(IDF_Hyetograph!$D$2:$D$37, MATCH(U9, IDF_Hyetograph!$F$2:$F$37, 0)),"")</f>
        <v/>
      </c>
    </row>
    <row r="10" ht="12.75" customHeight="1" s="117">
      <c r="A10" s="166">
        <f>IF(ROW()&lt;=Inputs!$B$53+2,A9+Inputs!$B$8,"")</f>
        <v/>
      </c>
      <c r="B10" s="254">
        <f>IF(A10="","",IFERROR(INDEX(IDF_Hyetograph!$J$2:$J$37,MATCH(A10,IDF_Hyetograph!$K$2:$K$37,0)),0))</f>
        <v/>
      </c>
      <c r="C10" s="254">
        <f>IF(A10="","",0.00278*Inputs!$B$4*Inputs!$B$3*B10)</f>
        <v/>
      </c>
      <c r="D10" s="254">
        <f>IF(A10="","",MIN( Inputs!$B$30, MAX(0, D9 + (C10-F10-G10)*Inputs!$B$9) ))</f>
        <v/>
      </c>
      <c r="E10" s="254">
        <f>IF(A10="","",Inputs!$B$31 + D10/Inputs!$B$33)</f>
        <v/>
      </c>
      <c r="F10" s="254">
        <f>IF(A10="","",MIN( D9/Inputs!$B$9, Inputs!$B$35*Inputs!$B$36*SQRT(2*Inputs!$B$37*MAX(E9-J9,0)) ))</f>
        <v/>
      </c>
      <c r="G10" s="254">
        <f>IF(A10="","",MAX(0,(D9 + (C10-F10)*Inputs!$B$9 - Inputs!$B$30)/Inputs!$B$9))</f>
        <v/>
      </c>
      <c r="H10" s="254">
        <f>IF(A10="","",MAX(0,MIN(Inputs!$B$44,H9+(S10-M10-I10)*Inputs!$B$9)))</f>
        <v/>
      </c>
      <c r="I10" s="254">
        <f>IF(A10="","",MAX(0,(H9+(S10-M10)*Inputs!$B$9-Inputs!$B$44)/Inputs!$B$9))</f>
        <v/>
      </c>
      <c r="J10" s="254">
        <f>IF(A10="","",Inputs!$B$40 + H10/Inputs!$B$42)</f>
        <v/>
      </c>
      <c r="K10" s="170">
        <f>IF(A10="","",IF(J9&gt;=Inputs!$B$47,2, IF(J9&gt;=Inputs!$B$45,1, IF(J9&lt;=Inputs!$B$46,0,K9))))</f>
        <v/>
      </c>
      <c r="L10" s="254">
        <f>IF(A10="","",K10*Inputs!$B$49)</f>
        <v/>
      </c>
      <c r="M10" s="254">
        <f>IF(A10="","",MIN(L10,H9/Inputs!$B$9+S10))</f>
        <v/>
      </c>
      <c r="N10" s="170">
        <f>IF(A10="","",IF(AND(K10&gt;0,K9=0),1,0))</f>
        <v/>
      </c>
      <c r="O10" s="170">
        <f>IF(A10="","",O9+N10)</f>
        <v/>
      </c>
      <c r="P10" s="250">
        <f>IF(A10="","",MIN(F10,Inputs!$B$50))</f>
        <v/>
      </c>
      <c r="Q10" s="250">
        <f>IF(A10="","",MAX(0,F10-P10))</f>
        <v/>
      </c>
      <c r="R10" s="250">
        <f>IF(A10="","",P10*Inputs!$B$51)</f>
        <v/>
      </c>
      <c r="S10" s="250">
        <f>IF(A10="","",Q10+R10)</f>
        <v/>
      </c>
      <c r="U10" s="116" t="n">
        <v>9</v>
      </c>
      <c r="V10" s="165">
        <f>IFERROR(INDEX(IDF_Hyetograph!$D$2:$D$37, MATCH(U10, IDF_Hyetograph!$F$2:$F$37, 0)),"")</f>
        <v/>
      </c>
    </row>
    <row r="11" ht="12.75" customHeight="1" s="117">
      <c r="A11" s="166">
        <f>IF(ROW()&lt;=Inputs!$B$53+2,A10+Inputs!$B$8,"")</f>
        <v/>
      </c>
      <c r="B11" s="254">
        <f>IF(A11="","",IFERROR(INDEX(IDF_Hyetograph!$J$2:$J$37,MATCH(A11,IDF_Hyetograph!$K$2:$K$37,0)),0))</f>
        <v/>
      </c>
      <c r="C11" s="254">
        <f>IF(A11="","",0.00278*Inputs!$B$4*Inputs!$B$3*B11)</f>
        <v/>
      </c>
      <c r="D11" s="254">
        <f>IF(A11="","",MIN( Inputs!$B$30, MAX(0, D10 + (C11-F11-G11)*Inputs!$B$9) ))</f>
        <v/>
      </c>
      <c r="E11" s="254">
        <f>IF(A11="","",Inputs!$B$31 + D11/Inputs!$B$33)</f>
        <v/>
      </c>
      <c r="F11" s="254">
        <f>IF(A11="","",MIN( D10/Inputs!$B$9, Inputs!$B$35*Inputs!$B$36*SQRT(2*Inputs!$B$37*MAX(E10-J10,0)) ))</f>
        <v/>
      </c>
      <c r="G11" s="254">
        <f>IF(A11="","",MAX(0,(D10 + (C11-F11)*Inputs!$B$9 - Inputs!$B$30)/Inputs!$B$9))</f>
        <v/>
      </c>
      <c r="H11" s="254">
        <f>IF(A11="","",MAX(0,MIN(Inputs!$B$44,H10+(S11-M11-I11)*Inputs!$B$9)))</f>
        <v/>
      </c>
      <c r="I11" s="254">
        <f>IF(A11="","",MAX(0,(H10+(S11-M11)*Inputs!$B$9-Inputs!$B$44)/Inputs!$B$9))</f>
        <v/>
      </c>
      <c r="J11" s="254">
        <f>IF(A11="","",Inputs!$B$40 + H11/Inputs!$B$42)</f>
        <v/>
      </c>
      <c r="K11" s="170">
        <f>IF(A11="","",IF(J10&gt;=Inputs!$B$47,2, IF(J10&gt;=Inputs!$B$45,1, IF(J10&lt;=Inputs!$B$46,0,K10))))</f>
        <v/>
      </c>
      <c r="L11" s="254">
        <f>IF(A11="","",K11*Inputs!$B$49)</f>
        <v/>
      </c>
      <c r="M11" s="254">
        <f>IF(A11="","",MIN(L11,H10/Inputs!$B$9+S11))</f>
        <v/>
      </c>
      <c r="N11" s="170">
        <f>IF(A11="","",IF(AND(K11&gt;0,K10=0),1,0))</f>
        <v/>
      </c>
      <c r="O11" s="170">
        <f>IF(A11="","",O10+N11)</f>
        <v/>
      </c>
      <c r="P11" s="250">
        <f>IF(A11="","",MIN(F11,Inputs!$B$50))</f>
        <v/>
      </c>
      <c r="Q11" s="250">
        <f>IF(A11="","",MAX(0,F11-P11))</f>
        <v/>
      </c>
      <c r="R11" s="250">
        <f>IF(A11="","",P11*Inputs!$B$51)</f>
        <v/>
      </c>
      <c r="S11" s="250">
        <f>IF(A11="","",Q11+R11)</f>
        <v/>
      </c>
      <c r="U11" s="116" t="n">
        <v>10</v>
      </c>
      <c r="V11" s="165">
        <f>IFERROR(INDEX(IDF_Hyetograph!$D$2:$D$37, MATCH(U11, IDF_Hyetograph!$F$2:$F$37, 0)),"")</f>
        <v/>
      </c>
    </row>
    <row r="12" ht="12.75" customHeight="1" s="117">
      <c r="A12" s="166">
        <f>IF(ROW()&lt;=Inputs!$B$53+2,A11+Inputs!$B$8,"")</f>
        <v/>
      </c>
      <c r="B12" s="254">
        <f>IF(A12="","",IFERROR(INDEX(IDF_Hyetograph!$J$2:$J$37,MATCH(A12,IDF_Hyetograph!$K$2:$K$37,0)),0))</f>
        <v/>
      </c>
      <c r="C12" s="254">
        <f>IF(A12="","",0.00278*Inputs!$B$4*Inputs!$B$3*B12)</f>
        <v/>
      </c>
      <c r="D12" s="254">
        <f>IF(A12="","",MIN( Inputs!$B$30, MAX(0, D11 + (C12-F12-G12)*Inputs!$B$9) ))</f>
        <v/>
      </c>
      <c r="E12" s="254">
        <f>IF(A12="","",Inputs!$B$31 + D12/Inputs!$B$33)</f>
        <v/>
      </c>
      <c r="F12" s="254">
        <f>IF(A12="","",MIN( D11/Inputs!$B$9, Inputs!$B$35*Inputs!$B$36*SQRT(2*Inputs!$B$37*MAX(E11-J11,0)) ))</f>
        <v/>
      </c>
      <c r="G12" s="254">
        <f>IF(A12="","",MAX(0,(D11 + (C12-F12)*Inputs!$B$9 - Inputs!$B$30)/Inputs!$B$9))</f>
        <v/>
      </c>
      <c r="H12" s="254">
        <f>IF(A12="","",MAX(0,MIN(Inputs!$B$44,H11+(S12-M12-I12)*Inputs!$B$9)))</f>
        <v/>
      </c>
      <c r="I12" s="254">
        <f>IF(A12="","",MAX(0,(H11+(S12-M12)*Inputs!$B$9-Inputs!$B$44)/Inputs!$B$9))</f>
        <v/>
      </c>
      <c r="J12" s="254">
        <f>IF(A12="","",Inputs!$B$40 + H12/Inputs!$B$42)</f>
        <v/>
      </c>
      <c r="K12" s="170">
        <f>IF(A12="","",IF(J11&gt;=Inputs!$B$47,2, IF(J11&gt;=Inputs!$B$45,1, IF(J11&lt;=Inputs!$B$46,0,K11))))</f>
        <v/>
      </c>
      <c r="L12" s="254">
        <f>IF(A12="","",K12*Inputs!$B$49)</f>
        <v/>
      </c>
      <c r="M12" s="254">
        <f>IF(A12="","",MIN(L12,H11/Inputs!$B$9+S12))</f>
        <v/>
      </c>
      <c r="N12" s="170">
        <f>IF(A12="","",IF(AND(K12&gt;0,K11=0),1,0))</f>
        <v/>
      </c>
      <c r="O12" s="170">
        <f>IF(A12="","",O11+N12)</f>
        <v/>
      </c>
      <c r="P12" s="250">
        <f>IF(A12="","",MIN(F12,Inputs!$B$50))</f>
        <v/>
      </c>
      <c r="Q12" s="250">
        <f>IF(A12="","",MAX(0,F12-P12))</f>
        <v/>
      </c>
      <c r="R12" s="250">
        <f>IF(A12="","",P12*Inputs!$B$51)</f>
        <v/>
      </c>
      <c r="S12" s="250">
        <f>IF(A12="","",Q12+R12)</f>
        <v/>
      </c>
      <c r="U12" s="116" t="n">
        <v>11</v>
      </c>
      <c r="V12" s="165">
        <f>IFERROR(INDEX(IDF_Hyetograph!$D$2:$D$37, MATCH(U12, IDF_Hyetograph!$F$2:$F$37, 0)),"")</f>
        <v/>
      </c>
    </row>
    <row r="13" ht="12.75" customHeight="1" s="117">
      <c r="A13" s="166">
        <f>IF(ROW()&lt;=Inputs!$B$53+2,A12+Inputs!$B$8,"")</f>
        <v/>
      </c>
      <c r="B13" s="254">
        <f>IF(A13="","",IFERROR(INDEX(IDF_Hyetograph!$J$2:$J$37,MATCH(A13,IDF_Hyetograph!$K$2:$K$37,0)),0))</f>
        <v/>
      </c>
      <c r="C13" s="254">
        <f>IF(A13="","",0.00278*Inputs!$B$4*Inputs!$B$3*B13)</f>
        <v/>
      </c>
      <c r="D13" s="254">
        <f>IF(A13="","",MIN( Inputs!$B$30, MAX(0, D12 + (C13-F13-G13)*Inputs!$B$9) ))</f>
        <v/>
      </c>
      <c r="E13" s="254">
        <f>IF(A13="","",Inputs!$B$31 + D13/Inputs!$B$33)</f>
        <v/>
      </c>
      <c r="F13" s="254">
        <f>IF(A13="","",MIN( D12/Inputs!$B$9, Inputs!$B$35*Inputs!$B$36*SQRT(2*Inputs!$B$37*MAX(E12-J12,0)) ))</f>
        <v/>
      </c>
      <c r="G13" s="254">
        <f>IF(A13="","",MAX(0,(D12 + (C13-F13)*Inputs!$B$9 - Inputs!$B$30)/Inputs!$B$9))</f>
        <v/>
      </c>
      <c r="H13" s="254">
        <f>IF(A13="","",MAX(0,MIN(Inputs!$B$44,H12+(S13-M13-I13)*Inputs!$B$9)))</f>
        <v/>
      </c>
      <c r="I13" s="254">
        <f>IF(A13="","",MAX(0,(H12+(S13-M13)*Inputs!$B$9-Inputs!$B$44)/Inputs!$B$9))</f>
        <v/>
      </c>
      <c r="J13" s="254">
        <f>IF(A13="","",Inputs!$B$40 + H13/Inputs!$B$42)</f>
        <v/>
      </c>
      <c r="K13" s="170">
        <f>IF(A13="","",IF(J12&gt;=Inputs!$B$47,2, IF(J12&gt;=Inputs!$B$45,1, IF(J12&lt;=Inputs!$B$46,0,K12))))</f>
        <v/>
      </c>
      <c r="L13" s="254">
        <f>IF(A13="","",K13*Inputs!$B$49)</f>
        <v/>
      </c>
      <c r="M13" s="254">
        <f>IF(A13="","",MIN(L13,H12/Inputs!$B$9+S13))</f>
        <v/>
      </c>
      <c r="N13" s="170">
        <f>IF(A13="","",IF(AND(K13&gt;0,K12=0),1,0))</f>
        <v/>
      </c>
      <c r="O13" s="170">
        <f>IF(A13="","",O12+N13)</f>
        <v/>
      </c>
      <c r="P13" s="250">
        <f>IF(A13="","",MIN(F13,Inputs!$B$50))</f>
        <v/>
      </c>
      <c r="Q13" s="250">
        <f>IF(A13="","",MAX(0,F13-P13))</f>
        <v/>
      </c>
      <c r="R13" s="250">
        <f>IF(A13="","",P13*Inputs!$B$51)</f>
        <v/>
      </c>
      <c r="S13" s="250">
        <f>IF(A13="","",Q13+R13)</f>
        <v/>
      </c>
      <c r="U13" s="116" t="n">
        <v>12</v>
      </c>
      <c r="V13" s="165">
        <f>IFERROR(INDEX(IDF_Hyetograph!$D$2:$D$37, MATCH(U13, IDF_Hyetograph!$F$2:$F$37, 0)),"")</f>
        <v/>
      </c>
    </row>
    <row r="14" ht="12.75" customHeight="1" s="117">
      <c r="A14" s="166">
        <f>IF(ROW()&lt;=Inputs!$B$53+2,A13+Inputs!$B$8,"")</f>
        <v/>
      </c>
      <c r="B14" s="254">
        <f>IF(A14="","",IFERROR(INDEX(IDF_Hyetograph!$J$2:$J$37,MATCH(A14,IDF_Hyetograph!$K$2:$K$37,0)),0))</f>
        <v/>
      </c>
      <c r="C14" s="254">
        <f>IF(A14="","",0.00278*Inputs!$B$4*Inputs!$B$3*B14)</f>
        <v/>
      </c>
      <c r="D14" s="254">
        <f>IF(A14="","",MIN( Inputs!$B$30, MAX(0, D13 + (C14-F14-G14)*Inputs!$B$9) ))</f>
        <v/>
      </c>
      <c r="E14" s="254">
        <f>IF(A14="","",Inputs!$B$31 + D14/Inputs!$B$33)</f>
        <v/>
      </c>
      <c r="F14" s="254">
        <f>IF(A14="","",MIN( D13/Inputs!$B$9, Inputs!$B$35*Inputs!$B$36*SQRT(2*Inputs!$B$37*MAX(E13-J13,0)) ))</f>
        <v/>
      </c>
      <c r="G14" s="254">
        <f>IF(A14="","",MAX(0,(D13 + (C14-F14)*Inputs!$B$9 - Inputs!$B$30)/Inputs!$B$9))</f>
        <v/>
      </c>
      <c r="H14" s="254">
        <f>IF(A14="","",MAX(0,MIN(Inputs!$B$44,H13+(S14-M14-I14)*Inputs!$B$9)))</f>
        <v/>
      </c>
      <c r="I14" s="254">
        <f>IF(A14="","",MAX(0,(H13+(S14-M14)*Inputs!$B$9-Inputs!$B$44)/Inputs!$B$9))</f>
        <v/>
      </c>
      <c r="J14" s="254">
        <f>IF(A14="","",Inputs!$B$40 + H14/Inputs!$B$42)</f>
        <v/>
      </c>
      <c r="K14" s="170">
        <f>IF(A14="","",IF(J13&gt;=Inputs!$B$47,2, IF(J13&gt;=Inputs!$B$45,1, IF(J13&lt;=Inputs!$B$46,0,K13))))</f>
        <v/>
      </c>
      <c r="L14" s="254">
        <f>IF(A14="","",K14*Inputs!$B$49)</f>
        <v/>
      </c>
      <c r="M14" s="254">
        <f>IF(A14="","",MIN(L14,H13/Inputs!$B$9+S14))</f>
        <v/>
      </c>
      <c r="N14" s="170">
        <f>IF(A14="","",IF(AND(K14&gt;0,K13=0),1,0))</f>
        <v/>
      </c>
      <c r="O14" s="170">
        <f>IF(A14="","",O13+N14)</f>
        <v/>
      </c>
      <c r="P14" s="250">
        <f>IF(A14="","",MIN(F14,Inputs!$B$50))</f>
        <v/>
      </c>
      <c r="Q14" s="250">
        <f>IF(A14="","",MAX(0,F14-P14))</f>
        <v/>
      </c>
      <c r="R14" s="250">
        <f>IF(A14="","",P14*Inputs!$B$51)</f>
        <v/>
      </c>
      <c r="S14" s="250">
        <f>IF(A14="","",Q14+R14)</f>
        <v/>
      </c>
    </row>
    <row r="15" ht="12.75" customHeight="1" s="117">
      <c r="A15" s="116">
        <f>IF(ROW()&lt;=Inputs!$B$53+2,A14+Inputs!$B$8,"")</f>
        <v/>
      </c>
      <c r="B15" s="251">
        <f>IF(A15="","",IFERROR(INDEX(IDF_Hyetograph!$J$2:$J$37,MATCH(A15,IDF_Hyetograph!$K$2:$K$37,0)),0))</f>
        <v/>
      </c>
      <c r="C15" s="251">
        <f>IF(A15="","",0.00278*Inputs!$B$4*Inputs!$B$3*B15)</f>
        <v/>
      </c>
      <c r="D15" s="251">
        <f>IF(A15="","",MIN( Inputs!$B$30, MAX(0, D14 + (C15-F15-G15)*Inputs!$B$9) ))</f>
        <v/>
      </c>
      <c r="E15" s="251">
        <f>IF(A15="","",Inputs!$B$31 + D15/Inputs!$B$33)</f>
        <v/>
      </c>
      <c r="F15" s="251">
        <f>IF(A15="","",MIN( D14/Inputs!$B$9, Inputs!$B$35*Inputs!$B$36*SQRT(2*Inputs!$B$37*MAX(E14-J14,0)) ))</f>
        <v/>
      </c>
      <c r="G15" s="251">
        <f>IF(A15="","",MAX(0,(D14 + (C15-F15)*Inputs!$B$9 - Inputs!$B$30)/Inputs!$B$9))</f>
        <v/>
      </c>
      <c r="H15" s="250">
        <f>IF(A15="","",MAX(0,MIN(Inputs!$B$44,H14+(S15-M15-I15)*Inputs!$B$9)))</f>
        <v/>
      </c>
      <c r="I15" s="251">
        <f>IF(A15="","",MAX(0,(H14+(S15-M15)*Inputs!$B$9-Inputs!$B$44)/Inputs!$B$9))</f>
        <v/>
      </c>
      <c r="J15" s="251">
        <f>IF(A15="","",Inputs!$B$40 + H15/Inputs!$B$42)</f>
        <v/>
      </c>
      <c r="K15" s="166">
        <f>IF(A15="","",IF(J14&gt;=Inputs!$B$47,2, IF(J14&gt;=Inputs!$B$45,1, IF(J14&lt;=Inputs!$B$46,0,K14))))</f>
        <v/>
      </c>
      <c r="L15" s="251">
        <f>IF(A15="","",K15*Inputs!$B$49)</f>
        <v/>
      </c>
      <c r="M15" s="251">
        <f>IF(A15="","",MIN(L15,H14/Inputs!$B$9+S15))</f>
        <v/>
      </c>
      <c r="N15" s="116">
        <f>IF(A15="","",IF(AND(K15&gt;0,K14=0),1,0))</f>
        <v/>
      </c>
      <c r="O15" s="116">
        <f>IF(A15="","",O14+N15)</f>
        <v/>
      </c>
      <c r="P15" s="251">
        <f>IF(A15="","",MIN(F15,Inputs!$B$50))</f>
        <v/>
      </c>
      <c r="Q15" s="251">
        <f>IF(A15="","",MAX(0,F15-P15))</f>
        <v/>
      </c>
      <c r="R15" s="251">
        <f>IF(A15="","",P15*Inputs!$B$51)</f>
        <v/>
      </c>
      <c r="S15" s="251">
        <f>IF(A15="","",Q15+R15)</f>
        <v/>
      </c>
    </row>
    <row r="16" ht="12.75" customHeight="1" s="117">
      <c r="A16" s="116">
        <f>IF(ROW()&lt;=Inputs!$B$53+2,A15+Inputs!$B$8,"")</f>
        <v/>
      </c>
      <c r="B16" s="251">
        <f>IF(A16="","",IFERROR(INDEX(IDF_Hyetograph!$J$2:$J$37,MATCH(A16,IDF_Hyetograph!$K$2:$K$37,0)),0))</f>
        <v/>
      </c>
      <c r="C16" s="251">
        <f>IF(A16="","",0.00278*Inputs!$B$4*Inputs!$B$3*B16)</f>
        <v/>
      </c>
      <c r="D16" s="251">
        <f>IF(A16="","",MIN( Inputs!$B$30, MAX(0, D15 + (C16-F16-G16)*Inputs!$B$9) ))</f>
        <v/>
      </c>
      <c r="E16" s="251">
        <f>IF(A16="","",Inputs!$B$31 + D16/Inputs!$B$33)</f>
        <v/>
      </c>
      <c r="F16" s="251">
        <f>IF(A16="","",MIN( D15/Inputs!$B$9, Inputs!$B$35*Inputs!$B$36*SQRT(2*Inputs!$B$37*MAX(E15-J15,0)) ))</f>
        <v/>
      </c>
      <c r="G16" s="251">
        <f>IF(A16="","",MAX(0,(D15 + (C16-F16)*Inputs!$B$9 - Inputs!$B$30)/Inputs!$B$9))</f>
        <v/>
      </c>
      <c r="H16" s="255">
        <f>IF(A16="","",MAX(0,MIN(Inputs!$B$44,H15+(S16-M16-I16)*Inputs!$B$9)))</f>
        <v/>
      </c>
      <c r="I16" s="251">
        <f>IF(A16="","",MAX(0,(H15+(S16-M16)*Inputs!$B$9-Inputs!$B$44)/Inputs!$B$9))</f>
        <v/>
      </c>
      <c r="J16" s="251">
        <f>IF(A16="","",Inputs!$B$40 + H16/Inputs!$B$42)</f>
        <v/>
      </c>
      <c r="K16" s="116">
        <f>IF(A16="","",IF(J15&gt;=Inputs!$B$47,2, IF(J15&gt;=Inputs!$B$45,1, IF(J15&lt;=Inputs!$B$46,0,K15))))</f>
        <v/>
      </c>
      <c r="L16" s="251">
        <f>IF(A16="","",K16*Inputs!$B$49)</f>
        <v/>
      </c>
      <c r="M16" s="251">
        <f>IF(A16="","",MIN(L16,H15/Inputs!$B$9+S16))</f>
        <v/>
      </c>
      <c r="N16" s="116">
        <f>IF(A16="","",IF(AND(K16&gt;0,K15=0),1,0))</f>
        <v/>
      </c>
      <c r="O16" s="116">
        <f>IF(A16="","",O15+N16)</f>
        <v/>
      </c>
      <c r="P16" s="251">
        <f>IF(A16="","",MIN(F16,Inputs!$B$50))</f>
        <v/>
      </c>
      <c r="Q16" s="251">
        <f>IF(A16="","",MAX(0,F16-P16))</f>
        <v/>
      </c>
      <c r="R16" s="251">
        <f>IF(A16="","",P16*Inputs!$B$51)</f>
        <v/>
      </c>
      <c r="S16" s="251">
        <f>IF(A16="","",Q16+R16)</f>
        <v/>
      </c>
    </row>
    <row r="17" ht="12.75" customHeight="1" s="117">
      <c r="A17" s="116">
        <f>IF(ROW()&lt;=Inputs!$B$53+2,A16+Inputs!$B$8,"")</f>
        <v/>
      </c>
      <c r="B17" s="251">
        <f>IF(A17="","",IFERROR(INDEX(IDF_Hyetograph!$J$2:$J$37,MATCH(A17,IDF_Hyetograph!$K$2:$K$37,0)),0))</f>
        <v/>
      </c>
      <c r="C17" s="256">
        <f>IF(A17="","",0.00278*Inputs!$B$4*Inputs!$B$3*B17)</f>
        <v/>
      </c>
      <c r="D17" s="257">
        <f>IF(A17="","",MIN( Inputs!$B$30, MAX(0, D16 + (C17-F17-G17)*Inputs!$B$9) ))</f>
        <v/>
      </c>
      <c r="E17" s="258">
        <f>IF(A17="","",Inputs!$B$31 + D17/Inputs!$B$33)</f>
        <v/>
      </c>
      <c r="F17" s="251">
        <f>IF(A17="","",MIN( D16/Inputs!$B$9, Inputs!$B$35*Inputs!$B$36*SQRT(2*Inputs!$B$37*MAX(E16-J16,0)) ))</f>
        <v/>
      </c>
      <c r="G17" s="259">
        <f>IF(A17="","",MAX(0,(D16 + (C17-F17)*Inputs!$B$9 - Inputs!$B$30)/Inputs!$B$9))</f>
        <v/>
      </c>
      <c r="H17" s="260">
        <f>IF(A17="","",MAX(0,MIN(Inputs!$B$44,H16+(S17-M17-I17)*Inputs!$B$9)))</f>
        <v/>
      </c>
      <c r="I17" s="259">
        <f>IF(A17="","",MAX(0,(H16+(S17-M17)*Inputs!$B$9-Inputs!$B$44)/Inputs!$B$9))</f>
        <v/>
      </c>
      <c r="J17" s="251">
        <f>IF(A17="","",Inputs!$B$40 + H17/Inputs!$B$42)</f>
        <v/>
      </c>
      <c r="K17" s="116">
        <f>IF(A17="","",IF(J16&gt;=Inputs!$B$47,2, IF(J16&gt;=Inputs!$B$45,1, IF(J16&lt;=Inputs!$B$46,0,K16))))</f>
        <v/>
      </c>
      <c r="L17" s="251">
        <f>IF(A17="","",K17*Inputs!$B$49)</f>
        <v/>
      </c>
      <c r="M17" s="259">
        <f>IF(A17="","",MIN(L17,H16/Inputs!$B$9+S17))</f>
        <v/>
      </c>
      <c r="N17" s="116">
        <f>IF(A17="","",IF(AND(K17&gt;0,K16=0),1,0))</f>
        <v/>
      </c>
      <c r="O17" s="252">
        <f>IF(A17="","",O16+N17)</f>
        <v/>
      </c>
      <c r="P17" s="251">
        <f>IF(A17="","",MIN(F17,Inputs!$B$50))</f>
        <v/>
      </c>
      <c r="Q17" s="251">
        <f>IF(A17="","",MAX(0,F17-P17))</f>
        <v/>
      </c>
      <c r="R17" s="251">
        <f>IF(A17="","",P17*Inputs!$B$51)</f>
        <v/>
      </c>
      <c r="S17" s="251">
        <f>IF(A17="","",Q17+R17)</f>
        <v/>
      </c>
    </row>
    <row r="18" ht="12.75" customHeight="1" s="117">
      <c r="A18" s="116">
        <f>IF(ROW()&lt;=Inputs!$B$53+2,A17+Inputs!$B$8,"")</f>
        <v/>
      </c>
      <c r="B18" s="251">
        <f>IF(A18="","",IFERROR(INDEX(IDF_Hyetograph!$J$2:$J$37,MATCH(A18,IDF_Hyetograph!$K$2:$K$37,0)),0))</f>
        <v/>
      </c>
      <c r="C18" s="251">
        <f>IF(A18="","",0.00278*Inputs!$B$4*Inputs!$B$3*B18)</f>
        <v/>
      </c>
      <c r="D18" s="251">
        <f>IF(A18="","",MIN( Inputs!$B$30, MAX(0, D17 + (C18-F18-G18)*Inputs!$B$9) ))</f>
        <v/>
      </c>
      <c r="E18" s="251">
        <f>IF(A18="","",Inputs!$B$31 + D18/Inputs!$B$33)</f>
        <v/>
      </c>
      <c r="F18" s="251">
        <f>IF(A18="","",MIN( D17/Inputs!$B$9, Inputs!$B$35*Inputs!$B$36*SQRT(2*Inputs!$B$37*MAX(E17-J17,0)) ))</f>
        <v/>
      </c>
      <c r="G18" s="251">
        <f>IF(A18="","",MAX(0,(D17 + (C18-F18)*Inputs!$B$9 - Inputs!$B$30)/Inputs!$B$9))</f>
        <v/>
      </c>
      <c r="H18" s="251">
        <f>IF(A18="","",MAX(0,MIN(Inputs!$B$44,H17+(S18-M18-I18)*Inputs!$B$9)))</f>
        <v/>
      </c>
      <c r="I18" s="251">
        <f>IF(A18="","",MAX(0,(H17+(S18-M18)*Inputs!$B$9-Inputs!$B$44)/Inputs!$B$9))</f>
        <v/>
      </c>
      <c r="J18" s="251">
        <f>IF(A18="","",Inputs!$B$40 + H18/Inputs!$B$42)</f>
        <v/>
      </c>
      <c r="K18" s="116">
        <f>IF(A18="","",IF(J17&gt;=Inputs!$B$47,2, IF(J17&gt;=Inputs!$B$45,1, IF(J17&lt;=Inputs!$B$46,0,K17))))</f>
        <v/>
      </c>
      <c r="L18" s="251">
        <f>IF(A18="","",K18*Inputs!$B$49)</f>
        <v/>
      </c>
      <c r="M18" s="251">
        <f>IF(A18="","",MIN(L18,H17/Inputs!$B$9+S18))</f>
        <v/>
      </c>
      <c r="N18" s="116">
        <f>IF(A18="","",IF(AND(K18&gt;0,K17=0),1,0))</f>
        <v/>
      </c>
      <c r="O18" s="254">
        <f>IF(A18="","",O17+N18)</f>
        <v/>
      </c>
      <c r="P18" s="251">
        <f>IF(A18="","",MIN(F18,Inputs!$B$50))</f>
        <v/>
      </c>
      <c r="Q18" s="251">
        <f>IF(A18="","",MAX(0,F18-P18))</f>
        <v/>
      </c>
      <c r="R18" s="251">
        <f>IF(A18="","",P18*Inputs!$B$51)</f>
        <v/>
      </c>
      <c r="S18" s="251">
        <f>IF(A18="","",Q18+R18)</f>
        <v/>
      </c>
    </row>
    <row r="19" ht="12.75" customHeight="1" s="117">
      <c r="A19" s="116">
        <f>IF(ROW()&lt;=Inputs!$B$53+2,A18+Inputs!$B$8,"")</f>
        <v/>
      </c>
      <c r="B19" s="250">
        <f>IF(A19="","",IFERROR(INDEX(IDF_Hyetograph!$J$2:$J$37,MATCH(A19,IDF_Hyetograph!$K$2:$K$37,0)),0))</f>
        <v/>
      </c>
      <c r="C19" s="250">
        <f>IF(A19="","",0.00278*Inputs!$B$4*Inputs!$B$3*B19)</f>
        <v/>
      </c>
      <c r="D19" s="251">
        <f>IF(A19="","",MIN( Inputs!$B$30, MAX(0, D18 + (C19-F19-G19)*Inputs!$B$9) ))</f>
        <v/>
      </c>
      <c r="E19" s="251">
        <f>IF(A19="","",Inputs!$B$31 + D19/Inputs!$B$33)</f>
        <v/>
      </c>
      <c r="F19" s="251">
        <f>IF(A19="","",MIN( D18/Inputs!$B$9, Inputs!$B$35*Inputs!$B$36*SQRT(2*Inputs!$B$37*MAX(E18-J18,0)) ))</f>
        <v/>
      </c>
      <c r="G19" s="251">
        <f>IF(A19="","",MAX(0,(D18 + (C19-F19)*Inputs!$B$9 - Inputs!$B$30)/Inputs!$B$9))</f>
        <v/>
      </c>
      <c r="H19" s="251">
        <f>IF(A19="","",MAX(0,MIN(Inputs!$B$44,H18+(S19-M19-I19)*Inputs!$B$9)))</f>
        <v/>
      </c>
      <c r="I19" s="251">
        <f>IF(A19="","",MAX(0,(H18+(S19-M19)*Inputs!$B$9-Inputs!$B$44)/Inputs!$B$9))</f>
        <v/>
      </c>
      <c r="J19" s="251">
        <f>IF(A19="","",Inputs!$B$40 + H19/Inputs!$B$42)</f>
        <v/>
      </c>
      <c r="K19" s="116">
        <f>IF(A19="","",IF(J18&gt;=Inputs!$B$47,2, IF(J18&gt;=Inputs!$B$45,1, IF(J18&lt;=Inputs!$B$46,0,K18))))</f>
        <v/>
      </c>
      <c r="L19" s="251">
        <f>IF(A19="","",K19*Inputs!$B$49)</f>
        <v/>
      </c>
      <c r="M19" s="251">
        <f>IF(A19="","",MIN(L19,H18/Inputs!$B$9+S19))</f>
        <v/>
      </c>
      <c r="N19" s="116">
        <f>IF(A19="","",IF(AND(K19&gt;0,K18=0),1,0))</f>
        <v/>
      </c>
      <c r="O19" s="116">
        <f>IF(A19="","",O18+N19)</f>
        <v/>
      </c>
      <c r="P19" s="251">
        <f>IF(A19="","",MIN(F19,Inputs!$B$50))</f>
        <v/>
      </c>
      <c r="Q19" s="251">
        <f>IF(A19="","",MAX(0,F19-P19))</f>
        <v/>
      </c>
      <c r="R19" s="251">
        <f>IF(A19="","",P19*Inputs!$B$51)</f>
        <v/>
      </c>
      <c r="S19" s="251">
        <f>IF(A19="","",Q19+R19)</f>
        <v/>
      </c>
    </row>
    <row r="20" ht="12.75" customHeight="1" s="117">
      <c r="A20" s="116">
        <f>IF(ROW()&lt;=Inputs!$B$53+2,A19+Inputs!$B$8,"")</f>
        <v/>
      </c>
      <c r="B20" s="251">
        <f>IF(A20="","",IFERROR(INDEX(IDF_Hyetograph!$J$2:$J$37,MATCH(A20,IDF_Hyetograph!$K$2:$K$37,0)),0))</f>
        <v/>
      </c>
      <c r="C20" s="251">
        <f>IF(A20="","",0.00278*Inputs!$B$4*Inputs!$B$3*B20)</f>
        <v/>
      </c>
      <c r="D20" s="251">
        <f>IF(A20="","",MIN( Inputs!$B$30, MAX(0, D19 + (C20-F20-G20)*Inputs!$B$9) ))</f>
        <v/>
      </c>
      <c r="E20" s="251">
        <f>IF(A20="","",Inputs!$B$31 + D20/Inputs!$B$33)</f>
        <v/>
      </c>
      <c r="F20" s="251">
        <f>IF(A20="","",MIN( D19/Inputs!$B$9, Inputs!$B$35*Inputs!$B$36*SQRT(2*Inputs!$B$37*MAX(E19-J19,0)) ))</f>
        <v/>
      </c>
      <c r="G20" s="251">
        <f>IF(A20="","",MAX(0,(D19 + (C20-F20)*Inputs!$B$9 - Inputs!$B$30)/Inputs!$B$9))</f>
        <v/>
      </c>
      <c r="H20" s="250">
        <f>IF(A20="","",MAX(0,MIN(Inputs!$B$44,H19+(S20-M20-I20)*Inputs!$B$9)))</f>
        <v/>
      </c>
      <c r="I20" s="250">
        <f>IF(A20="","",MAX(0,(H19+(S20-M20)*Inputs!$B$9-Inputs!$B$44)/Inputs!$B$9))</f>
        <v/>
      </c>
      <c r="J20" s="251">
        <f>IF(A20="","",Inputs!$B$40 + H20/Inputs!$B$42)</f>
        <v/>
      </c>
      <c r="K20" s="116">
        <f>IF(A20="","",IF(J19&gt;=Inputs!$B$47,2, IF(J19&gt;=Inputs!$B$45,1, IF(J19&lt;=Inputs!$B$46,0,K19))))</f>
        <v/>
      </c>
      <c r="L20" s="251">
        <f>IF(A20="","",K20*Inputs!$B$49)</f>
        <v/>
      </c>
      <c r="M20" s="251">
        <f>IF(A20="","",MIN(L20,H19/Inputs!$B$9+S20))</f>
        <v/>
      </c>
      <c r="N20" s="116">
        <f>IF(A20="","",IF(AND(K20&gt;0,K19=0),1,0))</f>
        <v/>
      </c>
      <c r="O20" s="116">
        <f>IF(A20="","",O19+N20)</f>
        <v/>
      </c>
      <c r="P20" s="251">
        <f>IF(A20="","",MIN(F20,Inputs!$B$50))</f>
        <v/>
      </c>
      <c r="Q20" s="251">
        <f>IF(A20="","",MAX(0,F20-P20))</f>
        <v/>
      </c>
      <c r="R20" s="251">
        <f>IF(A20="","",P20*Inputs!$B$51)</f>
        <v/>
      </c>
      <c r="S20" s="251">
        <f>IF(A20="","",Q20+R20)</f>
        <v/>
      </c>
    </row>
    <row r="21">
      <c r="A21" s="116">
        <f>IF(ROW()&lt;=Inputs!$B$53+2,A20+Inputs!$B$8,"")</f>
        <v/>
      </c>
      <c r="B21" s="251">
        <f>IF(A21="","",IFERROR(INDEX(IDF_Hyetograph!$J$2:$J$37,MATCH(A21,IDF_Hyetograph!$K$2:$K$37,0)),0))</f>
        <v/>
      </c>
      <c r="C21" s="251">
        <f>IF(A21="","",0.00278*Inputs!$B$4*Inputs!$B$3*B21)</f>
        <v/>
      </c>
      <c r="D21" s="251">
        <f>IF(A21="","",MIN( Inputs!$B$30, MAX(0, D20 + (C21-F21-G21)*Inputs!$B$9) ))</f>
        <v/>
      </c>
      <c r="E21" s="251">
        <f>IF(A21="","",Inputs!$B$31 + D21/Inputs!$B$33)</f>
        <v/>
      </c>
      <c r="F21" s="251">
        <f>IF(A21="","",MIN( D20/Inputs!$B$9, Inputs!$B$35*Inputs!$B$36*SQRT(2*Inputs!$B$37*MAX(E20-J20,0)) ))</f>
        <v/>
      </c>
      <c r="G21" s="251">
        <f>IF(A21="","",MAX(0,(D20 + (C21-F21)*Inputs!$B$9 - Inputs!$B$30)/Inputs!$B$9))</f>
        <v/>
      </c>
      <c r="H21" s="251">
        <f>IF(A21="","",MAX(0,MIN(Inputs!$B$44,H20+(S21-M21-I21)*Inputs!$B$9)))</f>
        <v/>
      </c>
      <c r="I21" s="251">
        <f>IF(A21="","",MAX(0,(H20+(S21-M21)*Inputs!$B$9-Inputs!$B$44)/Inputs!$B$9))</f>
        <v/>
      </c>
      <c r="J21" s="251">
        <f>IF(A21="","",Inputs!$B$40 + H21/Inputs!$B$42)</f>
        <v/>
      </c>
      <c r="K21" s="116">
        <f>IF(A21="","",IF(J20&gt;=Inputs!$B$47,2, IF(J20&gt;=Inputs!$B$45,1, IF(J20&lt;=Inputs!$B$46,0,K20))))</f>
        <v/>
      </c>
      <c r="L21" s="251">
        <f>IF(A21="","",K21*Inputs!$B$49)</f>
        <v/>
      </c>
      <c r="M21" s="251">
        <f>IF(A21="","",MIN(L21,H20/Inputs!$B$9+S21))</f>
        <v/>
      </c>
      <c r="N21" s="116">
        <f>IF(A21="","",IF(AND(K21&gt;0,K20=0),1,0))</f>
        <v/>
      </c>
      <c r="O21" s="116">
        <f>IF(A21="","",O20+N21)</f>
        <v/>
      </c>
      <c r="P21" s="251">
        <f>IF(A21="","",MIN(F21,Inputs!$B$50))</f>
        <v/>
      </c>
      <c r="Q21" s="251">
        <f>IF(A21="","",MAX(0,F21-P21))</f>
        <v/>
      </c>
      <c r="R21" s="251">
        <f>IF(A21="","",P21*Inputs!$B$51)</f>
        <v/>
      </c>
      <c r="S21" s="251">
        <f>IF(A21="","",Q21+R21)</f>
        <v/>
      </c>
    </row>
    <row r="22">
      <c r="A22" s="116">
        <f>IF(ROW()&lt;=Inputs!$B$53+2,A21+Inputs!$B$8,"")</f>
        <v/>
      </c>
      <c r="B22" s="251">
        <f>IF(A22="","",IFERROR(INDEX(IDF_Hyetograph!$J$2:$J$37,MATCH(A22,IDF_Hyetograph!$K$2:$K$37,0)),0))</f>
        <v/>
      </c>
      <c r="C22" s="251">
        <f>IF(A22="","",0.00278*Inputs!$B$4*Inputs!$B$3*B22)</f>
        <v/>
      </c>
      <c r="D22" s="251">
        <f>IF(A22="","",MIN( Inputs!$B$30, MAX(0, D21 + (C22-F22-G22)*Inputs!$B$9) ))</f>
        <v/>
      </c>
      <c r="E22" s="251">
        <f>IF(A22="","",Inputs!$B$31 + D22/Inputs!$B$33)</f>
        <v/>
      </c>
      <c r="F22" s="251">
        <f>IF(A22="","",MIN( D21/Inputs!$B$9, Inputs!$B$35*Inputs!$B$36*SQRT(2*Inputs!$B$37*MAX(E21-J21,0)) ))</f>
        <v/>
      </c>
      <c r="G22" s="251">
        <f>IF(A22="","",MAX(0,(D21 + (C22-F22)*Inputs!$B$9 - Inputs!$B$30)/Inputs!$B$9))</f>
        <v/>
      </c>
      <c r="H22" s="251">
        <f>IF(A22="","",MAX(0,MIN(Inputs!$B$44,H21+(S22-M22-I22)*Inputs!$B$9)))</f>
        <v/>
      </c>
      <c r="I22" s="251">
        <f>IF(A22="","",MAX(0,(H21+(S22-M22)*Inputs!$B$9-Inputs!$B$44)/Inputs!$B$9))</f>
        <v/>
      </c>
      <c r="J22" s="251">
        <f>IF(A22="","",Inputs!$B$40 + H22/Inputs!$B$42)</f>
        <v/>
      </c>
      <c r="K22" s="116">
        <f>IF(A22="","",IF(J21&gt;=Inputs!$B$47,2, IF(J21&gt;=Inputs!$B$45,1, IF(J21&lt;=Inputs!$B$46,0,K21))))</f>
        <v/>
      </c>
      <c r="L22" s="251">
        <f>IF(A22="","",K22*Inputs!$B$49)</f>
        <v/>
      </c>
      <c r="M22" s="251">
        <f>IF(A22="","",MIN(L22,H21/Inputs!$B$9+S22))</f>
        <v/>
      </c>
      <c r="N22" s="116">
        <f>IF(A22="","",IF(AND(K22&gt;0,K21=0),1,0))</f>
        <v/>
      </c>
      <c r="O22" s="116">
        <f>IF(A22="","",O21+N22)</f>
        <v/>
      </c>
      <c r="P22" s="251">
        <f>IF(A22="","",MIN(F22,Inputs!$B$50))</f>
        <v/>
      </c>
      <c r="Q22" s="251">
        <f>IF(A22="","",MAX(0,F22-P22))</f>
        <v/>
      </c>
      <c r="R22" s="251">
        <f>IF(A22="","",P22*Inputs!$B$51)</f>
        <v/>
      </c>
      <c r="S22" s="251">
        <f>IF(A22="","",Q22+R22)</f>
        <v/>
      </c>
    </row>
    <row r="23">
      <c r="A23" s="116">
        <f>IF(ROW()&lt;=Inputs!$B$53+2,A22+Inputs!$B$8,"")</f>
        <v/>
      </c>
      <c r="B23" s="251">
        <f>IF(A23="","",IFERROR(INDEX(IDF_Hyetograph!$J$2:$J$37,MATCH(A23,IDF_Hyetograph!$K$2:$K$37,0)),0))</f>
        <v/>
      </c>
      <c r="C23" s="251">
        <f>IF(A23="","",0.00278*Inputs!$B$4*Inputs!$B$3*B23)</f>
        <v/>
      </c>
      <c r="D23" s="251">
        <f>IF(A23="","",MIN( Inputs!$B$30, MAX(0, D22 + (C23-F23-G23)*Inputs!$B$9) ))</f>
        <v/>
      </c>
      <c r="E23" s="251">
        <f>IF(A23="","",Inputs!$B$31 + D23/Inputs!$B$33)</f>
        <v/>
      </c>
      <c r="F23" s="251">
        <f>IF(A23="","",MIN( D22/Inputs!$B$9, Inputs!$B$35*Inputs!$B$36*SQRT(2*Inputs!$B$37*MAX(E22-J22,0)) ))</f>
        <v/>
      </c>
      <c r="G23" s="251">
        <f>IF(A23="","",MAX(0,(D22 + (C23-F23)*Inputs!$B$9 - Inputs!$B$30)/Inputs!$B$9))</f>
        <v/>
      </c>
      <c r="H23" s="251">
        <f>IF(A23="","",MAX(0,MIN(Inputs!$B$44,H22+(S23-M23-I23)*Inputs!$B$9)))</f>
        <v/>
      </c>
      <c r="I23" s="251">
        <f>IF(A23="","",MAX(0,(H22+(S23-M23)*Inputs!$B$9-Inputs!$B$44)/Inputs!$B$9))</f>
        <v/>
      </c>
      <c r="J23" s="251">
        <f>IF(A23="","",Inputs!$B$40 + H23/Inputs!$B$42)</f>
        <v/>
      </c>
      <c r="K23" s="116">
        <f>IF(A23="","",IF(J22&gt;=Inputs!$B$47,2, IF(J22&gt;=Inputs!$B$45,1, IF(J22&lt;=Inputs!$B$46,0,K22))))</f>
        <v/>
      </c>
      <c r="L23" s="251">
        <f>IF(A23="","",K23*Inputs!$B$49)</f>
        <v/>
      </c>
      <c r="M23" s="251">
        <f>IF(A23="","",MIN(L23,H22/Inputs!$B$9+S23))</f>
        <v/>
      </c>
      <c r="N23" s="116">
        <f>IF(A23="","",IF(AND(K23&gt;0,K22=0),1,0))</f>
        <v/>
      </c>
      <c r="O23" s="116">
        <f>IF(A23="","",O22+N23)</f>
        <v/>
      </c>
      <c r="P23" s="251">
        <f>IF(A23="","",MIN(F23,Inputs!$B$50))</f>
        <v/>
      </c>
      <c r="Q23" s="251">
        <f>IF(A23="","",MAX(0,F23-P23))</f>
        <v/>
      </c>
      <c r="R23" s="251">
        <f>IF(A23="","",P23*Inputs!$B$51)</f>
        <v/>
      </c>
      <c r="S23" s="251">
        <f>IF(A23="","",Q23+R23)</f>
        <v/>
      </c>
    </row>
    <row r="24">
      <c r="A24" s="116">
        <f>IF(ROW()&lt;=Inputs!$B$53+2,A23+Inputs!$B$8,"")</f>
        <v/>
      </c>
      <c r="B24" s="251">
        <f>IF(A24="","",IFERROR(INDEX(IDF_Hyetograph!$J$2:$J$37,MATCH(A24,IDF_Hyetograph!$K$2:$K$37,0)),0))</f>
        <v/>
      </c>
      <c r="C24" s="251">
        <f>IF(A24="","",0.00278*Inputs!$B$4*Inputs!$B$3*B24)</f>
        <v/>
      </c>
      <c r="D24" s="251">
        <f>IF(A24="","",MIN( Inputs!$B$30, MAX(0, D23 + (C24-F24-G24)*Inputs!$B$9) ))</f>
        <v/>
      </c>
      <c r="E24" s="251">
        <f>IF(A24="","",Inputs!$B$31 + D24/Inputs!$B$33)</f>
        <v/>
      </c>
      <c r="F24" s="251">
        <f>IF(A24="","",MIN( D23/Inputs!$B$9, Inputs!$B$35*Inputs!$B$36*SQRT(2*Inputs!$B$37*MAX(E23-J23,0)) ))</f>
        <v/>
      </c>
      <c r="G24" s="251">
        <f>IF(A24="","",MAX(0,(D23 + (C24-F24)*Inputs!$B$9 - Inputs!$B$30)/Inputs!$B$9))</f>
        <v/>
      </c>
      <c r="H24" s="251">
        <f>IF(A24="","",MAX(0,MIN(Inputs!$B$44,H23+(S24-M24-I24)*Inputs!$B$9)))</f>
        <v/>
      </c>
      <c r="I24" s="251">
        <f>IF(A24="","",MAX(0,(H23+(S24-M24)*Inputs!$B$9-Inputs!$B$44)/Inputs!$B$9))</f>
        <v/>
      </c>
      <c r="J24" s="251">
        <f>IF(A24="","",Inputs!$B$40 + H24/Inputs!$B$42)</f>
        <v/>
      </c>
      <c r="K24" s="116">
        <f>IF(A24="","",IF(J23&gt;=Inputs!$B$47,2, IF(J23&gt;=Inputs!$B$45,1, IF(J23&lt;=Inputs!$B$46,0,K23))))</f>
        <v/>
      </c>
      <c r="L24" s="251">
        <f>IF(A24="","",K24*Inputs!$B$49)</f>
        <v/>
      </c>
      <c r="M24" s="251">
        <f>IF(A24="","",MIN(L24,H23/Inputs!$B$9+S24))</f>
        <v/>
      </c>
      <c r="N24" s="116">
        <f>IF(A24="","",IF(AND(K24&gt;0,K23=0),1,0))</f>
        <v/>
      </c>
      <c r="O24" s="116">
        <f>IF(A24="","",O23+N24)</f>
        <v/>
      </c>
      <c r="P24" s="251">
        <f>IF(A24="","",MIN(F24,Inputs!$B$50))</f>
        <v/>
      </c>
      <c r="Q24" s="251">
        <f>IF(A24="","",MAX(0,F24-P24))</f>
        <v/>
      </c>
      <c r="R24" s="251">
        <f>IF(A24="","",P24*Inputs!$B$51)</f>
        <v/>
      </c>
      <c r="S24" s="251">
        <f>IF(A24="","",Q24+R24)</f>
        <v/>
      </c>
    </row>
    <row r="25">
      <c r="A25" s="116">
        <f>IF(ROW()&lt;=Inputs!$B$53+2,A24+Inputs!$B$8,"")</f>
        <v/>
      </c>
      <c r="B25" s="251">
        <f>IF(A25="","",IFERROR(INDEX(IDF_Hyetograph!$J$2:$J$37,MATCH(A25,IDF_Hyetograph!$K$2:$K$37,0)),0))</f>
        <v/>
      </c>
      <c r="C25" s="251">
        <f>IF(A25="","",0.00278*Inputs!$B$4*Inputs!$B$3*B25)</f>
        <v/>
      </c>
      <c r="D25" s="251">
        <f>IF(A25="","",MIN( Inputs!$B$30, MAX(0, D24 + (C25-F25-G25)*Inputs!$B$9) ))</f>
        <v/>
      </c>
      <c r="E25" s="251">
        <f>IF(A25="","",Inputs!$B$31 + D25/Inputs!$B$33)</f>
        <v/>
      </c>
      <c r="F25" s="251">
        <f>IF(A25="","",MIN( D24/Inputs!$B$9, Inputs!$B$35*Inputs!$B$36*SQRT(2*Inputs!$B$37*MAX(E24-J24,0)) ))</f>
        <v/>
      </c>
      <c r="G25" s="251">
        <f>IF(A25="","",MAX(0,(D24 + (C25-F25)*Inputs!$B$9 - Inputs!$B$30)/Inputs!$B$9))</f>
        <v/>
      </c>
      <c r="H25" s="251">
        <f>IF(A25="","",MAX(0,MIN(Inputs!$B$44,H24+(S25-M25-I25)*Inputs!$B$9)))</f>
        <v/>
      </c>
      <c r="I25" s="251">
        <f>IF(A25="","",MAX(0,(H24+(S25-M25)*Inputs!$B$9-Inputs!$B$44)/Inputs!$B$9))</f>
        <v/>
      </c>
      <c r="J25" s="251">
        <f>IF(A25="","",Inputs!$B$40 + H25/Inputs!$B$42)</f>
        <v/>
      </c>
      <c r="K25" s="116">
        <f>IF(A25="","",IF(J24&gt;=Inputs!$B$47,2, IF(J24&gt;=Inputs!$B$45,1, IF(J24&lt;=Inputs!$B$46,0,K24))))</f>
        <v/>
      </c>
      <c r="L25" s="251">
        <f>IF(A25="","",K25*Inputs!$B$49)</f>
        <v/>
      </c>
      <c r="M25" s="251">
        <f>IF(A25="","",MIN(L25,H24/Inputs!$B$9+S25))</f>
        <v/>
      </c>
      <c r="N25" s="116">
        <f>IF(A25="","",IF(AND(K25&gt;0,K24=0),1,0))</f>
        <v/>
      </c>
      <c r="O25" s="116">
        <f>IF(A25="","",O24+N25)</f>
        <v/>
      </c>
      <c r="P25" s="251">
        <f>IF(A25="","",MIN(F25,Inputs!$B$50))</f>
        <v/>
      </c>
      <c r="Q25" s="251">
        <f>IF(A25="","",MAX(0,F25-P25))</f>
        <v/>
      </c>
      <c r="R25" s="251">
        <f>IF(A25="","",P25*Inputs!$B$51)</f>
        <v/>
      </c>
      <c r="S25" s="251">
        <f>IF(A25="","",Q25+R25)</f>
        <v/>
      </c>
    </row>
    <row r="26">
      <c r="A26" s="116">
        <f>IF(ROW()&lt;=Inputs!$B$53+2,A25+Inputs!$B$8,"")</f>
        <v/>
      </c>
      <c r="B26" s="251">
        <f>IF(A26="","",IFERROR(INDEX(IDF_Hyetograph!$J$2:$J$37,MATCH(A26,IDF_Hyetograph!$K$2:$K$37,0)),0))</f>
        <v/>
      </c>
      <c r="C26" s="251">
        <f>IF(A26="","",0.00278*Inputs!$B$4*Inputs!$B$3*B26)</f>
        <v/>
      </c>
      <c r="D26" s="251">
        <f>IF(A26="","",MIN( Inputs!$B$30, MAX(0, D25 + (C26-F26-G26)*Inputs!$B$9) ))</f>
        <v/>
      </c>
      <c r="E26" s="251">
        <f>IF(A26="","",Inputs!$B$31 + D26/Inputs!$B$33)</f>
        <v/>
      </c>
      <c r="F26" s="251">
        <f>IF(A26="","",MIN( D25/Inputs!$B$9, Inputs!$B$35*Inputs!$B$36*SQRT(2*Inputs!$B$37*MAX(E25-J25,0)) ))</f>
        <v/>
      </c>
      <c r="G26" s="251">
        <f>IF(A26="","",MAX(0,(D25 + (C26-F26)*Inputs!$B$9 - Inputs!$B$30)/Inputs!$B$9))</f>
        <v/>
      </c>
      <c r="H26" s="251">
        <f>IF(A26="","",MAX(0,MIN(Inputs!$B$44,H25+(S26-M26-I26)*Inputs!$B$9)))</f>
        <v/>
      </c>
      <c r="I26" s="251">
        <f>IF(A26="","",MAX(0,(H25+(S26-M26)*Inputs!$B$9-Inputs!$B$44)/Inputs!$B$9))</f>
        <v/>
      </c>
      <c r="J26" s="251">
        <f>IF(A26="","",Inputs!$B$40 + H26/Inputs!$B$42)</f>
        <v/>
      </c>
      <c r="K26" s="116">
        <f>IF(A26="","",IF(J25&gt;=Inputs!$B$47,2, IF(J25&gt;=Inputs!$B$45,1, IF(J25&lt;=Inputs!$B$46,0,K25))))</f>
        <v/>
      </c>
      <c r="L26" s="251">
        <f>IF(A26="","",K26*Inputs!$B$49)</f>
        <v/>
      </c>
      <c r="M26" s="251">
        <f>IF(A26="","",MIN(L26,H25/Inputs!$B$9+S26))</f>
        <v/>
      </c>
      <c r="N26" s="116">
        <f>IF(A26="","",IF(AND(K26&gt;0,K25=0),1,0))</f>
        <v/>
      </c>
      <c r="O26" s="116">
        <f>IF(A26="","",O25+N26)</f>
        <v/>
      </c>
      <c r="P26" s="251">
        <f>IF(A26="","",MIN(F26,Inputs!$B$50))</f>
        <v/>
      </c>
      <c r="Q26" s="251">
        <f>IF(A26="","",MAX(0,F26-P26))</f>
        <v/>
      </c>
      <c r="R26" s="251">
        <f>IF(A26="","",P26*Inputs!$B$51)</f>
        <v/>
      </c>
      <c r="S26" s="251">
        <f>IF(A26="","",Q26+R26)</f>
        <v/>
      </c>
    </row>
    <row r="27">
      <c r="A27" s="116">
        <f>IF(ROW()&lt;=Inputs!$B$53+2,A26+Inputs!$B$8,"")</f>
        <v/>
      </c>
      <c r="B27" s="251">
        <f>IF(A27="","",IFERROR(INDEX(IDF_Hyetograph!$J$2:$J$37,MATCH(A27,IDF_Hyetograph!$K$2:$K$37,0)),0))</f>
        <v/>
      </c>
      <c r="C27" s="251">
        <f>IF(A27="","",0.00278*Inputs!$B$4*Inputs!$B$3*B27)</f>
        <v/>
      </c>
      <c r="D27" s="251">
        <f>IF(A27="","",MIN( Inputs!$B$30, MAX(0, D26 + (C27-F27-G27)*Inputs!$B$9) ))</f>
        <v/>
      </c>
      <c r="E27" s="251">
        <f>IF(A27="","",Inputs!$B$31 + D27/Inputs!$B$33)</f>
        <v/>
      </c>
      <c r="F27" s="251">
        <f>IF(A27="","",MIN( D26/Inputs!$B$9, Inputs!$B$35*Inputs!$B$36*SQRT(2*Inputs!$B$37*MAX(E26-J26,0)) ))</f>
        <v/>
      </c>
      <c r="G27" s="251">
        <f>IF(A27="","",MAX(0,(D26 + (C27-F27)*Inputs!$B$9 - Inputs!$B$30)/Inputs!$B$9))</f>
        <v/>
      </c>
      <c r="H27" s="251">
        <f>IF(A27="","",MAX(0,MIN(Inputs!$B$44,H26+(S27-M27-I27)*Inputs!$B$9)))</f>
        <v/>
      </c>
      <c r="I27" s="251">
        <f>IF(A27="","",MAX(0,(H26+(S27-M27)*Inputs!$B$9-Inputs!$B$44)/Inputs!$B$9))</f>
        <v/>
      </c>
      <c r="J27" s="251">
        <f>IF(A27="","",Inputs!$B$40 + H27/Inputs!$B$42)</f>
        <v/>
      </c>
      <c r="K27" s="116">
        <f>IF(A27="","",IF(J26&gt;=Inputs!$B$47,2, IF(J26&gt;=Inputs!$B$45,1, IF(J26&lt;=Inputs!$B$46,0,K26))))</f>
        <v/>
      </c>
      <c r="L27" s="251">
        <f>IF(A27="","",K27*Inputs!$B$49)</f>
        <v/>
      </c>
      <c r="M27" s="251">
        <f>IF(A27="","",MIN(L27,H26/Inputs!$B$9+S27))</f>
        <v/>
      </c>
      <c r="N27" s="116">
        <f>IF(A27="","",IF(AND(K27&gt;0,K26=0),1,0))</f>
        <v/>
      </c>
      <c r="O27" s="116">
        <f>IF(A27="","",O26+N27)</f>
        <v/>
      </c>
      <c r="P27" s="251">
        <f>IF(A27="","",MIN(F27,Inputs!$B$50))</f>
        <v/>
      </c>
      <c r="Q27" s="251">
        <f>IF(A27="","",MAX(0,F27-P27))</f>
        <v/>
      </c>
      <c r="R27" s="251">
        <f>IF(A27="","",P27*Inputs!$B$51)</f>
        <v/>
      </c>
      <c r="S27" s="251">
        <f>IF(A27="","",Q27+R27)</f>
        <v/>
      </c>
    </row>
    <row r="28">
      <c r="A28" s="116">
        <f>IF(ROW()&lt;=Inputs!$B$53+2,A27+Inputs!$B$8,"")</f>
        <v/>
      </c>
      <c r="B28" s="251">
        <f>IF(A28="","",IFERROR(INDEX(IDF_Hyetograph!$J$2:$J$37,MATCH(A28,IDF_Hyetograph!$K$2:$K$37,0)),0))</f>
        <v/>
      </c>
      <c r="C28" s="251">
        <f>IF(A28="","",0.00278*Inputs!$B$4*Inputs!$B$3*B28)</f>
        <v/>
      </c>
      <c r="D28" s="251">
        <f>IF(A28="","",MIN( Inputs!$B$30, MAX(0, D27 + (C28-F28-G28)*Inputs!$B$9) ))</f>
        <v/>
      </c>
      <c r="E28" s="251">
        <f>IF(A28="","",Inputs!$B$31 + D28/Inputs!$B$33)</f>
        <v/>
      </c>
      <c r="F28" s="251">
        <f>IF(A28="","",MIN( D27/Inputs!$B$9, Inputs!$B$35*Inputs!$B$36*SQRT(2*Inputs!$B$37*MAX(E27-J27,0)) ))</f>
        <v/>
      </c>
      <c r="G28" s="251">
        <f>IF(A28="","",MAX(0,(D27 + (C28-F28)*Inputs!$B$9 - Inputs!$B$30)/Inputs!$B$9))</f>
        <v/>
      </c>
      <c r="H28" s="251">
        <f>IF(A28="","",MAX(0,MIN(Inputs!$B$44,H27+(S28-M28-I28)*Inputs!$B$9)))</f>
        <v/>
      </c>
      <c r="I28" s="251">
        <f>IF(A28="","",MAX(0,(H27+(S28-M28)*Inputs!$B$9-Inputs!$B$44)/Inputs!$B$9))</f>
        <v/>
      </c>
      <c r="J28" s="251">
        <f>IF(A28="","",Inputs!$B$40 + H28/Inputs!$B$42)</f>
        <v/>
      </c>
      <c r="K28" s="116">
        <f>IF(A28="","",IF(J27&gt;=Inputs!$B$47,2, IF(J27&gt;=Inputs!$B$45,1, IF(J27&lt;=Inputs!$B$46,0,K27))))</f>
        <v/>
      </c>
      <c r="L28" s="251">
        <f>IF(A28="","",K28*Inputs!$B$49)</f>
        <v/>
      </c>
      <c r="M28" s="251">
        <f>IF(A28="","",MIN(L28,H27/Inputs!$B$9+S28))</f>
        <v/>
      </c>
      <c r="N28" s="116">
        <f>IF(A28="","",IF(AND(K28&gt;0,K27=0),1,0))</f>
        <v/>
      </c>
      <c r="O28" s="116">
        <f>IF(A28="","",O27+N28)</f>
        <v/>
      </c>
      <c r="P28" s="251">
        <f>IF(A28="","",MIN(F28,Inputs!$B$50))</f>
        <v/>
      </c>
      <c r="Q28" s="251">
        <f>IF(A28="","",MAX(0,F28-P28))</f>
        <v/>
      </c>
      <c r="R28" s="251">
        <f>IF(A28="","",P28*Inputs!$B$51)</f>
        <v/>
      </c>
      <c r="S28" s="251">
        <f>IF(A28="","",Q28+R28)</f>
        <v/>
      </c>
    </row>
    <row r="29">
      <c r="A29" s="116">
        <f>IF(ROW()&lt;=Inputs!$B$53+2,A28+Inputs!$B$8,"")</f>
        <v/>
      </c>
      <c r="B29" s="251">
        <f>IF(A29="","",IFERROR(INDEX(IDF_Hyetograph!$J$2:$J$37,MATCH(A29,IDF_Hyetograph!$K$2:$K$37,0)),0))</f>
        <v/>
      </c>
      <c r="C29" s="251">
        <f>IF(A29="","",0.00278*Inputs!$B$4*Inputs!$B$3*B29)</f>
        <v/>
      </c>
      <c r="D29" s="251">
        <f>IF(A29="","",MIN( Inputs!$B$30, MAX(0, D28 + (C29-F29-G29)*Inputs!$B$9) ))</f>
        <v/>
      </c>
      <c r="E29" s="251">
        <f>IF(A29="","",Inputs!$B$31 + D29/Inputs!$B$33)</f>
        <v/>
      </c>
      <c r="F29" s="251">
        <f>IF(A29="","",MIN( D28/Inputs!$B$9, Inputs!$B$35*Inputs!$B$36*SQRT(2*Inputs!$B$37*MAX(E28-J28,0)) ))</f>
        <v/>
      </c>
      <c r="G29" s="251">
        <f>IF(A29="","",MAX(0,(D28 + (C29-F29)*Inputs!$B$9 - Inputs!$B$30)/Inputs!$B$9))</f>
        <v/>
      </c>
      <c r="H29" s="251">
        <f>IF(A29="","",MAX(0,MIN(Inputs!$B$44,H28+(S29-M29-I29)*Inputs!$B$9)))</f>
        <v/>
      </c>
      <c r="I29" s="251">
        <f>IF(A29="","",MAX(0,(H28+(S29-M29)*Inputs!$B$9-Inputs!$B$44)/Inputs!$B$9))</f>
        <v/>
      </c>
      <c r="J29" s="251">
        <f>IF(A29="","",Inputs!$B$40 + H29/Inputs!$B$42)</f>
        <v/>
      </c>
      <c r="K29" s="116">
        <f>IF(A29="","",IF(J28&gt;=Inputs!$B$47,2, IF(J28&gt;=Inputs!$B$45,1, IF(J28&lt;=Inputs!$B$46,0,K28))))</f>
        <v/>
      </c>
      <c r="L29" s="251">
        <f>IF(A29="","",K29*Inputs!$B$49)</f>
        <v/>
      </c>
      <c r="M29" s="251">
        <f>IF(A29="","",MIN(L29,H28/Inputs!$B$9+S29))</f>
        <v/>
      </c>
      <c r="N29" s="116">
        <f>IF(A29="","",IF(AND(K29&gt;0,K28=0),1,0))</f>
        <v/>
      </c>
      <c r="O29" s="116">
        <f>IF(A29="","",O28+N29)</f>
        <v/>
      </c>
      <c r="P29" s="251">
        <f>IF(A29="","",MIN(F29,Inputs!$B$50))</f>
        <v/>
      </c>
      <c r="Q29" s="251">
        <f>IF(A29="","",MAX(0,F29-P29))</f>
        <v/>
      </c>
      <c r="R29" s="251">
        <f>IF(A29="","",P29*Inputs!$B$51)</f>
        <v/>
      </c>
      <c r="S29" s="251">
        <f>IF(A29="","",Q29+R29)</f>
        <v/>
      </c>
    </row>
    <row r="30">
      <c r="A30" s="116">
        <f>IF(ROW()&lt;=Inputs!$B$53+2,A29+Inputs!$B$8,"")</f>
        <v/>
      </c>
      <c r="B30" s="251">
        <f>IF(A30="","",IFERROR(INDEX(IDF_Hyetograph!$J$2:$J$37,MATCH(A30,IDF_Hyetograph!$K$2:$K$37,0)),0))</f>
        <v/>
      </c>
      <c r="C30" s="251">
        <f>IF(A30="","",0.00278*Inputs!$B$4*Inputs!$B$3*B30)</f>
        <v/>
      </c>
      <c r="D30" s="251">
        <f>IF(A30="","",MIN( Inputs!$B$30, MAX(0, D29 + (C30-F30-G30)*Inputs!$B$9) ))</f>
        <v/>
      </c>
      <c r="E30" s="251">
        <f>IF(A30="","",Inputs!$B$31 + D30/Inputs!$B$33)</f>
        <v/>
      </c>
      <c r="F30" s="251">
        <f>IF(A30="","",MIN( D29/Inputs!$B$9, Inputs!$B$35*Inputs!$B$36*SQRT(2*Inputs!$B$37*MAX(E29-J29,0)) ))</f>
        <v/>
      </c>
      <c r="G30" s="251">
        <f>IF(A30="","",MAX(0,(D29 + (C30-F30)*Inputs!$B$9 - Inputs!$B$30)/Inputs!$B$9))</f>
        <v/>
      </c>
      <c r="H30" s="251">
        <f>IF(A30="","",MAX(0,MIN(Inputs!$B$44,H29+(S30-M30-I30)*Inputs!$B$9)))</f>
        <v/>
      </c>
      <c r="I30" s="251">
        <f>IF(A30="","",MAX(0,(H29+(S30-M30)*Inputs!$B$9-Inputs!$B$44)/Inputs!$B$9))</f>
        <v/>
      </c>
      <c r="J30" s="251">
        <f>IF(A30="","",Inputs!$B$40 + H30/Inputs!$B$42)</f>
        <v/>
      </c>
      <c r="K30" s="116">
        <f>IF(A30="","",IF(J29&gt;=Inputs!$B$47,2, IF(J29&gt;=Inputs!$B$45,1, IF(J29&lt;=Inputs!$B$46,0,K29))))</f>
        <v/>
      </c>
      <c r="L30" s="251">
        <f>IF(A30="","",K30*Inputs!$B$49)</f>
        <v/>
      </c>
      <c r="M30" s="251">
        <f>IF(A30="","",MIN(L30,H29/Inputs!$B$9+S30))</f>
        <v/>
      </c>
      <c r="N30" s="116">
        <f>IF(A30="","",IF(AND(K30&gt;0,K29=0),1,0))</f>
        <v/>
      </c>
      <c r="O30" s="116">
        <f>IF(A30="","",O29+N30)</f>
        <v/>
      </c>
      <c r="P30" s="251">
        <f>IF(A30="","",MIN(F30,Inputs!$B$50))</f>
        <v/>
      </c>
      <c r="Q30" s="251">
        <f>IF(A30="","",MAX(0,F30-P30))</f>
        <v/>
      </c>
      <c r="R30" s="251">
        <f>IF(A30="","",P30*Inputs!$B$51)</f>
        <v/>
      </c>
      <c r="S30" s="251">
        <f>IF(A30="","",Q30+R30)</f>
        <v/>
      </c>
    </row>
    <row r="31">
      <c r="A31" s="116">
        <f>IF(ROW()&lt;=Inputs!$B$53+2,A30+Inputs!$B$8,"")</f>
        <v/>
      </c>
      <c r="B31" s="251">
        <f>IF(A31="","",IFERROR(INDEX(IDF_Hyetograph!$J$2:$J$37,MATCH(A31,IDF_Hyetograph!$K$2:$K$37,0)),0))</f>
        <v/>
      </c>
      <c r="C31" s="251">
        <f>IF(A31="","",0.00278*Inputs!$B$4*Inputs!$B$3*B31)</f>
        <v/>
      </c>
      <c r="D31" s="251">
        <f>IF(A31="","",MIN( Inputs!$B$30, MAX(0, D30 + (C31-F31-G31)*Inputs!$B$9) ))</f>
        <v/>
      </c>
      <c r="E31" s="251">
        <f>IF(A31="","",Inputs!$B$31 + D31/Inputs!$B$33)</f>
        <v/>
      </c>
      <c r="F31" s="251">
        <f>IF(A31="","",MIN( D30/Inputs!$B$9, Inputs!$B$35*Inputs!$B$36*SQRT(2*Inputs!$B$37*MAX(E30-J30,0)) ))</f>
        <v/>
      </c>
      <c r="G31" s="251">
        <f>IF(A31="","",MAX(0,(D30 + (C31-F31)*Inputs!$B$9 - Inputs!$B$30)/Inputs!$B$9))</f>
        <v/>
      </c>
      <c r="H31" s="251">
        <f>IF(A31="","",MAX(0,MIN(Inputs!$B$44,H30+(S31-M31-I31)*Inputs!$B$9)))</f>
        <v/>
      </c>
      <c r="I31" s="251">
        <f>IF(A31="","",MAX(0,(H30+(S31-M31)*Inputs!$B$9-Inputs!$B$44)/Inputs!$B$9))</f>
        <v/>
      </c>
      <c r="J31" s="251">
        <f>IF(A31="","",Inputs!$B$40 + H31/Inputs!$B$42)</f>
        <v/>
      </c>
      <c r="K31" s="116">
        <f>IF(A31="","",IF(J30&gt;=Inputs!$B$47,2, IF(J30&gt;=Inputs!$B$45,1, IF(J30&lt;=Inputs!$B$46,0,K30))))</f>
        <v/>
      </c>
      <c r="L31" s="251">
        <f>IF(A31="","",K31*Inputs!$B$49)</f>
        <v/>
      </c>
      <c r="M31" s="251">
        <f>IF(A31="","",MIN(L31,H30/Inputs!$B$9+S31))</f>
        <v/>
      </c>
      <c r="N31" s="116">
        <f>IF(A31="","",IF(AND(K31&gt;0,K30=0),1,0))</f>
        <v/>
      </c>
      <c r="O31" s="116">
        <f>IF(A31="","",O30+N31)</f>
        <v/>
      </c>
      <c r="P31" s="251">
        <f>IF(A31="","",MIN(F31,Inputs!$B$50))</f>
        <v/>
      </c>
      <c r="Q31" s="251">
        <f>IF(A31="","",MAX(0,F31-P31))</f>
        <v/>
      </c>
      <c r="R31" s="251">
        <f>IF(A31="","",P31*Inputs!$B$51)</f>
        <v/>
      </c>
      <c r="S31" s="251">
        <f>IF(A31="","",Q31+R31)</f>
        <v/>
      </c>
    </row>
    <row r="32">
      <c r="A32" s="116">
        <f>IF(ROW()&lt;=Inputs!$B$53+2,A31+Inputs!$B$8,"")</f>
        <v/>
      </c>
      <c r="B32" s="251">
        <f>IF(A32="","",IFERROR(INDEX(IDF_Hyetograph!$J$2:$J$37,MATCH(A32,IDF_Hyetograph!$K$2:$K$37,0)),0))</f>
        <v/>
      </c>
      <c r="C32" s="251">
        <f>IF(A32="","",0.00278*Inputs!$B$4*Inputs!$B$3*B32)</f>
        <v/>
      </c>
      <c r="D32" s="251">
        <f>IF(A32="","",MIN( Inputs!$B$30, MAX(0, D31 + (C32-F32-G32)*Inputs!$B$9) ))</f>
        <v/>
      </c>
      <c r="E32" s="251">
        <f>IF(A32="","",Inputs!$B$31 + D32/Inputs!$B$33)</f>
        <v/>
      </c>
      <c r="F32" s="251">
        <f>IF(A32="","",MIN( D31/Inputs!$B$9, Inputs!$B$35*Inputs!$B$36*SQRT(2*Inputs!$B$37*MAX(E31-J31,0)) ))</f>
        <v/>
      </c>
      <c r="G32" s="251">
        <f>IF(A32="","",MAX(0,(D31 + (C32-F32)*Inputs!$B$9 - Inputs!$B$30)/Inputs!$B$9))</f>
        <v/>
      </c>
      <c r="H32" s="251">
        <f>IF(A32="","",MAX(0,MIN(Inputs!$B$44,H31+(S32-M32-I32)*Inputs!$B$9)))</f>
        <v/>
      </c>
      <c r="I32" s="251">
        <f>IF(A32="","",MAX(0,(H31+(S32-M32)*Inputs!$B$9-Inputs!$B$44)/Inputs!$B$9))</f>
        <v/>
      </c>
      <c r="J32" s="251">
        <f>IF(A32="","",Inputs!$B$40 + H32/Inputs!$B$42)</f>
        <v/>
      </c>
      <c r="K32" s="116">
        <f>IF(A32="","",IF(J31&gt;=Inputs!$B$47,2, IF(J31&gt;=Inputs!$B$45,1, IF(J31&lt;=Inputs!$B$46,0,K31))))</f>
        <v/>
      </c>
      <c r="L32" s="251">
        <f>IF(A32="","",K32*Inputs!$B$49)</f>
        <v/>
      </c>
      <c r="M32" s="251">
        <f>IF(A32="","",MIN(L32,H31/Inputs!$B$9+S32))</f>
        <v/>
      </c>
      <c r="N32" s="116">
        <f>IF(A32="","",IF(AND(K32&gt;0,K31=0),1,0))</f>
        <v/>
      </c>
      <c r="O32" s="116">
        <f>IF(A32="","",O31+N32)</f>
        <v/>
      </c>
      <c r="P32" s="251">
        <f>IF(A32="","",MIN(F32,Inputs!$B$50))</f>
        <v/>
      </c>
      <c r="Q32" s="251">
        <f>IF(A32="","",MAX(0,F32-P32))</f>
        <v/>
      </c>
      <c r="R32" s="251">
        <f>IF(A32="","",P32*Inputs!$B$51)</f>
        <v/>
      </c>
      <c r="S32" s="251">
        <f>IF(A32="","",Q32+R32)</f>
        <v/>
      </c>
    </row>
    <row r="33">
      <c r="A33" s="116">
        <f>IF(ROW()&lt;=Inputs!$B$53+2,A32+Inputs!$B$8,"")</f>
        <v/>
      </c>
      <c r="B33" s="251">
        <f>IF(A33="","",IFERROR(INDEX(IDF_Hyetograph!$J$2:$J$37,MATCH(A33,IDF_Hyetograph!$K$2:$K$37,0)),0))</f>
        <v/>
      </c>
      <c r="C33" s="251">
        <f>IF(A33="","",0.00278*Inputs!$B$4*Inputs!$B$3*B33)</f>
        <v/>
      </c>
      <c r="D33" s="251">
        <f>IF(A33="","",MIN( Inputs!$B$30, MAX(0, D32 + (C33-F33-G33)*Inputs!$B$9) ))</f>
        <v/>
      </c>
      <c r="E33" s="251">
        <f>IF(A33="","",Inputs!$B$31 + D33/Inputs!$B$33)</f>
        <v/>
      </c>
      <c r="F33" s="251">
        <f>IF(A33="","",MIN( D32/Inputs!$B$9, Inputs!$B$35*Inputs!$B$36*SQRT(2*Inputs!$B$37*MAX(E32-J32,0)) ))</f>
        <v/>
      </c>
      <c r="G33" s="251">
        <f>IF(A33="","",MAX(0,(D32 + (C33-F33)*Inputs!$B$9 - Inputs!$B$30)/Inputs!$B$9))</f>
        <v/>
      </c>
      <c r="H33" s="251">
        <f>IF(A33="","",MAX(0,MIN(Inputs!$B$44,H32+(S33-M33-I33)*Inputs!$B$9)))</f>
        <v/>
      </c>
      <c r="I33" s="251">
        <f>IF(A33="","",MAX(0,(H32+(S33-M33)*Inputs!$B$9-Inputs!$B$44)/Inputs!$B$9))</f>
        <v/>
      </c>
      <c r="J33" s="251">
        <f>IF(A33="","",Inputs!$B$40 + H33/Inputs!$B$42)</f>
        <v/>
      </c>
      <c r="K33" s="116">
        <f>IF(A33="","",IF(J32&gt;=Inputs!$B$47,2, IF(J32&gt;=Inputs!$B$45,1, IF(J32&lt;=Inputs!$B$46,0,K32))))</f>
        <v/>
      </c>
      <c r="L33" s="251">
        <f>IF(A33="","",K33*Inputs!$B$49)</f>
        <v/>
      </c>
      <c r="M33" s="251">
        <f>IF(A33="","",MIN(L33,H32/Inputs!$B$9+S33))</f>
        <v/>
      </c>
      <c r="N33" s="116">
        <f>IF(A33="","",IF(AND(K33&gt;0,K32=0),1,0))</f>
        <v/>
      </c>
      <c r="O33" s="116">
        <f>IF(A33="","",O32+N33)</f>
        <v/>
      </c>
      <c r="P33" s="251">
        <f>IF(A33="","",MIN(F33,Inputs!$B$50))</f>
        <v/>
      </c>
      <c r="Q33" s="251">
        <f>IF(A33="","",MAX(0,F33-P33))</f>
        <v/>
      </c>
      <c r="R33" s="251">
        <f>IF(A33="","",P33*Inputs!$B$51)</f>
        <v/>
      </c>
      <c r="S33" s="251">
        <f>IF(A33="","",Q33+R33)</f>
        <v/>
      </c>
    </row>
    <row r="34">
      <c r="A34" s="116">
        <f>IF(ROW()&lt;=Inputs!$B$53+2,A33+Inputs!$B$8,"")</f>
        <v/>
      </c>
      <c r="B34" s="251">
        <f>IF(A34="","",IFERROR(INDEX(IDF_Hyetograph!$J$2:$J$37,MATCH(A34,IDF_Hyetograph!$K$2:$K$37,0)),0))</f>
        <v/>
      </c>
      <c r="C34" s="251">
        <f>IF(A34="","",0.00278*Inputs!$B$4*Inputs!$B$3*B34)</f>
        <v/>
      </c>
      <c r="D34" s="251">
        <f>IF(A34="","",MIN( Inputs!$B$30, MAX(0, D33 + (C34-F34-G34)*Inputs!$B$9) ))</f>
        <v/>
      </c>
      <c r="E34" s="251">
        <f>IF(A34="","",Inputs!$B$31 + D34/Inputs!$B$33)</f>
        <v/>
      </c>
      <c r="F34" s="251">
        <f>IF(A34="","",MIN( D33/Inputs!$B$9, Inputs!$B$35*Inputs!$B$36*SQRT(2*Inputs!$B$37*MAX(E33-J33,0)) ))</f>
        <v/>
      </c>
      <c r="G34" s="251">
        <f>IF(A34="","",MAX(0,(D33 + (C34-F34)*Inputs!$B$9 - Inputs!$B$30)/Inputs!$B$9))</f>
        <v/>
      </c>
      <c r="H34" s="251">
        <f>IF(A34="","",MAX(0,MIN(Inputs!$B$44,H33+(S34-M34-I34)*Inputs!$B$9)))</f>
        <v/>
      </c>
      <c r="I34" s="251">
        <f>IF(A34="","",MAX(0,(H33+(S34-M34)*Inputs!$B$9-Inputs!$B$44)/Inputs!$B$9))</f>
        <v/>
      </c>
      <c r="J34" s="251">
        <f>IF(A34="","",Inputs!$B$40 + H34/Inputs!$B$42)</f>
        <v/>
      </c>
      <c r="K34" s="116">
        <f>IF(A34="","",IF(J33&gt;=Inputs!$B$47,2, IF(J33&gt;=Inputs!$B$45,1, IF(J33&lt;=Inputs!$B$46,0,K33))))</f>
        <v/>
      </c>
      <c r="L34" s="251">
        <f>IF(A34="","",K34*Inputs!$B$49)</f>
        <v/>
      </c>
      <c r="M34" s="251">
        <f>IF(A34="","",MIN(L34,H33/Inputs!$B$9+S34))</f>
        <v/>
      </c>
      <c r="N34" s="116">
        <f>IF(A34="","",IF(AND(K34&gt;0,K33=0),1,0))</f>
        <v/>
      </c>
      <c r="O34" s="116">
        <f>IF(A34="","",O33+N34)</f>
        <v/>
      </c>
      <c r="P34" s="251">
        <f>IF(A34="","",MIN(F34,Inputs!$B$50))</f>
        <v/>
      </c>
      <c r="Q34" s="251">
        <f>IF(A34="","",MAX(0,F34-P34))</f>
        <v/>
      </c>
      <c r="R34" s="251">
        <f>IF(A34="","",P34*Inputs!$B$51)</f>
        <v/>
      </c>
      <c r="S34" s="251">
        <f>IF(A34="","",Q34+R34)</f>
        <v/>
      </c>
    </row>
    <row r="35">
      <c r="A35" s="116">
        <f>IF(ROW()&lt;=Inputs!$B$53+2,A34+Inputs!$B$8,"")</f>
        <v/>
      </c>
      <c r="B35" s="251">
        <f>IF(A35="","",IFERROR(INDEX(IDF_Hyetograph!$J$2:$J$37,MATCH(A35,IDF_Hyetograph!$K$2:$K$37,0)),0))</f>
        <v/>
      </c>
      <c r="C35" s="251">
        <f>IF(A35="","",0.00278*Inputs!$B$4*Inputs!$B$3*B35)</f>
        <v/>
      </c>
      <c r="D35" s="251">
        <f>IF(A35="","",MIN( Inputs!$B$30, MAX(0, D34 + (C35-F35-G35)*Inputs!$B$9) ))</f>
        <v/>
      </c>
      <c r="E35" s="251">
        <f>IF(A35="","",Inputs!$B$31 + D35/Inputs!$B$33)</f>
        <v/>
      </c>
      <c r="F35" s="251">
        <f>IF(A35="","",MIN( D34/Inputs!$B$9, Inputs!$B$35*Inputs!$B$36*SQRT(2*Inputs!$B$37*MAX(E34-J34,0)) ))</f>
        <v/>
      </c>
      <c r="G35" s="251">
        <f>IF(A35="","",MAX(0,(D34 + (C35-F35)*Inputs!$B$9 - Inputs!$B$30)/Inputs!$B$9))</f>
        <v/>
      </c>
      <c r="H35" s="251">
        <f>IF(A35="","",MAX(0,MIN(Inputs!$B$44,H34+(S35-M35-I35)*Inputs!$B$9)))</f>
        <v/>
      </c>
      <c r="I35" s="251">
        <f>IF(A35="","",MAX(0,(H34+(S35-M35)*Inputs!$B$9-Inputs!$B$44)/Inputs!$B$9))</f>
        <v/>
      </c>
      <c r="J35" s="251">
        <f>IF(A35="","",Inputs!$B$40 + H35/Inputs!$B$42)</f>
        <v/>
      </c>
      <c r="K35" s="116">
        <f>IF(A35="","",IF(J34&gt;=Inputs!$B$47,2, IF(J34&gt;=Inputs!$B$45,1, IF(J34&lt;=Inputs!$B$46,0,K34))))</f>
        <v/>
      </c>
      <c r="L35" s="251">
        <f>IF(A35="","",K35*Inputs!$B$49)</f>
        <v/>
      </c>
      <c r="M35" s="251">
        <f>IF(A35="","",MIN(L35,H34/Inputs!$B$9+S35))</f>
        <v/>
      </c>
      <c r="N35" s="116">
        <f>IF(A35="","",IF(AND(K35&gt;0,K34=0),1,0))</f>
        <v/>
      </c>
      <c r="O35" s="116">
        <f>IF(A35="","",O34+N35)</f>
        <v/>
      </c>
      <c r="P35" s="251">
        <f>IF(A35="","",MIN(F35,Inputs!$B$50))</f>
        <v/>
      </c>
      <c r="Q35" s="251">
        <f>IF(A35="","",MAX(0,F35-P35))</f>
        <v/>
      </c>
      <c r="R35" s="251">
        <f>IF(A35="","",P35*Inputs!$B$51)</f>
        <v/>
      </c>
      <c r="S35" s="251">
        <f>IF(A35="","",Q35+R35)</f>
        <v/>
      </c>
    </row>
    <row r="36">
      <c r="A36" s="116">
        <f>IF(ROW()&lt;=Inputs!$B$53+2,A35+Inputs!$B$8,"")</f>
        <v/>
      </c>
      <c r="B36" s="251">
        <f>IF(A36="","",IFERROR(INDEX(IDF_Hyetograph!$J$2:$J$37,MATCH(A36,IDF_Hyetograph!$K$2:$K$37,0)),0))</f>
        <v/>
      </c>
      <c r="C36" s="251">
        <f>IF(A36="","",0.00278*Inputs!$B$4*Inputs!$B$3*B36)</f>
        <v/>
      </c>
      <c r="D36" s="251">
        <f>IF(A36="","",MIN( Inputs!$B$30, MAX(0, D35 + (C36-F36-G36)*Inputs!$B$9) ))</f>
        <v/>
      </c>
      <c r="E36" s="251">
        <f>IF(A36="","",Inputs!$B$31 + D36/Inputs!$B$33)</f>
        <v/>
      </c>
      <c r="F36" s="251">
        <f>IF(A36="","",MIN( D35/Inputs!$B$9, Inputs!$B$35*Inputs!$B$36*SQRT(2*Inputs!$B$37*MAX(E35-J35,0)) ))</f>
        <v/>
      </c>
      <c r="G36" s="251">
        <f>IF(A36="","",MAX(0,(D35 + (C36-F36)*Inputs!$B$9 - Inputs!$B$30)/Inputs!$B$9))</f>
        <v/>
      </c>
      <c r="H36" s="251">
        <f>IF(A36="","",MAX(0,MIN(Inputs!$B$44,H35+(S36-M36-I36)*Inputs!$B$9)))</f>
        <v/>
      </c>
      <c r="I36" s="251">
        <f>IF(A36="","",MAX(0,(H35+(S36-M36)*Inputs!$B$9-Inputs!$B$44)/Inputs!$B$9))</f>
        <v/>
      </c>
      <c r="J36" s="251">
        <f>IF(A36="","",Inputs!$B$40 + H36/Inputs!$B$42)</f>
        <v/>
      </c>
      <c r="K36" s="116">
        <f>IF(A36="","",IF(J35&gt;=Inputs!$B$47,2, IF(J35&gt;=Inputs!$B$45,1, IF(J35&lt;=Inputs!$B$46,0,K35))))</f>
        <v/>
      </c>
      <c r="L36" s="251">
        <f>IF(A36="","",K36*Inputs!$B$49)</f>
        <v/>
      </c>
      <c r="M36" s="251">
        <f>IF(A36="","",MIN(L36,H35/Inputs!$B$9+S36))</f>
        <v/>
      </c>
      <c r="N36" s="116">
        <f>IF(A36="","",IF(AND(K36&gt;0,K35=0),1,0))</f>
        <v/>
      </c>
      <c r="O36" s="116">
        <f>IF(A36="","",O35+N36)</f>
        <v/>
      </c>
      <c r="P36" s="251">
        <f>IF(A36="","",MIN(F36,Inputs!$B$50))</f>
        <v/>
      </c>
      <c r="Q36" s="251">
        <f>IF(A36="","",MAX(0,F36-P36))</f>
        <v/>
      </c>
      <c r="R36" s="251">
        <f>IF(A36="","",P36*Inputs!$B$51)</f>
        <v/>
      </c>
      <c r="S36" s="251">
        <f>IF(A36="","",Q36+R36)</f>
        <v/>
      </c>
    </row>
    <row r="37">
      <c r="A37" s="116">
        <f>IF(ROW()&lt;=Inputs!$B$53+2,A36+Inputs!$B$8,"")</f>
        <v/>
      </c>
      <c r="B37" s="251">
        <f>IF(A37="","",IFERROR(INDEX(IDF_Hyetograph!$J$2:$J$37,MATCH(A37,IDF_Hyetograph!$K$2:$K$37,0)),0))</f>
        <v/>
      </c>
      <c r="C37" s="251">
        <f>IF(A37="","",0.00278*Inputs!$B$4*Inputs!$B$3*B37)</f>
        <v/>
      </c>
      <c r="D37" s="251">
        <f>IF(A37="","",MIN( Inputs!$B$30, MAX(0, D36 + (C37-F37-G37)*Inputs!$B$9) ))</f>
        <v/>
      </c>
      <c r="E37" s="251">
        <f>IF(A37="","",Inputs!$B$31 + D37/Inputs!$B$33)</f>
        <v/>
      </c>
      <c r="F37" s="251">
        <f>IF(A37="","",MIN( D36/Inputs!$B$9, Inputs!$B$35*Inputs!$B$36*SQRT(2*Inputs!$B$37*MAX(E36-J36,0)) ))</f>
        <v/>
      </c>
      <c r="G37" s="251">
        <f>IF(A37="","",MAX(0,(D36 + (C37-F37)*Inputs!$B$9 - Inputs!$B$30)/Inputs!$B$9))</f>
        <v/>
      </c>
      <c r="H37" s="251">
        <f>IF(A37="","",MAX(0,MIN(Inputs!$B$44,H36+(S37-M37-I37)*Inputs!$B$9)))</f>
        <v/>
      </c>
      <c r="I37" s="251">
        <f>IF(A37="","",MAX(0,(H36+(S37-M37)*Inputs!$B$9-Inputs!$B$44)/Inputs!$B$9))</f>
        <v/>
      </c>
      <c r="J37" s="251">
        <f>IF(A37="","",Inputs!$B$40 + H37/Inputs!$B$42)</f>
        <v/>
      </c>
      <c r="K37" s="116">
        <f>IF(A37="","",IF(J36&gt;=Inputs!$B$47,2, IF(J36&gt;=Inputs!$B$45,1, IF(J36&lt;=Inputs!$B$46,0,K36))))</f>
        <v/>
      </c>
      <c r="L37" s="251">
        <f>IF(A37="","",K37*Inputs!$B$49)</f>
        <v/>
      </c>
      <c r="M37" s="251">
        <f>IF(A37="","",MIN(L37,H36/Inputs!$B$9+S37))</f>
        <v/>
      </c>
      <c r="N37" s="116">
        <f>IF(A37="","",IF(AND(K37&gt;0,K36=0),1,0))</f>
        <v/>
      </c>
      <c r="O37" s="116">
        <f>IF(A37="","",O36+N37)</f>
        <v/>
      </c>
      <c r="P37" s="251">
        <f>IF(A37="","",MIN(F37,Inputs!$B$50))</f>
        <v/>
      </c>
      <c r="Q37" s="251">
        <f>IF(A37="","",MAX(0,F37-P37))</f>
        <v/>
      </c>
      <c r="R37" s="251">
        <f>IF(A37="","",P37*Inputs!$B$51)</f>
        <v/>
      </c>
      <c r="S37" s="251">
        <f>IF(A37="","",Q37+R37)</f>
        <v/>
      </c>
    </row>
    <row r="38">
      <c r="A38" s="116">
        <f>IF(ROW()&lt;=Inputs!$B$53+2,A37+Inputs!$B$8,"")</f>
        <v/>
      </c>
      <c r="B38" s="251">
        <f>IF(A38="","",IFERROR(INDEX(IDF_Hyetograph!$J$2:$J$37,MATCH(A38,IDF_Hyetograph!$K$2:$K$37,0)),0))</f>
        <v/>
      </c>
      <c r="C38" s="251">
        <f>IF(A38="","",0.00278*Inputs!$B$4*Inputs!$B$3*B38)</f>
        <v/>
      </c>
      <c r="D38" s="251">
        <f>IF(A38="","",MIN( Inputs!$B$30, MAX(0, D37 + (C38-F38-G38)*Inputs!$B$9) ))</f>
        <v/>
      </c>
      <c r="E38" s="251">
        <f>IF(A38="","",Inputs!$B$31 + D38/Inputs!$B$33)</f>
        <v/>
      </c>
      <c r="F38" s="251">
        <f>IF(A38="","",MIN( D37/Inputs!$B$9, Inputs!$B$35*Inputs!$B$36*SQRT(2*Inputs!$B$37*MAX(E37-J37,0)) ))</f>
        <v/>
      </c>
      <c r="G38" s="251">
        <f>IF(A38="","",MAX(0,(D37 + (C38-F38)*Inputs!$B$9 - Inputs!$B$30)/Inputs!$B$9))</f>
        <v/>
      </c>
      <c r="H38" s="251">
        <f>IF(A38="","",MAX(0,MIN(Inputs!$B$44,H37+(S38-M38-I38)*Inputs!$B$9)))</f>
        <v/>
      </c>
      <c r="I38" s="251">
        <f>IF(A38="","",MAX(0,(H37+(S38-M38)*Inputs!$B$9-Inputs!$B$44)/Inputs!$B$9))</f>
        <v/>
      </c>
      <c r="J38" s="251">
        <f>IF(A38="","",Inputs!$B$40 + H38/Inputs!$B$42)</f>
        <v/>
      </c>
      <c r="K38" s="116">
        <f>IF(A38="","",IF(J37&gt;=Inputs!$B$47,2, IF(J37&gt;=Inputs!$B$45,1, IF(J37&lt;=Inputs!$B$46,0,K37))))</f>
        <v/>
      </c>
      <c r="L38" s="251">
        <f>IF(A38="","",K38*Inputs!$B$49)</f>
        <v/>
      </c>
      <c r="M38" s="251">
        <f>IF(A38="","",MIN(L38,H37/Inputs!$B$9+S38))</f>
        <v/>
      </c>
      <c r="N38" s="116">
        <f>IF(A38="","",IF(AND(K38&gt;0,K37=0),1,0))</f>
        <v/>
      </c>
      <c r="O38" s="116">
        <f>IF(A38="","",O37+N38)</f>
        <v/>
      </c>
      <c r="P38" s="251">
        <f>IF(A38="","",MIN(F38,Inputs!$B$50))</f>
        <v/>
      </c>
      <c r="Q38" s="251">
        <f>IF(A38="","",MAX(0,F38-P38))</f>
        <v/>
      </c>
      <c r="R38" s="251">
        <f>IF(A38="","",P38*Inputs!$B$51)</f>
        <v/>
      </c>
      <c r="S38" s="251">
        <f>IF(A38="","",Q38+R38)</f>
        <v/>
      </c>
    </row>
    <row r="39">
      <c r="A39" s="116">
        <f>IF(ROW()&lt;=Inputs!$B$53+2,A38+Inputs!$B$8,"")</f>
        <v/>
      </c>
      <c r="B39" s="251">
        <f>IF(A39="","",IFERROR(INDEX(IDF_Hyetograph!$J$2:$J$37,MATCH(A39,IDF_Hyetograph!$K$2:$K$37,0)),0))</f>
        <v/>
      </c>
      <c r="C39" s="251">
        <f>IF(A39="","",0.00278*Inputs!$B$4*Inputs!$B$3*B39)</f>
        <v/>
      </c>
      <c r="D39" s="251">
        <f>IF(A39="","",MIN( Inputs!$B$30, MAX(0, D38 + (C39-F39-G39)*Inputs!$B$9) ))</f>
        <v/>
      </c>
      <c r="E39" s="251">
        <f>IF(A39="","",Inputs!$B$31 + D39/Inputs!$B$33)</f>
        <v/>
      </c>
      <c r="F39" s="251">
        <f>IF(A39="","",MIN( D38/Inputs!$B$9, Inputs!$B$35*Inputs!$B$36*SQRT(2*Inputs!$B$37*MAX(E38-J38,0)) ))</f>
        <v/>
      </c>
      <c r="G39" s="251">
        <f>IF(A39="","",MAX(0,(D38 + (C39-F39)*Inputs!$B$9 - Inputs!$B$30)/Inputs!$B$9))</f>
        <v/>
      </c>
      <c r="H39" s="251">
        <f>IF(A39="","",MAX(0,MIN(Inputs!$B$44,H38+(S39-M39-I39)*Inputs!$B$9)))</f>
        <v/>
      </c>
      <c r="I39" s="251">
        <f>IF(A39="","",MAX(0,(H38+(S39-M39)*Inputs!$B$9-Inputs!$B$44)/Inputs!$B$9))</f>
        <v/>
      </c>
      <c r="J39" s="251">
        <f>IF(A39="","",Inputs!$B$40 + H39/Inputs!$B$42)</f>
        <v/>
      </c>
      <c r="K39" s="116">
        <f>IF(A39="","",IF(J38&gt;=Inputs!$B$47,2, IF(J38&gt;=Inputs!$B$45,1, IF(J38&lt;=Inputs!$B$46,0,K38))))</f>
        <v/>
      </c>
      <c r="L39" s="251">
        <f>IF(A39="","",K39*Inputs!$B$49)</f>
        <v/>
      </c>
      <c r="M39" s="251">
        <f>IF(A39="","",MIN(L39,H38/Inputs!$B$9+S39))</f>
        <v/>
      </c>
      <c r="N39" s="116">
        <f>IF(A39="","",IF(AND(K39&gt;0,K38=0),1,0))</f>
        <v/>
      </c>
      <c r="O39" s="116">
        <f>IF(A39="","",O38+N39)</f>
        <v/>
      </c>
      <c r="P39" s="251">
        <f>IF(A39="","",MIN(F39,Inputs!$B$50))</f>
        <v/>
      </c>
      <c r="Q39" s="251">
        <f>IF(A39="","",MAX(0,F39-P39))</f>
        <v/>
      </c>
      <c r="R39" s="251">
        <f>IF(A39="","",P39*Inputs!$B$51)</f>
        <v/>
      </c>
      <c r="S39" s="251">
        <f>IF(A39="","",Q39+R39)</f>
        <v/>
      </c>
    </row>
    <row r="40">
      <c r="A40" s="116">
        <f>IF(ROW()&lt;=Inputs!$B$53+2,A39+Inputs!$B$8,"")</f>
        <v/>
      </c>
      <c r="B40" s="251">
        <f>IF(A40="","",IFERROR(INDEX(IDF_Hyetograph!$J$2:$J$37,MATCH(A40,IDF_Hyetograph!$K$2:$K$37,0)),0))</f>
        <v/>
      </c>
      <c r="C40" s="251">
        <f>IF(A40="","",0.00278*Inputs!$B$4*Inputs!$B$3*B40)</f>
        <v/>
      </c>
      <c r="D40" s="251">
        <f>IF(A40="","",MIN( Inputs!$B$30, MAX(0, D39 + (C40-F40-G40)*Inputs!$B$9) ))</f>
        <v/>
      </c>
      <c r="E40" s="251">
        <f>IF(A40="","",Inputs!$B$31 + D40/Inputs!$B$33)</f>
        <v/>
      </c>
      <c r="F40" s="251">
        <f>IF(A40="","",MIN( D39/Inputs!$B$9, Inputs!$B$35*Inputs!$B$36*SQRT(2*Inputs!$B$37*MAX(E39-J39,0)) ))</f>
        <v/>
      </c>
      <c r="G40" s="251">
        <f>IF(A40="","",MAX(0,(D39 + (C40-F40)*Inputs!$B$9 - Inputs!$B$30)/Inputs!$B$9))</f>
        <v/>
      </c>
      <c r="H40" s="251">
        <f>IF(A40="","",MAX(0,MIN(Inputs!$B$44,H39+(S40-M40-I40)*Inputs!$B$9)))</f>
        <v/>
      </c>
      <c r="I40" s="251">
        <f>IF(A40="","",MAX(0,(H39+(S40-M40)*Inputs!$B$9-Inputs!$B$44)/Inputs!$B$9))</f>
        <v/>
      </c>
      <c r="J40" s="251">
        <f>IF(A40="","",Inputs!$B$40 + H40/Inputs!$B$42)</f>
        <v/>
      </c>
      <c r="K40" s="116">
        <f>IF(A40="","",IF(J39&gt;=Inputs!$B$47,2, IF(J39&gt;=Inputs!$B$45,1, IF(J39&lt;=Inputs!$B$46,0,K39))))</f>
        <v/>
      </c>
      <c r="L40" s="251">
        <f>IF(A40="","",K40*Inputs!$B$49)</f>
        <v/>
      </c>
      <c r="M40" s="251">
        <f>IF(A40="","",MIN(L40,H39/Inputs!$B$9+S40))</f>
        <v/>
      </c>
      <c r="N40" s="116">
        <f>IF(A40="","",IF(AND(K40&gt;0,K39=0),1,0))</f>
        <v/>
      </c>
      <c r="O40" s="116">
        <f>IF(A40="","",O39+N40)</f>
        <v/>
      </c>
      <c r="P40" s="251">
        <f>IF(A40="","",MIN(F40,Inputs!$B$50))</f>
        <v/>
      </c>
      <c r="Q40" s="251">
        <f>IF(A40="","",MAX(0,F40-P40))</f>
        <v/>
      </c>
      <c r="R40" s="251">
        <f>IF(A40="","",P40*Inputs!$B$51)</f>
        <v/>
      </c>
      <c r="S40" s="251">
        <f>IF(A40="","",Q40+R40)</f>
        <v/>
      </c>
    </row>
    <row r="41">
      <c r="A41" s="116">
        <f>IF(ROW()&lt;=Inputs!$B$53+2,A40+Inputs!$B$8,"")</f>
        <v/>
      </c>
      <c r="B41" s="251">
        <f>IF(A41="","",IFERROR(INDEX(IDF_Hyetograph!$J$2:$J$37,MATCH(A41,IDF_Hyetograph!$K$2:$K$37,0)),0))</f>
        <v/>
      </c>
      <c r="C41" s="251">
        <f>IF(A41="","",0.00278*Inputs!$B$4*Inputs!$B$3*B41)</f>
        <v/>
      </c>
      <c r="D41" s="251">
        <f>IF(A41="","",MIN( Inputs!$B$30, MAX(0, D40 + (C41-F41-G41)*Inputs!$B$9) ))</f>
        <v/>
      </c>
      <c r="E41" s="251">
        <f>IF(A41="","",Inputs!$B$31 + D41/Inputs!$B$33)</f>
        <v/>
      </c>
      <c r="F41" s="251">
        <f>IF(A41="","",MIN( D40/Inputs!$B$9, Inputs!$B$35*Inputs!$B$36*SQRT(2*Inputs!$B$37*MAX(E40-J40,0)) ))</f>
        <v/>
      </c>
      <c r="G41" s="251">
        <f>IF(A41="","",MAX(0,(D40 + (C41-F41)*Inputs!$B$9 - Inputs!$B$30)/Inputs!$B$9))</f>
        <v/>
      </c>
      <c r="H41" s="251">
        <f>IF(A41="","",MAX(0,MIN(Inputs!$B$44,H40+(S41-M41-I41)*Inputs!$B$9)))</f>
        <v/>
      </c>
      <c r="I41" s="251">
        <f>IF(A41="","",MAX(0,(H40+(S41-M41)*Inputs!$B$9-Inputs!$B$44)/Inputs!$B$9))</f>
        <v/>
      </c>
      <c r="J41" s="251">
        <f>IF(A41="","",Inputs!$B$40 + H41/Inputs!$B$42)</f>
        <v/>
      </c>
      <c r="K41" s="116">
        <f>IF(A41="","",IF(J40&gt;=Inputs!$B$47,2, IF(J40&gt;=Inputs!$B$45,1, IF(J40&lt;=Inputs!$B$46,0,K40))))</f>
        <v/>
      </c>
      <c r="L41" s="251">
        <f>IF(A41="","",K41*Inputs!$B$49)</f>
        <v/>
      </c>
      <c r="M41" s="251">
        <f>IF(A41="","",MIN(L41,H40/Inputs!$B$9+S41))</f>
        <v/>
      </c>
      <c r="N41" s="116">
        <f>IF(A41="","",IF(AND(K41&gt;0,K40=0),1,0))</f>
        <v/>
      </c>
      <c r="O41" s="116">
        <f>IF(A41="","",O40+N41)</f>
        <v/>
      </c>
      <c r="P41" s="251">
        <f>IF(A41="","",MIN(F41,Inputs!$B$50))</f>
        <v/>
      </c>
      <c r="Q41" s="251">
        <f>IF(A41="","",MAX(0,F41-P41))</f>
        <v/>
      </c>
      <c r="R41" s="251">
        <f>IF(A41="","",P41*Inputs!$B$51)</f>
        <v/>
      </c>
      <c r="S41" s="251">
        <f>IF(A41="","",Q41+R41)</f>
        <v/>
      </c>
    </row>
    <row r="42">
      <c r="A42" s="116">
        <f>IF(ROW()&lt;=Inputs!$B$53+2,A41+Inputs!$B$8,"")</f>
        <v/>
      </c>
      <c r="B42" s="251">
        <f>IF(A42="","",IFERROR(INDEX(IDF_Hyetograph!$J$2:$J$37,MATCH(A42,IDF_Hyetograph!$K$2:$K$37,0)),0))</f>
        <v/>
      </c>
      <c r="C42" s="251">
        <f>IF(A42="","",0.00278*Inputs!$B$4*Inputs!$B$3*B42)</f>
        <v/>
      </c>
      <c r="D42" s="251">
        <f>IF(A42="","",MIN( Inputs!$B$30, MAX(0, D41 + (C42-F42-G42)*Inputs!$B$9) ))</f>
        <v/>
      </c>
      <c r="E42" s="251">
        <f>IF(A42="","",Inputs!$B$31 + D42/Inputs!$B$33)</f>
        <v/>
      </c>
      <c r="F42" s="251">
        <f>IF(A42="","",MIN( D41/Inputs!$B$9, Inputs!$B$35*Inputs!$B$36*SQRT(2*Inputs!$B$37*MAX(E41-J41,0)) ))</f>
        <v/>
      </c>
      <c r="G42" s="251">
        <f>IF(A42="","",MAX(0,(D41 + (C42-F42)*Inputs!$B$9 - Inputs!$B$30)/Inputs!$B$9))</f>
        <v/>
      </c>
      <c r="H42" s="251">
        <f>IF(A42="","",MAX(0,MIN(Inputs!$B$44,H41+(S42-M42-I42)*Inputs!$B$9)))</f>
        <v/>
      </c>
      <c r="I42" s="251">
        <f>IF(A42="","",MAX(0,(H41+(S42-M42)*Inputs!$B$9-Inputs!$B$44)/Inputs!$B$9))</f>
        <v/>
      </c>
      <c r="J42" s="251">
        <f>IF(A42="","",Inputs!$B$40 + H42/Inputs!$B$42)</f>
        <v/>
      </c>
      <c r="K42" s="116">
        <f>IF(A42="","",IF(J41&gt;=Inputs!$B$47,2, IF(J41&gt;=Inputs!$B$45,1, IF(J41&lt;=Inputs!$B$46,0,K41))))</f>
        <v/>
      </c>
      <c r="L42" s="251">
        <f>IF(A42="","",K42*Inputs!$B$49)</f>
        <v/>
      </c>
      <c r="M42" s="251">
        <f>IF(A42="","",MIN(L42,H41/Inputs!$B$9+S42))</f>
        <v/>
      </c>
      <c r="N42" s="116">
        <f>IF(A42="","",IF(AND(K42&gt;0,K41=0),1,0))</f>
        <v/>
      </c>
      <c r="O42" s="116">
        <f>IF(A42="","",O41+N42)</f>
        <v/>
      </c>
      <c r="P42" s="251">
        <f>IF(A42="","",MIN(F42,Inputs!$B$50))</f>
        <v/>
      </c>
      <c r="Q42" s="251">
        <f>IF(A42="","",MAX(0,F42-P42))</f>
        <v/>
      </c>
      <c r="R42" s="251">
        <f>IF(A42="","",P42*Inputs!$B$51)</f>
        <v/>
      </c>
      <c r="S42" s="251">
        <f>IF(A42="","",Q42+R42)</f>
        <v/>
      </c>
    </row>
    <row r="43">
      <c r="A43" s="116">
        <f>IF(ROW()&lt;=Inputs!$B$53+2,A42+Inputs!$B$8,"")</f>
        <v/>
      </c>
      <c r="B43" s="251">
        <f>IF(A43="","",IFERROR(INDEX(IDF_Hyetograph!$J$2:$J$37,MATCH(A43,IDF_Hyetograph!$K$2:$K$37,0)),0))</f>
        <v/>
      </c>
      <c r="C43" s="251">
        <f>IF(A43="","",0.00278*Inputs!$B$4*Inputs!$B$3*B43)</f>
        <v/>
      </c>
      <c r="D43" s="251">
        <f>IF(A43="","",MIN( Inputs!$B$30, MAX(0, D42 + (C43-F43-G43)*Inputs!$B$9) ))</f>
        <v/>
      </c>
      <c r="E43" s="251">
        <f>IF(A43="","",Inputs!$B$31 + D43/Inputs!$B$33)</f>
        <v/>
      </c>
      <c r="F43" s="251">
        <f>IF(A43="","",MIN( D42/Inputs!$B$9, Inputs!$B$35*Inputs!$B$36*SQRT(2*Inputs!$B$37*MAX(E42-J42,0)) ))</f>
        <v/>
      </c>
      <c r="G43" s="251">
        <f>IF(A43="","",MAX(0,(D42 + (C43-F43)*Inputs!$B$9 - Inputs!$B$30)/Inputs!$B$9))</f>
        <v/>
      </c>
      <c r="H43" s="251">
        <f>IF(A43="","",MAX(0,MIN(Inputs!$B$44,H42+(S43-M43-I43)*Inputs!$B$9)))</f>
        <v/>
      </c>
      <c r="I43" s="251">
        <f>IF(A43="","",MAX(0,(H42+(S43-M43)*Inputs!$B$9-Inputs!$B$44)/Inputs!$B$9))</f>
        <v/>
      </c>
      <c r="J43" s="251">
        <f>IF(A43="","",Inputs!$B$40 + H43/Inputs!$B$42)</f>
        <v/>
      </c>
      <c r="K43" s="116">
        <f>IF(A43="","",IF(J42&gt;=Inputs!$B$47,2, IF(J42&gt;=Inputs!$B$45,1, IF(J42&lt;=Inputs!$B$46,0,K42))))</f>
        <v/>
      </c>
      <c r="L43" s="251">
        <f>IF(A43="","",K43*Inputs!$B$49)</f>
        <v/>
      </c>
      <c r="M43" s="251">
        <f>IF(A43="","",MIN(L43,H42/Inputs!$B$9+S43))</f>
        <v/>
      </c>
      <c r="N43" s="116">
        <f>IF(A43="","",IF(AND(K43&gt;0,K42=0),1,0))</f>
        <v/>
      </c>
      <c r="O43" s="116">
        <f>IF(A43="","",O42+N43)</f>
        <v/>
      </c>
      <c r="P43" s="251">
        <f>IF(A43="","",MIN(F43,Inputs!$B$50))</f>
        <v/>
      </c>
      <c r="Q43" s="251">
        <f>IF(A43="","",MAX(0,F43-P43))</f>
        <v/>
      </c>
      <c r="R43" s="251">
        <f>IF(A43="","",P43*Inputs!$B$51)</f>
        <v/>
      </c>
      <c r="S43" s="251">
        <f>IF(A43="","",Q43+R43)</f>
        <v/>
      </c>
    </row>
    <row r="44">
      <c r="A44" s="116">
        <f>IF(ROW()&lt;=Inputs!$B$53+2,A43+Inputs!$B$8,"")</f>
        <v/>
      </c>
      <c r="B44" s="251">
        <f>IF(A44="","",IFERROR(INDEX(IDF_Hyetograph!$J$2:$J$37,MATCH(A44,IDF_Hyetograph!$K$2:$K$37,0)),0))</f>
        <v/>
      </c>
      <c r="C44" s="251">
        <f>IF(A44="","",0.00278*Inputs!$B$4*Inputs!$B$3*B44)</f>
        <v/>
      </c>
      <c r="D44" s="251">
        <f>IF(A44="","",MIN( Inputs!$B$30, MAX(0, D43 + (C44-F44-G44)*Inputs!$B$9) ))</f>
        <v/>
      </c>
      <c r="E44" s="251">
        <f>IF(A44="","",Inputs!$B$31 + D44/Inputs!$B$33)</f>
        <v/>
      </c>
      <c r="F44" s="251">
        <f>IF(A44="","",MIN( D43/Inputs!$B$9, Inputs!$B$35*Inputs!$B$36*SQRT(2*Inputs!$B$37*MAX(E43-J43,0)) ))</f>
        <v/>
      </c>
      <c r="G44" s="251">
        <f>IF(A44="","",MAX(0,(D43 + (C44-F44)*Inputs!$B$9 - Inputs!$B$30)/Inputs!$B$9))</f>
        <v/>
      </c>
      <c r="H44" s="251">
        <f>IF(A44="","",MAX(0,MIN(Inputs!$B$44,H43+(S44-M44-I44)*Inputs!$B$9)))</f>
        <v/>
      </c>
      <c r="I44" s="251">
        <f>IF(A44="","",MAX(0,(H43+(S44-M44)*Inputs!$B$9-Inputs!$B$44)/Inputs!$B$9))</f>
        <v/>
      </c>
      <c r="J44" s="251">
        <f>IF(A44="","",Inputs!$B$40 + H44/Inputs!$B$42)</f>
        <v/>
      </c>
      <c r="K44" s="116">
        <f>IF(A44="","",IF(J43&gt;=Inputs!$B$47,2, IF(J43&gt;=Inputs!$B$45,1, IF(J43&lt;=Inputs!$B$46,0,K43))))</f>
        <v/>
      </c>
      <c r="L44" s="251">
        <f>IF(A44="","",K44*Inputs!$B$49)</f>
        <v/>
      </c>
      <c r="M44" s="251">
        <f>IF(A44="","",MIN(L44,H43/Inputs!$B$9+S44))</f>
        <v/>
      </c>
      <c r="N44" s="116">
        <f>IF(A44="","",IF(AND(K44&gt;0,K43=0),1,0))</f>
        <v/>
      </c>
      <c r="O44" s="116">
        <f>IF(A44="","",O43+N44)</f>
        <v/>
      </c>
      <c r="P44" s="251">
        <f>IF(A44="","",MIN(F44,Inputs!$B$50))</f>
        <v/>
      </c>
      <c r="Q44" s="251">
        <f>IF(A44="","",MAX(0,F44-P44))</f>
        <v/>
      </c>
      <c r="R44" s="251">
        <f>IF(A44="","",P44*Inputs!$B$51)</f>
        <v/>
      </c>
      <c r="S44" s="251">
        <f>IF(A44="","",Q44+R44)</f>
        <v/>
      </c>
    </row>
    <row r="45">
      <c r="A45" s="116">
        <f>IF(ROW()&lt;=Inputs!$B$53+2,A44+Inputs!$B$8,"")</f>
        <v/>
      </c>
      <c r="B45" s="251">
        <f>IF(A45="","",IFERROR(INDEX(IDF_Hyetograph!$J$2:$J$37,MATCH(A45,IDF_Hyetograph!$K$2:$K$37,0)),0))</f>
        <v/>
      </c>
      <c r="C45" s="251">
        <f>IF(A45="","",0.00278*Inputs!$B$4*Inputs!$B$3*B45)</f>
        <v/>
      </c>
      <c r="D45" s="251">
        <f>IF(A45="","",MIN( Inputs!$B$30, MAX(0, D44 + (C45-F45-G45)*Inputs!$B$9) ))</f>
        <v/>
      </c>
      <c r="E45" s="251">
        <f>IF(A45="","",Inputs!$B$31 + D45/Inputs!$B$33)</f>
        <v/>
      </c>
      <c r="F45" s="251">
        <f>IF(A45="","",MIN( D44/Inputs!$B$9, Inputs!$B$35*Inputs!$B$36*SQRT(2*Inputs!$B$37*MAX(E44-J44,0)) ))</f>
        <v/>
      </c>
      <c r="G45" s="251">
        <f>IF(A45="","",MAX(0,(D44 + (C45-F45)*Inputs!$B$9 - Inputs!$B$30)/Inputs!$B$9))</f>
        <v/>
      </c>
      <c r="H45" s="251">
        <f>IF(A45="","",MAX(0,MIN(Inputs!$B$44,H44+(S45-M45-I45)*Inputs!$B$9)))</f>
        <v/>
      </c>
      <c r="I45" s="251">
        <f>IF(A45="","",MAX(0,(H44+(S45-M45)*Inputs!$B$9-Inputs!$B$44)/Inputs!$B$9))</f>
        <v/>
      </c>
      <c r="J45" s="251">
        <f>IF(A45="","",Inputs!$B$40 + H45/Inputs!$B$42)</f>
        <v/>
      </c>
      <c r="K45" s="116">
        <f>IF(A45="","",IF(J44&gt;=Inputs!$B$47,2, IF(J44&gt;=Inputs!$B$45,1, IF(J44&lt;=Inputs!$B$46,0,K44))))</f>
        <v/>
      </c>
      <c r="L45" s="251">
        <f>IF(A45="","",K45*Inputs!$B$49)</f>
        <v/>
      </c>
      <c r="M45" s="251">
        <f>IF(A45="","",MIN(L45,H44/Inputs!$B$9+S45))</f>
        <v/>
      </c>
      <c r="N45" s="116">
        <f>IF(A45="","",IF(AND(K45&gt;0,K44=0),1,0))</f>
        <v/>
      </c>
      <c r="O45" s="116">
        <f>IF(A45="","",O44+N45)</f>
        <v/>
      </c>
      <c r="P45" s="251">
        <f>IF(A45="","",MIN(F45,Inputs!$B$50))</f>
        <v/>
      </c>
      <c r="Q45" s="251">
        <f>IF(A45="","",MAX(0,F45-P45))</f>
        <v/>
      </c>
      <c r="R45" s="251">
        <f>IF(A45="","",P45*Inputs!$B$51)</f>
        <v/>
      </c>
      <c r="S45" s="251">
        <f>IF(A45="","",Q45+R45)</f>
        <v/>
      </c>
    </row>
    <row r="46">
      <c r="A46" s="116">
        <f>IF(ROW()&lt;=Inputs!$B$53+2,A45+Inputs!$B$8,"")</f>
        <v/>
      </c>
      <c r="B46" s="251">
        <f>IF(A46="","",IFERROR(INDEX(IDF_Hyetograph!$J$2:$J$37,MATCH(A46,IDF_Hyetograph!$K$2:$K$37,0)),0))</f>
        <v/>
      </c>
      <c r="C46" s="251">
        <f>IF(A46="","",0.00278*Inputs!$B$4*Inputs!$B$3*B46)</f>
        <v/>
      </c>
      <c r="D46" s="251">
        <f>IF(A46="","",MIN( Inputs!$B$30, MAX(0, D45 + (C46-F46-G46)*Inputs!$B$9) ))</f>
        <v/>
      </c>
      <c r="E46" s="251">
        <f>IF(A46="","",Inputs!$B$31 + D46/Inputs!$B$33)</f>
        <v/>
      </c>
      <c r="F46" s="251">
        <f>IF(A46="","",MIN( D45/Inputs!$B$9, Inputs!$B$35*Inputs!$B$36*SQRT(2*Inputs!$B$37*MAX(E45-J45,0)) ))</f>
        <v/>
      </c>
      <c r="G46" s="251">
        <f>IF(A46="","",MAX(0,(D45 + (C46-F46)*Inputs!$B$9 - Inputs!$B$30)/Inputs!$B$9))</f>
        <v/>
      </c>
      <c r="H46" s="251">
        <f>IF(A46="","",MAX(0,MIN(Inputs!$B$44,H45+(S46-M46-I46)*Inputs!$B$9)))</f>
        <v/>
      </c>
      <c r="I46" s="251">
        <f>IF(A46="","",MAX(0,(H45+(S46-M46)*Inputs!$B$9-Inputs!$B$44)/Inputs!$B$9))</f>
        <v/>
      </c>
      <c r="J46" s="251">
        <f>IF(A46="","",Inputs!$B$40 + H46/Inputs!$B$42)</f>
        <v/>
      </c>
      <c r="K46" s="116">
        <f>IF(A46="","",IF(J45&gt;=Inputs!$B$47,2, IF(J45&gt;=Inputs!$B$45,1, IF(J45&lt;=Inputs!$B$46,0,K45))))</f>
        <v/>
      </c>
      <c r="L46" s="251">
        <f>IF(A46="","",K46*Inputs!$B$49)</f>
        <v/>
      </c>
      <c r="M46" s="251">
        <f>IF(A46="","",MIN(L46,H45/Inputs!$B$9+S46))</f>
        <v/>
      </c>
      <c r="N46" s="116">
        <f>IF(A46="","",IF(AND(K46&gt;0,K45=0),1,0))</f>
        <v/>
      </c>
      <c r="O46" s="116">
        <f>IF(A46="","",O45+N46)</f>
        <v/>
      </c>
      <c r="P46" s="251">
        <f>IF(A46="","",MIN(F46,Inputs!$B$50))</f>
        <v/>
      </c>
      <c r="Q46" s="251">
        <f>IF(A46="","",MAX(0,F46-P46))</f>
        <v/>
      </c>
      <c r="R46" s="251">
        <f>IF(A46="","",P46*Inputs!$B$51)</f>
        <v/>
      </c>
      <c r="S46" s="251">
        <f>IF(A46="","",Q46+R46)</f>
        <v/>
      </c>
    </row>
    <row r="47">
      <c r="A47" s="116">
        <f>IF(ROW()&lt;=Inputs!$B$53+2,A46+Inputs!$B$8,"")</f>
        <v/>
      </c>
      <c r="B47" s="251">
        <f>IF(A47="","",IFERROR(INDEX(IDF_Hyetograph!$J$2:$J$37,MATCH(A47,IDF_Hyetograph!$K$2:$K$37,0)),0))</f>
        <v/>
      </c>
      <c r="C47" s="251">
        <f>IF(A47="","",0.00278*Inputs!$B$4*Inputs!$B$3*B47)</f>
        <v/>
      </c>
      <c r="D47" s="251">
        <f>IF(A47="","",MIN( Inputs!$B$30, MAX(0, D46 + (C47-F47-G47)*Inputs!$B$9) ))</f>
        <v/>
      </c>
      <c r="E47" s="251">
        <f>IF(A47="","",Inputs!$B$31 + D47/Inputs!$B$33)</f>
        <v/>
      </c>
      <c r="F47" s="251">
        <f>IF(A47="","",MIN( D46/Inputs!$B$9, Inputs!$B$35*Inputs!$B$36*SQRT(2*Inputs!$B$37*MAX(E46-J46,0)) ))</f>
        <v/>
      </c>
      <c r="G47" s="251">
        <f>IF(A47="","",MAX(0,(D46 + (C47-F47)*Inputs!$B$9 - Inputs!$B$30)/Inputs!$B$9))</f>
        <v/>
      </c>
      <c r="H47" s="251">
        <f>IF(A47="","",MAX(0,MIN(Inputs!$B$44,H46+(S47-M47-I47)*Inputs!$B$9)))</f>
        <v/>
      </c>
      <c r="I47" s="251">
        <f>IF(A47="","",MAX(0,(H46+(S47-M47)*Inputs!$B$9-Inputs!$B$44)/Inputs!$B$9))</f>
        <v/>
      </c>
      <c r="J47" s="251">
        <f>IF(A47="","",Inputs!$B$40 + H47/Inputs!$B$42)</f>
        <v/>
      </c>
      <c r="K47" s="116">
        <f>IF(A47="","",IF(J46&gt;=Inputs!$B$47,2, IF(J46&gt;=Inputs!$B$45,1, IF(J46&lt;=Inputs!$B$46,0,K46))))</f>
        <v/>
      </c>
      <c r="L47" s="251">
        <f>IF(A47="","",K47*Inputs!$B$49)</f>
        <v/>
      </c>
      <c r="M47" s="251">
        <f>IF(A47="","",MIN(L47,H46/Inputs!$B$9+S47))</f>
        <v/>
      </c>
      <c r="N47" s="116">
        <f>IF(A47="","",IF(AND(K47&gt;0,K46=0),1,0))</f>
        <v/>
      </c>
      <c r="O47" s="116">
        <f>IF(A47="","",O46+N47)</f>
        <v/>
      </c>
      <c r="P47" s="251">
        <f>IF(A47="","",MIN(F47,Inputs!$B$50))</f>
        <v/>
      </c>
      <c r="Q47" s="251">
        <f>IF(A47="","",MAX(0,F47-P47))</f>
        <v/>
      </c>
      <c r="R47" s="251">
        <f>IF(A47="","",P47*Inputs!$B$51)</f>
        <v/>
      </c>
      <c r="S47" s="251">
        <f>IF(A47="","",Q47+R47)</f>
        <v/>
      </c>
    </row>
    <row r="48">
      <c r="A48" s="116">
        <f>IF(ROW()&lt;=Inputs!$B$53+2,A47+Inputs!$B$8,"")</f>
        <v/>
      </c>
      <c r="B48" s="251">
        <f>IF(A48="","",IFERROR(INDEX(IDF_Hyetograph!$J$2:$J$37,MATCH(A48,IDF_Hyetograph!$K$2:$K$37,0)),0))</f>
        <v/>
      </c>
      <c r="C48" s="251">
        <f>IF(A48="","",0.00278*Inputs!$B$4*Inputs!$B$3*B48)</f>
        <v/>
      </c>
      <c r="D48" s="251">
        <f>IF(A48="","",MIN( Inputs!$B$30, MAX(0, D47 + (C48-F48-G48)*Inputs!$B$9) ))</f>
        <v/>
      </c>
      <c r="E48" s="251">
        <f>IF(A48="","",Inputs!$B$31 + D48/Inputs!$B$33)</f>
        <v/>
      </c>
      <c r="F48" s="251">
        <f>IF(A48="","",MIN( D47/Inputs!$B$9, Inputs!$B$35*Inputs!$B$36*SQRT(2*Inputs!$B$37*MAX(E47-J47,0)) ))</f>
        <v/>
      </c>
      <c r="G48" s="251">
        <f>IF(A48="","",MAX(0,(D47 + (C48-F48)*Inputs!$B$9 - Inputs!$B$30)/Inputs!$B$9))</f>
        <v/>
      </c>
      <c r="H48" s="251">
        <f>IF(A48="","",MAX(0,MIN(Inputs!$B$44,H47+(S48-M48-I48)*Inputs!$B$9)))</f>
        <v/>
      </c>
      <c r="I48" s="251">
        <f>IF(A48="","",MAX(0,(H47+(S48-M48)*Inputs!$B$9-Inputs!$B$44)/Inputs!$B$9))</f>
        <v/>
      </c>
      <c r="J48" s="251">
        <f>IF(A48="","",Inputs!$B$40 + H48/Inputs!$B$42)</f>
        <v/>
      </c>
      <c r="K48" s="116">
        <f>IF(A48="","",IF(J47&gt;=Inputs!$B$47,2, IF(J47&gt;=Inputs!$B$45,1, IF(J47&lt;=Inputs!$B$46,0,K47))))</f>
        <v/>
      </c>
      <c r="L48" s="251">
        <f>IF(A48="","",K48*Inputs!$B$49)</f>
        <v/>
      </c>
      <c r="M48" s="251">
        <f>IF(A48="","",MIN(L48,H47/Inputs!$B$9+S48))</f>
        <v/>
      </c>
      <c r="N48" s="116">
        <f>IF(A48="","",IF(AND(K48&gt;0,K47=0),1,0))</f>
        <v/>
      </c>
      <c r="O48" s="116">
        <f>IF(A48="","",O47+N48)</f>
        <v/>
      </c>
      <c r="P48" s="251">
        <f>IF(A48="","",MIN(F48,Inputs!$B$50))</f>
        <v/>
      </c>
      <c r="Q48" s="251">
        <f>IF(A48="","",MAX(0,F48-P48))</f>
        <v/>
      </c>
      <c r="R48" s="251">
        <f>IF(A48="","",P48*Inputs!$B$51)</f>
        <v/>
      </c>
      <c r="S48" s="251">
        <f>IF(A48="","",Q48+R48)</f>
        <v/>
      </c>
    </row>
    <row r="49">
      <c r="A49" s="116">
        <f>IF(ROW()&lt;=Inputs!$B$53+2,A48+Inputs!$B$8,"")</f>
        <v/>
      </c>
      <c r="B49" s="251">
        <f>IF(A49="","",IFERROR(INDEX(IDF_Hyetograph!$J$2:$J$37,MATCH(A49,IDF_Hyetograph!$K$2:$K$37,0)),0))</f>
        <v/>
      </c>
      <c r="C49" s="251">
        <f>IF(A49="","",0.00278*Inputs!$B$4*Inputs!$B$3*B49)</f>
        <v/>
      </c>
      <c r="D49" s="251">
        <f>IF(A49="","",MIN( Inputs!$B$30, MAX(0, D48 + (C49-F49-G49)*Inputs!$B$9) ))</f>
        <v/>
      </c>
      <c r="E49" s="251">
        <f>IF(A49="","",Inputs!$B$31 + D49/Inputs!$B$33)</f>
        <v/>
      </c>
      <c r="F49" s="251">
        <f>IF(A49="","",MIN( D48/Inputs!$B$9, Inputs!$B$35*Inputs!$B$36*SQRT(2*Inputs!$B$37*MAX(E48-J48,0)) ))</f>
        <v/>
      </c>
      <c r="G49" s="251">
        <f>IF(A49="","",MAX(0,(D48 + (C49-F49)*Inputs!$B$9 - Inputs!$B$30)/Inputs!$B$9))</f>
        <v/>
      </c>
      <c r="H49" s="251">
        <f>IF(A49="","",MAX(0,MIN(Inputs!$B$44,H48+(S49-M49-I49)*Inputs!$B$9)))</f>
        <v/>
      </c>
      <c r="I49" s="251">
        <f>IF(A49="","",MAX(0,(H48+(S49-M49)*Inputs!$B$9-Inputs!$B$44)/Inputs!$B$9))</f>
        <v/>
      </c>
      <c r="J49" s="251">
        <f>IF(A49="","",Inputs!$B$40 + H49/Inputs!$B$42)</f>
        <v/>
      </c>
      <c r="K49" s="116">
        <f>IF(A49="","",IF(J48&gt;=Inputs!$B$47,2, IF(J48&gt;=Inputs!$B$45,1, IF(J48&lt;=Inputs!$B$46,0,K48))))</f>
        <v/>
      </c>
      <c r="L49" s="251">
        <f>IF(A49="","",K49*Inputs!$B$49)</f>
        <v/>
      </c>
      <c r="M49" s="251">
        <f>IF(A49="","",MIN(L49,H48/Inputs!$B$9+S49))</f>
        <v/>
      </c>
      <c r="N49" s="116">
        <f>IF(A49="","",IF(AND(K49&gt;0,K48=0),1,0))</f>
        <v/>
      </c>
      <c r="O49" s="116">
        <f>IF(A49="","",O48+N49)</f>
        <v/>
      </c>
      <c r="P49" s="251">
        <f>IF(A49="","",MIN(F49,Inputs!$B$50))</f>
        <v/>
      </c>
      <c r="Q49" s="251">
        <f>IF(A49="","",MAX(0,F49-P49))</f>
        <v/>
      </c>
      <c r="R49" s="251">
        <f>IF(A49="","",P49*Inputs!$B$51)</f>
        <v/>
      </c>
      <c r="S49" s="251">
        <f>IF(A49="","",Q49+R49)</f>
        <v/>
      </c>
    </row>
    <row r="50">
      <c r="A50" s="116">
        <f>IF(ROW()&lt;=Inputs!$B$53+2,A49+Inputs!$B$8,"")</f>
        <v/>
      </c>
      <c r="B50" s="251">
        <f>IF(A50="","",IFERROR(INDEX(IDF_Hyetograph!$J$2:$J$37,MATCH(A50,IDF_Hyetograph!$K$2:$K$37,0)),0))</f>
        <v/>
      </c>
      <c r="C50" s="251">
        <f>IF(A50="","",0.00278*Inputs!$B$4*Inputs!$B$3*B50)</f>
        <v/>
      </c>
      <c r="D50" s="251">
        <f>IF(A50="","",MIN( Inputs!$B$30, MAX(0, D49 + (C50-F50-G50)*Inputs!$B$9) ))</f>
        <v/>
      </c>
      <c r="E50" s="251">
        <f>IF(A50="","",Inputs!$B$31 + D50/Inputs!$B$33)</f>
        <v/>
      </c>
      <c r="F50" s="251">
        <f>IF(A50="","",MIN( D49/Inputs!$B$9, Inputs!$B$35*Inputs!$B$36*SQRT(2*Inputs!$B$37*MAX(E49-J49,0)) ))</f>
        <v/>
      </c>
      <c r="G50" s="251">
        <f>IF(A50="","",MAX(0,(D49 + (C50-F50)*Inputs!$B$9 - Inputs!$B$30)/Inputs!$B$9))</f>
        <v/>
      </c>
      <c r="H50" s="251">
        <f>IF(A50="","",MAX(0,MIN(Inputs!$B$44,H49+(S50-M50-I50)*Inputs!$B$9)))</f>
        <v/>
      </c>
      <c r="I50" s="251">
        <f>IF(A50="","",MAX(0,(H49+(S50-M50)*Inputs!$B$9-Inputs!$B$44)/Inputs!$B$9))</f>
        <v/>
      </c>
      <c r="J50" s="251">
        <f>IF(A50="","",Inputs!$B$40 + H50/Inputs!$B$42)</f>
        <v/>
      </c>
      <c r="K50" s="116">
        <f>IF(A50="","",IF(J49&gt;=Inputs!$B$47,2, IF(J49&gt;=Inputs!$B$45,1, IF(J49&lt;=Inputs!$B$46,0,K49))))</f>
        <v/>
      </c>
      <c r="L50" s="251">
        <f>IF(A50="","",K50*Inputs!$B$49)</f>
        <v/>
      </c>
      <c r="M50" s="251">
        <f>IF(A50="","",MIN(L50,H49/Inputs!$B$9+S50))</f>
        <v/>
      </c>
      <c r="N50" s="116">
        <f>IF(A50="","",IF(AND(K50&gt;0,K49=0),1,0))</f>
        <v/>
      </c>
      <c r="O50" s="116">
        <f>IF(A50="","",O49+N50)</f>
        <v/>
      </c>
      <c r="P50" s="251">
        <f>IF(A50="","",MIN(F50,Inputs!$B$50))</f>
        <v/>
      </c>
      <c r="Q50" s="251">
        <f>IF(A50="","",MAX(0,F50-P50))</f>
        <v/>
      </c>
      <c r="R50" s="251">
        <f>IF(A50="","",P50*Inputs!$B$51)</f>
        <v/>
      </c>
      <c r="S50" s="251">
        <f>IF(A50="","",Q50+R50)</f>
        <v/>
      </c>
    </row>
    <row r="51">
      <c r="A51" s="116">
        <f>IF(ROW()&lt;=Inputs!$B$53+2,A50+Inputs!$B$8,"")</f>
        <v/>
      </c>
      <c r="B51" s="251">
        <f>IF(A51="","",IFERROR(INDEX(IDF_Hyetograph!$J$2:$J$37,MATCH(A51,IDF_Hyetograph!$K$2:$K$37,0)),0))</f>
        <v/>
      </c>
      <c r="C51" s="251">
        <f>IF(A51="","",0.00278*Inputs!$B$4*Inputs!$B$3*B51)</f>
        <v/>
      </c>
      <c r="D51" s="251">
        <f>IF(A51="","",MIN( Inputs!$B$30, MAX(0, D50 + (C51-F51-G51)*Inputs!$B$9) ))</f>
        <v/>
      </c>
      <c r="E51" s="251">
        <f>IF(A51="","",Inputs!$B$31 + D51/Inputs!$B$33)</f>
        <v/>
      </c>
      <c r="F51" s="251">
        <f>IF(A51="","",MIN( D50/Inputs!$B$9, Inputs!$B$35*Inputs!$B$36*SQRT(2*Inputs!$B$37*MAX(E50-J50,0)) ))</f>
        <v/>
      </c>
      <c r="G51" s="251">
        <f>IF(A51="","",MAX(0,(D50 + (C51-F51)*Inputs!$B$9 - Inputs!$B$30)/Inputs!$B$9))</f>
        <v/>
      </c>
      <c r="H51" s="251">
        <f>IF(A51="","",MAX(0,MIN(Inputs!$B$44,H50+(S51-M51-I51)*Inputs!$B$9)))</f>
        <v/>
      </c>
      <c r="I51" s="251">
        <f>IF(A51="","",MAX(0,(H50+(S51-M51)*Inputs!$B$9-Inputs!$B$44)/Inputs!$B$9))</f>
        <v/>
      </c>
      <c r="J51" s="251">
        <f>IF(A51="","",Inputs!$B$40 + H51/Inputs!$B$42)</f>
        <v/>
      </c>
      <c r="K51" s="116">
        <f>IF(A51="","",IF(J50&gt;=Inputs!$B$47,2, IF(J50&gt;=Inputs!$B$45,1, IF(J50&lt;=Inputs!$B$46,0,K50))))</f>
        <v/>
      </c>
      <c r="L51" s="251">
        <f>IF(A51="","",K51*Inputs!$B$49)</f>
        <v/>
      </c>
      <c r="M51" s="251">
        <f>IF(A51="","",MIN(L51,H50/Inputs!$B$9+S51))</f>
        <v/>
      </c>
      <c r="N51" s="116">
        <f>IF(A51="","",IF(AND(K51&gt;0,K50=0),1,0))</f>
        <v/>
      </c>
      <c r="O51" s="116">
        <f>IF(A51="","",O50+N51)</f>
        <v/>
      </c>
      <c r="P51" s="251">
        <f>IF(A51="","",MIN(F51,Inputs!$B$50))</f>
        <v/>
      </c>
      <c r="Q51" s="251">
        <f>IF(A51="","",MAX(0,F51-P51))</f>
        <v/>
      </c>
      <c r="R51" s="251">
        <f>IF(A51="","",P51*Inputs!$B$51)</f>
        <v/>
      </c>
      <c r="S51" s="251">
        <f>IF(A51="","",Q51+R51)</f>
        <v/>
      </c>
    </row>
    <row r="52">
      <c r="A52" s="116">
        <f>IF(ROW()&lt;=Inputs!$B$53+2,A51+Inputs!$B$8,"")</f>
        <v/>
      </c>
      <c r="B52" s="251">
        <f>IF(A52="","",IFERROR(INDEX(IDF_Hyetograph!$J$2:$J$37,MATCH(A52,IDF_Hyetograph!$K$2:$K$37,0)),0))</f>
        <v/>
      </c>
      <c r="C52" s="251">
        <f>IF(A52="","",0.00278*Inputs!$B$4*Inputs!$B$3*B52)</f>
        <v/>
      </c>
      <c r="D52" s="251">
        <f>IF(A52="","",MIN( Inputs!$B$30, MAX(0, D51 + (C52-F52-G52)*Inputs!$B$9) ))</f>
        <v/>
      </c>
      <c r="E52" s="251">
        <f>IF(A52="","",Inputs!$B$31 + D52/Inputs!$B$33)</f>
        <v/>
      </c>
      <c r="F52" s="251">
        <f>IF(A52="","",MIN( D51/Inputs!$B$9, Inputs!$B$35*Inputs!$B$36*SQRT(2*Inputs!$B$37*MAX(E51-J51,0)) ))</f>
        <v/>
      </c>
      <c r="G52" s="251">
        <f>IF(A52="","",MAX(0,(D51 + (C52-F52)*Inputs!$B$9 - Inputs!$B$30)/Inputs!$B$9))</f>
        <v/>
      </c>
      <c r="H52" s="251">
        <f>IF(A52="","",MAX(0,MIN(Inputs!$B$44,H51+(S52-M52-I52)*Inputs!$B$9)))</f>
        <v/>
      </c>
      <c r="I52" s="251">
        <f>IF(A52="","",MAX(0,(H51+(S52-M52)*Inputs!$B$9-Inputs!$B$44)/Inputs!$B$9))</f>
        <v/>
      </c>
      <c r="J52" s="251">
        <f>IF(A52="","",Inputs!$B$40 + H52/Inputs!$B$42)</f>
        <v/>
      </c>
      <c r="K52" s="116">
        <f>IF(A52="","",IF(J51&gt;=Inputs!$B$47,2, IF(J51&gt;=Inputs!$B$45,1, IF(J51&lt;=Inputs!$B$46,0,K51))))</f>
        <v/>
      </c>
      <c r="L52" s="251">
        <f>IF(A52="","",K52*Inputs!$B$49)</f>
        <v/>
      </c>
      <c r="M52" s="251">
        <f>IF(A52="","",MIN(L52,H51/Inputs!$B$9+S52))</f>
        <v/>
      </c>
      <c r="N52" s="116">
        <f>IF(A52="","",IF(AND(K52&gt;0,K51=0),1,0))</f>
        <v/>
      </c>
      <c r="O52" s="116">
        <f>IF(A52="","",O51+N52)</f>
        <v/>
      </c>
      <c r="P52" s="251">
        <f>IF(A52="","",MIN(F52,Inputs!$B$50))</f>
        <v/>
      </c>
      <c r="Q52" s="251">
        <f>IF(A52="","",MAX(0,F52-P52))</f>
        <v/>
      </c>
      <c r="R52" s="251">
        <f>IF(A52="","",P52*Inputs!$B$51)</f>
        <v/>
      </c>
      <c r="S52" s="251">
        <f>IF(A52="","",Q52+R52)</f>
        <v/>
      </c>
    </row>
    <row r="53">
      <c r="A53" s="116">
        <f>IF(ROW()&lt;=Inputs!$B$53+2,A52+Inputs!$B$8,"")</f>
        <v/>
      </c>
      <c r="B53" s="251">
        <f>IF(A53="","",IFERROR(INDEX(IDF_Hyetograph!$J$2:$J$37,MATCH(A53,IDF_Hyetograph!$K$2:$K$37,0)),0))</f>
        <v/>
      </c>
      <c r="C53" s="251">
        <f>IF(A53="","",0.00278*Inputs!$B$4*Inputs!$B$3*B53)</f>
        <v/>
      </c>
      <c r="D53" s="251">
        <f>IF(A53="","",MIN( Inputs!$B$30, MAX(0, D52 + (C53-F53-G53)*Inputs!$B$9) ))</f>
        <v/>
      </c>
      <c r="E53" s="251">
        <f>IF(A53="","",Inputs!$B$31 + D53/Inputs!$B$33)</f>
        <v/>
      </c>
      <c r="F53" s="251">
        <f>IF(A53="","",MIN( D52/Inputs!$B$9, Inputs!$B$35*Inputs!$B$36*SQRT(2*Inputs!$B$37*MAX(E52-J52,0)) ))</f>
        <v/>
      </c>
      <c r="G53" s="251">
        <f>IF(A53="","",MAX(0,(D52 + (C53-F53)*Inputs!$B$9 - Inputs!$B$30)/Inputs!$B$9))</f>
        <v/>
      </c>
      <c r="H53" s="251">
        <f>IF(A53="","",MAX(0,MIN(Inputs!$B$44,H52+(S53-M53-I53)*Inputs!$B$9)))</f>
        <v/>
      </c>
      <c r="I53" s="251">
        <f>IF(A53="","",MAX(0,(H52+(S53-M53)*Inputs!$B$9-Inputs!$B$44)/Inputs!$B$9))</f>
        <v/>
      </c>
      <c r="J53" s="251">
        <f>IF(A53="","",Inputs!$B$40 + H53/Inputs!$B$42)</f>
        <v/>
      </c>
      <c r="K53" s="116">
        <f>IF(A53="","",IF(J52&gt;=Inputs!$B$47,2, IF(J52&gt;=Inputs!$B$45,1, IF(J52&lt;=Inputs!$B$46,0,K52))))</f>
        <v/>
      </c>
      <c r="L53" s="251">
        <f>IF(A53="","",K53*Inputs!$B$49)</f>
        <v/>
      </c>
      <c r="M53" s="251">
        <f>IF(A53="","",MIN(L53,H52/Inputs!$B$9+S53))</f>
        <v/>
      </c>
      <c r="N53" s="116">
        <f>IF(A53="","",IF(AND(K53&gt;0,K52=0),1,0))</f>
        <v/>
      </c>
      <c r="O53" s="116">
        <f>IF(A53="","",O52+N53)</f>
        <v/>
      </c>
      <c r="P53" s="251">
        <f>IF(A53="","",MIN(F53,Inputs!$B$50))</f>
        <v/>
      </c>
      <c r="Q53" s="251">
        <f>IF(A53="","",MAX(0,F53-P53))</f>
        <v/>
      </c>
      <c r="R53" s="251">
        <f>IF(A53="","",P53*Inputs!$B$51)</f>
        <v/>
      </c>
      <c r="S53" s="251">
        <f>IF(A53="","",Q53+R53)</f>
        <v/>
      </c>
    </row>
    <row r="54">
      <c r="A54" s="116">
        <f>IF(ROW()&lt;=Inputs!$B$53+2,A53+Inputs!$B$8,"")</f>
        <v/>
      </c>
      <c r="B54" s="251">
        <f>IF(A54="","",IFERROR(INDEX(IDF_Hyetograph!$J$2:$J$37,MATCH(A54,IDF_Hyetograph!$K$2:$K$37,0)),0))</f>
        <v/>
      </c>
      <c r="C54" s="251">
        <f>IF(A54="","",0.00278*Inputs!$B$4*Inputs!$B$3*B54)</f>
        <v/>
      </c>
      <c r="D54" s="251">
        <f>IF(A54="","",MIN( Inputs!$B$30, MAX(0, D53 + (C54-F54-G54)*Inputs!$B$9) ))</f>
        <v/>
      </c>
      <c r="E54" s="251">
        <f>IF(A54="","",Inputs!$B$31 + D54/Inputs!$B$33)</f>
        <v/>
      </c>
      <c r="F54" s="251">
        <f>IF(A54="","",MIN( D53/Inputs!$B$9, Inputs!$B$35*Inputs!$B$36*SQRT(2*Inputs!$B$37*MAX(E53-J53,0)) ))</f>
        <v/>
      </c>
      <c r="G54" s="251">
        <f>IF(A54="","",MAX(0,(D53 + (C54-F54)*Inputs!$B$9 - Inputs!$B$30)/Inputs!$B$9))</f>
        <v/>
      </c>
      <c r="H54" s="251">
        <f>IF(A54="","",MAX(0,MIN(Inputs!$B$44,H53+(S54-M54-I54)*Inputs!$B$9)))</f>
        <v/>
      </c>
      <c r="I54" s="251">
        <f>IF(A54="","",MAX(0,(H53+(S54-M54)*Inputs!$B$9-Inputs!$B$44)/Inputs!$B$9))</f>
        <v/>
      </c>
      <c r="J54" s="251">
        <f>IF(A54="","",Inputs!$B$40 + H54/Inputs!$B$42)</f>
        <v/>
      </c>
      <c r="K54" s="116">
        <f>IF(A54="","",IF(J53&gt;=Inputs!$B$47,2, IF(J53&gt;=Inputs!$B$45,1, IF(J53&lt;=Inputs!$B$46,0,K53))))</f>
        <v/>
      </c>
      <c r="L54" s="251">
        <f>IF(A54="","",K54*Inputs!$B$49)</f>
        <v/>
      </c>
      <c r="M54" s="251">
        <f>IF(A54="","",MIN(L54,H53/Inputs!$B$9+S54))</f>
        <v/>
      </c>
      <c r="N54" s="116">
        <f>IF(A54="","",IF(AND(K54&gt;0,K53=0),1,0))</f>
        <v/>
      </c>
      <c r="O54" s="116">
        <f>IF(A54="","",O53+N54)</f>
        <v/>
      </c>
      <c r="P54" s="251">
        <f>IF(A54="","",MIN(F54,Inputs!$B$50))</f>
        <v/>
      </c>
      <c r="Q54" s="251">
        <f>IF(A54="","",MAX(0,F54-P54))</f>
        <v/>
      </c>
      <c r="R54" s="251">
        <f>IF(A54="","",P54*Inputs!$B$51)</f>
        <v/>
      </c>
      <c r="S54" s="251">
        <f>IF(A54="","",Q54+R54)</f>
        <v/>
      </c>
    </row>
    <row r="55">
      <c r="A55" s="116">
        <f>IF(ROW()&lt;=Inputs!$B$53+2,A54+Inputs!$B$8,"")</f>
        <v/>
      </c>
      <c r="B55" s="251">
        <f>IF(A55="","",IFERROR(INDEX(IDF_Hyetograph!$J$2:$J$37,MATCH(A55,IDF_Hyetograph!$K$2:$K$37,0)),0))</f>
        <v/>
      </c>
      <c r="C55" s="251">
        <f>IF(A55="","",0.00278*Inputs!$B$4*Inputs!$B$3*B55)</f>
        <v/>
      </c>
      <c r="D55" s="251">
        <f>IF(A55="","",MIN( Inputs!$B$30, MAX(0, D54 + (C55-F55-G55)*Inputs!$B$9) ))</f>
        <v/>
      </c>
      <c r="E55" s="251">
        <f>IF(A55="","",Inputs!$B$31 + D55/Inputs!$B$33)</f>
        <v/>
      </c>
      <c r="F55" s="251">
        <f>IF(A55="","",MIN( D54/Inputs!$B$9, Inputs!$B$35*Inputs!$B$36*SQRT(2*Inputs!$B$37*MAX(E54-J54,0)) ))</f>
        <v/>
      </c>
      <c r="G55" s="251">
        <f>IF(A55="","",MAX(0,(D54 + (C55-F55)*Inputs!$B$9 - Inputs!$B$30)/Inputs!$B$9))</f>
        <v/>
      </c>
      <c r="H55" s="251">
        <f>IF(A55="","",MAX(0,MIN(Inputs!$B$44,H54+(S55-M55-I55)*Inputs!$B$9)))</f>
        <v/>
      </c>
      <c r="I55" s="251">
        <f>IF(A55="","",MAX(0,(H54+(S55-M55)*Inputs!$B$9-Inputs!$B$44)/Inputs!$B$9))</f>
        <v/>
      </c>
      <c r="J55" s="251">
        <f>IF(A55="","",Inputs!$B$40 + H55/Inputs!$B$42)</f>
        <v/>
      </c>
      <c r="K55" s="116">
        <f>IF(A55="","",IF(J54&gt;=Inputs!$B$47,2, IF(J54&gt;=Inputs!$B$45,1, IF(J54&lt;=Inputs!$B$46,0,K54))))</f>
        <v/>
      </c>
      <c r="L55" s="251">
        <f>IF(A55="","",K55*Inputs!$B$49)</f>
        <v/>
      </c>
      <c r="M55" s="251">
        <f>IF(A55="","",MIN(L55,H54/Inputs!$B$9+S55))</f>
        <v/>
      </c>
      <c r="N55" s="116">
        <f>IF(A55="","",IF(AND(K55&gt;0,K54=0),1,0))</f>
        <v/>
      </c>
      <c r="O55" s="116">
        <f>IF(A55="","",O54+N55)</f>
        <v/>
      </c>
      <c r="P55" s="251">
        <f>IF(A55="","",MIN(F55,Inputs!$B$50))</f>
        <v/>
      </c>
      <c r="Q55" s="251">
        <f>IF(A55="","",MAX(0,F55-P55))</f>
        <v/>
      </c>
      <c r="R55" s="251">
        <f>IF(A55="","",P55*Inputs!$B$51)</f>
        <v/>
      </c>
      <c r="S55" s="251">
        <f>IF(A55="","",Q55+R55)</f>
        <v/>
      </c>
    </row>
    <row r="56">
      <c r="A56" s="116">
        <f>IF(ROW()&lt;=Inputs!$B$53+2,A55+Inputs!$B$8,"")</f>
        <v/>
      </c>
      <c r="B56" s="251">
        <f>IF(A56="","",IFERROR(INDEX(IDF_Hyetograph!$J$2:$J$37,MATCH(A56,IDF_Hyetograph!$K$2:$K$37,0)),0))</f>
        <v/>
      </c>
      <c r="C56" s="251">
        <f>IF(A56="","",0.00278*Inputs!$B$4*Inputs!$B$3*B56)</f>
        <v/>
      </c>
      <c r="D56" s="251">
        <f>IF(A56="","",MIN( Inputs!$B$30, MAX(0, D55 + (C56-F56-G56)*Inputs!$B$9) ))</f>
        <v/>
      </c>
      <c r="E56" s="251">
        <f>IF(A56="","",Inputs!$B$31 + D56/Inputs!$B$33)</f>
        <v/>
      </c>
      <c r="F56" s="251">
        <f>IF(A56="","",MIN( D55/Inputs!$B$9, Inputs!$B$35*Inputs!$B$36*SQRT(2*Inputs!$B$37*MAX(E55-J55,0)) ))</f>
        <v/>
      </c>
      <c r="G56" s="251">
        <f>IF(A56="","",MAX(0,(D55 + (C56-F56)*Inputs!$B$9 - Inputs!$B$30)/Inputs!$B$9))</f>
        <v/>
      </c>
      <c r="H56" s="251">
        <f>IF(A56="","",MAX(0,MIN(Inputs!$B$44,H55+(S56-M56-I56)*Inputs!$B$9)))</f>
        <v/>
      </c>
      <c r="I56" s="251">
        <f>IF(A56="","",MAX(0,(H55+(S56-M56)*Inputs!$B$9-Inputs!$B$44)/Inputs!$B$9))</f>
        <v/>
      </c>
      <c r="J56" s="251">
        <f>IF(A56="","",Inputs!$B$40 + H56/Inputs!$B$42)</f>
        <v/>
      </c>
      <c r="K56" s="116">
        <f>IF(A56="","",IF(J55&gt;=Inputs!$B$47,2, IF(J55&gt;=Inputs!$B$45,1, IF(J55&lt;=Inputs!$B$46,0,K55))))</f>
        <v/>
      </c>
      <c r="L56" s="251">
        <f>IF(A56="","",K56*Inputs!$B$49)</f>
        <v/>
      </c>
      <c r="M56" s="251">
        <f>IF(A56="","",MIN(L56,H55/Inputs!$B$9+S56))</f>
        <v/>
      </c>
      <c r="N56" s="116">
        <f>IF(A56="","",IF(AND(K56&gt;0,K55=0),1,0))</f>
        <v/>
      </c>
      <c r="O56" s="116">
        <f>IF(A56="","",O55+N56)</f>
        <v/>
      </c>
      <c r="P56" s="251">
        <f>IF(A56="","",MIN(F56,Inputs!$B$50))</f>
        <v/>
      </c>
      <c r="Q56" s="251">
        <f>IF(A56="","",MAX(0,F56-P56))</f>
        <v/>
      </c>
      <c r="R56" s="251">
        <f>IF(A56="","",P56*Inputs!$B$51)</f>
        <v/>
      </c>
      <c r="S56" s="251">
        <f>IF(A56="","",Q56+R56)</f>
        <v/>
      </c>
    </row>
    <row r="57">
      <c r="A57" s="116">
        <f>IF(ROW()&lt;=Inputs!$B$53+2,A56+Inputs!$B$8,"")</f>
        <v/>
      </c>
      <c r="B57" s="251">
        <f>IF(A57="","",IFERROR(INDEX(IDF_Hyetograph!$J$2:$J$37,MATCH(A57,IDF_Hyetograph!$K$2:$K$37,0)),0))</f>
        <v/>
      </c>
      <c r="C57" s="251">
        <f>IF(A57="","",0.00278*Inputs!$B$4*Inputs!$B$3*B57)</f>
        <v/>
      </c>
      <c r="D57" s="251">
        <f>IF(A57="","",MIN( Inputs!$B$30, MAX(0, D56 + (C57-F57-G57)*Inputs!$B$9) ))</f>
        <v/>
      </c>
      <c r="E57" s="251">
        <f>IF(A57="","",Inputs!$B$31 + D57/Inputs!$B$33)</f>
        <v/>
      </c>
      <c r="F57" s="251">
        <f>IF(A57="","",MIN( D56/Inputs!$B$9, Inputs!$B$35*Inputs!$B$36*SQRT(2*Inputs!$B$37*MAX(E56-J56,0)) ))</f>
        <v/>
      </c>
      <c r="G57" s="251">
        <f>IF(A57="","",MAX(0,(D56 + (C57-F57)*Inputs!$B$9 - Inputs!$B$30)/Inputs!$B$9))</f>
        <v/>
      </c>
      <c r="H57" s="251">
        <f>IF(A57="","",MAX(0,MIN(Inputs!$B$44,H56+(S57-M57-I57)*Inputs!$B$9)))</f>
        <v/>
      </c>
      <c r="I57" s="251">
        <f>IF(A57="","",MAX(0,(H56+(S57-M57)*Inputs!$B$9-Inputs!$B$44)/Inputs!$B$9))</f>
        <v/>
      </c>
      <c r="J57" s="251">
        <f>IF(A57="","",Inputs!$B$40 + H57/Inputs!$B$42)</f>
        <v/>
      </c>
      <c r="K57" s="116">
        <f>IF(A57="","",IF(J56&gt;=Inputs!$B$47,2, IF(J56&gt;=Inputs!$B$45,1, IF(J56&lt;=Inputs!$B$46,0,K56))))</f>
        <v/>
      </c>
      <c r="L57" s="251">
        <f>IF(A57="","",K57*Inputs!$B$49)</f>
        <v/>
      </c>
      <c r="M57" s="251">
        <f>IF(A57="","",MIN(L57,H56/Inputs!$B$9+S57))</f>
        <v/>
      </c>
      <c r="N57" s="116">
        <f>IF(A57="","",IF(AND(K57&gt;0,K56=0),1,0))</f>
        <v/>
      </c>
      <c r="O57" s="116">
        <f>IF(A57="","",O56+N57)</f>
        <v/>
      </c>
      <c r="P57" s="251">
        <f>IF(A57="","",MIN(F57,Inputs!$B$50))</f>
        <v/>
      </c>
      <c r="Q57" s="251">
        <f>IF(A57="","",MAX(0,F57-P57))</f>
        <v/>
      </c>
      <c r="R57" s="251">
        <f>IF(A57="","",P57*Inputs!$B$51)</f>
        <v/>
      </c>
      <c r="S57" s="251">
        <f>IF(A57="","",Q57+R57)</f>
        <v/>
      </c>
    </row>
    <row r="58">
      <c r="A58" s="116">
        <f>IF(ROW()&lt;=Inputs!$B$53+2,A57+Inputs!$B$8,"")</f>
        <v/>
      </c>
      <c r="B58" s="251">
        <f>IF(A58="","",IFERROR(INDEX(IDF_Hyetograph!$J$2:$J$37,MATCH(A58,IDF_Hyetograph!$K$2:$K$37,0)),0))</f>
        <v/>
      </c>
      <c r="C58" s="251">
        <f>IF(A58="","",0.00278*Inputs!$B$4*Inputs!$B$3*B58)</f>
        <v/>
      </c>
      <c r="D58" s="251">
        <f>IF(A58="","",MIN( Inputs!$B$30, MAX(0, D57 + (C58-F58-G58)*Inputs!$B$9) ))</f>
        <v/>
      </c>
      <c r="E58" s="251">
        <f>IF(A58="","",Inputs!$B$31 + D58/Inputs!$B$33)</f>
        <v/>
      </c>
      <c r="F58" s="251">
        <f>IF(A58="","",MIN( D57/Inputs!$B$9, Inputs!$B$35*Inputs!$B$36*SQRT(2*Inputs!$B$37*MAX(E57-J57,0)) ))</f>
        <v/>
      </c>
      <c r="G58" s="251">
        <f>IF(A58="","",MAX(0,(D57 + (C58-F58)*Inputs!$B$9 - Inputs!$B$30)/Inputs!$B$9))</f>
        <v/>
      </c>
      <c r="H58" s="251">
        <f>IF(A58="","",MAX(0,MIN(Inputs!$B$44,H57+(S58-M58-I58)*Inputs!$B$9)))</f>
        <v/>
      </c>
      <c r="I58" s="251">
        <f>IF(A58="","",MAX(0,(H57+(S58-M58)*Inputs!$B$9-Inputs!$B$44)/Inputs!$B$9))</f>
        <v/>
      </c>
      <c r="J58" s="251">
        <f>IF(A58="","",Inputs!$B$40 + H58/Inputs!$B$42)</f>
        <v/>
      </c>
      <c r="K58" s="116">
        <f>IF(A58="","",IF(J57&gt;=Inputs!$B$47,2, IF(J57&gt;=Inputs!$B$45,1, IF(J57&lt;=Inputs!$B$46,0,K57))))</f>
        <v/>
      </c>
      <c r="L58" s="251">
        <f>IF(A58="","",K58*Inputs!$B$49)</f>
        <v/>
      </c>
      <c r="M58" s="251">
        <f>IF(A58="","",MIN(L58,H57/Inputs!$B$9+S58))</f>
        <v/>
      </c>
      <c r="N58" s="116">
        <f>IF(A58="","",IF(AND(K58&gt;0,K57=0),1,0))</f>
        <v/>
      </c>
      <c r="O58" s="116">
        <f>IF(A58="","",O57+N58)</f>
        <v/>
      </c>
      <c r="P58" s="251">
        <f>IF(A58="","",MIN(F58,Inputs!$B$50))</f>
        <v/>
      </c>
      <c r="Q58" s="251">
        <f>IF(A58="","",MAX(0,F58-P58))</f>
        <v/>
      </c>
      <c r="R58" s="251">
        <f>IF(A58="","",P58*Inputs!$B$51)</f>
        <v/>
      </c>
      <c r="S58" s="251">
        <f>IF(A58="","",Q58+R58)</f>
        <v/>
      </c>
    </row>
    <row r="59">
      <c r="A59" s="116">
        <f>IF(ROW()&lt;=Inputs!$B$53+2,A58+Inputs!$B$8,"")</f>
        <v/>
      </c>
      <c r="B59" s="251">
        <f>IF(A59="","",IFERROR(INDEX(IDF_Hyetograph!$J$2:$J$37,MATCH(A59,IDF_Hyetograph!$K$2:$K$37,0)),0))</f>
        <v/>
      </c>
      <c r="C59" s="251">
        <f>IF(A59="","",0.00278*Inputs!$B$4*Inputs!$B$3*B59)</f>
        <v/>
      </c>
      <c r="D59" s="251">
        <f>IF(A59="","",MIN( Inputs!$B$30, MAX(0, D58 + (C59-F59-G59)*Inputs!$B$9) ))</f>
        <v/>
      </c>
      <c r="E59" s="251">
        <f>IF(A59="","",Inputs!$B$31 + D59/Inputs!$B$33)</f>
        <v/>
      </c>
      <c r="F59" s="251">
        <f>IF(A59="","",MIN( D58/Inputs!$B$9, Inputs!$B$35*Inputs!$B$36*SQRT(2*Inputs!$B$37*MAX(E58-J58,0)) ))</f>
        <v/>
      </c>
      <c r="G59" s="251">
        <f>IF(A59="","",MAX(0,(D58 + (C59-F59)*Inputs!$B$9 - Inputs!$B$30)/Inputs!$B$9))</f>
        <v/>
      </c>
      <c r="H59" s="251">
        <f>IF(A59="","",MAX(0,MIN(Inputs!$B$44,H58+(S59-M59-I59)*Inputs!$B$9)))</f>
        <v/>
      </c>
      <c r="I59" s="251">
        <f>IF(A59="","",MAX(0,(H58+(S59-M59)*Inputs!$B$9-Inputs!$B$44)/Inputs!$B$9))</f>
        <v/>
      </c>
      <c r="J59" s="251">
        <f>IF(A59="","",Inputs!$B$40 + H59/Inputs!$B$42)</f>
        <v/>
      </c>
      <c r="K59" s="116">
        <f>IF(A59="","",IF(J58&gt;=Inputs!$B$47,2, IF(J58&gt;=Inputs!$B$45,1, IF(J58&lt;=Inputs!$B$46,0,K58))))</f>
        <v/>
      </c>
      <c r="L59" s="251">
        <f>IF(A59="","",K59*Inputs!$B$49)</f>
        <v/>
      </c>
      <c r="M59" s="251">
        <f>IF(A59="","",MIN(L59,H58/Inputs!$B$9+S59))</f>
        <v/>
      </c>
      <c r="N59" s="116">
        <f>IF(A59="","",IF(AND(K59&gt;0,K58=0),1,0))</f>
        <v/>
      </c>
      <c r="O59" s="116">
        <f>IF(A59="","",O58+N59)</f>
        <v/>
      </c>
      <c r="P59" s="251">
        <f>IF(A59="","",MIN(F59,Inputs!$B$50))</f>
        <v/>
      </c>
      <c r="Q59" s="251">
        <f>IF(A59="","",MAX(0,F59-P59))</f>
        <v/>
      </c>
      <c r="R59" s="251">
        <f>IF(A59="","",P59*Inputs!$B$51)</f>
        <v/>
      </c>
      <c r="S59" s="251">
        <f>IF(A59="","",Q59+R59)</f>
        <v/>
      </c>
    </row>
    <row r="60">
      <c r="A60" s="116">
        <f>IF(ROW()&lt;=Inputs!$B$53+2,A59+Inputs!$B$8,"")</f>
        <v/>
      </c>
      <c r="B60" s="251">
        <f>IF(A60="","",IFERROR(INDEX(IDF_Hyetograph!$J$2:$J$37,MATCH(A60,IDF_Hyetograph!$K$2:$K$37,0)),0))</f>
        <v/>
      </c>
      <c r="C60" s="251">
        <f>IF(A60="","",0.00278*Inputs!$B$4*Inputs!$B$3*B60)</f>
        <v/>
      </c>
      <c r="D60" s="251">
        <f>IF(A60="","",MIN( Inputs!$B$30, MAX(0, D59 + (C60-F60-G60)*Inputs!$B$9) ))</f>
        <v/>
      </c>
      <c r="E60" s="251">
        <f>IF(A60="","",Inputs!$B$31 + D60/Inputs!$B$33)</f>
        <v/>
      </c>
      <c r="F60" s="251">
        <f>IF(A60="","",MIN( D59/Inputs!$B$9, Inputs!$B$35*Inputs!$B$36*SQRT(2*Inputs!$B$37*MAX(E59-J59,0)) ))</f>
        <v/>
      </c>
      <c r="G60" s="251">
        <f>IF(A60="","",MAX(0,(D59 + (C60-F60)*Inputs!$B$9 - Inputs!$B$30)/Inputs!$B$9))</f>
        <v/>
      </c>
      <c r="H60" s="251">
        <f>IF(A60="","",MAX(0,MIN(Inputs!$B$44,H59+(S60-M60-I60)*Inputs!$B$9)))</f>
        <v/>
      </c>
      <c r="I60" s="251">
        <f>IF(A60="","",MAX(0,(H59+(S60-M60)*Inputs!$B$9-Inputs!$B$44)/Inputs!$B$9))</f>
        <v/>
      </c>
      <c r="J60" s="251">
        <f>IF(A60="","",Inputs!$B$40 + H60/Inputs!$B$42)</f>
        <v/>
      </c>
      <c r="K60" s="116">
        <f>IF(A60="","",IF(J59&gt;=Inputs!$B$47,2, IF(J59&gt;=Inputs!$B$45,1, IF(J59&lt;=Inputs!$B$46,0,K59))))</f>
        <v/>
      </c>
      <c r="L60" s="251">
        <f>IF(A60="","",K60*Inputs!$B$49)</f>
        <v/>
      </c>
      <c r="M60" s="251">
        <f>IF(A60="","",MIN(L60,H59/Inputs!$B$9+S60))</f>
        <v/>
      </c>
      <c r="N60" s="116">
        <f>IF(A60="","",IF(AND(K60&gt;0,K59=0),1,0))</f>
        <v/>
      </c>
      <c r="O60" s="116">
        <f>IF(A60="","",O59+N60)</f>
        <v/>
      </c>
      <c r="P60" s="251">
        <f>IF(A60="","",MIN(F60,Inputs!$B$50))</f>
        <v/>
      </c>
      <c r="Q60" s="251">
        <f>IF(A60="","",MAX(0,F60-P60))</f>
        <v/>
      </c>
      <c r="R60" s="251">
        <f>IF(A60="","",P60*Inputs!$B$51)</f>
        <v/>
      </c>
      <c r="S60" s="251">
        <f>IF(A60="","",Q60+R60)</f>
        <v/>
      </c>
    </row>
    <row r="61">
      <c r="A61" s="116">
        <f>IF(ROW()&lt;=Inputs!$B$53+2,A60+Inputs!$B$8,"")</f>
        <v/>
      </c>
      <c r="B61" s="251">
        <f>IF(A61="","",IFERROR(INDEX(IDF_Hyetograph!$J$2:$J$37,MATCH(A61,IDF_Hyetograph!$K$2:$K$37,0)),0))</f>
        <v/>
      </c>
      <c r="C61" s="251">
        <f>IF(A61="","",0.00278*Inputs!$B$4*Inputs!$B$3*B61)</f>
        <v/>
      </c>
      <c r="D61" s="251">
        <f>IF(A61="","",MIN( Inputs!$B$30, MAX(0, D60 + (C61-F61-G61)*Inputs!$B$9) ))</f>
        <v/>
      </c>
      <c r="E61" s="251">
        <f>IF(A61="","",Inputs!$B$31 + D61/Inputs!$B$33)</f>
        <v/>
      </c>
      <c r="F61" s="251">
        <f>IF(A61="","",MIN( D60/Inputs!$B$9, Inputs!$B$35*Inputs!$B$36*SQRT(2*Inputs!$B$37*MAX(E60-J60,0)) ))</f>
        <v/>
      </c>
      <c r="G61" s="251">
        <f>IF(A61="","",MAX(0,(D60 + (C61-F61)*Inputs!$B$9 - Inputs!$B$30)/Inputs!$B$9))</f>
        <v/>
      </c>
      <c r="H61" s="251">
        <f>IF(A61="","",MAX(0,MIN(Inputs!$B$44,H60+(S61-M61-I61)*Inputs!$B$9)))</f>
        <v/>
      </c>
      <c r="I61" s="251">
        <f>IF(A61="","",MAX(0,(H60+(S61-M61)*Inputs!$B$9-Inputs!$B$44)/Inputs!$B$9))</f>
        <v/>
      </c>
      <c r="J61" s="251">
        <f>IF(A61="","",Inputs!$B$40 + H61/Inputs!$B$42)</f>
        <v/>
      </c>
      <c r="K61" s="116">
        <f>IF(A61="","",IF(J60&gt;=Inputs!$B$47,2, IF(J60&gt;=Inputs!$B$45,1, IF(J60&lt;=Inputs!$B$46,0,K60))))</f>
        <v/>
      </c>
      <c r="L61" s="251">
        <f>IF(A61="","",K61*Inputs!$B$49)</f>
        <v/>
      </c>
      <c r="M61" s="251">
        <f>IF(A61="","",MIN(L61,H60/Inputs!$B$9+S61))</f>
        <v/>
      </c>
      <c r="N61" s="116">
        <f>IF(A61="","",IF(AND(K61&gt;0,K60=0),1,0))</f>
        <v/>
      </c>
      <c r="O61" s="116">
        <f>IF(A61="","",O60+N61)</f>
        <v/>
      </c>
      <c r="P61" s="251">
        <f>IF(A61="","",MIN(F61,Inputs!$B$50))</f>
        <v/>
      </c>
      <c r="Q61" s="251">
        <f>IF(A61="","",MAX(0,F61-P61))</f>
        <v/>
      </c>
      <c r="R61" s="251">
        <f>IF(A61="","",P61*Inputs!$B$51)</f>
        <v/>
      </c>
      <c r="S61" s="251">
        <f>IF(A61="","",Q61+R61)</f>
        <v/>
      </c>
    </row>
    <row r="62">
      <c r="A62" s="116">
        <f>IF(ROW()&lt;=Inputs!$B$53+2,A61+Inputs!$B$8,"")</f>
        <v/>
      </c>
      <c r="B62" s="251">
        <f>IF(A62="","",IFERROR(INDEX(IDF_Hyetograph!$J$2:$J$37,MATCH(A62,IDF_Hyetograph!$K$2:$K$37,0)),0))</f>
        <v/>
      </c>
      <c r="C62" s="251">
        <f>IF(A62="","",0.00278*Inputs!$B$4*Inputs!$B$3*B62)</f>
        <v/>
      </c>
      <c r="D62" s="251">
        <f>IF(A62="","",MIN( Inputs!$B$30, MAX(0, D61 + (C62-F62-G62)*Inputs!$B$9) ))</f>
        <v/>
      </c>
      <c r="E62" s="251">
        <f>IF(A62="","",Inputs!$B$31 + D62/Inputs!$B$33)</f>
        <v/>
      </c>
      <c r="F62" s="251">
        <f>IF(A62="","",MIN( D61/Inputs!$B$9, Inputs!$B$35*Inputs!$B$36*SQRT(2*Inputs!$B$37*MAX(E61-J61,0)) ))</f>
        <v/>
      </c>
      <c r="G62" s="251">
        <f>IF(A62="","",MAX(0,(D61 + (C62-F62)*Inputs!$B$9 - Inputs!$B$30)/Inputs!$B$9))</f>
        <v/>
      </c>
      <c r="H62" s="251">
        <f>IF(A62="","",MAX(0,MIN(Inputs!$B$44,H61+(S62-M62-I62)*Inputs!$B$9)))</f>
        <v/>
      </c>
      <c r="I62" s="251">
        <f>IF(A62="","",MAX(0,(H61+(S62-M62)*Inputs!$B$9-Inputs!$B$44)/Inputs!$B$9))</f>
        <v/>
      </c>
      <c r="J62" s="251">
        <f>IF(A62="","",Inputs!$B$40 + H62/Inputs!$B$42)</f>
        <v/>
      </c>
      <c r="K62" s="116">
        <f>IF(A62="","",IF(J61&gt;=Inputs!$B$47,2, IF(J61&gt;=Inputs!$B$45,1, IF(J61&lt;=Inputs!$B$46,0,K61))))</f>
        <v/>
      </c>
      <c r="L62" s="251">
        <f>IF(A62="","",K62*Inputs!$B$49)</f>
        <v/>
      </c>
      <c r="M62" s="251">
        <f>IF(A62="","",MIN(L62,H61/Inputs!$B$9+S62))</f>
        <v/>
      </c>
      <c r="N62" s="116">
        <f>IF(A62="","",IF(AND(K62&gt;0,K61=0),1,0))</f>
        <v/>
      </c>
      <c r="O62" s="116">
        <f>IF(A62="","",O61+N62)</f>
        <v/>
      </c>
      <c r="P62" s="251">
        <f>IF(A62="","",MIN(F62,Inputs!$B$50))</f>
        <v/>
      </c>
      <c r="Q62" s="251">
        <f>IF(A62="","",MAX(0,F62-P62))</f>
        <v/>
      </c>
      <c r="R62" s="251">
        <f>IF(A62="","",P62*Inputs!$B$51)</f>
        <v/>
      </c>
      <c r="S62" s="251">
        <f>IF(A62="","",Q62+R62)</f>
        <v/>
      </c>
    </row>
    <row r="63">
      <c r="A63" s="116">
        <f>IF(ROW()&lt;=Inputs!$B$53+2,A62+Inputs!$B$8,"")</f>
        <v/>
      </c>
      <c r="B63" s="251">
        <f>IF(A63="","",IFERROR(INDEX(IDF_Hyetograph!$J$2:$J$37,MATCH(A63,IDF_Hyetograph!$K$2:$K$37,0)),0))</f>
        <v/>
      </c>
      <c r="C63" s="251">
        <f>IF(A63="","",0.00278*Inputs!$B$4*Inputs!$B$3*B63)</f>
        <v/>
      </c>
      <c r="D63" s="251">
        <f>IF(A63="","",MIN( Inputs!$B$30, MAX(0, D62 + (C63-F63-G63)*Inputs!$B$9) ))</f>
        <v/>
      </c>
      <c r="E63" s="251">
        <f>IF(A63="","",Inputs!$B$31 + D63/Inputs!$B$33)</f>
        <v/>
      </c>
      <c r="F63" s="251">
        <f>IF(A63="","",MIN( D62/Inputs!$B$9, Inputs!$B$35*Inputs!$B$36*SQRT(2*Inputs!$B$37*MAX(E62-J62,0)) ))</f>
        <v/>
      </c>
      <c r="G63" s="251">
        <f>IF(A63="","",MAX(0,(D62 + (C63-F63)*Inputs!$B$9 - Inputs!$B$30)/Inputs!$B$9))</f>
        <v/>
      </c>
      <c r="H63" s="251">
        <f>IF(A63="","",MAX(0,MIN(Inputs!$B$44,H62+(S63-M63-I63)*Inputs!$B$9)))</f>
        <v/>
      </c>
      <c r="I63" s="251">
        <f>IF(A63="","",MAX(0,(H62+(S63-M63)*Inputs!$B$9-Inputs!$B$44)/Inputs!$B$9))</f>
        <v/>
      </c>
      <c r="J63" s="251">
        <f>IF(A63="","",Inputs!$B$40 + H63/Inputs!$B$42)</f>
        <v/>
      </c>
      <c r="K63" s="116">
        <f>IF(A63="","",IF(J62&gt;=Inputs!$B$47,2, IF(J62&gt;=Inputs!$B$45,1, IF(J62&lt;=Inputs!$B$46,0,K62))))</f>
        <v/>
      </c>
      <c r="L63" s="251">
        <f>IF(A63="","",K63*Inputs!$B$49)</f>
        <v/>
      </c>
      <c r="M63" s="251">
        <f>IF(A63="","",MIN(L63,H62/Inputs!$B$9+S63))</f>
        <v/>
      </c>
      <c r="N63" s="116">
        <f>IF(A63="","",IF(AND(K63&gt;0,K62=0),1,0))</f>
        <v/>
      </c>
      <c r="O63" s="116">
        <f>IF(A63="","",O62+N63)</f>
        <v/>
      </c>
      <c r="P63" s="251">
        <f>IF(A63="","",MIN(F63,Inputs!$B$50))</f>
        <v/>
      </c>
      <c r="Q63" s="251">
        <f>IF(A63="","",MAX(0,F63-P63))</f>
        <v/>
      </c>
      <c r="R63" s="251">
        <f>IF(A63="","",P63*Inputs!$B$51)</f>
        <v/>
      </c>
      <c r="S63" s="251">
        <f>IF(A63="","",Q63+R63)</f>
        <v/>
      </c>
    </row>
    <row r="64">
      <c r="A64" s="116">
        <f>IF(ROW()&lt;=Inputs!$B$53+2,A63+Inputs!$B$8,"")</f>
        <v/>
      </c>
      <c r="B64" s="251">
        <f>IF(A64="","",IFERROR(INDEX(IDF_Hyetograph!$J$2:$J$37,MATCH(A64,IDF_Hyetograph!$K$2:$K$37,0)),0))</f>
        <v/>
      </c>
      <c r="C64" s="251">
        <f>IF(A64="","",0.00278*Inputs!$B$4*Inputs!$B$3*B64)</f>
        <v/>
      </c>
      <c r="D64" s="251">
        <f>IF(A64="","",MIN( Inputs!$B$30, MAX(0, D63 + (C64-F64-G64)*Inputs!$B$9) ))</f>
        <v/>
      </c>
      <c r="E64" s="251">
        <f>IF(A64="","",Inputs!$B$31 + D64/Inputs!$B$33)</f>
        <v/>
      </c>
      <c r="F64" s="251">
        <f>IF(A64="","",MIN( D63/Inputs!$B$9, Inputs!$B$35*Inputs!$B$36*SQRT(2*Inputs!$B$37*MAX(E63-J63,0)) ))</f>
        <v/>
      </c>
      <c r="G64" s="251">
        <f>IF(A64="","",MAX(0,(D63 + (C64-F64)*Inputs!$B$9 - Inputs!$B$30)/Inputs!$B$9))</f>
        <v/>
      </c>
      <c r="H64" s="251">
        <f>IF(A64="","",MAX(0,MIN(Inputs!$B$44,H63+(S64-M64-I64)*Inputs!$B$9)))</f>
        <v/>
      </c>
      <c r="I64" s="251">
        <f>IF(A64="","",MAX(0,(H63+(S64-M64)*Inputs!$B$9-Inputs!$B$44)/Inputs!$B$9))</f>
        <v/>
      </c>
      <c r="J64" s="251">
        <f>IF(A64="","",Inputs!$B$40 + H64/Inputs!$B$42)</f>
        <v/>
      </c>
      <c r="K64" s="116">
        <f>IF(A64="","",IF(J63&gt;=Inputs!$B$47,2, IF(J63&gt;=Inputs!$B$45,1, IF(J63&lt;=Inputs!$B$46,0,K63))))</f>
        <v/>
      </c>
      <c r="L64" s="251">
        <f>IF(A64="","",K64*Inputs!$B$49)</f>
        <v/>
      </c>
      <c r="M64" s="251">
        <f>IF(A64="","",MIN(L64,H63/Inputs!$B$9+S64))</f>
        <v/>
      </c>
      <c r="N64" s="116">
        <f>IF(A64="","",IF(AND(K64&gt;0,K63=0),1,0))</f>
        <v/>
      </c>
      <c r="O64" s="116">
        <f>IF(A64="","",O63+N64)</f>
        <v/>
      </c>
      <c r="P64" s="251">
        <f>IF(A64="","",MIN(F64,Inputs!$B$50))</f>
        <v/>
      </c>
      <c r="Q64" s="251">
        <f>IF(A64="","",MAX(0,F64-P64))</f>
        <v/>
      </c>
      <c r="R64" s="251">
        <f>IF(A64="","",P64*Inputs!$B$51)</f>
        <v/>
      </c>
      <c r="S64" s="251">
        <f>IF(A64="","",Q64+R64)</f>
        <v/>
      </c>
    </row>
    <row r="65">
      <c r="A65" s="116">
        <f>IF(ROW()&lt;=Inputs!$B$53+2,A64+Inputs!$B$8,"")</f>
        <v/>
      </c>
      <c r="B65" s="251">
        <f>IF(A65="","",IFERROR(INDEX(IDF_Hyetograph!$J$2:$J$37,MATCH(A65,IDF_Hyetograph!$K$2:$K$37,0)),0))</f>
        <v/>
      </c>
      <c r="C65" s="251">
        <f>IF(A65="","",0.00278*Inputs!$B$4*Inputs!$B$3*B65)</f>
        <v/>
      </c>
      <c r="D65" s="251">
        <f>IF(A65="","",MIN( Inputs!$B$30, MAX(0, D64 + (C65-F65-G65)*Inputs!$B$9) ))</f>
        <v/>
      </c>
      <c r="E65" s="251">
        <f>IF(A65="","",Inputs!$B$31 + D65/Inputs!$B$33)</f>
        <v/>
      </c>
      <c r="F65" s="251">
        <f>IF(A65="","",MIN( D64/Inputs!$B$9, Inputs!$B$35*Inputs!$B$36*SQRT(2*Inputs!$B$37*MAX(E64-J64,0)) ))</f>
        <v/>
      </c>
      <c r="G65" s="251">
        <f>IF(A65="","",MAX(0,(D64 + (C65-F65)*Inputs!$B$9 - Inputs!$B$30)/Inputs!$B$9))</f>
        <v/>
      </c>
      <c r="H65" s="251">
        <f>IF(A65="","",MAX(0,MIN(Inputs!$B$44,H64+(S65-M65-I65)*Inputs!$B$9)))</f>
        <v/>
      </c>
      <c r="I65" s="251">
        <f>IF(A65="","",MAX(0,(H64+(S65-M65)*Inputs!$B$9-Inputs!$B$44)/Inputs!$B$9))</f>
        <v/>
      </c>
      <c r="J65" s="251">
        <f>IF(A65="","",Inputs!$B$40 + H65/Inputs!$B$42)</f>
        <v/>
      </c>
      <c r="K65" s="116">
        <f>IF(A65="","",IF(J64&gt;=Inputs!$B$47,2, IF(J64&gt;=Inputs!$B$45,1, IF(J64&lt;=Inputs!$B$46,0,K64))))</f>
        <v/>
      </c>
      <c r="L65" s="251">
        <f>IF(A65="","",K65*Inputs!$B$49)</f>
        <v/>
      </c>
      <c r="M65" s="251">
        <f>IF(A65="","",MIN(L65,H64/Inputs!$B$9+S65))</f>
        <v/>
      </c>
      <c r="N65" s="116">
        <f>IF(A65="","",IF(AND(K65&gt;0,K64=0),1,0))</f>
        <v/>
      </c>
      <c r="O65" s="116">
        <f>IF(A65="","",O64+N65)</f>
        <v/>
      </c>
      <c r="P65" s="251">
        <f>IF(A65="","",MIN(F65,Inputs!$B$50))</f>
        <v/>
      </c>
      <c r="Q65" s="251">
        <f>IF(A65="","",MAX(0,F65-P65))</f>
        <v/>
      </c>
      <c r="R65" s="251">
        <f>IF(A65="","",P65*Inputs!$B$51)</f>
        <v/>
      </c>
      <c r="S65" s="251">
        <f>IF(A65="","",Q65+R65)</f>
        <v/>
      </c>
    </row>
    <row r="66">
      <c r="A66" s="116">
        <f>IF(ROW()&lt;=Inputs!$B$53+2,A65+Inputs!$B$8,"")</f>
        <v/>
      </c>
      <c r="B66" s="251">
        <f>IF(A66="","",IFERROR(INDEX(IDF_Hyetograph!$J$2:$J$37,MATCH(A66,IDF_Hyetograph!$K$2:$K$37,0)),0))</f>
        <v/>
      </c>
      <c r="C66" s="251">
        <f>IF(A66="","",0.00278*Inputs!$B$4*Inputs!$B$3*B66)</f>
        <v/>
      </c>
      <c r="D66" s="251">
        <f>IF(A66="","",MIN( Inputs!$B$30, MAX(0, D65 + (C66-F66-G66)*Inputs!$B$9) ))</f>
        <v/>
      </c>
      <c r="E66" s="251">
        <f>IF(A66="","",Inputs!$B$31 + D66/Inputs!$B$33)</f>
        <v/>
      </c>
      <c r="F66" s="251">
        <f>IF(A66="","",MIN( D65/Inputs!$B$9, Inputs!$B$35*Inputs!$B$36*SQRT(2*Inputs!$B$37*MAX(E65-J65,0)) ))</f>
        <v/>
      </c>
      <c r="G66" s="251">
        <f>IF(A66="","",MAX(0,(D65 + (C66-F66)*Inputs!$B$9 - Inputs!$B$30)/Inputs!$B$9))</f>
        <v/>
      </c>
      <c r="H66" s="251">
        <f>IF(A66="","",MAX(0,MIN(Inputs!$B$44,H65+(S66-M66-I66)*Inputs!$B$9)))</f>
        <v/>
      </c>
      <c r="I66" s="251">
        <f>IF(A66="","",MAX(0,(H65+(S66-M66)*Inputs!$B$9-Inputs!$B$44)/Inputs!$B$9))</f>
        <v/>
      </c>
      <c r="J66" s="251">
        <f>IF(A66="","",Inputs!$B$40 + H66/Inputs!$B$42)</f>
        <v/>
      </c>
      <c r="K66" s="116">
        <f>IF(A66="","",IF(J65&gt;=Inputs!$B$47,2, IF(J65&gt;=Inputs!$B$45,1, IF(J65&lt;=Inputs!$B$46,0,K65))))</f>
        <v/>
      </c>
      <c r="L66" s="251">
        <f>IF(A66="","",K66*Inputs!$B$49)</f>
        <v/>
      </c>
      <c r="M66" s="251">
        <f>IF(A66="","",MIN(L66,H65/Inputs!$B$9+S66))</f>
        <v/>
      </c>
      <c r="N66" s="116">
        <f>IF(A66="","",IF(AND(K66&gt;0,K65=0),1,0))</f>
        <v/>
      </c>
      <c r="O66" s="116">
        <f>IF(A66="","",O65+N66)</f>
        <v/>
      </c>
      <c r="P66" s="251">
        <f>IF(A66="","",MIN(F66,Inputs!$B$50))</f>
        <v/>
      </c>
      <c r="Q66" s="251">
        <f>IF(A66="","",MAX(0,F66-P66))</f>
        <v/>
      </c>
      <c r="R66" s="251">
        <f>IF(A66="","",P66*Inputs!$B$51)</f>
        <v/>
      </c>
      <c r="S66" s="251">
        <f>IF(A66="","",Q66+R66)</f>
        <v/>
      </c>
    </row>
    <row r="67">
      <c r="A67" s="116">
        <f>IF(ROW()&lt;=Inputs!$B$53+2,A66+Inputs!$B$8,"")</f>
        <v/>
      </c>
      <c r="B67" s="251">
        <f>IF(A67="","",IFERROR(INDEX(IDF_Hyetograph!$J$2:$J$37,MATCH(A67,IDF_Hyetograph!$K$2:$K$37,0)),0))</f>
        <v/>
      </c>
      <c r="C67" s="251">
        <f>IF(A67="","",0.00278*Inputs!$B$4*Inputs!$B$3*B67)</f>
        <v/>
      </c>
      <c r="D67" s="251">
        <f>IF(A67="","",MIN( Inputs!$B$30, MAX(0, D66 + (C67-F67-G67)*Inputs!$B$9) ))</f>
        <v/>
      </c>
      <c r="E67" s="251">
        <f>IF(A67="","",Inputs!$B$31 + D67/Inputs!$B$33)</f>
        <v/>
      </c>
      <c r="F67" s="251">
        <f>IF(A67="","",MIN( D66/Inputs!$B$9, Inputs!$B$35*Inputs!$B$36*SQRT(2*Inputs!$B$37*MAX(E66-J66,0)) ))</f>
        <v/>
      </c>
      <c r="G67" s="251">
        <f>IF(A67="","",MAX(0,(D66 + (C67-F67)*Inputs!$B$9 - Inputs!$B$30)/Inputs!$B$9))</f>
        <v/>
      </c>
      <c r="H67" s="251">
        <f>IF(A67="","",MAX(0,MIN(Inputs!$B$44,H66+(S67-M67-I67)*Inputs!$B$9)))</f>
        <v/>
      </c>
      <c r="I67" s="251">
        <f>IF(A67="","",MAX(0,(H66+(S67-M67)*Inputs!$B$9-Inputs!$B$44)/Inputs!$B$9))</f>
        <v/>
      </c>
      <c r="J67" s="251">
        <f>IF(A67="","",Inputs!$B$40 + H67/Inputs!$B$42)</f>
        <v/>
      </c>
      <c r="K67" s="116">
        <f>IF(A67="","",IF(J66&gt;=Inputs!$B$47,2, IF(J66&gt;=Inputs!$B$45,1, IF(J66&lt;=Inputs!$B$46,0,K66))))</f>
        <v/>
      </c>
      <c r="L67" s="251">
        <f>IF(A67="","",K67*Inputs!$B$49)</f>
        <v/>
      </c>
      <c r="M67" s="251">
        <f>IF(A67="","",MIN(L67,H66/Inputs!$B$9+S67))</f>
        <v/>
      </c>
      <c r="N67" s="116">
        <f>IF(A67="","",IF(AND(K67&gt;0,K66=0),1,0))</f>
        <v/>
      </c>
      <c r="O67" s="116">
        <f>IF(A67="","",O66+N67)</f>
        <v/>
      </c>
      <c r="P67" s="251">
        <f>IF(A67="","",MIN(F67,Inputs!$B$50))</f>
        <v/>
      </c>
      <c r="Q67" s="251">
        <f>IF(A67="","",MAX(0,F67-P67))</f>
        <v/>
      </c>
      <c r="R67" s="251">
        <f>IF(A67="","",P67*Inputs!$B$51)</f>
        <v/>
      </c>
      <c r="S67" s="251">
        <f>IF(A67="","",Q67+R67)</f>
        <v/>
      </c>
    </row>
    <row r="68">
      <c r="A68" s="116">
        <f>IF(ROW()&lt;=Inputs!$B$53+2,A67+Inputs!$B$8,"")</f>
        <v/>
      </c>
      <c r="B68" s="251">
        <f>IF(A68="","",IFERROR(INDEX(IDF_Hyetograph!$J$2:$J$37,MATCH(A68,IDF_Hyetograph!$K$2:$K$37,0)),0))</f>
        <v/>
      </c>
      <c r="C68" s="251">
        <f>IF(A68="","",0.00278*Inputs!$B$4*Inputs!$B$3*B68)</f>
        <v/>
      </c>
      <c r="D68" s="251">
        <f>IF(A68="","",MIN( Inputs!$B$30, MAX(0, D67 + (C68-F68-G68)*Inputs!$B$9) ))</f>
        <v/>
      </c>
      <c r="E68" s="251">
        <f>IF(A68="","",Inputs!$B$31 + D68/Inputs!$B$33)</f>
        <v/>
      </c>
      <c r="F68" s="251">
        <f>IF(A68="","",MIN( D67/Inputs!$B$9, Inputs!$B$35*Inputs!$B$36*SQRT(2*Inputs!$B$37*MAX(E67-J67,0)) ))</f>
        <v/>
      </c>
      <c r="G68" s="251">
        <f>IF(A68="","",MAX(0,(D67 + (C68-F68)*Inputs!$B$9 - Inputs!$B$30)/Inputs!$B$9))</f>
        <v/>
      </c>
      <c r="H68" s="251">
        <f>IF(A68="","",MAX(0,MIN(Inputs!$B$44,H67+(S68-M68-I68)*Inputs!$B$9)))</f>
        <v/>
      </c>
      <c r="I68" s="251">
        <f>IF(A68="","",MAX(0,(H67+(S68-M68)*Inputs!$B$9-Inputs!$B$44)/Inputs!$B$9))</f>
        <v/>
      </c>
      <c r="J68" s="251">
        <f>IF(A68="","",Inputs!$B$40 + H68/Inputs!$B$42)</f>
        <v/>
      </c>
      <c r="K68" s="116">
        <f>IF(A68="","",IF(J67&gt;=Inputs!$B$47,2, IF(J67&gt;=Inputs!$B$45,1, IF(J67&lt;=Inputs!$B$46,0,K67))))</f>
        <v/>
      </c>
      <c r="L68" s="251">
        <f>IF(A68="","",K68*Inputs!$B$49)</f>
        <v/>
      </c>
      <c r="M68" s="251">
        <f>IF(A68="","",MIN(L68,H67/Inputs!$B$9+S68))</f>
        <v/>
      </c>
      <c r="N68" s="116">
        <f>IF(A68="","",IF(AND(K68&gt;0,K67=0),1,0))</f>
        <v/>
      </c>
      <c r="O68" s="116">
        <f>IF(A68="","",O67+N68)</f>
        <v/>
      </c>
      <c r="P68" s="251">
        <f>IF(A68="","",MIN(F68,Inputs!$B$50))</f>
        <v/>
      </c>
      <c r="Q68" s="251">
        <f>IF(A68="","",MAX(0,F68-P68))</f>
        <v/>
      </c>
      <c r="R68" s="251">
        <f>IF(A68="","",P68*Inputs!$B$51)</f>
        <v/>
      </c>
      <c r="S68" s="251">
        <f>IF(A68="","",Q68+R68)</f>
        <v/>
      </c>
    </row>
    <row r="69">
      <c r="A69" s="116">
        <f>IF(ROW()&lt;=Inputs!$B$53+2,A68+Inputs!$B$8,"")</f>
        <v/>
      </c>
      <c r="B69" s="251">
        <f>IF(A69="","",IFERROR(INDEX(IDF_Hyetograph!$J$2:$J$37,MATCH(A69,IDF_Hyetograph!$K$2:$K$37,0)),0))</f>
        <v/>
      </c>
      <c r="C69" s="251">
        <f>IF(A69="","",0.00278*Inputs!$B$4*Inputs!$B$3*B69)</f>
        <v/>
      </c>
      <c r="D69" s="251">
        <f>IF(A69="","",MIN( Inputs!$B$30, MAX(0, D68 + (C69-F69-G69)*Inputs!$B$9) ))</f>
        <v/>
      </c>
      <c r="E69" s="251">
        <f>IF(A69="","",Inputs!$B$31 + D69/Inputs!$B$33)</f>
        <v/>
      </c>
      <c r="F69" s="251">
        <f>IF(A69="","",MIN( D68/Inputs!$B$9, Inputs!$B$35*Inputs!$B$36*SQRT(2*Inputs!$B$37*MAX(E68-J68,0)) ))</f>
        <v/>
      </c>
      <c r="G69" s="251">
        <f>IF(A69="","",MAX(0,(D68 + (C69-F69)*Inputs!$B$9 - Inputs!$B$30)/Inputs!$B$9))</f>
        <v/>
      </c>
      <c r="H69" s="251">
        <f>IF(A69="","",MAX(0,MIN(Inputs!$B$44,H68+(S69-M69-I69)*Inputs!$B$9)))</f>
        <v/>
      </c>
      <c r="I69" s="251">
        <f>IF(A69="","",MAX(0,(H68+(S69-M69)*Inputs!$B$9-Inputs!$B$44)/Inputs!$B$9))</f>
        <v/>
      </c>
      <c r="J69" s="251">
        <f>IF(A69="","",Inputs!$B$40 + H69/Inputs!$B$42)</f>
        <v/>
      </c>
      <c r="K69" s="116">
        <f>IF(A69="","",IF(J68&gt;=Inputs!$B$47,2, IF(J68&gt;=Inputs!$B$45,1, IF(J68&lt;=Inputs!$B$46,0,K68))))</f>
        <v/>
      </c>
      <c r="L69" s="251">
        <f>IF(A69="","",K69*Inputs!$B$49)</f>
        <v/>
      </c>
      <c r="M69" s="251">
        <f>IF(A69="","",MIN(L69,H68/Inputs!$B$9+S69))</f>
        <v/>
      </c>
      <c r="N69" s="116">
        <f>IF(A69="","",IF(AND(K69&gt;0,K68=0),1,0))</f>
        <v/>
      </c>
      <c r="O69" s="116">
        <f>IF(A69="","",O68+N69)</f>
        <v/>
      </c>
      <c r="P69" s="251">
        <f>IF(A69="","",MIN(F69,Inputs!$B$50))</f>
        <v/>
      </c>
      <c r="Q69" s="251">
        <f>IF(A69="","",MAX(0,F69-P69))</f>
        <v/>
      </c>
      <c r="R69" s="251">
        <f>IF(A69="","",P69*Inputs!$B$51)</f>
        <v/>
      </c>
      <c r="S69" s="251">
        <f>IF(A69="","",Q69+R69)</f>
        <v/>
      </c>
    </row>
    <row r="70">
      <c r="A70" s="116">
        <f>IF(ROW()&lt;=Inputs!$B$53+2,A69+Inputs!$B$8,"")</f>
        <v/>
      </c>
      <c r="B70" s="251">
        <f>IF(A70="","",IFERROR(INDEX(IDF_Hyetograph!$J$2:$J$37,MATCH(A70,IDF_Hyetograph!$K$2:$K$37,0)),0))</f>
        <v/>
      </c>
      <c r="C70" s="251">
        <f>IF(A70="","",0.00278*Inputs!$B$4*Inputs!$B$3*B70)</f>
        <v/>
      </c>
      <c r="D70" s="251">
        <f>IF(A70="","",MIN( Inputs!$B$30, MAX(0, D69 + (C70-F70-G70)*Inputs!$B$9) ))</f>
        <v/>
      </c>
      <c r="E70" s="251">
        <f>IF(A70="","",Inputs!$B$31 + D70/Inputs!$B$33)</f>
        <v/>
      </c>
      <c r="F70" s="251">
        <f>IF(A70="","",MIN( D69/Inputs!$B$9, Inputs!$B$35*Inputs!$B$36*SQRT(2*Inputs!$B$37*MAX(E69-J69,0)) ))</f>
        <v/>
      </c>
      <c r="G70" s="251">
        <f>IF(A70="","",MAX(0,(D69 + (C70-F70)*Inputs!$B$9 - Inputs!$B$30)/Inputs!$B$9))</f>
        <v/>
      </c>
      <c r="H70" s="251">
        <f>IF(A70="","",MAX(0,MIN(Inputs!$B$44,H69+(S70-M70-I70)*Inputs!$B$9)))</f>
        <v/>
      </c>
      <c r="I70" s="251">
        <f>IF(A70="","",MAX(0,(H69+(S70-M70)*Inputs!$B$9-Inputs!$B$44)/Inputs!$B$9))</f>
        <v/>
      </c>
      <c r="J70" s="251">
        <f>IF(A70="","",Inputs!$B$40 + H70/Inputs!$B$42)</f>
        <v/>
      </c>
      <c r="K70" s="116">
        <f>IF(A70="","",IF(J69&gt;=Inputs!$B$47,2, IF(J69&gt;=Inputs!$B$45,1, IF(J69&lt;=Inputs!$B$46,0,K69))))</f>
        <v/>
      </c>
      <c r="L70" s="251">
        <f>IF(A70="","",K70*Inputs!$B$49)</f>
        <v/>
      </c>
      <c r="M70" s="251">
        <f>IF(A70="","",MIN(L70,H69/Inputs!$B$9+S70))</f>
        <v/>
      </c>
      <c r="N70" s="116">
        <f>IF(A70="","",IF(AND(K70&gt;0,K69=0),1,0))</f>
        <v/>
      </c>
      <c r="O70" s="116">
        <f>IF(A70="","",O69+N70)</f>
        <v/>
      </c>
      <c r="P70" s="251">
        <f>IF(A70="","",MIN(F70,Inputs!$B$50))</f>
        <v/>
      </c>
      <c r="Q70" s="251">
        <f>IF(A70="","",MAX(0,F70-P70))</f>
        <v/>
      </c>
      <c r="R70" s="251">
        <f>IF(A70="","",P70*Inputs!$B$51)</f>
        <v/>
      </c>
      <c r="S70" s="251">
        <f>IF(A70="","",Q70+R70)</f>
        <v/>
      </c>
    </row>
    <row r="71">
      <c r="A71" s="116">
        <f>IF(ROW()&lt;=Inputs!$B$53+2,A70+Inputs!$B$8,"")</f>
        <v/>
      </c>
      <c r="B71" s="251">
        <f>IF(A71="","",IFERROR(INDEX(IDF_Hyetograph!$J$2:$J$37,MATCH(A71,IDF_Hyetograph!$K$2:$K$37,0)),0))</f>
        <v/>
      </c>
      <c r="C71" s="251">
        <f>IF(A71="","",0.00278*Inputs!$B$4*Inputs!$B$3*B71)</f>
        <v/>
      </c>
      <c r="D71" s="251">
        <f>IF(A71="","",MIN( Inputs!$B$30, MAX(0, D70 + (C71-F71-G71)*Inputs!$B$9) ))</f>
        <v/>
      </c>
      <c r="E71" s="251">
        <f>IF(A71="","",Inputs!$B$31 + D71/Inputs!$B$33)</f>
        <v/>
      </c>
      <c r="F71" s="251">
        <f>IF(A71="","",MIN( D70/Inputs!$B$9, Inputs!$B$35*Inputs!$B$36*SQRT(2*Inputs!$B$37*MAX(E70-J70,0)) ))</f>
        <v/>
      </c>
      <c r="G71" s="251">
        <f>IF(A71="","",MAX(0,(D70 + (C71-F71)*Inputs!$B$9 - Inputs!$B$30)/Inputs!$B$9))</f>
        <v/>
      </c>
      <c r="H71" s="251">
        <f>IF(A71="","",MAX(0,MIN(Inputs!$B$44,H70+(S71-M71-I71)*Inputs!$B$9)))</f>
        <v/>
      </c>
      <c r="I71" s="251">
        <f>IF(A71="","",MAX(0,(H70+(S71-M71)*Inputs!$B$9-Inputs!$B$44)/Inputs!$B$9))</f>
        <v/>
      </c>
      <c r="J71" s="251">
        <f>IF(A71="","",Inputs!$B$40 + H71/Inputs!$B$42)</f>
        <v/>
      </c>
      <c r="K71" s="116">
        <f>IF(A71="","",IF(J70&gt;=Inputs!$B$47,2, IF(J70&gt;=Inputs!$B$45,1, IF(J70&lt;=Inputs!$B$46,0,K70))))</f>
        <v/>
      </c>
      <c r="L71" s="251">
        <f>IF(A71="","",K71*Inputs!$B$49)</f>
        <v/>
      </c>
      <c r="M71" s="251">
        <f>IF(A71="","",MIN(L71,H70/Inputs!$B$9+S71))</f>
        <v/>
      </c>
      <c r="N71" s="116">
        <f>IF(A71="","",IF(AND(K71&gt;0,K70=0),1,0))</f>
        <v/>
      </c>
      <c r="O71" s="116">
        <f>IF(A71="","",O70+N71)</f>
        <v/>
      </c>
      <c r="P71" s="251">
        <f>IF(A71="","",MIN(F71,Inputs!$B$50))</f>
        <v/>
      </c>
      <c r="Q71" s="251">
        <f>IF(A71="","",MAX(0,F71-P71))</f>
        <v/>
      </c>
      <c r="R71" s="251">
        <f>IF(A71="","",P71*Inputs!$B$51)</f>
        <v/>
      </c>
      <c r="S71" s="251">
        <f>IF(A71="","",Q71+R71)</f>
        <v/>
      </c>
    </row>
    <row r="72">
      <c r="A72" s="116">
        <f>IF(ROW()&lt;=Inputs!$B$53+2,A71+Inputs!$B$8,"")</f>
        <v/>
      </c>
      <c r="B72" s="251">
        <f>IF(A72="","",IFERROR(INDEX(IDF_Hyetograph!$J$2:$J$37,MATCH(A72,IDF_Hyetograph!$K$2:$K$37,0)),0))</f>
        <v/>
      </c>
      <c r="C72" s="251">
        <f>IF(A72="","",0.00278*Inputs!$B$4*Inputs!$B$3*B72)</f>
        <v/>
      </c>
      <c r="D72" s="251">
        <f>IF(A72="","",MIN( Inputs!$B$30, MAX(0, D71 + (C72-F72-G72)*Inputs!$B$9) ))</f>
        <v/>
      </c>
      <c r="E72" s="251">
        <f>IF(A72="","",Inputs!$B$31 + D72/Inputs!$B$33)</f>
        <v/>
      </c>
      <c r="F72" s="251">
        <f>IF(A72="","",MIN( D71/Inputs!$B$9, Inputs!$B$35*Inputs!$B$36*SQRT(2*Inputs!$B$37*MAX(E71-J71,0)) ))</f>
        <v/>
      </c>
      <c r="G72" s="251">
        <f>IF(A72="","",MAX(0,(D71 + (C72-F72)*Inputs!$B$9 - Inputs!$B$30)/Inputs!$B$9))</f>
        <v/>
      </c>
      <c r="H72" s="251">
        <f>IF(A72="","",MAX(0,MIN(Inputs!$B$44,H71+(S72-M72-I72)*Inputs!$B$9)))</f>
        <v/>
      </c>
      <c r="I72" s="251">
        <f>IF(A72="","",MAX(0,(H71+(S72-M72)*Inputs!$B$9-Inputs!$B$44)/Inputs!$B$9))</f>
        <v/>
      </c>
      <c r="J72" s="251">
        <f>IF(A72="","",Inputs!$B$40 + H72/Inputs!$B$42)</f>
        <v/>
      </c>
      <c r="K72" s="116">
        <f>IF(A72="","",IF(J71&gt;=Inputs!$B$47,2, IF(J71&gt;=Inputs!$B$45,1, IF(J71&lt;=Inputs!$B$46,0,K71))))</f>
        <v/>
      </c>
      <c r="L72" s="251">
        <f>IF(A72="","",K72*Inputs!$B$49)</f>
        <v/>
      </c>
      <c r="M72" s="251">
        <f>IF(A72="","",MIN(L72,H71/Inputs!$B$9+S72))</f>
        <v/>
      </c>
      <c r="N72" s="116">
        <f>IF(A72="","",IF(AND(K72&gt;0,K71=0),1,0))</f>
        <v/>
      </c>
      <c r="O72" s="116">
        <f>IF(A72="","",O71+N72)</f>
        <v/>
      </c>
      <c r="P72" s="251">
        <f>IF(A72="","",MIN(F72,Inputs!$B$50))</f>
        <v/>
      </c>
      <c r="Q72" s="251">
        <f>IF(A72="","",MAX(0,F72-P72))</f>
        <v/>
      </c>
      <c r="R72" s="251">
        <f>IF(A72="","",P72*Inputs!$B$51)</f>
        <v/>
      </c>
      <c r="S72" s="251">
        <f>IF(A72="","",Q72+R72)</f>
        <v/>
      </c>
    </row>
    <row r="73">
      <c r="A73" s="116">
        <f>IF(ROW()&lt;=Inputs!$B$53+2,A72+Inputs!$B$8,"")</f>
        <v/>
      </c>
      <c r="B73" s="251">
        <f>IF(A73="","",IFERROR(INDEX(IDF_Hyetograph!$J$2:$J$37,MATCH(A73,IDF_Hyetograph!$K$2:$K$37,0)),0))</f>
        <v/>
      </c>
      <c r="C73" s="251">
        <f>IF(A73="","",0.00278*Inputs!$B$4*Inputs!$B$3*B73)</f>
        <v/>
      </c>
      <c r="D73" s="251">
        <f>IF(A73="","",MIN( Inputs!$B$30, MAX(0, D72 + (C73-F73-G73)*Inputs!$B$9) ))</f>
        <v/>
      </c>
      <c r="E73" s="251">
        <f>IF(A73="","",Inputs!$B$31 + D73/Inputs!$B$33)</f>
        <v/>
      </c>
      <c r="F73" s="251">
        <f>IF(A73="","",MIN( D72/Inputs!$B$9, Inputs!$B$35*Inputs!$B$36*SQRT(2*Inputs!$B$37*MAX(E72-J72,0)) ))</f>
        <v/>
      </c>
      <c r="G73" s="251">
        <f>IF(A73="","",MAX(0,(D72 + (C73-F73)*Inputs!$B$9 - Inputs!$B$30)/Inputs!$B$9))</f>
        <v/>
      </c>
      <c r="H73" s="251">
        <f>IF(A73="","",MAX(0,MIN(Inputs!$B$44,H72+(S73-M73-I73)*Inputs!$B$9)))</f>
        <v/>
      </c>
      <c r="I73" s="251">
        <f>IF(A73="","",MAX(0,(H72+(S73-M73)*Inputs!$B$9-Inputs!$B$44)/Inputs!$B$9))</f>
        <v/>
      </c>
      <c r="J73" s="251">
        <f>IF(A73="","",Inputs!$B$40 + H73/Inputs!$B$42)</f>
        <v/>
      </c>
      <c r="K73" s="116">
        <f>IF(A73="","",IF(J72&gt;=Inputs!$B$47,2, IF(J72&gt;=Inputs!$B$45,1, IF(J72&lt;=Inputs!$B$46,0,K72))))</f>
        <v/>
      </c>
      <c r="L73" s="251">
        <f>IF(A73="","",K73*Inputs!$B$49)</f>
        <v/>
      </c>
      <c r="M73" s="251">
        <f>IF(A73="","",MIN(L73,H72/Inputs!$B$9+S73))</f>
        <v/>
      </c>
      <c r="N73" s="116">
        <f>IF(A73="","",IF(AND(K73&gt;0,K72=0),1,0))</f>
        <v/>
      </c>
      <c r="O73" s="116">
        <f>IF(A73="","",O72+N73)</f>
        <v/>
      </c>
      <c r="P73" s="251">
        <f>IF(A73="","",MIN(F73,Inputs!$B$50))</f>
        <v/>
      </c>
      <c r="Q73" s="251">
        <f>IF(A73="","",MAX(0,F73-P73))</f>
        <v/>
      </c>
      <c r="R73" s="251">
        <f>IF(A73="","",P73*Inputs!$B$51)</f>
        <v/>
      </c>
      <c r="S73" s="251">
        <f>IF(A73="","",Q73+R73)</f>
        <v/>
      </c>
    </row>
    <row r="74">
      <c r="A74" s="116">
        <f>IF(ROW()&lt;=Inputs!$B$53+2,A73+Inputs!$B$8,"")</f>
        <v/>
      </c>
      <c r="B74" s="251">
        <f>IF(A74="","",IFERROR(INDEX(IDF_Hyetograph!$J$2:$J$37,MATCH(A74,IDF_Hyetograph!$K$2:$K$37,0)),0))</f>
        <v/>
      </c>
      <c r="C74" s="251">
        <f>IF(A74="","",0.00278*Inputs!$B$4*Inputs!$B$3*B74)</f>
        <v/>
      </c>
      <c r="D74" s="251">
        <f>IF(A74="","",MIN( Inputs!$B$30, MAX(0, D73 + (C74-F74-G74)*Inputs!$B$9) ))</f>
        <v/>
      </c>
      <c r="E74" s="251">
        <f>IF(A74="","",Inputs!$B$31 + D74/Inputs!$B$33)</f>
        <v/>
      </c>
      <c r="F74" s="251">
        <f>IF(A74="","",MIN( D73/Inputs!$B$9, Inputs!$B$35*Inputs!$B$36*SQRT(2*Inputs!$B$37*MAX(E73-J73,0)) ))</f>
        <v/>
      </c>
      <c r="G74" s="251">
        <f>IF(A74="","",MAX(0,(D73 + (C74-F74)*Inputs!$B$9 - Inputs!$B$30)/Inputs!$B$9))</f>
        <v/>
      </c>
      <c r="H74" s="251">
        <f>IF(A74="","",MAX(0,MIN(Inputs!$B$44,H73+(S74-M74-I74)*Inputs!$B$9)))</f>
        <v/>
      </c>
      <c r="I74" s="251">
        <f>IF(A74="","",MAX(0,(H73+(S74-M74)*Inputs!$B$9-Inputs!$B$44)/Inputs!$B$9))</f>
        <v/>
      </c>
      <c r="J74" s="251">
        <f>IF(A74="","",Inputs!$B$40 + H74/Inputs!$B$42)</f>
        <v/>
      </c>
      <c r="K74" s="116">
        <f>IF(A74="","",IF(J73&gt;=Inputs!$B$47,2, IF(J73&gt;=Inputs!$B$45,1, IF(J73&lt;=Inputs!$B$46,0,K73))))</f>
        <v/>
      </c>
      <c r="L74" s="251">
        <f>IF(A74="","",K74*Inputs!$B$49)</f>
        <v/>
      </c>
      <c r="M74" s="251">
        <f>IF(A74="","",MIN(L74,H73/Inputs!$B$9+S74))</f>
        <v/>
      </c>
      <c r="N74" s="116">
        <f>IF(A74="","",IF(AND(K74&gt;0,K73=0),1,0))</f>
        <v/>
      </c>
      <c r="O74" s="116">
        <f>IF(A74="","",O73+N74)</f>
        <v/>
      </c>
      <c r="P74" s="251">
        <f>IF(A74="","",MIN(F74,Inputs!$B$50))</f>
        <v/>
      </c>
      <c r="Q74" s="251">
        <f>IF(A74="","",MAX(0,F74-P74))</f>
        <v/>
      </c>
      <c r="R74" s="251">
        <f>IF(A74="","",P74*Inputs!$B$51)</f>
        <v/>
      </c>
      <c r="S74" s="251">
        <f>IF(A74="","",Q74+R74)</f>
        <v/>
      </c>
    </row>
    <row r="75">
      <c r="A75" s="116">
        <f>IF(ROW()&lt;=Inputs!$B$53+2,A74+Inputs!$B$8,"")</f>
        <v/>
      </c>
      <c r="B75" s="251">
        <f>IF(A75="","",IFERROR(INDEX(IDF_Hyetograph!$J$2:$J$37,MATCH(A75,IDF_Hyetograph!$K$2:$K$37,0)),0))</f>
        <v/>
      </c>
      <c r="C75" s="251">
        <f>IF(A75="","",0.00278*Inputs!$B$4*Inputs!$B$3*B75)</f>
        <v/>
      </c>
      <c r="D75" s="251">
        <f>IF(A75="","",MIN( Inputs!$B$30, MAX(0, D74 + (C75-F75-G75)*Inputs!$B$9) ))</f>
        <v/>
      </c>
      <c r="E75" s="251">
        <f>IF(A75="","",Inputs!$B$31 + D75/Inputs!$B$33)</f>
        <v/>
      </c>
      <c r="F75" s="251">
        <f>IF(A75="","",MIN( D74/Inputs!$B$9, Inputs!$B$35*Inputs!$B$36*SQRT(2*Inputs!$B$37*MAX(E74-J74,0)) ))</f>
        <v/>
      </c>
      <c r="G75" s="251">
        <f>IF(A75="","",MAX(0,(D74 + (C75-F75)*Inputs!$B$9 - Inputs!$B$30)/Inputs!$B$9))</f>
        <v/>
      </c>
      <c r="H75" s="251">
        <f>IF(A75="","",MAX(0,MIN(Inputs!$B$44,H74+(S75-M75-I75)*Inputs!$B$9)))</f>
        <v/>
      </c>
      <c r="I75" s="251">
        <f>IF(A75="","",MAX(0,(H74+(S75-M75)*Inputs!$B$9-Inputs!$B$44)/Inputs!$B$9))</f>
        <v/>
      </c>
      <c r="J75" s="251">
        <f>IF(A75="","",Inputs!$B$40 + H75/Inputs!$B$42)</f>
        <v/>
      </c>
      <c r="K75" s="116">
        <f>IF(A75="","",IF(J74&gt;=Inputs!$B$47,2, IF(J74&gt;=Inputs!$B$45,1, IF(J74&lt;=Inputs!$B$46,0,K74))))</f>
        <v/>
      </c>
      <c r="L75" s="251">
        <f>IF(A75="","",K75*Inputs!$B$49)</f>
        <v/>
      </c>
      <c r="M75" s="251">
        <f>IF(A75="","",MIN(L75,H74/Inputs!$B$9+S75))</f>
        <v/>
      </c>
      <c r="N75" s="116">
        <f>IF(A75="","",IF(AND(K75&gt;0,K74=0),1,0))</f>
        <v/>
      </c>
      <c r="O75" s="116">
        <f>IF(A75="","",O74+N75)</f>
        <v/>
      </c>
      <c r="P75" s="251">
        <f>IF(A75="","",MIN(F75,Inputs!$B$50))</f>
        <v/>
      </c>
      <c r="Q75" s="251">
        <f>IF(A75="","",MAX(0,F75-P75))</f>
        <v/>
      </c>
      <c r="R75" s="251">
        <f>IF(A75="","",P75*Inputs!$B$51)</f>
        <v/>
      </c>
      <c r="S75" s="251">
        <f>IF(A75="","",Q75+R75)</f>
        <v/>
      </c>
    </row>
    <row r="76">
      <c r="A76" s="116">
        <f>IF(ROW()&lt;=Inputs!$B$53+2,A75+Inputs!$B$8,"")</f>
        <v/>
      </c>
      <c r="B76" s="251">
        <f>IF(A76="","",IFERROR(INDEX(IDF_Hyetograph!$J$2:$J$37,MATCH(A76,IDF_Hyetograph!$K$2:$K$37,0)),0))</f>
        <v/>
      </c>
      <c r="C76" s="251">
        <f>IF(A76="","",0.00278*Inputs!$B$4*Inputs!$B$3*B76)</f>
        <v/>
      </c>
      <c r="D76" s="251">
        <f>IF(A76="","",MIN( Inputs!$B$30, MAX(0, D75 + (C76-F76-G76)*Inputs!$B$9) ))</f>
        <v/>
      </c>
      <c r="E76" s="251">
        <f>IF(A76="","",Inputs!$B$31 + D76/Inputs!$B$33)</f>
        <v/>
      </c>
      <c r="F76" s="251">
        <f>IF(A76="","",MIN( D75/Inputs!$B$9, Inputs!$B$35*Inputs!$B$36*SQRT(2*Inputs!$B$37*MAX(E75-J75,0)) ))</f>
        <v/>
      </c>
      <c r="G76" s="251">
        <f>IF(A76="","",MAX(0,(D75 + (C76-F76)*Inputs!$B$9 - Inputs!$B$30)/Inputs!$B$9))</f>
        <v/>
      </c>
      <c r="H76" s="251">
        <f>IF(A76="","",MAX(0,MIN(Inputs!$B$44,H75+(S76-M76-I76)*Inputs!$B$9)))</f>
        <v/>
      </c>
      <c r="I76" s="251">
        <f>IF(A76="","",MAX(0,(H75+(S76-M76)*Inputs!$B$9-Inputs!$B$44)/Inputs!$B$9))</f>
        <v/>
      </c>
      <c r="J76" s="251">
        <f>IF(A76="","",Inputs!$B$40 + H76/Inputs!$B$42)</f>
        <v/>
      </c>
      <c r="K76" s="116">
        <f>IF(A76="","",IF(J75&gt;=Inputs!$B$47,2, IF(J75&gt;=Inputs!$B$45,1, IF(J75&lt;=Inputs!$B$46,0,K75))))</f>
        <v/>
      </c>
      <c r="L76" s="251">
        <f>IF(A76="","",K76*Inputs!$B$49)</f>
        <v/>
      </c>
      <c r="M76" s="251">
        <f>IF(A76="","",MIN(L76,H75/Inputs!$B$9+S76))</f>
        <v/>
      </c>
      <c r="N76" s="116">
        <f>IF(A76="","",IF(AND(K76&gt;0,K75=0),1,0))</f>
        <v/>
      </c>
      <c r="O76" s="116">
        <f>IF(A76="","",O75+N76)</f>
        <v/>
      </c>
      <c r="P76" s="251">
        <f>IF(A76="","",MIN(F76,Inputs!$B$50))</f>
        <v/>
      </c>
      <c r="Q76" s="251">
        <f>IF(A76="","",MAX(0,F76-P76))</f>
        <v/>
      </c>
      <c r="R76" s="251">
        <f>IF(A76="","",P76*Inputs!$B$51)</f>
        <v/>
      </c>
      <c r="S76" s="251">
        <f>IF(A76="","",Q76+R76)</f>
        <v/>
      </c>
    </row>
    <row r="77">
      <c r="A77" s="116">
        <f>IF(ROW()&lt;=Inputs!$B$53+2,A76+Inputs!$B$8,"")</f>
        <v/>
      </c>
      <c r="B77" s="251">
        <f>IF(A77="","",IFERROR(INDEX(IDF_Hyetograph!$J$2:$J$37,MATCH(A77,IDF_Hyetograph!$K$2:$K$37,0)),0))</f>
        <v/>
      </c>
      <c r="C77" s="251">
        <f>IF(A77="","",0.00278*Inputs!$B$4*Inputs!$B$3*B77)</f>
        <v/>
      </c>
      <c r="D77" s="251">
        <f>IF(A77="","",MIN( Inputs!$B$30, MAX(0, D76 + (C77-F77-G77)*Inputs!$B$9) ))</f>
        <v/>
      </c>
      <c r="E77" s="251">
        <f>IF(A77="","",Inputs!$B$31 + D77/Inputs!$B$33)</f>
        <v/>
      </c>
      <c r="F77" s="251">
        <f>IF(A77="","",MIN( D76/Inputs!$B$9, Inputs!$B$35*Inputs!$B$36*SQRT(2*Inputs!$B$37*MAX(E76-J76,0)) ))</f>
        <v/>
      </c>
      <c r="G77" s="251">
        <f>IF(A77="","",MAX(0,(D76 + (C77-F77)*Inputs!$B$9 - Inputs!$B$30)/Inputs!$B$9))</f>
        <v/>
      </c>
      <c r="H77" s="251">
        <f>IF(A77="","",MAX(0,MIN(Inputs!$B$44,H76+(S77-M77-I77)*Inputs!$B$9)))</f>
        <v/>
      </c>
      <c r="I77" s="251">
        <f>IF(A77="","",MAX(0,(H76+(S77-M77)*Inputs!$B$9-Inputs!$B$44)/Inputs!$B$9))</f>
        <v/>
      </c>
      <c r="J77" s="251">
        <f>IF(A77="","",Inputs!$B$40 + H77/Inputs!$B$42)</f>
        <v/>
      </c>
      <c r="K77" s="116">
        <f>IF(A77="","",IF(J76&gt;=Inputs!$B$47,2, IF(J76&gt;=Inputs!$B$45,1, IF(J76&lt;=Inputs!$B$46,0,K76))))</f>
        <v/>
      </c>
      <c r="L77" s="251">
        <f>IF(A77="","",K77*Inputs!$B$49)</f>
        <v/>
      </c>
      <c r="M77" s="251">
        <f>IF(A77="","",MIN(L77,H76/Inputs!$B$9+S77))</f>
        <v/>
      </c>
      <c r="N77" s="116">
        <f>IF(A77="","",IF(AND(K77&gt;0,K76=0),1,0))</f>
        <v/>
      </c>
      <c r="O77" s="116">
        <f>IF(A77="","",O76+N77)</f>
        <v/>
      </c>
      <c r="P77" s="251">
        <f>IF(A77="","",MIN(F77,Inputs!$B$50))</f>
        <v/>
      </c>
      <c r="Q77" s="251">
        <f>IF(A77="","",MAX(0,F77-P77))</f>
        <v/>
      </c>
      <c r="R77" s="251">
        <f>IF(A77="","",P77*Inputs!$B$51)</f>
        <v/>
      </c>
      <c r="S77" s="251">
        <f>IF(A77="","",Q77+R77)</f>
        <v/>
      </c>
    </row>
    <row r="78">
      <c r="A78" s="116">
        <f>IF(ROW()&lt;=Inputs!$B$53+2,A77+Inputs!$B$8,"")</f>
        <v/>
      </c>
      <c r="B78" s="251">
        <f>IF(A78="","",IFERROR(INDEX(IDF_Hyetograph!$J$2:$J$37,MATCH(A78,IDF_Hyetograph!$K$2:$K$37,0)),0))</f>
        <v/>
      </c>
      <c r="C78" s="251">
        <f>IF(A78="","",0.00278*Inputs!$B$4*Inputs!$B$3*B78)</f>
        <v/>
      </c>
      <c r="D78" s="251">
        <f>IF(A78="","",MIN( Inputs!$B$30, MAX(0, D77 + (C78-F78-G78)*Inputs!$B$9) ))</f>
        <v/>
      </c>
      <c r="E78" s="251">
        <f>IF(A78="","",Inputs!$B$31 + D78/Inputs!$B$33)</f>
        <v/>
      </c>
      <c r="F78" s="251">
        <f>IF(A78="","",MIN( D77/Inputs!$B$9, Inputs!$B$35*Inputs!$B$36*SQRT(2*Inputs!$B$37*MAX(E77-J77,0)) ))</f>
        <v/>
      </c>
      <c r="G78" s="251">
        <f>IF(A78="","",MAX(0,(D77 + (C78-F78)*Inputs!$B$9 - Inputs!$B$30)/Inputs!$B$9))</f>
        <v/>
      </c>
      <c r="H78" s="251">
        <f>IF(A78="","",MAX(0,MIN(Inputs!$B$44,H77+(S78-M78-I78)*Inputs!$B$9)))</f>
        <v/>
      </c>
      <c r="I78" s="251">
        <f>IF(A78="","",MAX(0,(H77+(S78-M78)*Inputs!$B$9-Inputs!$B$44)/Inputs!$B$9))</f>
        <v/>
      </c>
      <c r="J78" s="251">
        <f>IF(A78="","",Inputs!$B$40 + H78/Inputs!$B$42)</f>
        <v/>
      </c>
      <c r="K78" s="116">
        <f>IF(A78="","",IF(J77&gt;=Inputs!$B$47,2, IF(J77&gt;=Inputs!$B$45,1, IF(J77&lt;=Inputs!$B$46,0,K77))))</f>
        <v/>
      </c>
      <c r="L78" s="251">
        <f>IF(A78="","",K78*Inputs!$B$49)</f>
        <v/>
      </c>
      <c r="M78" s="251">
        <f>IF(A78="","",MIN(L78,H77/Inputs!$B$9+S78))</f>
        <v/>
      </c>
      <c r="N78" s="116">
        <f>IF(A78="","",IF(AND(K78&gt;0,K77=0),1,0))</f>
        <v/>
      </c>
      <c r="O78" s="116">
        <f>IF(A78="","",O77+N78)</f>
        <v/>
      </c>
      <c r="P78" s="251">
        <f>IF(A78="","",MIN(F78,Inputs!$B$50))</f>
        <v/>
      </c>
      <c r="Q78" s="251">
        <f>IF(A78="","",MAX(0,F78-P78))</f>
        <v/>
      </c>
      <c r="R78" s="251">
        <f>IF(A78="","",P78*Inputs!$B$51)</f>
        <v/>
      </c>
      <c r="S78" s="251">
        <f>IF(A78="","",Q78+R78)</f>
        <v/>
      </c>
    </row>
    <row r="79">
      <c r="A79" s="116">
        <f>IF(ROW()&lt;=Inputs!$B$53+2,A78+Inputs!$B$8,"")</f>
        <v/>
      </c>
      <c r="B79" s="251">
        <f>IF(A79="","",IFERROR(INDEX(IDF_Hyetograph!$J$2:$J$37,MATCH(A79,IDF_Hyetograph!$K$2:$K$37,0)),0))</f>
        <v/>
      </c>
      <c r="C79" s="251">
        <f>IF(A79="","",0.00278*Inputs!$B$4*Inputs!$B$3*B79)</f>
        <v/>
      </c>
      <c r="D79" s="251">
        <f>IF(A79="","",MIN( Inputs!$B$30, MAX(0, D78 + (C79-F79-G79)*Inputs!$B$9) ))</f>
        <v/>
      </c>
      <c r="E79" s="251">
        <f>IF(A79="","",Inputs!$B$31 + D79/Inputs!$B$33)</f>
        <v/>
      </c>
      <c r="F79" s="251">
        <f>IF(A79="","",MIN( D78/Inputs!$B$9, Inputs!$B$35*Inputs!$B$36*SQRT(2*Inputs!$B$37*MAX(E78-J78,0)) ))</f>
        <v/>
      </c>
      <c r="G79" s="251">
        <f>IF(A79="","",MAX(0,(D78 + (C79-F79)*Inputs!$B$9 - Inputs!$B$30)/Inputs!$B$9))</f>
        <v/>
      </c>
      <c r="H79" s="251">
        <f>IF(A79="","",MAX(0,MIN(Inputs!$B$44,H78+(S79-M79-I79)*Inputs!$B$9)))</f>
        <v/>
      </c>
      <c r="I79" s="251">
        <f>IF(A79="","",MAX(0,(H78+(S79-M79)*Inputs!$B$9-Inputs!$B$44)/Inputs!$B$9))</f>
        <v/>
      </c>
      <c r="J79" s="251">
        <f>IF(A79="","",Inputs!$B$40 + H79/Inputs!$B$42)</f>
        <v/>
      </c>
      <c r="K79" s="116">
        <f>IF(A79="","",IF(J78&gt;=Inputs!$B$47,2, IF(J78&gt;=Inputs!$B$45,1, IF(J78&lt;=Inputs!$B$46,0,K78))))</f>
        <v/>
      </c>
      <c r="L79" s="251">
        <f>IF(A79="","",K79*Inputs!$B$49)</f>
        <v/>
      </c>
      <c r="M79" s="251">
        <f>IF(A79="","",MIN(L79,H78/Inputs!$B$9+S79))</f>
        <v/>
      </c>
      <c r="N79" s="116">
        <f>IF(A79="","",IF(AND(K79&gt;0,K78=0),1,0))</f>
        <v/>
      </c>
      <c r="O79" s="116">
        <f>IF(A79="","",O78+N79)</f>
        <v/>
      </c>
      <c r="P79" s="251">
        <f>IF(A79="","",MIN(F79,Inputs!$B$50))</f>
        <v/>
      </c>
      <c r="Q79" s="251">
        <f>IF(A79="","",MAX(0,F79-P79))</f>
        <v/>
      </c>
      <c r="R79" s="251">
        <f>IF(A79="","",P79*Inputs!$B$51)</f>
        <v/>
      </c>
      <c r="S79" s="251">
        <f>IF(A79="","",Q79+R79)</f>
        <v/>
      </c>
    </row>
    <row r="80">
      <c r="A80" s="116">
        <f>IF(ROW()&lt;=Inputs!$B$53+2,A79+Inputs!$B$8,"")</f>
        <v/>
      </c>
      <c r="B80" s="251">
        <f>IF(A80="","",IFERROR(INDEX(IDF_Hyetograph!$J$2:$J$37,MATCH(A80,IDF_Hyetograph!$K$2:$K$37,0)),0))</f>
        <v/>
      </c>
      <c r="C80" s="251">
        <f>IF(A80="","",0.00278*Inputs!$B$4*Inputs!$B$3*B80)</f>
        <v/>
      </c>
      <c r="D80" s="251">
        <f>IF(A80="","",MIN( Inputs!$B$30, MAX(0, D79 + (C80-F80-G80)*Inputs!$B$9) ))</f>
        <v/>
      </c>
      <c r="E80" s="251">
        <f>IF(A80="","",Inputs!$B$31 + D80/Inputs!$B$33)</f>
        <v/>
      </c>
      <c r="F80" s="251">
        <f>IF(A80="","",MIN( D79/Inputs!$B$9, Inputs!$B$35*Inputs!$B$36*SQRT(2*Inputs!$B$37*MAX(E79-J79,0)) ))</f>
        <v/>
      </c>
      <c r="G80" s="251">
        <f>IF(A80="","",MAX(0,(D79 + (C80-F80)*Inputs!$B$9 - Inputs!$B$30)/Inputs!$B$9))</f>
        <v/>
      </c>
      <c r="H80" s="251">
        <f>IF(A80="","",MAX(0,MIN(Inputs!$B$44,H79+(S80-M80-I80)*Inputs!$B$9)))</f>
        <v/>
      </c>
      <c r="I80" s="251">
        <f>IF(A80="","",MAX(0,(H79+(S80-M80)*Inputs!$B$9-Inputs!$B$44)/Inputs!$B$9))</f>
        <v/>
      </c>
      <c r="J80" s="251">
        <f>IF(A80="","",Inputs!$B$40 + H80/Inputs!$B$42)</f>
        <v/>
      </c>
      <c r="K80" s="116">
        <f>IF(A80="","",IF(J79&gt;=Inputs!$B$47,2, IF(J79&gt;=Inputs!$B$45,1, IF(J79&lt;=Inputs!$B$46,0,K79))))</f>
        <v/>
      </c>
      <c r="L80" s="251">
        <f>IF(A80="","",K80*Inputs!$B$49)</f>
        <v/>
      </c>
      <c r="M80" s="251">
        <f>IF(A80="","",MIN(L80,H79/Inputs!$B$9+S80))</f>
        <v/>
      </c>
      <c r="N80" s="116">
        <f>IF(A80="","",IF(AND(K80&gt;0,K79=0),1,0))</f>
        <v/>
      </c>
      <c r="O80" s="116">
        <f>IF(A80="","",O79+N80)</f>
        <v/>
      </c>
      <c r="P80" s="251">
        <f>IF(A80="","",MIN(F80,Inputs!$B$50))</f>
        <v/>
      </c>
      <c r="Q80" s="251">
        <f>IF(A80="","",MAX(0,F80-P80))</f>
        <v/>
      </c>
      <c r="R80" s="251">
        <f>IF(A80="","",P80*Inputs!$B$51)</f>
        <v/>
      </c>
      <c r="S80" s="251">
        <f>IF(A80="","",Q80+R80)</f>
        <v/>
      </c>
    </row>
    <row r="81">
      <c r="A81" s="116">
        <f>IF(ROW()&lt;=Inputs!$B$53+2,A80+Inputs!$B$8,"")</f>
        <v/>
      </c>
      <c r="B81" s="251">
        <f>IF(A81="","",IFERROR(INDEX(IDF_Hyetograph!$J$2:$J$37,MATCH(A81,IDF_Hyetograph!$K$2:$K$37,0)),0))</f>
        <v/>
      </c>
      <c r="C81" s="251">
        <f>IF(A81="","",0.00278*Inputs!$B$4*Inputs!$B$3*B81)</f>
        <v/>
      </c>
      <c r="D81" s="251">
        <f>IF(A81="","",MIN( Inputs!$B$30, MAX(0, D80 + (C81-F81-G81)*Inputs!$B$9) ))</f>
        <v/>
      </c>
      <c r="E81" s="251">
        <f>IF(A81="","",Inputs!$B$31 + D81/Inputs!$B$33)</f>
        <v/>
      </c>
      <c r="F81" s="251">
        <f>IF(A81="","",MIN( D80/Inputs!$B$9, Inputs!$B$35*Inputs!$B$36*SQRT(2*Inputs!$B$37*MAX(E80-J80,0)) ))</f>
        <v/>
      </c>
      <c r="G81" s="251">
        <f>IF(A81="","",MAX(0,(D80 + (C81-F81)*Inputs!$B$9 - Inputs!$B$30)/Inputs!$B$9))</f>
        <v/>
      </c>
      <c r="H81" s="251">
        <f>IF(A81="","",MAX(0,MIN(Inputs!$B$44,H80+(S81-M81-I81)*Inputs!$B$9)))</f>
        <v/>
      </c>
      <c r="I81" s="251">
        <f>IF(A81="","",MAX(0,(H80+(S81-M81)*Inputs!$B$9-Inputs!$B$44)/Inputs!$B$9))</f>
        <v/>
      </c>
      <c r="J81" s="251">
        <f>IF(A81="","",Inputs!$B$40 + H81/Inputs!$B$42)</f>
        <v/>
      </c>
      <c r="K81" s="116">
        <f>IF(A81="","",IF(J80&gt;=Inputs!$B$47,2, IF(J80&gt;=Inputs!$B$45,1, IF(J80&lt;=Inputs!$B$46,0,K80))))</f>
        <v/>
      </c>
      <c r="L81" s="251">
        <f>IF(A81="","",K81*Inputs!$B$49)</f>
        <v/>
      </c>
      <c r="M81" s="251">
        <f>IF(A81="","",MIN(L81,H80/Inputs!$B$9+S81))</f>
        <v/>
      </c>
      <c r="N81" s="116">
        <f>IF(A81="","",IF(AND(K81&gt;0,K80=0),1,0))</f>
        <v/>
      </c>
      <c r="O81" s="116">
        <f>IF(A81="","",O80+N81)</f>
        <v/>
      </c>
      <c r="P81" s="251">
        <f>IF(A81="","",MIN(F81,Inputs!$B$50))</f>
        <v/>
      </c>
      <c r="Q81" s="251">
        <f>IF(A81="","",MAX(0,F81-P81))</f>
        <v/>
      </c>
      <c r="R81" s="251">
        <f>IF(A81="","",P81*Inputs!$B$51)</f>
        <v/>
      </c>
      <c r="S81" s="251">
        <f>IF(A81="","",Q81+R81)</f>
        <v/>
      </c>
    </row>
    <row r="82">
      <c r="A82" s="116">
        <f>IF(ROW()&lt;=Inputs!$B$53+2,A81+Inputs!$B$8,"")</f>
        <v/>
      </c>
      <c r="B82" s="251">
        <f>IF(A82="","",IFERROR(INDEX(IDF_Hyetograph!$J$2:$J$37,MATCH(A82,IDF_Hyetograph!$K$2:$K$37,0)),0))</f>
        <v/>
      </c>
      <c r="C82" s="251">
        <f>IF(A82="","",0.00278*Inputs!$B$4*Inputs!$B$3*B82)</f>
        <v/>
      </c>
      <c r="D82" s="251">
        <f>IF(A82="","",MIN( Inputs!$B$30, MAX(0, D81 + (C82-F82-G82)*Inputs!$B$9) ))</f>
        <v/>
      </c>
      <c r="E82" s="251">
        <f>IF(A82="","",Inputs!$B$31 + D82/Inputs!$B$33)</f>
        <v/>
      </c>
      <c r="F82" s="251">
        <f>IF(A82="","",MIN( D81/Inputs!$B$9, Inputs!$B$35*Inputs!$B$36*SQRT(2*Inputs!$B$37*MAX(E81-J81,0)) ))</f>
        <v/>
      </c>
      <c r="G82" s="251">
        <f>IF(A82="","",MAX(0,(D81 + (C82-F82)*Inputs!$B$9 - Inputs!$B$30)/Inputs!$B$9))</f>
        <v/>
      </c>
      <c r="H82" s="251">
        <f>IF(A82="","",MAX(0,MIN(Inputs!$B$44,H81+(S82-M82-I82)*Inputs!$B$9)))</f>
        <v/>
      </c>
      <c r="I82" s="251">
        <f>IF(A82="","",MAX(0,(H81+(S82-M82)*Inputs!$B$9-Inputs!$B$44)/Inputs!$B$9))</f>
        <v/>
      </c>
      <c r="J82" s="251">
        <f>IF(A82="","",Inputs!$B$40 + H82/Inputs!$B$42)</f>
        <v/>
      </c>
      <c r="K82" s="116">
        <f>IF(A82="","",IF(J81&gt;=Inputs!$B$47,2, IF(J81&gt;=Inputs!$B$45,1, IF(J81&lt;=Inputs!$B$46,0,K81))))</f>
        <v/>
      </c>
      <c r="L82" s="251">
        <f>IF(A82="","",K82*Inputs!$B$49)</f>
        <v/>
      </c>
      <c r="M82" s="251">
        <f>IF(A82="","",MIN(L82,H81/Inputs!$B$9+S82))</f>
        <v/>
      </c>
      <c r="N82" s="116">
        <f>IF(A82="","",IF(AND(K82&gt;0,K81=0),1,0))</f>
        <v/>
      </c>
      <c r="O82" s="116">
        <f>IF(A82="","",O81+N82)</f>
        <v/>
      </c>
      <c r="P82" s="251">
        <f>IF(A82="","",MIN(F82,Inputs!$B$50))</f>
        <v/>
      </c>
      <c r="Q82" s="251">
        <f>IF(A82="","",MAX(0,F82-P82))</f>
        <v/>
      </c>
      <c r="R82" s="251">
        <f>IF(A82="","",P82*Inputs!$B$51)</f>
        <v/>
      </c>
      <c r="S82" s="251">
        <f>IF(A82="","",Q82+R82)</f>
        <v/>
      </c>
    </row>
    <row r="83">
      <c r="A83" s="116">
        <f>IF(ROW()&lt;=Inputs!$B$53+2,A82+Inputs!$B$8,"")</f>
        <v/>
      </c>
      <c r="B83" s="251">
        <f>IF(A83="","",IFERROR(INDEX(IDF_Hyetograph!$J$2:$J$37,MATCH(A83,IDF_Hyetograph!$K$2:$K$37,0)),0))</f>
        <v/>
      </c>
      <c r="C83" s="251">
        <f>IF(A83="","",0.00278*Inputs!$B$4*Inputs!$B$3*B83)</f>
        <v/>
      </c>
      <c r="D83" s="251">
        <f>IF(A83="","",MIN( Inputs!$B$30, MAX(0, D82 + (C83-F83-G83)*Inputs!$B$9) ))</f>
        <v/>
      </c>
      <c r="E83" s="251">
        <f>IF(A83="","",Inputs!$B$31 + D83/Inputs!$B$33)</f>
        <v/>
      </c>
      <c r="F83" s="251">
        <f>IF(A83="","",MIN( D82/Inputs!$B$9, Inputs!$B$35*Inputs!$B$36*SQRT(2*Inputs!$B$37*MAX(E82-J82,0)) ))</f>
        <v/>
      </c>
      <c r="G83" s="251">
        <f>IF(A83="","",MAX(0,(D82 + (C83-F83)*Inputs!$B$9 - Inputs!$B$30)/Inputs!$B$9))</f>
        <v/>
      </c>
      <c r="H83" s="251">
        <f>IF(A83="","",MAX(0,MIN(Inputs!$B$44,H82+(S83-M83-I83)*Inputs!$B$9)))</f>
        <v/>
      </c>
      <c r="I83" s="251">
        <f>IF(A83="","",MAX(0,(H82+(S83-M83)*Inputs!$B$9-Inputs!$B$44)/Inputs!$B$9))</f>
        <v/>
      </c>
      <c r="J83" s="251">
        <f>IF(A83="","",Inputs!$B$40 + H83/Inputs!$B$42)</f>
        <v/>
      </c>
      <c r="K83" s="116">
        <f>IF(A83="","",IF(J82&gt;=Inputs!$B$47,2, IF(J82&gt;=Inputs!$B$45,1, IF(J82&lt;=Inputs!$B$46,0,K82))))</f>
        <v/>
      </c>
      <c r="L83" s="251">
        <f>IF(A83="","",K83*Inputs!$B$49)</f>
        <v/>
      </c>
      <c r="M83" s="251">
        <f>IF(A83="","",MIN(L83,H82/Inputs!$B$9+S83))</f>
        <v/>
      </c>
      <c r="N83" s="116">
        <f>IF(A83="","",IF(AND(K83&gt;0,K82=0),1,0))</f>
        <v/>
      </c>
      <c r="O83" s="116">
        <f>IF(A83="","",O82+N83)</f>
        <v/>
      </c>
      <c r="P83" s="251">
        <f>IF(A83="","",MIN(F83,Inputs!$B$50))</f>
        <v/>
      </c>
      <c r="Q83" s="251">
        <f>IF(A83="","",MAX(0,F83-P83))</f>
        <v/>
      </c>
      <c r="R83" s="251">
        <f>IF(A83="","",P83*Inputs!$B$51)</f>
        <v/>
      </c>
      <c r="S83" s="251">
        <f>IF(A83="","",Q83+R83)</f>
        <v/>
      </c>
    </row>
    <row r="84">
      <c r="A84" s="116">
        <f>IF(ROW()&lt;=Inputs!$B$53+2,A83+Inputs!$B$8,"")</f>
        <v/>
      </c>
      <c r="B84" s="251">
        <f>IF(A84="","",IFERROR(INDEX(IDF_Hyetograph!$J$2:$J$37,MATCH(A84,IDF_Hyetograph!$K$2:$K$37,0)),0))</f>
        <v/>
      </c>
      <c r="C84" s="251">
        <f>IF(A84="","",0.00278*Inputs!$B$4*Inputs!$B$3*B84)</f>
        <v/>
      </c>
      <c r="D84" s="251">
        <f>IF(A84="","",MIN( Inputs!$B$30, MAX(0, D83 + (C84-F84-G84)*Inputs!$B$9) ))</f>
        <v/>
      </c>
      <c r="E84" s="251">
        <f>IF(A84="","",Inputs!$B$31 + D84/Inputs!$B$33)</f>
        <v/>
      </c>
      <c r="F84" s="251">
        <f>IF(A84="","",MIN( D83/Inputs!$B$9, Inputs!$B$35*Inputs!$B$36*SQRT(2*Inputs!$B$37*MAX(E83-J83,0)) ))</f>
        <v/>
      </c>
      <c r="G84" s="251">
        <f>IF(A84="","",MAX(0,(D83 + (C84-F84)*Inputs!$B$9 - Inputs!$B$30)/Inputs!$B$9))</f>
        <v/>
      </c>
      <c r="H84" s="251">
        <f>IF(A84="","",MAX(0,MIN(Inputs!$B$44,H83+(S84-M84-I84)*Inputs!$B$9)))</f>
        <v/>
      </c>
      <c r="I84" s="251">
        <f>IF(A84="","",MAX(0,(H83+(S84-M84)*Inputs!$B$9-Inputs!$B$44)/Inputs!$B$9))</f>
        <v/>
      </c>
      <c r="J84" s="251">
        <f>IF(A84="","",Inputs!$B$40 + H84/Inputs!$B$42)</f>
        <v/>
      </c>
      <c r="K84" s="116">
        <f>IF(A84="","",IF(J83&gt;=Inputs!$B$47,2, IF(J83&gt;=Inputs!$B$45,1, IF(J83&lt;=Inputs!$B$46,0,K83))))</f>
        <v/>
      </c>
      <c r="L84" s="251">
        <f>IF(A84="","",K84*Inputs!$B$49)</f>
        <v/>
      </c>
      <c r="M84" s="251">
        <f>IF(A84="","",MIN(L84,H83/Inputs!$B$9+S84))</f>
        <v/>
      </c>
      <c r="N84" s="116">
        <f>IF(A84="","",IF(AND(K84&gt;0,K83=0),1,0))</f>
        <v/>
      </c>
      <c r="O84" s="116">
        <f>IF(A84="","",O83+N84)</f>
        <v/>
      </c>
      <c r="P84" s="251">
        <f>IF(A84="","",MIN(F84,Inputs!$B$50))</f>
        <v/>
      </c>
      <c r="Q84" s="251">
        <f>IF(A84="","",MAX(0,F84-P84))</f>
        <v/>
      </c>
      <c r="R84" s="251">
        <f>IF(A84="","",P84*Inputs!$B$51)</f>
        <v/>
      </c>
      <c r="S84" s="251">
        <f>IF(A84="","",Q84+R84)</f>
        <v/>
      </c>
    </row>
    <row r="85">
      <c r="A85" s="116">
        <f>IF(ROW()&lt;=Inputs!$B$53+2,A84+Inputs!$B$8,"")</f>
        <v/>
      </c>
      <c r="B85" s="251">
        <f>IF(A85="","",IFERROR(INDEX(IDF_Hyetograph!$J$2:$J$37,MATCH(A85,IDF_Hyetograph!$K$2:$K$37,0)),0))</f>
        <v/>
      </c>
      <c r="C85" s="251">
        <f>IF(A85="","",0.00278*Inputs!$B$4*Inputs!$B$3*B85)</f>
        <v/>
      </c>
      <c r="D85" s="251">
        <f>IF(A85="","",MIN( Inputs!$B$30, MAX(0, D84 + (C85-F85-G85)*Inputs!$B$9) ))</f>
        <v/>
      </c>
      <c r="E85" s="251">
        <f>IF(A85="","",Inputs!$B$31 + D85/Inputs!$B$33)</f>
        <v/>
      </c>
      <c r="F85" s="251">
        <f>IF(A85="","",MIN( D84/Inputs!$B$9, Inputs!$B$35*Inputs!$B$36*SQRT(2*Inputs!$B$37*MAX(E84-J84,0)) ))</f>
        <v/>
      </c>
      <c r="G85" s="251">
        <f>IF(A85="","",MAX(0,(D84 + (C85-F85)*Inputs!$B$9 - Inputs!$B$30)/Inputs!$B$9))</f>
        <v/>
      </c>
      <c r="H85" s="251">
        <f>IF(A85="","",MAX(0,MIN(Inputs!$B$44,H84+(S85-M85-I85)*Inputs!$B$9)))</f>
        <v/>
      </c>
      <c r="I85" s="251">
        <f>IF(A85="","",MAX(0,(H84+(S85-M85)*Inputs!$B$9-Inputs!$B$44)/Inputs!$B$9))</f>
        <v/>
      </c>
      <c r="J85" s="251">
        <f>IF(A85="","",Inputs!$B$40 + H85/Inputs!$B$42)</f>
        <v/>
      </c>
      <c r="K85" s="116">
        <f>IF(A85="","",IF(J84&gt;=Inputs!$B$47,2, IF(J84&gt;=Inputs!$B$45,1, IF(J84&lt;=Inputs!$B$46,0,K84))))</f>
        <v/>
      </c>
      <c r="L85" s="251">
        <f>IF(A85="","",K85*Inputs!$B$49)</f>
        <v/>
      </c>
      <c r="M85" s="251">
        <f>IF(A85="","",MIN(L85,H84/Inputs!$B$9+S85))</f>
        <v/>
      </c>
      <c r="N85" s="116">
        <f>IF(A85="","",IF(AND(K85&gt;0,K84=0),1,0))</f>
        <v/>
      </c>
      <c r="O85" s="116">
        <f>IF(A85="","",O84+N85)</f>
        <v/>
      </c>
      <c r="P85" s="251">
        <f>IF(A85="","",MIN(F85,Inputs!$B$50))</f>
        <v/>
      </c>
      <c r="Q85" s="251">
        <f>IF(A85="","",MAX(0,F85-P85))</f>
        <v/>
      </c>
      <c r="R85" s="251">
        <f>IF(A85="","",P85*Inputs!$B$51)</f>
        <v/>
      </c>
      <c r="S85" s="251">
        <f>IF(A85="","",Q85+R85)</f>
        <v/>
      </c>
    </row>
    <row r="86">
      <c r="A86" s="116">
        <f>IF(ROW()&lt;=Inputs!$B$53+2,A85+Inputs!$B$8,"")</f>
        <v/>
      </c>
      <c r="B86" s="251">
        <f>IF(A86="","",IFERROR(INDEX(IDF_Hyetograph!$J$2:$J$37,MATCH(A86,IDF_Hyetograph!$K$2:$K$37,0)),0))</f>
        <v/>
      </c>
      <c r="C86" s="251">
        <f>IF(A86="","",0.00278*Inputs!$B$4*Inputs!$B$3*B86)</f>
        <v/>
      </c>
      <c r="D86" s="251">
        <f>IF(A86="","",MIN( Inputs!$B$30, MAX(0, D85 + (C86-F86-G86)*Inputs!$B$9) ))</f>
        <v/>
      </c>
      <c r="E86" s="251">
        <f>IF(A86="","",Inputs!$B$31 + D86/Inputs!$B$33)</f>
        <v/>
      </c>
      <c r="F86" s="251">
        <f>IF(A86="","",MIN( D85/Inputs!$B$9, Inputs!$B$35*Inputs!$B$36*SQRT(2*Inputs!$B$37*MAX(E85-J85,0)) ))</f>
        <v/>
      </c>
      <c r="G86" s="251">
        <f>IF(A86="","",MAX(0,(D85 + (C86-F86)*Inputs!$B$9 - Inputs!$B$30)/Inputs!$B$9))</f>
        <v/>
      </c>
      <c r="H86" s="251">
        <f>IF(A86="","",MAX(0,MIN(Inputs!$B$44,H85+(S86-M86-I86)*Inputs!$B$9)))</f>
        <v/>
      </c>
      <c r="I86" s="251">
        <f>IF(A86="","",MAX(0,(H85+(S86-M86)*Inputs!$B$9-Inputs!$B$44)/Inputs!$B$9))</f>
        <v/>
      </c>
      <c r="J86" s="251">
        <f>IF(A86="","",Inputs!$B$40 + H86/Inputs!$B$42)</f>
        <v/>
      </c>
      <c r="K86" s="116">
        <f>IF(A86="","",IF(J85&gt;=Inputs!$B$47,2, IF(J85&gt;=Inputs!$B$45,1, IF(J85&lt;=Inputs!$B$46,0,K85))))</f>
        <v/>
      </c>
      <c r="L86" s="251">
        <f>IF(A86="","",K86*Inputs!$B$49)</f>
        <v/>
      </c>
      <c r="M86" s="251">
        <f>IF(A86="","",MIN(L86,H85/Inputs!$B$9+S86))</f>
        <v/>
      </c>
      <c r="N86" s="116">
        <f>IF(A86="","",IF(AND(K86&gt;0,K85=0),1,0))</f>
        <v/>
      </c>
      <c r="O86" s="116">
        <f>IF(A86="","",O85+N86)</f>
        <v/>
      </c>
      <c r="P86" s="251">
        <f>IF(A86="","",MIN(F86,Inputs!$B$50))</f>
        <v/>
      </c>
      <c r="Q86" s="251">
        <f>IF(A86="","",MAX(0,F86-P86))</f>
        <v/>
      </c>
      <c r="R86" s="251">
        <f>IF(A86="","",P86*Inputs!$B$51)</f>
        <v/>
      </c>
      <c r="S86" s="251">
        <f>IF(A86="","",Q86+R86)</f>
        <v/>
      </c>
    </row>
    <row r="87">
      <c r="A87" s="116">
        <f>IF(ROW()&lt;=Inputs!$B$53+2,A86+Inputs!$B$8,"")</f>
        <v/>
      </c>
      <c r="B87" s="251">
        <f>IF(A87="","",IFERROR(INDEX(IDF_Hyetograph!$J$2:$J$37,MATCH(A87,IDF_Hyetograph!$K$2:$K$37,0)),0))</f>
        <v/>
      </c>
      <c r="C87" s="251">
        <f>IF(A87="","",0.00278*Inputs!$B$4*Inputs!$B$3*B87)</f>
        <v/>
      </c>
      <c r="D87" s="251">
        <f>IF(A87="","",MIN( Inputs!$B$30, MAX(0, D86 + (C87-F87-G87)*Inputs!$B$9) ))</f>
        <v/>
      </c>
      <c r="E87" s="251">
        <f>IF(A87="","",Inputs!$B$31 + D87/Inputs!$B$33)</f>
        <v/>
      </c>
      <c r="F87" s="251">
        <f>IF(A87="","",MIN( D86/Inputs!$B$9, Inputs!$B$35*Inputs!$B$36*SQRT(2*Inputs!$B$37*MAX(E86-J86,0)) ))</f>
        <v/>
      </c>
      <c r="G87" s="251">
        <f>IF(A87="","",MAX(0,(D86 + (C87-F87)*Inputs!$B$9 - Inputs!$B$30)/Inputs!$B$9))</f>
        <v/>
      </c>
      <c r="H87" s="251">
        <f>IF(A87="","",MAX(0,MIN(Inputs!$B$44,H86+(S87-M87-I87)*Inputs!$B$9)))</f>
        <v/>
      </c>
      <c r="I87" s="251">
        <f>IF(A87="","",MAX(0,(H86+(S87-M87)*Inputs!$B$9-Inputs!$B$44)/Inputs!$B$9))</f>
        <v/>
      </c>
      <c r="J87" s="251">
        <f>IF(A87="","",Inputs!$B$40 + H87/Inputs!$B$42)</f>
        <v/>
      </c>
      <c r="K87" s="116">
        <f>IF(A87="","",IF(J86&gt;=Inputs!$B$47,2, IF(J86&gt;=Inputs!$B$45,1, IF(J86&lt;=Inputs!$B$46,0,K86))))</f>
        <v/>
      </c>
      <c r="L87" s="251">
        <f>IF(A87="","",K87*Inputs!$B$49)</f>
        <v/>
      </c>
      <c r="M87" s="251">
        <f>IF(A87="","",MIN(L87,H86/Inputs!$B$9+S87))</f>
        <v/>
      </c>
      <c r="N87" s="116">
        <f>IF(A87="","",IF(AND(K87&gt;0,K86=0),1,0))</f>
        <v/>
      </c>
      <c r="O87" s="116">
        <f>IF(A87="","",O86+N87)</f>
        <v/>
      </c>
      <c r="P87" s="251">
        <f>IF(A87="","",MIN(F87,Inputs!$B$50))</f>
        <v/>
      </c>
      <c r="Q87" s="251">
        <f>IF(A87="","",MAX(0,F87-P87))</f>
        <v/>
      </c>
      <c r="R87" s="251">
        <f>IF(A87="","",P87*Inputs!$B$51)</f>
        <v/>
      </c>
      <c r="S87" s="251">
        <f>IF(A87="","",Q87+R87)</f>
        <v/>
      </c>
    </row>
    <row r="88">
      <c r="A88" s="116">
        <f>IF(ROW()&lt;=Inputs!$B$53+2,A87+Inputs!$B$8,"")</f>
        <v/>
      </c>
      <c r="B88" s="251">
        <f>IF(A88="","",IFERROR(INDEX(IDF_Hyetograph!$J$2:$J$37,MATCH(A88,IDF_Hyetograph!$K$2:$K$37,0)),0))</f>
        <v/>
      </c>
      <c r="C88" s="251">
        <f>IF(A88="","",0.00278*Inputs!$B$4*Inputs!$B$3*B88)</f>
        <v/>
      </c>
      <c r="D88" s="251">
        <f>IF(A88="","",MIN( Inputs!$B$30, MAX(0, D87 + (C88-F88-G88)*Inputs!$B$9) ))</f>
        <v/>
      </c>
      <c r="E88" s="251">
        <f>IF(A88="","",Inputs!$B$31 + D88/Inputs!$B$33)</f>
        <v/>
      </c>
      <c r="F88" s="251">
        <f>IF(A88="","",MIN( D87/Inputs!$B$9, Inputs!$B$35*Inputs!$B$36*SQRT(2*Inputs!$B$37*MAX(E87-J87,0)) ))</f>
        <v/>
      </c>
      <c r="G88" s="251">
        <f>IF(A88="","",MAX(0,(D87 + (C88-F88)*Inputs!$B$9 - Inputs!$B$30)/Inputs!$B$9))</f>
        <v/>
      </c>
      <c r="H88" s="251">
        <f>IF(A88="","",MAX(0,MIN(Inputs!$B$44,H87+(S88-M88-I88)*Inputs!$B$9)))</f>
        <v/>
      </c>
      <c r="I88" s="251">
        <f>IF(A88="","",MAX(0,(H87+(S88-M88)*Inputs!$B$9-Inputs!$B$44)/Inputs!$B$9))</f>
        <v/>
      </c>
      <c r="J88" s="251">
        <f>IF(A88="","",Inputs!$B$40 + H88/Inputs!$B$42)</f>
        <v/>
      </c>
      <c r="K88" s="116">
        <f>IF(A88="","",IF(J87&gt;=Inputs!$B$47,2, IF(J87&gt;=Inputs!$B$45,1, IF(J87&lt;=Inputs!$B$46,0,K87))))</f>
        <v/>
      </c>
      <c r="L88" s="251">
        <f>IF(A88="","",K88*Inputs!$B$49)</f>
        <v/>
      </c>
      <c r="M88" s="251">
        <f>IF(A88="","",MIN(L88,H87/Inputs!$B$9+S88))</f>
        <v/>
      </c>
      <c r="N88" s="116">
        <f>IF(A88="","",IF(AND(K88&gt;0,K87=0),1,0))</f>
        <v/>
      </c>
      <c r="O88" s="116">
        <f>IF(A88="","",O87+N88)</f>
        <v/>
      </c>
      <c r="P88" s="251">
        <f>IF(A88="","",MIN(F88,Inputs!$B$50))</f>
        <v/>
      </c>
      <c r="Q88" s="251">
        <f>IF(A88="","",MAX(0,F88-P88))</f>
        <v/>
      </c>
      <c r="R88" s="251">
        <f>IF(A88="","",P88*Inputs!$B$51)</f>
        <v/>
      </c>
      <c r="S88" s="251">
        <f>IF(A88="","",Q88+R88)</f>
        <v/>
      </c>
    </row>
    <row r="89">
      <c r="A89" s="116">
        <f>IF(ROW()&lt;=Inputs!$B$53+2,A88+Inputs!$B$8,"")</f>
        <v/>
      </c>
      <c r="B89" s="251">
        <f>IF(A89="","",IFERROR(INDEX(IDF_Hyetograph!$J$2:$J$37,MATCH(A89,IDF_Hyetograph!$K$2:$K$37,0)),0))</f>
        <v/>
      </c>
      <c r="C89" s="251">
        <f>IF(A89="","",0.00278*Inputs!$B$4*Inputs!$B$3*B89)</f>
        <v/>
      </c>
      <c r="D89" s="251">
        <f>IF(A89="","",MIN( Inputs!$B$30, MAX(0, D88 + (C89-F89-G89)*Inputs!$B$9) ))</f>
        <v/>
      </c>
      <c r="E89" s="251">
        <f>IF(A89="","",Inputs!$B$31 + D89/Inputs!$B$33)</f>
        <v/>
      </c>
      <c r="F89" s="251">
        <f>IF(A89="","",MIN( D88/Inputs!$B$9, Inputs!$B$35*Inputs!$B$36*SQRT(2*Inputs!$B$37*MAX(E88-J88,0)) ))</f>
        <v/>
      </c>
      <c r="G89" s="251">
        <f>IF(A89="","",MAX(0,(D88 + (C89-F89)*Inputs!$B$9 - Inputs!$B$30)/Inputs!$B$9))</f>
        <v/>
      </c>
      <c r="H89" s="251">
        <f>IF(A89="","",MAX(0,MIN(Inputs!$B$44,H88+(S89-M89-I89)*Inputs!$B$9)))</f>
        <v/>
      </c>
      <c r="I89" s="251">
        <f>IF(A89="","",MAX(0,(H88+(S89-M89)*Inputs!$B$9-Inputs!$B$44)/Inputs!$B$9))</f>
        <v/>
      </c>
      <c r="J89" s="251">
        <f>IF(A89="","",Inputs!$B$40 + H89/Inputs!$B$42)</f>
        <v/>
      </c>
      <c r="K89" s="116">
        <f>IF(A89="","",IF(J88&gt;=Inputs!$B$47,2, IF(J88&gt;=Inputs!$B$45,1, IF(J88&lt;=Inputs!$B$46,0,K88))))</f>
        <v/>
      </c>
      <c r="L89" s="251">
        <f>IF(A89="","",K89*Inputs!$B$49)</f>
        <v/>
      </c>
      <c r="M89" s="251">
        <f>IF(A89="","",MIN(L89,H88/Inputs!$B$9+S89))</f>
        <v/>
      </c>
      <c r="N89" s="116">
        <f>IF(A89="","",IF(AND(K89&gt;0,K88=0),1,0))</f>
        <v/>
      </c>
      <c r="O89" s="116">
        <f>IF(A89="","",O88+N89)</f>
        <v/>
      </c>
      <c r="P89" s="251">
        <f>IF(A89="","",MIN(F89,Inputs!$B$50))</f>
        <v/>
      </c>
      <c r="Q89" s="251">
        <f>IF(A89="","",MAX(0,F89-P89))</f>
        <v/>
      </c>
      <c r="R89" s="251">
        <f>IF(A89="","",P89*Inputs!$B$51)</f>
        <v/>
      </c>
      <c r="S89" s="251">
        <f>IF(A89="","",Q89+R89)</f>
        <v/>
      </c>
    </row>
    <row r="90">
      <c r="A90" s="116">
        <f>IF(ROW()&lt;=Inputs!$B$53+2,A89+Inputs!$B$8,"")</f>
        <v/>
      </c>
      <c r="B90" s="251">
        <f>IF(A90="","",IFERROR(INDEX(IDF_Hyetograph!$J$2:$J$37,MATCH(A90,IDF_Hyetograph!$K$2:$K$37,0)),0))</f>
        <v/>
      </c>
      <c r="C90" s="251">
        <f>IF(A90="","",0.00278*Inputs!$B$4*Inputs!$B$3*B90)</f>
        <v/>
      </c>
      <c r="D90" s="251">
        <f>IF(A90="","",MIN( Inputs!$B$30, MAX(0, D89 + (C90-F90-G90)*Inputs!$B$9) ))</f>
        <v/>
      </c>
      <c r="E90" s="251">
        <f>IF(A90="","",Inputs!$B$31 + D90/Inputs!$B$33)</f>
        <v/>
      </c>
      <c r="F90" s="251">
        <f>IF(A90="","",MIN( D89/Inputs!$B$9, Inputs!$B$35*Inputs!$B$36*SQRT(2*Inputs!$B$37*MAX(E89-J89,0)) ))</f>
        <v/>
      </c>
      <c r="G90" s="251">
        <f>IF(A90="","",MAX(0,(D89 + (C90-F90)*Inputs!$B$9 - Inputs!$B$30)/Inputs!$B$9))</f>
        <v/>
      </c>
      <c r="H90" s="251">
        <f>IF(A90="","",MAX(0,MIN(Inputs!$B$44,H89+(S90-M90-I90)*Inputs!$B$9)))</f>
        <v/>
      </c>
      <c r="I90" s="251">
        <f>IF(A90="","",MAX(0,(H89+(S90-M90)*Inputs!$B$9-Inputs!$B$44)/Inputs!$B$9))</f>
        <v/>
      </c>
      <c r="J90" s="251">
        <f>IF(A90="","",Inputs!$B$40 + H90/Inputs!$B$42)</f>
        <v/>
      </c>
      <c r="K90" s="116">
        <f>IF(A90="","",IF(J89&gt;=Inputs!$B$47,2, IF(J89&gt;=Inputs!$B$45,1, IF(J89&lt;=Inputs!$B$46,0,K89))))</f>
        <v/>
      </c>
      <c r="L90" s="251">
        <f>IF(A90="","",K90*Inputs!$B$49)</f>
        <v/>
      </c>
      <c r="M90" s="251">
        <f>IF(A90="","",MIN(L90,H89/Inputs!$B$9+S90))</f>
        <v/>
      </c>
      <c r="N90" s="116">
        <f>IF(A90="","",IF(AND(K90&gt;0,K89=0),1,0))</f>
        <v/>
      </c>
      <c r="O90" s="116">
        <f>IF(A90="","",O89+N90)</f>
        <v/>
      </c>
      <c r="P90" s="251">
        <f>IF(A90="","",MIN(F90,Inputs!$B$50))</f>
        <v/>
      </c>
      <c r="Q90" s="251">
        <f>IF(A90="","",MAX(0,F90-P90))</f>
        <v/>
      </c>
      <c r="R90" s="251">
        <f>IF(A90="","",P90*Inputs!$B$51)</f>
        <v/>
      </c>
      <c r="S90" s="251">
        <f>IF(A90="","",Q90+R90)</f>
        <v/>
      </c>
    </row>
    <row r="91">
      <c r="A91" s="116">
        <f>IF(ROW()&lt;=Inputs!$B$53+2,A90+Inputs!$B$8,"")</f>
        <v/>
      </c>
      <c r="B91" s="251">
        <f>IF(A91="","",IFERROR(INDEX(IDF_Hyetograph!$J$2:$J$37,MATCH(A91,IDF_Hyetograph!$K$2:$K$37,0)),0))</f>
        <v/>
      </c>
      <c r="C91" s="251">
        <f>IF(A91="","",0.00278*Inputs!$B$4*Inputs!$B$3*B91)</f>
        <v/>
      </c>
      <c r="D91" s="251">
        <f>IF(A91="","",MIN( Inputs!$B$30, MAX(0, D90 + (C91-F91-G91)*Inputs!$B$9) ))</f>
        <v/>
      </c>
      <c r="E91" s="251">
        <f>IF(A91="","",Inputs!$B$31 + D91/Inputs!$B$33)</f>
        <v/>
      </c>
      <c r="F91" s="251">
        <f>IF(A91="","",MIN( D90/Inputs!$B$9, Inputs!$B$35*Inputs!$B$36*SQRT(2*Inputs!$B$37*MAX(E90-J90,0)) ))</f>
        <v/>
      </c>
      <c r="G91" s="251">
        <f>IF(A91="","",MAX(0,(D90 + (C91-F91)*Inputs!$B$9 - Inputs!$B$30)/Inputs!$B$9))</f>
        <v/>
      </c>
      <c r="H91" s="251">
        <f>IF(A91="","",MAX(0,MIN(Inputs!$B$44,H90+(S91-M91-I91)*Inputs!$B$9)))</f>
        <v/>
      </c>
      <c r="I91" s="251">
        <f>IF(A91="","",MAX(0,(H90+(S91-M91)*Inputs!$B$9-Inputs!$B$44)/Inputs!$B$9))</f>
        <v/>
      </c>
      <c r="J91" s="251">
        <f>IF(A91="","",Inputs!$B$40 + H91/Inputs!$B$42)</f>
        <v/>
      </c>
      <c r="K91" s="116">
        <f>IF(A91="","",IF(J90&gt;=Inputs!$B$47,2, IF(J90&gt;=Inputs!$B$45,1, IF(J90&lt;=Inputs!$B$46,0,K90))))</f>
        <v/>
      </c>
      <c r="L91" s="251">
        <f>IF(A91="","",K91*Inputs!$B$49)</f>
        <v/>
      </c>
      <c r="M91" s="251">
        <f>IF(A91="","",MIN(L91,H90/Inputs!$B$9+S91))</f>
        <v/>
      </c>
      <c r="N91" s="116">
        <f>IF(A91="","",IF(AND(K91&gt;0,K90=0),1,0))</f>
        <v/>
      </c>
      <c r="O91" s="116">
        <f>IF(A91="","",O90+N91)</f>
        <v/>
      </c>
      <c r="P91" s="251">
        <f>IF(A91="","",MIN(F91,Inputs!$B$50))</f>
        <v/>
      </c>
      <c r="Q91" s="251">
        <f>IF(A91="","",MAX(0,F91-P91))</f>
        <v/>
      </c>
      <c r="R91" s="251">
        <f>IF(A91="","",P91*Inputs!$B$51)</f>
        <v/>
      </c>
      <c r="S91" s="251">
        <f>IF(A91="","",Q91+R91)</f>
        <v/>
      </c>
    </row>
    <row r="92">
      <c r="A92" s="116">
        <f>IF(ROW()&lt;=Inputs!$B$53+2,A91+Inputs!$B$8,"")</f>
        <v/>
      </c>
      <c r="B92" s="251">
        <f>IF(A92="","",IFERROR(INDEX(IDF_Hyetograph!$J$2:$J$37,MATCH(A92,IDF_Hyetograph!$K$2:$K$37,0)),0))</f>
        <v/>
      </c>
      <c r="C92" s="251">
        <f>IF(A92="","",0.00278*Inputs!$B$4*Inputs!$B$3*B92)</f>
        <v/>
      </c>
      <c r="D92" s="251">
        <f>IF(A92="","",MIN( Inputs!$B$30, MAX(0, D91 + (C92-F92-G92)*Inputs!$B$9) ))</f>
        <v/>
      </c>
      <c r="E92" s="251">
        <f>IF(A92="","",Inputs!$B$31 + D92/Inputs!$B$33)</f>
        <v/>
      </c>
      <c r="F92" s="251">
        <f>IF(A92="","",MIN( D91/Inputs!$B$9, Inputs!$B$35*Inputs!$B$36*SQRT(2*Inputs!$B$37*MAX(E91-J91,0)) ))</f>
        <v/>
      </c>
      <c r="G92" s="251">
        <f>IF(A92="","",MAX(0,(D91 + (C92-F92)*Inputs!$B$9 - Inputs!$B$30)/Inputs!$B$9))</f>
        <v/>
      </c>
      <c r="H92" s="251">
        <f>IF(A92="","",MAX(0,MIN(Inputs!$B$44,H91+(S92-M92-I92)*Inputs!$B$9)))</f>
        <v/>
      </c>
      <c r="I92" s="251">
        <f>IF(A92="","",MAX(0,(H91+(S92-M92)*Inputs!$B$9-Inputs!$B$44)/Inputs!$B$9))</f>
        <v/>
      </c>
      <c r="J92" s="251">
        <f>IF(A92="","",Inputs!$B$40 + H92/Inputs!$B$42)</f>
        <v/>
      </c>
      <c r="K92" s="116">
        <f>IF(A92="","",IF(J91&gt;=Inputs!$B$47,2, IF(J91&gt;=Inputs!$B$45,1, IF(J91&lt;=Inputs!$B$46,0,K91))))</f>
        <v/>
      </c>
      <c r="L92" s="251">
        <f>IF(A92="","",K92*Inputs!$B$49)</f>
        <v/>
      </c>
      <c r="M92" s="251">
        <f>IF(A92="","",MIN(L92,H91/Inputs!$B$9+S92))</f>
        <v/>
      </c>
      <c r="N92" s="116">
        <f>IF(A92="","",IF(AND(K92&gt;0,K91=0),1,0))</f>
        <v/>
      </c>
      <c r="O92" s="116">
        <f>IF(A92="","",O91+N92)</f>
        <v/>
      </c>
      <c r="P92" s="251">
        <f>IF(A92="","",MIN(F92,Inputs!$B$50))</f>
        <v/>
      </c>
      <c r="Q92" s="251">
        <f>IF(A92="","",MAX(0,F92-P92))</f>
        <v/>
      </c>
      <c r="R92" s="251">
        <f>IF(A92="","",P92*Inputs!$B$51)</f>
        <v/>
      </c>
      <c r="S92" s="251">
        <f>IF(A92="","",Q92+R92)</f>
        <v/>
      </c>
    </row>
    <row r="93">
      <c r="A93" s="116">
        <f>IF(ROW()&lt;=Inputs!$B$53+2,A92+Inputs!$B$8,"")</f>
        <v/>
      </c>
      <c r="B93" s="251">
        <f>IF(A93="","",IFERROR(INDEX(IDF_Hyetograph!$J$2:$J$37,MATCH(A93,IDF_Hyetograph!$K$2:$K$37,0)),0))</f>
        <v/>
      </c>
      <c r="C93" s="251">
        <f>IF(A93="","",0.00278*Inputs!$B$4*Inputs!$B$3*B93)</f>
        <v/>
      </c>
      <c r="D93" s="251">
        <f>IF(A93="","",MIN( Inputs!$B$30, MAX(0, D92 + (C93-F93-G93)*Inputs!$B$9) ))</f>
        <v/>
      </c>
      <c r="E93" s="251">
        <f>IF(A93="","",Inputs!$B$31 + D93/Inputs!$B$33)</f>
        <v/>
      </c>
      <c r="F93" s="251">
        <f>IF(A93="","",MIN( D92/Inputs!$B$9, Inputs!$B$35*Inputs!$B$36*SQRT(2*Inputs!$B$37*MAX(E92-J92,0)) ))</f>
        <v/>
      </c>
      <c r="G93" s="251">
        <f>IF(A93="","",MAX(0,(D92 + (C93-F93)*Inputs!$B$9 - Inputs!$B$30)/Inputs!$B$9))</f>
        <v/>
      </c>
      <c r="H93" s="251">
        <f>IF(A93="","",MAX(0,MIN(Inputs!$B$44,H92+(S93-M93-I93)*Inputs!$B$9)))</f>
        <v/>
      </c>
      <c r="I93" s="251">
        <f>IF(A93="","",MAX(0,(H92+(S93-M93)*Inputs!$B$9-Inputs!$B$44)/Inputs!$B$9))</f>
        <v/>
      </c>
      <c r="J93" s="251">
        <f>IF(A93="","",Inputs!$B$40 + H93/Inputs!$B$42)</f>
        <v/>
      </c>
      <c r="K93" s="116">
        <f>IF(A93="","",IF(J92&gt;=Inputs!$B$47,2, IF(J92&gt;=Inputs!$B$45,1, IF(J92&lt;=Inputs!$B$46,0,K92))))</f>
        <v/>
      </c>
      <c r="L93" s="251">
        <f>IF(A93="","",K93*Inputs!$B$49)</f>
        <v/>
      </c>
      <c r="M93" s="251">
        <f>IF(A93="","",MIN(L93,H92/Inputs!$B$9+S93))</f>
        <v/>
      </c>
      <c r="N93" s="116">
        <f>IF(A93="","",IF(AND(K93&gt;0,K92=0),1,0))</f>
        <v/>
      </c>
      <c r="O93" s="116">
        <f>IF(A93="","",O92+N93)</f>
        <v/>
      </c>
      <c r="P93" s="251">
        <f>IF(A93="","",MIN(F93,Inputs!$B$50))</f>
        <v/>
      </c>
      <c r="Q93" s="251">
        <f>IF(A93="","",MAX(0,F93-P93))</f>
        <v/>
      </c>
      <c r="R93" s="251">
        <f>IF(A93="","",P93*Inputs!$B$51)</f>
        <v/>
      </c>
      <c r="S93" s="251">
        <f>IF(A93="","",Q93+R93)</f>
        <v/>
      </c>
    </row>
    <row r="94">
      <c r="A94" s="116">
        <f>IF(ROW()&lt;=Inputs!$B$53+2,A93+Inputs!$B$8,"")</f>
        <v/>
      </c>
      <c r="B94" s="251">
        <f>IF(A94="","",IFERROR(INDEX(IDF_Hyetograph!$J$2:$J$37,MATCH(A94,IDF_Hyetograph!$K$2:$K$37,0)),0))</f>
        <v/>
      </c>
      <c r="C94" s="251">
        <f>IF(A94="","",0.00278*Inputs!$B$4*Inputs!$B$3*B94)</f>
        <v/>
      </c>
      <c r="D94" s="251">
        <f>IF(A94="","",MIN( Inputs!$B$30, MAX(0, D93 + (C94-F94-G94)*Inputs!$B$9) ))</f>
        <v/>
      </c>
      <c r="E94" s="251">
        <f>IF(A94="","",Inputs!$B$31 + D94/Inputs!$B$33)</f>
        <v/>
      </c>
      <c r="F94" s="251">
        <f>IF(A94="","",MIN( D93/Inputs!$B$9, Inputs!$B$35*Inputs!$B$36*SQRT(2*Inputs!$B$37*MAX(E93-J93,0)) ))</f>
        <v/>
      </c>
      <c r="G94" s="251">
        <f>IF(A94="","",MAX(0,(D93 + (C94-F94)*Inputs!$B$9 - Inputs!$B$30)/Inputs!$B$9))</f>
        <v/>
      </c>
      <c r="H94" s="251">
        <f>IF(A94="","",MAX(0,MIN(Inputs!$B$44,H93+(S94-M94-I94)*Inputs!$B$9)))</f>
        <v/>
      </c>
      <c r="I94" s="251">
        <f>IF(A94="","",MAX(0,(H93+(S94-M94)*Inputs!$B$9-Inputs!$B$44)/Inputs!$B$9))</f>
        <v/>
      </c>
      <c r="J94" s="251">
        <f>IF(A94="","",Inputs!$B$40 + H94/Inputs!$B$42)</f>
        <v/>
      </c>
      <c r="K94" s="116">
        <f>IF(A94="","",IF(J93&gt;=Inputs!$B$47,2, IF(J93&gt;=Inputs!$B$45,1, IF(J93&lt;=Inputs!$B$46,0,K93))))</f>
        <v/>
      </c>
      <c r="L94" s="251">
        <f>IF(A94="","",K94*Inputs!$B$49)</f>
        <v/>
      </c>
      <c r="M94" s="251">
        <f>IF(A94="","",MIN(L94,H93/Inputs!$B$9+S94))</f>
        <v/>
      </c>
      <c r="N94" s="116">
        <f>IF(A94="","",IF(AND(K94&gt;0,K93=0),1,0))</f>
        <v/>
      </c>
      <c r="O94" s="116">
        <f>IF(A94="","",O93+N94)</f>
        <v/>
      </c>
      <c r="P94" s="251">
        <f>IF(A94="","",MIN(F94,Inputs!$B$50))</f>
        <v/>
      </c>
      <c r="Q94" s="251">
        <f>IF(A94="","",MAX(0,F94-P94))</f>
        <v/>
      </c>
      <c r="R94" s="251">
        <f>IF(A94="","",P94*Inputs!$B$51)</f>
        <v/>
      </c>
      <c r="S94" s="251">
        <f>IF(A94="","",Q94+R94)</f>
        <v/>
      </c>
    </row>
    <row r="95">
      <c r="A95" s="116">
        <f>IF(ROW()&lt;=Inputs!$B$53+2,A94+Inputs!$B$8,"")</f>
        <v/>
      </c>
      <c r="B95" s="251">
        <f>IF(A95="","",IFERROR(INDEX(IDF_Hyetograph!$J$2:$J$37,MATCH(A95,IDF_Hyetograph!$K$2:$K$37,0)),0))</f>
        <v/>
      </c>
      <c r="C95" s="251">
        <f>IF(A95="","",0.00278*Inputs!$B$4*Inputs!$B$3*B95)</f>
        <v/>
      </c>
      <c r="D95" s="251">
        <f>IF(A95="","",MIN( Inputs!$B$30, MAX(0, D94 + (C95-F95-G95)*Inputs!$B$9) ))</f>
        <v/>
      </c>
      <c r="E95" s="251">
        <f>IF(A95="","",Inputs!$B$31 + D95/Inputs!$B$33)</f>
        <v/>
      </c>
      <c r="F95" s="251">
        <f>IF(A95="","",MIN( D94/Inputs!$B$9, Inputs!$B$35*Inputs!$B$36*SQRT(2*Inputs!$B$37*MAX(E94-J94,0)) ))</f>
        <v/>
      </c>
      <c r="G95" s="251">
        <f>IF(A95="","",MAX(0,(D94 + (C95-F95)*Inputs!$B$9 - Inputs!$B$30)/Inputs!$B$9))</f>
        <v/>
      </c>
      <c r="H95" s="251">
        <f>IF(A95="","",MAX(0,MIN(Inputs!$B$44,H94+(S95-M95-I95)*Inputs!$B$9)))</f>
        <v/>
      </c>
      <c r="I95" s="251">
        <f>IF(A95="","",MAX(0,(H94+(S95-M95)*Inputs!$B$9-Inputs!$B$44)/Inputs!$B$9))</f>
        <v/>
      </c>
      <c r="J95" s="251">
        <f>IF(A95="","",Inputs!$B$40 + H95/Inputs!$B$42)</f>
        <v/>
      </c>
      <c r="K95" s="116">
        <f>IF(A95="","",IF(J94&gt;=Inputs!$B$47,2, IF(J94&gt;=Inputs!$B$45,1, IF(J94&lt;=Inputs!$B$46,0,K94))))</f>
        <v/>
      </c>
      <c r="L95" s="251">
        <f>IF(A95="","",K95*Inputs!$B$49)</f>
        <v/>
      </c>
      <c r="M95" s="251">
        <f>IF(A95="","",MIN(L95,H94/Inputs!$B$9+S95))</f>
        <v/>
      </c>
      <c r="N95" s="116">
        <f>IF(A95="","",IF(AND(K95&gt;0,K94=0),1,0))</f>
        <v/>
      </c>
      <c r="O95" s="116">
        <f>IF(A95="","",O94+N95)</f>
        <v/>
      </c>
      <c r="P95" s="251">
        <f>IF(A95="","",MIN(F95,Inputs!$B$50))</f>
        <v/>
      </c>
      <c r="Q95" s="251">
        <f>IF(A95="","",MAX(0,F95-P95))</f>
        <v/>
      </c>
      <c r="R95" s="251">
        <f>IF(A95="","",P95*Inputs!$B$51)</f>
        <v/>
      </c>
      <c r="S95" s="251">
        <f>IF(A95="","",Q95+R95)</f>
        <v/>
      </c>
    </row>
    <row r="96">
      <c r="A96" s="116">
        <f>IF(ROW()&lt;=Inputs!$B$53+2,A95+Inputs!$B$8,"")</f>
        <v/>
      </c>
      <c r="B96" s="251">
        <f>IF(A96="","",IFERROR(INDEX(IDF_Hyetograph!$J$2:$J$37,MATCH(A96,IDF_Hyetograph!$K$2:$K$37,0)),0))</f>
        <v/>
      </c>
      <c r="C96" s="251">
        <f>IF(A96="","",0.00278*Inputs!$B$4*Inputs!$B$3*B96)</f>
        <v/>
      </c>
      <c r="D96" s="251">
        <f>IF(A96="","",MIN( Inputs!$B$30, MAX(0, D95 + (C96-F96-G96)*Inputs!$B$9) ))</f>
        <v/>
      </c>
      <c r="E96" s="251">
        <f>IF(A96="","",Inputs!$B$31 + D96/Inputs!$B$33)</f>
        <v/>
      </c>
      <c r="F96" s="251">
        <f>IF(A96="","",MIN( D95/Inputs!$B$9, Inputs!$B$35*Inputs!$B$36*SQRT(2*Inputs!$B$37*MAX(E95-J95,0)) ))</f>
        <v/>
      </c>
      <c r="G96" s="251">
        <f>IF(A96="","",MAX(0,(D95 + (C96-F96)*Inputs!$B$9 - Inputs!$B$30)/Inputs!$B$9))</f>
        <v/>
      </c>
      <c r="H96" s="251">
        <f>IF(A96="","",MAX(0,MIN(Inputs!$B$44,H95+(S96-M96-I96)*Inputs!$B$9)))</f>
        <v/>
      </c>
      <c r="I96" s="251">
        <f>IF(A96="","",MAX(0,(H95+(S96-M96)*Inputs!$B$9-Inputs!$B$44)/Inputs!$B$9))</f>
        <v/>
      </c>
      <c r="J96" s="251">
        <f>IF(A96="","",Inputs!$B$40 + H96/Inputs!$B$42)</f>
        <v/>
      </c>
      <c r="K96" s="116">
        <f>IF(A96="","",IF(J95&gt;=Inputs!$B$47,2, IF(J95&gt;=Inputs!$B$45,1, IF(J95&lt;=Inputs!$B$46,0,K95))))</f>
        <v/>
      </c>
      <c r="L96" s="251">
        <f>IF(A96="","",K96*Inputs!$B$49)</f>
        <v/>
      </c>
      <c r="M96" s="251">
        <f>IF(A96="","",MIN(L96,H95/Inputs!$B$9+S96))</f>
        <v/>
      </c>
      <c r="N96" s="116">
        <f>IF(A96="","",IF(AND(K96&gt;0,K95=0),1,0))</f>
        <v/>
      </c>
      <c r="O96" s="116">
        <f>IF(A96="","",O95+N96)</f>
        <v/>
      </c>
      <c r="P96" s="251">
        <f>IF(A96="","",MIN(F96,Inputs!$B$50))</f>
        <v/>
      </c>
      <c r="Q96" s="251">
        <f>IF(A96="","",MAX(0,F96-P96))</f>
        <v/>
      </c>
      <c r="R96" s="251">
        <f>IF(A96="","",P96*Inputs!$B$51)</f>
        <v/>
      </c>
      <c r="S96" s="251">
        <f>IF(A96="","",Q96+R96)</f>
        <v/>
      </c>
    </row>
    <row r="97">
      <c r="A97" s="116">
        <f>IF(ROW()&lt;=Inputs!$B$53+2,A96+Inputs!$B$8,"")</f>
        <v/>
      </c>
      <c r="B97" s="251">
        <f>IF(A97="","",IFERROR(INDEX(IDF_Hyetograph!$J$2:$J$37,MATCH(A97,IDF_Hyetograph!$K$2:$K$37,0)),0))</f>
        <v/>
      </c>
      <c r="C97" s="251">
        <f>IF(A97="","",0.00278*Inputs!$B$4*Inputs!$B$3*B97)</f>
        <v/>
      </c>
      <c r="D97" s="251">
        <f>IF(A97="","",MIN( Inputs!$B$30, MAX(0, D96 + (C97-F97-G97)*Inputs!$B$9) ))</f>
        <v/>
      </c>
      <c r="E97" s="251">
        <f>IF(A97="","",Inputs!$B$31 + D97/Inputs!$B$33)</f>
        <v/>
      </c>
      <c r="F97" s="251">
        <f>IF(A97="","",MIN( D96/Inputs!$B$9, Inputs!$B$35*Inputs!$B$36*SQRT(2*Inputs!$B$37*MAX(E96-J96,0)) ))</f>
        <v/>
      </c>
      <c r="G97" s="251">
        <f>IF(A97="","",MAX(0,(D96 + (C97-F97)*Inputs!$B$9 - Inputs!$B$30)/Inputs!$B$9))</f>
        <v/>
      </c>
      <c r="H97" s="251">
        <f>IF(A97="","",MAX(0,MIN(Inputs!$B$44,H96+(S97-M97-I97)*Inputs!$B$9)))</f>
        <v/>
      </c>
      <c r="I97" s="251">
        <f>IF(A97="","",MAX(0,(H96+(S97-M97)*Inputs!$B$9-Inputs!$B$44)/Inputs!$B$9))</f>
        <v/>
      </c>
      <c r="J97" s="251">
        <f>IF(A97="","",Inputs!$B$40 + H97/Inputs!$B$42)</f>
        <v/>
      </c>
      <c r="K97" s="116">
        <f>IF(A97="","",IF(J96&gt;=Inputs!$B$47,2, IF(J96&gt;=Inputs!$B$45,1, IF(J96&lt;=Inputs!$B$46,0,K96))))</f>
        <v/>
      </c>
      <c r="L97" s="251">
        <f>IF(A97="","",K97*Inputs!$B$49)</f>
        <v/>
      </c>
      <c r="M97" s="251">
        <f>IF(A97="","",MIN(L97,H96/Inputs!$B$9+S97))</f>
        <v/>
      </c>
      <c r="N97" s="116">
        <f>IF(A97="","",IF(AND(K97&gt;0,K96=0),1,0))</f>
        <v/>
      </c>
      <c r="O97" s="116">
        <f>IF(A97="","",O96+N97)</f>
        <v/>
      </c>
      <c r="P97" s="251">
        <f>IF(A97="","",MIN(F97,Inputs!$B$50))</f>
        <v/>
      </c>
      <c r="Q97" s="251">
        <f>IF(A97="","",MAX(0,F97-P97))</f>
        <v/>
      </c>
      <c r="R97" s="251">
        <f>IF(A97="","",P97*Inputs!$B$51)</f>
        <v/>
      </c>
      <c r="S97" s="251">
        <f>IF(A97="","",Q97+R97)</f>
        <v/>
      </c>
    </row>
    <row r="98">
      <c r="A98" s="116">
        <f>IF(ROW()&lt;=Inputs!$B$53+2,A97+Inputs!$B$8,"")</f>
        <v/>
      </c>
      <c r="B98" s="251">
        <f>IF(A98="","",IFERROR(INDEX(IDF_Hyetograph!$J$2:$J$37,MATCH(A98,IDF_Hyetograph!$K$2:$K$37,0)),0))</f>
        <v/>
      </c>
      <c r="C98" s="251">
        <f>IF(A98="","",0.00278*Inputs!$B$4*Inputs!$B$3*B98)</f>
        <v/>
      </c>
      <c r="D98" s="251">
        <f>IF(A98="","",MIN( Inputs!$B$30, MAX(0, D97 + (C98-F98-G98)*Inputs!$B$9) ))</f>
        <v/>
      </c>
      <c r="E98" s="251">
        <f>IF(A98="","",Inputs!$B$31 + D98/Inputs!$B$33)</f>
        <v/>
      </c>
      <c r="F98" s="251">
        <f>IF(A98="","",MIN( D97/Inputs!$B$9, Inputs!$B$35*Inputs!$B$36*SQRT(2*Inputs!$B$37*MAX(E97-J97,0)) ))</f>
        <v/>
      </c>
      <c r="G98" s="251">
        <f>IF(A98="","",MAX(0,(D97 + (C98-F98)*Inputs!$B$9 - Inputs!$B$30)/Inputs!$B$9))</f>
        <v/>
      </c>
      <c r="H98" s="251">
        <f>IF(A98="","",MAX(0,MIN(Inputs!$B$44,H97+(S98-M98-I98)*Inputs!$B$9)))</f>
        <v/>
      </c>
      <c r="I98" s="251">
        <f>IF(A98="","",MAX(0,(H97+(S98-M98)*Inputs!$B$9-Inputs!$B$44)/Inputs!$B$9))</f>
        <v/>
      </c>
      <c r="J98" s="251">
        <f>IF(A98="","",Inputs!$B$40 + H98/Inputs!$B$42)</f>
        <v/>
      </c>
      <c r="K98" s="116">
        <f>IF(A98="","",IF(J97&gt;=Inputs!$B$47,2, IF(J97&gt;=Inputs!$B$45,1, IF(J97&lt;=Inputs!$B$46,0,K97))))</f>
        <v/>
      </c>
      <c r="L98" s="251">
        <f>IF(A98="","",K98*Inputs!$B$49)</f>
        <v/>
      </c>
      <c r="M98" s="251">
        <f>IF(A98="","",MIN(L98,H97/Inputs!$B$9+S98))</f>
        <v/>
      </c>
      <c r="N98" s="116">
        <f>IF(A98="","",IF(AND(K98&gt;0,K97=0),1,0))</f>
        <v/>
      </c>
      <c r="O98" s="116">
        <f>IF(A98="","",O97+N98)</f>
        <v/>
      </c>
      <c r="P98" s="251">
        <f>IF(A98="","",MIN(F98,Inputs!$B$50))</f>
        <v/>
      </c>
      <c r="Q98" s="251">
        <f>IF(A98="","",MAX(0,F98-P98))</f>
        <v/>
      </c>
      <c r="R98" s="251">
        <f>IF(A98="","",P98*Inputs!$B$51)</f>
        <v/>
      </c>
      <c r="S98" s="251">
        <f>IF(A98="","",Q98+R98)</f>
        <v/>
      </c>
    </row>
    <row r="99">
      <c r="A99" s="116">
        <f>IF(ROW()&lt;=Inputs!$B$53+2,A98+Inputs!$B$8,"")</f>
        <v/>
      </c>
      <c r="B99" s="251">
        <f>IF(A99="","",IFERROR(INDEX(IDF_Hyetograph!$J$2:$J$37,MATCH(A99,IDF_Hyetograph!$K$2:$K$37,0)),0))</f>
        <v/>
      </c>
      <c r="C99" s="251">
        <f>IF(A99="","",0.00278*Inputs!$B$4*Inputs!$B$3*B99)</f>
        <v/>
      </c>
      <c r="D99" s="251">
        <f>IF(A99="","",MIN( Inputs!$B$30, MAX(0, D98 + (C99-F99-G99)*Inputs!$B$9) ))</f>
        <v/>
      </c>
      <c r="E99" s="251">
        <f>IF(A99="","",Inputs!$B$31 + D99/Inputs!$B$33)</f>
        <v/>
      </c>
      <c r="F99" s="251">
        <f>IF(A99="","",MIN( D98/Inputs!$B$9, Inputs!$B$35*Inputs!$B$36*SQRT(2*Inputs!$B$37*MAX(E98-J98,0)) ))</f>
        <v/>
      </c>
      <c r="G99" s="251">
        <f>IF(A99="","",MAX(0,(D98 + (C99-F99)*Inputs!$B$9 - Inputs!$B$30)/Inputs!$B$9))</f>
        <v/>
      </c>
      <c r="H99" s="251">
        <f>IF(A99="","",MAX(0,MIN(Inputs!$B$44,H98+(S99-M99-I99)*Inputs!$B$9)))</f>
        <v/>
      </c>
      <c r="I99" s="251">
        <f>IF(A99="","",MAX(0,(H98+(S99-M99)*Inputs!$B$9-Inputs!$B$44)/Inputs!$B$9))</f>
        <v/>
      </c>
      <c r="J99" s="251">
        <f>IF(A99="","",Inputs!$B$40 + H99/Inputs!$B$42)</f>
        <v/>
      </c>
      <c r="K99" s="116">
        <f>IF(A99="","",IF(J98&gt;=Inputs!$B$47,2, IF(J98&gt;=Inputs!$B$45,1, IF(J98&lt;=Inputs!$B$46,0,K98))))</f>
        <v/>
      </c>
      <c r="L99" s="251">
        <f>IF(A99="","",K99*Inputs!$B$49)</f>
        <v/>
      </c>
      <c r="M99" s="251">
        <f>IF(A99="","",MIN(L99,H98/Inputs!$B$9+S99))</f>
        <v/>
      </c>
      <c r="N99" s="116">
        <f>IF(A99="","",IF(AND(K99&gt;0,K98=0),1,0))</f>
        <v/>
      </c>
      <c r="O99" s="116">
        <f>IF(A99="","",O98+N99)</f>
        <v/>
      </c>
      <c r="P99" s="251">
        <f>IF(A99="","",MIN(F99,Inputs!$B$50))</f>
        <v/>
      </c>
      <c r="Q99" s="251">
        <f>IF(A99="","",MAX(0,F99-P99))</f>
        <v/>
      </c>
      <c r="R99" s="251">
        <f>IF(A99="","",P99*Inputs!$B$51)</f>
        <v/>
      </c>
      <c r="S99" s="251">
        <f>IF(A99="","",Q99+R99)</f>
        <v/>
      </c>
    </row>
    <row r="100">
      <c r="A100" s="116">
        <f>IF(ROW()&lt;=Inputs!$B$53+2,A99+Inputs!$B$8,"")</f>
        <v/>
      </c>
      <c r="B100" s="251">
        <f>IF(A100="","",IFERROR(INDEX(IDF_Hyetograph!$J$2:$J$37,MATCH(A100,IDF_Hyetograph!$K$2:$K$37,0)),0))</f>
        <v/>
      </c>
      <c r="C100" s="251">
        <f>IF(A100="","",0.00278*Inputs!$B$4*Inputs!$B$3*B100)</f>
        <v/>
      </c>
      <c r="D100" s="251">
        <f>IF(A100="","",MIN( Inputs!$B$30, MAX(0, D99 + (C100-F100-G100)*Inputs!$B$9) ))</f>
        <v/>
      </c>
      <c r="E100" s="251">
        <f>IF(A100="","",Inputs!$B$31 + D100/Inputs!$B$33)</f>
        <v/>
      </c>
      <c r="F100" s="251">
        <f>IF(A100="","",MIN( D99/Inputs!$B$9, Inputs!$B$35*Inputs!$B$36*SQRT(2*Inputs!$B$37*MAX(E99-J99,0)) ))</f>
        <v/>
      </c>
      <c r="G100" s="251">
        <f>IF(A100="","",MAX(0,(D99 + (C100-F100)*Inputs!$B$9 - Inputs!$B$30)/Inputs!$B$9))</f>
        <v/>
      </c>
      <c r="H100" s="251">
        <f>IF(A100="","",MAX(0,MIN(Inputs!$B$44,H99+(S100-M100-I100)*Inputs!$B$9)))</f>
        <v/>
      </c>
      <c r="I100" s="251">
        <f>IF(A100="","",MAX(0,(H99+(S100-M100)*Inputs!$B$9-Inputs!$B$44)/Inputs!$B$9))</f>
        <v/>
      </c>
      <c r="J100" s="251">
        <f>IF(A100="","",Inputs!$B$40 + H100/Inputs!$B$42)</f>
        <v/>
      </c>
      <c r="K100" s="116">
        <f>IF(A100="","",IF(J99&gt;=Inputs!$B$47,2, IF(J99&gt;=Inputs!$B$45,1, IF(J99&lt;=Inputs!$B$46,0,K99))))</f>
        <v/>
      </c>
      <c r="L100" s="251">
        <f>IF(A100="","",K100*Inputs!$B$49)</f>
        <v/>
      </c>
      <c r="M100" s="251">
        <f>IF(A100="","",MIN(L100,H99/Inputs!$B$9+S100))</f>
        <v/>
      </c>
      <c r="N100" s="116">
        <f>IF(A100="","",IF(AND(K100&gt;0,K99=0),1,0))</f>
        <v/>
      </c>
      <c r="O100" s="116">
        <f>IF(A100="","",O99+N100)</f>
        <v/>
      </c>
      <c r="P100" s="251">
        <f>IF(A100="","",MIN(F100,Inputs!$B$50))</f>
        <v/>
      </c>
      <c r="Q100" s="251">
        <f>IF(A100="","",MAX(0,F100-P100))</f>
        <v/>
      </c>
      <c r="R100" s="251">
        <f>IF(A100="","",P100*Inputs!$B$51)</f>
        <v/>
      </c>
      <c r="S100" s="251">
        <f>IF(A100="","",Q100+R100)</f>
        <v/>
      </c>
    </row>
    <row r="101">
      <c r="A101" s="116">
        <f>IF(ROW()&lt;=Inputs!$B$53+2,A100+Inputs!$B$8,"")</f>
        <v/>
      </c>
      <c r="B101" s="251">
        <f>IF(A101="","",IFERROR(INDEX(IDF_Hyetograph!$J$2:$J$37,MATCH(A101,IDF_Hyetograph!$K$2:$K$37,0)),0))</f>
        <v/>
      </c>
      <c r="C101" s="251">
        <f>IF(A101="","",0.00278*Inputs!$B$4*Inputs!$B$3*B101)</f>
        <v/>
      </c>
      <c r="D101" s="251">
        <f>IF(A101="","",MIN( Inputs!$B$30, MAX(0, D100 + (C101-F101-G101)*Inputs!$B$9) ))</f>
        <v/>
      </c>
      <c r="E101" s="251">
        <f>IF(A101="","",Inputs!$B$31 + D101/Inputs!$B$33)</f>
        <v/>
      </c>
      <c r="F101" s="251">
        <f>IF(A101="","",MIN( D100/Inputs!$B$9, Inputs!$B$35*Inputs!$B$36*SQRT(2*Inputs!$B$37*MAX(E100-J100,0)) ))</f>
        <v/>
      </c>
      <c r="G101" s="251">
        <f>IF(A101="","",MAX(0,(D100 + (C101-F101)*Inputs!$B$9 - Inputs!$B$30)/Inputs!$B$9))</f>
        <v/>
      </c>
      <c r="H101" s="251">
        <f>IF(A101="","",MAX(0,MIN(Inputs!$B$44,H100+(S101-M101-I101)*Inputs!$B$9)))</f>
        <v/>
      </c>
      <c r="I101" s="251">
        <f>IF(A101="","",MAX(0,(H100+(S101-M101)*Inputs!$B$9-Inputs!$B$44)/Inputs!$B$9))</f>
        <v/>
      </c>
      <c r="J101" s="251">
        <f>IF(A101="","",Inputs!$B$40 + H101/Inputs!$B$42)</f>
        <v/>
      </c>
      <c r="K101" s="116">
        <f>IF(A101="","",IF(J100&gt;=Inputs!$B$47,2, IF(J100&gt;=Inputs!$B$45,1, IF(J100&lt;=Inputs!$B$46,0,K100))))</f>
        <v/>
      </c>
      <c r="L101" s="251">
        <f>IF(A101="","",K101*Inputs!$B$49)</f>
        <v/>
      </c>
      <c r="M101" s="251">
        <f>IF(A101="","",MIN(L101,H100/Inputs!$B$9+S101))</f>
        <v/>
      </c>
      <c r="N101" s="116">
        <f>IF(A101="","",IF(AND(K101&gt;0,K100=0),1,0))</f>
        <v/>
      </c>
      <c r="O101" s="116">
        <f>IF(A101="","",O100+N101)</f>
        <v/>
      </c>
      <c r="P101" s="251">
        <f>IF(A101="","",MIN(F101,Inputs!$B$50))</f>
        <v/>
      </c>
      <c r="Q101" s="251">
        <f>IF(A101="","",MAX(0,F101-P101))</f>
        <v/>
      </c>
      <c r="R101" s="251">
        <f>IF(A101="","",P101*Inputs!$B$51)</f>
        <v/>
      </c>
      <c r="S101" s="251">
        <f>IF(A101="","",Q101+R101)</f>
        <v/>
      </c>
    </row>
    <row r="102">
      <c r="A102" s="116">
        <f>IF(ROW()&lt;=Inputs!$B$53+2,A101+Inputs!$B$8,"")</f>
        <v/>
      </c>
      <c r="B102" s="251">
        <f>IF(A102="","",IFERROR(INDEX(IDF_Hyetograph!$J$2:$J$37,MATCH(A102,IDF_Hyetograph!$K$2:$K$37,0)),0))</f>
        <v/>
      </c>
      <c r="C102" s="251">
        <f>IF(A102="","",0.00278*Inputs!$B$4*Inputs!$B$3*B102)</f>
        <v/>
      </c>
      <c r="D102" s="251">
        <f>IF(A102="","",MIN( Inputs!$B$30, MAX(0, D101 + (C102-F102-G102)*Inputs!$B$9) ))</f>
        <v/>
      </c>
      <c r="E102" s="251">
        <f>IF(A102="","",Inputs!$B$31 + D102/Inputs!$B$33)</f>
        <v/>
      </c>
      <c r="F102" s="251">
        <f>IF(A102="","",MIN( D101/Inputs!$B$9, Inputs!$B$35*Inputs!$B$36*SQRT(2*Inputs!$B$37*MAX(E101-J101,0)) ))</f>
        <v/>
      </c>
      <c r="G102" s="251">
        <f>IF(A102="","",MAX(0,(D101 + (C102-F102)*Inputs!$B$9 - Inputs!$B$30)/Inputs!$B$9))</f>
        <v/>
      </c>
      <c r="H102" s="251">
        <f>IF(A102="","",MAX(0,MIN(Inputs!$B$44,H101+(S102-M102-I102)*Inputs!$B$9)))</f>
        <v/>
      </c>
      <c r="I102" s="251">
        <f>IF(A102="","",MAX(0,(H101+(S102-M102)*Inputs!$B$9-Inputs!$B$44)/Inputs!$B$9))</f>
        <v/>
      </c>
      <c r="J102" s="251">
        <f>IF(A102="","",Inputs!$B$40 + H102/Inputs!$B$42)</f>
        <v/>
      </c>
      <c r="K102" s="116">
        <f>IF(A102="","",IF(J101&gt;=Inputs!$B$47,2, IF(J101&gt;=Inputs!$B$45,1, IF(J101&lt;=Inputs!$B$46,0,K101))))</f>
        <v/>
      </c>
      <c r="L102" s="251">
        <f>IF(A102="","",K102*Inputs!$B$49)</f>
        <v/>
      </c>
      <c r="M102" s="251">
        <f>IF(A102="","",MIN(L102,H101/Inputs!$B$9+S102))</f>
        <v/>
      </c>
      <c r="N102" s="116">
        <f>IF(A102="","",IF(AND(K102&gt;0,K101=0),1,0))</f>
        <v/>
      </c>
      <c r="O102" s="116">
        <f>IF(A102="","",O101+N102)</f>
        <v/>
      </c>
      <c r="P102" s="251">
        <f>IF(A102="","",MIN(F102,Inputs!$B$50))</f>
        <v/>
      </c>
      <c r="Q102" s="251">
        <f>IF(A102="","",MAX(0,F102-P102))</f>
        <v/>
      </c>
      <c r="R102" s="251">
        <f>IF(A102="","",P102*Inputs!$B$51)</f>
        <v/>
      </c>
      <c r="S102" s="251">
        <f>IF(A102="","",Q102+R102)</f>
        <v/>
      </c>
    </row>
    <row r="103">
      <c r="A103" s="116">
        <f>IF(ROW()&lt;=Inputs!$B$53+2,A102+Inputs!$B$8,"")</f>
        <v/>
      </c>
      <c r="B103" s="251">
        <f>IF(A103="","",IFERROR(INDEX(IDF_Hyetograph!$J$2:$J$37,MATCH(A103,IDF_Hyetograph!$K$2:$K$37,0)),0))</f>
        <v/>
      </c>
      <c r="C103" s="251">
        <f>IF(A103="","",0.00278*Inputs!$B$4*Inputs!$B$3*B103)</f>
        <v/>
      </c>
      <c r="D103" s="251">
        <f>IF(A103="","",MIN( Inputs!$B$30, MAX(0, D102 + (C103-F103-G103)*Inputs!$B$9) ))</f>
        <v/>
      </c>
      <c r="E103" s="251">
        <f>IF(A103="","",Inputs!$B$31 + D103/Inputs!$B$33)</f>
        <v/>
      </c>
      <c r="F103" s="251">
        <f>IF(A103="","",MIN( D102/Inputs!$B$9, Inputs!$B$35*Inputs!$B$36*SQRT(2*Inputs!$B$37*MAX(E102-J102,0)) ))</f>
        <v/>
      </c>
      <c r="G103" s="251">
        <f>IF(A103="","",MAX(0,(D102 + (C103-F103)*Inputs!$B$9 - Inputs!$B$30)/Inputs!$B$9))</f>
        <v/>
      </c>
      <c r="H103" s="251">
        <f>IF(A103="","",MAX(0,MIN(Inputs!$B$44,H102+(S103-M103-I103)*Inputs!$B$9)))</f>
        <v/>
      </c>
      <c r="I103" s="251">
        <f>IF(A103="","",MAX(0,(H102+(S103-M103)*Inputs!$B$9-Inputs!$B$44)/Inputs!$B$9))</f>
        <v/>
      </c>
      <c r="J103" s="251">
        <f>IF(A103="","",Inputs!$B$40 + H103/Inputs!$B$42)</f>
        <v/>
      </c>
      <c r="K103" s="116">
        <f>IF(A103="","",IF(J102&gt;=Inputs!$B$47,2, IF(J102&gt;=Inputs!$B$45,1, IF(J102&lt;=Inputs!$B$46,0,K102))))</f>
        <v/>
      </c>
      <c r="L103" s="251">
        <f>IF(A103="","",K103*Inputs!$B$49)</f>
        <v/>
      </c>
      <c r="M103" s="251">
        <f>IF(A103="","",MIN(L103,H102/Inputs!$B$9+S103))</f>
        <v/>
      </c>
      <c r="N103" s="116">
        <f>IF(A103="","",IF(AND(K103&gt;0,K102=0),1,0))</f>
        <v/>
      </c>
      <c r="O103" s="116">
        <f>IF(A103="","",O102+N103)</f>
        <v/>
      </c>
      <c r="P103" s="251">
        <f>IF(A103="","",MIN(F103,Inputs!$B$50))</f>
        <v/>
      </c>
      <c r="Q103" s="251">
        <f>IF(A103="","",MAX(0,F103-P103))</f>
        <v/>
      </c>
      <c r="R103" s="251">
        <f>IF(A103="","",P103*Inputs!$B$51)</f>
        <v/>
      </c>
      <c r="S103" s="251">
        <f>IF(A103="","",Q103+R103)</f>
        <v/>
      </c>
    </row>
    <row r="104">
      <c r="A104" s="116">
        <f>IF(ROW()&lt;=Inputs!$B$53+2,A103+Inputs!$B$8,"")</f>
        <v/>
      </c>
      <c r="B104" s="251">
        <f>IF(A104="","",IFERROR(INDEX(IDF_Hyetograph!$J$2:$J$37,MATCH(A104,IDF_Hyetograph!$K$2:$K$37,0)),0))</f>
        <v/>
      </c>
      <c r="C104" s="251">
        <f>IF(A104="","",0.00278*Inputs!$B$4*Inputs!$B$3*B104)</f>
        <v/>
      </c>
      <c r="D104" s="251">
        <f>IF(A104="","",MIN( Inputs!$B$30, MAX(0, D103 + (C104-F104-G104)*Inputs!$B$9) ))</f>
        <v/>
      </c>
      <c r="E104" s="251">
        <f>IF(A104="","",Inputs!$B$31 + D104/Inputs!$B$33)</f>
        <v/>
      </c>
      <c r="F104" s="251">
        <f>IF(A104="","",MIN( D103/Inputs!$B$9, Inputs!$B$35*Inputs!$B$36*SQRT(2*Inputs!$B$37*MAX(E103-J103,0)) ))</f>
        <v/>
      </c>
      <c r="G104" s="251">
        <f>IF(A104="","",MAX(0,(D103 + (C104-F104)*Inputs!$B$9 - Inputs!$B$30)/Inputs!$B$9))</f>
        <v/>
      </c>
      <c r="H104" s="251">
        <f>IF(A104="","",MAX(0,MIN(Inputs!$B$44,H103+(S104-M104-I104)*Inputs!$B$9)))</f>
        <v/>
      </c>
      <c r="I104" s="251">
        <f>IF(A104="","",MAX(0,(H103+(S104-M104)*Inputs!$B$9-Inputs!$B$44)/Inputs!$B$9))</f>
        <v/>
      </c>
      <c r="J104" s="251">
        <f>IF(A104="","",Inputs!$B$40 + H104/Inputs!$B$42)</f>
        <v/>
      </c>
      <c r="K104" s="116">
        <f>IF(A104="","",IF(J103&gt;=Inputs!$B$47,2, IF(J103&gt;=Inputs!$B$45,1, IF(J103&lt;=Inputs!$B$46,0,K103))))</f>
        <v/>
      </c>
      <c r="L104" s="251">
        <f>IF(A104="","",K104*Inputs!$B$49)</f>
        <v/>
      </c>
      <c r="M104" s="251">
        <f>IF(A104="","",MIN(L104,H103/Inputs!$B$9+S104))</f>
        <v/>
      </c>
      <c r="N104" s="116">
        <f>IF(A104="","",IF(AND(K104&gt;0,K103=0),1,0))</f>
        <v/>
      </c>
      <c r="O104" s="116">
        <f>IF(A104="","",O103+N104)</f>
        <v/>
      </c>
      <c r="P104" s="251">
        <f>IF(A104="","",MIN(F104,Inputs!$B$50))</f>
        <v/>
      </c>
      <c r="Q104" s="251">
        <f>IF(A104="","",MAX(0,F104-P104))</f>
        <v/>
      </c>
      <c r="R104" s="251">
        <f>IF(A104="","",P104*Inputs!$B$51)</f>
        <v/>
      </c>
      <c r="S104" s="251">
        <f>IF(A104="","",Q104+R104)</f>
        <v/>
      </c>
    </row>
    <row r="105">
      <c r="A105" s="116">
        <f>IF(ROW()&lt;=Inputs!$B$53+2,A104+Inputs!$B$8,"")</f>
        <v/>
      </c>
      <c r="B105" s="251">
        <f>IF(A105="","",IFERROR(INDEX(IDF_Hyetograph!$J$2:$J$37,MATCH(A105,IDF_Hyetograph!$K$2:$K$37,0)),0))</f>
        <v/>
      </c>
      <c r="C105" s="251">
        <f>IF(A105="","",0.00278*Inputs!$B$4*Inputs!$B$3*B105)</f>
        <v/>
      </c>
      <c r="D105" s="251">
        <f>IF(A105="","",MIN( Inputs!$B$30, MAX(0, D104 + (C105-F105-G105)*Inputs!$B$9) ))</f>
        <v/>
      </c>
      <c r="E105" s="251">
        <f>IF(A105="","",Inputs!$B$31 + D105/Inputs!$B$33)</f>
        <v/>
      </c>
      <c r="F105" s="251">
        <f>IF(A105="","",MIN( D104/Inputs!$B$9, Inputs!$B$35*Inputs!$B$36*SQRT(2*Inputs!$B$37*MAX(E104-J104,0)) ))</f>
        <v/>
      </c>
      <c r="G105" s="251">
        <f>IF(A105="","",MAX(0,(D104 + (C105-F105)*Inputs!$B$9 - Inputs!$B$30)/Inputs!$B$9))</f>
        <v/>
      </c>
      <c r="H105" s="251">
        <f>IF(A105="","",MAX(0,MIN(Inputs!$B$44,H104+(S105-M105-I105)*Inputs!$B$9)))</f>
        <v/>
      </c>
      <c r="I105" s="251">
        <f>IF(A105="","",MAX(0,(H104+(S105-M105)*Inputs!$B$9-Inputs!$B$44)/Inputs!$B$9))</f>
        <v/>
      </c>
      <c r="J105" s="251">
        <f>IF(A105="","",Inputs!$B$40 + H105/Inputs!$B$42)</f>
        <v/>
      </c>
      <c r="K105" s="116">
        <f>IF(A105="","",IF(J104&gt;=Inputs!$B$47,2, IF(J104&gt;=Inputs!$B$45,1, IF(J104&lt;=Inputs!$B$46,0,K104))))</f>
        <v/>
      </c>
      <c r="L105" s="251">
        <f>IF(A105="","",K105*Inputs!$B$49)</f>
        <v/>
      </c>
      <c r="M105" s="251">
        <f>IF(A105="","",MIN(L105,H104/Inputs!$B$9+S105))</f>
        <v/>
      </c>
      <c r="N105" s="116">
        <f>IF(A105="","",IF(AND(K105&gt;0,K104=0),1,0))</f>
        <v/>
      </c>
      <c r="O105" s="116">
        <f>IF(A105="","",O104+N105)</f>
        <v/>
      </c>
      <c r="P105" s="251">
        <f>IF(A105="","",MIN(F105,Inputs!$B$50))</f>
        <v/>
      </c>
      <c r="Q105" s="251">
        <f>IF(A105="","",MAX(0,F105-P105))</f>
        <v/>
      </c>
      <c r="R105" s="251">
        <f>IF(A105="","",P105*Inputs!$B$51)</f>
        <v/>
      </c>
      <c r="S105" s="251">
        <f>IF(A105="","",Q105+R105)</f>
        <v/>
      </c>
    </row>
    <row r="106">
      <c r="A106" s="116">
        <f>IF(ROW()&lt;=Inputs!$B$53+2,A105+Inputs!$B$8,"")</f>
        <v/>
      </c>
      <c r="B106" s="251">
        <f>IF(A106="","",IFERROR(INDEX(IDF_Hyetograph!$J$2:$J$37,MATCH(A106,IDF_Hyetograph!$K$2:$K$37,0)),0))</f>
        <v/>
      </c>
      <c r="C106" s="251">
        <f>IF(A106="","",0.00278*Inputs!$B$4*Inputs!$B$3*B106)</f>
        <v/>
      </c>
      <c r="D106" s="251">
        <f>IF(A106="","",MIN( Inputs!$B$30, MAX(0, D105 + (C106-F106-G106)*Inputs!$B$9) ))</f>
        <v/>
      </c>
      <c r="E106" s="251">
        <f>IF(A106="","",Inputs!$B$31 + D106/Inputs!$B$33)</f>
        <v/>
      </c>
      <c r="F106" s="251">
        <f>IF(A106="","",MIN( D105/Inputs!$B$9, Inputs!$B$35*Inputs!$B$36*SQRT(2*Inputs!$B$37*MAX(E105-J105,0)) ))</f>
        <v/>
      </c>
      <c r="G106" s="251">
        <f>IF(A106="","",MAX(0,(D105 + (C106-F106)*Inputs!$B$9 - Inputs!$B$30)/Inputs!$B$9))</f>
        <v/>
      </c>
      <c r="H106" s="251">
        <f>IF(A106="","",MAX(0,MIN(Inputs!$B$44,H105+(S106-M106-I106)*Inputs!$B$9)))</f>
        <v/>
      </c>
      <c r="I106" s="251">
        <f>IF(A106="","",MAX(0,(H105+(S106-M106)*Inputs!$B$9-Inputs!$B$44)/Inputs!$B$9))</f>
        <v/>
      </c>
      <c r="J106" s="251">
        <f>IF(A106="","",Inputs!$B$40 + H106/Inputs!$B$42)</f>
        <v/>
      </c>
      <c r="K106" s="116">
        <f>IF(A106="","",IF(J105&gt;=Inputs!$B$47,2, IF(J105&gt;=Inputs!$B$45,1, IF(J105&lt;=Inputs!$B$46,0,K105))))</f>
        <v/>
      </c>
      <c r="L106" s="251">
        <f>IF(A106="","",K106*Inputs!$B$49)</f>
        <v/>
      </c>
      <c r="M106" s="251">
        <f>IF(A106="","",MIN(L106,H105/Inputs!$B$9+S106))</f>
        <v/>
      </c>
      <c r="N106" s="116">
        <f>IF(A106="","",IF(AND(K106&gt;0,K105=0),1,0))</f>
        <v/>
      </c>
      <c r="O106" s="116">
        <f>IF(A106="","",O105+N106)</f>
        <v/>
      </c>
      <c r="P106" s="251">
        <f>IF(A106="","",MIN(F106,Inputs!$B$50))</f>
        <v/>
      </c>
      <c r="Q106" s="251">
        <f>IF(A106="","",MAX(0,F106-P106))</f>
        <v/>
      </c>
      <c r="R106" s="251">
        <f>IF(A106="","",P106*Inputs!$B$51)</f>
        <v/>
      </c>
      <c r="S106" s="251">
        <f>IF(A106="","",Q106+R106)</f>
        <v/>
      </c>
    </row>
    <row r="107">
      <c r="A107" s="116">
        <f>IF(ROW()&lt;=Inputs!$B$53+2,A106+Inputs!$B$8,"")</f>
        <v/>
      </c>
      <c r="B107" s="251">
        <f>IF(A107="","",IFERROR(INDEX(IDF_Hyetograph!$J$2:$J$37,MATCH(A107,IDF_Hyetograph!$K$2:$K$37,0)),0))</f>
        <v/>
      </c>
      <c r="C107" s="251">
        <f>IF(A107="","",0.00278*Inputs!$B$4*Inputs!$B$3*B107)</f>
        <v/>
      </c>
      <c r="D107" s="251">
        <f>IF(A107="","",MIN( Inputs!$B$30, MAX(0, D106 + (C107-F107-G107)*Inputs!$B$9) ))</f>
        <v/>
      </c>
      <c r="E107" s="251">
        <f>IF(A107="","",Inputs!$B$31 + D107/Inputs!$B$33)</f>
        <v/>
      </c>
      <c r="F107" s="251">
        <f>IF(A107="","",MIN( D106/Inputs!$B$9, Inputs!$B$35*Inputs!$B$36*SQRT(2*Inputs!$B$37*MAX(E106-J106,0)) ))</f>
        <v/>
      </c>
      <c r="G107" s="251">
        <f>IF(A107="","",MAX(0,(D106 + (C107-F107)*Inputs!$B$9 - Inputs!$B$30)/Inputs!$B$9))</f>
        <v/>
      </c>
      <c r="H107" s="251">
        <f>IF(A107="","",MAX(0,MIN(Inputs!$B$44,H106+(S107-M107-I107)*Inputs!$B$9)))</f>
        <v/>
      </c>
      <c r="I107" s="251">
        <f>IF(A107="","",MAX(0,(H106+(S107-M107)*Inputs!$B$9-Inputs!$B$44)/Inputs!$B$9))</f>
        <v/>
      </c>
      <c r="J107" s="251">
        <f>IF(A107="","",Inputs!$B$40 + H107/Inputs!$B$42)</f>
        <v/>
      </c>
      <c r="K107" s="116">
        <f>IF(A107="","",IF(J106&gt;=Inputs!$B$47,2, IF(J106&gt;=Inputs!$B$45,1, IF(J106&lt;=Inputs!$B$46,0,K106))))</f>
        <v/>
      </c>
      <c r="L107" s="251">
        <f>IF(A107="","",K107*Inputs!$B$49)</f>
        <v/>
      </c>
      <c r="M107" s="251">
        <f>IF(A107="","",MIN(L107,H106/Inputs!$B$9+S107))</f>
        <v/>
      </c>
      <c r="N107" s="116">
        <f>IF(A107="","",IF(AND(K107&gt;0,K106=0),1,0))</f>
        <v/>
      </c>
      <c r="O107" s="116">
        <f>IF(A107="","",O106+N107)</f>
        <v/>
      </c>
      <c r="P107" s="251">
        <f>IF(A107="","",MIN(F107,Inputs!$B$50))</f>
        <v/>
      </c>
      <c r="Q107" s="251">
        <f>IF(A107="","",MAX(0,F107-P107))</f>
        <v/>
      </c>
      <c r="R107" s="251">
        <f>IF(A107="","",P107*Inputs!$B$51)</f>
        <v/>
      </c>
      <c r="S107" s="251">
        <f>IF(A107="","",Q107+R107)</f>
        <v/>
      </c>
    </row>
    <row r="108">
      <c r="A108" s="116">
        <f>IF(ROW()&lt;=Inputs!$B$53+2,A107+Inputs!$B$8,"")</f>
        <v/>
      </c>
      <c r="B108" s="251">
        <f>IF(A108="","",IFERROR(INDEX(IDF_Hyetograph!$J$2:$J$37,MATCH(A108,IDF_Hyetograph!$K$2:$K$37,0)),0))</f>
        <v/>
      </c>
      <c r="C108" s="251">
        <f>IF(A108="","",0.00278*Inputs!$B$4*Inputs!$B$3*B108)</f>
        <v/>
      </c>
      <c r="D108" s="251">
        <f>IF(A108="","",MIN( Inputs!$B$30, MAX(0, D107 + (C108-F108-G108)*Inputs!$B$9) ))</f>
        <v/>
      </c>
      <c r="E108" s="251">
        <f>IF(A108="","",Inputs!$B$31 + D108/Inputs!$B$33)</f>
        <v/>
      </c>
      <c r="F108" s="251">
        <f>IF(A108="","",MIN( D107/Inputs!$B$9, Inputs!$B$35*Inputs!$B$36*SQRT(2*Inputs!$B$37*MAX(E107-J107,0)) ))</f>
        <v/>
      </c>
      <c r="G108" s="251">
        <f>IF(A108="","",MAX(0,(D107 + (C108-F108)*Inputs!$B$9 - Inputs!$B$30)/Inputs!$B$9))</f>
        <v/>
      </c>
      <c r="H108" s="251">
        <f>IF(A108="","",MAX(0,MIN(Inputs!$B$44,H107+(S108-M108-I108)*Inputs!$B$9)))</f>
        <v/>
      </c>
      <c r="I108" s="251">
        <f>IF(A108="","",MAX(0,(H107+(S108-M108)*Inputs!$B$9-Inputs!$B$44)/Inputs!$B$9))</f>
        <v/>
      </c>
      <c r="J108" s="251">
        <f>IF(A108="","",Inputs!$B$40 + H108/Inputs!$B$42)</f>
        <v/>
      </c>
      <c r="K108" s="116">
        <f>IF(A108="","",IF(J107&gt;=Inputs!$B$47,2, IF(J107&gt;=Inputs!$B$45,1, IF(J107&lt;=Inputs!$B$46,0,K107))))</f>
        <v/>
      </c>
      <c r="L108" s="251">
        <f>IF(A108="","",K108*Inputs!$B$49)</f>
        <v/>
      </c>
      <c r="M108" s="251">
        <f>IF(A108="","",MIN(L108,H107/Inputs!$B$9+S108))</f>
        <v/>
      </c>
      <c r="N108" s="116">
        <f>IF(A108="","",IF(AND(K108&gt;0,K107=0),1,0))</f>
        <v/>
      </c>
      <c r="O108" s="116">
        <f>IF(A108="","",O107+N108)</f>
        <v/>
      </c>
      <c r="P108" s="251">
        <f>IF(A108="","",MIN(F108,Inputs!$B$50))</f>
        <v/>
      </c>
      <c r="Q108" s="251">
        <f>IF(A108="","",MAX(0,F108-P108))</f>
        <v/>
      </c>
      <c r="R108" s="251">
        <f>IF(A108="","",P108*Inputs!$B$51)</f>
        <v/>
      </c>
      <c r="S108" s="251">
        <f>IF(A108="","",Q108+R108)</f>
        <v/>
      </c>
    </row>
    <row r="109">
      <c r="A109" s="116">
        <f>IF(ROW()&lt;=Inputs!$B$53+2,A108+Inputs!$B$8,"")</f>
        <v/>
      </c>
      <c r="B109" s="251">
        <f>IF(A109="","",IFERROR(INDEX(IDF_Hyetograph!$J$2:$J$37,MATCH(A109,IDF_Hyetograph!$K$2:$K$37,0)),0))</f>
        <v/>
      </c>
      <c r="C109" s="251">
        <f>IF(A109="","",0.00278*Inputs!$B$4*Inputs!$B$3*B109)</f>
        <v/>
      </c>
      <c r="D109" s="251">
        <f>IF(A109="","",MIN( Inputs!$B$30, MAX(0, D108 + (C109-F109-G109)*Inputs!$B$9) ))</f>
        <v/>
      </c>
      <c r="E109" s="251">
        <f>IF(A109="","",Inputs!$B$31 + D109/Inputs!$B$33)</f>
        <v/>
      </c>
      <c r="F109" s="251">
        <f>IF(A109="","",MIN( D108/Inputs!$B$9, Inputs!$B$35*Inputs!$B$36*SQRT(2*Inputs!$B$37*MAX(E108-J108,0)) ))</f>
        <v/>
      </c>
      <c r="G109" s="251">
        <f>IF(A109="","",MAX(0,(D108 + (C109-F109)*Inputs!$B$9 - Inputs!$B$30)/Inputs!$B$9))</f>
        <v/>
      </c>
      <c r="H109" s="251">
        <f>IF(A109="","",MAX(0,MIN(Inputs!$B$44,H108+(S109-M109-I109)*Inputs!$B$9)))</f>
        <v/>
      </c>
      <c r="I109" s="251">
        <f>IF(A109="","",MAX(0,(H108+(S109-M109)*Inputs!$B$9-Inputs!$B$44)/Inputs!$B$9))</f>
        <v/>
      </c>
      <c r="J109" s="251">
        <f>IF(A109="","",Inputs!$B$40 + H109/Inputs!$B$42)</f>
        <v/>
      </c>
      <c r="K109" s="116">
        <f>IF(A109="","",IF(J108&gt;=Inputs!$B$47,2, IF(J108&gt;=Inputs!$B$45,1, IF(J108&lt;=Inputs!$B$46,0,K108))))</f>
        <v/>
      </c>
      <c r="L109" s="251">
        <f>IF(A109="","",K109*Inputs!$B$49)</f>
        <v/>
      </c>
      <c r="M109" s="251">
        <f>IF(A109="","",MIN(L109,H108/Inputs!$B$9+S109))</f>
        <v/>
      </c>
      <c r="N109" s="116">
        <f>IF(A109="","",IF(AND(K109&gt;0,K108=0),1,0))</f>
        <v/>
      </c>
      <c r="O109" s="116">
        <f>IF(A109="","",O108+N109)</f>
        <v/>
      </c>
      <c r="P109" s="251">
        <f>IF(A109="","",MIN(F109,Inputs!$B$50))</f>
        <v/>
      </c>
      <c r="Q109" s="251">
        <f>IF(A109="","",MAX(0,F109-P109))</f>
        <v/>
      </c>
      <c r="R109" s="251">
        <f>IF(A109="","",P109*Inputs!$B$51)</f>
        <v/>
      </c>
      <c r="S109" s="251">
        <f>IF(A109="","",Q109+R109)</f>
        <v/>
      </c>
    </row>
    <row r="110">
      <c r="A110" s="116">
        <f>IF(ROW()&lt;=Inputs!$B$53+2,A109+Inputs!$B$8,"")</f>
        <v/>
      </c>
      <c r="B110" s="251">
        <f>IF(A110="","",IFERROR(INDEX(IDF_Hyetograph!$J$2:$J$37,MATCH(A110,IDF_Hyetograph!$K$2:$K$37,0)),0))</f>
        <v/>
      </c>
      <c r="C110" s="251">
        <f>IF(A110="","",0.00278*Inputs!$B$4*Inputs!$B$3*B110)</f>
        <v/>
      </c>
      <c r="D110" s="251">
        <f>IF(A110="","",MIN( Inputs!$B$30, MAX(0, D109 + (C110-F110-G110)*Inputs!$B$9) ))</f>
        <v/>
      </c>
      <c r="E110" s="251">
        <f>IF(A110="","",Inputs!$B$31 + D110/Inputs!$B$33)</f>
        <v/>
      </c>
      <c r="F110" s="251">
        <f>IF(A110="","",MIN( D109/Inputs!$B$9, Inputs!$B$35*Inputs!$B$36*SQRT(2*Inputs!$B$37*MAX(E109-J109,0)) ))</f>
        <v/>
      </c>
      <c r="G110" s="251">
        <f>IF(A110="","",MAX(0,(D109 + (C110-F110)*Inputs!$B$9 - Inputs!$B$30)/Inputs!$B$9))</f>
        <v/>
      </c>
      <c r="H110" s="251">
        <f>IF(A110="","",MAX(0,MIN(Inputs!$B$44,H109+(S110-M110-I110)*Inputs!$B$9)))</f>
        <v/>
      </c>
      <c r="I110" s="251">
        <f>IF(A110="","",MAX(0,(H109+(S110-M110)*Inputs!$B$9-Inputs!$B$44)/Inputs!$B$9))</f>
        <v/>
      </c>
      <c r="J110" s="251">
        <f>IF(A110="","",Inputs!$B$40 + H110/Inputs!$B$42)</f>
        <v/>
      </c>
      <c r="K110" s="116">
        <f>IF(A110="","",IF(J109&gt;=Inputs!$B$47,2, IF(J109&gt;=Inputs!$B$45,1, IF(J109&lt;=Inputs!$B$46,0,K109))))</f>
        <v/>
      </c>
      <c r="L110" s="251">
        <f>IF(A110="","",K110*Inputs!$B$49)</f>
        <v/>
      </c>
      <c r="M110" s="251">
        <f>IF(A110="","",MIN(L110,H109/Inputs!$B$9+S110))</f>
        <v/>
      </c>
      <c r="N110" s="116">
        <f>IF(A110="","",IF(AND(K110&gt;0,K109=0),1,0))</f>
        <v/>
      </c>
      <c r="O110" s="116">
        <f>IF(A110="","",O109+N110)</f>
        <v/>
      </c>
      <c r="P110" s="251">
        <f>IF(A110="","",MIN(F110,Inputs!$B$50))</f>
        <v/>
      </c>
      <c r="Q110" s="251">
        <f>IF(A110="","",MAX(0,F110-P110))</f>
        <v/>
      </c>
      <c r="R110" s="251">
        <f>IF(A110="","",P110*Inputs!$B$51)</f>
        <v/>
      </c>
      <c r="S110" s="251">
        <f>IF(A110="","",Q110+R110)</f>
        <v/>
      </c>
    </row>
    <row r="111">
      <c r="A111" s="116">
        <f>IF(ROW()&lt;=Inputs!$B$53+2,A110+Inputs!$B$8,"")</f>
        <v/>
      </c>
      <c r="B111" s="251">
        <f>IF(A111="","",IFERROR(INDEX(IDF_Hyetograph!$J$2:$J$37,MATCH(A111,IDF_Hyetograph!$K$2:$K$37,0)),0))</f>
        <v/>
      </c>
      <c r="C111" s="251">
        <f>IF(A111="","",0.00278*Inputs!$B$4*Inputs!$B$3*B111)</f>
        <v/>
      </c>
      <c r="D111" s="251">
        <f>IF(A111="","",MIN( Inputs!$B$30, MAX(0, D110 + (C111-F111-G111)*Inputs!$B$9) ))</f>
        <v/>
      </c>
      <c r="E111" s="251">
        <f>IF(A111="","",Inputs!$B$31 + D111/Inputs!$B$33)</f>
        <v/>
      </c>
      <c r="F111" s="251">
        <f>IF(A111="","",MIN( D110/Inputs!$B$9, Inputs!$B$35*Inputs!$B$36*SQRT(2*Inputs!$B$37*MAX(E110-J110,0)) ))</f>
        <v/>
      </c>
      <c r="G111" s="251">
        <f>IF(A111="","",MAX(0,(D110 + (C111-F111)*Inputs!$B$9 - Inputs!$B$30)/Inputs!$B$9))</f>
        <v/>
      </c>
      <c r="H111" s="251">
        <f>IF(A111="","",MAX(0,MIN(Inputs!$B$44,H110+(S111-M111-I111)*Inputs!$B$9)))</f>
        <v/>
      </c>
      <c r="I111" s="251">
        <f>IF(A111="","",MAX(0,(H110+(S111-M111)*Inputs!$B$9-Inputs!$B$44)/Inputs!$B$9))</f>
        <v/>
      </c>
      <c r="J111" s="251">
        <f>IF(A111="","",Inputs!$B$40 + H111/Inputs!$B$42)</f>
        <v/>
      </c>
      <c r="K111" s="116">
        <f>IF(A111="","",IF(J110&gt;=Inputs!$B$47,2, IF(J110&gt;=Inputs!$B$45,1, IF(J110&lt;=Inputs!$B$46,0,K110))))</f>
        <v/>
      </c>
      <c r="L111" s="251">
        <f>IF(A111="","",K111*Inputs!$B$49)</f>
        <v/>
      </c>
      <c r="M111" s="251">
        <f>IF(A111="","",MIN(L111,H110/Inputs!$B$9+S111))</f>
        <v/>
      </c>
      <c r="N111" s="116">
        <f>IF(A111="","",IF(AND(K111&gt;0,K110=0),1,0))</f>
        <v/>
      </c>
      <c r="O111" s="116">
        <f>IF(A111="","",O110+N111)</f>
        <v/>
      </c>
      <c r="P111" s="251">
        <f>IF(A111="","",MIN(F111,Inputs!$B$50))</f>
        <v/>
      </c>
      <c r="Q111" s="251">
        <f>IF(A111="","",MAX(0,F111-P111))</f>
        <v/>
      </c>
      <c r="R111" s="251">
        <f>IF(A111="","",P111*Inputs!$B$51)</f>
        <v/>
      </c>
      <c r="S111" s="251">
        <f>IF(A111="","",Q111+R111)</f>
        <v/>
      </c>
    </row>
    <row r="112">
      <c r="A112" s="116">
        <f>IF(ROW()&lt;=Inputs!$B$53+2,A111+Inputs!$B$8,"")</f>
        <v/>
      </c>
      <c r="B112" s="251">
        <f>IF(A112="","",IFERROR(INDEX(IDF_Hyetograph!$J$2:$J$37,MATCH(A112,IDF_Hyetograph!$K$2:$K$37,0)),0))</f>
        <v/>
      </c>
      <c r="C112" s="251">
        <f>IF(A112="","",0.00278*Inputs!$B$4*Inputs!$B$3*B112)</f>
        <v/>
      </c>
      <c r="D112" s="251">
        <f>IF(A112="","",MIN( Inputs!$B$30, MAX(0, D111 + (C112-F112-G112)*Inputs!$B$9) ))</f>
        <v/>
      </c>
      <c r="E112" s="251">
        <f>IF(A112="","",Inputs!$B$31 + D112/Inputs!$B$33)</f>
        <v/>
      </c>
      <c r="F112" s="251">
        <f>IF(A112="","",MIN( D111/Inputs!$B$9, Inputs!$B$35*Inputs!$B$36*SQRT(2*Inputs!$B$37*MAX(E111-J111,0)) ))</f>
        <v/>
      </c>
      <c r="G112" s="251">
        <f>IF(A112="","",MAX(0,(D111 + (C112-F112)*Inputs!$B$9 - Inputs!$B$30)/Inputs!$B$9))</f>
        <v/>
      </c>
      <c r="H112" s="251">
        <f>IF(A112="","",MAX(0,MIN(Inputs!$B$44,H111+(S112-M112-I112)*Inputs!$B$9)))</f>
        <v/>
      </c>
      <c r="I112" s="251">
        <f>IF(A112="","",MAX(0,(H111+(S112-M112)*Inputs!$B$9-Inputs!$B$44)/Inputs!$B$9))</f>
        <v/>
      </c>
      <c r="J112" s="251">
        <f>IF(A112="","",Inputs!$B$40 + H112/Inputs!$B$42)</f>
        <v/>
      </c>
      <c r="K112" s="116">
        <f>IF(A112="","",IF(J111&gt;=Inputs!$B$47,2, IF(J111&gt;=Inputs!$B$45,1, IF(J111&lt;=Inputs!$B$46,0,K111))))</f>
        <v/>
      </c>
      <c r="L112" s="251">
        <f>IF(A112="","",K112*Inputs!$B$49)</f>
        <v/>
      </c>
      <c r="M112" s="251">
        <f>IF(A112="","",MIN(L112,H111/Inputs!$B$9+S112))</f>
        <v/>
      </c>
      <c r="N112" s="116">
        <f>IF(A112="","",IF(AND(K112&gt;0,K111=0),1,0))</f>
        <v/>
      </c>
      <c r="O112" s="116">
        <f>IF(A112="","",O111+N112)</f>
        <v/>
      </c>
      <c r="P112" s="251">
        <f>IF(A112="","",MIN(F112,Inputs!$B$50))</f>
        <v/>
      </c>
      <c r="Q112" s="251">
        <f>IF(A112="","",MAX(0,F112-P112))</f>
        <v/>
      </c>
      <c r="R112" s="251">
        <f>IF(A112="","",P112*Inputs!$B$51)</f>
        <v/>
      </c>
      <c r="S112" s="251">
        <f>IF(A112="","",Q112+R112)</f>
        <v/>
      </c>
    </row>
    <row r="113">
      <c r="A113" s="116">
        <f>IF(ROW()&lt;=Inputs!$B$53+2,A112+Inputs!$B$8,"")</f>
        <v/>
      </c>
      <c r="B113" s="251">
        <f>IF(A113="","",IFERROR(INDEX(IDF_Hyetograph!$J$2:$J$37,MATCH(A113,IDF_Hyetograph!$K$2:$K$37,0)),0))</f>
        <v/>
      </c>
      <c r="C113" s="251">
        <f>IF(A113="","",0.00278*Inputs!$B$4*Inputs!$B$3*B113)</f>
        <v/>
      </c>
      <c r="D113" s="251">
        <f>IF(A113="","",MIN( Inputs!$B$30, MAX(0, D112 + (C113-F113-G113)*Inputs!$B$9) ))</f>
        <v/>
      </c>
      <c r="E113" s="251">
        <f>IF(A113="","",Inputs!$B$31 + D113/Inputs!$B$33)</f>
        <v/>
      </c>
      <c r="F113" s="251">
        <f>IF(A113="","",MIN( D112/Inputs!$B$9, Inputs!$B$35*Inputs!$B$36*SQRT(2*Inputs!$B$37*MAX(E112-J112,0)) ))</f>
        <v/>
      </c>
      <c r="G113" s="251">
        <f>IF(A113="","",MAX(0,(D112 + (C113-F113)*Inputs!$B$9 - Inputs!$B$30)/Inputs!$B$9))</f>
        <v/>
      </c>
      <c r="H113" s="251">
        <f>IF(A113="","",MAX(0,MIN(Inputs!$B$44,H112+(S113-M113-I113)*Inputs!$B$9)))</f>
        <v/>
      </c>
      <c r="I113" s="251">
        <f>IF(A113="","",MAX(0,(H112+(S113-M113)*Inputs!$B$9-Inputs!$B$44)/Inputs!$B$9))</f>
        <v/>
      </c>
      <c r="J113" s="251">
        <f>IF(A113="","",Inputs!$B$40 + H113/Inputs!$B$42)</f>
        <v/>
      </c>
      <c r="K113" s="116">
        <f>IF(A113="","",IF(J112&gt;=Inputs!$B$47,2, IF(J112&gt;=Inputs!$B$45,1, IF(J112&lt;=Inputs!$B$46,0,K112))))</f>
        <v/>
      </c>
      <c r="L113" s="251">
        <f>IF(A113="","",K113*Inputs!$B$49)</f>
        <v/>
      </c>
      <c r="M113" s="251">
        <f>IF(A113="","",MIN(L113,H112/Inputs!$B$9+S113))</f>
        <v/>
      </c>
      <c r="N113" s="116">
        <f>IF(A113="","",IF(AND(K113&gt;0,K112=0),1,0))</f>
        <v/>
      </c>
      <c r="O113" s="116">
        <f>IF(A113="","",O112+N113)</f>
        <v/>
      </c>
      <c r="P113" s="251">
        <f>IF(A113="","",MIN(F113,Inputs!$B$50))</f>
        <v/>
      </c>
      <c r="Q113" s="251">
        <f>IF(A113="","",MAX(0,F113-P113))</f>
        <v/>
      </c>
      <c r="R113" s="251">
        <f>IF(A113="","",P113*Inputs!$B$51)</f>
        <v/>
      </c>
      <c r="S113" s="251">
        <f>IF(A113="","",Q113+R113)</f>
        <v/>
      </c>
    </row>
    <row r="114">
      <c r="A114" s="116">
        <f>IF(ROW()&lt;=Inputs!$B$53+2,A113+Inputs!$B$8,"")</f>
        <v/>
      </c>
      <c r="B114" s="251">
        <f>IF(A114="","",IFERROR(INDEX(IDF_Hyetograph!$J$2:$J$37,MATCH(A114,IDF_Hyetograph!$K$2:$K$37,0)),0))</f>
        <v/>
      </c>
      <c r="C114" s="251">
        <f>IF(A114="","",0.00278*Inputs!$B$4*Inputs!$B$3*B114)</f>
        <v/>
      </c>
      <c r="D114" s="251">
        <f>IF(A114="","",MIN( Inputs!$B$30, MAX(0, D113 + (C114-F114-G114)*Inputs!$B$9) ))</f>
        <v/>
      </c>
      <c r="E114" s="251">
        <f>IF(A114="","",Inputs!$B$31 + D114/Inputs!$B$33)</f>
        <v/>
      </c>
      <c r="F114" s="251">
        <f>IF(A114="","",MIN( D113/Inputs!$B$9, Inputs!$B$35*Inputs!$B$36*SQRT(2*Inputs!$B$37*MAX(E113-J113,0)) ))</f>
        <v/>
      </c>
      <c r="G114" s="251">
        <f>IF(A114="","",MAX(0,(D113 + (C114-F114)*Inputs!$B$9 - Inputs!$B$30)/Inputs!$B$9))</f>
        <v/>
      </c>
      <c r="H114" s="251">
        <f>IF(A114="","",MAX(0,MIN(Inputs!$B$44,H113+(S114-M114-I114)*Inputs!$B$9)))</f>
        <v/>
      </c>
      <c r="I114" s="251">
        <f>IF(A114="","",MAX(0,(H113+(S114-M114)*Inputs!$B$9-Inputs!$B$44)/Inputs!$B$9))</f>
        <v/>
      </c>
      <c r="J114" s="251">
        <f>IF(A114="","",Inputs!$B$40 + H114/Inputs!$B$42)</f>
        <v/>
      </c>
      <c r="K114" s="116">
        <f>IF(A114="","",IF(J113&gt;=Inputs!$B$47,2, IF(J113&gt;=Inputs!$B$45,1, IF(J113&lt;=Inputs!$B$46,0,K113))))</f>
        <v/>
      </c>
      <c r="L114" s="251">
        <f>IF(A114="","",K114*Inputs!$B$49)</f>
        <v/>
      </c>
      <c r="M114" s="251">
        <f>IF(A114="","",MIN(L114,H113/Inputs!$B$9+S114))</f>
        <v/>
      </c>
      <c r="N114" s="116">
        <f>IF(A114="","",IF(AND(K114&gt;0,K113=0),1,0))</f>
        <v/>
      </c>
      <c r="O114" s="116">
        <f>IF(A114="","",O113+N114)</f>
        <v/>
      </c>
      <c r="P114" s="251">
        <f>IF(A114="","",MIN(F114,Inputs!$B$50))</f>
        <v/>
      </c>
      <c r="Q114" s="251">
        <f>IF(A114="","",MAX(0,F114-P114))</f>
        <v/>
      </c>
      <c r="R114" s="251">
        <f>IF(A114="","",P114*Inputs!$B$51)</f>
        <v/>
      </c>
      <c r="S114" s="251">
        <f>IF(A114="","",Q114+R114)</f>
        <v/>
      </c>
    </row>
    <row r="115">
      <c r="A115" s="116">
        <f>IF(ROW()&lt;=Inputs!$B$53+2,A114+Inputs!$B$8,"")</f>
        <v/>
      </c>
      <c r="B115" s="251">
        <f>IF(A115="","",IFERROR(INDEX(IDF_Hyetograph!$J$2:$J$37,MATCH(A115,IDF_Hyetograph!$K$2:$K$37,0)),0))</f>
        <v/>
      </c>
      <c r="C115" s="251">
        <f>IF(A115="","",0.00278*Inputs!$B$4*Inputs!$B$3*B115)</f>
        <v/>
      </c>
      <c r="D115" s="251">
        <f>IF(A115="","",MIN( Inputs!$B$30, MAX(0, D114 + (C115-F115-G115)*Inputs!$B$9) ))</f>
        <v/>
      </c>
      <c r="E115" s="251">
        <f>IF(A115="","",Inputs!$B$31 + D115/Inputs!$B$33)</f>
        <v/>
      </c>
      <c r="F115" s="251">
        <f>IF(A115="","",MIN( D114/Inputs!$B$9, Inputs!$B$35*Inputs!$B$36*SQRT(2*Inputs!$B$37*MAX(E114-J114,0)) ))</f>
        <v/>
      </c>
      <c r="G115" s="251">
        <f>IF(A115="","",MAX(0,(D114 + (C115-F115)*Inputs!$B$9 - Inputs!$B$30)/Inputs!$B$9))</f>
        <v/>
      </c>
      <c r="H115" s="251">
        <f>IF(A115="","",MAX(0,MIN(Inputs!$B$44,H114+(S115-M115-I115)*Inputs!$B$9)))</f>
        <v/>
      </c>
      <c r="I115" s="251">
        <f>IF(A115="","",MAX(0,(H114+(S115-M115)*Inputs!$B$9-Inputs!$B$44)/Inputs!$B$9))</f>
        <v/>
      </c>
      <c r="J115" s="251">
        <f>IF(A115="","",Inputs!$B$40 + H115/Inputs!$B$42)</f>
        <v/>
      </c>
      <c r="K115" s="116">
        <f>IF(A115="","",IF(J114&gt;=Inputs!$B$47,2, IF(J114&gt;=Inputs!$B$45,1, IF(J114&lt;=Inputs!$B$46,0,K114))))</f>
        <v/>
      </c>
      <c r="L115" s="251">
        <f>IF(A115="","",K115*Inputs!$B$49)</f>
        <v/>
      </c>
      <c r="M115" s="251">
        <f>IF(A115="","",MIN(L115,H114/Inputs!$B$9+S115))</f>
        <v/>
      </c>
      <c r="N115" s="116">
        <f>IF(A115="","",IF(AND(K115&gt;0,K114=0),1,0))</f>
        <v/>
      </c>
      <c r="O115" s="116">
        <f>IF(A115="","",O114+N115)</f>
        <v/>
      </c>
      <c r="P115" s="251">
        <f>IF(A115="","",MIN(F115,Inputs!$B$50))</f>
        <v/>
      </c>
      <c r="Q115" s="251">
        <f>IF(A115="","",MAX(0,F115-P115))</f>
        <v/>
      </c>
      <c r="R115" s="251">
        <f>IF(A115="","",P115*Inputs!$B$51)</f>
        <v/>
      </c>
      <c r="S115" s="251">
        <f>IF(A115="","",Q115+R115)</f>
        <v/>
      </c>
    </row>
    <row r="116">
      <c r="A116" s="116">
        <f>IF(ROW()&lt;=Inputs!$B$53+2,A115+Inputs!$B$8,"")</f>
        <v/>
      </c>
      <c r="B116" s="251">
        <f>IF(A116="","",IFERROR(INDEX(IDF_Hyetograph!$J$2:$J$37,MATCH(A116,IDF_Hyetograph!$K$2:$K$37,0)),0))</f>
        <v/>
      </c>
      <c r="C116" s="251">
        <f>IF(A116="","",0.00278*Inputs!$B$4*Inputs!$B$3*B116)</f>
        <v/>
      </c>
      <c r="D116" s="251">
        <f>IF(A116="","",MIN( Inputs!$B$30, MAX(0, D115 + (C116-F116-G116)*Inputs!$B$9) ))</f>
        <v/>
      </c>
      <c r="E116" s="251">
        <f>IF(A116="","",Inputs!$B$31 + D116/Inputs!$B$33)</f>
        <v/>
      </c>
      <c r="F116" s="251">
        <f>IF(A116="","",MIN( D115/Inputs!$B$9, Inputs!$B$35*Inputs!$B$36*SQRT(2*Inputs!$B$37*MAX(E115-J115,0)) ))</f>
        <v/>
      </c>
      <c r="G116" s="251">
        <f>IF(A116="","",MAX(0,(D115 + (C116-F116)*Inputs!$B$9 - Inputs!$B$30)/Inputs!$B$9))</f>
        <v/>
      </c>
      <c r="H116" s="251">
        <f>IF(A116="","",MAX(0,MIN(Inputs!$B$44,H115+(S116-M116-I116)*Inputs!$B$9)))</f>
        <v/>
      </c>
      <c r="I116" s="251">
        <f>IF(A116="","",MAX(0,(H115+(S116-M116)*Inputs!$B$9-Inputs!$B$44)/Inputs!$B$9))</f>
        <v/>
      </c>
      <c r="J116" s="251">
        <f>IF(A116="","",Inputs!$B$40 + H116/Inputs!$B$42)</f>
        <v/>
      </c>
      <c r="K116" s="116">
        <f>IF(A116="","",IF(J115&gt;=Inputs!$B$47,2, IF(J115&gt;=Inputs!$B$45,1, IF(J115&lt;=Inputs!$B$46,0,K115))))</f>
        <v/>
      </c>
      <c r="L116" s="251">
        <f>IF(A116="","",K116*Inputs!$B$49)</f>
        <v/>
      </c>
      <c r="M116" s="251">
        <f>IF(A116="","",MIN(L116,H115/Inputs!$B$9+S116))</f>
        <v/>
      </c>
      <c r="N116" s="116">
        <f>IF(A116="","",IF(AND(K116&gt;0,K115=0),1,0))</f>
        <v/>
      </c>
      <c r="O116" s="116">
        <f>IF(A116="","",O115+N116)</f>
        <v/>
      </c>
      <c r="P116" s="251">
        <f>IF(A116="","",MIN(F116,Inputs!$B$50))</f>
        <v/>
      </c>
      <c r="Q116" s="251">
        <f>IF(A116="","",MAX(0,F116-P116))</f>
        <v/>
      </c>
      <c r="R116" s="251">
        <f>IF(A116="","",P116*Inputs!$B$51)</f>
        <v/>
      </c>
      <c r="S116" s="251">
        <f>IF(A116="","",Q116+R116)</f>
        <v/>
      </c>
    </row>
    <row r="117">
      <c r="A117" s="116">
        <f>IF(ROW()&lt;=Inputs!$B$53+2,A116+Inputs!$B$8,"")</f>
        <v/>
      </c>
      <c r="B117" s="251">
        <f>IF(A117="","",IFERROR(INDEX(IDF_Hyetograph!$J$2:$J$37,MATCH(A117,IDF_Hyetograph!$K$2:$K$37,0)),0))</f>
        <v/>
      </c>
      <c r="C117" s="251">
        <f>IF(A117="","",0.00278*Inputs!$B$4*Inputs!$B$3*B117)</f>
        <v/>
      </c>
      <c r="D117" s="251">
        <f>IF(A117="","",MIN( Inputs!$B$30, MAX(0, D116 + (C117-F117-G117)*Inputs!$B$9) ))</f>
        <v/>
      </c>
      <c r="E117" s="251">
        <f>IF(A117="","",Inputs!$B$31 + D117/Inputs!$B$33)</f>
        <v/>
      </c>
      <c r="F117" s="251">
        <f>IF(A117="","",MIN( D116/Inputs!$B$9, Inputs!$B$35*Inputs!$B$36*SQRT(2*Inputs!$B$37*MAX(E116-J116,0)) ))</f>
        <v/>
      </c>
      <c r="G117" s="251">
        <f>IF(A117="","",MAX(0,(D116 + (C117-F117)*Inputs!$B$9 - Inputs!$B$30)/Inputs!$B$9))</f>
        <v/>
      </c>
      <c r="H117" s="251">
        <f>IF(A117="","",MAX(0,MIN(Inputs!$B$44,H116+(S117-M117-I117)*Inputs!$B$9)))</f>
        <v/>
      </c>
      <c r="I117" s="251">
        <f>IF(A117="","",MAX(0,(H116+(S117-M117)*Inputs!$B$9-Inputs!$B$44)/Inputs!$B$9))</f>
        <v/>
      </c>
      <c r="J117" s="251">
        <f>IF(A117="","",Inputs!$B$40 + H117/Inputs!$B$42)</f>
        <v/>
      </c>
      <c r="K117" s="116">
        <f>IF(A117="","",IF(J116&gt;=Inputs!$B$47,2, IF(J116&gt;=Inputs!$B$45,1, IF(J116&lt;=Inputs!$B$46,0,K116))))</f>
        <v/>
      </c>
      <c r="L117" s="251">
        <f>IF(A117="","",K117*Inputs!$B$49)</f>
        <v/>
      </c>
      <c r="M117" s="251">
        <f>IF(A117="","",MIN(L117,H116/Inputs!$B$9+S117))</f>
        <v/>
      </c>
      <c r="N117" s="116">
        <f>IF(A117="","",IF(AND(K117&gt;0,K116=0),1,0))</f>
        <v/>
      </c>
      <c r="O117" s="116">
        <f>IF(A117="","",O116+N117)</f>
        <v/>
      </c>
      <c r="P117" s="251">
        <f>IF(A117="","",MIN(F117,Inputs!$B$50))</f>
        <v/>
      </c>
      <c r="Q117" s="251">
        <f>IF(A117="","",MAX(0,F117-P117))</f>
        <v/>
      </c>
      <c r="R117" s="251">
        <f>IF(A117="","",P117*Inputs!$B$51)</f>
        <v/>
      </c>
      <c r="S117" s="251">
        <f>IF(A117="","",Q117+R117)</f>
        <v/>
      </c>
    </row>
    <row r="118">
      <c r="A118" s="116">
        <f>IF(ROW()&lt;=Inputs!$B$53+2,A117+Inputs!$B$8,"")</f>
        <v/>
      </c>
      <c r="B118" s="251">
        <f>IF(A118="","",IFERROR(INDEX(IDF_Hyetograph!$J$2:$J$37,MATCH(A118,IDF_Hyetograph!$K$2:$K$37,0)),0))</f>
        <v/>
      </c>
      <c r="C118" s="251">
        <f>IF(A118="","",0.00278*Inputs!$B$4*Inputs!$B$3*B118)</f>
        <v/>
      </c>
      <c r="D118" s="251">
        <f>IF(A118="","",MIN( Inputs!$B$30, MAX(0, D117 + (C118-F118-G118)*Inputs!$B$9) ))</f>
        <v/>
      </c>
      <c r="E118" s="251">
        <f>IF(A118="","",Inputs!$B$31 + D118/Inputs!$B$33)</f>
        <v/>
      </c>
      <c r="F118" s="251">
        <f>IF(A118="","",MIN( D117/Inputs!$B$9, Inputs!$B$35*Inputs!$B$36*SQRT(2*Inputs!$B$37*MAX(E117-J117,0)) ))</f>
        <v/>
      </c>
      <c r="G118" s="251">
        <f>IF(A118="","",MAX(0,(D117 + (C118-F118)*Inputs!$B$9 - Inputs!$B$30)/Inputs!$B$9))</f>
        <v/>
      </c>
      <c r="H118" s="251">
        <f>IF(A118="","",MAX(0,MIN(Inputs!$B$44,H117+(S118-M118-I118)*Inputs!$B$9)))</f>
        <v/>
      </c>
      <c r="I118" s="251">
        <f>IF(A118="","",MAX(0,(H117+(S118-M118)*Inputs!$B$9-Inputs!$B$44)/Inputs!$B$9))</f>
        <v/>
      </c>
      <c r="J118" s="251">
        <f>IF(A118="","",Inputs!$B$40 + H118/Inputs!$B$42)</f>
        <v/>
      </c>
      <c r="K118" s="116">
        <f>IF(A118="","",IF(J117&gt;=Inputs!$B$47,2, IF(J117&gt;=Inputs!$B$45,1, IF(J117&lt;=Inputs!$B$46,0,K117))))</f>
        <v/>
      </c>
      <c r="L118" s="251">
        <f>IF(A118="","",K118*Inputs!$B$49)</f>
        <v/>
      </c>
      <c r="M118" s="251">
        <f>IF(A118="","",MIN(L118,H117/Inputs!$B$9+S118))</f>
        <v/>
      </c>
      <c r="N118" s="116">
        <f>IF(A118="","",IF(AND(K118&gt;0,K117=0),1,0))</f>
        <v/>
      </c>
      <c r="O118" s="116">
        <f>IF(A118="","",O117+N118)</f>
        <v/>
      </c>
      <c r="P118" s="251">
        <f>IF(A118="","",MIN(F118,Inputs!$B$50))</f>
        <v/>
      </c>
      <c r="Q118" s="251">
        <f>IF(A118="","",MAX(0,F118-P118))</f>
        <v/>
      </c>
      <c r="R118" s="251">
        <f>IF(A118="","",P118*Inputs!$B$51)</f>
        <v/>
      </c>
      <c r="S118" s="251">
        <f>IF(A118="","",Q118+R118)</f>
        <v/>
      </c>
    </row>
    <row r="119">
      <c r="A119" s="116">
        <f>IF(ROW()&lt;=Inputs!$B$53+2,A118+Inputs!$B$8,"")</f>
        <v/>
      </c>
      <c r="B119" s="251">
        <f>IF(A119="","",IFERROR(INDEX(IDF_Hyetograph!$J$2:$J$37,MATCH(A119,IDF_Hyetograph!$K$2:$K$37,0)),0))</f>
        <v/>
      </c>
      <c r="C119" s="251">
        <f>IF(A119="","",0.00278*Inputs!$B$4*Inputs!$B$3*B119)</f>
        <v/>
      </c>
      <c r="D119" s="251">
        <f>IF(A119="","",MIN( Inputs!$B$30, MAX(0, D118 + (C119-F119-G119)*Inputs!$B$9) ))</f>
        <v/>
      </c>
      <c r="E119" s="251">
        <f>IF(A119="","",Inputs!$B$31 + D119/Inputs!$B$33)</f>
        <v/>
      </c>
      <c r="F119" s="251">
        <f>IF(A119="","",MIN( D118/Inputs!$B$9, Inputs!$B$35*Inputs!$B$36*SQRT(2*Inputs!$B$37*MAX(E118-J118,0)) ))</f>
        <v/>
      </c>
      <c r="G119" s="251">
        <f>IF(A119="","",MAX(0,(D118 + (C119-F119)*Inputs!$B$9 - Inputs!$B$30)/Inputs!$B$9))</f>
        <v/>
      </c>
      <c r="H119" s="251">
        <f>IF(A119="","",MAX(0,MIN(Inputs!$B$44,H118+(S119-M119-I119)*Inputs!$B$9)))</f>
        <v/>
      </c>
      <c r="I119" s="251">
        <f>IF(A119="","",MAX(0,(H118+(S119-M119)*Inputs!$B$9-Inputs!$B$44)/Inputs!$B$9))</f>
        <v/>
      </c>
      <c r="J119" s="251">
        <f>IF(A119="","",Inputs!$B$40 + H119/Inputs!$B$42)</f>
        <v/>
      </c>
      <c r="K119" s="116">
        <f>IF(A119="","",IF(J118&gt;=Inputs!$B$47,2, IF(J118&gt;=Inputs!$B$45,1, IF(J118&lt;=Inputs!$B$46,0,K118))))</f>
        <v/>
      </c>
      <c r="L119" s="251">
        <f>IF(A119="","",K119*Inputs!$B$49)</f>
        <v/>
      </c>
      <c r="M119" s="251">
        <f>IF(A119="","",MIN(L119,H118/Inputs!$B$9+S119))</f>
        <v/>
      </c>
      <c r="N119" s="116">
        <f>IF(A119="","",IF(AND(K119&gt;0,K118=0),1,0))</f>
        <v/>
      </c>
      <c r="O119" s="116">
        <f>IF(A119="","",O118+N119)</f>
        <v/>
      </c>
      <c r="P119" s="251">
        <f>IF(A119="","",MIN(F119,Inputs!$B$50))</f>
        <v/>
      </c>
      <c r="Q119" s="251">
        <f>IF(A119="","",MAX(0,F119-P119))</f>
        <v/>
      </c>
      <c r="R119" s="251">
        <f>IF(A119="","",P119*Inputs!$B$51)</f>
        <v/>
      </c>
      <c r="S119" s="251">
        <f>IF(A119="","",Q119+R119)</f>
        <v/>
      </c>
    </row>
    <row r="120">
      <c r="A120" s="116">
        <f>IF(ROW()&lt;=Inputs!$B$53+2,A119+Inputs!$B$8,"")</f>
        <v/>
      </c>
      <c r="B120" s="251">
        <f>IF(A120="","",IFERROR(INDEX(IDF_Hyetograph!$J$2:$J$37,MATCH(A120,IDF_Hyetograph!$K$2:$K$37,0)),0))</f>
        <v/>
      </c>
      <c r="C120" s="251">
        <f>IF(A120="","",0.00278*Inputs!$B$4*Inputs!$B$3*B120)</f>
        <v/>
      </c>
      <c r="D120" s="251">
        <f>IF(A120="","",MIN( Inputs!$B$30, MAX(0, D119 + (C120-F120-G120)*Inputs!$B$9) ))</f>
        <v/>
      </c>
      <c r="E120" s="251">
        <f>IF(A120="","",Inputs!$B$31 + D120/Inputs!$B$33)</f>
        <v/>
      </c>
      <c r="F120" s="251">
        <f>IF(A120="","",MIN( D119/Inputs!$B$9, Inputs!$B$35*Inputs!$B$36*SQRT(2*Inputs!$B$37*MAX(E119-J119,0)) ))</f>
        <v/>
      </c>
      <c r="G120" s="251">
        <f>IF(A120="","",MAX(0,(D119 + (C120-F120)*Inputs!$B$9 - Inputs!$B$30)/Inputs!$B$9))</f>
        <v/>
      </c>
      <c r="H120" s="251">
        <f>IF(A120="","",MAX(0,MIN(Inputs!$B$44,H119+(S120-M120-I120)*Inputs!$B$9)))</f>
        <v/>
      </c>
      <c r="I120" s="251">
        <f>IF(A120="","",MAX(0,(H119+(S120-M120)*Inputs!$B$9-Inputs!$B$44)/Inputs!$B$9))</f>
        <v/>
      </c>
      <c r="J120" s="251">
        <f>IF(A120="","",Inputs!$B$40 + H120/Inputs!$B$42)</f>
        <v/>
      </c>
      <c r="K120" s="116">
        <f>IF(A120="","",IF(J119&gt;=Inputs!$B$47,2, IF(J119&gt;=Inputs!$B$45,1, IF(J119&lt;=Inputs!$B$46,0,K119))))</f>
        <v/>
      </c>
      <c r="L120" s="251">
        <f>IF(A120="","",K120*Inputs!$B$49)</f>
        <v/>
      </c>
      <c r="M120" s="251">
        <f>IF(A120="","",MIN(L120,H119/Inputs!$B$9+S120))</f>
        <v/>
      </c>
      <c r="N120" s="116">
        <f>IF(A120="","",IF(AND(K120&gt;0,K119=0),1,0))</f>
        <v/>
      </c>
      <c r="O120" s="116">
        <f>IF(A120="","",O119+N120)</f>
        <v/>
      </c>
      <c r="P120" s="251">
        <f>IF(A120="","",MIN(F120,Inputs!$B$50))</f>
        <v/>
      </c>
      <c r="Q120" s="251">
        <f>IF(A120="","",MAX(0,F120-P120))</f>
        <v/>
      </c>
      <c r="R120" s="251">
        <f>IF(A120="","",P120*Inputs!$B$51)</f>
        <v/>
      </c>
      <c r="S120" s="251">
        <f>IF(A120="","",Q120+R120)</f>
        <v/>
      </c>
    </row>
    <row r="121">
      <c r="A121" s="116">
        <f>IF(ROW()&lt;=Inputs!$B$53+2,A120+Inputs!$B$8,"")</f>
        <v/>
      </c>
      <c r="B121" s="251">
        <f>IF(A121="","",IFERROR(INDEX(IDF_Hyetograph!$J$2:$J$37,MATCH(A121,IDF_Hyetograph!$K$2:$K$37,0)),0))</f>
        <v/>
      </c>
      <c r="C121" s="251">
        <f>IF(A121="","",0.00278*Inputs!$B$4*Inputs!$B$3*B121)</f>
        <v/>
      </c>
      <c r="D121" s="251">
        <f>IF(A121="","",MIN( Inputs!$B$30, MAX(0, D120 + (C121-F121-G121)*Inputs!$B$9) ))</f>
        <v/>
      </c>
      <c r="E121" s="251">
        <f>IF(A121="","",Inputs!$B$31 + D121/Inputs!$B$33)</f>
        <v/>
      </c>
      <c r="F121" s="251">
        <f>IF(A121="","",MIN( D120/Inputs!$B$9, Inputs!$B$35*Inputs!$B$36*SQRT(2*Inputs!$B$37*MAX(E120-J120,0)) ))</f>
        <v/>
      </c>
      <c r="G121" s="251">
        <f>IF(A121="","",MAX(0,(D120 + (C121-F121)*Inputs!$B$9 - Inputs!$B$30)/Inputs!$B$9))</f>
        <v/>
      </c>
      <c r="H121" s="251">
        <f>IF(A121="","",MAX(0,MIN(Inputs!$B$44,H120+(S121-M121-I121)*Inputs!$B$9)))</f>
        <v/>
      </c>
      <c r="I121" s="251">
        <f>IF(A121="","",MAX(0,(H120+(S121-M121)*Inputs!$B$9-Inputs!$B$44)/Inputs!$B$9))</f>
        <v/>
      </c>
      <c r="J121" s="251">
        <f>IF(A121="","",Inputs!$B$40 + H121/Inputs!$B$42)</f>
        <v/>
      </c>
      <c r="K121" s="116">
        <f>IF(A121="","",IF(J120&gt;=Inputs!$B$47,2, IF(J120&gt;=Inputs!$B$45,1, IF(J120&lt;=Inputs!$B$46,0,K120))))</f>
        <v/>
      </c>
      <c r="L121" s="251">
        <f>IF(A121="","",K121*Inputs!$B$49)</f>
        <v/>
      </c>
      <c r="M121" s="251">
        <f>IF(A121="","",MIN(L121,H120/Inputs!$B$9+S121))</f>
        <v/>
      </c>
      <c r="N121" s="116">
        <f>IF(A121="","",IF(AND(K121&gt;0,K120=0),1,0))</f>
        <v/>
      </c>
      <c r="O121" s="116">
        <f>IF(A121="","",O120+N121)</f>
        <v/>
      </c>
      <c r="P121" s="251">
        <f>IF(A121="","",MIN(F121,Inputs!$B$50))</f>
        <v/>
      </c>
      <c r="Q121" s="251">
        <f>IF(A121="","",MAX(0,F121-P121))</f>
        <v/>
      </c>
      <c r="R121" s="251">
        <f>IF(A121="","",P121*Inputs!$B$51)</f>
        <v/>
      </c>
      <c r="S121" s="251">
        <f>IF(A121="","",Q121+R121)</f>
        <v/>
      </c>
    </row>
    <row r="122">
      <c r="A122" s="116">
        <f>IF(ROW()&lt;=Inputs!$B$53+2,A121+Inputs!$B$8,"")</f>
        <v/>
      </c>
      <c r="B122" s="251">
        <f>IF(A122="","",IFERROR(INDEX(IDF_Hyetograph!$J$2:$J$37,MATCH(A122,IDF_Hyetograph!$K$2:$K$37,0)),0))</f>
        <v/>
      </c>
      <c r="C122" s="251">
        <f>IF(A122="","",0.00278*Inputs!$B$4*Inputs!$B$3*B122)</f>
        <v/>
      </c>
      <c r="D122" s="251">
        <f>IF(A122="","",MIN( Inputs!$B$30, MAX(0, D121 + (C122-F122-G122)*Inputs!$B$9) ))</f>
        <v/>
      </c>
      <c r="E122" s="251">
        <f>IF(A122="","",Inputs!$B$31 + D122/Inputs!$B$33)</f>
        <v/>
      </c>
      <c r="F122" s="251">
        <f>IF(A122="","",MIN( D121/Inputs!$B$9, Inputs!$B$35*Inputs!$B$36*SQRT(2*Inputs!$B$37*MAX(E121-J121,0)) ))</f>
        <v/>
      </c>
      <c r="G122" s="251">
        <f>IF(A122="","",MAX(0,(D121 + (C122-F122)*Inputs!$B$9 - Inputs!$B$30)/Inputs!$B$9))</f>
        <v/>
      </c>
      <c r="H122" s="251">
        <f>IF(A122="","",MAX(0,MIN(Inputs!$B$44,H121+(S122-M122-I122)*Inputs!$B$9)))</f>
        <v/>
      </c>
      <c r="I122" s="251">
        <f>IF(A122="","",MAX(0,(H121+(S122-M122)*Inputs!$B$9-Inputs!$B$44)/Inputs!$B$9))</f>
        <v/>
      </c>
      <c r="J122" s="251">
        <f>IF(A122="","",Inputs!$B$40 + H122/Inputs!$B$42)</f>
        <v/>
      </c>
      <c r="K122" s="116">
        <f>IF(A122="","",IF(J121&gt;=Inputs!$B$47,2, IF(J121&gt;=Inputs!$B$45,1, IF(J121&lt;=Inputs!$B$46,0,K121))))</f>
        <v/>
      </c>
      <c r="L122" s="251">
        <f>IF(A122="","",K122*Inputs!$B$49)</f>
        <v/>
      </c>
      <c r="M122" s="251">
        <f>IF(A122="","",MIN(L122,H121/Inputs!$B$9+S122))</f>
        <v/>
      </c>
      <c r="N122" s="116">
        <f>IF(A122="","",IF(AND(K122&gt;0,K121=0),1,0))</f>
        <v/>
      </c>
      <c r="O122" s="116">
        <f>IF(A122="","",O121+N122)</f>
        <v/>
      </c>
      <c r="P122" s="251">
        <f>IF(A122="","",MIN(F122,Inputs!$B$50))</f>
        <v/>
      </c>
      <c r="Q122" s="251">
        <f>IF(A122="","",MAX(0,F122-P122))</f>
        <v/>
      </c>
      <c r="R122" s="251">
        <f>IF(A122="","",P122*Inputs!$B$51)</f>
        <v/>
      </c>
      <c r="S122" s="251">
        <f>IF(A122="","",Q122+R122)</f>
        <v/>
      </c>
    </row>
    <row r="123">
      <c r="A123" s="116">
        <f>IF(ROW()&lt;=Inputs!$B$53+2,A122+Inputs!$B$8,"")</f>
        <v/>
      </c>
      <c r="B123" s="251">
        <f>IF(A123="","",IFERROR(INDEX(IDF_Hyetograph!$J$2:$J$37,MATCH(A123,IDF_Hyetograph!$K$2:$K$37,0)),0))</f>
        <v/>
      </c>
      <c r="C123" s="251">
        <f>IF(A123="","",0.00278*Inputs!$B$4*Inputs!$B$3*B123)</f>
        <v/>
      </c>
      <c r="D123" s="251">
        <f>IF(A123="","",MIN( Inputs!$B$30, MAX(0, D122 + (C123-F123-G123)*Inputs!$B$9) ))</f>
        <v/>
      </c>
      <c r="E123" s="251">
        <f>IF(A123="","",Inputs!$B$31 + D123/Inputs!$B$33)</f>
        <v/>
      </c>
      <c r="F123" s="251">
        <f>IF(A123="","",MIN( D122/Inputs!$B$9, Inputs!$B$35*Inputs!$B$36*SQRT(2*Inputs!$B$37*MAX(E122-J122,0)) ))</f>
        <v/>
      </c>
      <c r="G123" s="251">
        <f>IF(A123="","",MAX(0,(D122 + (C123-F123)*Inputs!$B$9 - Inputs!$B$30)/Inputs!$B$9))</f>
        <v/>
      </c>
      <c r="H123" s="251">
        <f>IF(A123="","",MAX(0,MIN(Inputs!$B$44,H122+(S123-M123-I123)*Inputs!$B$9)))</f>
        <v/>
      </c>
      <c r="I123" s="251">
        <f>IF(A123="","",MAX(0,(H122+(S123-M123)*Inputs!$B$9-Inputs!$B$44)/Inputs!$B$9))</f>
        <v/>
      </c>
      <c r="J123" s="251">
        <f>IF(A123="","",Inputs!$B$40 + H123/Inputs!$B$42)</f>
        <v/>
      </c>
      <c r="K123" s="116">
        <f>IF(A123="","",IF(J122&gt;=Inputs!$B$47,2, IF(J122&gt;=Inputs!$B$45,1, IF(J122&lt;=Inputs!$B$46,0,K122))))</f>
        <v/>
      </c>
      <c r="L123" s="251">
        <f>IF(A123="","",K123*Inputs!$B$49)</f>
        <v/>
      </c>
      <c r="M123" s="251">
        <f>IF(A123="","",MIN(L123,H122/Inputs!$B$9+S123))</f>
        <v/>
      </c>
      <c r="N123" s="116">
        <f>IF(A123="","",IF(AND(K123&gt;0,K122=0),1,0))</f>
        <v/>
      </c>
      <c r="O123" s="116">
        <f>IF(A123="","",O122+N123)</f>
        <v/>
      </c>
      <c r="P123" s="251">
        <f>IF(A123="","",MIN(F123,Inputs!$B$50))</f>
        <v/>
      </c>
      <c r="Q123" s="251">
        <f>IF(A123="","",MAX(0,F123-P123))</f>
        <v/>
      </c>
      <c r="R123" s="251">
        <f>IF(A123="","",P123*Inputs!$B$51)</f>
        <v/>
      </c>
      <c r="S123" s="251">
        <f>IF(A123="","",Q123+R123)</f>
        <v/>
      </c>
    </row>
    <row r="124">
      <c r="A124" s="116">
        <f>IF(ROW()&lt;=Inputs!$B$53+2,A123+Inputs!$B$8,"")</f>
        <v/>
      </c>
      <c r="B124" s="251">
        <f>IF(A124="","",IFERROR(INDEX(IDF_Hyetograph!$J$2:$J$37,MATCH(A124,IDF_Hyetograph!$K$2:$K$37,0)),0))</f>
        <v/>
      </c>
      <c r="C124" s="251">
        <f>IF(A124="","",0.00278*Inputs!$B$4*Inputs!$B$3*B124)</f>
        <v/>
      </c>
      <c r="D124" s="251">
        <f>IF(A124="","",MIN( Inputs!$B$30, MAX(0, D123 + (C124-F124-G124)*Inputs!$B$9) ))</f>
        <v/>
      </c>
      <c r="E124" s="251">
        <f>IF(A124="","",Inputs!$B$31 + D124/Inputs!$B$33)</f>
        <v/>
      </c>
      <c r="F124" s="251">
        <f>IF(A124="","",MIN( D123/Inputs!$B$9, Inputs!$B$35*Inputs!$B$36*SQRT(2*Inputs!$B$37*MAX(E123-J123,0)) ))</f>
        <v/>
      </c>
      <c r="G124" s="251">
        <f>IF(A124="","",MAX(0,(D123 + (C124-F124)*Inputs!$B$9 - Inputs!$B$30)/Inputs!$B$9))</f>
        <v/>
      </c>
      <c r="H124" s="251">
        <f>IF(A124="","",MAX(0,MIN(Inputs!$B$44,H123+(S124-M124-I124)*Inputs!$B$9)))</f>
        <v/>
      </c>
      <c r="I124" s="251">
        <f>IF(A124="","",MAX(0,(H123+(S124-M124)*Inputs!$B$9-Inputs!$B$44)/Inputs!$B$9))</f>
        <v/>
      </c>
      <c r="J124" s="251">
        <f>IF(A124="","",Inputs!$B$40 + H124/Inputs!$B$42)</f>
        <v/>
      </c>
      <c r="K124" s="116">
        <f>IF(A124="","",IF(J123&gt;=Inputs!$B$47,2, IF(J123&gt;=Inputs!$B$45,1, IF(J123&lt;=Inputs!$B$46,0,K123))))</f>
        <v/>
      </c>
      <c r="L124" s="251">
        <f>IF(A124="","",K124*Inputs!$B$49)</f>
        <v/>
      </c>
      <c r="M124" s="251">
        <f>IF(A124="","",MIN(L124,H123/Inputs!$B$9+S124))</f>
        <v/>
      </c>
      <c r="N124" s="116">
        <f>IF(A124="","",IF(AND(K124&gt;0,K123=0),1,0))</f>
        <v/>
      </c>
      <c r="O124" s="116">
        <f>IF(A124="","",O123+N124)</f>
        <v/>
      </c>
      <c r="P124" s="251">
        <f>IF(A124="","",MIN(F124,Inputs!$B$50))</f>
        <v/>
      </c>
      <c r="Q124" s="251">
        <f>IF(A124="","",MAX(0,F124-P124))</f>
        <v/>
      </c>
      <c r="R124" s="251">
        <f>IF(A124="","",P124*Inputs!$B$51)</f>
        <v/>
      </c>
      <c r="S124" s="251">
        <f>IF(A124="","",Q124+R124)</f>
        <v/>
      </c>
    </row>
    <row r="125">
      <c r="A125" s="116">
        <f>IF(ROW()&lt;=Inputs!$B$53+2,A124+Inputs!$B$8,"")</f>
        <v/>
      </c>
      <c r="B125" s="251">
        <f>IF(A125="","",IFERROR(INDEX(IDF_Hyetograph!$J$2:$J$37,MATCH(A125,IDF_Hyetograph!$K$2:$K$37,0)),0))</f>
        <v/>
      </c>
      <c r="C125" s="251">
        <f>IF(A125="","",0.00278*Inputs!$B$4*Inputs!$B$3*B125)</f>
        <v/>
      </c>
      <c r="D125" s="251">
        <f>IF(A125="","",MIN( Inputs!$B$30, MAX(0, D124 + (C125-F125-G125)*Inputs!$B$9) ))</f>
        <v/>
      </c>
      <c r="E125" s="251">
        <f>IF(A125="","",Inputs!$B$31 + D125/Inputs!$B$33)</f>
        <v/>
      </c>
      <c r="F125" s="251">
        <f>IF(A125="","",MIN( D124/Inputs!$B$9, Inputs!$B$35*Inputs!$B$36*SQRT(2*Inputs!$B$37*MAX(E124-J124,0)) ))</f>
        <v/>
      </c>
      <c r="G125" s="251">
        <f>IF(A125="","",MAX(0,(D124 + (C125-F125)*Inputs!$B$9 - Inputs!$B$30)/Inputs!$B$9))</f>
        <v/>
      </c>
      <c r="H125" s="251">
        <f>IF(A125="","",MAX(0,MIN(Inputs!$B$44,H124+(S125-M125-I125)*Inputs!$B$9)))</f>
        <v/>
      </c>
      <c r="I125" s="251">
        <f>IF(A125="","",MAX(0,(H124+(S125-M125)*Inputs!$B$9-Inputs!$B$44)/Inputs!$B$9))</f>
        <v/>
      </c>
      <c r="J125" s="251">
        <f>IF(A125="","",Inputs!$B$40 + H125/Inputs!$B$42)</f>
        <v/>
      </c>
      <c r="K125" s="116">
        <f>IF(A125="","",IF(J124&gt;=Inputs!$B$47,2, IF(J124&gt;=Inputs!$B$45,1, IF(J124&lt;=Inputs!$B$46,0,K124))))</f>
        <v/>
      </c>
      <c r="L125" s="251">
        <f>IF(A125="","",K125*Inputs!$B$49)</f>
        <v/>
      </c>
      <c r="M125" s="251">
        <f>IF(A125="","",MIN(L125,H124/Inputs!$B$9+S125))</f>
        <v/>
      </c>
      <c r="N125" s="116">
        <f>IF(A125="","",IF(AND(K125&gt;0,K124=0),1,0))</f>
        <v/>
      </c>
      <c r="O125" s="116">
        <f>IF(A125="","",O124+N125)</f>
        <v/>
      </c>
      <c r="P125" s="251">
        <f>IF(A125="","",MIN(F125,Inputs!$B$50))</f>
        <v/>
      </c>
      <c r="Q125" s="251">
        <f>IF(A125="","",MAX(0,F125-P125))</f>
        <v/>
      </c>
      <c r="R125" s="251">
        <f>IF(A125="","",P125*Inputs!$B$51)</f>
        <v/>
      </c>
      <c r="S125" s="251">
        <f>IF(A125="","",Q125+R125)</f>
        <v/>
      </c>
    </row>
    <row r="126">
      <c r="A126" s="116">
        <f>IF(ROW()&lt;=Inputs!$B$53+2,A125+Inputs!$B$8,"")</f>
        <v/>
      </c>
      <c r="B126" s="251">
        <f>IF(A126="","",IFERROR(INDEX(IDF_Hyetograph!$J$2:$J$37,MATCH(A126,IDF_Hyetograph!$K$2:$K$37,0)),0))</f>
        <v/>
      </c>
      <c r="C126" s="251">
        <f>IF(A126="","",0.00278*Inputs!$B$4*Inputs!$B$3*B126)</f>
        <v/>
      </c>
      <c r="D126" s="251">
        <f>IF(A126="","",MIN( Inputs!$B$30, MAX(0, D125 + (C126-F126-G126)*Inputs!$B$9) ))</f>
        <v/>
      </c>
      <c r="E126" s="251">
        <f>IF(A126="","",Inputs!$B$31 + D126/Inputs!$B$33)</f>
        <v/>
      </c>
      <c r="F126" s="251">
        <f>IF(A126="","",MIN( D125/Inputs!$B$9, Inputs!$B$35*Inputs!$B$36*SQRT(2*Inputs!$B$37*MAX(E125-J125,0)) ))</f>
        <v/>
      </c>
      <c r="G126" s="251">
        <f>IF(A126="","",MAX(0,(D125 + (C126-F126)*Inputs!$B$9 - Inputs!$B$30)/Inputs!$B$9))</f>
        <v/>
      </c>
      <c r="H126" s="251">
        <f>IF(A126="","",MAX(0,MIN(Inputs!$B$44,H125+(S126-M126-I126)*Inputs!$B$9)))</f>
        <v/>
      </c>
      <c r="I126" s="251">
        <f>IF(A126="","",MAX(0,(H125+(S126-M126)*Inputs!$B$9-Inputs!$B$44)/Inputs!$B$9))</f>
        <v/>
      </c>
      <c r="J126" s="251">
        <f>IF(A126="","",Inputs!$B$40 + H126/Inputs!$B$42)</f>
        <v/>
      </c>
      <c r="K126" s="116">
        <f>IF(A126="","",IF(J125&gt;=Inputs!$B$47,2, IF(J125&gt;=Inputs!$B$45,1, IF(J125&lt;=Inputs!$B$46,0,K125))))</f>
        <v/>
      </c>
      <c r="L126" s="251">
        <f>IF(A126="","",K126*Inputs!$B$49)</f>
        <v/>
      </c>
      <c r="M126" s="251">
        <f>IF(A126="","",MIN(L126,H125/Inputs!$B$9+S126))</f>
        <v/>
      </c>
      <c r="N126" s="116">
        <f>IF(A126="","",IF(AND(K126&gt;0,K125=0),1,0))</f>
        <v/>
      </c>
      <c r="O126" s="116">
        <f>IF(A126="","",O125+N126)</f>
        <v/>
      </c>
      <c r="P126" s="251">
        <f>IF(A126="","",MIN(F126,Inputs!$B$50))</f>
        <v/>
      </c>
      <c r="Q126" s="251">
        <f>IF(A126="","",MAX(0,F126-P126))</f>
        <v/>
      </c>
      <c r="R126" s="251">
        <f>IF(A126="","",P126*Inputs!$B$51)</f>
        <v/>
      </c>
      <c r="S126" s="251">
        <f>IF(A126="","",Q126+R126)</f>
        <v/>
      </c>
    </row>
    <row r="127">
      <c r="A127" s="116">
        <f>IF(ROW()&lt;=Inputs!$B$53+2,A126+Inputs!$B$8,"")</f>
        <v/>
      </c>
      <c r="B127" s="251">
        <f>IF(A127="","",IFERROR(INDEX(IDF_Hyetograph!$J$2:$J$37,MATCH(A127,IDF_Hyetograph!$K$2:$K$37,0)),0))</f>
        <v/>
      </c>
      <c r="C127" s="251">
        <f>IF(A127="","",0.00278*Inputs!$B$4*Inputs!$B$3*B127)</f>
        <v/>
      </c>
      <c r="D127" s="251">
        <f>IF(A127="","",MIN( Inputs!$B$30, MAX(0, D126 + (C127-F127-G127)*Inputs!$B$9) ))</f>
        <v/>
      </c>
      <c r="E127" s="251">
        <f>IF(A127="","",Inputs!$B$31 + D127/Inputs!$B$33)</f>
        <v/>
      </c>
      <c r="F127" s="251">
        <f>IF(A127="","",MIN( D126/Inputs!$B$9, Inputs!$B$35*Inputs!$B$36*SQRT(2*Inputs!$B$37*MAX(E126-J126,0)) ))</f>
        <v/>
      </c>
      <c r="G127" s="251">
        <f>IF(A127="","",MAX(0,(D126 + (C127-F127)*Inputs!$B$9 - Inputs!$B$30)/Inputs!$B$9))</f>
        <v/>
      </c>
      <c r="H127" s="251">
        <f>IF(A127="","",MAX(0,MIN(Inputs!$B$44,H126+(S127-M127-I127)*Inputs!$B$9)))</f>
        <v/>
      </c>
      <c r="I127" s="251">
        <f>IF(A127="","",MAX(0,(H126+(S127-M127)*Inputs!$B$9-Inputs!$B$44)/Inputs!$B$9))</f>
        <v/>
      </c>
      <c r="J127" s="251">
        <f>IF(A127="","",Inputs!$B$40 + H127/Inputs!$B$42)</f>
        <v/>
      </c>
      <c r="K127" s="116">
        <f>IF(A127="","",IF(J126&gt;=Inputs!$B$47,2, IF(J126&gt;=Inputs!$B$45,1, IF(J126&lt;=Inputs!$B$46,0,K126))))</f>
        <v/>
      </c>
      <c r="L127" s="251">
        <f>IF(A127="","",K127*Inputs!$B$49)</f>
        <v/>
      </c>
      <c r="M127" s="251">
        <f>IF(A127="","",MIN(L127,H126/Inputs!$B$9+S127))</f>
        <v/>
      </c>
      <c r="N127" s="116">
        <f>IF(A127="","",IF(AND(K127&gt;0,K126=0),1,0))</f>
        <v/>
      </c>
      <c r="O127" s="116">
        <f>IF(A127="","",O126+N127)</f>
        <v/>
      </c>
      <c r="P127" s="251">
        <f>IF(A127="","",MIN(F127,Inputs!$B$50))</f>
        <v/>
      </c>
      <c r="Q127" s="251">
        <f>IF(A127="","",MAX(0,F127-P127))</f>
        <v/>
      </c>
      <c r="R127" s="251">
        <f>IF(A127="","",P127*Inputs!$B$51)</f>
        <v/>
      </c>
      <c r="S127" s="251">
        <f>IF(A127="","",Q127+R127)</f>
        <v/>
      </c>
    </row>
    <row r="128">
      <c r="A128" s="116">
        <f>IF(ROW()&lt;=Inputs!$B$53+2,A127+Inputs!$B$8,"")</f>
        <v/>
      </c>
      <c r="B128" s="251">
        <f>IF(A128="","",IFERROR(INDEX(IDF_Hyetograph!$J$2:$J$37,MATCH(A128,IDF_Hyetograph!$K$2:$K$37,0)),0))</f>
        <v/>
      </c>
      <c r="C128" s="251">
        <f>IF(A128="","",0.00278*Inputs!$B$4*Inputs!$B$3*B128)</f>
        <v/>
      </c>
      <c r="D128" s="251">
        <f>IF(A128="","",MIN( Inputs!$B$30, MAX(0, D127 + (C128-F128-G128)*Inputs!$B$9) ))</f>
        <v/>
      </c>
      <c r="E128" s="251">
        <f>IF(A128="","",Inputs!$B$31 + D128/Inputs!$B$33)</f>
        <v/>
      </c>
      <c r="F128" s="251">
        <f>IF(A128="","",MIN( D127/Inputs!$B$9, Inputs!$B$35*Inputs!$B$36*SQRT(2*Inputs!$B$37*MAX(E127-J127,0)) ))</f>
        <v/>
      </c>
      <c r="G128" s="251">
        <f>IF(A128="","",MAX(0,(D127 + (C128-F128)*Inputs!$B$9 - Inputs!$B$30)/Inputs!$B$9))</f>
        <v/>
      </c>
      <c r="H128" s="251">
        <f>IF(A128="","",MAX(0,MIN(Inputs!$B$44,H127+(S128-M128-I128)*Inputs!$B$9)))</f>
        <v/>
      </c>
      <c r="I128" s="251">
        <f>IF(A128="","",MAX(0,(H127+(S128-M128)*Inputs!$B$9-Inputs!$B$44)/Inputs!$B$9))</f>
        <v/>
      </c>
      <c r="J128" s="251">
        <f>IF(A128="","",Inputs!$B$40 + H128/Inputs!$B$42)</f>
        <v/>
      </c>
      <c r="K128" s="116">
        <f>IF(A128="","",IF(J127&gt;=Inputs!$B$47,2, IF(J127&gt;=Inputs!$B$45,1, IF(J127&lt;=Inputs!$B$46,0,K127))))</f>
        <v/>
      </c>
      <c r="L128" s="251">
        <f>IF(A128="","",K128*Inputs!$B$49)</f>
        <v/>
      </c>
      <c r="M128" s="251">
        <f>IF(A128="","",MIN(L128,H127/Inputs!$B$9+S128))</f>
        <v/>
      </c>
      <c r="N128" s="116">
        <f>IF(A128="","",IF(AND(K128&gt;0,K127=0),1,0))</f>
        <v/>
      </c>
      <c r="O128" s="116">
        <f>IF(A128="","",O127+N128)</f>
        <v/>
      </c>
      <c r="P128" s="251">
        <f>IF(A128="","",MIN(F128,Inputs!$B$50))</f>
        <v/>
      </c>
      <c r="Q128" s="251">
        <f>IF(A128="","",MAX(0,F128-P128))</f>
        <v/>
      </c>
      <c r="R128" s="251">
        <f>IF(A128="","",P128*Inputs!$B$51)</f>
        <v/>
      </c>
      <c r="S128" s="251">
        <f>IF(A128="","",Q128+R128)</f>
        <v/>
      </c>
    </row>
    <row r="129">
      <c r="A129" s="116">
        <f>IF(ROW()&lt;=Inputs!$B$53+2,A128+Inputs!$B$8,"")</f>
        <v/>
      </c>
      <c r="B129" s="251">
        <f>IF(A129="","",IFERROR(INDEX(IDF_Hyetograph!$J$2:$J$37,MATCH(A129,IDF_Hyetograph!$K$2:$K$37,0)),0))</f>
        <v/>
      </c>
      <c r="C129" s="251">
        <f>IF(A129="","",0.00278*Inputs!$B$4*Inputs!$B$3*B129)</f>
        <v/>
      </c>
      <c r="D129" s="251">
        <f>IF(A129="","",MIN( Inputs!$B$30, MAX(0, D128 + (C129-F129-G129)*Inputs!$B$9) ))</f>
        <v/>
      </c>
      <c r="E129" s="251">
        <f>IF(A129="","",Inputs!$B$31 + D129/Inputs!$B$33)</f>
        <v/>
      </c>
      <c r="F129" s="251">
        <f>IF(A129="","",MIN( D128/Inputs!$B$9, Inputs!$B$35*Inputs!$B$36*SQRT(2*Inputs!$B$37*MAX(E128-J128,0)) ))</f>
        <v/>
      </c>
      <c r="G129" s="251">
        <f>IF(A129="","",MAX(0,(D128 + (C129-F129)*Inputs!$B$9 - Inputs!$B$30)/Inputs!$B$9))</f>
        <v/>
      </c>
      <c r="H129" s="251">
        <f>IF(A129="","",MAX(0,MIN(Inputs!$B$44,H128+(S129-M129-I129)*Inputs!$B$9)))</f>
        <v/>
      </c>
      <c r="I129" s="251">
        <f>IF(A129="","",MAX(0,(H128+(S129-M129)*Inputs!$B$9-Inputs!$B$44)/Inputs!$B$9))</f>
        <v/>
      </c>
      <c r="J129" s="251">
        <f>IF(A129="","",Inputs!$B$40 + H129/Inputs!$B$42)</f>
        <v/>
      </c>
      <c r="K129" s="116">
        <f>IF(A129="","",IF(J128&gt;=Inputs!$B$47,2, IF(J128&gt;=Inputs!$B$45,1, IF(J128&lt;=Inputs!$B$46,0,K128))))</f>
        <v/>
      </c>
      <c r="L129" s="251">
        <f>IF(A129="","",K129*Inputs!$B$49)</f>
        <v/>
      </c>
      <c r="M129" s="251">
        <f>IF(A129="","",MIN(L129,H128/Inputs!$B$9+S129))</f>
        <v/>
      </c>
      <c r="N129" s="116">
        <f>IF(A129="","",IF(AND(K129&gt;0,K128=0),1,0))</f>
        <v/>
      </c>
      <c r="O129" s="116">
        <f>IF(A129="","",O128+N129)</f>
        <v/>
      </c>
      <c r="P129" s="251">
        <f>IF(A129="","",MIN(F129,Inputs!$B$50))</f>
        <v/>
      </c>
      <c r="Q129" s="251">
        <f>IF(A129="","",MAX(0,F129-P129))</f>
        <v/>
      </c>
      <c r="R129" s="251">
        <f>IF(A129="","",P129*Inputs!$B$51)</f>
        <v/>
      </c>
      <c r="S129" s="251">
        <f>IF(A129="","",Q129+R129)</f>
        <v/>
      </c>
    </row>
    <row r="130">
      <c r="A130" s="116">
        <f>IF(ROW()&lt;=Inputs!$B$53+2,A129+Inputs!$B$8,"")</f>
        <v/>
      </c>
      <c r="B130" s="251">
        <f>IF(A130="","",IFERROR(INDEX(IDF_Hyetograph!$J$2:$J$37,MATCH(A130,IDF_Hyetograph!$K$2:$K$37,0)),0))</f>
        <v/>
      </c>
      <c r="C130" s="251">
        <f>IF(A130="","",0.00278*Inputs!$B$4*Inputs!$B$3*B130)</f>
        <v/>
      </c>
      <c r="D130" s="251">
        <f>IF(A130="","",MIN( Inputs!$B$30, MAX(0, D129 + (C130-F130-G130)*Inputs!$B$9) ))</f>
        <v/>
      </c>
      <c r="E130" s="251">
        <f>IF(A130="","",Inputs!$B$31 + D130/Inputs!$B$33)</f>
        <v/>
      </c>
      <c r="F130" s="251">
        <f>IF(A130="","",MIN( D129/Inputs!$B$9, Inputs!$B$35*Inputs!$B$36*SQRT(2*Inputs!$B$37*MAX(E129-J129,0)) ))</f>
        <v/>
      </c>
      <c r="G130" s="251">
        <f>IF(A130="","",MAX(0,(D129 + (C130-F130)*Inputs!$B$9 - Inputs!$B$30)/Inputs!$B$9))</f>
        <v/>
      </c>
      <c r="H130" s="251">
        <f>IF(A130="","",MAX(0,MIN(Inputs!$B$44,H129+(S130-M130-I130)*Inputs!$B$9)))</f>
        <v/>
      </c>
      <c r="I130" s="251">
        <f>IF(A130="","",MAX(0,(H129+(S130-M130)*Inputs!$B$9-Inputs!$B$44)/Inputs!$B$9))</f>
        <v/>
      </c>
      <c r="J130" s="251">
        <f>IF(A130="","",Inputs!$B$40 + H130/Inputs!$B$42)</f>
        <v/>
      </c>
      <c r="K130" s="116">
        <f>IF(A130="","",IF(J129&gt;=Inputs!$B$47,2, IF(J129&gt;=Inputs!$B$45,1, IF(J129&lt;=Inputs!$B$46,0,K129))))</f>
        <v/>
      </c>
      <c r="L130" s="251">
        <f>IF(A130="","",K130*Inputs!$B$49)</f>
        <v/>
      </c>
      <c r="M130" s="251">
        <f>IF(A130="","",MIN(L130,H129/Inputs!$B$9+S130))</f>
        <v/>
      </c>
      <c r="N130" s="116">
        <f>IF(A130="","",IF(AND(K130&gt;0,K129=0),1,0))</f>
        <v/>
      </c>
      <c r="O130" s="116">
        <f>IF(A130="","",O129+N130)</f>
        <v/>
      </c>
      <c r="P130" s="251">
        <f>IF(A130="","",MIN(F130,Inputs!$B$50))</f>
        <v/>
      </c>
      <c r="Q130" s="251">
        <f>IF(A130="","",MAX(0,F130-P130))</f>
        <v/>
      </c>
      <c r="R130" s="251">
        <f>IF(A130="","",P130*Inputs!$B$51)</f>
        <v/>
      </c>
      <c r="S130" s="251">
        <f>IF(A130="","",Q130+R130)</f>
        <v/>
      </c>
    </row>
    <row r="131">
      <c r="A131" s="116">
        <f>IF(ROW()&lt;=Inputs!$B$53+2,A130+Inputs!$B$8,"")</f>
        <v/>
      </c>
      <c r="B131" s="251">
        <f>IF(A131="","",IFERROR(INDEX(IDF_Hyetograph!$J$2:$J$37,MATCH(A131,IDF_Hyetograph!$K$2:$K$37,0)),0))</f>
        <v/>
      </c>
      <c r="C131" s="251">
        <f>IF(A131="","",0.00278*Inputs!$B$4*Inputs!$B$3*B131)</f>
        <v/>
      </c>
      <c r="D131" s="251">
        <f>IF(A131="","",MIN( Inputs!$B$30, MAX(0, D130 + (C131-F131-G131)*Inputs!$B$9) ))</f>
        <v/>
      </c>
      <c r="E131" s="251">
        <f>IF(A131="","",Inputs!$B$31 + D131/Inputs!$B$33)</f>
        <v/>
      </c>
      <c r="F131" s="251">
        <f>IF(A131="","",MIN( D130/Inputs!$B$9, Inputs!$B$35*Inputs!$B$36*SQRT(2*Inputs!$B$37*MAX(E130-J130,0)) ))</f>
        <v/>
      </c>
      <c r="G131" s="251">
        <f>IF(A131="","",MAX(0,(D130 + (C131-F131)*Inputs!$B$9 - Inputs!$B$30)/Inputs!$B$9))</f>
        <v/>
      </c>
      <c r="H131" s="251">
        <f>IF(A131="","",MAX(0,MIN(Inputs!$B$44,H130+(S131-M131-I131)*Inputs!$B$9)))</f>
        <v/>
      </c>
      <c r="I131" s="251">
        <f>IF(A131="","",MAX(0,(H130+(S131-M131)*Inputs!$B$9-Inputs!$B$44)/Inputs!$B$9))</f>
        <v/>
      </c>
      <c r="J131" s="251">
        <f>IF(A131="","",Inputs!$B$40 + H131/Inputs!$B$42)</f>
        <v/>
      </c>
      <c r="K131" s="116">
        <f>IF(A131="","",IF(J130&gt;=Inputs!$B$47,2, IF(J130&gt;=Inputs!$B$45,1, IF(J130&lt;=Inputs!$B$46,0,K130))))</f>
        <v/>
      </c>
      <c r="L131" s="251">
        <f>IF(A131="","",K131*Inputs!$B$49)</f>
        <v/>
      </c>
      <c r="M131" s="251">
        <f>IF(A131="","",MIN(L131,H130/Inputs!$B$9+S131))</f>
        <v/>
      </c>
      <c r="N131" s="116">
        <f>IF(A131="","",IF(AND(K131&gt;0,K130=0),1,0))</f>
        <v/>
      </c>
      <c r="O131" s="116">
        <f>IF(A131="","",O130+N131)</f>
        <v/>
      </c>
      <c r="P131" s="251">
        <f>IF(A131="","",MIN(F131,Inputs!$B$50))</f>
        <v/>
      </c>
      <c r="Q131" s="251">
        <f>IF(A131="","",MAX(0,F131-P131))</f>
        <v/>
      </c>
      <c r="R131" s="251">
        <f>IF(A131="","",P131*Inputs!$B$51)</f>
        <v/>
      </c>
      <c r="S131" s="251">
        <f>IF(A131="","",Q131+R131)</f>
        <v/>
      </c>
    </row>
    <row r="132">
      <c r="A132" s="116">
        <f>IF(ROW()&lt;=Inputs!$B$53+2,A131+Inputs!$B$8,"")</f>
        <v/>
      </c>
      <c r="B132" s="251">
        <f>IF(A132="","",IFERROR(INDEX(IDF_Hyetograph!$J$2:$J$37,MATCH(A132,IDF_Hyetograph!$K$2:$K$37,0)),0))</f>
        <v/>
      </c>
      <c r="C132" s="251">
        <f>IF(A132="","",0.00278*Inputs!$B$4*Inputs!$B$3*B132)</f>
        <v/>
      </c>
      <c r="D132" s="251">
        <f>IF(A132="","",MIN( Inputs!$B$30, MAX(0, D131 + (C132-F132-G132)*Inputs!$B$9) ))</f>
        <v/>
      </c>
      <c r="E132" s="251">
        <f>IF(A132="","",Inputs!$B$31 + D132/Inputs!$B$33)</f>
        <v/>
      </c>
      <c r="F132" s="251">
        <f>IF(A132="","",MIN( D131/Inputs!$B$9, Inputs!$B$35*Inputs!$B$36*SQRT(2*Inputs!$B$37*MAX(E131-J131,0)) ))</f>
        <v/>
      </c>
      <c r="G132" s="251">
        <f>IF(A132="","",MAX(0,(D131 + (C132-F132)*Inputs!$B$9 - Inputs!$B$30)/Inputs!$B$9))</f>
        <v/>
      </c>
      <c r="H132" s="251">
        <f>IF(A132="","",MAX(0,MIN(Inputs!$B$44,H131+(S132-M132-I132)*Inputs!$B$9)))</f>
        <v/>
      </c>
      <c r="I132" s="251">
        <f>IF(A132="","",MAX(0,(H131+(S132-M132)*Inputs!$B$9-Inputs!$B$44)/Inputs!$B$9))</f>
        <v/>
      </c>
      <c r="J132" s="251">
        <f>IF(A132="","",Inputs!$B$40 + H132/Inputs!$B$42)</f>
        <v/>
      </c>
      <c r="K132" s="116">
        <f>IF(A132="","",IF(J131&gt;=Inputs!$B$47,2, IF(J131&gt;=Inputs!$B$45,1, IF(J131&lt;=Inputs!$B$46,0,K131))))</f>
        <v/>
      </c>
      <c r="L132" s="251">
        <f>IF(A132="","",K132*Inputs!$B$49)</f>
        <v/>
      </c>
      <c r="M132" s="251">
        <f>IF(A132="","",MIN(L132,H131/Inputs!$B$9+S132))</f>
        <v/>
      </c>
      <c r="N132" s="116">
        <f>IF(A132="","",IF(AND(K132&gt;0,K131=0),1,0))</f>
        <v/>
      </c>
      <c r="O132" s="116">
        <f>IF(A132="","",O131+N132)</f>
        <v/>
      </c>
      <c r="P132" s="251">
        <f>IF(A132="","",MIN(F132,Inputs!$B$50))</f>
        <v/>
      </c>
      <c r="Q132" s="251">
        <f>IF(A132="","",MAX(0,F132-P132))</f>
        <v/>
      </c>
      <c r="R132" s="251">
        <f>IF(A132="","",P132*Inputs!$B$51)</f>
        <v/>
      </c>
      <c r="S132" s="251">
        <f>IF(A132="","",Q132+R132)</f>
        <v/>
      </c>
    </row>
    <row r="133">
      <c r="A133" s="116">
        <f>IF(ROW()&lt;=Inputs!$B$53+2,A132+Inputs!$B$8,"")</f>
        <v/>
      </c>
      <c r="B133" s="251">
        <f>IF(A133="","",IFERROR(INDEX(IDF_Hyetograph!$J$2:$J$37,MATCH(A133,IDF_Hyetograph!$K$2:$K$37,0)),0))</f>
        <v/>
      </c>
      <c r="C133" s="251">
        <f>IF(A133="","",0.00278*Inputs!$B$4*Inputs!$B$3*B133)</f>
        <v/>
      </c>
      <c r="D133" s="251">
        <f>IF(A133="","",MIN( Inputs!$B$30, MAX(0, D132 + (C133-F133-G133)*Inputs!$B$9) ))</f>
        <v/>
      </c>
      <c r="E133" s="251">
        <f>IF(A133="","",Inputs!$B$31 + D133/Inputs!$B$33)</f>
        <v/>
      </c>
      <c r="F133" s="251">
        <f>IF(A133="","",MIN( D132/Inputs!$B$9, Inputs!$B$35*Inputs!$B$36*SQRT(2*Inputs!$B$37*MAX(E132-J132,0)) ))</f>
        <v/>
      </c>
      <c r="G133" s="251">
        <f>IF(A133="","",MAX(0,(D132 + (C133-F133)*Inputs!$B$9 - Inputs!$B$30)/Inputs!$B$9))</f>
        <v/>
      </c>
      <c r="H133" s="251">
        <f>IF(A133="","",MAX(0,MIN(Inputs!$B$44,H132+(S133-M133-I133)*Inputs!$B$9)))</f>
        <v/>
      </c>
      <c r="I133" s="251">
        <f>IF(A133="","",MAX(0,(H132+(S133-M133)*Inputs!$B$9-Inputs!$B$44)/Inputs!$B$9))</f>
        <v/>
      </c>
      <c r="J133" s="251">
        <f>IF(A133="","",Inputs!$B$40 + H133/Inputs!$B$42)</f>
        <v/>
      </c>
      <c r="K133" s="116">
        <f>IF(A133="","",IF(J132&gt;=Inputs!$B$47,2, IF(J132&gt;=Inputs!$B$45,1, IF(J132&lt;=Inputs!$B$46,0,K132))))</f>
        <v/>
      </c>
      <c r="L133" s="251">
        <f>IF(A133="","",K133*Inputs!$B$49)</f>
        <v/>
      </c>
      <c r="M133" s="251">
        <f>IF(A133="","",MIN(L133,H132/Inputs!$B$9+S133))</f>
        <v/>
      </c>
      <c r="N133" s="116">
        <f>IF(A133="","",IF(AND(K133&gt;0,K132=0),1,0))</f>
        <v/>
      </c>
      <c r="O133" s="116">
        <f>IF(A133="","",O132+N133)</f>
        <v/>
      </c>
      <c r="P133" s="251">
        <f>IF(A133="","",MIN(F133,Inputs!$B$50))</f>
        <v/>
      </c>
      <c r="Q133" s="251">
        <f>IF(A133="","",MAX(0,F133-P133))</f>
        <v/>
      </c>
      <c r="R133" s="251">
        <f>IF(A133="","",P133*Inputs!$B$51)</f>
        <v/>
      </c>
      <c r="S133" s="251">
        <f>IF(A133="","",Q133+R133)</f>
        <v/>
      </c>
    </row>
    <row r="134">
      <c r="A134" s="116">
        <f>IF(ROW()&lt;=Inputs!$B$53+2,A133+Inputs!$B$8,"")</f>
        <v/>
      </c>
      <c r="B134" s="251">
        <f>IF(A134="","",IFERROR(INDEX(IDF_Hyetograph!$J$2:$J$37,MATCH(A134,IDF_Hyetograph!$K$2:$K$37,0)),0))</f>
        <v/>
      </c>
      <c r="C134" s="251">
        <f>IF(A134="","",0.00278*Inputs!$B$4*Inputs!$B$3*B134)</f>
        <v/>
      </c>
      <c r="D134" s="251">
        <f>IF(A134="","",MIN( Inputs!$B$30, MAX(0, D133 + (C134-F134-G134)*Inputs!$B$9) ))</f>
        <v/>
      </c>
      <c r="E134" s="251">
        <f>IF(A134="","",Inputs!$B$31 + D134/Inputs!$B$33)</f>
        <v/>
      </c>
      <c r="F134" s="251">
        <f>IF(A134="","",MIN( D133/Inputs!$B$9, Inputs!$B$35*Inputs!$B$36*SQRT(2*Inputs!$B$37*MAX(E133-J133,0)) ))</f>
        <v/>
      </c>
      <c r="G134" s="251">
        <f>IF(A134="","",MAX(0,(D133 + (C134-F134)*Inputs!$B$9 - Inputs!$B$30)/Inputs!$B$9))</f>
        <v/>
      </c>
      <c r="H134" s="251">
        <f>IF(A134="","",MAX(0,MIN(Inputs!$B$44,H133+(S134-M134-I134)*Inputs!$B$9)))</f>
        <v/>
      </c>
      <c r="I134" s="251">
        <f>IF(A134="","",MAX(0,(H133+(S134-M134)*Inputs!$B$9-Inputs!$B$44)/Inputs!$B$9))</f>
        <v/>
      </c>
      <c r="J134" s="251">
        <f>IF(A134="","",Inputs!$B$40 + H134/Inputs!$B$42)</f>
        <v/>
      </c>
      <c r="K134" s="116">
        <f>IF(A134="","",IF(J133&gt;=Inputs!$B$47,2, IF(J133&gt;=Inputs!$B$45,1, IF(J133&lt;=Inputs!$B$46,0,K133))))</f>
        <v/>
      </c>
      <c r="L134" s="251">
        <f>IF(A134="","",K134*Inputs!$B$49)</f>
        <v/>
      </c>
      <c r="M134" s="251">
        <f>IF(A134="","",MIN(L134,H133/Inputs!$B$9+S134))</f>
        <v/>
      </c>
      <c r="N134" s="116">
        <f>IF(A134="","",IF(AND(K134&gt;0,K133=0),1,0))</f>
        <v/>
      </c>
      <c r="O134" s="116">
        <f>IF(A134="","",O133+N134)</f>
        <v/>
      </c>
      <c r="P134" s="251">
        <f>IF(A134="","",MIN(F134,Inputs!$B$50))</f>
        <v/>
      </c>
      <c r="Q134" s="251">
        <f>IF(A134="","",MAX(0,F134-P134))</f>
        <v/>
      </c>
      <c r="R134" s="251">
        <f>IF(A134="","",P134*Inputs!$B$51)</f>
        <v/>
      </c>
      <c r="S134" s="251">
        <f>IF(A134="","",Q134+R134)</f>
        <v/>
      </c>
    </row>
    <row r="135">
      <c r="A135" s="116">
        <f>IF(ROW()&lt;=Inputs!$B$53+2,A134+Inputs!$B$8,"")</f>
        <v/>
      </c>
      <c r="B135" s="251">
        <f>IF(A135="","",IFERROR(INDEX(IDF_Hyetograph!$J$2:$J$37,MATCH(A135,IDF_Hyetograph!$K$2:$K$37,0)),0))</f>
        <v/>
      </c>
      <c r="C135" s="251">
        <f>IF(A135="","",0.00278*Inputs!$B$4*Inputs!$B$3*B135)</f>
        <v/>
      </c>
      <c r="D135" s="251">
        <f>IF(A135="","",MIN( Inputs!$B$30, MAX(0, D134 + (C135-F135-G135)*Inputs!$B$9) ))</f>
        <v/>
      </c>
      <c r="E135" s="251">
        <f>IF(A135="","",Inputs!$B$31 + D135/Inputs!$B$33)</f>
        <v/>
      </c>
      <c r="F135" s="251">
        <f>IF(A135="","",MIN( D134/Inputs!$B$9, Inputs!$B$35*Inputs!$B$36*SQRT(2*Inputs!$B$37*MAX(E134-J134,0)) ))</f>
        <v/>
      </c>
      <c r="G135" s="251">
        <f>IF(A135="","",MAX(0,(D134 + (C135-F135)*Inputs!$B$9 - Inputs!$B$30)/Inputs!$B$9))</f>
        <v/>
      </c>
      <c r="H135" s="251">
        <f>IF(A135="","",MAX(0,MIN(Inputs!$B$44,H134+(S135-M135-I135)*Inputs!$B$9)))</f>
        <v/>
      </c>
      <c r="I135" s="251">
        <f>IF(A135="","",MAX(0,(H134+(S135-M135)*Inputs!$B$9-Inputs!$B$44)/Inputs!$B$9))</f>
        <v/>
      </c>
      <c r="J135" s="251">
        <f>IF(A135="","",Inputs!$B$40 + H135/Inputs!$B$42)</f>
        <v/>
      </c>
      <c r="K135" s="116">
        <f>IF(A135="","",IF(J134&gt;=Inputs!$B$47,2, IF(J134&gt;=Inputs!$B$45,1, IF(J134&lt;=Inputs!$B$46,0,K134))))</f>
        <v/>
      </c>
      <c r="L135" s="251">
        <f>IF(A135="","",K135*Inputs!$B$49)</f>
        <v/>
      </c>
      <c r="M135" s="251">
        <f>IF(A135="","",MIN(L135,H134/Inputs!$B$9+S135))</f>
        <v/>
      </c>
      <c r="N135" s="116">
        <f>IF(A135="","",IF(AND(K135&gt;0,K134=0),1,0))</f>
        <v/>
      </c>
      <c r="O135" s="116">
        <f>IF(A135="","",O134+N135)</f>
        <v/>
      </c>
      <c r="P135" s="251">
        <f>IF(A135="","",MIN(F135,Inputs!$B$50))</f>
        <v/>
      </c>
      <c r="Q135" s="251">
        <f>IF(A135="","",MAX(0,F135-P135))</f>
        <v/>
      </c>
      <c r="R135" s="251">
        <f>IF(A135="","",P135*Inputs!$B$51)</f>
        <v/>
      </c>
      <c r="S135" s="251">
        <f>IF(A135="","",Q135+R135)</f>
        <v/>
      </c>
    </row>
    <row r="136">
      <c r="A136" s="116">
        <f>IF(ROW()&lt;=Inputs!$B$53+2,A135+Inputs!$B$8,"")</f>
        <v/>
      </c>
      <c r="B136" s="251">
        <f>IF(A136="","",IFERROR(INDEX(IDF_Hyetograph!$J$2:$J$37,MATCH(A136,IDF_Hyetograph!$K$2:$K$37,0)),0))</f>
        <v/>
      </c>
      <c r="C136" s="251">
        <f>IF(A136="","",0.00278*Inputs!$B$4*Inputs!$B$3*B136)</f>
        <v/>
      </c>
      <c r="D136" s="251">
        <f>IF(A136="","",MIN( Inputs!$B$30, MAX(0, D135 + (C136-F136-G136)*Inputs!$B$9) ))</f>
        <v/>
      </c>
      <c r="E136" s="251">
        <f>IF(A136="","",Inputs!$B$31 + D136/Inputs!$B$33)</f>
        <v/>
      </c>
      <c r="F136" s="251">
        <f>IF(A136="","",MIN( D135/Inputs!$B$9, Inputs!$B$35*Inputs!$B$36*SQRT(2*Inputs!$B$37*MAX(E135-J135,0)) ))</f>
        <v/>
      </c>
      <c r="G136" s="251">
        <f>IF(A136="","",MAX(0,(D135 + (C136-F136)*Inputs!$B$9 - Inputs!$B$30)/Inputs!$B$9))</f>
        <v/>
      </c>
      <c r="H136" s="251">
        <f>IF(A136="","",MAX(0,MIN(Inputs!$B$44,H135+(S136-M136-I136)*Inputs!$B$9)))</f>
        <v/>
      </c>
      <c r="I136" s="251">
        <f>IF(A136="","",MAX(0,(H135+(S136-M136)*Inputs!$B$9-Inputs!$B$44)/Inputs!$B$9))</f>
        <v/>
      </c>
      <c r="J136" s="251">
        <f>IF(A136="","",Inputs!$B$40 + H136/Inputs!$B$42)</f>
        <v/>
      </c>
      <c r="K136" s="116">
        <f>IF(A136="","",IF(J135&gt;=Inputs!$B$47,2, IF(J135&gt;=Inputs!$B$45,1, IF(J135&lt;=Inputs!$B$46,0,K135))))</f>
        <v/>
      </c>
      <c r="L136" s="251">
        <f>IF(A136="","",K136*Inputs!$B$49)</f>
        <v/>
      </c>
      <c r="M136" s="251">
        <f>IF(A136="","",MIN(L136,H135/Inputs!$B$9+S136))</f>
        <v/>
      </c>
      <c r="N136" s="116">
        <f>IF(A136="","",IF(AND(K136&gt;0,K135=0),1,0))</f>
        <v/>
      </c>
      <c r="O136" s="116">
        <f>IF(A136="","",O135+N136)</f>
        <v/>
      </c>
      <c r="P136" s="251">
        <f>IF(A136="","",MIN(F136,Inputs!$B$50))</f>
        <v/>
      </c>
      <c r="Q136" s="251">
        <f>IF(A136="","",MAX(0,F136-P136))</f>
        <v/>
      </c>
      <c r="R136" s="251">
        <f>IF(A136="","",P136*Inputs!$B$51)</f>
        <v/>
      </c>
      <c r="S136" s="251">
        <f>IF(A136="","",Q136+R136)</f>
        <v/>
      </c>
    </row>
    <row r="137">
      <c r="A137" s="116">
        <f>IF(ROW()&lt;=Inputs!$B$53+2,A136+Inputs!$B$8,"")</f>
        <v/>
      </c>
      <c r="B137" s="251">
        <f>IF(A137="","",IFERROR(INDEX(IDF_Hyetograph!$J$2:$J$37,MATCH(A137,IDF_Hyetograph!$K$2:$K$37,0)),0))</f>
        <v/>
      </c>
      <c r="C137" s="251">
        <f>IF(A137="","",0.00278*Inputs!$B$4*Inputs!$B$3*B137)</f>
        <v/>
      </c>
      <c r="D137" s="251">
        <f>IF(A137="","",MIN( Inputs!$B$30, MAX(0, D136 + (C137-F137-G137)*Inputs!$B$9) ))</f>
        <v/>
      </c>
      <c r="E137" s="251">
        <f>IF(A137="","",Inputs!$B$31 + D137/Inputs!$B$33)</f>
        <v/>
      </c>
      <c r="F137" s="251">
        <f>IF(A137="","",MIN( D136/Inputs!$B$9, Inputs!$B$35*Inputs!$B$36*SQRT(2*Inputs!$B$37*MAX(E136-J136,0)) ))</f>
        <v/>
      </c>
      <c r="G137" s="251">
        <f>IF(A137="","",MAX(0,(D136 + (C137-F137)*Inputs!$B$9 - Inputs!$B$30)/Inputs!$B$9))</f>
        <v/>
      </c>
      <c r="H137" s="251">
        <f>IF(A137="","",MAX(0,MIN(Inputs!$B$44,H136+(S137-M137-I137)*Inputs!$B$9)))</f>
        <v/>
      </c>
      <c r="I137" s="251">
        <f>IF(A137="","",MAX(0,(H136+(S137-M137)*Inputs!$B$9-Inputs!$B$44)/Inputs!$B$9))</f>
        <v/>
      </c>
      <c r="J137" s="251">
        <f>IF(A137="","",Inputs!$B$40 + H137/Inputs!$B$42)</f>
        <v/>
      </c>
      <c r="K137" s="116">
        <f>IF(A137="","",IF(J136&gt;=Inputs!$B$47,2, IF(J136&gt;=Inputs!$B$45,1, IF(J136&lt;=Inputs!$B$46,0,K136))))</f>
        <v/>
      </c>
      <c r="L137" s="251">
        <f>IF(A137="","",K137*Inputs!$B$49)</f>
        <v/>
      </c>
      <c r="M137" s="251">
        <f>IF(A137="","",MIN(L137,H136/Inputs!$B$9+S137))</f>
        <v/>
      </c>
      <c r="N137" s="116">
        <f>IF(A137="","",IF(AND(K137&gt;0,K136=0),1,0))</f>
        <v/>
      </c>
      <c r="O137" s="116">
        <f>IF(A137="","",O136+N137)</f>
        <v/>
      </c>
      <c r="P137" s="251">
        <f>IF(A137="","",MIN(F137,Inputs!$B$50))</f>
        <v/>
      </c>
      <c r="Q137" s="251">
        <f>IF(A137="","",MAX(0,F137-P137))</f>
        <v/>
      </c>
      <c r="R137" s="251">
        <f>IF(A137="","",P137*Inputs!$B$51)</f>
        <v/>
      </c>
      <c r="S137" s="251">
        <f>IF(A137="","",Q137+R137)</f>
        <v/>
      </c>
    </row>
    <row r="138">
      <c r="A138" s="116">
        <f>IF(ROW()&lt;=Inputs!$B$53+2,A137+Inputs!$B$8,"")</f>
        <v/>
      </c>
      <c r="B138" s="251">
        <f>IF(A138="","",IFERROR(INDEX(IDF_Hyetograph!$J$2:$J$37,MATCH(A138,IDF_Hyetograph!$K$2:$K$37,0)),0))</f>
        <v/>
      </c>
      <c r="C138" s="251">
        <f>IF(A138="","",0.00278*Inputs!$B$4*Inputs!$B$3*B138)</f>
        <v/>
      </c>
      <c r="D138" s="251">
        <f>IF(A138="","",MIN( Inputs!$B$30, MAX(0, D137 + (C138-F138-G138)*Inputs!$B$9) ))</f>
        <v/>
      </c>
      <c r="E138" s="251">
        <f>IF(A138="","",Inputs!$B$31 + D138/Inputs!$B$33)</f>
        <v/>
      </c>
      <c r="F138" s="251">
        <f>IF(A138="","",MIN( D137/Inputs!$B$9, Inputs!$B$35*Inputs!$B$36*SQRT(2*Inputs!$B$37*MAX(E137-J137,0)) ))</f>
        <v/>
      </c>
      <c r="G138" s="251">
        <f>IF(A138="","",MAX(0,(D137 + (C138-F138)*Inputs!$B$9 - Inputs!$B$30)/Inputs!$B$9))</f>
        <v/>
      </c>
      <c r="H138" s="251">
        <f>IF(A138="","",MAX(0,MIN(Inputs!$B$44,H137+(S138-M138-I138)*Inputs!$B$9)))</f>
        <v/>
      </c>
      <c r="I138" s="251">
        <f>IF(A138="","",MAX(0,(H137+(S138-M138)*Inputs!$B$9-Inputs!$B$44)/Inputs!$B$9))</f>
        <v/>
      </c>
      <c r="J138" s="251">
        <f>IF(A138="","",Inputs!$B$40 + H138/Inputs!$B$42)</f>
        <v/>
      </c>
      <c r="K138" s="116">
        <f>IF(A138="","",IF(J137&gt;=Inputs!$B$47,2, IF(J137&gt;=Inputs!$B$45,1, IF(J137&lt;=Inputs!$B$46,0,K137))))</f>
        <v/>
      </c>
      <c r="L138" s="251">
        <f>IF(A138="","",K138*Inputs!$B$49)</f>
        <v/>
      </c>
      <c r="M138" s="251">
        <f>IF(A138="","",MIN(L138,H137/Inputs!$B$9+S138))</f>
        <v/>
      </c>
      <c r="N138" s="116">
        <f>IF(A138="","",IF(AND(K138&gt;0,K137=0),1,0))</f>
        <v/>
      </c>
      <c r="O138" s="116">
        <f>IF(A138="","",O137+N138)</f>
        <v/>
      </c>
      <c r="P138" s="251">
        <f>IF(A138="","",MIN(F138,Inputs!$B$50))</f>
        <v/>
      </c>
      <c r="Q138" s="251">
        <f>IF(A138="","",MAX(0,F138-P138))</f>
        <v/>
      </c>
      <c r="R138" s="251">
        <f>IF(A138="","",P138*Inputs!$B$51)</f>
        <v/>
      </c>
      <c r="S138" s="251">
        <f>IF(A138="","",Q138+R138)</f>
        <v/>
      </c>
    </row>
    <row r="139">
      <c r="A139" s="116">
        <f>IF(ROW()&lt;=Inputs!$B$53+2,A138+Inputs!$B$8,"")</f>
        <v/>
      </c>
      <c r="B139" s="251">
        <f>IF(A139="","",IFERROR(INDEX(IDF_Hyetograph!$J$2:$J$37,MATCH(A139,IDF_Hyetograph!$K$2:$K$37,0)),0))</f>
        <v/>
      </c>
      <c r="C139" s="251">
        <f>IF(A139="","",0.00278*Inputs!$B$4*Inputs!$B$3*B139)</f>
        <v/>
      </c>
      <c r="D139" s="251">
        <f>IF(A139="","",MIN( Inputs!$B$30, MAX(0, D138 + (C139-F139-G139)*Inputs!$B$9) ))</f>
        <v/>
      </c>
      <c r="E139" s="251">
        <f>IF(A139="","",Inputs!$B$31 + D139/Inputs!$B$33)</f>
        <v/>
      </c>
      <c r="F139" s="251">
        <f>IF(A139="","",MIN( D138/Inputs!$B$9, Inputs!$B$35*Inputs!$B$36*SQRT(2*Inputs!$B$37*MAX(E138-J138,0)) ))</f>
        <v/>
      </c>
      <c r="G139" s="251">
        <f>IF(A139="","",MAX(0,(D138 + (C139-F139)*Inputs!$B$9 - Inputs!$B$30)/Inputs!$B$9))</f>
        <v/>
      </c>
      <c r="H139" s="251">
        <f>IF(A139="","",MAX(0,MIN(Inputs!$B$44,H138+(S139-M139-I139)*Inputs!$B$9)))</f>
        <v/>
      </c>
      <c r="I139" s="251">
        <f>IF(A139="","",MAX(0,(H138+(S139-M139)*Inputs!$B$9-Inputs!$B$44)/Inputs!$B$9))</f>
        <v/>
      </c>
      <c r="J139" s="251">
        <f>IF(A139="","",Inputs!$B$40 + H139/Inputs!$B$42)</f>
        <v/>
      </c>
      <c r="K139" s="116">
        <f>IF(A139="","",IF(J138&gt;=Inputs!$B$47,2, IF(J138&gt;=Inputs!$B$45,1, IF(J138&lt;=Inputs!$B$46,0,K138))))</f>
        <v/>
      </c>
      <c r="L139" s="251">
        <f>IF(A139="","",K139*Inputs!$B$49)</f>
        <v/>
      </c>
      <c r="M139" s="251">
        <f>IF(A139="","",MIN(L139,H138/Inputs!$B$9+S139))</f>
        <v/>
      </c>
      <c r="N139" s="116">
        <f>IF(A139="","",IF(AND(K139&gt;0,K138=0),1,0))</f>
        <v/>
      </c>
      <c r="O139" s="116">
        <f>IF(A139="","",O138+N139)</f>
        <v/>
      </c>
      <c r="P139" s="251">
        <f>IF(A139="","",MIN(F139,Inputs!$B$50))</f>
        <v/>
      </c>
      <c r="Q139" s="251">
        <f>IF(A139="","",MAX(0,F139-P139))</f>
        <v/>
      </c>
      <c r="R139" s="251">
        <f>IF(A139="","",P139*Inputs!$B$51)</f>
        <v/>
      </c>
      <c r="S139" s="251">
        <f>IF(A139="","",Q139+R139)</f>
        <v/>
      </c>
    </row>
    <row r="140">
      <c r="A140" s="116">
        <f>IF(ROW()&lt;=Inputs!$B$53+2,A139+Inputs!$B$8,"")</f>
        <v/>
      </c>
      <c r="B140" s="251">
        <f>IF(A140="","",IFERROR(INDEX(IDF_Hyetograph!$J$2:$J$37,MATCH(A140,IDF_Hyetograph!$K$2:$K$37,0)),0))</f>
        <v/>
      </c>
      <c r="C140" s="251">
        <f>IF(A140="","",0.00278*Inputs!$B$4*Inputs!$B$3*B140)</f>
        <v/>
      </c>
      <c r="D140" s="251">
        <f>IF(A140="","",MIN( Inputs!$B$30, MAX(0, D139 + (C140-F140-G140)*Inputs!$B$9) ))</f>
        <v/>
      </c>
      <c r="E140" s="251">
        <f>IF(A140="","",Inputs!$B$31 + D140/Inputs!$B$33)</f>
        <v/>
      </c>
      <c r="F140" s="251">
        <f>IF(A140="","",MIN( D139/Inputs!$B$9, Inputs!$B$35*Inputs!$B$36*SQRT(2*Inputs!$B$37*MAX(E139-J139,0)) ))</f>
        <v/>
      </c>
      <c r="G140" s="251">
        <f>IF(A140="","",MAX(0,(D139 + (C140-F140)*Inputs!$B$9 - Inputs!$B$30)/Inputs!$B$9))</f>
        <v/>
      </c>
      <c r="H140" s="251">
        <f>IF(A140="","",MAX(0,MIN(Inputs!$B$44,H139+(S140-M140-I140)*Inputs!$B$9)))</f>
        <v/>
      </c>
      <c r="I140" s="251">
        <f>IF(A140="","",MAX(0,(H139+(S140-M140)*Inputs!$B$9-Inputs!$B$44)/Inputs!$B$9))</f>
        <v/>
      </c>
      <c r="J140" s="251">
        <f>IF(A140="","",Inputs!$B$40 + H140/Inputs!$B$42)</f>
        <v/>
      </c>
      <c r="K140" s="116">
        <f>IF(A140="","",IF(J139&gt;=Inputs!$B$47,2, IF(J139&gt;=Inputs!$B$45,1, IF(J139&lt;=Inputs!$B$46,0,K139))))</f>
        <v/>
      </c>
      <c r="L140" s="251">
        <f>IF(A140="","",K140*Inputs!$B$49)</f>
        <v/>
      </c>
      <c r="M140" s="251">
        <f>IF(A140="","",MIN(L140,H139/Inputs!$B$9+S140))</f>
        <v/>
      </c>
      <c r="N140" s="116">
        <f>IF(A140="","",IF(AND(K140&gt;0,K139=0),1,0))</f>
        <v/>
      </c>
      <c r="O140" s="116">
        <f>IF(A140="","",O139+N140)</f>
        <v/>
      </c>
      <c r="P140" s="251">
        <f>IF(A140="","",MIN(F140,Inputs!$B$50))</f>
        <v/>
      </c>
      <c r="Q140" s="251">
        <f>IF(A140="","",MAX(0,F140-P140))</f>
        <v/>
      </c>
      <c r="R140" s="251">
        <f>IF(A140="","",P140*Inputs!$B$51)</f>
        <v/>
      </c>
      <c r="S140" s="251">
        <f>IF(A140="","",Q140+R140)</f>
        <v/>
      </c>
    </row>
    <row r="141">
      <c r="A141" s="116">
        <f>IF(ROW()&lt;=Inputs!$B$53+2,A140+Inputs!$B$8,"")</f>
        <v/>
      </c>
      <c r="B141" s="251">
        <f>IF(A141="","",IFERROR(INDEX(IDF_Hyetograph!$J$2:$J$37,MATCH(A141,IDF_Hyetograph!$K$2:$K$37,0)),0))</f>
        <v/>
      </c>
      <c r="C141" s="251">
        <f>IF(A141="","",0.00278*Inputs!$B$4*Inputs!$B$3*B141)</f>
        <v/>
      </c>
      <c r="D141" s="251">
        <f>IF(A141="","",MIN( Inputs!$B$30, MAX(0, D140 + (C141-F141-G141)*Inputs!$B$9) ))</f>
        <v/>
      </c>
      <c r="E141" s="251">
        <f>IF(A141="","",Inputs!$B$31 + D141/Inputs!$B$33)</f>
        <v/>
      </c>
      <c r="F141" s="251">
        <f>IF(A141="","",MIN( D140/Inputs!$B$9, Inputs!$B$35*Inputs!$B$36*SQRT(2*Inputs!$B$37*MAX(E140-J140,0)) ))</f>
        <v/>
      </c>
      <c r="G141" s="251">
        <f>IF(A141="","",MAX(0,(D140 + (C141-F141)*Inputs!$B$9 - Inputs!$B$30)/Inputs!$B$9))</f>
        <v/>
      </c>
      <c r="H141" s="251">
        <f>IF(A141="","",MAX(0,MIN(Inputs!$B$44,H140+(S141-M141-I141)*Inputs!$B$9)))</f>
        <v/>
      </c>
      <c r="I141" s="251">
        <f>IF(A141="","",MAX(0,(H140+(S141-M141)*Inputs!$B$9-Inputs!$B$44)/Inputs!$B$9))</f>
        <v/>
      </c>
      <c r="J141" s="251">
        <f>IF(A141="","",Inputs!$B$40 + H141/Inputs!$B$42)</f>
        <v/>
      </c>
      <c r="K141" s="116">
        <f>IF(A141="","",IF(J140&gt;=Inputs!$B$47,2, IF(J140&gt;=Inputs!$B$45,1, IF(J140&lt;=Inputs!$B$46,0,K140))))</f>
        <v/>
      </c>
      <c r="L141" s="251">
        <f>IF(A141="","",K141*Inputs!$B$49)</f>
        <v/>
      </c>
      <c r="M141" s="251">
        <f>IF(A141="","",MIN(L141,H140/Inputs!$B$9+S141))</f>
        <v/>
      </c>
      <c r="N141" s="116">
        <f>IF(A141="","",IF(AND(K141&gt;0,K140=0),1,0))</f>
        <v/>
      </c>
      <c r="O141" s="116">
        <f>IF(A141="","",O140+N141)</f>
        <v/>
      </c>
      <c r="P141" s="251">
        <f>IF(A141="","",MIN(F141,Inputs!$B$50))</f>
        <v/>
      </c>
      <c r="Q141" s="251">
        <f>IF(A141="","",MAX(0,F141-P141))</f>
        <v/>
      </c>
      <c r="R141" s="251">
        <f>IF(A141="","",P141*Inputs!$B$51)</f>
        <v/>
      </c>
      <c r="S141" s="251">
        <f>IF(A141="","",Q141+R141)</f>
        <v/>
      </c>
    </row>
    <row r="142">
      <c r="A142" s="116">
        <f>IF(ROW()&lt;=Inputs!$B$53+2,A141+Inputs!$B$8,"")</f>
        <v/>
      </c>
      <c r="B142" s="251">
        <f>IF(A142="","",IFERROR(INDEX(IDF_Hyetograph!$J$2:$J$37,MATCH(A142,IDF_Hyetograph!$K$2:$K$37,0)),0))</f>
        <v/>
      </c>
      <c r="C142" s="251">
        <f>IF(A142="","",0.00278*Inputs!$B$4*Inputs!$B$3*B142)</f>
        <v/>
      </c>
      <c r="D142" s="251">
        <f>IF(A142="","",MIN( Inputs!$B$30, MAX(0, D141 + (C142-F142-G142)*Inputs!$B$9) ))</f>
        <v/>
      </c>
      <c r="E142" s="251">
        <f>IF(A142="","",Inputs!$B$31 + D142/Inputs!$B$33)</f>
        <v/>
      </c>
      <c r="F142" s="251">
        <f>IF(A142="","",MIN( D141/Inputs!$B$9, Inputs!$B$35*Inputs!$B$36*SQRT(2*Inputs!$B$37*MAX(E141-J141,0)) ))</f>
        <v/>
      </c>
      <c r="G142" s="251">
        <f>IF(A142="","",MAX(0,(D141 + (C142-F142)*Inputs!$B$9 - Inputs!$B$30)/Inputs!$B$9))</f>
        <v/>
      </c>
      <c r="H142" s="251">
        <f>IF(A142="","",MAX(0,MIN(Inputs!$B$44,H141+(S142-M142-I142)*Inputs!$B$9)))</f>
        <v/>
      </c>
      <c r="I142" s="251">
        <f>IF(A142="","",MAX(0,(H141+(S142-M142)*Inputs!$B$9-Inputs!$B$44)/Inputs!$B$9))</f>
        <v/>
      </c>
      <c r="J142" s="251">
        <f>IF(A142="","",Inputs!$B$40 + H142/Inputs!$B$42)</f>
        <v/>
      </c>
      <c r="K142" s="116">
        <f>IF(A142="","",IF(J141&gt;=Inputs!$B$47,2, IF(J141&gt;=Inputs!$B$45,1, IF(J141&lt;=Inputs!$B$46,0,K141))))</f>
        <v/>
      </c>
      <c r="L142" s="251">
        <f>IF(A142="","",K142*Inputs!$B$49)</f>
        <v/>
      </c>
      <c r="M142" s="251">
        <f>IF(A142="","",MIN(L142,H141/Inputs!$B$9+S142))</f>
        <v/>
      </c>
      <c r="N142" s="116">
        <f>IF(A142="","",IF(AND(K142&gt;0,K141=0),1,0))</f>
        <v/>
      </c>
      <c r="O142" s="116">
        <f>IF(A142="","",O141+N142)</f>
        <v/>
      </c>
      <c r="P142" s="251">
        <f>IF(A142="","",MIN(F142,Inputs!$B$50))</f>
        <v/>
      </c>
      <c r="Q142" s="251">
        <f>IF(A142="","",MAX(0,F142-P142))</f>
        <v/>
      </c>
      <c r="R142" s="251">
        <f>IF(A142="","",P142*Inputs!$B$51)</f>
        <v/>
      </c>
      <c r="S142" s="251">
        <f>IF(A142="","",Q142+R142)</f>
        <v/>
      </c>
    </row>
    <row r="143">
      <c r="A143" s="116">
        <f>IF(ROW()&lt;=Inputs!$B$53+2,A142+Inputs!$B$8,"")</f>
        <v/>
      </c>
      <c r="B143" s="251">
        <f>IF(A143="","",IFERROR(INDEX(IDF_Hyetograph!$J$2:$J$37,MATCH(A143,IDF_Hyetograph!$K$2:$K$37,0)),0))</f>
        <v/>
      </c>
      <c r="C143" s="251">
        <f>IF(A143="","",0.00278*Inputs!$B$4*Inputs!$B$3*B143)</f>
        <v/>
      </c>
      <c r="D143" s="251">
        <f>IF(A143="","",MIN( Inputs!$B$30, MAX(0, D142 + (C143-F143-G143)*Inputs!$B$9) ))</f>
        <v/>
      </c>
      <c r="E143" s="251">
        <f>IF(A143="","",Inputs!$B$31 + D143/Inputs!$B$33)</f>
        <v/>
      </c>
      <c r="F143" s="251">
        <f>IF(A143="","",MIN( D142/Inputs!$B$9, Inputs!$B$35*Inputs!$B$36*SQRT(2*Inputs!$B$37*MAX(E142-J142,0)) ))</f>
        <v/>
      </c>
      <c r="G143" s="251">
        <f>IF(A143="","",MAX(0,(D142 + (C143-F143)*Inputs!$B$9 - Inputs!$B$30)/Inputs!$B$9))</f>
        <v/>
      </c>
      <c r="H143" s="251">
        <f>IF(A143="","",MAX(0,MIN(Inputs!$B$44,H142+(S143-M143-I143)*Inputs!$B$9)))</f>
        <v/>
      </c>
      <c r="I143" s="251">
        <f>IF(A143="","",MAX(0,(H142+(S143-M143)*Inputs!$B$9-Inputs!$B$44)/Inputs!$B$9))</f>
        <v/>
      </c>
      <c r="J143" s="251">
        <f>IF(A143="","",Inputs!$B$40 + H143/Inputs!$B$42)</f>
        <v/>
      </c>
      <c r="K143" s="116">
        <f>IF(A143="","",IF(J142&gt;=Inputs!$B$47,2, IF(J142&gt;=Inputs!$B$45,1, IF(J142&lt;=Inputs!$B$46,0,K142))))</f>
        <v/>
      </c>
      <c r="L143" s="251">
        <f>IF(A143="","",K143*Inputs!$B$49)</f>
        <v/>
      </c>
      <c r="M143" s="251">
        <f>IF(A143="","",MIN(L143,H142/Inputs!$B$9+S143))</f>
        <v/>
      </c>
      <c r="N143" s="116">
        <f>IF(A143="","",IF(AND(K143&gt;0,K142=0),1,0))</f>
        <v/>
      </c>
      <c r="O143" s="116">
        <f>IF(A143="","",O142+N143)</f>
        <v/>
      </c>
      <c r="P143" s="251">
        <f>IF(A143="","",MIN(F143,Inputs!$B$50))</f>
        <v/>
      </c>
      <c r="Q143" s="251">
        <f>IF(A143="","",MAX(0,F143-P143))</f>
        <v/>
      </c>
      <c r="R143" s="251">
        <f>IF(A143="","",P143*Inputs!$B$51)</f>
        <v/>
      </c>
      <c r="S143" s="251">
        <f>IF(A143="","",Q143+R143)</f>
        <v/>
      </c>
    </row>
    <row r="144">
      <c r="A144" s="116">
        <f>IF(ROW()&lt;=Inputs!$B$53+2,A143+Inputs!$B$8,"")</f>
        <v/>
      </c>
      <c r="B144" s="251">
        <f>IF(A144="","",IFERROR(INDEX(IDF_Hyetograph!$J$2:$J$37,MATCH(A144,IDF_Hyetograph!$K$2:$K$37,0)),0))</f>
        <v/>
      </c>
      <c r="C144" s="251">
        <f>IF(A144="","",0.00278*Inputs!$B$4*Inputs!$B$3*B144)</f>
        <v/>
      </c>
      <c r="D144" s="251">
        <f>IF(A144="","",MIN( Inputs!$B$30, MAX(0, D143 + (C144-F144-G144)*Inputs!$B$9) ))</f>
        <v/>
      </c>
      <c r="E144" s="251">
        <f>IF(A144="","",Inputs!$B$31 + D144/Inputs!$B$33)</f>
        <v/>
      </c>
      <c r="F144" s="251">
        <f>IF(A144="","",MIN( D143/Inputs!$B$9, Inputs!$B$35*Inputs!$B$36*SQRT(2*Inputs!$B$37*MAX(E143-J143,0)) ))</f>
        <v/>
      </c>
      <c r="G144" s="251">
        <f>IF(A144="","",MAX(0,(D143 + (C144-F144)*Inputs!$B$9 - Inputs!$B$30)/Inputs!$B$9))</f>
        <v/>
      </c>
      <c r="H144" s="251">
        <f>IF(A144="","",MAX(0,MIN(Inputs!$B$44,H143+(S144-M144-I144)*Inputs!$B$9)))</f>
        <v/>
      </c>
      <c r="I144" s="251">
        <f>IF(A144="","",MAX(0,(H143+(S144-M144)*Inputs!$B$9-Inputs!$B$44)/Inputs!$B$9))</f>
        <v/>
      </c>
      <c r="J144" s="251">
        <f>IF(A144="","",Inputs!$B$40 + H144/Inputs!$B$42)</f>
        <v/>
      </c>
      <c r="K144" s="116">
        <f>IF(A144="","",IF(J143&gt;=Inputs!$B$47,2, IF(J143&gt;=Inputs!$B$45,1, IF(J143&lt;=Inputs!$B$46,0,K143))))</f>
        <v/>
      </c>
      <c r="L144" s="251">
        <f>IF(A144="","",K144*Inputs!$B$49)</f>
        <v/>
      </c>
      <c r="M144" s="251">
        <f>IF(A144="","",MIN(L144,H143/Inputs!$B$9+S144))</f>
        <v/>
      </c>
      <c r="N144" s="116">
        <f>IF(A144="","",IF(AND(K144&gt;0,K143=0),1,0))</f>
        <v/>
      </c>
      <c r="O144" s="116">
        <f>IF(A144="","",O143+N144)</f>
        <v/>
      </c>
      <c r="P144" s="251">
        <f>IF(A144="","",MIN(F144,Inputs!$B$50))</f>
        <v/>
      </c>
      <c r="Q144" s="251">
        <f>IF(A144="","",MAX(0,F144-P144))</f>
        <v/>
      </c>
      <c r="R144" s="251">
        <f>IF(A144="","",P144*Inputs!$B$51)</f>
        <v/>
      </c>
      <c r="S144" s="251">
        <f>IF(A144="","",Q144+R144)</f>
        <v/>
      </c>
    </row>
    <row r="145">
      <c r="A145" s="116">
        <f>IF(ROW()&lt;=Inputs!$B$53+2,A144+Inputs!$B$8,"")</f>
        <v/>
      </c>
      <c r="B145" s="251">
        <f>IF(A145="","",IFERROR(INDEX(IDF_Hyetograph!$J$2:$J$37,MATCH(A145,IDF_Hyetograph!$K$2:$K$37,0)),0))</f>
        <v/>
      </c>
      <c r="C145" s="251">
        <f>IF(A145="","",0.00278*Inputs!$B$4*Inputs!$B$3*B145)</f>
        <v/>
      </c>
      <c r="D145" s="251">
        <f>IF(A145="","",MIN( Inputs!$B$30, MAX(0, D144 + (C145-F145-G145)*Inputs!$B$9) ))</f>
        <v/>
      </c>
      <c r="E145" s="251">
        <f>IF(A145="","",Inputs!$B$31 + D145/Inputs!$B$33)</f>
        <v/>
      </c>
      <c r="F145" s="251">
        <f>IF(A145="","",MIN( D144/Inputs!$B$9, Inputs!$B$35*Inputs!$B$36*SQRT(2*Inputs!$B$37*MAX(E144-J144,0)) ))</f>
        <v/>
      </c>
      <c r="G145" s="251">
        <f>IF(A145="","",MAX(0,(D144 + (C145-F145)*Inputs!$B$9 - Inputs!$B$30)/Inputs!$B$9))</f>
        <v/>
      </c>
      <c r="H145" s="251">
        <f>IF(A145="","",MAX(0,MIN(Inputs!$B$44,H144+(S145-M145-I145)*Inputs!$B$9)))</f>
        <v/>
      </c>
      <c r="I145" s="251">
        <f>IF(A145="","",MAX(0,(H144+(S145-M145)*Inputs!$B$9-Inputs!$B$44)/Inputs!$B$9))</f>
        <v/>
      </c>
      <c r="J145" s="251">
        <f>IF(A145="","",Inputs!$B$40 + H145/Inputs!$B$42)</f>
        <v/>
      </c>
      <c r="K145" s="116">
        <f>IF(A145="","",IF(J144&gt;=Inputs!$B$47,2, IF(J144&gt;=Inputs!$B$45,1, IF(J144&lt;=Inputs!$B$46,0,K144))))</f>
        <v/>
      </c>
      <c r="L145" s="251">
        <f>IF(A145="","",K145*Inputs!$B$49)</f>
        <v/>
      </c>
      <c r="M145" s="251">
        <f>IF(A145="","",MIN(L145,H144/Inputs!$B$9+S145))</f>
        <v/>
      </c>
      <c r="N145" s="116">
        <f>IF(A145="","",IF(AND(K145&gt;0,K144=0),1,0))</f>
        <v/>
      </c>
      <c r="O145" s="116">
        <f>IF(A145="","",O144+N145)</f>
        <v/>
      </c>
      <c r="P145" s="251">
        <f>IF(A145="","",MIN(F145,Inputs!$B$50))</f>
        <v/>
      </c>
      <c r="Q145" s="251">
        <f>IF(A145="","",MAX(0,F145-P145))</f>
        <v/>
      </c>
      <c r="R145" s="251">
        <f>IF(A145="","",P145*Inputs!$B$51)</f>
        <v/>
      </c>
      <c r="S145" s="251">
        <f>IF(A145="","",Q145+R145)</f>
        <v/>
      </c>
    </row>
    <row r="146">
      <c r="A146" s="116">
        <f>IF(ROW()&lt;=Inputs!$B$53+2,A145+Inputs!$B$8,"")</f>
        <v/>
      </c>
      <c r="B146" s="251">
        <f>IF(A146="","",IFERROR(INDEX(IDF_Hyetograph!$J$2:$J$37,MATCH(A146,IDF_Hyetograph!$K$2:$K$37,0)),0))</f>
        <v/>
      </c>
      <c r="C146" s="251">
        <f>IF(A146="","",0.00278*Inputs!$B$4*Inputs!$B$3*B146)</f>
        <v/>
      </c>
      <c r="D146" s="251">
        <f>IF(A146="","",MIN( Inputs!$B$30, MAX(0, D145 + (C146-F146-G146)*Inputs!$B$9) ))</f>
        <v/>
      </c>
      <c r="E146" s="251">
        <f>IF(A146="","",Inputs!$B$31 + D146/Inputs!$B$33)</f>
        <v/>
      </c>
      <c r="F146" s="251">
        <f>IF(A146="","",MIN( D145/Inputs!$B$9, Inputs!$B$35*Inputs!$B$36*SQRT(2*Inputs!$B$37*MAX(E145-J145,0)) ))</f>
        <v/>
      </c>
      <c r="G146" s="251">
        <f>IF(A146="","",MAX(0,(D145 + (C146-F146)*Inputs!$B$9 - Inputs!$B$30)/Inputs!$B$9))</f>
        <v/>
      </c>
      <c r="H146" s="251">
        <f>IF(A146="","",MAX(0,MIN(Inputs!$B$44,H145+(S146-M146-I146)*Inputs!$B$9)))</f>
        <v/>
      </c>
      <c r="I146" s="251">
        <f>IF(A146="","",MAX(0,(H145+(S146-M146)*Inputs!$B$9-Inputs!$B$44)/Inputs!$B$9))</f>
        <v/>
      </c>
      <c r="J146" s="251">
        <f>IF(A146="","",Inputs!$B$40 + H146/Inputs!$B$42)</f>
        <v/>
      </c>
      <c r="K146" s="116">
        <f>IF(A146="","",IF(J145&gt;=Inputs!$B$47,2, IF(J145&gt;=Inputs!$B$45,1, IF(J145&lt;=Inputs!$B$46,0,K145))))</f>
        <v/>
      </c>
      <c r="L146" s="251">
        <f>IF(A146="","",K146*Inputs!$B$49)</f>
        <v/>
      </c>
      <c r="M146" s="251">
        <f>IF(A146="","",MIN(L146,H145/Inputs!$B$9+S146))</f>
        <v/>
      </c>
      <c r="N146" s="116">
        <f>IF(A146="","",IF(AND(K146&gt;0,K145=0),1,0))</f>
        <v/>
      </c>
      <c r="O146" s="116">
        <f>IF(A146="","",O145+N146)</f>
        <v/>
      </c>
      <c r="P146" s="251">
        <f>IF(A146="","",MIN(F146,Inputs!$B$50))</f>
        <v/>
      </c>
      <c r="Q146" s="251">
        <f>IF(A146="","",MAX(0,F146-P146))</f>
        <v/>
      </c>
      <c r="R146" s="251">
        <f>IF(A146="","",P146*Inputs!$B$51)</f>
        <v/>
      </c>
      <c r="S146" s="251">
        <f>IF(A146="","",Q146+R146)</f>
        <v/>
      </c>
    </row>
    <row r="147">
      <c r="A147" s="116">
        <f>IF(ROW()&lt;=Inputs!$B$53+2,A146+Inputs!$B$8,"")</f>
        <v/>
      </c>
      <c r="B147" s="251">
        <f>IF(A147="","",IFERROR(INDEX(IDF_Hyetograph!$J$2:$J$37,MATCH(A147,IDF_Hyetograph!$K$2:$K$37,0)),0))</f>
        <v/>
      </c>
      <c r="C147" s="251">
        <f>IF(A147="","",0.00278*Inputs!$B$4*Inputs!$B$3*B147)</f>
        <v/>
      </c>
      <c r="D147" s="251">
        <f>IF(A147="","",MIN( Inputs!$B$30, MAX(0, D146 + (C147-F147-G147)*Inputs!$B$9) ))</f>
        <v/>
      </c>
      <c r="E147" s="251">
        <f>IF(A147="","",Inputs!$B$31 + D147/Inputs!$B$33)</f>
        <v/>
      </c>
      <c r="F147" s="251">
        <f>IF(A147="","",MIN( D146/Inputs!$B$9, Inputs!$B$35*Inputs!$B$36*SQRT(2*Inputs!$B$37*MAX(E146-J146,0)) ))</f>
        <v/>
      </c>
      <c r="G147" s="251">
        <f>IF(A147="","",MAX(0,(D146 + (C147-F147)*Inputs!$B$9 - Inputs!$B$30)/Inputs!$B$9))</f>
        <v/>
      </c>
      <c r="H147" s="251">
        <f>IF(A147="","",MAX(0,MIN(Inputs!$B$44,H146+(S147-M147-I147)*Inputs!$B$9)))</f>
        <v/>
      </c>
      <c r="I147" s="251">
        <f>IF(A147="","",MAX(0,(H146+(S147-M147)*Inputs!$B$9-Inputs!$B$44)/Inputs!$B$9))</f>
        <v/>
      </c>
      <c r="J147" s="251">
        <f>IF(A147="","",Inputs!$B$40 + H147/Inputs!$B$42)</f>
        <v/>
      </c>
      <c r="K147" s="116">
        <f>IF(A147="","",IF(J146&gt;=Inputs!$B$47,2, IF(J146&gt;=Inputs!$B$45,1, IF(J146&lt;=Inputs!$B$46,0,K146))))</f>
        <v/>
      </c>
      <c r="L147" s="251">
        <f>IF(A147="","",K147*Inputs!$B$49)</f>
        <v/>
      </c>
      <c r="M147" s="251">
        <f>IF(A147="","",MIN(L147,H146/Inputs!$B$9+S147))</f>
        <v/>
      </c>
      <c r="N147" s="116">
        <f>IF(A147="","",IF(AND(K147&gt;0,K146=0),1,0))</f>
        <v/>
      </c>
      <c r="O147" s="116">
        <f>IF(A147="","",O146+N147)</f>
        <v/>
      </c>
      <c r="P147" s="251">
        <f>IF(A147="","",MIN(F147,Inputs!$B$50))</f>
        <v/>
      </c>
      <c r="Q147" s="251">
        <f>IF(A147="","",MAX(0,F147-P147))</f>
        <v/>
      </c>
      <c r="R147" s="251">
        <f>IF(A147="","",P147*Inputs!$B$51)</f>
        <v/>
      </c>
      <c r="S147" s="251">
        <f>IF(A147="","",Q147+R147)</f>
        <v/>
      </c>
    </row>
    <row r="148">
      <c r="A148" s="116">
        <f>IF(ROW()&lt;=Inputs!$B$53+2,A147+Inputs!$B$8,"")</f>
        <v/>
      </c>
      <c r="B148" s="251">
        <f>IF(A148="","",IFERROR(INDEX(IDF_Hyetograph!$J$2:$J$37,MATCH(A148,IDF_Hyetograph!$K$2:$K$37,0)),0))</f>
        <v/>
      </c>
      <c r="C148" s="251">
        <f>IF(A148="","",0.00278*Inputs!$B$4*Inputs!$B$3*B148)</f>
        <v/>
      </c>
      <c r="D148" s="251">
        <f>IF(A148="","",MIN( Inputs!$B$30, MAX(0, D147 + (C148-F148-G148)*Inputs!$B$9) ))</f>
        <v/>
      </c>
      <c r="E148" s="251">
        <f>IF(A148="","",Inputs!$B$31 + D148/Inputs!$B$33)</f>
        <v/>
      </c>
      <c r="F148" s="251">
        <f>IF(A148="","",MIN( D147/Inputs!$B$9, Inputs!$B$35*Inputs!$B$36*SQRT(2*Inputs!$B$37*MAX(E147-J147,0)) ))</f>
        <v/>
      </c>
      <c r="G148" s="251">
        <f>IF(A148="","",MAX(0,(D147 + (C148-F148)*Inputs!$B$9 - Inputs!$B$30)/Inputs!$B$9))</f>
        <v/>
      </c>
      <c r="H148" s="251">
        <f>IF(A148="","",MAX(0,MIN(Inputs!$B$44,H147+(S148-M148-I148)*Inputs!$B$9)))</f>
        <v/>
      </c>
      <c r="I148" s="251">
        <f>IF(A148="","",MAX(0,(H147+(S148-M148)*Inputs!$B$9-Inputs!$B$44)/Inputs!$B$9))</f>
        <v/>
      </c>
      <c r="J148" s="251">
        <f>IF(A148="","",Inputs!$B$40 + H148/Inputs!$B$42)</f>
        <v/>
      </c>
      <c r="K148" s="116">
        <f>IF(A148="","",IF(J147&gt;=Inputs!$B$47,2, IF(J147&gt;=Inputs!$B$45,1, IF(J147&lt;=Inputs!$B$46,0,K147))))</f>
        <v/>
      </c>
      <c r="L148" s="251">
        <f>IF(A148="","",K148*Inputs!$B$49)</f>
        <v/>
      </c>
      <c r="M148" s="251">
        <f>IF(A148="","",MIN(L148,H147/Inputs!$B$9+S148))</f>
        <v/>
      </c>
      <c r="N148" s="116">
        <f>IF(A148="","",IF(AND(K148&gt;0,K147=0),1,0))</f>
        <v/>
      </c>
      <c r="O148" s="116">
        <f>IF(A148="","",O147+N148)</f>
        <v/>
      </c>
      <c r="P148" s="251">
        <f>IF(A148="","",MIN(F148,Inputs!$B$50))</f>
        <v/>
      </c>
      <c r="Q148" s="251">
        <f>IF(A148="","",MAX(0,F148-P148))</f>
        <v/>
      </c>
      <c r="R148" s="251">
        <f>IF(A148="","",P148*Inputs!$B$51)</f>
        <v/>
      </c>
      <c r="S148" s="251">
        <f>IF(A148="","",Q148+R148)</f>
        <v/>
      </c>
    </row>
    <row r="149">
      <c r="A149" s="116">
        <f>IF(ROW()&lt;=Inputs!$B$53+2,A148+Inputs!$B$8,"")</f>
        <v/>
      </c>
      <c r="B149" s="251">
        <f>IF(A149="","",IFERROR(INDEX(IDF_Hyetograph!$J$2:$J$37,MATCH(A149,IDF_Hyetograph!$K$2:$K$37,0)),0))</f>
        <v/>
      </c>
      <c r="C149" s="251">
        <f>IF(A149="","",0.00278*Inputs!$B$4*Inputs!$B$3*B149)</f>
        <v/>
      </c>
      <c r="D149" s="251">
        <f>IF(A149="","",MIN( Inputs!$B$30, MAX(0, D148 + (C149-F149-G149)*Inputs!$B$9) ))</f>
        <v/>
      </c>
      <c r="E149" s="251">
        <f>IF(A149="","",Inputs!$B$31 + D149/Inputs!$B$33)</f>
        <v/>
      </c>
      <c r="F149" s="251">
        <f>IF(A149="","",MIN( D148/Inputs!$B$9, Inputs!$B$35*Inputs!$B$36*SQRT(2*Inputs!$B$37*MAX(E148-J148,0)) ))</f>
        <v/>
      </c>
      <c r="G149" s="251">
        <f>IF(A149="","",MAX(0,(D148 + (C149-F149)*Inputs!$B$9 - Inputs!$B$30)/Inputs!$B$9))</f>
        <v/>
      </c>
      <c r="H149" s="251">
        <f>IF(A149="","",MAX(0,MIN(Inputs!$B$44,H148+(S149-M149-I149)*Inputs!$B$9)))</f>
        <v/>
      </c>
      <c r="I149" s="251">
        <f>IF(A149="","",MAX(0,(H148+(S149-M149)*Inputs!$B$9-Inputs!$B$44)/Inputs!$B$9))</f>
        <v/>
      </c>
      <c r="J149" s="251">
        <f>IF(A149="","",Inputs!$B$40 + H149/Inputs!$B$42)</f>
        <v/>
      </c>
      <c r="K149" s="116">
        <f>IF(A149="","",IF(J148&gt;=Inputs!$B$47,2, IF(J148&gt;=Inputs!$B$45,1, IF(J148&lt;=Inputs!$B$46,0,K148))))</f>
        <v/>
      </c>
      <c r="L149" s="251">
        <f>IF(A149="","",K149*Inputs!$B$49)</f>
        <v/>
      </c>
      <c r="M149" s="251">
        <f>IF(A149="","",MIN(L149,H148/Inputs!$B$9+S149))</f>
        <v/>
      </c>
      <c r="N149" s="116">
        <f>IF(A149="","",IF(AND(K149&gt;0,K148=0),1,0))</f>
        <v/>
      </c>
      <c r="O149" s="116">
        <f>IF(A149="","",O148+N149)</f>
        <v/>
      </c>
      <c r="P149" s="251">
        <f>IF(A149="","",MIN(F149,Inputs!$B$50))</f>
        <v/>
      </c>
      <c r="Q149" s="251">
        <f>IF(A149="","",MAX(0,F149-P149))</f>
        <v/>
      </c>
      <c r="R149" s="251">
        <f>IF(A149="","",P149*Inputs!$B$51)</f>
        <v/>
      </c>
      <c r="S149" s="251">
        <f>IF(A149="","",Q149+R149)</f>
        <v/>
      </c>
    </row>
    <row r="150">
      <c r="A150" s="116">
        <f>IF(ROW()&lt;=Inputs!$B$53+2,A149+Inputs!$B$8,"")</f>
        <v/>
      </c>
      <c r="B150" s="251">
        <f>IF(A150="","",IFERROR(INDEX(IDF_Hyetograph!$J$2:$J$37,MATCH(A150,IDF_Hyetograph!$K$2:$K$37,0)),0))</f>
        <v/>
      </c>
      <c r="C150" s="251">
        <f>IF(A150="","",0.00278*Inputs!$B$4*Inputs!$B$3*B150)</f>
        <v/>
      </c>
      <c r="D150" s="251">
        <f>IF(A150="","",MIN( Inputs!$B$30, MAX(0, D149 + (C150-F150-G150)*Inputs!$B$9) ))</f>
        <v/>
      </c>
      <c r="E150" s="251">
        <f>IF(A150="","",Inputs!$B$31 + D150/Inputs!$B$33)</f>
        <v/>
      </c>
      <c r="F150" s="251">
        <f>IF(A150="","",MIN( D149/Inputs!$B$9, Inputs!$B$35*Inputs!$B$36*SQRT(2*Inputs!$B$37*MAX(E149-J149,0)) ))</f>
        <v/>
      </c>
      <c r="G150" s="251">
        <f>IF(A150="","",MAX(0,(D149 + (C150-F150)*Inputs!$B$9 - Inputs!$B$30)/Inputs!$B$9))</f>
        <v/>
      </c>
      <c r="H150" s="251">
        <f>IF(A150="","",MAX(0,MIN(Inputs!$B$44,H149+(S150-M150-I150)*Inputs!$B$9)))</f>
        <v/>
      </c>
      <c r="I150" s="251">
        <f>IF(A150="","",MAX(0,(H149+(S150-M150)*Inputs!$B$9-Inputs!$B$44)/Inputs!$B$9))</f>
        <v/>
      </c>
      <c r="J150" s="251">
        <f>IF(A150="","",Inputs!$B$40 + H150/Inputs!$B$42)</f>
        <v/>
      </c>
      <c r="K150" s="116">
        <f>IF(A150="","",IF(J149&gt;=Inputs!$B$47,2, IF(J149&gt;=Inputs!$B$45,1, IF(J149&lt;=Inputs!$B$46,0,K149))))</f>
        <v/>
      </c>
      <c r="L150" s="251">
        <f>IF(A150="","",K150*Inputs!$B$49)</f>
        <v/>
      </c>
      <c r="M150" s="251">
        <f>IF(A150="","",MIN(L150,H149/Inputs!$B$9+S150))</f>
        <v/>
      </c>
      <c r="N150" s="116">
        <f>IF(A150="","",IF(AND(K150&gt;0,K149=0),1,0))</f>
        <v/>
      </c>
      <c r="O150" s="116">
        <f>IF(A150="","",O149+N150)</f>
        <v/>
      </c>
      <c r="P150" s="251">
        <f>IF(A150="","",MIN(F150,Inputs!$B$50))</f>
        <v/>
      </c>
      <c r="Q150" s="251">
        <f>IF(A150="","",MAX(0,F150-P150))</f>
        <v/>
      </c>
      <c r="R150" s="251">
        <f>IF(A150="","",P150*Inputs!$B$51)</f>
        <v/>
      </c>
      <c r="S150" s="251">
        <f>IF(A150="","",Q150+R150)</f>
        <v/>
      </c>
    </row>
    <row r="151">
      <c r="A151" s="116">
        <f>IF(ROW()&lt;=Inputs!$B$53+2,A150+Inputs!$B$8,"")</f>
        <v/>
      </c>
      <c r="B151" s="251">
        <f>IF(A151="","",IFERROR(INDEX(IDF_Hyetograph!$J$2:$J$37,MATCH(A151,IDF_Hyetograph!$K$2:$K$37,0)),0))</f>
        <v/>
      </c>
      <c r="C151" s="251">
        <f>IF(A151="","",0.00278*Inputs!$B$4*Inputs!$B$3*B151)</f>
        <v/>
      </c>
      <c r="D151" s="251">
        <f>IF(A151="","",MIN( Inputs!$B$30, MAX(0, D150 + (C151-F151-G151)*Inputs!$B$9) ))</f>
        <v/>
      </c>
      <c r="E151" s="251">
        <f>IF(A151="","",Inputs!$B$31 + D151/Inputs!$B$33)</f>
        <v/>
      </c>
      <c r="F151" s="251">
        <f>IF(A151="","",MIN( D150/Inputs!$B$9, Inputs!$B$35*Inputs!$B$36*SQRT(2*Inputs!$B$37*MAX(E150-J150,0)) ))</f>
        <v/>
      </c>
      <c r="G151" s="251">
        <f>IF(A151="","",MAX(0,(D150 + (C151-F151)*Inputs!$B$9 - Inputs!$B$30)/Inputs!$B$9))</f>
        <v/>
      </c>
      <c r="H151" s="251">
        <f>IF(A151="","",MAX(0,MIN(Inputs!$B$44,H150+(S151-M151-I151)*Inputs!$B$9)))</f>
        <v/>
      </c>
      <c r="I151" s="251">
        <f>IF(A151="","",MAX(0,(H150+(S151-M151)*Inputs!$B$9-Inputs!$B$44)/Inputs!$B$9))</f>
        <v/>
      </c>
      <c r="J151" s="251">
        <f>IF(A151="","",Inputs!$B$40 + H151/Inputs!$B$42)</f>
        <v/>
      </c>
      <c r="K151" s="116">
        <f>IF(A151="","",IF(J150&gt;=Inputs!$B$47,2, IF(J150&gt;=Inputs!$B$45,1, IF(J150&lt;=Inputs!$B$46,0,K150))))</f>
        <v/>
      </c>
      <c r="L151" s="251">
        <f>IF(A151="","",K151*Inputs!$B$49)</f>
        <v/>
      </c>
      <c r="M151" s="251">
        <f>IF(A151="","",MIN(L151,H150/Inputs!$B$9+S151))</f>
        <v/>
      </c>
      <c r="N151" s="116">
        <f>IF(A151="","",IF(AND(K151&gt;0,K150=0),1,0))</f>
        <v/>
      </c>
      <c r="O151" s="116">
        <f>IF(A151="","",O150+N151)</f>
        <v/>
      </c>
      <c r="P151" s="251">
        <f>IF(A151="","",MIN(F151,Inputs!$B$50))</f>
        <v/>
      </c>
      <c r="Q151" s="251">
        <f>IF(A151="","",MAX(0,F151-P151))</f>
        <v/>
      </c>
      <c r="R151" s="251">
        <f>IF(A151="","",P151*Inputs!$B$51)</f>
        <v/>
      </c>
      <c r="S151" s="251">
        <f>IF(A151="","",Q151+R151)</f>
        <v/>
      </c>
    </row>
    <row r="152">
      <c r="A152" s="116">
        <f>IF(ROW()&lt;=Inputs!$B$53+2,A151+Inputs!$B$8,"")</f>
        <v/>
      </c>
      <c r="B152" s="251">
        <f>IF(A152="","",IFERROR(INDEX(IDF_Hyetograph!$J$2:$J$37,MATCH(A152,IDF_Hyetograph!$K$2:$K$37,0)),0))</f>
        <v/>
      </c>
      <c r="C152" s="251">
        <f>IF(A152="","",0.00278*Inputs!$B$4*Inputs!$B$3*B152)</f>
        <v/>
      </c>
      <c r="D152" s="251">
        <f>IF(A152="","",MIN( Inputs!$B$30, MAX(0, D151 + (C152-F152-G152)*Inputs!$B$9) ))</f>
        <v/>
      </c>
      <c r="E152" s="251">
        <f>IF(A152="","",Inputs!$B$31 + D152/Inputs!$B$33)</f>
        <v/>
      </c>
      <c r="F152" s="251">
        <f>IF(A152="","",MIN( D151/Inputs!$B$9, Inputs!$B$35*Inputs!$B$36*SQRT(2*Inputs!$B$37*MAX(E151-J151,0)) ))</f>
        <v/>
      </c>
      <c r="G152" s="251">
        <f>IF(A152="","",MAX(0,(D151 + (C152-F152)*Inputs!$B$9 - Inputs!$B$30)/Inputs!$B$9))</f>
        <v/>
      </c>
      <c r="H152" s="251">
        <f>IF(A152="","",MAX(0,MIN(Inputs!$B$44,H151+(S152-M152-I152)*Inputs!$B$9)))</f>
        <v/>
      </c>
      <c r="I152" s="251">
        <f>IF(A152="","",MAX(0,(H151+(S152-M152)*Inputs!$B$9-Inputs!$B$44)/Inputs!$B$9))</f>
        <v/>
      </c>
      <c r="J152" s="251">
        <f>IF(A152="","",Inputs!$B$40 + H152/Inputs!$B$42)</f>
        <v/>
      </c>
      <c r="K152" s="116">
        <f>IF(A152="","",IF(J151&gt;=Inputs!$B$47,2, IF(J151&gt;=Inputs!$B$45,1, IF(J151&lt;=Inputs!$B$46,0,K151))))</f>
        <v/>
      </c>
      <c r="L152" s="251">
        <f>IF(A152="","",K152*Inputs!$B$49)</f>
        <v/>
      </c>
      <c r="M152" s="251">
        <f>IF(A152="","",MIN(L152,H151/Inputs!$B$9+S152))</f>
        <v/>
      </c>
      <c r="N152" s="116">
        <f>IF(A152="","",IF(AND(K152&gt;0,K151=0),1,0))</f>
        <v/>
      </c>
      <c r="O152" s="116">
        <f>IF(A152="","",O151+N152)</f>
        <v/>
      </c>
      <c r="P152" s="251">
        <f>IF(A152="","",MIN(F152,Inputs!$B$50))</f>
        <v/>
      </c>
      <c r="Q152" s="251">
        <f>IF(A152="","",MAX(0,F152-P152))</f>
        <v/>
      </c>
      <c r="R152" s="251">
        <f>IF(A152="","",P152*Inputs!$B$51)</f>
        <v/>
      </c>
      <c r="S152" s="251">
        <f>IF(A152="","",Q152+R152)</f>
        <v/>
      </c>
    </row>
    <row r="153">
      <c r="A153" s="116">
        <f>IF(ROW()&lt;=Inputs!$B$53+2,A152+Inputs!$B$8,"")</f>
        <v/>
      </c>
      <c r="B153" s="251">
        <f>IF(A153="","",IFERROR(INDEX(IDF_Hyetograph!$J$2:$J$37,MATCH(A153,IDF_Hyetograph!$K$2:$K$37,0)),0))</f>
        <v/>
      </c>
      <c r="C153" s="251">
        <f>IF(A153="","",0.00278*Inputs!$B$4*Inputs!$B$3*B153)</f>
        <v/>
      </c>
      <c r="D153" s="251">
        <f>IF(A153="","",MIN( Inputs!$B$30, MAX(0, D152 + (C153-F153-G153)*Inputs!$B$9) ))</f>
        <v/>
      </c>
      <c r="E153" s="251">
        <f>IF(A153="","",Inputs!$B$31 + D153/Inputs!$B$33)</f>
        <v/>
      </c>
      <c r="F153" s="251">
        <f>IF(A153="","",MIN( D152/Inputs!$B$9, Inputs!$B$35*Inputs!$B$36*SQRT(2*Inputs!$B$37*MAX(E152-J152,0)) ))</f>
        <v/>
      </c>
      <c r="G153" s="251">
        <f>IF(A153="","",MAX(0,(D152 + (C153-F153)*Inputs!$B$9 - Inputs!$B$30)/Inputs!$B$9))</f>
        <v/>
      </c>
      <c r="H153" s="251">
        <f>IF(A153="","",MAX(0,MIN(Inputs!$B$44,H152+(S153-M153-I153)*Inputs!$B$9)))</f>
        <v/>
      </c>
      <c r="I153" s="251">
        <f>IF(A153="","",MAX(0,(H152+(S153-M153)*Inputs!$B$9-Inputs!$B$44)/Inputs!$B$9))</f>
        <v/>
      </c>
      <c r="J153" s="251">
        <f>IF(A153="","",Inputs!$B$40 + H153/Inputs!$B$42)</f>
        <v/>
      </c>
      <c r="K153" s="116">
        <f>IF(A153="","",IF(J152&gt;=Inputs!$B$47,2, IF(J152&gt;=Inputs!$B$45,1, IF(J152&lt;=Inputs!$B$46,0,K152))))</f>
        <v/>
      </c>
      <c r="L153" s="251">
        <f>IF(A153="","",K153*Inputs!$B$49)</f>
        <v/>
      </c>
      <c r="M153" s="251">
        <f>IF(A153="","",MIN(L153,H152/Inputs!$B$9+S153))</f>
        <v/>
      </c>
      <c r="N153" s="116">
        <f>IF(A153="","",IF(AND(K153&gt;0,K152=0),1,0))</f>
        <v/>
      </c>
      <c r="O153" s="116">
        <f>IF(A153="","",O152+N153)</f>
        <v/>
      </c>
      <c r="P153" s="251">
        <f>IF(A153="","",MIN(F153,Inputs!$B$50))</f>
        <v/>
      </c>
      <c r="Q153" s="251">
        <f>IF(A153="","",MAX(0,F153-P153))</f>
        <v/>
      </c>
      <c r="R153" s="251">
        <f>IF(A153="","",P153*Inputs!$B$51)</f>
        <v/>
      </c>
      <c r="S153" s="251">
        <f>IF(A153="","",Q153+R153)</f>
        <v/>
      </c>
    </row>
    <row r="154">
      <c r="A154" s="116">
        <f>IF(ROW()&lt;=Inputs!$B$53+2,A153+Inputs!$B$8,"")</f>
        <v/>
      </c>
      <c r="B154" s="251">
        <f>IF(A154="","",IFERROR(INDEX(IDF_Hyetograph!$J$2:$J$37,MATCH(A154,IDF_Hyetograph!$K$2:$K$37,0)),0))</f>
        <v/>
      </c>
      <c r="C154" s="251">
        <f>IF(A154="","",0.00278*Inputs!$B$4*Inputs!$B$3*B154)</f>
        <v/>
      </c>
      <c r="D154" s="251">
        <f>IF(A154="","",MIN( Inputs!$B$30, MAX(0, D153 + (C154-F154-G154)*Inputs!$B$9) ))</f>
        <v/>
      </c>
      <c r="E154" s="251">
        <f>IF(A154="","",Inputs!$B$31 + D154/Inputs!$B$33)</f>
        <v/>
      </c>
      <c r="F154" s="251">
        <f>IF(A154="","",MIN( D153/Inputs!$B$9, Inputs!$B$35*Inputs!$B$36*SQRT(2*Inputs!$B$37*MAX(E153-J153,0)) ))</f>
        <v/>
      </c>
      <c r="G154" s="251">
        <f>IF(A154="","",MAX(0,(D153 + (C154-F154)*Inputs!$B$9 - Inputs!$B$30)/Inputs!$B$9))</f>
        <v/>
      </c>
      <c r="H154" s="251">
        <f>IF(A154="","",MAX(0,MIN(Inputs!$B$44,H153+(S154-M154-I154)*Inputs!$B$9)))</f>
        <v/>
      </c>
      <c r="I154" s="251">
        <f>IF(A154="","",MAX(0,(H153+(S154-M154)*Inputs!$B$9-Inputs!$B$44)/Inputs!$B$9))</f>
        <v/>
      </c>
      <c r="J154" s="251">
        <f>IF(A154="","",Inputs!$B$40 + H154/Inputs!$B$42)</f>
        <v/>
      </c>
      <c r="K154" s="116">
        <f>IF(A154="","",IF(J153&gt;=Inputs!$B$47,2, IF(J153&gt;=Inputs!$B$45,1, IF(J153&lt;=Inputs!$B$46,0,K153))))</f>
        <v/>
      </c>
      <c r="L154" s="251">
        <f>IF(A154="","",K154*Inputs!$B$49)</f>
        <v/>
      </c>
      <c r="M154" s="251">
        <f>IF(A154="","",MIN(L154,H153/Inputs!$B$9+S154))</f>
        <v/>
      </c>
      <c r="N154" s="116">
        <f>IF(A154="","",IF(AND(K154&gt;0,K153=0),1,0))</f>
        <v/>
      </c>
      <c r="O154" s="116">
        <f>IF(A154="","",O153+N154)</f>
        <v/>
      </c>
      <c r="P154" s="251">
        <f>IF(A154="","",MIN(F154,Inputs!$B$50))</f>
        <v/>
      </c>
      <c r="Q154" s="251">
        <f>IF(A154="","",MAX(0,F154-P154))</f>
        <v/>
      </c>
      <c r="R154" s="251">
        <f>IF(A154="","",P154*Inputs!$B$51)</f>
        <v/>
      </c>
      <c r="S154" s="251">
        <f>IF(A154="","",Q154+R154)</f>
        <v/>
      </c>
    </row>
    <row r="155">
      <c r="A155" s="116">
        <f>IF(ROW()&lt;=Inputs!$B$53+2,A154+Inputs!$B$8,"")</f>
        <v/>
      </c>
      <c r="B155" s="251">
        <f>IF(A155="","",IFERROR(INDEX(IDF_Hyetograph!$J$2:$J$37,MATCH(A155,IDF_Hyetograph!$K$2:$K$37,0)),0))</f>
        <v/>
      </c>
      <c r="C155" s="251">
        <f>IF(A155="","",0.00278*Inputs!$B$4*Inputs!$B$3*B155)</f>
        <v/>
      </c>
      <c r="D155" s="251">
        <f>IF(A155="","",MIN( Inputs!$B$30, MAX(0, D154 + (C155-F155-G155)*Inputs!$B$9) ))</f>
        <v/>
      </c>
      <c r="E155" s="251">
        <f>IF(A155="","",Inputs!$B$31 + D155/Inputs!$B$33)</f>
        <v/>
      </c>
      <c r="F155" s="251">
        <f>IF(A155="","",MIN( D154/Inputs!$B$9, Inputs!$B$35*Inputs!$B$36*SQRT(2*Inputs!$B$37*MAX(E154-J154,0)) ))</f>
        <v/>
      </c>
      <c r="G155" s="251">
        <f>IF(A155="","",MAX(0,(D154 + (C155-F155)*Inputs!$B$9 - Inputs!$B$30)/Inputs!$B$9))</f>
        <v/>
      </c>
      <c r="H155" s="251">
        <f>IF(A155="","",MAX(0,MIN(Inputs!$B$44,H154+(S155-M155-I155)*Inputs!$B$9)))</f>
        <v/>
      </c>
      <c r="I155" s="251">
        <f>IF(A155="","",MAX(0,(H154+(S155-M155)*Inputs!$B$9-Inputs!$B$44)/Inputs!$B$9))</f>
        <v/>
      </c>
      <c r="J155" s="251">
        <f>IF(A155="","",Inputs!$B$40 + H155/Inputs!$B$42)</f>
        <v/>
      </c>
      <c r="K155" s="116">
        <f>IF(A155="","",IF(J154&gt;=Inputs!$B$47,2, IF(J154&gt;=Inputs!$B$45,1, IF(J154&lt;=Inputs!$B$46,0,K154))))</f>
        <v/>
      </c>
      <c r="L155" s="251">
        <f>IF(A155="","",K155*Inputs!$B$49)</f>
        <v/>
      </c>
      <c r="M155" s="251">
        <f>IF(A155="","",MIN(L155,H154/Inputs!$B$9+S155))</f>
        <v/>
      </c>
      <c r="N155" s="116">
        <f>IF(A155="","",IF(AND(K155&gt;0,K154=0),1,0))</f>
        <v/>
      </c>
      <c r="O155" s="116">
        <f>IF(A155="","",O154+N155)</f>
        <v/>
      </c>
      <c r="P155" s="251">
        <f>IF(A155="","",MIN(F155,Inputs!$B$50))</f>
        <v/>
      </c>
      <c r="Q155" s="251">
        <f>IF(A155="","",MAX(0,F155-P155))</f>
        <v/>
      </c>
      <c r="R155" s="251">
        <f>IF(A155="","",P155*Inputs!$B$51)</f>
        <v/>
      </c>
      <c r="S155" s="251">
        <f>IF(A155="","",Q155+R155)</f>
        <v/>
      </c>
    </row>
    <row r="156">
      <c r="A156" s="116">
        <f>IF(ROW()&lt;=Inputs!$B$53+2,A155+Inputs!$B$8,"")</f>
        <v/>
      </c>
      <c r="B156" s="251">
        <f>IF(A156="","",IFERROR(INDEX(IDF_Hyetograph!$J$2:$J$37,MATCH(A156,IDF_Hyetograph!$K$2:$K$37,0)),0))</f>
        <v/>
      </c>
      <c r="C156" s="251">
        <f>IF(A156="","",0.00278*Inputs!$B$4*Inputs!$B$3*B156)</f>
        <v/>
      </c>
      <c r="D156" s="251">
        <f>IF(A156="","",MIN( Inputs!$B$30, MAX(0, D155 + (C156-F156-G156)*Inputs!$B$9) ))</f>
        <v/>
      </c>
      <c r="E156" s="251">
        <f>IF(A156="","",Inputs!$B$31 + D156/Inputs!$B$33)</f>
        <v/>
      </c>
      <c r="F156" s="251">
        <f>IF(A156="","",MIN( D155/Inputs!$B$9, Inputs!$B$35*Inputs!$B$36*SQRT(2*Inputs!$B$37*MAX(E155-J155,0)) ))</f>
        <v/>
      </c>
      <c r="G156" s="251">
        <f>IF(A156="","",MAX(0,(D155 + (C156-F156)*Inputs!$B$9 - Inputs!$B$30)/Inputs!$B$9))</f>
        <v/>
      </c>
      <c r="H156" s="251">
        <f>IF(A156="","",MAX(0,MIN(Inputs!$B$44,H155+(S156-M156-I156)*Inputs!$B$9)))</f>
        <v/>
      </c>
      <c r="I156" s="251">
        <f>IF(A156="","",MAX(0,(H155+(S156-M156)*Inputs!$B$9-Inputs!$B$44)/Inputs!$B$9))</f>
        <v/>
      </c>
      <c r="J156" s="251">
        <f>IF(A156="","",Inputs!$B$40 + H156/Inputs!$B$42)</f>
        <v/>
      </c>
      <c r="K156" s="116">
        <f>IF(A156="","",IF(J155&gt;=Inputs!$B$47,2, IF(J155&gt;=Inputs!$B$45,1, IF(J155&lt;=Inputs!$B$46,0,K155))))</f>
        <v/>
      </c>
      <c r="L156" s="251">
        <f>IF(A156="","",K156*Inputs!$B$49)</f>
        <v/>
      </c>
      <c r="M156" s="251">
        <f>IF(A156="","",MIN(L156,H155/Inputs!$B$9+S156))</f>
        <v/>
      </c>
      <c r="N156" s="116">
        <f>IF(A156="","",IF(AND(K156&gt;0,K155=0),1,0))</f>
        <v/>
      </c>
      <c r="O156" s="116">
        <f>IF(A156="","",O155+N156)</f>
        <v/>
      </c>
      <c r="P156" s="251">
        <f>IF(A156="","",MIN(F156,Inputs!$B$50))</f>
        <v/>
      </c>
      <c r="Q156" s="251">
        <f>IF(A156="","",MAX(0,F156-P156))</f>
        <v/>
      </c>
      <c r="R156" s="251">
        <f>IF(A156="","",P156*Inputs!$B$51)</f>
        <v/>
      </c>
      <c r="S156" s="251">
        <f>IF(A156="","",Q156+R156)</f>
        <v/>
      </c>
    </row>
    <row r="157">
      <c r="A157" s="116">
        <f>IF(ROW()&lt;=Inputs!$B$53+2,A156+Inputs!$B$8,"")</f>
        <v/>
      </c>
      <c r="B157" s="251">
        <f>IF(A157="","",IFERROR(INDEX(IDF_Hyetograph!$J$2:$J$37,MATCH(A157,IDF_Hyetograph!$K$2:$K$37,0)),0))</f>
        <v/>
      </c>
      <c r="C157" s="251">
        <f>IF(A157="","",0.00278*Inputs!$B$4*Inputs!$B$3*B157)</f>
        <v/>
      </c>
      <c r="D157" s="251">
        <f>IF(A157="","",MIN( Inputs!$B$30, MAX(0, D156 + (C157-F157-G157)*Inputs!$B$9) ))</f>
        <v/>
      </c>
      <c r="E157" s="251">
        <f>IF(A157="","",Inputs!$B$31 + D157/Inputs!$B$33)</f>
        <v/>
      </c>
      <c r="F157" s="251">
        <f>IF(A157="","",MIN( D156/Inputs!$B$9, Inputs!$B$35*Inputs!$B$36*SQRT(2*Inputs!$B$37*MAX(E156-J156,0)) ))</f>
        <v/>
      </c>
      <c r="G157" s="251">
        <f>IF(A157="","",MAX(0,(D156 + (C157-F157)*Inputs!$B$9 - Inputs!$B$30)/Inputs!$B$9))</f>
        <v/>
      </c>
      <c r="H157" s="251">
        <f>IF(A157="","",MAX(0,MIN(Inputs!$B$44,H156+(S157-M157-I157)*Inputs!$B$9)))</f>
        <v/>
      </c>
      <c r="I157" s="251">
        <f>IF(A157="","",MAX(0,(H156+(S157-M157)*Inputs!$B$9-Inputs!$B$44)/Inputs!$B$9))</f>
        <v/>
      </c>
      <c r="J157" s="251">
        <f>IF(A157="","",Inputs!$B$40 + H157/Inputs!$B$42)</f>
        <v/>
      </c>
      <c r="K157" s="116">
        <f>IF(A157="","",IF(J156&gt;=Inputs!$B$47,2, IF(J156&gt;=Inputs!$B$45,1, IF(J156&lt;=Inputs!$B$46,0,K156))))</f>
        <v/>
      </c>
      <c r="L157" s="251">
        <f>IF(A157="","",K157*Inputs!$B$49)</f>
        <v/>
      </c>
      <c r="M157" s="251">
        <f>IF(A157="","",MIN(L157,H156/Inputs!$B$9+S157))</f>
        <v/>
      </c>
      <c r="N157" s="116">
        <f>IF(A157="","",IF(AND(K157&gt;0,K156=0),1,0))</f>
        <v/>
      </c>
      <c r="O157" s="116">
        <f>IF(A157="","",O156+N157)</f>
        <v/>
      </c>
      <c r="P157" s="251">
        <f>IF(A157="","",MIN(F157,Inputs!$B$50))</f>
        <v/>
      </c>
      <c r="Q157" s="251">
        <f>IF(A157="","",MAX(0,F157-P157))</f>
        <v/>
      </c>
      <c r="R157" s="251">
        <f>IF(A157="","",P157*Inputs!$B$51)</f>
        <v/>
      </c>
      <c r="S157" s="251">
        <f>IF(A157="","",Q157+R157)</f>
        <v/>
      </c>
    </row>
    <row r="158">
      <c r="A158" s="116">
        <f>IF(ROW()&lt;=Inputs!$B$53+2,A157+Inputs!$B$8,"")</f>
        <v/>
      </c>
      <c r="B158" s="251">
        <f>IF(A158="","",IFERROR(INDEX(IDF_Hyetograph!$J$2:$J$37,MATCH(A158,IDF_Hyetograph!$K$2:$K$37,0)),0))</f>
        <v/>
      </c>
      <c r="C158" s="251">
        <f>IF(A158="","",0.00278*Inputs!$B$4*Inputs!$B$3*B158)</f>
        <v/>
      </c>
      <c r="D158" s="251">
        <f>IF(A158="","",MIN( Inputs!$B$30, MAX(0, D157 + (C158-F158-G158)*Inputs!$B$9) ))</f>
        <v/>
      </c>
      <c r="E158" s="251">
        <f>IF(A158="","",Inputs!$B$31 + D158/Inputs!$B$33)</f>
        <v/>
      </c>
      <c r="F158" s="251">
        <f>IF(A158="","",MIN( D157/Inputs!$B$9, Inputs!$B$35*Inputs!$B$36*SQRT(2*Inputs!$B$37*MAX(E157-J157,0)) ))</f>
        <v/>
      </c>
      <c r="G158" s="251">
        <f>IF(A158="","",MAX(0,(D157 + (C158-F158)*Inputs!$B$9 - Inputs!$B$30)/Inputs!$B$9))</f>
        <v/>
      </c>
      <c r="H158" s="251">
        <f>IF(A158="","",MAX(0,MIN(Inputs!$B$44,H157+(S158-M158-I158)*Inputs!$B$9)))</f>
        <v/>
      </c>
      <c r="I158" s="251">
        <f>IF(A158="","",MAX(0,(H157+(S158-M158)*Inputs!$B$9-Inputs!$B$44)/Inputs!$B$9))</f>
        <v/>
      </c>
      <c r="J158" s="251">
        <f>IF(A158="","",Inputs!$B$40 + H158/Inputs!$B$42)</f>
        <v/>
      </c>
      <c r="K158" s="116">
        <f>IF(A158="","",IF(J157&gt;=Inputs!$B$47,2, IF(J157&gt;=Inputs!$B$45,1, IF(J157&lt;=Inputs!$B$46,0,K157))))</f>
        <v/>
      </c>
      <c r="L158" s="251">
        <f>IF(A158="","",K158*Inputs!$B$49)</f>
        <v/>
      </c>
      <c r="M158" s="251">
        <f>IF(A158="","",MIN(L158,H157/Inputs!$B$9+S158))</f>
        <v/>
      </c>
      <c r="N158" s="116">
        <f>IF(A158="","",IF(AND(K158&gt;0,K157=0),1,0))</f>
        <v/>
      </c>
      <c r="O158" s="116">
        <f>IF(A158="","",O157+N158)</f>
        <v/>
      </c>
      <c r="P158" s="251">
        <f>IF(A158="","",MIN(F158,Inputs!$B$50))</f>
        <v/>
      </c>
      <c r="Q158" s="251">
        <f>IF(A158="","",MAX(0,F158-P158))</f>
        <v/>
      </c>
      <c r="R158" s="251">
        <f>IF(A158="","",P158*Inputs!$B$51)</f>
        <v/>
      </c>
      <c r="S158" s="251">
        <f>IF(A158="","",Q158+R158)</f>
        <v/>
      </c>
    </row>
    <row r="159">
      <c r="A159" s="116">
        <f>IF(ROW()&lt;=Inputs!$B$53+2,A158+Inputs!$B$8,"")</f>
        <v/>
      </c>
      <c r="B159" s="251">
        <f>IF(A159="","",IFERROR(INDEX(IDF_Hyetograph!$J$2:$J$37,MATCH(A159,IDF_Hyetograph!$K$2:$K$37,0)),0))</f>
        <v/>
      </c>
      <c r="C159" s="251">
        <f>IF(A159="","",0.00278*Inputs!$B$4*Inputs!$B$3*B159)</f>
        <v/>
      </c>
      <c r="D159" s="251">
        <f>IF(A159="","",MIN( Inputs!$B$30, MAX(0, D158 + (C159-F159-G159)*Inputs!$B$9) ))</f>
        <v/>
      </c>
      <c r="E159" s="251">
        <f>IF(A159="","",Inputs!$B$31 + D159/Inputs!$B$33)</f>
        <v/>
      </c>
      <c r="F159" s="251">
        <f>IF(A159="","",MIN( D158/Inputs!$B$9, Inputs!$B$35*Inputs!$B$36*SQRT(2*Inputs!$B$37*MAX(E158-J158,0)) ))</f>
        <v/>
      </c>
      <c r="G159" s="251">
        <f>IF(A159="","",MAX(0,(D158 + (C159-F159)*Inputs!$B$9 - Inputs!$B$30)/Inputs!$B$9))</f>
        <v/>
      </c>
      <c r="H159" s="251">
        <f>IF(A159="","",MAX(0,MIN(Inputs!$B$44,H158+(S159-M159-I159)*Inputs!$B$9)))</f>
        <v/>
      </c>
      <c r="I159" s="251">
        <f>IF(A159="","",MAX(0,(H158+(S159-M159)*Inputs!$B$9-Inputs!$B$44)/Inputs!$B$9))</f>
        <v/>
      </c>
      <c r="J159" s="251">
        <f>IF(A159="","",Inputs!$B$40 + H159/Inputs!$B$42)</f>
        <v/>
      </c>
      <c r="K159" s="116">
        <f>IF(A159="","",IF(J158&gt;=Inputs!$B$47,2, IF(J158&gt;=Inputs!$B$45,1, IF(J158&lt;=Inputs!$B$46,0,K158))))</f>
        <v/>
      </c>
      <c r="L159" s="251">
        <f>IF(A159="","",K159*Inputs!$B$49)</f>
        <v/>
      </c>
      <c r="M159" s="251">
        <f>IF(A159="","",MIN(L159,H158/Inputs!$B$9+S159))</f>
        <v/>
      </c>
      <c r="N159" s="116">
        <f>IF(A159="","",IF(AND(K159&gt;0,K158=0),1,0))</f>
        <v/>
      </c>
      <c r="O159" s="116">
        <f>IF(A159="","",O158+N159)</f>
        <v/>
      </c>
      <c r="P159" s="251">
        <f>IF(A159="","",MIN(F159,Inputs!$B$50))</f>
        <v/>
      </c>
      <c r="Q159" s="251">
        <f>IF(A159="","",MAX(0,F159-P159))</f>
        <v/>
      </c>
      <c r="R159" s="251">
        <f>IF(A159="","",P159*Inputs!$B$51)</f>
        <v/>
      </c>
      <c r="S159" s="251">
        <f>IF(A159="","",Q159+R159)</f>
        <v/>
      </c>
    </row>
    <row r="160">
      <c r="A160" s="116">
        <f>IF(ROW()&lt;=Inputs!$B$53+2,A159+Inputs!$B$8,"")</f>
        <v/>
      </c>
      <c r="B160" s="251">
        <f>IF(A160="","",IFERROR(INDEX(IDF_Hyetograph!$J$2:$J$37,MATCH(A160,IDF_Hyetograph!$K$2:$K$37,0)),0))</f>
        <v/>
      </c>
      <c r="C160" s="251">
        <f>IF(A160="","",0.00278*Inputs!$B$4*Inputs!$B$3*B160)</f>
        <v/>
      </c>
      <c r="D160" s="251">
        <f>IF(A160="","",MIN( Inputs!$B$30, MAX(0, D159 + (C160-F160-G160)*Inputs!$B$9) ))</f>
        <v/>
      </c>
      <c r="E160" s="251">
        <f>IF(A160="","",Inputs!$B$31 + D160/Inputs!$B$33)</f>
        <v/>
      </c>
      <c r="F160" s="251">
        <f>IF(A160="","",MIN( D159/Inputs!$B$9, Inputs!$B$35*Inputs!$B$36*SQRT(2*Inputs!$B$37*MAX(E159-J159,0)) ))</f>
        <v/>
      </c>
      <c r="G160" s="251">
        <f>IF(A160="","",MAX(0,(D159 + (C160-F160)*Inputs!$B$9 - Inputs!$B$30)/Inputs!$B$9))</f>
        <v/>
      </c>
      <c r="H160" s="251">
        <f>IF(A160="","",MAX(0,MIN(Inputs!$B$44,H159+(S160-M160-I160)*Inputs!$B$9)))</f>
        <v/>
      </c>
      <c r="I160" s="251">
        <f>IF(A160="","",MAX(0,(H159+(S160-M160)*Inputs!$B$9-Inputs!$B$44)/Inputs!$B$9))</f>
        <v/>
      </c>
      <c r="J160" s="251">
        <f>IF(A160="","",Inputs!$B$40 + H160/Inputs!$B$42)</f>
        <v/>
      </c>
      <c r="K160" s="116">
        <f>IF(A160="","",IF(J159&gt;=Inputs!$B$47,2, IF(J159&gt;=Inputs!$B$45,1, IF(J159&lt;=Inputs!$B$46,0,K159))))</f>
        <v/>
      </c>
      <c r="L160" s="251">
        <f>IF(A160="","",K160*Inputs!$B$49)</f>
        <v/>
      </c>
      <c r="M160" s="251">
        <f>IF(A160="","",MIN(L160,H159/Inputs!$B$9+S160))</f>
        <v/>
      </c>
      <c r="N160" s="116">
        <f>IF(A160="","",IF(AND(K160&gt;0,K159=0),1,0))</f>
        <v/>
      </c>
      <c r="O160" s="116">
        <f>IF(A160="","",O159+N160)</f>
        <v/>
      </c>
      <c r="P160" s="251">
        <f>IF(A160="","",MIN(F160,Inputs!$B$50))</f>
        <v/>
      </c>
      <c r="Q160" s="251">
        <f>IF(A160="","",MAX(0,F160-P160))</f>
        <v/>
      </c>
      <c r="R160" s="251">
        <f>IF(A160="","",P160*Inputs!$B$51)</f>
        <v/>
      </c>
      <c r="S160" s="251">
        <f>IF(A160="","",Q160+R160)</f>
        <v/>
      </c>
    </row>
    <row r="161">
      <c r="A161" s="116">
        <f>IF(ROW()&lt;=Inputs!$B$53+2,A160+Inputs!$B$8,"")</f>
        <v/>
      </c>
      <c r="B161" s="251">
        <f>IF(A161="","",IFERROR(INDEX(IDF_Hyetograph!$J$2:$J$37,MATCH(A161,IDF_Hyetograph!$K$2:$K$37,0)),0))</f>
        <v/>
      </c>
      <c r="C161" s="251">
        <f>IF(A161="","",0.00278*Inputs!$B$4*Inputs!$B$3*B161)</f>
        <v/>
      </c>
      <c r="D161" s="251">
        <f>IF(A161="","",MIN( Inputs!$B$30, MAX(0, D160 + (C161-F161-G161)*Inputs!$B$9) ))</f>
        <v/>
      </c>
      <c r="E161" s="251">
        <f>IF(A161="","",Inputs!$B$31 + D161/Inputs!$B$33)</f>
        <v/>
      </c>
      <c r="F161" s="251">
        <f>IF(A161="","",MIN( D160/Inputs!$B$9, Inputs!$B$35*Inputs!$B$36*SQRT(2*Inputs!$B$37*MAX(E160-J160,0)) ))</f>
        <v/>
      </c>
      <c r="G161" s="251">
        <f>IF(A161="","",MAX(0,(D160 + (C161-F161)*Inputs!$B$9 - Inputs!$B$30)/Inputs!$B$9))</f>
        <v/>
      </c>
      <c r="H161" s="251">
        <f>IF(A161="","",MAX(0,MIN(Inputs!$B$44,H160+(S161-M161-I161)*Inputs!$B$9)))</f>
        <v/>
      </c>
      <c r="I161" s="251">
        <f>IF(A161="","",MAX(0,(H160+(S161-M161)*Inputs!$B$9-Inputs!$B$44)/Inputs!$B$9))</f>
        <v/>
      </c>
      <c r="J161" s="251">
        <f>IF(A161="","",Inputs!$B$40 + H161/Inputs!$B$42)</f>
        <v/>
      </c>
      <c r="K161" s="116">
        <f>IF(A161="","",IF(J160&gt;=Inputs!$B$47,2, IF(J160&gt;=Inputs!$B$45,1, IF(J160&lt;=Inputs!$B$46,0,K160))))</f>
        <v/>
      </c>
      <c r="L161" s="251">
        <f>IF(A161="","",K161*Inputs!$B$49)</f>
        <v/>
      </c>
      <c r="M161" s="251">
        <f>IF(A161="","",MIN(L161,H160/Inputs!$B$9+S161))</f>
        <v/>
      </c>
      <c r="N161" s="116">
        <f>IF(A161="","",IF(AND(K161&gt;0,K160=0),1,0))</f>
        <v/>
      </c>
      <c r="O161" s="116">
        <f>IF(A161="","",O160+N161)</f>
        <v/>
      </c>
      <c r="P161" s="251">
        <f>IF(A161="","",MIN(F161,Inputs!$B$50))</f>
        <v/>
      </c>
      <c r="Q161" s="251">
        <f>IF(A161="","",MAX(0,F161-P161))</f>
        <v/>
      </c>
      <c r="R161" s="251">
        <f>IF(A161="","",P161*Inputs!$B$51)</f>
        <v/>
      </c>
      <c r="S161" s="251">
        <f>IF(A161="","",Q161+R161)</f>
        <v/>
      </c>
    </row>
    <row r="162">
      <c r="A162" s="116">
        <f>IF(ROW()&lt;=Inputs!$B$53+2,A161+Inputs!$B$8,"")</f>
        <v/>
      </c>
      <c r="B162" s="251">
        <f>IF(A162="","",IFERROR(INDEX(IDF_Hyetograph!$J$2:$J$37,MATCH(A162,IDF_Hyetograph!$K$2:$K$37,0)),0))</f>
        <v/>
      </c>
      <c r="C162" s="251">
        <f>IF(A162="","",0.00278*Inputs!$B$4*Inputs!$B$3*B162)</f>
        <v/>
      </c>
      <c r="D162" s="251">
        <f>IF(A162="","",MIN( Inputs!$B$30, MAX(0, D161 + (C162-F162-G162)*Inputs!$B$9) ))</f>
        <v/>
      </c>
      <c r="E162" s="251">
        <f>IF(A162="","",Inputs!$B$31 + D162/Inputs!$B$33)</f>
        <v/>
      </c>
      <c r="F162" s="251">
        <f>IF(A162="","",MIN( D161/Inputs!$B$9, Inputs!$B$35*Inputs!$B$36*SQRT(2*Inputs!$B$37*MAX(E161-J161,0)) ))</f>
        <v/>
      </c>
      <c r="G162" s="251">
        <f>IF(A162="","",MAX(0,(D161 + (C162-F162)*Inputs!$B$9 - Inputs!$B$30)/Inputs!$B$9))</f>
        <v/>
      </c>
      <c r="H162" s="251">
        <f>IF(A162="","",MAX(0,MIN(Inputs!$B$44,H161+(S162-M162-I162)*Inputs!$B$9)))</f>
        <v/>
      </c>
      <c r="I162" s="251">
        <f>IF(A162="","",MAX(0,(H161+(S162-M162)*Inputs!$B$9-Inputs!$B$44)/Inputs!$B$9))</f>
        <v/>
      </c>
      <c r="J162" s="251">
        <f>IF(A162="","",Inputs!$B$40 + H162/Inputs!$B$42)</f>
        <v/>
      </c>
      <c r="K162" s="116">
        <f>IF(A162="","",IF(J161&gt;=Inputs!$B$47,2, IF(J161&gt;=Inputs!$B$45,1, IF(J161&lt;=Inputs!$B$46,0,K161))))</f>
        <v/>
      </c>
      <c r="L162" s="251">
        <f>IF(A162="","",K162*Inputs!$B$49)</f>
        <v/>
      </c>
      <c r="M162" s="251">
        <f>IF(A162="","",MIN(L162,H161/Inputs!$B$9+S162))</f>
        <v/>
      </c>
      <c r="N162" s="116">
        <f>IF(A162="","",IF(AND(K162&gt;0,K161=0),1,0))</f>
        <v/>
      </c>
      <c r="O162" s="116">
        <f>IF(A162="","",O161+N162)</f>
        <v/>
      </c>
      <c r="P162" s="251">
        <f>IF(A162="","",MIN(F162,Inputs!$B$50))</f>
        <v/>
      </c>
      <c r="Q162" s="251">
        <f>IF(A162="","",MAX(0,F162-P162))</f>
        <v/>
      </c>
      <c r="R162" s="251">
        <f>IF(A162="","",P162*Inputs!$B$51)</f>
        <v/>
      </c>
      <c r="S162" s="251">
        <f>IF(A162="","",Q162+R162)</f>
        <v/>
      </c>
    </row>
    <row r="163">
      <c r="A163" s="116">
        <f>IF(ROW()&lt;=Inputs!$B$53+2,A162+Inputs!$B$8,"")</f>
        <v/>
      </c>
      <c r="B163" s="251">
        <f>IF(A163="","",IFERROR(INDEX(IDF_Hyetograph!$J$2:$J$37,MATCH(A163,IDF_Hyetograph!$K$2:$K$37,0)),0))</f>
        <v/>
      </c>
      <c r="C163" s="251">
        <f>IF(A163="","",0.00278*Inputs!$B$4*Inputs!$B$3*B163)</f>
        <v/>
      </c>
      <c r="D163" s="251">
        <f>IF(A163="","",MIN( Inputs!$B$30, MAX(0, D162 + (C163-F163-G163)*Inputs!$B$9) ))</f>
        <v/>
      </c>
      <c r="E163" s="251">
        <f>IF(A163="","",Inputs!$B$31 + D163/Inputs!$B$33)</f>
        <v/>
      </c>
      <c r="F163" s="251">
        <f>IF(A163="","",MIN( D162/Inputs!$B$9, Inputs!$B$35*Inputs!$B$36*SQRT(2*Inputs!$B$37*MAX(E162-J162,0)) ))</f>
        <v/>
      </c>
      <c r="G163" s="251">
        <f>IF(A163="","",MAX(0,(D162 + (C163-F163)*Inputs!$B$9 - Inputs!$B$30)/Inputs!$B$9))</f>
        <v/>
      </c>
      <c r="H163" s="251">
        <f>IF(A163="","",MAX(0,MIN(Inputs!$B$44,H162+(S163-M163-I163)*Inputs!$B$9)))</f>
        <v/>
      </c>
      <c r="I163" s="251">
        <f>IF(A163="","",MAX(0,(H162+(S163-M163)*Inputs!$B$9-Inputs!$B$44)/Inputs!$B$9))</f>
        <v/>
      </c>
      <c r="J163" s="251">
        <f>IF(A163="","",Inputs!$B$40 + H163/Inputs!$B$42)</f>
        <v/>
      </c>
      <c r="K163" s="116">
        <f>IF(A163="","",IF(J162&gt;=Inputs!$B$47,2, IF(J162&gt;=Inputs!$B$45,1, IF(J162&lt;=Inputs!$B$46,0,K162))))</f>
        <v/>
      </c>
      <c r="L163" s="251">
        <f>IF(A163="","",K163*Inputs!$B$49)</f>
        <v/>
      </c>
      <c r="M163" s="251">
        <f>IF(A163="","",MIN(L163,H162/Inputs!$B$9+S163))</f>
        <v/>
      </c>
      <c r="N163" s="116">
        <f>IF(A163="","",IF(AND(K163&gt;0,K162=0),1,0))</f>
        <v/>
      </c>
      <c r="O163" s="116">
        <f>IF(A163="","",O162+N163)</f>
        <v/>
      </c>
      <c r="P163" s="251">
        <f>IF(A163="","",MIN(F163,Inputs!$B$50))</f>
        <v/>
      </c>
      <c r="Q163" s="251">
        <f>IF(A163="","",MAX(0,F163-P163))</f>
        <v/>
      </c>
      <c r="R163" s="251">
        <f>IF(A163="","",P163*Inputs!$B$51)</f>
        <v/>
      </c>
      <c r="S163" s="251">
        <f>IF(A163="","",Q163+R163)</f>
        <v/>
      </c>
    </row>
    <row r="164">
      <c r="A164" s="116">
        <f>IF(ROW()&lt;=Inputs!$B$53+2,A163+Inputs!$B$8,"")</f>
        <v/>
      </c>
      <c r="B164" s="251">
        <f>IF(A164="","",IFERROR(INDEX(IDF_Hyetograph!$J$2:$J$37,MATCH(A164,IDF_Hyetograph!$K$2:$K$37,0)),0))</f>
        <v/>
      </c>
      <c r="C164" s="251">
        <f>IF(A164="","",0.00278*Inputs!$B$4*Inputs!$B$3*B164)</f>
        <v/>
      </c>
      <c r="D164" s="251">
        <f>IF(A164="","",MIN( Inputs!$B$30, MAX(0, D163 + (C164-F164-G164)*Inputs!$B$9) ))</f>
        <v/>
      </c>
      <c r="E164" s="251">
        <f>IF(A164="","",Inputs!$B$31 + D164/Inputs!$B$33)</f>
        <v/>
      </c>
      <c r="F164" s="251">
        <f>IF(A164="","",MIN( D163/Inputs!$B$9, Inputs!$B$35*Inputs!$B$36*SQRT(2*Inputs!$B$37*MAX(E163-J163,0)) ))</f>
        <v/>
      </c>
      <c r="G164" s="251">
        <f>IF(A164="","",MAX(0,(D163 + (C164-F164)*Inputs!$B$9 - Inputs!$B$30)/Inputs!$B$9))</f>
        <v/>
      </c>
      <c r="H164" s="251">
        <f>IF(A164="","",MAX(0,MIN(Inputs!$B$44,H163+(S164-M164-I164)*Inputs!$B$9)))</f>
        <v/>
      </c>
      <c r="I164" s="251">
        <f>IF(A164="","",MAX(0,(H163+(S164-M164)*Inputs!$B$9-Inputs!$B$44)/Inputs!$B$9))</f>
        <v/>
      </c>
      <c r="J164" s="251">
        <f>IF(A164="","",Inputs!$B$40 + H164/Inputs!$B$42)</f>
        <v/>
      </c>
      <c r="K164" s="116">
        <f>IF(A164="","",IF(J163&gt;=Inputs!$B$47,2, IF(J163&gt;=Inputs!$B$45,1, IF(J163&lt;=Inputs!$B$46,0,K163))))</f>
        <v/>
      </c>
      <c r="L164" s="251">
        <f>IF(A164="","",K164*Inputs!$B$49)</f>
        <v/>
      </c>
      <c r="M164" s="251">
        <f>IF(A164="","",MIN(L164,H163/Inputs!$B$9+S164))</f>
        <v/>
      </c>
      <c r="N164" s="116">
        <f>IF(A164="","",IF(AND(K164&gt;0,K163=0),1,0))</f>
        <v/>
      </c>
      <c r="O164" s="116">
        <f>IF(A164="","",O163+N164)</f>
        <v/>
      </c>
      <c r="P164" s="251">
        <f>IF(A164="","",MIN(F164,Inputs!$B$50))</f>
        <v/>
      </c>
      <c r="Q164" s="251">
        <f>IF(A164="","",MAX(0,F164-P164))</f>
        <v/>
      </c>
      <c r="R164" s="251">
        <f>IF(A164="","",P164*Inputs!$B$51)</f>
        <v/>
      </c>
      <c r="S164" s="251">
        <f>IF(A164="","",Q164+R164)</f>
        <v/>
      </c>
    </row>
    <row r="165">
      <c r="A165" s="116">
        <f>IF(ROW()&lt;=Inputs!$B$53+2,A164+Inputs!$B$8,"")</f>
        <v/>
      </c>
      <c r="B165" s="251">
        <f>IF(A165="","",IFERROR(INDEX(IDF_Hyetograph!$J$2:$J$37,MATCH(A165,IDF_Hyetograph!$K$2:$K$37,0)),0))</f>
        <v/>
      </c>
      <c r="C165" s="251">
        <f>IF(A165="","",0.00278*Inputs!$B$4*Inputs!$B$3*B165)</f>
        <v/>
      </c>
      <c r="D165" s="251">
        <f>IF(A165="","",MIN( Inputs!$B$30, MAX(0, D164 + (C165-F165-G165)*Inputs!$B$9) ))</f>
        <v/>
      </c>
      <c r="E165" s="251">
        <f>IF(A165="","",Inputs!$B$31 + D165/Inputs!$B$33)</f>
        <v/>
      </c>
      <c r="F165" s="251">
        <f>IF(A165="","",MIN( D164/Inputs!$B$9, Inputs!$B$35*Inputs!$B$36*SQRT(2*Inputs!$B$37*MAX(E164-J164,0)) ))</f>
        <v/>
      </c>
      <c r="G165" s="251">
        <f>IF(A165="","",MAX(0,(D164 + (C165-F165)*Inputs!$B$9 - Inputs!$B$30)/Inputs!$B$9))</f>
        <v/>
      </c>
      <c r="H165" s="251">
        <f>IF(A165="","",MAX(0,MIN(Inputs!$B$44,H164+(S165-M165-I165)*Inputs!$B$9)))</f>
        <v/>
      </c>
      <c r="I165" s="251">
        <f>IF(A165="","",MAX(0,(H164+(S165-M165)*Inputs!$B$9-Inputs!$B$44)/Inputs!$B$9))</f>
        <v/>
      </c>
      <c r="J165" s="251">
        <f>IF(A165="","",Inputs!$B$40 + H165/Inputs!$B$42)</f>
        <v/>
      </c>
      <c r="K165" s="116">
        <f>IF(A165="","",IF(J164&gt;=Inputs!$B$47,2, IF(J164&gt;=Inputs!$B$45,1, IF(J164&lt;=Inputs!$B$46,0,K164))))</f>
        <v/>
      </c>
      <c r="L165" s="251">
        <f>IF(A165="","",K165*Inputs!$B$49)</f>
        <v/>
      </c>
      <c r="M165" s="251">
        <f>IF(A165="","",MIN(L165,H164/Inputs!$B$9+S165))</f>
        <v/>
      </c>
      <c r="N165" s="116">
        <f>IF(A165="","",IF(AND(K165&gt;0,K164=0),1,0))</f>
        <v/>
      </c>
      <c r="O165" s="116">
        <f>IF(A165="","",O164+N165)</f>
        <v/>
      </c>
      <c r="P165" s="251">
        <f>IF(A165="","",MIN(F165,Inputs!$B$50))</f>
        <v/>
      </c>
      <c r="Q165" s="251">
        <f>IF(A165="","",MAX(0,F165-P165))</f>
        <v/>
      </c>
      <c r="R165" s="251">
        <f>IF(A165="","",P165*Inputs!$B$51)</f>
        <v/>
      </c>
      <c r="S165" s="251">
        <f>IF(A165="","",Q165+R165)</f>
        <v/>
      </c>
    </row>
    <row r="166">
      <c r="A166" s="116">
        <f>IF(ROW()&lt;=Inputs!$B$53+2,A165+Inputs!$B$8,"")</f>
        <v/>
      </c>
      <c r="B166" s="251">
        <f>IF(A166="","",IFERROR(INDEX(IDF_Hyetograph!$J$2:$J$37,MATCH(A166,IDF_Hyetograph!$K$2:$K$37,0)),0))</f>
        <v/>
      </c>
      <c r="C166" s="251">
        <f>IF(A166="","",0.00278*Inputs!$B$4*Inputs!$B$3*B166)</f>
        <v/>
      </c>
      <c r="D166" s="251">
        <f>IF(A166="","",MIN( Inputs!$B$30, MAX(0, D165 + (C166-F166-G166)*Inputs!$B$9) ))</f>
        <v/>
      </c>
      <c r="E166" s="251">
        <f>IF(A166="","",Inputs!$B$31 + D166/Inputs!$B$33)</f>
        <v/>
      </c>
      <c r="F166" s="251">
        <f>IF(A166="","",MIN( D165/Inputs!$B$9, Inputs!$B$35*Inputs!$B$36*SQRT(2*Inputs!$B$37*MAX(E165-J165,0)) ))</f>
        <v/>
      </c>
      <c r="G166" s="251">
        <f>IF(A166="","",MAX(0,(D165 + (C166-F166)*Inputs!$B$9 - Inputs!$B$30)/Inputs!$B$9))</f>
        <v/>
      </c>
      <c r="H166" s="251">
        <f>IF(A166="","",MAX(0,MIN(Inputs!$B$44,H165+(S166-M166-I166)*Inputs!$B$9)))</f>
        <v/>
      </c>
      <c r="I166" s="251">
        <f>IF(A166="","",MAX(0,(H165+(S166-M166)*Inputs!$B$9-Inputs!$B$44)/Inputs!$B$9))</f>
        <v/>
      </c>
      <c r="J166" s="251">
        <f>IF(A166="","",Inputs!$B$40 + H166/Inputs!$B$42)</f>
        <v/>
      </c>
      <c r="K166" s="116">
        <f>IF(A166="","",IF(J165&gt;=Inputs!$B$47,2, IF(J165&gt;=Inputs!$B$45,1, IF(J165&lt;=Inputs!$B$46,0,K165))))</f>
        <v/>
      </c>
      <c r="L166" s="251">
        <f>IF(A166="","",K166*Inputs!$B$49)</f>
        <v/>
      </c>
      <c r="M166" s="251">
        <f>IF(A166="","",MIN(L166,H165/Inputs!$B$9+S166))</f>
        <v/>
      </c>
      <c r="N166" s="116">
        <f>IF(A166="","",IF(AND(K166&gt;0,K165=0),1,0))</f>
        <v/>
      </c>
      <c r="O166" s="116">
        <f>IF(A166="","",O165+N166)</f>
        <v/>
      </c>
      <c r="P166" s="251">
        <f>IF(A166="","",MIN(F166,Inputs!$B$50))</f>
        <v/>
      </c>
      <c r="Q166" s="251">
        <f>IF(A166="","",MAX(0,F166-P166))</f>
        <v/>
      </c>
      <c r="R166" s="251">
        <f>IF(A166="","",P166*Inputs!$B$51)</f>
        <v/>
      </c>
      <c r="S166" s="251">
        <f>IF(A166="","",Q166+R166)</f>
        <v/>
      </c>
    </row>
    <row r="167">
      <c r="A167" s="116">
        <f>IF(ROW()&lt;=Inputs!$B$53+2,A166+Inputs!$B$8,"")</f>
        <v/>
      </c>
      <c r="B167" s="251">
        <f>IF(A167="","",IFERROR(INDEX(IDF_Hyetograph!$J$2:$J$37,MATCH(A167,IDF_Hyetograph!$K$2:$K$37,0)),0))</f>
        <v/>
      </c>
      <c r="C167" s="251">
        <f>IF(A167="","",0.00278*Inputs!$B$4*Inputs!$B$3*B167)</f>
        <v/>
      </c>
      <c r="D167" s="251">
        <f>IF(A167="","",MIN( Inputs!$B$30, MAX(0, D166 + (C167-F167-G167)*Inputs!$B$9) ))</f>
        <v/>
      </c>
      <c r="E167" s="251">
        <f>IF(A167="","",Inputs!$B$31 + D167/Inputs!$B$33)</f>
        <v/>
      </c>
      <c r="F167" s="251">
        <f>IF(A167="","",MIN( D166/Inputs!$B$9, Inputs!$B$35*Inputs!$B$36*SQRT(2*Inputs!$B$37*MAX(E166-J166,0)) ))</f>
        <v/>
      </c>
      <c r="G167" s="251">
        <f>IF(A167="","",MAX(0,(D166 + (C167-F167)*Inputs!$B$9 - Inputs!$B$30)/Inputs!$B$9))</f>
        <v/>
      </c>
      <c r="H167" s="251">
        <f>IF(A167="","",MAX(0,MIN(Inputs!$B$44,H166+(S167-M167-I167)*Inputs!$B$9)))</f>
        <v/>
      </c>
      <c r="I167" s="251">
        <f>IF(A167="","",MAX(0,(H166+(S167-M167)*Inputs!$B$9-Inputs!$B$44)/Inputs!$B$9))</f>
        <v/>
      </c>
      <c r="J167" s="251">
        <f>IF(A167="","",Inputs!$B$40 + H167/Inputs!$B$42)</f>
        <v/>
      </c>
      <c r="K167" s="116">
        <f>IF(A167="","",IF(J166&gt;=Inputs!$B$47,2, IF(J166&gt;=Inputs!$B$45,1, IF(J166&lt;=Inputs!$B$46,0,K166))))</f>
        <v/>
      </c>
      <c r="L167" s="251">
        <f>IF(A167="","",K167*Inputs!$B$49)</f>
        <v/>
      </c>
      <c r="M167" s="251">
        <f>IF(A167="","",MIN(L167,H166/Inputs!$B$9+S167))</f>
        <v/>
      </c>
      <c r="N167" s="116">
        <f>IF(A167="","",IF(AND(K167&gt;0,K166=0),1,0))</f>
        <v/>
      </c>
      <c r="O167" s="116">
        <f>IF(A167="","",O166+N167)</f>
        <v/>
      </c>
      <c r="P167" s="251">
        <f>IF(A167="","",MIN(F167,Inputs!$B$50))</f>
        <v/>
      </c>
      <c r="Q167" s="251">
        <f>IF(A167="","",MAX(0,F167-P167))</f>
        <v/>
      </c>
      <c r="R167" s="251">
        <f>IF(A167="","",P167*Inputs!$B$51)</f>
        <v/>
      </c>
      <c r="S167" s="251">
        <f>IF(A167="","",Q167+R167)</f>
        <v/>
      </c>
    </row>
    <row r="168">
      <c r="A168" s="116">
        <f>IF(ROW()&lt;=Inputs!$B$53+2,A167+Inputs!$B$8,"")</f>
        <v/>
      </c>
      <c r="B168" s="251">
        <f>IF(A168="","",IFERROR(INDEX(IDF_Hyetograph!$J$2:$J$37,MATCH(A168,IDF_Hyetograph!$K$2:$K$37,0)),0))</f>
        <v/>
      </c>
      <c r="C168" s="251">
        <f>IF(A168="","",0.00278*Inputs!$B$4*Inputs!$B$3*B168)</f>
        <v/>
      </c>
      <c r="D168" s="251">
        <f>IF(A168="","",MIN( Inputs!$B$30, MAX(0, D167 + (C168-F168-G168)*Inputs!$B$9) ))</f>
        <v/>
      </c>
      <c r="E168" s="251">
        <f>IF(A168="","",Inputs!$B$31 + D168/Inputs!$B$33)</f>
        <v/>
      </c>
      <c r="F168" s="251">
        <f>IF(A168="","",MIN( D167/Inputs!$B$9, Inputs!$B$35*Inputs!$B$36*SQRT(2*Inputs!$B$37*MAX(E167-J167,0)) ))</f>
        <v/>
      </c>
      <c r="G168" s="251">
        <f>IF(A168="","",MAX(0,(D167 + (C168-F168)*Inputs!$B$9 - Inputs!$B$30)/Inputs!$B$9))</f>
        <v/>
      </c>
      <c r="H168" s="251">
        <f>IF(A168="","",MAX(0,MIN(Inputs!$B$44,H167+(S168-M168-I168)*Inputs!$B$9)))</f>
        <v/>
      </c>
      <c r="I168" s="251">
        <f>IF(A168="","",MAX(0,(H167+(S168-M168)*Inputs!$B$9-Inputs!$B$44)/Inputs!$B$9))</f>
        <v/>
      </c>
      <c r="J168" s="251">
        <f>IF(A168="","",Inputs!$B$40 + H168/Inputs!$B$42)</f>
        <v/>
      </c>
      <c r="K168" s="116">
        <f>IF(A168="","",IF(J167&gt;=Inputs!$B$47,2, IF(J167&gt;=Inputs!$B$45,1, IF(J167&lt;=Inputs!$B$46,0,K167))))</f>
        <v/>
      </c>
      <c r="L168" s="251">
        <f>IF(A168="","",K168*Inputs!$B$49)</f>
        <v/>
      </c>
      <c r="M168" s="251">
        <f>IF(A168="","",MIN(L168,H167/Inputs!$B$9+S168))</f>
        <v/>
      </c>
      <c r="N168" s="116">
        <f>IF(A168="","",IF(AND(K168&gt;0,K167=0),1,0))</f>
        <v/>
      </c>
      <c r="O168" s="116">
        <f>IF(A168="","",O167+N168)</f>
        <v/>
      </c>
      <c r="P168" s="251">
        <f>IF(A168="","",MIN(F168,Inputs!$B$50))</f>
        <v/>
      </c>
      <c r="Q168" s="251">
        <f>IF(A168="","",MAX(0,F168-P168))</f>
        <v/>
      </c>
      <c r="R168" s="251">
        <f>IF(A168="","",P168*Inputs!$B$51)</f>
        <v/>
      </c>
      <c r="S168" s="251">
        <f>IF(A168="","",Q168+R168)</f>
        <v/>
      </c>
    </row>
    <row r="169">
      <c r="A169" s="116">
        <f>IF(ROW()&lt;=Inputs!$B$53+2,A168+Inputs!$B$8,"")</f>
        <v/>
      </c>
      <c r="B169" s="251">
        <f>IF(A169="","",IFERROR(INDEX(IDF_Hyetograph!$J$2:$J$37,MATCH(A169,IDF_Hyetograph!$K$2:$K$37,0)),0))</f>
        <v/>
      </c>
      <c r="C169" s="251">
        <f>IF(A169="","",0.00278*Inputs!$B$4*Inputs!$B$3*B169)</f>
        <v/>
      </c>
      <c r="D169" s="251">
        <f>IF(A169="","",MIN( Inputs!$B$30, MAX(0, D168 + (C169-F169-G169)*Inputs!$B$9) ))</f>
        <v/>
      </c>
      <c r="E169" s="251">
        <f>IF(A169="","",Inputs!$B$31 + D169/Inputs!$B$33)</f>
        <v/>
      </c>
      <c r="F169" s="251">
        <f>IF(A169="","",MIN( D168/Inputs!$B$9, Inputs!$B$35*Inputs!$B$36*SQRT(2*Inputs!$B$37*MAX(E168-J168,0)) ))</f>
        <v/>
      </c>
      <c r="G169" s="251">
        <f>IF(A169="","",MAX(0,(D168 + (C169-F169)*Inputs!$B$9 - Inputs!$B$30)/Inputs!$B$9))</f>
        <v/>
      </c>
      <c r="H169" s="251">
        <f>IF(A169="","",MAX(0,MIN(Inputs!$B$44,H168+(S169-M169-I169)*Inputs!$B$9)))</f>
        <v/>
      </c>
      <c r="I169" s="251">
        <f>IF(A169="","",MAX(0,(H168+(S169-M169)*Inputs!$B$9-Inputs!$B$44)/Inputs!$B$9))</f>
        <v/>
      </c>
      <c r="J169" s="251">
        <f>IF(A169="","",Inputs!$B$40 + H169/Inputs!$B$42)</f>
        <v/>
      </c>
      <c r="K169" s="116">
        <f>IF(A169="","",IF(J168&gt;=Inputs!$B$47,2, IF(J168&gt;=Inputs!$B$45,1, IF(J168&lt;=Inputs!$B$46,0,K168))))</f>
        <v/>
      </c>
      <c r="L169" s="251">
        <f>IF(A169="","",K169*Inputs!$B$49)</f>
        <v/>
      </c>
      <c r="M169" s="251">
        <f>IF(A169="","",MIN(L169,H168/Inputs!$B$9+S169))</f>
        <v/>
      </c>
      <c r="N169" s="116">
        <f>IF(A169="","",IF(AND(K169&gt;0,K168=0),1,0))</f>
        <v/>
      </c>
      <c r="O169" s="116">
        <f>IF(A169="","",O168+N169)</f>
        <v/>
      </c>
      <c r="P169" s="251">
        <f>IF(A169="","",MIN(F169,Inputs!$B$50))</f>
        <v/>
      </c>
      <c r="Q169" s="251">
        <f>IF(A169="","",MAX(0,F169-P169))</f>
        <v/>
      </c>
      <c r="R169" s="251">
        <f>IF(A169="","",P169*Inputs!$B$51)</f>
        <v/>
      </c>
      <c r="S169" s="251">
        <f>IF(A169="","",Q169+R169)</f>
        <v/>
      </c>
    </row>
    <row r="170">
      <c r="A170" s="116">
        <f>IF(ROW()&lt;=Inputs!$B$53+2,A169+Inputs!$B$8,"")</f>
        <v/>
      </c>
      <c r="B170" s="251">
        <f>IF(A170="","",IFERROR(INDEX(IDF_Hyetograph!$J$2:$J$37,MATCH(A170,IDF_Hyetograph!$K$2:$K$37,0)),0))</f>
        <v/>
      </c>
      <c r="C170" s="251">
        <f>IF(A170="","",0.00278*Inputs!$B$4*Inputs!$B$3*B170)</f>
        <v/>
      </c>
      <c r="D170" s="251">
        <f>IF(A170="","",MIN( Inputs!$B$30, MAX(0, D169 + (C170-F170-G170)*Inputs!$B$9) ))</f>
        <v/>
      </c>
      <c r="E170" s="251">
        <f>IF(A170="","",Inputs!$B$31 + D170/Inputs!$B$33)</f>
        <v/>
      </c>
      <c r="F170" s="251">
        <f>IF(A170="","",MIN( D169/Inputs!$B$9, Inputs!$B$35*Inputs!$B$36*SQRT(2*Inputs!$B$37*MAX(E169-J169,0)) ))</f>
        <v/>
      </c>
      <c r="G170" s="251">
        <f>IF(A170="","",MAX(0,(D169 + (C170-F170)*Inputs!$B$9 - Inputs!$B$30)/Inputs!$B$9))</f>
        <v/>
      </c>
      <c r="H170" s="251">
        <f>IF(A170="","",MAX(0,MIN(Inputs!$B$44,H169+(S170-M170-I170)*Inputs!$B$9)))</f>
        <v/>
      </c>
      <c r="I170" s="251">
        <f>IF(A170="","",MAX(0,(H169+(S170-M170)*Inputs!$B$9-Inputs!$B$44)/Inputs!$B$9))</f>
        <v/>
      </c>
      <c r="J170" s="251">
        <f>IF(A170="","",Inputs!$B$40 + H170/Inputs!$B$42)</f>
        <v/>
      </c>
      <c r="K170" s="116">
        <f>IF(A170="","",IF(J169&gt;=Inputs!$B$47,2, IF(J169&gt;=Inputs!$B$45,1, IF(J169&lt;=Inputs!$B$46,0,K169))))</f>
        <v/>
      </c>
      <c r="L170" s="251">
        <f>IF(A170="","",K170*Inputs!$B$49)</f>
        <v/>
      </c>
      <c r="M170" s="251">
        <f>IF(A170="","",MIN(L170,H169/Inputs!$B$9+S170))</f>
        <v/>
      </c>
      <c r="N170" s="116">
        <f>IF(A170="","",IF(AND(K170&gt;0,K169=0),1,0))</f>
        <v/>
      </c>
      <c r="O170" s="116">
        <f>IF(A170="","",O169+N170)</f>
        <v/>
      </c>
      <c r="P170" s="251">
        <f>IF(A170="","",MIN(F170,Inputs!$B$50))</f>
        <v/>
      </c>
      <c r="Q170" s="251">
        <f>IF(A170="","",MAX(0,F170-P170))</f>
        <v/>
      </c>
      <c r="R170" s="251">
        <f>IF(A170="","",P170*Inputs!$B$51)</f>
        <v/>
      </c>
      <c r="S170" s="251">
        <f>IF(A170="","",Q170+R170)</f>
        <v/>
      </c>
    </row>
    <row r="171">
      <c r="A171" s="116">
        <f>IF(ROW()&lt;=Inputs!$B$53+2,A170+Inputs!$B$8,"")</f>
        <v/>
      </c>
      <c r="B171" s="251">
        <f>IF(A171="","",IFERROR(INDEX(IDF_Hyetograph!$J$2:$J$37,MATCH(A171,IDF_Hyetograph!$K$2:$K$37,0)),0))</f>
        <v/>
      </c>
      <c r="C171" s="251">
        <f>IF(A171="","",0.00278*Inputs!$B$4*Inputs!$B$3*B171)</f>
        <v/>
      </c>
      <c r="D171" s="251">
        <f>IF(A171="","",MIN( Inputs!$B$30, MAX(0, D170 + (C171-F171-G171)*Inputs!$B$9) ))</f>
        <v/>
      </c>
      <c r="E171" s="251">
        <f>IF(A171="","",Inputs!$B$31 + D171/Inputs!$B$33)</f>
        <v/>
      </c>
      <c r="F171" s="251">
        <f>IF(A171="","",MIN( D170/Inputs!$B$9, Inputs!$B$35*Inputs!$B$36*SQRT(2*Inputs!$B$37*MAX(E170-J170,0)) ))</f>
        <v/>
      </c>
      <c r="G171" s="251">
        <f>IF(A171="","",MAX(0,(D170 + (C171-F171)*Inputs!$B$9 - Inputs!$B$30)/Inputs!$B$9))</f>
        <v/>
      </c>
      <c r="H171" s="251">
        <f>IF(A171="","",MAX(0,MIN(Inputs!$B$44,H170+(S171-M171-I171)*Inputs!$B$9)))</f>
        <v/>
      </c>
      <c r="I171" s="251">
        <f>IF(A171="","",MAX(0,(H170+(S171-M171)*Inputs!$B$9-Inputs!$B$44)/Inputs!$B$9))</f>
        <v/>
      </c>
      <c r="J171" s="251">
        <f>IF(A171="","",Inputs!$B$40 + H171/Inputs!$B$42)</f>
        <v/>
      </c>
      <c r="K171" s="116">
        <f>IF(A171="","",IF(J170&gt;=Inputs!$B$47,2, IF(J170&gt;=Inputs!$B$45,1, IF(J170&lt;=Inputs!$B$46,0,K170))))</f>
        <v/>
      </c>
      <c r="L171" s="251">
        <f>IF(A171="","",K171*Inputs!$B$49)</f>
        <v/>
      </c>
      <c r="M171" s="251">
        <f>IF(A171="","",MIN(L171,H170/Inputs!$B$9+S171))</f>
        <v/>
      </c>
      <c r="N171" s="116">
        <f>IF(A171="","",IF(AND(K171&gt;0,K170=0),1,0))</f>
        <v/>
      </c>
      <c r="O171" s="116">
        <f>IF(A171="","",O170+N171)</f>
        <v/>
      </c>
      <c r="P171" s="251">
        <f>IF(A171="","",MIN(F171,Inputs!$B$50))</f>
        <v/>
      </c>
      <c r="Q171" s="251">
        <f>IF(A171="","",MAX(0,F171-P171))</f>
        <v/>
      </c>
      <c r="R171" s="251">
        <f>IF(A171="","",P171*Inputs!$B$51)</f>
        <v/>
      </c>
      <c r="S171" s="251">
        <f>IF(A171="","",Q171+R171)</f>
        <v/>
      </c>
    </row>
    <row r="172">
      <c r="A172" s="116">
        <f>IF(ROW()&lt;=Inputs!$B$53+2,A171+Inputs!$B$8,"")</f>
        <v/>
      </c>
      <c r="B172" s="251">
        <f>IF(A172="","",IFERROR(INDEX(IDF_Hyetograph!$J$2:$J$37,MATCH(A172,IDF_Hyetograph!$K$2:$K$37,0)),0))</f>
        <v/>
      </c>
      <c r="C172" s="251">
        <f>IF(A172="","",0.00278*Inputs!$B$4*Inputs!$B$3*B172)</f>
        <v/>
      </c>
      <c r="D172" s="251">
        <f>IF(A172="","",MIN( Inputs!$B$30, MAX(0, D171 + (C172-F172-G172)*Inputs!$B$9) ))</f>
        <v/>
      </c>
      <c r="E172" s="251">
        <f>IF(A172="","",Inputs!$B$31 + D172/Inputs!$B$33)</f>
        <v/>
      </c>
      <c r="F172" s="251">
        <f>IF(A172="","",MIN( D171/Inputs!$B$9, Inputs!$B$35*Inputs!$B$36*SQRT(2*Inputs!$B$37*MAX(E171-J171,0)) ))</f>
        <v/>
      </c>
      <c r="G172" s="251">
        <f>IF(A172="","",MAX(0,(D171 + (C172-F172)*Inputs!$B$9 - Inputs!$B$30)/Inputs!$B$9))</f>
        <v/>
      </c>
      <c r="H172" s="251">
        <f>IF(A172="","",MAX(0,MIN(Inputs!$B$44,H171+(S172-M172-I172)*Inputs!$B$9)))</f>
        <v/>
      </c>
      <c r="I172" s="251">
        <f>IF(A172="","",MAX(0,(H171+(S172-M172)*Inputs!$B$9-Inputs!$B$44)/Inputs!$B$9))</f>
        <v/>
      </c>
      <c r="J172" s="251">
        <f>IF(A172="","",Inputs!$B$40 + H172/Inputs!$B$42)</f>
        <v/>
      </c>
      <c r="K172" s="116">
        <f>IF(A172="","",IF(J171&gt;=Inputs!$B$47,2, IF(J171&gt;=Inputs!$B$45,1, IF(J171&lt;=Inputs!$B$46,0,K171))))</f>
        <v/>
      </c>
      <c r="L172" s="251">
        <f>IF(A172="","",K172*Inputs!$B$49)</f>
        <v/>
      </c>
      <c r="M172" s="251">
        <f>IF(A172="","",MIN(L172,H171/Inputs!$B$9+S172))</f>
        <v/>
      </c>
      <c r="N172" s="116">
        <f>IF(A172="","",IF(AND(K172&gt;0,K171=0),1,0))</f>
        <v/>
      </c>
      <c r="O172" s="116">
        <f>IF(A172="","",O171+N172)</f>
        <v/>
      </c>
      <c r="P172" s="251">
        <f>IF(A172="","",MIN(F172,Inputs!$B$50))</f>
        <v/>
      </c>
      <c r="Q172" s="251">
        <f>IF(A172="","",MAX(0,F172-P172))</f>
        <v/>
      </c>
      <c r="R172" s="251">
        <f>IF(A172="","",P172*Inputs!$B$51)</f>
        <v/>
      </c>
      <c r="S172" s="251">
        <f>IF(A172="","",Q172+R172)</f>
        <v/>
      </c>
    </row>
    <row r="173">
      <c r="A173" s="116">
        <f>IF(ROW()&lt;=Inputs!$B$53+2,A172+Inputs!$B$8,"")</f>
        <v/>
      </c>
      <c r="B173" s="251">
        <f>IF(A173="","",IFERROR(INDEX(IDF_Hyetograph!$J$2:$J$37,MATCH(A173,IDF_Hyetograph!$K$2:$K$37,0)),0))</f>
        <v/>
      </c>
      <c r="C173" s="251">
        <f>IF(A173="","",0.00278*Inputs!$B$4*Inputs!$B$3*B173)</f>
        <v/>
      </c>
      <c r="D173" s="251">
        <f>IF(A173="","",MIN( Inputs!$B$30, MAX(0, D172 + (C173-F173-G173)*Inputs!$B$9) ))</f>
        <v/>
      </c>
      <c r="E173" s="251">
        <f>IF(A173="","",Inputs!$B$31 + D173/Inputs!$B$33)</f>
        <v/>
      </c>
      <c r="F173" s="251">
        <f>IF(A173="","",MIN( D172/Inputs!$B$9, Inputs!$B$35*Inputs!$B$36*SQRT(2*Inputs!$B$37*MAX(E172-J172,0)) ))</f>
        <v/>
      </c>
      <c r="G173" s="251">
        <f>IF(A173="","",MAX(0,(D172 + (C173-F173)*Inputs!$B$9 - Inputs!$B$30)/Inputs!$B$9))</f>
        <v/>
      </c>
      <c r="H173" s="251">
        <f>IF(A173="","",MAX(0,MIN(Inputs!$B$44,H172+(S173-M173-I173)*Inputs!$B$9)))</f>
        <v/>
      </c>
      <c r="I173" s="251">
        <f>IF(A173="","",MAX(0,(H172+(S173-M173)*Inputs!$B$9-Inputs!$B$44)/Inputs!$B$9))</f>
        <v/>
      </c>
      <c r="J173" s="251">
        <f>IF(A173="","",Inputs!$B$40 + H173/Inputs!$B$42)</f>
        <v/>
      </c>
      <c r="K173" s="116">
        <f>IF(A173="","",IF(J172&gt;=Inputs!$B$47,2, IF(J172&gt;=Inputs!$B$45,1, IF(J172&lt;=Inputs!$B$46,0,K172))))</f>
        <v/>
      </c>
      <c r="L173" s="251">
        <f>IF(A173="","",K173*Inputs!$B$49)</f>
        <v/>
      </c>
      <c r="M173" s="251">
        <f>IF(A173="","",MIN(L173,H172/Inputs!$B$9+S173))</f>
        <v/>
      </c>
      <c r="N173" s="116">
        <f>IF(A173="","",IF(AND(K173&gt;0,K172=0),1,0))</f>
        <v/>
      </c>
      <c r="O173" s="116">
        <f>IF(A173="","",O172+N173)</f>
        <v/>
      </c>
      <c r="P173" s="251">
        <f>IF(A173="","",MIN(F173,Inputs!$B$50))</f>
        <v/>
      </c>
      <c r="Q173" s="251">
        <f>IF(A173="","",MAX(0,F173-P173))</f>
        <v/>
      </c>
      <c r="R173" s="251">
        <f>IF(A173="","",P173*Inputs!$B$51)</f>
        <v/>
      </c>
      <c r="S173" s="251">
        <f>IF(A173="","",Q173+R173)</f>
        <v/>
      </c>
    </row>
    <row r="174">
      <c r="A174" s="116">
        <f>IF(ROW()&lt;=Inputs!$B$53+2,A173+Inputs!$B$8,"")</f>
        <v/>
      </c>
      <c r="B174" s="251">
        <f>IF(A174="","",IFERROR(INDEX(IDF_Hyetograph!$J$2:$J$37,MATCH(A174,IDF_Hyetograph!$K$2:$K$37,0)),0))</f>
        <v/>
      </c>
      <c r="C174" s="251">
        <f>IF(A174="","",0.00278*Inputs!$B$4*Inputs!$B$3*B174)</f>
        <v/>
      </c>
      <c r="D174" s="251">
        <f>IF(A174="","",MIN( Inputs!$B$30, MAX(0, D173 + (C174-F174-G174)*Inputs!$B$9) ))</f>
        <v/>
      </c>
      <c r="E174" s="251">
        <f>IF(A174="","",Inputs!$B$31 + D174/Inputs!$B$33)</f>
        <v/>
      </c>
      <c r="F174" s="251">
        <f>IF(A174="","",MIN( D173/Inputs!$B$9, Inputs!$B$35*Inputs!$B$36*SQRT(2*Inputs!$B$37*MAX(E173-J173,0)) ))</f>
        <v/>
      </c>
      <c r="G174" s="251">
        <f>IF(A174="","",MAX(0,(D173 + (C174-F174)*Inputs!$B$9 - Inputs!$B$30)/Inputs!$B$9))</f>
        <v/>
      </c>
      <c r="H174" s="251">
        <f>IF(A174="","",MAX(0,MIN(Inputs!$B$44,H173+(S174-M174-I174)*Inputs!$B$9)))</f>
        <v/>
      </c>
      <c r="I174" s="251">
        <f>IF(A174="","",MAX(0,(H173+(S174-M174)*Inputs!$B$9-Inputs!$B$44)/Inputs!$B$9))</f>
        <v/>
      </c>
      <c r="J174" s="251">
        <f>IF(A174="","",Inputs!$B$40 + H174/Inputs!$B$42)</f>
        <v/>
      </c>
      <c r="K174" s="116">
        <f>IF(A174="","",IF(J173&gt;=Inputs!$B$47,2, IF(J173&gt;=Inputs!$B$45,1, IF(J173&lt;=Inputs!$B$46,0,K173))))</f>
        <v/>
      </c>
      <c r="L174" s="251">
        <f>IF(A174="","",K174*Inputs!$B$49)</f>
        <v/>
      </c>
      <c r="M174" s="251">
        <f>IF(A174="","",MIN(L174,H173/Inputs!$B$9+S174))</f>
        <v/>
      </c>
      <c r="N174" s="116">
        <f>IF(A174="","",IF(AND(K174&gt;0,K173=0),1,0))</f>
        <v/>
      </c>
      <c r="O174" s="116">
        <f>IF(A174="","",O173+N174)</f>
        <v/>
      </c>
      <c r="P174" s="251">
        <f>IF(A174="","",MIN(F174,Inputs!$B$50))</f>
        <v/>
      </c>
      <c r="Q174" s="251">
        <f>IF(A174="","",MAX(0,F174-P174))</f>
        <v/>
      </c>
      <c r="R174" s="251">
        <f>IF(A174="","",P174*Inputs!$B$51)</f>
        <v/>
      </c>
      <c r="S174" s="251">
        <f>IF(A174="","",Q174+R174)</f>
        <v/>
      </c>
    </row>
    <row r="175">
      <c r="A175" s="116">
        <f>IF(ROW()&lt;=Inputs!$B$53+2,A174+Inputs!$B$8,"")</f>
        <v/>
      </c>
      <c r="B175" s="251">
        <f>IF(A175="","",IFERROR(INDEX(IDF_Hyetograph!$J$2:$J$37,MATCH(A175,IDF_Hyetograph!$K$2:$K$37,0)),0))</f>
        <v/>
      </c>
      <c r="C175" s="251">
        <f>IF(A175="","",0.00278*Inputs!$B$4*Inputs!$B$3*B175)</f>
        <v/>
      </c>
      <c r="D175" s="251">
        <f>IF(A175="","",MIN( Inputs!$B$30, MAX(0, D174 + (C175-F175-G175)*Inputs!$B$9) ))</f>
        <v/>
      </c>
      <c r="E175" s="251">
        <f>IF(A175="","",Inputs!$B$31 + D175/Inputs!$B$33)</f>
        <v/>
      </c>
      <c r="F175" s="251">
        <f>IF(A175="","",MIN( D174/Inputs!$B$9, Inputs!$B$35*Inputs!$B$36*SQRT(2*Inputs!$B$37*MAX(E174-J174,0)) ))</f>
        <v/>
      </c>
      <c r="G175" s="251">
        <f>IF(A175="","",MAX(0,(D174 + (C175-F175)*Inputs!$B$9 - Inputs!$B$30)/Inputs!$B$9))</f>
        <v/>
      </c>
      <c r="H175" s="251">
        <f>IF(A175="","",MAX(0,MIN(Inputs!$B$44,H174+(S175-M175-I175)*Inputs!$B$9)))</f>
        <v/>
      </c>
      <c r="I175" s="251">
        <f>IF(A175="","",MAX(0,(H174+(S175-M175)*Inputs!$B$9-Inputs!$B$44)/Inputs!$B$9))</f>
        <v/>
      </c>
      <c r="J175" s="251">
        <f>IF(A175="","",Inputs!$B$40 + H175/Inputs!$B$42)</f>
        <v/>
      </c>
      <c r="K175" s="116">
        <f>IF(A175="","",IF(J174&gt;=Inputs!$B$47,2, IF(J174&gt;=Inputs!$B$45,1, IF(J174&lt;=Inputs!$B$46,0,K174))))</f>
        <v/>
      </c>
      <c r="L175" s="251">
        <f>IF(A175="","",K175*Inputs!$B$49)</f>
        <v/>
      </c>
      <c r="M175" s="251">
        <f>IF(A175="","",MIN(L175,H174/Inputs!$B$9+S175))</f>
        <v/>
      </c>
      <c r="N175" s="116">
        <f>IF(A175="","",IF(AND(K175&gt;0,K174=0),1,0))</f>
        <v/>
      </c>
      <c r="O175" s="116">
        <f>IF(A175="","",O174+N175)</f>
        <v/>
      </c>
      <c r="P175" s="251">
        <f>IF(A175="","",MIN(F175,Inputs!$B$50))</f>
        <v/>
      </c>
      <c r="Q175" s="251">
        <f>IF(A175="","",MAX(0,F175-P175))</f>
        <v/>
      </c>
      <c r="R175" s="251">
        <f>IF(A175="","",P175*Inputs!$B$51)</f>
        <v/>
      </c>
      <c r="S175" s="251">
        <f>IF(A175="","",Q175+R175)</f>
        <v/>
      </c>
    </row>
    <row r="176">
      <c r="A176" s="116">
        <f>IF(ROW()&lt;=Inputs!$B$53+2,A175+Inputs!$B$8,"")</f>
        <v/>
      </c>
      <c r="B176" s="251">
        <f>IF(A176="","",IFERROR(INDEX(IDF_Hyetograph!$J$2:$J$37,MATCH(A176,IDF_Hyetograph!$K$2:$K$37,0)),0))</f>
        <v/>
      </c>
      <c r="C176" s="251">
        <f>IF(A176="","",0.00278*Inputs!$B$4*Inputs!$B$3*B176)</f>
        <v/>
      </c>
      <c r="D176" s="251">
        <f>IF(A176="","",MIN( Inputs!$B$30, MAX(0, D175 + (C176-F176-G176)*Inputs!$B$9) ))</f>
        <v/>
      </c>
      <c r="E176" s="251">
        <f>IF(A176="","",Inputs!$B$31 + D176/Inputs!$B$33)</f>
        <v/>
      </c>
      <c r="F176" s="251">
        <f>IF(A176="","",MIN( D175/Inputs!$B$9, Inputs!$B$35*Inputs!$B$36*SQRT(2*Inputs!$B$37*MAX(E175-J175,0)) ))</f>
        <v/>
      </c>
      <c r="G176" s="251">
        <f>IF(A176="","",MAX(0,(D175 + (C176-F176)*Inputs!$B$9 - Inputs!$B$30)/Inputs!$B$9))</f>
        <v/>
      </c>
      <c r="H176" s="251">
        <f>IF(A176="","",MAX(0,MIN(Inputs!$B$44,H175+(S176-M176-I176)*Inputs!$B$9)))</f>
        <v/>
      </c>
      <c r="I176" s="251">
        <f>IF(A176="","",MAX(0,(H175+(S176-M176)*Inputs!$B$9-Inputs!$B$44)/Inputs!$B$9))</f>
        <v/>
      </c>
      <c r="J176" s="251">
        <f>IF(A176="","",Inputs!$B$40 + H176/Inputs!$B$42)</f>
        <v/>
      </c>
      <c r="K176" s="116">
        <f>IF(A176="","",IF(J175&gt;=Inputs!$B$47,2, IF(J175&gt;=Inputs!$B$45,1, IF(J175&lt;=Inputs!$B$46,0,K175))))</f>
        <v/>
      </c>
      <c r="L176" s="251">
        <f>IF(A176="","",K176*Inputs!$B$49)</f>
        <v/>
      </c>
      <c r="M176" s="251">
        <f>IF(A176="","",MIN(L176,H175/Inputs!$B$9+S176))</f>
        <v/>
      </c>
      <c r="N176" s="116">
        <f>IF(A176="","",IF(AND(K176&gt;0,K175=0),1,0))</f>
        <v/>
      </c>
      <c r="O176" s="116">
        <f>IF(A176="","",O175+N176)</f>
        <v/>
      </c>
      <c r="P176" s="251">
        <f>IF(A176="","",MIN(F176,Inputs!$B$50))</f>
        <v/>
      </c>
      <c r="Q176" s="251">
        <f>IF(A176="","",MAX(0,F176-P176))</f>
        <v/>
      </c>
      <c r="R176" s="251">
        <f>IF(A176="","",P176*Inputs!$B$51)</f>
        <v/>
      </c>
      <c r="S176" s="251">
        <f>IF(A176="","",Q176+R176)</f>
        <v/>
      </c>
    </row>
    <row r="177">
      <c r="A177" s="116">
        <f>IF(ROW()&lt;=Inputs!$B$53+2,A176+Inputs!$B$8,"")</f>
        <v/>
      </c>
      <c r="B177" s="251">
        <f>IF(A177="","",IFERROR(INDEX(IDF_Hyetograph!$J$2:$J$37,MATCH(A177,IDF_Hyetograph!$K$2:$K$37,0)),0))</f>
        <v/>
      </c>
      <c r="C177" s="251">
        <f>IF(A177="","",0.00278*Inputs!$B$4*Inputs!$B$3*B177)</f>
        <v/>
      </c>
      <c r="D177" s="251">
        <f>IF(A177="","",MIN( Inputs!$B$30, MAX(0, D176 + (C177-F177-G177)*Inputs!$B$9) ))</f>
        <v/>
      </c>
      <c r="E177" s="251">
        <f>IF(A177="","",Inputs!$B$31 + D177/Inputs!$B$33)</f>
        <v/>
      </c>
      <c r="F177" s="251">
        <f>IF(A177="","",MIN( D176/Inputs!$B$9, Inputs!$B$35*Inputs!$B$36*SQRT(2*Inputs!$B$37*MAX(E176-J176,0)) ))</f>
        <v/>
      </c>
      <c r="G177" s="251">
        <f>IF(A177="","",MAX(0,(D176 + (C177-F177)*Inputs!$B$9 - Inputs!$B$30)/Inputs!$B$9))</f>
        <v/>
      </c>
      <c r="H177" s="251">
        <f>IF(A177="","",MAX(0,MIN(Inputs!$B$44,H176+(S177-M177-I177)*Inputs!$B$9)))</f>
        <v/>
      </c>
      <c r="I177" s="251">
        <f>IF(A177="","",MAX(0,(H176+(S177-M177)*Inputs!$B$9-Inputs!$B$44)/Inputs!$B$9))</f>
        <v/>
      </c>
      <c r="J177" s="251">
        <f>IF(A177="","",Inputs!$B$40 + H177/Inputs!$B$42)</f>
        <v/>
      </c>
      <c r="K177" s="116">
        <f>IF(A177="","",IF(J176&gt;=Inputs!$B$47,2, IF(J176&gt;=Inputs!$B$45,1, IF(J176&lt;=Inputs!$B$46,0,K176))))</f>
        <v/>
      </c>
      <c r="L177" s="251">
        <f>IF(A177="","",K177*Inputs!$B$49)</f>
        <v/>
      </c>
      <c r="M177" s="251">
        <f>IF(A177="","",MIN(L177,H176/Inputs!$B$9+S177))</f>
        <v/>
      </c>
      <c r="N177" s="116">
        <f>IF(A177="","",IF(AND(K177&gt;0,K176=0),1,0))</f>
        <v/>
      </c>
      <c r="O177" s="116">
        <f>IF(A177="","",O176+N177)</f>
        <v/>
      </c>
      <c r="P177" s="251">
        <f>IF(A177="","",MIN(F177,Inputs!$B$50))</f>
        <v/>
      </c>
      <c r="Q177" s="251">
        <f>IF(A177="","",MAX(0,F177-P177))</f>
        <v/>
      </c>
      <c r="R177" s="251">
        <f>IF(A177="","",P177*Inputs!$B$51)</f>
        <v/>
      </c>
      <c r="S177" s="251">
        <f>IF(A177="","",Q177+R177)</f>
        <v/>
      </c>
    </row>
    <row r="178">
      <c r="A178" s="116">
        <f>IF(ROW()&lt;=Inputs!$B$53+2,A177+Inputs!$B$8,"")</f>
        <v/>
      </c>
      <c r="B178" s="251">
        <f>IF(A178="","",IFERROR(INDEX(IDF_Hyetograph!$J$2:$J$37,MATCH(A178,IDF_Hyetograph!$K$2:$K$37,0)),0))</f>
        <v/>
      </c>
      <c r="C178" s="251">
        <f>IF(A178="","",0.00278*Inputs!$B$4*Inputs!$B$3*B178)</f>
        <v/>
      </c>
      <c r="D178" s="251">
        <f>IF(A178="","",MIN( Inputs!$B$30, MAX(0, D177 + (C178-F178-G178)*Inputs!$B$9) ))</f>
        <v/>
      </c>
      <c r="E178" s="251">
        <f>IF(A178="","",Inputs!$B$31 + D178/Inputs!$B$33)</f>
        <v/>
      </c>
      <c r="F178" s="251">
        <f>IF(A178="","",MIN( D177/Inputs!$B$9, Inputs!$B$35*Inputs!$B$36*SQRT(2*Inputs!$B$37*MAX(E177-J177,0)) ))</f>
        <v/>
      </c>
      <c r="G178" s="251">
        <f>IF(A178="","",MAX(0,(D177 + (C178-F178)*Inputs!$B$9 - Inputs!$B$30)/Inputs!$B$9))</f>
        <v/>
      </c>
      <c r="H178" s="251">
        <f>IF(A178="","",MAX(0,MIN(Inputs!$B$44,H177+(S178-M178-I178)*Inputs!$B$9)))</f>
        <v/>
      </c>
      <c r="I178" s="251">
        <f>IF(A178="","",MAX(0,(H177+(S178-M178)*Inputs!$B$9-Inputs!$B$44)/Inputs!$B$9))</f>
        <v/>
      </c>
      <c r="J178" s="251">
        <f>IF(A178="","",Inputs!$B$40 + H178/Inputs!$B$42)</f>
        <v/>
      </c>
      <c r="K178" s="116">
        <f>IF(A178="","",IF(J177&gt;=Inputs!$B$47,2, IF(J177&gt;=Inputs!$B$45,1, IF(J177&lt;=Inputs!$B$46,0,K177))))</f>
        <v/>
      </c>
      <c r="L178" s="251">
        <f>IF(A178="","",K178*Inputs!$B$49)</f>
        <v/>
      </c>
      <c r="M178" s="251">
        <f>IF(A178="","",MIN(L178,H177/Inputs!$B$9+S178))</f>
        <v/>
      </c>
      <c r="N178" s="116">
        <f>IF(A178="","",IF(AND(K178&gt;0,K177=0),1,0))</f>
        <v/>
      </c>
      <c r="O178" s="116">
        <f>IF(A178="","",O177+N178)</f>
        <v/>
      </c>
      <c r="P178" s="251">
        <f>IF(A178="","",MIN(F178,Inputs!$B$50))</f>
        <v/>
      </c>
      <c r="Q178" s="251">
        <f>IF(A178="","",MAX(0,F178-P178))</f>
        <v/>
      </c>
      <c r="R178" s="251">
        <f>IF(A178="","",P178*Inputs!$B$51)</f>
        <v/>
      </c>
      <c r="S178" s="251">
        <f>IF(A178="","",Q178+R178)</f>
        <v/>
      </c>
    </row>
    <row r="179">
      <c r="A179" s="116">
        <f>IF(ROW()&lt;=Inputs!$B$53+2,A178+Inputs!$B$8,"")</f>
        <v/>
      </c>
      <c r="B179" s="251">
        <f>IF(A179="","",IFERROR(INDEX(IDF_Hyetograph!$J$2:$J$37,MATCH(A179,IDF_Hyetograph!$K$2:$K$37,0)),0))</f>
        <v/>
      </c>
      <c r="C179" s="251">
        <f>IF(A179="","",0.00278*Inputs!$B$4*Inputs!$B$3*B179)</f>
        <v/>
      </c>
      <c r="D179" s="251">
        <f>IF(A179="","",MIN( Inputs!$B$30, MAX(0, D178 + (C179-F179-G179)*Inputs!$B$9) ))</f>
        <v/>
      </c>
      <c r="E179" s="251">
        <f>IF(A179="","",Inputs!$B$31 + D179/Inputs!$B$33)</f>
        <v/>
      </c>
      <c r="F179" s="251">
        <f>IF(A179="","",MIN( D178/Inputs!$B$9, Inputs!$B$35*Inputs!$B$36*SQRT(2*Inputs!$B$37*MAX(E178-J178,0)) ))</f>
        <v/>
      </c>
      <c r="G179" s="251">
        <f>IF(A179="","",MAX(0,(D178 + (C179-F179)*Inputs!$B$9 - Inputs!$B$30)/Inputs!$B$9))</f>
        <v/>
      </c>
      <c r="H179" s="251">
        <f>IF(A179="","",MAX(0,MIN(Inputs!$B$44,H178+(S179-M179-I179)*Inputs!$B$9)))</f>
        <v/>
      </c>
      <c r="I179" s="251">
        <f>IF(A179="","",MAX(0,(H178+(S179-M179)*Inputs!$B$9-Inputs!$B$44)/Inputs!$B$9))</f>
        <v/>
      </c>
      <c r="J179" s="251">
        <f>IF(A179="","",Inputs!$B$40 + H179/Inputs!$B$42)</f>
        <v/>
      </c>
      <c r="K179" s="116">
        <f>IF(A179="","",IF(J178&gt;=Inputs!$B$47,2, IF(J178&gt;=Inputs!$B$45,1, IF(J178&lt;=Inputs!$B$46,0,K178))))</f>
        <v/>
      </c>
      <c r="L179" s="251">
        <f>IF(A179="","",K179*Inputs!$B$49)</f>
        <v/>
      </c>
      <c r="M179" s="251">
        <f>IF(A179="","",MIN(L179,H178/Inputs!$B$9+S179))</f>
        <v/>
      </c>
      <c r="N179" s="116">
        <f>IF(A179="","",IF(AND(K179&gt;0,K178=0),1,0))</f>
        <v/>
      </c>
      <c r="O179" s="116">
        <f>IF(A179="","",O178+N179)</f>
        <v/>
      </c>
      <c r="P179" s="251">
        <f>IF(A179="","",MIN(F179,Inputs!$B$50))</f>
        <v/>
      </c>
      <c r="Q179" s="251">
        <f>IF(A179="","",MAX(0,F179-P179))</f>
        <v/>
      </c>
      <c r="R179" s="251">
        <f>IF(A179="","",P179*Inputs!$B$51)</f>
        <v/>
      </c>
      <c r="S179" s="251">
        <f>IF(A179="","",Q179+R179)</f>
        <v/>
      </c>
    </row>
    <row r="180">
      <c r="A180" s="116">
        <f>IF(ROW()&lt;=Inputs!$B$53+2,A179+Inputs!$B$8,"")</f>
        <v/>
      </c>
      <c r="B180" s="251">
        <f>IF(A180="","",IFERROR(INDEX(IDF_Hyetograph!$J$2:$J$37,MATCH(A180,IDF_Hyetograph!$K$2:$K$37,0)),0))</f>
        <v/>
      </c>
      <c r="C180" s="251">
        <f>IF(A180="","",0.00278*Inputs!$B$4*Inputs!$B$3*B180)</f>
        <v/>
      </c>
      <c r="D180" s="251">
        <f>IF(A180="","",MIN( Inputs!$B$30, MAX(0, D179 + (C180-F180-G180)*Inputs!$B$9) ))</f>
        <v/>
      </c>
      <c r="E180" s="251">
        <f>IF(A180="","",Inputs!$B$31 + D180/Inputs!$B$33)</f>
        <v/>
      </c>
      <c r="F180" s="251">
        <f>IF(A180="","",MIN( D179/Inputs!$B$9, Inputs!$B$35*Inputs!$B$36*SQRT(2*Inputs!$B$37*MAX(E179-J179,0)) ))</f>
        <v/>
      </c>
      <c r="G180" s="251">
        <f>IF(A180="","",MAX(0,(D179 + (C180-F180)*Inputs!$B$9 - Inputs!$B$30)/Inputs!$B$9))</f>
        <v/>
      </c>
      <c r="H180" s="251">
        <f>IF(A180="","",MAX(0,MIN(Inputs!$B$44,H179+(S180-M180-I180)*Inputs!$B$9)))</f>
        <v/>
      </c>
      <c r="I180" s="251">
        <f>IF(A180="","",MAX(0,(H179+(S180-M180)*Inputs!$B$9-Inputs!$B$44)/Inputs!$B$9))</f>
        <v/>
      </c>
      <c r="J180" s="251">
        <f>IF(A180="","",Inputs!$B$40 + H180/Inputs!$B$42)</f>
        <v/>
      </c>
      <c r="K180" s="116">
        <f>IF(A180="","",IF(J179&gt;=Inputs!$B$47,2, IF(J179&gt;=Inputs!$B$45,1, IF(J179&lt;=Inputs!$B$46,0,K179))))</f>
        <v/>
      </c>
      <c r="L180" s="251">
        <f>IF(A180="","",K180*Inputs!$B$49)</f>
        <v/>
      </c>
      <c r="M180" s="251">
        <f>IF(A180="","",MIN(L180,H179/Inputs!$B$9+S180))</f>
        <v/>
      </c>
      <c r="N180" s="116">
        <f>IF(A180="","",IF(AND(K180&gt;0,K179=0),1,0))</f>
        <v/>
      </c>
      <c r="O180" s="116">
        <f>IF(A180="","",O179+N180)</f>
        <v/>
      </c>
      <c r="P180" s="251">
        <f>IF(A180="","",MIN(F180,Inputs!$B$50))</f>
        <v/>
      </c>
      <c r="Q180" s="251">
        <f>IF(A180="","",MAX(0,F180-P180))</f>
        <v/>
      </c>
      <c r="R180" s="251">
        <f>IF(A180="","",P180*Inputs!$B$51)</f>
        <v/>
      </c>
      <c r="S180" s="251">
        <f>IF(A180="","",Q180+R180)</f>
        <v/>
      </c>
    </row>
    <row r="181">
      <c r="A181" s="116">
        <f>IF(ROW()&lt;=Inputs!$B$53+2,A180+Inputs!$B$8,"")</f>
        <v/>
      </c>
      <c r="B181" s="251">
        <f>IF(A181="","",IFERROR(INDEX(IDF_Hyetograph!$J$2:$J$37,MATCH(A181,IDF_Hyetograph!$K$2:$K$37,0)),0))</f>
        <v/>
      </c>
      <c r="C181" s="251">
        <f>IF(A181="","",0.00278*Inputs!$B$4*Inputs!$B$3*B181)</f>
        <v/>
      </c>
      <c r="D181" s="251">
        <f>IF(A181="","",MIN( Inputs!$B$30, MAX(0, D180 + (C181-F181-G181)*Inputs!$B$9) ))</f>
        <v/>
      </c>
      <c r="E181" s="251">
        <f>IF(A181="","",Inputs!$B$31 + D181/Inputs!$B$33)</f>
        <v/>
      </c>
      <c r="F181" s="251">
        <f>IF(A181="","",MIN( D180/Inputs!$B$9, Inputs!$B$35*Inputs!$B$36*SQRT(2*Inputs!$B$37*MAX(E180-J180,0)) ))</f>
        <v/>
      </c>
      <c r="G181" s="251">
        <f>IF(A181="","",MAX(0,(D180 + (C181-F181)*Inputs!$B$9 - Inputs!$B$30)/Inputs!$B$9))</f>
        <v/>
      </c>
      <c r="H181" s="251">
        <f>IF(A181="","",MAX(0,MIN(Inputs!$B$44,H180+(S181-M181-I181)*Inputs!$B$9)))</f>
        <v/>
      </c>
      <c r="I181" s="251">
        <f>IF(A181="","",MAX(0,(H180+(S181-M181)*Inputs!$B$9-Inputs!$B$44)/Inputs!$B$9))</f>
        <v/>
      </c>
      <c r="J181" s="251">
        <f>IF(A181="","",Inputs!$B$40 + H181/Inputs!$B$42)</f>
        <v/>
      </c>
      <c r="K181" s="116">
        <f>IF(A181="","",IF(J180&gt;=Inputs!$B$47,2, IF(J180&gt;=Inputs!$B$45,1, IF(J180&lt;=Inputs!$B$46,0,K180))))</f>
        <v/>
      </c>
      <c r="L181" s="251">
        <f>IF(A181="","",K181*Inputs!$B$49)</f>
        <v/>
      </c>
      <c r="M181" s="251">
        <f>IF(A181="","",MIN(L181,H180/Inputs!$B$9+S181))</f>
        <v/>
      </c>
      <c r="N181" s="116">
        <f>IF(A181="","",IF(AND(K181&gt;0,K180=0),1,0))</f>
        <v/>
      </c>
      <c r="O181" s="116">
        <f>IF(A181="","",O180+N181)</f>
        <v/>
      </c>
      <c r="P181" s="251">
        <f>IF(A181="","",MIN(F181,Inputs!$B$50))</f>
        <v/>
      </c>
      <c r="Q181" s="251">
        <f>IF(A181="","",MAX(0,F181-P181))</f>
        <v/>
      </c>
      <c r="R181" s="251">
        <f>IF(A181="","",P181*Inputs!$B$51)</f>
        <v/>
      </c>
      <c r="S181" s="251">
        <f>IF(A181="","",Q181+R181)</f>
        <v/>
      </c>
    </row>
    <row r="182">
      <c r="A182" s="116">
        <f>IF(ROW()&lt;=Inputs!$B$53+2,A181+Inputs!$B$8,"")</f>
        <v/>
      </c>
      <c r="B182" s="251">
        <f>IF(A182="","",IFERROR(INDEX(IDF_Hyetograph!$J$2:$J$37,MATCH(A182,IDF_Hyetograph!$K$2:$K$37,0)),0))</f>
        <v/>
      </c>
      <c r="C182" s="251">
        <f>IF(A182="","",0.00278*Inputs!$B$4*Inputs!$B$3*B182)</f>
        <v/>
      </c>
      <c r="D182" s="251">
        <f>IF(A182="","",MIN( Inputs!$B$30, MAX(0, D181 + (C182-F182-G182)*Inputs!$B$9) ))</f>
        <v/>
      </c>
      <c r="E182" s="251">
        <f>IF(A182="","",Inputs!$B$31 + D182/Inputs!$B$33)</f>
        <v/>
      </c>
      <c r="F182" s="251">
        <f>IF(A182="","",MIN( D181/Inputs!$B$9, Inputs!$B$35*Inputs!$B$36*SQRT(2*Inputs!$B$37*MAX(E181-J181,0)) ))</f>
        <v/>
      </c>
      <c r="G182" s="251">
        <f>IF(A182="","",MAX(0,(D181 + (C182-F182)*Inputs!$B$9 - Inputs!$B$30)/Inputs!$B$9))</f>
        <v/>
      </c>
      <c r="H182" s="251">
        <f>IF(A182="","",MAX(0,MIN(Inputs!$B$44,H181+(S182-M182-I182)*Inputs!$B$9)))</f>
        <v/>
      </c>
      <c r="I182" s="251">
        <f>IF(A182="","",MAX(0,(H181+(S182-M182)*Inputs!$B$9-Inputs!$B$44)/Inputs!$B$9))</f>
        <v/>
      </c>
      <c r="J182" s="251">
        <f>IF(A182="","",Inputs!$B$40 + H182/Inputs!$B$42)</f>
        <v/>
      </c>
      <c r="K182" s="116">
        <f>IF(A182="","",IF(J181&gt;=Inputs!$B$47,2, IF(J181&gt;=Inputs!$B$45,1, IF(J181&lt;=Inputs!$B$46,0,K181))))</f>
        <v/>
      </c>
      <c r="L182" s="251">
        <f>IF(A182="","",K182*Inputs!$B$49)</f>
        <v/>
      </c>
      <c r="M182" s="251">
        <f>IF(A182="","",MIN(L182,H181/Inputs!$B$9+S182))</f>
        <v/>
      </c>
      <c r="N182" s="116">
        <f>IF(A182="","",IF(AND(K182&gt;0,K181=0),1,0))</f>
        <v/>
      </c>
      <c r="O182" s="116">
        <f>IF(A182="","",O181+N182)</f>
        <v/>
      </c>
      <c r="P182" s="251">
        <f>IF(A182="","",MIN(F182,Inputs!$B$50))</f>
        <v/>
      </c>
      <c r="Q182" s="251">
        <f>IF(A182="","",MAX(0,F182-P182))</f>
        <v/>
      </c>
      <c r="R182" s="251">
        <f>IF(A182="","",P182*Inputs!$B$51)</f>
        <v/>
      </c>
      <c r="S182" s="251">
        <f>IF(A182="","",Q182+R182)</f>
        <v/>
      </c>
    </row>
    <row r="183">
      <c r="A183" s="116">
        <f>IF(ROW()&lt;=Inputs!$B$53+2,A182+Inputs!$B$8,"")</f>
        <v/>
      </c>
      <c r="B183" s="251">
        <f>IF(A183="","",IFERROR(INDEX(IDF_Hyetograph!$J$2:$J$37,MATCH(A183,IDF_Hyetograph!$K$2:$K$37,0)),0))</f>
        <v/>
      </c>
      <c r="C183" s="251">
        <f>IF(A183="","",0.00278*Inputs!$B$4*Inputs!$B$3*B183)</f>
        <v/>
      </c>
      <c r="D183" s="251">
        <f>IF(A183="","",MIN( Inputs!$B$30, MAX(0, D182 + (C183-F183-G183)*Inputs!$B$9) ))</f>
        <v/>
      </c>
      <c r="E183" s="251">
        <f>IF(A183="","",Inputs!$B$31 + D183/Inputs!$B$33)</f>
        <v/>
      </c>
      <c r="F183" s="251">
        <f>IF(A183="","",MIN( D182/Inputs!$B$9, Inputs!$B$35*Inputs!$B$36*SQRT(2*Inputs!$B$37*MAX(E182-J182,0)) ))</f>
        <v/>
      </c>
      <c r="G183" s="251">
        <f>IF(A183="","",MAX(0,(D182 + (C183-F183)*Inputs!$B$9 - Inputs!$B$30)/Inputs!$B$9))</f>
        <v/>
      </c>
      <c r="H183" s="251">
        <f>IF(A183="","",MAX(0,MIN(Inputs!$B$44,H182+(S183-M183-I183)*Inputs!$B$9)))</f>
        <v/>
      </c>
      <c r="I183" s="251">
        <f>IF(A183="","",MAX(0,(H182+(S183-M183)*Inputs!$B$9-Inputs!$B$44)/Inputs!$B$9))</f>
        <v/>
      </c>
      <c r="J183" s="251">
        <f>IF(A183="","",Inputs!$B$40 + H183/Inputs!$B$42)</f>
        <v/>
      </c>
      <c r="K183" s="116">
        <f>IF(A183="","",IF(J182&gt;=Inputs!$B$47,2, IF(J182&gt;=Inputs!$B$45,1, IF(J182&lt;=Inputs!$B$46,0,K182))))</f>
        <v/>
      </c>
      <c r="L183" s="251">
        <f>IF(A183="","",K183*Inputs!$B$49)</f>
        <v/>
      </c>
      <c r="M183" s="251">
        <f>IF(A183="","",MIN(L183,H182/Inputs!$B$9+S183))</f>
        <v/>
      </c>
      <c r="N183" s="116">
        <f>IF(A183="","",IF(AND(K183&gt;0,K182=0),1,0))</f>
        <v/>
      </c>
      <c r="O183" s="116">
        <f>IF(A183="","",O182+N183)</f>
        <v/>
      </c>
      <c r="P183" s="251">
        <f>IF(A183="","",MIN(F183,Inputs!$B$50))</f>
        <v/>
      </c>
      <c r="Q183" s="251">
        <f>IF(A183="","",MAX(0,F183-P183))</f>
        <v/>
      </c>
      <c r="R183" s="251">
        <f>IF(A183="","",P183*Inputs!$B$51)</f>
        <v/>
      </c>
      <c r="S183" s="251">
        <f>IF(A183="","",Q183+R183)</f>
        <v/>
      </c>
    </row>
    <row r="184">
      <c r="A184" s="116">
        <f>IF(ROW()&lt;=Inputs!$B$53+2,A183+Inputs!$B$8,"")</f>
        <v/>
      </c>
      <c r="B184" s="251">
        <f>IF(A184="","",IFERROR(INDEX(IDF_Hyetograph!$J$2:$J$37,MATCH(A184,IDF_Hyetograph!$K$2:$K$37,0)),0))</f>
        <v/>
      </c>
      <c r="C184" s="251">
        <f>IF(A184="","",0.00278*Inputs!$B$4*Inputs!$B$3*B184)</f>
        <v/>
      </c>
      <c r="D184" s="251">
        <f>IF(A184="","",MIN( Inputs!$B$30, MAX(0, D183 + (C184-F184-G184)*Inputs!$B$9) ))</f>
        <v/>
      </c>
      <c r="E184" s="251">
        <f>IF(A184="","",Inputs!$B$31 + D184/Inputs!$B$33)</f>
        <v/>
      </c>
      <c r="F184" s="251">
        <f>IF(A184="","",MIN( D183/Inputs!$B$9, Inputs!$B$35*Inputs!$B$36*SQRT(2*Inputs!$B$37*MAX(E183-J183,0)) ))</f>
        <v/>
      </c>
      <c r="G184" s="251">
        <f>IF(A184="","",MAX(0,(D183 + (C184-F184)*Inputs!$B$9 - Inputs!$B$30)/Inputs!$B$9))</f>
        <v/>
      </c>
      <c r="H184" s="251">
        <f>IF(A184="","",MAX(0,MIN(Inputs!$B$44,H183+(S184-M184-I184)*Inputs!$B$9)))</f>
        <v/>
      </c>
      <c r="I184" s="251">
        <f>IF(A184="","",MAX(0,(H183+(S184-M184)*Inputs!$B$9-Inputs!$B$44)/Inputs!$B$9))</f>
        <v/>
      </c>
      <c r="J184" s="251">
        <f>IF(A184="","",Inputs!$B$40 + H184/Inputs!$B$42)</f>
        <v/>
      </c>
      <c r="K184" s="116">
        <f>IF(A184="","",IF(J183&gt;=Inputs!$B$47,2, IF(J183&gt;=Inputs!$B$45,1, IF(J183&lt;=Inputs!$B$46,0,K183))))</f>
        <v/>
      </c>
      <c r="L184" s="251">
        <f>IF(A184="","",K184*Inputs!$B$49)</f>
        <v/>
      </c>
      <c r="M184" s="251">
        <f>IF(A184="","",MIN(L184,H183/Inputs!$B$9+S184))</f>
        <v/>
      </c>
      <c r="N184" s="116">
        <f>IF(A184="","",IF(AND(K184&gt;0,K183=0),1,0))</f>
        <v/>
      </c>
      <c r="O184" s="116">
        <f>IF(A184="","",O183+N184)</f>
        <v/>
      </c>
      <c r="P184" s="251">
        <f>IF(A184="","",MIN(F184,Inputs!$B$50))</f>
        <v/>
      </c>
      <c r="Q184" s="251">
        <f>IF(A184="","",MAX(0,F184-P184))</f>
        <v/>
      </c>
      <c r="R184" s="251">
        <f>IF(A184="","",P184*Inputs!$B$51)</f>
        <v/>
      </c>
      <c r="S184" s="251">
        <f>IF(A184="","",Q184+R184)</f>
        <v/>
      </c>
    </row>
    <row r="185">
      <c r="A185" s="116">
        <f>IF(ROW()&lt;=Inputs!$B$53+2,A184+Inputs!$B$8,"")</f>
        <v/>
      </c>
      <c r="B185" s="251">
        <f>IF(A185="","",IFERROR(INDEX(IDF_Hyetograph!$J$2:$J$37,MATCH(A185,IDF_Hyetograph!$K$2:$K$37,0)),0))</f>
        <v/>
      </c>
      <c r="C185" s="251">
        <f>IF(A185="","",0.00278*Inputs!$B$4*Inputs!$B$3*B185)</f>
        <v/>
      </c>
      <c r="D185" s="251">
        <f>IF(A185="","",MIN( Inputs!$B$30, MAX(0, D184 + (C185-F185-G185)*Inputs!$B$9) ))</f>
        <v/>
      </c>
      <c r="E185" s="251">
        <f>IF(A185="","",Inputs!$B$31 + D185/Inputs!$B$33)</f>
        <v/>
      </c>
      <c r="F185" s="251">
        <f>IF(A185="","",MIN( D184/Inputs!$B$9, Inputs!$B$35*Inputs!$B$36*SQRT(2*Inputs!$B$37*MAX(E184-J184,0)) ))</f>
        <v/>
      </c>
      <c r="G185" s="251">
        <f>IF(A185="","",MAX(0,(D184 + (C185-F185)*Inputs!$B$9 - Inputs!$B$30)/Inputs!$B$9))</f>
        <v/>
      </c>
      <c r="H185" s="251">
        <f>IF(A185="","",MAX(0,MIN(Inputs!$B$44,H184+(S185-M185-I185)*Inputs!$B$9)))</f>
        <v/>
      </c>
      <c r="I185" s="251">
        <f>IF(A185="","",MAX(0,(H184+(S185-M185)*Inputs!$B$9-Inputs!$B$44)/Inputs!$B$9))</f>
        <v/>
      </c>
      <c r="J185" s="251">
        <f>IF(A185="","",Inputs!$B$40 + H185/Inputs!$B$42)</f>
        <v/>
      </c>
      <c r="K185" s="116">
        <f>IF(A185="","",IF(J184&gt;=Inputs!$B$47,2, IF(J184&gt;=Inputs!$B$45,1, IF(J184&lt;=Inputs!$B$46,0,K184))))</f>
        <v/>
      </c>
      <c r="L185" s="251">
        <f>IF(A185="","",K185*Inputs!$B$49)</f>
        <v/>
      </c>
      <c r="M185" s="251">
        <f>IF(A185="","",MIN(L185,H184/Inputs!$B$9+S185))</f>
        <v/>
      </c>
      <c r="N185" s="116">
        <f>IF(A185="","",IF(AND(K185&gt;0,K184=0),1,0))</f>
        <v/>
      </c>
      <c r="O185" s="116">
        <f>IF(A185="","",O184+N185)</f>
        <v/>
      </c>
      <c r="P185" s="251">
        <f>IF(A185="","",MIN(F185,Inputs!$B$50))</f>
        <v/>
      </c>
      <c r="Q185" s="251">
        <f>IF(A185="","",MAX(0,F185-P185))</f>
        <v/>
      </c>
      <c r="R185" s="251">
        <f>IF(A185="","",P185*Inputs!$B$51)</f>
        <v/>
      </c>
      <c r="S185" s="251">
        <f>IF(A185="","",Q185+R185)</f>
        <v/>
      </c>
    </row>
    <row r="186">
      <c r="A186" s="116">
        <f>IF(ROW()&lt;=Inputs!$B$53+2,A185+Inputs!$B$8,"")</f>
        <v/>
      </c>
      <c r="B186" s="251">
        <f>IF(A186="","",IFERROR(INDEX(IDF_Hyetograph!$J$2:$J$37,MATCH(A186,IDF_Hyetograph!$K$2:$K$37,0)),0))</f>
        <v/>
      </c>
      <c r="C186" s="251">
        <f>IF(A186="","",0.00278*Inputs!$B$4*Inputs!$B$3*B186)</f>
        <v/>
      </c>
      <c r="D186" s="251">
        <f>IF(A186="","",MIN( Inputs!$B$30, MAX(0, D185 + (C186-F186-G186)*Inputs!$B$9) ))</f>
        <v/>
      </c>
      <c r="E186" s="251">
        <f>IF(A186="","",Inputs!$B$31 + D186/Inputs!$B$33)</f>
        <v/>
      </c>
      <c r="F186" s="251">
        <f>IF(A186="","",MIN( D185/Inputs!$B$9, Inputs!$B$35*Inputs!$B$36*SQRT(2*Inputs!$B$37*MAX(E185-J185,0)) ))</f>
        <v/>
      </c>
      <c r="G186" s="251">
        <f>IF(A186="","",MAX(0,(D185 + (C186-F186)*Inputs!$B$9 - Inputs!$B$30)/Inputs!$B$9))</f>
        <v/>
      </c>
      <c r="H186" s="251">
        <f>IF(A186="","",MAX(0,MIN(Inputs!$B$44,H185+(S186-M186-I186)*Inputs!$B$9)))</f>
        <v/>
      </c>
      <c r="I186" s="251">
        <f>IF(A186="","",MAX(0,(H185+(S186-M186)*Inputs!$B$9-Inputs!$B$44)/Inputs!$B$9))</f>
        <v/>
      </c>
      <c r="J186" s="251">
        <f>IF(A186="","",Inputs!$B$40 + H186/Inputs!$B$42)</f>
        <v/>
      </c>
      <c r="K186" s="116">
        <f>IF(A186="","",IF(J185&gt;=Inputs!$B$47,2, IF(J185&gt;=Inputs!$B$45,1, IF(J185&lt;=Inputs!$B$46,0,K185))))</f>
        <v/>
      </c>
      <c r="L186" s="251">
        <f>IF(A186="","",K186*Inputs!$B$49)</f>
        <v/>
      </c>
      <c r="M186" s="251">
        <f>IF(A186="","",MIN(L186,H185/Inputs!$B$9+S186))</f>
        <v/>
      </c>
      <c r="N186" s="116">
        <f>IF(A186="","",IF(AND(K186&gt;0,K185=0),1,0))</f>
        <v/>
      </c>
      <c r="O186" s="116">
        <f>IF(A186="","",O185+N186)</f>
        <v/>
      </c>
      <c r="P186" s="251">
        <f>IF(A186="","",MIN(F186,Inputs!$B$50))</f>
        <v/>
      </c>
      <c r="Q186" s="251">
        <f>IF(A186="","",MAX(0,F186-P186))</f>
        <v/>
      </c>
      <c r="R186" s="251">
        <f>IF(A186="","",P186*Inputs!$B$51)</f>
        <v/>
      </c>
      <c r="S186" s="251">
        <f>IF(A186="","",Q186+R186)</f>
        <v/>
      </c>
    </row>
    <row r="187">
      <c r="A187" s="116">
        <f>IF(ROW()&lt;=Inputs!$B$53+2,A186+Inputs!$B$8,"")</f>
        <v/>
      </c>
      <c r="B187" s="251">
        <f>IF(A187="","",IFERROR(INDEX(IDF_Hyetograph!$J$2:$J$37,MATCH(A187,IDF_Hyetograph!$K$2:$K$37,0)),0))</f>
        <v/>
      </c>
      <c r="C187" s="251">
        <f>IF(A187="","",0.00278*Inputs!$B$4*Inputs!$B$3*B187)</f>
        <v/>
      </c>
      <c r="D187" s="251">
        <f>IF(A187="","",MIN( Inputs!$B$30, MAX(0, D186 + (C187-F187-G187)*Inputs!$B$9) ))</f>
        <v/>
      </c>
      <c r="E187" s="251">
        <f>IF(A187="","",Inputs!$B$31 + D187/Inputs!$B$33)</f>
        <v/>
      </c>
      <c r="F187" s="251">
        <f>IF(A187="","",MIN( D186/Inputs!$B$9, Inputs!$B$35*Inputs!$B$36*SQRT(2*Inputs!$B$37*MAX(E186-J186,0)) ))</f>
        <v/>
      </c>
      <c r="G187" s="251">
        <f>IF(A187="","",MAX(0,(D186 + (C187-F187)*Inputs!$B$9 - Inputs!$B$30)/Inputs!$B$9))</f>
        <v/>
      </c>
      <c r="H187" s="251">
        <f>IF(A187="","",MAX(0,MIN(Inputs!$B$44,H186+(S187-M187-I187)*Inputs!$B$9)))</f>
        <v/>
      </c>
      <c r="I187" s="251">
        <f>IF(A187="","",MAX(0,(H186+(S187-M187)*Inputs!$B$9-Inputs!$B$44)/Inputs!$B$9))</f>
        <v/>
      </c>
      <c r="J187" s="251">
        <f>IF(A187="","",Inputs!$B$40 + H187/Inputs!$B$42)</f>
        <v/>
      </c>
      <c r="K187" s="116">
        <f>IF(A187="","",IF(J186&gt;=Inputs!$B$47,2, IF(J186&gt;=Inputs!$B$45,1, IF(J186&lt;=Inputs!$B$46,0,K186))))</f>
        <v/>
      </c>
      <c r="L187" s="251">
        <f>IF(A187="","",K187*Inputs!$B$49)</f>
        <v/>
      </c>
      <c r="M187" s="251">
        <f>IF(A187="","",MIN(L187,H186/Inputs!$B$9+S187))</f>
        <v/>
      </c>
      <c r="N187" s="116">
        <f>IF(A187="","",IF(AND(K187&gt;0,K186=0),1,0))</f>
        <v/>
      </c>
      <c r="O187" s="116">
        <f>IF(A187="","",O186+N187)</f>
        <v/>
      </c>
      <c r="P187" s="251">
        <f>IF(A187="","",MIN(F187,Inputs!$B$50))</f>
        <v/>
      </c>
      <c r="Q187" s="251">
        <f>IF(A187="","",MAX(0,F187-P187))</f>
        <v/>
      </c>
      <c r="R187" s="251">
        <f>IF(A187="","",P187*Inputs!$B$51)</f>
        <v/>
      </c>
      <c r="S187" s="251">
        <f>IF(A187="","",Q187+R187)</f>
        <v/>
      </c>
    </row>
    <row r="188">
      <c r="A188" s="116">
        <f>IF(ROW()&lt;=Inputs!$B$53+2,A187+Inputs!$B$8,"")</f>
        <v/>
      </c>
      <c r="B188" s="251">
        <f>IF(A188="","",IFERROR(INDEX(IDF_Hyetograph!$J$2:$J$37,MATCH(A188,IDF_Hyetograph!$K$2:$K$37,0)),0))</f>
        <v/>
      </c>
      <c r="C188" s="251">
        <f>IF(A188="","",0.00278*Inputs!$B$4*Inputs!$B$3*B188)</f>
        <v/>
      </c>
      <c r="D188" s="251">
        <f>IF(A188="","",MIN( Inputs!$B$30, MAX(0, D187 + (C188-F188-G188)*Inputs!$B$9) ))</f>
        <v/>
      </c>
      <c r="E188" s="251">
        <f>IF(A188="","",Inputs!$B$31 + D188/Inputs!$B$33)</f>
        <v/>
      </c>
      <c r="F188" s="251">
        <f>IF(A188="","",MIN( D187/Inputs!$B$9, Inputs!$B$35*Inputs!$B$36*SQRT(2*Inputs!$B$37*MAX(E187-J187,0)) ))</f>
        <v/>
      </c>
      <c r="G188" s="251">
        <f>IF(A188="","",MAX(0,(D187 + (C188-F188)*Inputs!$B$9 - Inputs!$B$30)/Inputs!$B$9))</f>
        <v/>
      </c>
      <c r="H188" s="251">
        <f>IF(A188="","",MAX(0,MIN(Inputs!$B$44,H187+(S188-M188-I188)*Inputs!$B$9)))</f>
        <v/>
      </c>
      <c r="I188" s="251">
        <f>IF(A188="","",MAX(0,(H187+(S188-M188)*Inputs!$B$9-Inputs!$B$44)/Inputs!$B$9))</f>
        <v/>
      </c>
      <c r="J188" s="251">
        <f>IF(A188="","",Inputs!$B$40 + H188/Inputs!$B$42)</f>
        <v/>
      </c>
      <c r="K188" s="116">
        <f>IF(A188="","",IF(J187&gt;=Inputs!$B$47,2, IF(J187&gt;=Inputs!$B$45,1, IF(J187&lt;=Inputs!$B$46,0,K187))))</f>
        <v/>
      </c>
      <c r="L188" s="251">
        <f>IF(A188="","",K188*Inputs!$B$49)</f>
        <v/>
      </c>
      <c r="M188" s="251">
        <f>IF(A188="","",MIN(L188,H187/Inputs!$B$9+S188))</f>
        <v/>
      </c>
      <c r="N188" s="116">
        <f>IF(A188="","",IF(AND(K188&gt;0,K187=0),1,0))</f>
        <v/>
      </c>
      <c r="O188" s="116">
        <f>IF(A188="","",O187+N188)</f>
        <v/>
      </c>
      <c r="P188" s="251">
        <f>IF(A188="","",MIN(F188,Inputs!$B$50))</f>
        <v/>
      </c>
      <c r="Q188" s="251">
        <f>IF(A188="","",MAX(0,F188-P188))</f>
        <v/>
      </c>
      <c r="R188" s="251">
        <f>IF(A188="","",P188*Inputs!$B$51)</f>
        <v/>
      </c>
      <c r="S188" s="251">
        <f>IF(A188="","",Q188+R188)</f>
        <v/>
      </c>
    </row>
    <row r="189">
      <c r="A189" s="116">
        <f>IF(ROW()&lt;=Inputs!$B$53+2,A188+Inputs!$B$8,"")</f>
        <v/>
      </c>
      <c r="B189" s="251">
        <f>IF(A189="","",IFERROR(INDEX(IDF_Hyetograph!$J$2:$J$37,MATCH(A189,IDF_Hyetograph!$K$2:$K$37,0)),0))</f>
        <v/>
      </c>
      <c r="C189" s="251">
        <f>IF(A189="","",0.00278*Inputs!$B$4*Inputs!$B$3*B189)</f>
        <v/>
      </c>
      <c r="D189" s="251">
        <f>IF(A189="","",MIN( Inputs!$B$30, MAX(0, D188 + (C189-F189-G189)*Inputs!$B$9) ))</f>
        <v/>
      </c>
      <c r="E189" s="251">
        <f>IF(A189="","",Inputs!$B$31 + D189/Inputs!$B$33)</f>
        <v/>
      </c>
      <c r="F189" s="251">
        <f>IF(A189="","",MIN( D188/Inputs!$B$9, Inputs!$B$35*Inputs!$B$36*SQRT(2*Inputs!$B$37*MAX(E188-J188,0)) ))</f>
        <v/>
      </c>
      <c r="G189" s="251">
        <f>IF(A189="","",MAX(0,(D188 + (C189-F189)*Inputs!$B$9 - Inputs!$B$30)/Inputs!$B$9))</f>
        <v/>
      </c>
      <c r="H189" s="251">
        <f>IF(A189="","",MAX(0,MIN(Inputs!$B$44,H188+(S189-M189-I189)*Inputs!$B$9)))</f>
        <v/>
      </c>
      <c r="I189" s="251">
        <f>IF(A189="","",MAX(0,(H188+(S189-M189)*Inputs!$B$9-Inputs!$B$44)/Inputs!$B$9))</f>
        <v/>
      </c>
      <c r="J189" s="251">
        <f>IF(A189="","",Inputs!$B$40 + H189/Inputs!$B$42)</f>
        <v/>
      </c>
      <c r="K189" s="116">
        <f>IF(A189="","",IF(J188&gt;=Inputs!$B$47,2, IF(J188&gt;=Inputs!$B$45,1, IF(J188&lt;=Inputs!$B$46,0,K188))))</f>
        <v/>
      </c>
      <c r="L189" s="251">
        <f>IF(A189="","",K189*Inputs!$B$49)</f>
        <v/>
      </c>
      <c r="M189" s="251">
        <f>IF(A189="","",MIN(L189,H188/Inputs!$B$9+S189))</f>
        <v/>
      </c>
      <c r="N189" s="116">
        <f>IF(A189="","",IF(AND(K189&gt;0,K188=0),1,0))</f>
        <v/>
      </c>
      <c r="O189" s="116">
        <f>IF(A189="","",O188+N189)</f>
        <v/>
      </c>
      <c r="P189" s="251">
        <f>IF(A189="","",MIN(F189,Inputs!$B$50))</f>
        <v/>
      </c>
      <c r="Q189" s="251">
        <f>IF(A189="","",MAX(0,F189-P189))</f>
        <v/>
      </c>
      <c r="R189" s="251">
        <f>IF(A189="","",P189*Inputs!$B$51)</f>
        <v/>
      </c>
      <c r="S189" s="251">
        <f>IF(A189="","",Q189+R189)</f>
        <v/>
      </c>
    </row>
    <row r="190">
      <c r="A190" s="116">
        <f>IF(ROW()&lt;=Inputs!$B$53+2,A189+Inputs!$B$8,"")</f>
        <v/>
      </c>
      <c r="B190" s="251">
        <f>IF(A190="","",IFERROR(INDEX(IDF_Hyetograph!$J$2:$J$37,MATCH(A190,IDF_Hyetograph!$K$2:$K$37,0)),0))</f>
        <v/>
      </c>
      <c r="C190" s="251">
        <f>IF(A190="","",0.00278*Inputs!$B$4*Inputs!$B$3*B190)</f>
        <v/>
      </c>
      <c r="D190" s="251">
        <f>IF(A190="","",MIN( Inputs!$B$30, MAX(0, D189 + (C190-F190-G190)*Inputs!$B$9) ))</f>
        <v/>
      </c>
      <c r="E190" s="251">
        <f>IF(A190="","",Inputs!$B$31 + D190/Inputs!$B$33)</f>
        <v/>
      </c>
      <c r="F190" s="251">
        <f>IF(A190="","",MIN( D189/Inputs!$B$9, Inputs!$B$35*Inputs!$B$36*SQRT(2*Inputs!$B$37*MAX(E189-J189,0)) ))</f>
        <v/>
      </c>
      <c r="G190" s="251">
        <f>IF(A190="","",MAX(0,(D189 + (C190-F190)*Inputs!$B$9 - Inputs!$B$30)/Inputs!$B$9))</f>
        <v/>
      </c>
      <c r="H190" s="251">
        <f>IF(A190="","",MAX(0,MIN(Inputs!$B$44,H189+(S190-M190-I190)*Inputs!$B$9)))</f>
        <v/>
      </c>
      <c r="I190" s="251">
        <f>IF(A190="","",MAX(0,(H189+(S190-M190)*Inputs!$B$9-Inputs!$B$44)/Inputs!$B$9))</f>
        <v/>
      </c>
      <c r="J190" s="251">
        <f>IF(A190="","",Inputs!$B$40 + H190/Inputs!$B$42)</f>
        <v/>
      </c>
      <c r="K190" s="116">
        <f>IF(A190="","",IF(J189&gt;=Inputs!$B$47,2, IF(J189&gt;=Inputs!$B$45,1, IF(J189&lt;=Inputs!$B$46,0,K189))))</f>
        <v/>
      </c>
      <c r="L190" s="251">
        <f>IF(A190="","",K190*Inputs!$B$49)</f>
        <v/>
      </c>
      <c r="M190" s="251">
        <f>IF(A190="","",MIN(L190,H189/Inputs!$B$9+S190))</f>
        <v/>
      </c>
      <c r="N190" s="116">
        <f>IF(A190="","",IF(AND(K190&gt;0,K189=0),1,0))</f>
        <v/>
      </c>
      <c r="O190" s="116">
        <f>IF(A190="","",O189+N190)</f>
        <v/>
      </c>
      <c r="P190" s="251">
        <f>IF(A190="","",MIN(F190,Inputs!$B$50))</f>
        <v/>
      </c>
      <c r="Q190" s="251">
        <f>IF(A190="","",MAX(0,F190-P190))</f>
        <v/>
      </c>
      <c r="R190" s="251">
        <f>IF(A190="","",P190*Inputs!$B$51)</f>
        <v/>
      </c>
      <c r="S190" s="251">
        <f>IF(A190="","",Q190+R190)</f>
        <v/>
      </c>
    </row>
    <row r="191">
      <c r="A191" s="116">
        <f>IF(ROW()&lt;=Inputs!$B$53+2,A190+Inputs!$B$8,"")</f>
        <v/>
      </c>
      <c r="B191" s="251">
        <f>IF(A191="","",IFERROR(INDEX(IDF_Hyetograph!$J$2:$J$37,MATCH(A191,IDF_Hyetograph!$K$2:$K$37,0)),0))</f>
        <v/>
      </c>
      <c r="C191" s="251">
        <f>IF(A191="","",0.00278*Inputs!$B$4*Inputs!$B$3*B191)</f>
        <v/>
      </c>
      <c r="D191" s="251">
        <f>IF(A191="","",MIN( Inputs!$B$30, MAX(0, D190 + (C191-F191-G191)*Inputs!$B$9) ))</f>
        <v/>
      </c>
      <c r="E191" s="251">
        <f>IF(A191="","",Inputs!$B$31 + D191/Inputs!$B$33)</f>
        <v/>
      </c>
      <c r="F191" s="251">
        <f>IF(A191="","",MIN( D190/Inputs!$B$9, Inputs!$B$35*Inputs!$B$36*SQRT(2*Inputs!$B$37*MAX(E190-J190,0)) ))</f>
        <v/>
      </c>
      <c r="G191" s="251">
        <f>IF(A191="","",MAX(0,(D190 + (C191-F191)*Inputs!$B$9 - Inputs!$B$30)/Inputs!$B$9))</f>
        <v/>
      </c>
      <c r="H191" s="251">
        <f>IF(A191="","",MAX(0,MIN(Inputs!$B$44,H190+(S191-M191-I191)*Inputs!$B$9)))</f>
        <v/>
      </c>
      <c r="I191" s="251">
        <f>IF(A191="","",MAX(0,(H190+(S191-M191)*Inputs!$B$9-Inputs!$B$44)/Inputs!$B$9))</f>
        <v/>
      </c>
      <c r="J191" s="251">
        <f>IF(A191="","",Inputs!$B$40 + H191/Inputs!$B$42)</f>
        <v/>
      </c>
      <c r="K191" s="116">
        <f>IF(A191="","",IF(J190&gt;=Inputs!$B$47,2, IF(J190&gt;=Inputs!$B$45,1, IF(J190&lt;=Inputs!$B$46,0,K190))))</f>
        <v/>
      </c>
      <c r="L191" s="251">
        <f>IF(A191="","",K191*Inputs!$B$49)</f>
        <v/>
      </c>
      <c r="M191" s="251">
        <f>IF(A191="","",MIN(L191,H190/Inputs!$B$9+S191))</f>
        <v/>
      </c>
      <c r="N191" s="116">
        <f>IF(A191="","",IF(AND(K191&gt;0,K190=0),1,0))</f>
        <v/>
      </c>
      <c r="O191" s="116">
        <f>IF(A191="","",O190+N191)</f>
        <v/>
      </c>
      <c r="P191" s="251">
        <f>IF(A191="","",MIN(F191,Inputs!$B$50))</f>
        <v/>
      </c>
      <c r="Q191" s="251">
        <f>IF(A191="","",MAX(0,F191-P191))</f>
        <v/>
      </c>
      <c r="R191" s="251">
        <f>IF(A191="","",P191*Inputs!$B$51)</f>
        <v/>
      </c>
      <c r="S191" s="251">
        <f>IF(A191="","",Q191+R191)</f>
        <v/>
      </c>
    </row>
    <row r="192">
      <c r="A192" s="116">
        <f>IF(ROW()&lt;=Inputs!$B$53+2,A191+Inputs!$B$8,"")</f>
        <v/>
      </c>
      <c r="B192" s="251">
        <f>IF(A192="","",IFERROR(INDEX(IDF_Hyetograph!$J$2:$J$37,MATCH(A192,IDF_Hyetograph!$K$2:$K$37,0)),0))</f>
        <v/>
      </c>
      <c r="C192" s="251">
        <f>IF(A192="","",0.00278*Inputs!$B$4*Inputs!$B$3*B192)</f>
        <v/>
      </c>
      <c r="D192" s="251">
        <f>IF(A192="","",MIN( Inputs!$B$30, MAX(0, D191 + (C192-F192-G192)*Inputs!$B$9) ))</f>
        <v/>
      </c>
      <c r="E192" s="251">
        <f>IF(A192="","",Inputs!$B$31 + D192/Inputs!$B$33)</f>
        <v/>
      </c>
      <c r="F192" s="251">
        <f>IF(A192="","",MIN( D191/Inputs!$B$9, Inputs!$B$35*Inputs!$B$36*SQRT(2*Inputs!$B$37*MAX(E191-J191,0)) ))</f>
        <v/>
      </c>
      <c r="G192" s="251">
        <f>IF(A192="","",MAX(0,(D191 + (C192-F192)*Inputs!$B$9 - Inputs!$B$30)/Inputs!$B$9))</f>
        <v/>
      </c>
      <c r="H192" s="251">
        <f>IF(A192="","",MAX(0,MIN(Inputs!$B$44,H191+(S192-M192-I192)*Inputs!$B$9)))</f>
        <v/>
      </c>
      <c r="I192" s="251">
        <f>IF(A192="","",MAX(0,(H191+(S192-M192)*Inputs!$B$9-Inputs!$B$44)/Inputs!$B$9))</f>
        <v/>
      </c>
      <c r="J192" s="251">
        <f>IF(A192="","",Inputs!$B$40 + H192/Inputs!$B$42)</f>
        <v/>
      </c>
      <c r="K192" s="116">
        <f>IF(A192="","",IF(J191&gt;=Inputs!$B$47,2, IF(J191&gt;=Inputs!$B$45,1, IF(J191&lt;=Inputs!$B$46,0,K191))))</f>
        <v/>
      </c>
      <c r="L192" s="251">
        <f>IF(A192="","",K192*Inputs!$B$49)</f>
        <v/>
      </c>
      <c r="M192" s="251">
        <f>IF(A192="","",MIN(L192,H191/Inputs!$B$9+S192))</f>
        <v/>
      </c>
      <c r="N192" s="116">
        <f>IF(A192="","",IF(AND(K192&gt;0,K191=0),1,0))</f>
        <v/>
      </c>
      <c r="O192" s="116">
        <f>IF(A192="","",O191+N192)</f>
        <v/>
      </c>
      <c r="P192" s="251">
        <f>IF(A192="","",MIN(F192,Inputs!$B$50))</f>
        <v/>
      </c>
      <c r="Q192" s="251">
        <f>IF(A192="","",MAX(0,F192-P192))</f>
        <v/>
      </c>
      <c r="R192" s="251">
        <f>IF(A192="","",P192*Inputs!$B$51)</f>
        <v/>
      </c>
      <c r="S192" s="251">
        <f>IF(A192="","",Q192+R192)</f>
        <v/>
      </c>
    </row>
    <row r="193">
      <c r="A193" s="116">
        <f>IF(ROW()&lt;=Inputs!$B$53+2,A192+Inputs!$B$8,"")</f>
        <v/>
      </c>
      <c r="B193" s="251">
        <f>IF(A193="","",IFERROR(INDEX(IDF_Hyetograph!$J$2:$J$37,MATCH(A193,IDF_Hyetograph!$K$2:$K$37,0)),0))</f>
        <v/>
      </c>
      <c r="C193" s="251">
        <f>IF(A193="","",0.00278*Inputs!$B$4*Inputs!$B$3*B193)</f>
        <v/>
      </c>
      <c r="D193" s="251">
        <f>IF(A193="","",MIN( Inputs!$B$30, MAX(0, D192 + (C193-F193-G193)*Inputs!$B$9) ))</f>
        <v/>
      </c>
      <c r="E193" s="251">
        <f>IF(A193="","",Inputs!$B$31 + D193/Inputs!$B$33)</f>
        <v/>
      </c>
      <c r="F193" s="251">
        <f>IF(A193="","",MIN( D192/Inputs!$B$9, Inputs!$B$35*Inputs!$B$36*SQRT(2*Inputs!$B$37*MAX(E192-J192,0)) ))</f>
        <v/>
      </c>
      <c r="G193" s="251">
        <f>IF(A193="","",MAX(0,(D192 + (C193-F193)*Inputs!$B$9 - Inputs!$B$30)/Inputs!$B$9))</f>
        <v/>
      </c>
      <c r="H193" s="251">
        <f>IF(A193="","",MAX(0,MIN(Inputs!$B$44,H192+(S193-M193-I193)*Inputs!$B$9)))</f>
        <v/>
      </c>
      <c r="I193" s="251">
        <f>IF(A193="","",MAX(0,(H192+(S193-M193)*Inputs!$B$9-Inputs!$B$44)/Inputs!$B$9))</f>
        <v/>
      </c>
      <c r="J193" s="251">
        <f>IF(A193="","",Inputs!$B$40 + H193/Inputs!$B$42)</f>
        <v/>
      </c>
      <c r="K193" s="116">
        <f>IF(A193="","",IF(J192&gt;=Inputs!$B$47,2, IF(J192&gt;=Inputs!$B$45,1, IF(J192&lt;=Inputs!$B$46,0,K192))))</f>
        <v/>
      </c>
      <c r="L193" s="251">
        <f>IF(A193="","",K193*Inputs!$B$49)</f>
        <v/>
      </c>
      <c r="M193" s="251">
        <f>IF(A193="","",MIN(L193,H192/Inputs!$B$9+S193))</f>
        <v/>
      </c>
      <c r="N193" s="116">
        <f>IF(A193="","",IF(AND(K193&gt;0,K192=0),1,0))</f>
        <v/>
      </c>
      <c r="O193" s="116">
        <f>IF(A193="","",O192+N193)</f>
        <v/>
      </c>
      <c r="P193" s="251">
        <f>IF(A193="","",MIN(F193,Inputs!$B$50))</f>
        <v/>
      </c>
      <c r="Q193" s="251">
        <f>IF(A193="","",MAX(0,F193-P193))</f>
        <v/>
      </c>
      <c r="R193" s="251">
        <f>IF(A193="","",P193*Inputs!$B$51)</f>
        <v/>
      </c>
      <c r="S193" s="251">
        <f>IF(A193="","",Q193+R193)</f>
        <v/>
      </c>
    </row>
    <row r="194">
      <c r="A194" s="116">
        <f>IF(ROW()&lt;=Inputs!$B$53+2,A193+Inputs!$B$8,"")</f>
        <v/>
      </c>
      <c r="B194" s="251">
        <f>IF(A194="","",IFERROR(INDEX(IDF_Hyetograph!$J$2:$J$37,MATCH(A194,IDF_Hyetograph!$K$2:$K$37,0)),0))</f>
        <v/>
      </c>
      <c r="C194" s="251">
        <f>IF(A194="","",0.00278*Inputs!$B$4*Inputs!$B$3*B194)</f>
        <v/>
      </c>
      <c r="D194" s="251">
        <f>IF(A194="","",MIN( Inputs!$B$30, MAX(0, D193 + (C194-F194-G194)*Inputs!$B$9) ))</f>
        <v/>
      </c>
      <c r="E194" s="251">
        <f>IF(A194="","",Inputs!$B$31 + D194/Inputs!$B$33)</f>
        <v/>
      </c>
      <c r="F194" s="251">
        <f>IF(A194="","",MIN( D193/Inputs!$B$9, Inputs!$B$35*Inputs!$B$36*SQRT(2*Inputs!$B$37*MAX(E193-J193,0)) ))</f>
        <v/>
      </c>
      <c r="G194" s="251">
        <f>IF(A194="","",MAX(0,(D193 + (C194-F194)*Inputs!$B$9 - Inputs!$B$30)/Inputs!$B$9))</f>
        <v/>
      </c>
      <c r="H194" s="251">
        <f>IF(A194="","",MAX(0,MIN(Inputs!$B$44,H193+(S194-M194-I194)*Inputs!$B$9)))</f>
        <v/>
      </c>
      <c r="I194" s="251">
        <f>IF(A194="","",MAX(0,(H193+(S194-M194)*Inputs!$B$9-Inputs!$B$44)/Inputs!$B$9))</f>
        <v/>
      </c>
      <c r="J194" s="251">
        <f>IF(A194="","",Inputs!$B$40 + H194/Inputs!$B$42)</f>
        <v/>
      </c>
      <c r="K194" s="116">
        <f>IF(A194="","",IF(J193&gt;=Inputs!$B$47,2, IF(J193&gt;=Inputs!$B$45,1, IF(J193&lt;=Inputs!$B$46,0,K193))))</f>
        <v/>
      </c>
      <c r="L194" s="251">
        <f>IF(A194="","",K194*Inputs!$B$49)</f>
        <v/>
      </c>
      <c r="M194" s="251">
        <f>IF(A194="","",MIN(L194,H193/Inputs!$B$9+S194))</f>
        <v/>
      </c>
      <c r="N194" s="116">
        <f>IF(A194="","",IF(AND(K194&gt;0,K193=0),1,0))</f>
        <v/>
      </c>
      <c r="O194" s="116">
        <f>IF(A194="","",O193+N194)</f>
        <v/>
      </c>
      <c r="P194" s="251">
        <f>IF(A194="","",MIN(F194,Inputs!$B$50))</f>
        <v/>
      </c>
      <c r="Q194" s="251">
        <f>IF(A194="","",MAX(0,F194-P194))</f>
        <v/>
      </c>
      <c r="R194" s="251">
        <f>IF(A194="","",P194*Inputs!$B$51)</f>
        <v/>
      </c>
      <c r="S194" s="251">
        <f>IF(A194="","",Q194+R194)</f>
        <v/>
      </c>
    </row>
    <row r="195">
      <c r="A195" s="116">
        <f>IF(ROW()&lt;=Inputs!$B$53+2,A194+Inputs!$B$8,"")</f>
        <v/>
      </c>
      <c r="B195" s="251">
        <f>IF(A195="","",IFERROR(INDEX(IDF_Hyetograph!$J$2:$J$37,MATCH(A195,IDF_Hyetograph!$K$2:$K$37,0)),0))</f>
        <v/>
      </c>
      <c r="C195" s="251">
        <f>IF(A195="","",0.00278*Inputs!$B$4*Inputs!$B$3*B195)</f>
        <v/>
      </c>
      <c r="D195" s="251">
        <f>IF(A195="","",MIN( Inputs!$B$30, MAX(0, D194 + (C195-F195-G195)*Inputs!$B$9) ))</f>
        <v/>
      </c>
      <c r="E195" s="251">
        <f>IF(A195="","",Inputs!$B$31 + D195/Inputs!$B$33)</f>
        <v/>
      </c>
      <c r="F195" s="251">
        <f>IF(A195="","",MIN( D194/Inputs!$B$9, Inputs!$B$35*Inputs!$B$36*SQRT(2*Inputs!$B$37*MAX(E194-J194,0)) ))</f>
        <v/>
      </c>
      <c r="G195" s="251">
        <f>IF(A195="","",MAX(0,(D194 + (C195-F195)*Inputs!$B$9 - Inputs!$B$30)/Inputs!$B$9))</f>
        <v/>
      </c>
      <c r="H195" s="251">
        <f>IF(A195="","",MAX(0,MIN(Inputs!$B$44,H194+(S195-M195-I195)*Inputs!$B$9)))</f>
        <v/>
      </c>
      <c r="I195" s="251">
        <f>IF(A195="","",MAX(0,(H194+(S195-M195)*Inputs!$B$9-Inputs!$B$44)/Inputs!$B$9))</f>
        <v/>
      </c>
      <c r="J195" s="251">
        <f>IF(A195="","",Inputs!$B$40 + H195/Inputs!$B$42)</f>
        <v/>
      </c>
      <c r="K195" s="116">
        <f>IF(A195="","",IF(J194&gt;=Inputs!$B$47,2, IF(J194&gt;=Inputs!$B$45,1, IF(J194&lt;=Inputs!$B$46,0,K194))))</f>
        <v/>
      </c>
      <c r="L195" s="251">
        <f>IF(A195="","",K195*Inputs!$B$49)</f>
        <v/>
      </c>
      <c r="M195" s="251">
        <f>IF(A195="","",MIN(L195,H194/Inputs!$B$9+S195))</f>
        <v/>
      </c>
      <c r="N195" s="116">
        <f>IF(A195="","",IF(AND(K195&gt;0,K194=0),1,0))</f>
        <v/>
      </c>
      <c r="O195" s="116">
        <f>IF(A195="","",O194+N195)</f>
        <v/>
      </c>
      <c r="P195" s="251">
        <f>IF(A195="","",MIN(F195,Inputs!$B$50))</f>
        <v/>
      </c>
      <c r="Q195" s="251">
        <f>IF(A195="","",MAX(0,F195-P195))</f>
        <v/>
      </c>
      <c r="R195" s="251">
        <f>IF(A195="","",P195*Inputs!$B$51)</f>
        <v/>
      </c>
      <c r="S195" s="251">
        <f>IF(A195="","",Q195+R195)</f>
        <v/>
      </c>
    </row>
    <row r="196">
      <c r="A196" s="116">
        <f>IF(ROW()&lt;=Inputs!$B$53+2,A195+Inputs!$B$8,"")</f>
        <v/>
      </c>
      <c r="B196" s="251">
        <f>IF(A196="","",IFERROR(INDEX(IDF_Hyetograph!$J$2:$J$37,MATCH(A196,IDF_Hyetograph!$K$2:$K$37,0)),0))</f>
        <v/>
      </c>
      <c r="C196" s="251">
        <f>IF(A196="","",0.00278*Inputs!$B$4*Inputs!$B$3*B196)</f>
        <v/>
      </c>
      <c r="D196" s="251">
        <f>IF(A196="","",MIN( Inputs!$B$30, MAX(0, D195 + (C196-F196-G196)*Inputs!$B$9) ))</f>
        <v/>
      </c>
      <c r="E196" s="251">
        <f>IF(A196="","",Inputs!$B$31 + D196/Inputs!$B$33)</f>
        <v/>
      </c>
      <c r="F196" s="251">
        <f>IF(A196="","",MIN( D195/Inputs!$B$9, Inputs!$B$35*Inputs!$B$36*SQRT(2*Inputs!$B$37*MAX(E195-J195,0)) ))</f>
        <v/>
      </c>
      <c r="G196" s="251">
        <f>IF(A196="","",MAX(0,(D195 + (C196-F196)*Inputs!$B$9 - Inputs!$B$30)/Inputs!$B$9))</f>
        <v/>
      </c>
      <c r="H196" s="251">
        <f>IF(A196="","",MAX(0,MIN(Inputs!$B$44,H195+(S196-M196-I196)*Inputs!$B$9)))</f>
        <v/>
      </c>
      <c r="I196" s="251">
        <f>IF(A196="","",MAX(0,(H195+(S196-M196)*Inputs!$B$9-Inputs!$B$44)/Inputs!$B$9))</f>
        <v/>
      </c>
      <c r="J196" s="251">
        <f>IF(A196="","",Inputs!$B$40 + H196/Inputs!$B$42)</f>
        <v/>
      </c>
      <c r="K196" s="116">
        <f>IF(A196="","",IF(J195&gt;=Inputs!$B$47,2, IF(J195&gt;=Inputs!$B$45,1, IF(J195&lt;=Inputs!$B$46,0,K195))))</f>
        <v/>
      </c>
      <c r="L196" s="251">
        <f>IF(A196="","",K196*Inputs!$B$49)</f>
        <v/>
      </c>
      <c r="M196" s="251">
        <f>IF(A196="","",MIN(L196,H195/Inputs!$B$9+S196))</f>
        <v/>
      </c>
      <c r="N196" s="116">
        <f>IF(A196="","",IF(AND(K196&gt;0,K195=0),1,0))</f>
        <v/>
      </c>
      <c r="O196" s="116">
        <f>IF(A196="","",O195+N196)</f>
        <v/>
      </c>
      <c r="P196" s="251">
        <f>IF(A196="","",MIN(F196,Inputs!$B$50))</f>
        <v/>
      </c>
      <c r="Q196" s="251">
        <f>IF(A196="","",MAX(0,F196-P196))</f>
        <v/>
      </c>
      <c r="R196" s="251">
        <f>IF(A196="","",P196*Inputs!$B$51)</f>
        <v/>
      </c>
      <c r="S196" s="251">
        <f>IF(A196="","",Q196+R196)</f>
        <v/>
      </c>
    </row>
    <row r="197">
      <c r="A197" s="116">
        <f>IF(ROW()&lt;=Inputs!$B$53+2,A196+Inputs!$B$8,"")</f>
        <v/>
      </c>
      <c r="B197" s="251">
        <f>IF(A197="","",IFERROR(INDEX(IDF_Hyetograph!$J$2:$J$37,MATCH(A197,IDF_Hyetograph!$K$2:$K$37,0)),0))</f>
        <v/>
      </c>
      <c r="C197" s="251">
        <f>IF(A197="","",0.00278*Inputs!$B$4*Inputs!$B$3*B197)</f>
        <v/>
      </c>
      <c r="D197" s="251">
        <f>IF(A197="","",MIN( Inputs!$B$30, MAX(0, D196 + (C197-F197-G197)*Inputs!$B$9) ))</f>
        <v/>
      </c>
      <c r="E197" s="251">
        <f>IF(A197="","",Inputs!$B$31 + D197/Inputs!$B$33)</f>
        <v/>
      </c>
      <c r="F197" s="251">
        <f>IF(A197="","",MIN( D196/Inputs!$B$9, Inputs!$B$35*Inputs!$B$36*SQRT(2*Inputs!$B$37*MAX(E196-J196,0)) ))</f>
        <v/>
      </c>
      <c r="G197" s="251">
        <f>IF(A197="","",MAX(0,(D196 + (C197-F197)*Inputs!$B$9 - Inputs!$B$30)/Inputs!$B$9))</f>
        <v/>
      </c>
      <c r="H197" s="251">
        <f>IF(A197="","",MAX(0,MIN(Inputs!$B$44,H196+(S197-M197-I197)*Inputs!$B$9)))</f>
        <v/>
      </c>
      <c r="I197" s="251">
        <f>IF(A197="","",MAX(0,(H196+(S197-M197)*Inputs!$B$9-Inputs!$B$44)/Inputs!$B$9))</f>
        <v/>
      </c>
      <c r="J197" s="251">
        <f>IF(A197="","",Inputs!$B$40 + H197/Inputs!$B$42)</f>
        <v/>
      </c>
      <c r="K197" s="116">
        <f>IF(A197="","",IF(J196&gt;=Inputs!$B$47,2, IF(J196&gt;=Inputs!$B$45,1, IF(J196&lt;=Inputs!$B$46,0,K196))))</f>
        <v/>
      </c>
      <c r="L197" s="251">
        <f>IF(A197="","",K197*Inputs!$B$49)</f>
        <v/>
      </c>
      <c r="M197" s="251">
        <f>IF(A197="","",MIN(L197,H196/Inputs!$B$9+S197))</f>
        <v/>
      </c>
      <c r="N197" s="116">
        <f>IF(A197="","",IF(AND(K197&gt;0,K196=0),1,0))</f>
        <v/>
      </c>
      <c r="O197" s="116">
        <f>IF(A197="","",O196+N197)</f>
        <v/>
      </c>
      <c r="P197" s="251">
        <f>IF(A197="","",MIN(F197,Inputs!$B$50))</f>
        <v/>
      </c>
      <c r="Q197" s="251">
        <f>IF(A197="","",MAX(0,F197-P197))</f>
        <v/>
      </c>
      <c r="R197" s="251">
        <f>IF(A197="","",P197*Inputs!$B$51)</f>
        <v/>
      </c>
      <c r="S197" s="251">
        <f>IF(A197="","",Q197+R197)</f>
        <v/>
      </c>
    </row>
    <row r="198">
      <c r="A198" s="116">
        <f>IF(ROW()&lt;=Inputs!$B$53+2,A197+Inputs!$B$8,"")</f>
        <v/>
      </c>
      <c r="B198" s="251">
        <f>IF(A198="","",IFERROR(INDEX(IDF_Hyetograph!$J$2:$J$37,MATCH(A198,IDF_Hyetograph!$K$2:$K$37,0)),0))</f>
        <v/>
      </c>
      <c r="C198" s="251">
        <f>IF(A198="","",0.00278*Inputs!$B$4*Inputs!$B$3*B198)</f>
        <v/>
      </c>
      <c r="D198" s="251">
        <f>IF(A198="","",MIN( Inputs!$B$30, MAX(0, D197 + (C198-F198-G198)*Inputs!$B$9) ))</f>
        <v/>
      </c>
      <c r="E198" s="251">
        <f>IF(A198="","",Inputs!$B$31 + D198/Inputs!$B$33)</f>
        <v/>
      </c>
      <c r="F198" s="251">
        <f>IF(A198="","",MIN( D197/Inputs!$B$9, Inputs!$B$35*Inputs!$B$36*SQRT(2*Inputs!$B$37*MAX(E197-J197,0)) ))</f>
        <v/>
      </c>
      <c r="G198" s="251">
        <f>IF(A198="","",MAX(0,(D197 + (C198-F198)*Inputs!$B$9 - Inputs!$B$30)/Inputs!$B$9))</f>
        <v/>
      </c>
      <c r="H198" s="251">
        <f>IF(A198="","",MAX(0,MIN(Inputs!$B$44,H197+(S198-M198-I198)*Inputs!$B$9)))</f>
        <v/>
      </c>
      <c r="I198" s="251">
        <f>IF(A198="","",MAX(0,(H197+(S198-M198)*Inputs!$B$9-Inputs!$B$44)/Inputs!$B$9))</f>
        <v/>
      </c>
      <c r="J198" s="251">
        <f>IF(A198="","",Inputs!$B$40 + H198/Inputs!$B$42)</f>
        <v/>
      </c>
      <c r="K198" s="116">
        <f>IF(A198="","",IF(J197&gt;=Inputs!$B$47,2, IF(J197&gt;=Inputs!$B$45,1, IF(J197&lt;=Inputs!$B$46,0,K197))))</f>
        <v/>
      </c>
      <c r="L198" s="251">
        <f>IF(A198="","",K198*Inputs!$B$49)</f>
        <v/>
      </c>
      <c r="M198" s="251">
        <f>IF(A198="","",MIN(L198,H197/Inputs!$B$9+S198))</f>
        <v/>
      </c>
      <c r="N198" s="116">
        <f>IF(A198="","",IF(AND(K198&gt;0,K197=0),1,0))</f>
        <v/>
      </c>
      <c r="O198" s="116">
        <f>IF(A198="","",O197+N198)</f>
        <v/>
      </c>
      <c r="P198" s="251">
        <f>IF(A198="","",MIN(F198,Inputs!$B$50))</f>
        <v/>
      </c>
      <c r="Q198" s="251">
        <f>IF(A198="","",MAX(0,F198-P198))</f>
        <v/>
      </c>
      <c r="R198" s="251">
        <f>IF(A198="","",P198*Inputs!$B$51)</f>
        <v/>
      </c>
      <c r="S198" s="251">
        <f>IF(A198="","",Q198+R198)</f>
        <v/>
      </c>
    </row>
    <row r="199">
      <c r="A199" s="116">
        <f>IF(ROW()&lt;=Inputs!$B$53+2,A198+Inputs!$B$8,"")</f>
        <v/>
      </c>
      <c r="B199" s="251">
        <f>IF(A199="","",IFERROR(INDEX(IDF_Hyetograph!$J$2:$J$37,MATCH(A199,IDF_Hyetograph!$K$2:$K$37,0)),0))</f>
        <v/>
      </c>
      <c r="C199" s="251">
        <f>IF(A199="","",0.00278*Inputs!$B$4*Inputs!$B$3*B199)</f>
        <v/>
      </c>
      <c r="D199" s="251">
        <f>IF(A199="","",MIN( Inputs!$B$30, MAX(0, D198 + (C199-F199-G199)*Inputs!$B$9) ))</f>
        <v/>
      </c>
      <c r="E199" s="251">
        <f>IF(A199="","",Inputs!$B$31 + D199/Inputs!$B$33)</f>
        <v/>
      </c>
      <c r="F199" s="251">
        <f>IF(A199="","",MIN( D198/Inputs!$B$9, Inputs!$B$35*Inputs!$B$36*SQRT(2*Inputs!$B$37*MAX(E198-J198,0)) ))</f>
        <v/>
      </c>
      <c r="G199" s="251">
        <f>IF(A199="","",MAX(0,(D198 + (C199-F199)*Inputs!$B$9 - Inputs!$B$30)/Inputs!$B$9))</f>
        <v/>
      </c>
      <c r="H199" s="251">
        <f>IF(A199="","",MAX(0,MIN(Inputs!$B$44,H198+(S199-M199-I199)*Inputs!$B$9)))</f>
        <v/>
      </c>
      <c r="I199" s="251">
        <f>IF(A199="","",MAX(0,(H198+(S199-M199)*Inputs!$B$9-Inputs!$B$44)/Inputs!$B$9))</f>
        <v/>
      </c>
      <c r="J199" s="251">
        <f>IF(A199="","",Inputs!$B$40 + H199/Inputs!$B$42)</f>
        <v/>
      </c>
      <c r="K199" s="116">
        <f>IF(A199="","",IF(J198&gt;=Inputs!$B$47,2, IF(J198&gt;=Inputs!$B$45,1, IF(J198&lt;=Inputs!$B$46,0,K198))))</f>
        <v/>
      </c>
      <c r="L199" s="251">
        <f>IF(A199="","",K199*Inputs!$B$49)</f>
        <v/>
      </c>
      <c r="M199" s="251">
        <f>IF(A199="","",MIN(L199,H198/Inputs!$B$9+S199))</f>
        <v/>
      </c>
      <c r="N199" s="116">
        <f>IF(A199="","",IF(AND(K199&gt;0,K198=0),1,0))</f>
        <v/>
      </c>
      <c r="O199" s="116">
        <f>IF(A199="","",O198+N199)</f>
        <v/>
      </c>
      <c r="P199" s="251">
        <f>IF(A199="","",MIN(F199,Inputs!$B$50))</f>
        <v/>
      </c>
      <c r="Q199" s="251">
        <f>IF(A199="","",MAX(0,F199-P199))</f>
        <v/>
      </c>
      <c r="R199" s="251">
        <f>IF(A199="","",P199*Inputs!$B$51)</f>
        <v/>
      </c>
      <c r="S199" s="251">
        <f>IF(A199="","",Q199+R199)</f>
        <v/>
      </c>
    </row>
    <row r="200">
      <c r="A200" s="116">
        <f>IF(ROW()&lt;=Inputs!$B$53+2,A199+Inputs!$B$8,"")</f>
        <v/>
      </c>
      <c r="B200" s="251">
        <f>IF(A200="","",IFERROR(INDEX(IDF_Hyetograph!$J$2:$J$37,MATCH(A200,IDF_Hyetograph!$K$2:$K$37,0)),0))</f>
        <v/>
      </c>
      <c r="C200" s="251">
        <f>IF(A200="","",0.00278*Inputs!$B$4*Inputs!$B$3*B200)</f>
        <v/>
      </c>
      <c r="D200" s="251">
        <f>IF(A200="","",MIN( Inputs!$B$30, MAX(0, D199 + (C200-F200-G200)*Inputs!$B$9) ))</f>
        <v/>
      </c>
      <c r="E200" s="251">
        <f>IF(A200="","",Inputs!$B$31 + D200/Inputs!$B$33)</f>
        <v/>
      </c>
      <c r="F200" s="251">
        <f>IF(A200="","",MIN( D199/Inputs!$B$9, Inputs!$B$35*Inputs!$B$36*SQRT(2*Inputs!$B$37*MAX(E199-J199,0)) ))</f>
        <v/>
      </c>
      <c r="G200" s="251">
        <f>IF(A200="","",MAX(0,(D199 + (C200-F200)*Inputs!$B$9 - Inputs!$B$30)/Inputs!$B$9))</f>
        <v/>
      </c>
      <c r="H200" s="251">
        <f>IF(A200="","",MAX(0,MIN(Inputs!$B$44,H199+(S200-M200-I200)*Inputs!$B$9)))</f>
        <v/>
      </c>
      <c r="I200" s="251">
        <f>IF(A200="","",MAX(0,(H199+(S200-M200)*Inputs!$B$9-Inputs!$B$44)/Inputs!$B$9))</f>
        <v/>
      </c>
      <c r="J200" s="251">
        <f>IF(A200="","",Inputs!$B$40 + H200/Inputs!$B$42)</f>
        <v/>
      </c>
      <c r="K200" s="116">
        <f>IF(A200="","",IF(J199&gt;=Inputs!$B$47,2, IF(J199&gt;=Inputs!$B$45,1, IF(J199&lt;=Inputs!$B$46,0,K199))))</f>
        <v/>
      </c>
      <c r="L200" s="251">
        <f>IF(A200="","",K200*Inputs!$B$49)</f>
        <v/>
      </c>
      <c r="M200" s="251">
        <f>IF(A200="","",MIN(L200,H199/Inputs!$B$9+S200))</f>
        <v/>
      </c>
      <c r="N200" s="116">
        <f>IF(A200="","",IF(AND(K200&gt;0,K199=0),1,0))</f>
        <v/>
      </c>
      <c r="O200" s="116">
        <f>IF(A200="","",O199+N200)</f>
        <v/>
      </c>
      <c r="P200" s="251">
        <f>IF(A200="","",MIN(F200,Inputs!$B$50))</f>
        <v/>
      </c>
      <c r="Q200" s="251">
        <f>IF(A200="","",MAX(0,F200-P200))</f>
        <v/>
      </c>
      <c r="R200" s="251">
        <f>IF(A200="","",P200*Inputs!$B$51)</f>
        <v/>
      </c>
      <c r="S200" s="251">
        <f>IF(A200="","",Q200+R200)</f>
        <v/>
      </c>
    </row>
    <row r="205">
      <c r="B205" s="116" t="inlineStr">
        <is>
          <t>MassError_m3</t>
        </is>
      </c>
      <c r="C205" s="250">
        <f>C206-G206-I206-M206-E206</f>
        <v/>
      </c>
      <c r="N205" s="116" t="inlineStr">
        <is>
          <t>Total_starts</t>
        </is>
      </c>
      <c r="O205" s="250">
        <f>INDEX(O:O,MIN(200,Inputs!$B$53+2))</f>
        <v/>
      </c>
    </row>
    <row r="206">
      <c r="C206" s="250">
        <f>SUM(C2:INDEX(C:C,MIN(200,Inputs!$B$53+2)))*Inputs!$B$9</f>
        <v/>
      </c>
      <c r="D206" s="250">
        <f>INDEX(D:D,MIN(200,Inputs!$B$53+2))</f>
        <v/>
      </c>
      <c r="E206" s="250">
        <f>D206+H206-D2-H2</f>
        <v/>
      </c>
      <c r="G206" s="250">
        <f>SUM(G2:INDEX(G:G,MIN(200,Inputs!$B$53+2)))*Inputs!$B$9</f>
        <v/>
      </c>
      <c r="H206" s="250">
        <f>INDEX(H:H,MIN(200,Inputs!$B$53+2))</f>
        <v/>
      </c>
      <c r="I206" s="250">
        <f>SUM(I2:INDEX(I:I,MIN(200,Inputs!$B$53+2)))*Inputs!$B$9</f>
        <v/>
      </c>
      <c r="M206" s="250">
        <f>SUM(M2:INDEX(M:M,MIN(200,Inputs!$B$53+2)))*Inputs!$B$9</f>
        <v/>
      </c>
      <c r="N206" s="116" t="inlineStr">
        <is>
          <t>Event_hours</t>
        </is>
      </c>
      <c r="O206" s="250">
        <f>Inputs!$B$52/60</f>
        <v/>
      </c>
    </row>
    <row r="207">
      <c r="N207" s="116" t="inlineStr">
        <is>
          <t>Starts_per_hr</t>
        </is>
      </c>
      <c r="O207" s="250">
        <f>IF(O206=0,"",O205/O206)</f>
        <v/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4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B5" activeCellId="0" sqref="B5"/>
    </sheetView>
  </sheetViews>
  <sheetFormatPr baseColWidth="8" defaultColWidth="11.5703125" defaultRowHeight="12.75" customHeight="1" zeroHeight="0" outlineLevelRow="0"/>
  <cols>
    <col width="34.13" customWidth="1" style="116" min="1" max="1"/>
    <col width="20.08" customWidth="1" style="116" min="5" max="5"/>
    <col width="13.69" customWidth="1" style="116" min="6" max="6"/>
    <col width="15.85" customWidth="1" style="116" min="9" max="9"/>
  </cols>
  <sheetData>
    <row r="1" ht="31.05" customHeight="1" s="117">
      <c r="A1" s="186" t="inlineStr">
        <is>
          <t xml:space="preserve">POSTE DE POMPAGE – POINT DE FONCTIONNEMENT ET PUISSANCE (PRÉLIMINAIRE – PLUIE DE RÉCURRENCE 100 ANS) </t>
        </is>
      </c>
      <c r="B1" s="187" t="n"/>
      <c r="C1" s="187" t="n"/>
      <c r="D1" s="187" t="n"/>
      <c r="E1" s="187" t="n"/>
      <c r="F1" s="187" t="n"/>
      <c r="G1" s="187" t="n"/>
      <c r="I1" s="170" t="n"/>
    </row>
    <row r="2" ht="20.9" customHeight="1" s="117">
      <c r="A2" s="188" t="inlineStr">
        <is>
          <t>Base : Ruissellement toiture -&gt; StormBrixx -&gt; Puisard -&gt; Rejet pompé au ruisseau</t>
        </is>
      </c>
    </row>
    <row r="3" ht="24.05" customHeight="1" s="117">
      <c r="A3" s="189" t="inlineStr">
        <is>
          <t>Débit de conception vers le puisard, Q_design (m³/s)</t>
        </is>
      </c>
      <c r="B3" s="261">
        <f>MAX(Routing!F2:F200)</f>
        <v/>
      </c>
    </row>
    <row r="4" ht="16.45" customHeight="1" s="117">
      <c r="A4" s="189" t="inlineStr">
        <is>
          <t>Débit de pointe toiture, Q_peak (m³/s)</t>
        </is>
      </c>
      <c r="B4" s="261">
        <f>MAX(Routing!C2:C200)</f>
        <v/>
      </c>
    </row>
    <row r="5" ht="24.05" customHeight="1" s="117">
      <c r="A5" s="189" t="inlineStr">
        <is>
          <t>Niveau d’eau de conception du ruisseau (m)</t>
        </is>
      </c>
      <c r="B5" s="262">
        <f>Inputs!$B$12</f>
        <v/>
      </c>
    </row>
    <row r="6" ht="12.75" customHeight="1" s="117">
      <c r="A6" s="192" t="inlineStr">
        <is>
          <t xml:space="preserve">Niveau d’exploitation du puisard (m)  </t>
        </is>
      </c>
      <c r="B6" s="262">
        <f>AVERAGE(Inputs!B19,Inputs!B20)</f>
        <v/>
      </c>
      <c r="E6" s="194" t="inlineStr">
        <is>
          <t>Point de fonctionnement de conception</t>
        </is>
      </c>
      <c r="F6" s="195" t="n"/>
      <c r="G6" s="196" t="n"/>
    </row>
    <row r="7" ht="24.05" customHeight="1" s="117">
      <c r="A7" s="189" t="inlineStr">
        <is>
          <t>Longueur de la conduite de refoulement (m)</t>
        </is>
      </c>
      <c r="B7" s="262">
        <f>Inputs!$B$15</f>
        <v/>
      </c>
      <c r="E7" s="142" t="inlineStr">
        <is>
          <t>Débit total requis</t>
        </is>
      </c>
      <c r="F7" s="197">
        <f>B16</f>
        <v/>
      </c>
      <c r="G7" s="197" t="inlineStr">
        <is>
          <t xml:space="preserve">(m³/s) </t>
        </is>
      </c>
    </row>
    <row r="8" ht="24.05" customHeight="1" s="117">
      <c r="A8" s="189" t="inlineStr">
        <is>
          <t>Diamètre intérieur de la conduite de refoulement (m)</t>
        </is>
      </c>
      <c r="B8" s="263" t="n">
        <v>0.15</v>
      </c>
      <c r="E8" s="142" t="inlineStr">
        <is>
          <t>Débit par pompe en service</t>
        </is>
      </c>
      <c r="F8" s="197">
        <f>B17</f>
        <v/>
      </c>
      <c r="G8" s="197" t="inlineStr">
        <is>
          <t xml:space="preserve">(m³/s) </t>
        </is>
      </c>
    </row>
    <row r="9" ht="12.75" customHeight="1" s="117">
      <c r="A9" s="189" t="inlineStr">
        <is>
          <t>Coefficient C de Hazen-Williams (-)</t>
        </is>
      </c>
      <c r="B9" s="261" t="n">
        <v>120</v>
      </c>
      <c r="E9" s="142" t="inlineStr">
        <is>
          <t>HMT (hauteur manométrique totale)</t>
        </is>
      </c>
      <c r="F9" s="197">
        <f>B23</f>
        <v/>
      </c>
      <c r="G9" s="197" t="inlineStr">
        <is>
          <t>m</t>
        </is>
      </c>
    </row>
    <row r="10" ht="24.05" customHeight="1" s="117">
      <c r="A10" s="189" t="inlineStr">
        <is>
          <t xml:space="preserve">Coefficient de pertes singulières, K_total (-) </t>
        </is>
      </c>
      <c r="B10" s="261">
        <f>Inputs!B18</f>
        <v/>
      </c>
    </row>
    <row r="11" ht="12.75" customHeight="1" s="117">
      <c r="A11" s="189" t="inlineStr">
        <is>
          <t>Rendement pompe, η_pompe (-)</t>
        </is>
      </c>
      <c r="B11" s="261" t="n">
        <v>0.72</v>
      </c>
      <c r="E11" s="194" t="inlineStr">
        <is>
          <t>Critères de sélection des pompes</t>
        </is>
      </c>
      <c r="F11" s="195" t="n"/>
      <c r="G11" s="196" t="n"/>
    </row>
    <row r="12" ht="12.75" customHeight="1" s="117">
      <c r="A12" s="189" t="inlineStr">
        <is>
          <t xml:space="preserve">Rendement moteur, η_moteur (-)  </t>
        </is>
      </c>
      <c r="B12" s="261" t="n">
        <v>0.92</v>
      </c>
      <c r="E12" s="142" t="inlineStr">
        <is>
          <t>1 en service + 1 en secours</t>
        </is>
      </c>
      <c r="F12" s="200" t="inlineStr">
        <is>
          <t>Oui</t>
        </is>
      </c>
      <c r="G12" s="197" t="n"/>
    </row>
    <row r="13" ht="12.75" customHeight="1" s="117">
      <c r="A13" s="189" t="inlineStr">
        <is>
          <t>Nombre de pompes en service (-)</t>
        </is>
      </c>
      <c r="B13" s="261" t="n">
        <v>1</v>
      </c>
      <c r="E13" s="142" t="inlineStr">
        <is>
          <t>Point nominal minimal</t>
        </is>
      </c>
      <c r="F13" s="197">
        <f>"≥ "&amp;TEXT(B17,"0.000")&amp;" m³/s @ "&amp;TEXT(B23,"0.00")&amp;" m TDH"</f>
        <v/>
      </c>
      <c r="G13" s="197" t="n"/>
    </row>
    <row r="14" ht="12.75" customHeight="1" s="117">
      <c r="A14" s="189" t="inlineStr">
        <is>
          <t>Facteur de sécurité (-)</t>
        </is>
      </c>
      <c r="B14" s="261" t="n">
        <v>1.1</v>
      </c>
      <c r="E14" s="142" t="inlineStr">
        <is>
          <t>Puissance moteur retenue</t>
        </is>
      </c>
      <c r="F14" s="197" t="inlineStr">
        <is>
          <t xml:space="preserve">2.1 kW per pump) </t>
        </is>
      </c>
      <c r="G14" s="197" t="n"/>
    </row>
    <row r="15" ht="12.75" customHeight="1" s="117">
      <c r="A15" s="192" t="n"/>
      <c r="B15" s="261" t="n"/>
    </row>
    <row r="16" ht="13.8" customHeight="1" s="117">
      <c r="A16" s="189" t="inlineStr">
        <is>
          <t>Débit total requis de pompage (m³/s)</t>
        </is>
      </c>
      <c r="B16" s="264">
        <f>B3*B14</f>
        <v/>
      </c>
      <c r="E16" s="194" t="inlineStr">
        <is>
          <t>Vérification</t>
        </is>
      </c>
      <c r="F16" s="195" t="n"/>
      <c r="G16" s="196" t="n"/>
    </row>
    <row r="17" ht="17.75" customHeight="1" s="117">
      <c r="A17" s="202" t="inlineStr">
        <is>
          <t>Débit requis par pompe en service (m³/s)</t>
        </is>
      </c>
      <c r="B17" s="265">
        <f>IF(B13=0,"",B16/B13)</f>
        <v/>
      </c>
      <c r="E17" s="142" t="inlineStr">
        <is>
          <t>Démarrages/heure</t>
        </is>
      </c>
      <c r="F17" s="204">
        <f>B31</f>
        <v/>
      </c>
      <c r="G17" s="197" t="n"/>
    </row>
    <row r="18" ht="12.75" customHeight="1" s="117">
      <c r="A18" s="189" t="inlineStr">
        <is>
          <t xml:space="preserve">COMPOSANTES DE CHARGE  </t>
        </is>
      </c>
      <c r="B18" s="266" t="n"/>
      <c r="E18" s="142" t="inlineStr">
        <is>
          <t>Temps de vidange</t>
        </is>
      </c>
      <c r="F18" s="206">
        <f>B30</f>
        <v/>
      </c>
      <c r="G18" s="197" t="n"/>
    </row>
    <row r="19" ht="24.05" customHeight="1" s="117">
      <c r="A19" s="189" t="inlineStr">
        <is>
          <t>Charge statique (m)</t>
        </is>
      </c>
      <c r="B19" s="267">
        <f>MAX(0,B5-B6)</f>
        <v/>
      </c>
      <c r="E19" s="208" t="inlineStr">
        <is>
          <t>Vérification niveaux MARCHE/ARRÊT</t>
        </is>
      </c>
      <c r="F19" s="209">
        <f>B37</f>
        <v/>
      </c>
      <c r="G19" s="197">
        <f>Inputs!B19</f>
        <v/>
      </c>
    </row>
    <row r="20" ht="24.05" customHeight="1" s="117">
      <c r="A20" s="189" t="inlineStr">
        <is>
          <t>Vitesse dans la conduite de refoulement (m/s)</t>
        </is>
      </c>
      <c r="B20" s="267">
        <f>IF(B16&lt;=0,0,4*B16/(PI()*B8^2))</f>
        <v/>
      </c>
      <c r="E20" s="142" t="inlineStr">
        <is>
          <t xml:space="preserve">Note : le modèle final de pompe doit être confirmé par la courbe du fabricant </t>
        </is>
      </c>
      <c r="F20" s="197" t="n"/>
      <c r="G20" s="197" t="n"/>
    </row>
    <row r="21" ht="17.1" customHeight="1" s="117">
      <c r="A21" s="189" t="inlineStr">
        <is>
          <t xml:space="preserve">Perte de charge linéaire (m) </t>
        </is>
      </c>
      <c r="B21" s="267">
        <f>IF(B16&lt;=0,0,10.67*B7*B16^1.852/(B9^1.852*B8^4.87))</f>
        <v/>
      </c>
      <c r="C21" s="211" t="n"/>
    </row>
    <row r="22" ht="13.8" customHeight="1" s="117">
      <c r="A22" s="189" t="inlineStr">
        <is>
          <t>Pertes singulières (m)</t>
        </is>
      </c>
      <c r="B22" s="267">
        <f>B10*B20^2/(2*9.81)</f>
        <v/>
      </c>
    </row>
    <row r="23" ht="24.05" customHeight="1" s="117">
      <c r="A23" s="189" t="inlineStr">
        <is>
          <t>Hauteur Manométrique Totale, HMT (m)</t>
        </is>
      </c>
      <c r="B23" s="267">
        <f>B19+B21+B22</f>
        <v/>
      </c>
    </row>
    <row r="24" ht="12.75" customHeight="1" s="117">
      <c r="A24" s="189" t="inlineStr">
        <is>
          <t>BESOINS EN PUISSANCE</t>
        </is>
      </c>
      <c r="B24" s="266" t="n"/>
    </row>
    <row r="25" ht="15" customHeight="1" s="117">
      <c r="A25" s="189" t="inlineStr">
        <is>
          <t>Puissance hydraulique (kW)</t>
        </is>
      </c>
      <c r="B25" s="267">
        <f>1000*9.81*B16*B23/1000</f>
        <v/>
      </c>
      <c r="D25" s="212" t="n"/>
    </row>
    <row r="26" ht="24.05" customHeight="1" s="117">
      <c r="A26" s="189" t="inlineStr">
        <is>
          <t>Puissance absorbée aux bornes moteur (kW)</t>
        </is>
      </c>
      <c r="B26" s="267">
        <f>IF(B11*B12=0,"",B25/(B11*B12))</f>
        <v/>
      </c>
      <c r="C26" s="166" t="n"/>
      <c r="D26" s="166" t="n"/>
    </row>
    <row r="27" ht="24.05" customHeight="1" s="117">
      <c r="A27" s="189" t="inlineStr">
        <is>
          <t>Puissance absorbée par pompe en service (kW)</t>
        </is>
      </c>
      <c r="B27" s="267">
        <f>IF(B13=0,"",B26/B13)</f>
        <v/>
      </c>
      <c r="D27" s="166" t="n"/>
    </row>
    <row r="28" ht="34.5" customHeight="1" s="117">
      <c r="A28" s="189" t="n"/>
      <c r="B28" s="261" t="n"/>
      <c r="D28" s="214" t="n"/>
    </row>
    <row r="29" ht="25.5" customHeight="1" s="117">
      <c r="A29" s="189" t="inlineStr">
        <is>
          <t>Volume utile du puisard entre MARCHE/ARRÊT (m³)</t>
        </is>
      </c>
      <c r="B29" s="265">
        <f>IF(Inputs!$B$19&lt;=Inputs!$B$20,"",Inputs!$B$42*(Inputs!$B$19-Inputs!$B$20))</f>
        <v/>
      </c>
    </row>
    <row r="30" ht="12.75" customHeight="1" s="117">
      <c r="A30" s="189" t="inlineStr">
        <is>
          <t>Temps estimé de vidange (min)</t>
        </is>
      </c>
      <c r="B30" s="268">
        <f>IF(OR(B17&lt;=0,B29&lt;=0),"",B29/B17/60)</f>
        <v/>
      </c>
    </row>
    <row r="31" ht="24.05" customHeight="1" s="117">
      <c r="A31" s="189" t="inlineStr">
        <is>
          <t>Nombre total de démarrages pendant l’événement (-)</t>
        </is>
      </c>
      <c r="B31" s="265">
        <f>Routing!$O$205</f>
        <v/>
      </c>
    </row>
    <row r="32" ht="25.5" customHeight="1" s="117">
      <c r="A32" s="189" t="inlineStr">
        <is>
          <t>Durée de l’événement (h)</t>
        </is>
      </c>
      <c r="B32" s="265">
        <f>Routing!$O$206</f>
        <v/>
      </c>
      <c r="F32" s="218" t="n"/>
      <c r="H32" s="218" t="n"/>
      <c r="I32" s="218" t="n"/>
    </row>
    <row r="33" ht="23.25" customHeight="1" s="117">
      <c r="A33" s="189" t="inlineStr">
        <is>
          <t>Démarrages moyens par heure (1/h)</t>
        </is>
      </c>
      <c r="B33" s="265">
        <f>IF(B32=0,"",B31/B32)</f>
        <v/>
      </c>
      <c r="F33" s="167" t="n"/>
      <c r="H33" s="219" t="n"/>
    </row>
    <row r="34" ht="18.75" customHeight="1" s="117">
      <c r="A34" s="189" t="inlineStr">
        <is>
          <t>Vérification des démarrages/heure</t>
        </is>
      </c>
      <c r="B34" s="269">
        <f>IF(B33="","INFO",IF(B33&gt;10,"Too many starts","OK"))</f>
        <v/>
      </c>
      <c r="F34" s="167" t="n"/>
      <c r="H34" s="221" t="n"/>
    </row>
    <row r="35" ht="14.25" customHeight="1" s="117">
      <c r="A35" s="192" t="n"/>
      <c r="B35" s="190" t="n"/>
      <c r="F35" s="185" t="n"/>
      <c r="H35" s="166" t="n"/>
    </row>
    <row r="36" ht="10.1" customHeight="1" s="117">
      <c r="A36" s="192" t="n"/>
      <c r="B36" s="199" t="n"/>
      <c r="F36" s="166" t="n"/>
      <c r="H36" s="222" t="n"/>
    </row>
    <row r="37" ht="12" customHeight="1" s="117">
      <c r="A37" s="192" t="inlineStr">
        <is>
          <t>Warning on pump levels</t>
        </is>
      </c>
      <c r="B37" s="220">
        <f>IF(Inputs!$B$19&lt;=Inputs!$B$20,"ERROR: ON level must be &gt; OFF level","OK")</f>
        <v/>
      </c>
      <c r="F37" s="167" t="n"/>
      <c r="H37" s="222" t="n"/>
    </row>
    <row r="38" ht="18" customHeight="1" s="117">
      <c r="F38" s="219" t="n"/>
      <c r="H38" s="166" t="n"/>
    </row>
    <row r="39" ht="27" customHeight="1" s="117">
      <c r="E39" s="172" t="n"/>
      <c r="F39" s="167" t="n"/>
      <c r="H39" s="222" t="n"/>
    </row>
    <row r="40" ht="12.75" customHeight="1" s="117">
      <c r="C40" s="172" t="n"/>
      <c r="D40" s="185" t="n"/>
    </row>
    <row r="41" ht="40.5" customHeight="1" s="117">
      <c r="H41" s="223" t="n"/>
    </row>
    <row r="42" ht="19.5" customHeight="1" s="117">
      <c r="H42" s="222" t="n"/>
    </row>
    <row r="43" ht="24.75" customHeight="1" s="117">
      <c r="H43" s="224" t="n"/>
    </row>
    <row r="44" ht="36" customHeight="1" s="117">
      <c r="H44" s="222" t="n"/>
    </row>
    <row r="45" ht="26.25" customHeight="1" s="117">
      <c r="H45" s="222" t="n"/>
    </row>
    <row r="46" ht="24.75" customHeight="1" s="117">
      <c r="H46" s="222" t="n"/>
    </row>
    <row r="47" ht="30" customHeight="1" s="117">
      <c r="H47" s="222" t="n"/>
    </row>
  </sheetData>
  <mergeCells count="16">
    <mergeCell ref="H34:I34"/>
    <mergeCell ref="H46:J46"/>
    <mergeCell ref="F39:G39"/>
    <mergeCell ref="H42:J42"/>
    <mergeCell ref="A1:G1"/>
    <mergeCell ref="A2:E2"/>
    <mergeCell ref="H36:J36"/>
    <mergeCell ref="H45:I45"/>
    <mergeCell ref="H37:J37"/>
    <mergeCell ref="H43:I43"/>
    <mergeCell ref="H33:I33"/>
    <mergeCell ref="H47:J47"/>
    <mergeCell ref="D28:E28"/>
    <mergeCell ref="H41:I41"/>
    <mergeCell ref="H44:I44"/>
    <mergeCell ref="H39:J39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2:G39"/>
  <sheetViews>
    <sheetView showFormulas="0" showGridLines="1" showRowColHeaders="1" showZeros="1" rightToLeft="0" tabSelected="0" showOutlineSymbols="1" defaultGridColor="1" view="normal" topLeftCell="A19" colorId="64" zoomScale="95" zoomScaleNormal="95" zoomScalePageLayoutView="100" workbookViewId="0">
      <selection pane="topLeft" activeCell="B41" activeCellId="0" sqref="B41"/>
    </sheetView>
  </sheetViews>
  <sheetFormatPr baseColWidth="8" defaultColWidth="11.53515625" defaultRowHeight="12.8" customHeight="1" zeroHeight="0" outlineLevelRow="0"/>
  <sheetData>
    <row r="2" ht="12.8" customHeight="1" s="117">
      <c r="B2" s="116" t="inlineStr">
        <is>
          <t>V_block_eff = 0.8 * 0.8 * 0.66 * 0.9 = 0.38016 m3/block</t>
        </is>
      </c>
    </row>
    <row r="3" ht="15" customHeight="1" s="117">
      <c r="B3" s="225" t="inlineStr">
        <is>
          <t>Blocks needed for 130 m3</t>
        </is>
      </c>
    </row>
    <row r="4" ht="12.8" customHeight="1" s="117">
      <c r="B4" s="116" t="inlineStr">
        <is>
          <t>N_blocks_130 = 130 / 0.38016 = 341.96 -&gt; 342 blocks</t>
        </is>
      </c>
    </row>
    <row r="5" ht="28.1" customHeight="1" s="117">
      <c r="B5" s="225" t="inlineStr">
        <is>
          <t>2) Why 95 mm is causing too much upstream storage</t>
        </is>
      </c>
    </row>
    <row r="6" ht="23.05" customHeight="1" s="117">
      <c r="B6" s="226" t="inlineStr">
        <is>
          <t>Your peak roof inflow (from your routing) is around 0.389 m3/s (389 L/s).</t>
        </is>
      </c>
    </row>
    <row r="7" ht="23.05" customHeight="1" s="117">
      <c r="B7" s="226" t="inlineStr">
        <is>
          <t>A 95 mm orifice typically passes only a small fraction of that (depending on head).</t>
        </is>
      </c>
    </row>
    <row r="8" ht="23.05" customHeight="1" s="117">
      <c r="B8" s="226" t="inlineStr">
        <is>
          <t xml:space="preserve">So StormBrixx accumulates too much water, hence ~301 m3 required. </t>
        </is>
      </c>
    </row>
    <row r="9" ht="28.1" customHeight="1" s="117">
      <c r="B9" s="227" t="inlineStr">
        <is>
          <t>3) Pump duty point target (preliminary)</t>
        </is>
      </c>
    </row>
    <row r="10" ht="12.8" customHeight="1" s="117">
      <c r="B10" s="226" t="inlineStr">
        <is>
          <t>H_static = 1.282 m</t>
        </is>
      </c>
    </row>
    <row r="11" ht="23.05" customHeight="1" s="117">
      <c r="B11" s="226" t="inlineStr">
        <is>
          <t>at Q = 0.04 m3/s, you had hf + hm = 0.310 + 0.715 = 1.025 m</t>
        </is>
      </c>
    </row>
    <row r="12" ht="12.8" customHeight="1" s="117">
      <c r="B12" s="226" t="inlineStr">
        <is>
          <t xml:space="preserve">So system curve coefficient: </t>
        </is>
      </c>
    </row>
    <row r="13" ht="12.8" customHeight="1" s="117">
      <c r="B13" s="226" t="inlineStr">
        <is>
          <t>k_sys = (hf+hm)/Q^2 = 1.025 / (0.04^2) = 640.6</t>
        </is>
      </c>
    </row>
    <row r="14" ht="12.8" customHeight="1" s="117">
      <c r="B14" s="116" t="inlineStr">
        <is>
          <t>H_sys(Q) = 1.282 + 640.6*Q^2</t>
        </is>
      </c>
    </row>
    <row r="15" ht="45.15" customHeight="1" s="117">
      <c r="B15" s="228" t="inlineStr">
        <is>
          <t xml:space="preserve">To keep 130 m3 realistic, you need total pumped/released flow around 0.07 m3/s order of magnitude during event (not 0.04). </t>
        </is>
      </c>
    </row>
    <row r="16" ht="12.8" customHeight="1" s="117">
      <c r="B16" s="170" t="inlineStr">
        <is>
          <t>At Q = 0.07:</t>
        </is>
      </c>
    </row>
    <row r="17" ht="12.8" customHeight="1" s="117">
      <c r="B17" s="226" t="inlineStr">
        <is>
          <t xml:space="preserve">H_sys = 1.282 + 640.6*(0.07^2) = 4.42 m </t>
        </is>
      </c>
    </row>
    <row r="18" ht="23.05" customHeight="1" s="117">
      <c r="B18" s="226" t="inlineStr">
        <is>
          <t xml:space="preserve">So your pump station should target roughly: </t>
        </is>
      </c>
    </row>
    <row r="19" ht="12.8" customHeight="1" s="117">
      <c r="B19" s="116" t="inlineStr">
        <is>
          <t>Q_total</t>
        </is>
      </c>
      <c r="C19" s="116" t="inlineStr">
        <is>
          <t>≈</t>
        </is>
      </c>
      <c r="D19" s="116" t="n">
        <v>0.07000000000000001</v>
      </c>
      <c r="E19" s="116" t="inlineStr">
        <is>
          <t>to</t>
        </is>
      </c>
      <c r="F19" s="116" t="n">
        <v>0.08</v>
      </c>
      <c r="G19" s="116" t="inlineStr">
        <is>
          <t>m3/s</t>
        </is>
      </c>
    </row>
    <row r="20" ht="12.8" customHeight="1" s="117">
      <c r="B20" s="116" t="inlineStr">
        <is>
          <t>TDH</t>
        </is>
      </c>
      <c r="C20" s="116" t="inlineStr">
        <is>
          <t>≈</t>
        </is>
      </c>
      <c r="D20" s="116" t="n">
        <v>4.5</v>
      </c>
      <c r="E20" s="116" t="inlineStr">
        <is>
          <t>to</t>
        </is>
      </c>
      <c r="F20" s="116" t="n">
        <v>5.5</v>
      </c>
      <c r="G20" s="116" t="inlineStr">
        <is>
          <t>m</t>
        </is>
      </c>
    </row>
    <row r="21" ht="28.1" customHeight="1" s="117">
      <c r="B21" s="227" t="inlineStr">
        <is>
          <t>4) Temporary pump curve to use now (since no vendor curve yet)</t>
        </is>
      </c>
    </row>
    <row r="22" ht="12.8" customHeight="1" s="117">
      <c r="B22" s="226" t="inlineStr">
        <is>
          <t>Use one-pump placeholder curve:</t>
        </is>
      </c>
    </row>
    <row r="23" ht="12.8" customHeight="1" s="117">
      <c r="B23" s="226" t="inlineStr">
        <is>
          <t xml:space="preserve">H_pump_single(Q) = 7.5 - 2040*Q^2 </t>
        </is>
      </c>
    </row>
    <row r="24" ht="12.8" customHeight="1" s="117">
      <c r="B24" s="226" t="inlineStr">
        <is>
          <t>(Q in m3/s, H in m)</t>
        </is>
      </c>
    </row>
    <row r="25" ht="12.8" customHeight="1" s="117">
      <c r="B25" s="226" t="inlineStr">
        <is>
          <t>This gives approx:</t>
        </is>
      </c>
    </row>
    <row r="26" ht="12.8" customHeight="1" s="117">
      <c r="B26" s="226" t="inlineStr">
        <is>
          <t>shutoff head ~7.5 m</t>
        </is>
      </c>
    </row>
    <row r="27" ht="12.8" customHeight="1" s="117">
      <c r="B27" s="226" t="inlineStr">
        <is>
          <t>~5 m at Q ~0.035 m3/s (35 L/s)</t>
        </is>
      </c>
    </row>
    <row r="28" ht="23.05" customHeight="1" s="117">
      <c r="B28" s="226" t="inlineStr">
        <is>
          <t>Intersection with your system curve gives about:</t>
        </is>
      </c>
    </row>
    <row r="29" ht="12.8" customHeight="1" s="117">
      <c r="B29" s="226" t="inlineStr">
        <is>
          <t xml:space="preserve">Q_total ≈ 0.0735 m3/sH ≈ 4.74 m </t>
        </is>
      </c>
    </row>
    <row r="30" ht="15" customHeight="1" s="117">
      <c r="B30" s="227" t="inlineStr">
        <is>
          <t>5) Important design conclusion</t>
        </is>
      </c>
    </row>
    <row r="31" ht="34.1" customHeight="1" s="117">
      <c r="B31" s="226" t="inlineStr">
        <is>
          <t>If transfer from StormBrixx to wetwell is still through 95 mm Q-brake, the pumps may be starved and upstream storage will remain too high.</t>
        </is>
      </c>
    </row>
    <row r="32" ht="34.1" customHeight="1" s="117">
      <c r="B32" s="226" t="inlineStr">
        <is>
          <t>You likely need to increase transfer/orifice size (first-pass likely around 150–180 mm depending head), then rerun routing.</t>
        </is>
      </c>
    </row>
    <row r="33" ht="28.1" customHeight="1" s="117">
      <c r="B33" s="227" t="inlineStr">
        <is>
          <t>6) What I still need to finalize real pump selection</t>
        </is>
      </c>
    </row>
    <row r="34" ht="12.8" customHeight="1" s="117">
      <c r="B34" s="226" t="inlineStr">
        <is>
          <t>To pick an actual catalog pump model/curve:</t>
        </is>
      </c>
    </row>
    <row r="35" ht="12.8" customHeight="1" s="117">
      <c r="B35" s="229" t="inlineStr">
        <is>
          <t>Force main length + diameter + fittings (final values)</t>
        </is>
      </c>
    </row>
    <row r="36" ht="12.8" customHeight="1" s="117">
      <c r="B36" s="229" t="inlineStr">
        <is>
          <t>Creek design water level for 100-year event</t>
        </is>
      </c>
    </row>
    <row r="37" ht="23.05" customHeight="1" s="117">
      <c r="B37" s="229" t="inlineStr">
        <is>
          <t>Whether you want 2 duty + 1 standby or 1 duty + 1 standby</t>
        </is>
      </c>
    </row>
    <row r="38" ht="12.8" customHeight="1" s="117">
      <c r="B38" s="229" t="inlineStr">
        <is>
          <t>Max allowed drawdown time after storm</t>
        </is>
      </c>
    </row>
    <row r="39" ht="12.8" customHeight="1" s="117">
      <c r="B39" s="229" t="inlineStr">
        <is>
          <t>Any max discharge constraint to creek</t>
        </is>
      </c>
    </row>
  </sheetData>
  <mergeCells count="32">
    <mergeCell ref="B11:D11"/>
    <mergeCell ref="B25:C25"/>
    <mergeCell ref="B8:D8"/>
    <mergeCell ref="B17:D17"/>
    <mergeCell ref="B29:D29"/>
    <mergeCell ref="B36:E36"/>
    <mergeCell ref="B32:E32"/>
    <mergeCell ref="B10:D10"/>
    <mergeCell ref="B28:D28"/>
    <mergeCell ref="B12:C12"/>
    <mergeCell ref="B35:E35"/>
    <mergeCell ref="B9:D9"/>
    <mergeCell ref="B30:D30"/>
    <mergeCell ref="B15:D15"/>
    <mergeCell ref="B6:D6"/>
    <mergeCell ref="B24:D24"/>
    <mergeCell ref="B33:D33"/>
    <mergeCell ref="B31:E31"/>
    <mergeCell ref="B5:D5"/>
    <mergeCell ref="B26:D26"/>
    <mergeCell ref="B39:E39"/>
    <mergeCell ref="B7:D7"/>
    <mergeCell ref="B23:E23"/>
    <mergeCell ref="B3:D3"/>
    <mergeCell ref="B13:E13"/>
    <mergeCell ref="B22:D22"/>
    <mergeCell ref="B38:E38"/>
    <mergeCell ref="B18:D18"/>
    <mergeCell ref="B27:D27"/>
    <mergeCell ref="B21:D21"/>
    <mergeCell ref="B37:E37"/>
    <mergeCell ref="B34:E34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cols>
    <col width="12" customWidth="1" style="117" min="1" max="1"/>
    <col width="42" customWidth="1" style="117" min="2" max="2"/>
    <col width="8" customWidth="1" style="117" min="3" max="3"/>
    <col width="8" customWidth="1" style="117" min="4" max="4"/>
    <col width="10" customWidth="1" style="117" min="5" max="5"/>
    <col width="12" customWidth="1" style="117" min="6" max="6"/>
    <col width="10" customWidth="1" style="117" min="7" max="7"/>
    <col width="10" customWidth="1" style="117" min="8" max="8"/>
    <col width="10" customWidth="1" style="117" min="9" max="9"/>
    <col width="10" customWidth="1" style="117" min="10" max="10"/>
    <col width="10" customWidth="1" style="117" min="11" max="11"/>
    <col width="10" customWidth="1" style="117" min="12" max="12"/>
    <col width="11" customWidth="1" style="117" min="13" max="13"/>
    <col width="34" customWidth="1" style="117" min="14" max="14"/>
    <col width="36" customWidth="1" style="117" min="16" max="16"/>
    <col width="22" customWidth="1" style="117" min="17" max="17"/>
  </cols>
  <sheetData>
    <row r="1">
      <c r="A1" s="230" t="inlineStr">
        <is>
          <t>DETAIL DES PERTES SINGULIERES ET LINEAIRES - JUSTIFICATION HYDRAULIQUE</t>
        </is>
      </c>
    </row>
    <row r="3">
      <c r="A3" s="231" t="inlineStr">
        <is>
          <t>Configuration consideree: StormBrixx -&gt; regard RP-01 (regulateur) -&gt; split vers poste direct et vers DP-01, puis retour DP-01 au poste.</t>
        </is>
      </c>
    </row>
    <row r="4">
      <c r="A4" s="232" t="inlineStr">
        <is>
          <t>IMPORTANT: Les K du regulateur et du separateur dynamique sont provisoires. Remplacer par les pertes constructeur pour le dimensionnement final.</t>
        </is>
      </c>
    </row>
    <row r="6">
      <c r="A6" s="233" t="inlineStr">
        <is>
          <t>nu_eau_m2_s</t>
        </is>
      </c>
      <c r="B6" s="234" t="n">
        <v>1e-06</v>
      </c>
    </row>
    <row r="7">
      <c r="A7" s="233" t="inlineStr">
        <is>
          <t>g_m_s2</t>
        </is>
      </c>
      <c r="B7" s="234" t="n">
        <v>9.81</v>
      </c>
    </row>
    <row r="9" ht="22" customHeight="1" s="117">
      <c r="A9" s="235" t="inlineStr">
        <is>
          <t>ID_segment</t>
        </is>
      </c>
      <c r="B9" s="235" t="inlineStr">
        <is>
          <t>Troncon</t>
        </is>
      </c>
      <c r="C9" s="235" t="inlineStr">
        <is>
          <t>L_m</t>
        </is>
      </c>
      <c r="D9" s="235" t="inlineStr">
        <is>
          <t>D_m</t>
        </is>
      </c>
      <c r="E9" s="235" t="inlineStr">
        <is>
          <t>Q_m3_s</t>
        </is>
      </c>
      <c r="F9" s="235" t="inlineStr">
        <is>
          <t>Aire_m2</t>
        </is>
      </c>
      <c r="G9" s="235" t="inlineStr">
        <is>
          <t>v_m_s</t>
        </is>
      </c>
      <c r="H9" s="235" t="inlineStr">
        <is>
          <t>epsilon_m</t>
        </is>
      </c>
      <c r="I9" s="235" t="inlineStr">
        <is>
          <t>f_Darcy</t>
        </is>
      </c>
      <c r="J9" s="235" t="inlineStr">
        <is>
          <t>hf_m</t>
        </is>
      </c>
      <c r="K9" s="235" t="inlineStr">
        <is>
          <t>K_total</t>
        </is>
      </c>
      <c r="L9" s="235" t="inlineStr">
        <is>
          <t>hm_m</t>
        </is>
      </c>
      <c r="M9" s="235" t="inlineStr">
        <is>
          <t>h_total_m</t>
        </is>
      </c>
      <c r="N9" s="235" t="inlineStr">
        <is>
          <t>Commentaire</t>
        </is>
      </c>
      <c r="P9" s="236" t="inlineStr">
        <is>
          <t>SYNTHESE PAR BRANCHE</t>
        </is>
      </c>
    </row>
    <row r="10" ht="22" customHeight="1" s="117">
      <c r="A10" s="237" t="inlineStr">
        <is>
          <t>S1</t>
        </is>
      </c>
      <c r="B10" s="237" t="inlineStr">
        <is>
          <t>StormBrixx vers regard RP-01 regulateur</t>
        </is>
      </c>
      <c r="C10" s="237" t="n">
        <v>2</v>
      </c>
      <c r="D10" s="237" t="n">
        <v>0.3</v>
      </c>
      <c r="E10" s="237">
        <f>MAX(Routing!$F$2:$F$2000)</f>
        <v/>
      </c>
      <c r="F10" s="238">
        <f>IF(D10&gt;0,PI()*(D10^2)/4,0)</f>
        <v/>
      </c>
      <c r="G10" s="238">
        <f>IF(F10&gt;0,E10/F10,0)</f>
        <v/>
      </c>
      <c r="H10" s="237" t="n">
        <v>1.5e-06</v>
      </c>
      <c r="I10" s="238">
        <f>IF(AND(G10&gt;0,D10&gt;0),0.25/(LOG10((H10/(3.7*D10))+5.74/((G10*D10/$B$6)^0.9))^2),0)</f>
        <v/>
      </c>
      <c r="J10" s="238">
        <f>IF(D10&gt;0,I10*(C10/D10)*(G10^2/(2*$B$7)),0)</f>
        <v/>
      </c>
      <c r="K10" s="238">
        <f>SUMIFS($E$21:$E$40,$A$21:$A$40,A10)</f>
        <v/>
      </c>
      <c r="L10" s="238">
        <f>K10*(G10^2/(2*$B$7))</f>
        <v/>
      </c>
      <c r="M10" s="238">
        <f>J10+L10</f>
        <v/>
      </c>
      <c r="N10" s="237" t="inlineStr">
        <is>
          <t>Troncon commun amont</t>
        </is>
      </c>
      <c r="P10" s="235" t="inlineStr">
        <is>
          <t>Branche / scenario</t>
        </is>
      </c>
      <c r="Q10" s="235" t="inlineStr">
        <is>
          <t>Perte totale (m)</t>
        </is>
      </c>
    </row>
    <row r="11" ht="22" customHeight="1" s="117">
      <c r="A11" s="237" t="inlineStr">
        <is>
          <t>S2</t>
        </is>
      </c>
      <c r="B11" s="237" t="inlineStr">
        <is>
          <t>RP-01 vers poste de pompage (branche directe)</t>
        </is>
      </c>
      <c r="C11" s="237" t="n">
        <v>7</v>
      </c>
      <c r="D11" s="237" t="n">
        <v>0.3</v>
      </c>
      <c r="E11" s="237">
        <f>MAX(Routing!$Q$2:$Q$2000)</f>
        <v/>
      </c>
      <c r="F11" s="238">
        <f>IF(D11&gt;0,PI()*(D11^2)/4,0)</f>
        <v/>
      </c>
      <c r="G11" s="238">
        <f>IF(F11&gt;0,E11/F11,0)</f>
        <v/>
      </c>
      <c r="H11" s="237" t="n">
        <v>1.5e-06</v>
      </c>
      <c r="I11" s="238">
        <f>IF(AND(G11&gt;0,D11&gt;0),0.25/(LOG10((H11/(3.7*D11))+5.74/((G11*D11/$B$6)^0.9))^2),0)</f>
        <v/>
      </c>
      <c r="J11" s="238">
        <f>IF(D11&gt;0,I11*(C11/D11)*(G11^2/(2*$B$7)),0)</f>
        <v/>
      </c>
      <c r="K11" s="238">
        <f>SUMIFS($E$21:$E$40,$A$21:$A$40,A11)</f>
        <v/>
      </c>
      <c r="L11" s="238">
        <f>K11*(G11^2/(2*$B$7))</f>
        <v/>
      </c>
      <c r="M11" s="238">
        <f>J11+L11</f>
        <v/>
      </c>
      <c r="N11" s="237" t="inlineStr">
        <is>
          <t>Branche directe vers poste</t>
        </is>
      </c>
      <c r="P11" s="239" t="inlineStr">
        <is>
          <t>Chemin direct vers poste (S1+S2)</t>
        </is>
      </c>
      <c r="Q11" s="238">
        <f>M10+M11</f>
        <v/>
      </c>
    </row>
    <row r="12" ht="22" customHeight="1" s="117">
      <c r="A12" s="237" t="inlineStr">
        <is>
          <t>S3</t>
        </is>
      </c>
      <c r="B12" s="237" t="inlineStr">
        <is>
          <t>RP-01 vers DP-01 separateur dynamique</t>
        </is>
      </c>
      <c r="C12" s="237" t="n">
        <v>4.5</v>
      </c>
      <c r="D12" s="237" t="n">
        <v>0.3</v>
      </c>
      <c r="E12" s="237">
        <f>MAX(Routing!$P$2:$P$2000)</f>
        <v/>
      </c>
      <c r="F12" s="238">
        <f>IF(D12&gt;0,PI()*(D12^2)/4,0)</f>
        <v/>
      </c>
      <c r="G12" s="238">
        <f>IF(F12&gt;0,E12/F12,0)</f>
        <v/>
      </c>
      <c r="H12" s="237" t="n">
        <v>1.5e-06</v>
      </c>
      <c r="I12" s="238">
        <f>IF(AND(G12&gt;0,D12&gt;0),0.25/(LOG10((H12/(3.7*D12))+5.74/((G12*D12/$B$6)^0.9))^2),0)</f>
        <v/>
      </c>
      <c r="J12" s="238">
        <f>IF(D12&gt;0,I12*(C12/D12)*(G12^2/(2*$B$7)),0)</f>
        <v/>
      </c>
      <c r="K12" s="238">
        <f>SUMIFS($E$21:$E$40,$A$21:$A$40,A12)</f>
        <v/>
      </c>
      <c r="L12" s="238">
        <f>K12*(G12^2/(2*$B$7))</f>
        <v/>
      </c>
      <c r="M12" s="238">
        <f>J12+L12</f>
        <v/>
      </c>
      <c r="N12" s="237" t="inlineStr">
        <is>
          <t>Branche derivee vers separateur</t>
        </is>
      </c>
      <c r="P12" s="239" t="inlineStr">
        <is>
          <t>Chemin via separateur (S1+S3+S4)</t>
        </is>
      </c>
      <c r="Q12" s="238">
        <f>M10+M12+M13</f>
        <v/>
      </c>
    </row>
    <row r="13" ht="22" customHeight="1" s="117">
      <c r="A13" s="237" t="inlineStr">
        <is>
          <t>S4</t>
        </is>
      </c>
      <c r="B13" s="237" t="inlineStr">
        <is>
          <t>DP-01 vers poste de pompage (retour)</t>
        </is>
      </c>
      <c r="C13" s="237" t="n">
        <v>4.5</v>
      </c>
      <c r="D13" s="237" t="n">
        <v>0.3</v>
      </c>
      <c r="E13" s="237">
        <f>MAX(Routing!$R$2:$R$2000)</f>
        <v/>
      </c>
      <c r="F13" s="238">
        <f>IF(D13&gt;0,PI()*(D13^2)/4,0)</f>
        <v/>
      </c>
      <c r="G13" s="238">
        <f>IF(F13&gt;0,E13/F13,0)</f>
        <v/>
      </c>
      <c r="H13" s="237" t="n">
        <v>1.5e-06</v>
      </c>
      <c r="I13" s="238">
        <f>IF(AND(G13&gt;0,D13&gt;0),0.25/(LOG10((H13/(3.7*D13))+5.74/((G13*D13/$B$6)^0.9))^2),0)</f>
        <v/>
      </c>
      <c r="J13" s="238">
        <f>IF(D13&gt;0,I13*(C13/D13)*(G13^2/(2*$B$7)),0)</f>
        <v/>
      </c>
      <c r="K13" s="238">
        <f>SUMIFS($E$21:$E$40,$A$21:$A$40,A13)</f>
        <v/>
      </c>
      <c r="L13" s="238">
        <f>K13*(G13^2/(2*$B$7))</f>
        <v/>
      </c>
      <c r="M13" s="238">
        <f>J13+L13</f>
        <v/>
      </c>
      <c r="N13" s="237" t="inlineStr">
        <is>
          <t>Retour du separateur vers poste</t>
        </is>
      </c>
      <c r="P13" s="239" t="inlineStr">
        <is>
          <t>Troncon poste vers RP-02 (S5)</t>
        </is>
      </c>
      <c r="Q13" s="238">
        <f>M14</f>
        <v/>
      </c>
    </row>
    <row r="14" ht="22" customHeight="1" s="117">
      <c r="A14" s="237" t="inlineStr">
        <is>
          <t>S5</t>
        </is>
      </c>
      <c r="B14" s="237" t="inlineStr">
        <is>
          <t>Poste de pompage vers RP-02 avec clapet</t>
        </is>
      </c>
      <c r="C14" s="237" t="n">
        <v>4</v>
      </c>
      <c r="D14" s="237" t="n">
        <v>0.3</v>
      </c>
      <c r="E14" s="237">
        <f>MAX(Routing!$M$2:$M$2000)</f>
        <v/>
      </c>
      <c r="F14" s="238">
        <f>IF(D14&gt;0,PI()*(D14^2)/4,0)</f>
        <v/>
      </c>
      <c r="G14" s="238">
        <f>IF(F14&gt;0,E14/F14,0)</f>
        <v/>
      </c>
      <c r="H14" s="237" t="n">
        <v>1.5e-06</v>
      </c>
      <c r="I14" s="238">
        <f>IF(AND(G14&gt;0,D14&gt;0),0.25/(LOG10((H14/(3.7*D14))+5.74/((G14*D14/$B$6)^0.9))^2),0)</f>
        <v/>
      </c>
      <c r="J14" s="238">
        <f>IF(D14&gt;0,I14*(C14/D14)*(G14^2/(2*$B$7)),0)</f>
        <v/>
      </c>
      <c r="K14" s="238">
        <f>SUMIFS($E$21:$E$40,$A$21:$A$40,A14)</f>
        <v/>
      </c>
      <c r="L14" s="238">
        <f>K14*(G14^2/(2*$B$7))</f>
        <v/>
      </c>
      <c r="M14" s="238">
        <f>J14+L14</f>
        <v/>
      </c>
      <c r="N14" s="237" t="inlineStr">
        <is>
          <t>Aval poste vers RP-02</t>
        </is>
      </c>
      <c r="P14" s="239" t="inlineStr">
        <is>
          <t>Troncon aval gravitaire (S6)</t>
        </is>
      </c>
      <c r="Q14" s="238">
        <f>M15</f>
        <v/>
      </c>
    </row>
    <row r="15" ht="22" customHeight="1" s="117">
      <c r="A15" s="237" t="inlineStr">
        <is>
          <t>S6</t>
        </is>
      </c>
      <c r="B15" s="237" t="inlineStr">
        <is>
          <t>RP-02 vers exutoire gravitaire</t>
        </is>
      </c>
      <c r="C15" s="237" t="n">
        <v>14.5</v>
      </c>
      <c r="D15" s="237" t="n">
        <v>0.3</v>
      </c>
      <c r="E15" s="237">
        <f>E14</f>
        <v/>
      </c>
      <c r="F15" s="238">
        <f>IF(D15&gt;0,PI()*(D15^2)/4,0)</f>
        <v/>
      </c>
      <c r="G15" s="238">
        <f>IF(F15&gt;0,E15/F15,0)</f>
        <v/>
      </c>
      <c r="H15" s="237" t="n">
        <v>1.5e-06</v>
      </c>
      <c r="I15" s="238">
        <f>IF(AND(G15&gt;0,D15&gt;0),0.25/(LOG10((H15/(3.7*D15))+5.74/((G15*D15/$B$6)^0.9))^2),0)</f>
        <v/>
      </c>
      <c r="J15" s="238">
        <f>IF(D15&gt;0,I15*(C15/D15)*(G15^2/(2*$B$7)),0)</f>
        <v/>
      </c>
      <c r="K15" s="238">
        <f>SUMIFS($E$21:$E$40,$A$21:$A$40,A15)</f>
        <v/>
      </c>
      <c r="L15" s="238">
        <f>K15*(G15^2/(2*$B$7))</f>
        <v/>
      </c>
      <c r="M15" s="238">
        <f>J15+L15</f>
        <v/>
      </c>
      <c r="N15" s="237" t="inlineStr">
        <is>
          <t>Troncon final a gravite</t>
        </is>
      </c>
    </row>
    <row r="17">
      <c r="P17" s="240" t="inlineStr">
        <is>
          <t>NOTE</t>
        </is>
      </c>
      <c r="Q17" s="116" t="inlineStr">
        <is>
          <t>Valider K regulateur, K separateur et K clapet RP-02 sur fiches fabricants.</t>
        </is>
      </c>
    </row>
    <row r="18">
      <c r="A18" s="236" t="inlineStr">
        <is>
          <t>DETAIL DES ACCESSOIRES ET K SUGGERES (A AJUSTER SELON FICHE FABRICANT)</t>
        </is>
      </c>
    </row>
    <row r="20">
      <c r="A20" s="235" t="inlineStr">
        <is>
          <t>ID_segment</t>
        </is>
      </c>
      <c r="B20" s="235" t="inlineStr">
        <is>
          <t>Appareil / singularite</t>
        </is>
      </c>
      <c r="C20" s="235" t="inlineStr">
        <is>
          <t>Quantite</t>
        </is>
      </c>
      <c r="D20" s="235" t="inlineStr">
        <is>
          <t>K_unitaire</t>
        </is>
      </c>
      <c r="E20" s="235" t="inlineStr">
        <is>
          <t>K_ligne</t>
        </is>
      </c>
    </row>
    <row r="21">
      <c r="A21" s="237" t="inlineStr">
        <is>
          <t>S1</t>
        </is>
      </c>
      <c r="B21" s="237" t="inlineStr">
        <is>
          <t>Entree depuis StormBrixx</t>
        </is>
      </c>
      <c r="C21" s="237" t="n">
        <v>1</v>
      </c>
      <c r="D21" s="237" t="n">
        <v>0.5</v>
      </c>
      <c r="E21" s="238">
        <f>C21*D21</f>
        <v/>
      </c>
    </row>
    <row r="22">
      <c r="A22" s="237" t="inlineStr">
        <is>
          <t>S1</t>
        </is>
      </c>
      <c r="B22" s="237" t="inlineStr">
        <is>
          <t>Regard RP-01 (passage)</t>
        </is>
      </c>
      <c r="C22" s="237" t="n">
        <v>1</v>
      </c>
      <c r="D22" s="237" t="n">
        <v>0.5</v>
      </c>
      <c r="E22" s="238">
        <f>C22*D22</f>
        <v/>
      </c>
    </row>
    <row r="23">
      <c r="A23" s="237" t="inlineStr">
        <is>
          <t>S1</t>
        </is>
      </c>
      <c r="B23" s="237" t="inlineStr">
        <is>
          <t>Regulateur RP-01 (provisoire)</t>
        </is>
      </c>
      <c r="C23" s="237" t="n">
        <v>1</v>
      </c>
      <c r="D23" s="237" t="n">
        <v>2.5</v>
      </c>
      <c r="E23" s="238">
        <f>C23*D23</f>
        <v/>
      </c>
    </row>
    <row r="24">
      <c r="A24" s="237" t="inlineStr">
        <is>
          <t>S2</t>
        </is>
      </c>
      <c r="B24" s="237" t="inlineStr">
        <is>
          <t>Te passage droit (vers branche directe)</t>
        </is>
      </c>
      <c r="C24" s="237" t="n">
        <v>1</v>
      </c>
      <c r="D24" s="237" t="n">
        <v>0.6</v>
      </c>
      <c r="E24" s="238">
        <f>C24*D24</f>
        <v/>
      </c>
    </row>
    <row r="25">
      <c r="A25" s="237" t="inlineStr">
        <is>
          <t>S2</t>
        </is>
      </c>
      <c r="B25" s="237" t="inlineStr">
        <is>
          <t>Coude de raccordement vers poste</t>
        </is>
      </c>
      <c r="C25" s="237" t="n">
        <v>1</v>
      </c>
      <c r="D25" s="237" t="n">
        <v>0.4</v>
      </c>
      <c r="E25" s="238">
        <f>C25*D25</f>
        <v/>
      </c>
    </row>
    <row r="26">
      <c r="A26" s="237" t="inlineStr">
        <is>
          <t>S3</t>
        </is>
      </c>
      <c r="B26" s="237" t="inlineStr">
        <is>
          <t>Te derivation vers DP-01</t>
        </is>
      </c>
      <c r="C26" s="237" t="n">
        <v>1</v>
      </c>
      <c r="D26" s="237" t="n">
        <v>1.8</v>
      </c>
      <c r="E26" s="238">
        <f>C26*D26</f>
        <v/>
      </c>
    </row>
    <row r="27">
      <c r="A27" s="237" t="inlineStr">
        <is>
          <t>S3</t>
        </is>
      </c>
      <c r="B27" s="237" t="inlineStr">
        <is>
          <t>Entree separateur dynamique</t>
        </is>
      </c>
      <c r="C27" s="237" t="n">
        <v>1</v>
      </c>
      <c r="D27" s="237" t="n">
        <v>0.5</v>
      </c>
      <c r="E27" s="238">
        <f>C27*D27</f>
        <v/>
      </c>
    </row>
    <row r="28">
      <c r="A28" s="237" t="inlineStr">
        <is>
          <t>S4</t>
        </is>
      </c>
      <c r="B28" s="237" t="inlineStr">
        <is>
          <t>Sortie separateur dynamique (provisoire)</t>
        </is>
      </c>
      <c r="C28" s="237" t="n">
        <v>1</v>
      </c>
      <c r="D28" s="237" t="n">
        <v>1.5</v>
      </c>
      <c r="E28" s="238">
        <f>C28*D28</f>
        <v/>
      </c>
    </row>
    <row r="29">
      <c r="A29" s="237" t="inlineStr">
        <is>
          <t>S4</t>
        </is>
      </c>
      <c r="B29" s="237" t="inlineStr">
        <is>
          <t>Raccord retour vers poste</t>
        </is>
      </c>
      <c r="C29" s="237" t="n">
        <v>1</v>
      </c>
      <c r="D29" s="237" t="n">
        <v>0.4</v>
      </c>
      <c r="E29" s="238">
        <f>C29*D29</f>
        <v/>
      </c>
    </row>
    <row r="30">
      <c r="A30" s="237" t="inlineStr">
        <is>
          <t>S5</t>
        </is>
      </c>
      <c r="B30" s="237" t="inlineStr">
        <is>
          <t>Clapet anti-retour RP-02</t>
        </is>
      </c>
      <c r="C30" s="237" t="n">
        <v>1</v>
      </c>
      <c r="D30" s="237" t="n">
        <v>2.5</v>
      </c>
      <c r="E30" s="238">
        <f>C30*D30</f>
        <v/>
      </c>
    </row>
    <row r="31">
      <c r="A31" s="237" t="inlineStr">
        <is>
          <t>S5</t>
        </is>
      </c>
      <c r="B31" s="237" t="inlineStr">
        <is>
          <t>Coude 90</t>
        </is>
      </c>
      <c r="C31" s="237" t="n">
        <v>1</v>
      </c>
      <c r="D31" s="237" t="n">
        <v>0.9</v>
      </c>
      <c r="E31" s="238">
        <f>C31*D31</f>
        <v/>
      </c>
    </row>
    <row r="32">
      <c r="A32" s="237" t="inlineStr">
        <is>
          <t>S6</t>
        </is>
      </c>
      <c r="B32" s="237" t="inlineStr">
        <is>
          <t>Sortie libre a l'exutoire</t>
        </is>
      </c>
      <c r="C32" s="237" t="n">
        <v>1</v>
      </c>
      <c r="D32" s="237" t="n">
        <v>1</v>
      </c>
      <c r="E32" s="238">
        <f>C32*D32</f>
        <v/>
      </c>
    </row>
  </sheetData>
  <mergeCells count="3">
    <mergeCell ref="P9:Q9"/>
    <mergeCell ref="A18:E18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style="117" min="1" max="1"/>
    <col width="18" customWidth="1" style="117" min="2" max="2"/>
    <col width="18" customWidth="1" style="117" min="3" max="3"/>
    <col width="24" customWidth="1" style="117" min="4" max="4"/>
    <col width="22" customWidth="1" style="117" min="5" max="5"/>
    <col width="14" customWidth="1" style="117" min="6" max="6"/>
    <col width="16" customWidth="1" style="117" min="7" max="7"/>
    <col width="48" customWidth="1" style="117" min="8" max="8"/>
  </cols>
  <sheetData>
    <row r="1">
      <c r="A1" s="270" t="inlineStr">
        <is>
          <t>ANALYSE AUTOMATIQUE DES DURÉES D'HYÉTOGRAPHE</t>
        </is>
      </c>
    </row>
    <row r="2">
      <c r="A2" s="271" t="inlineStr">
        <is>
          <t>Durée gouvernante (min)</t>
        </is>
      </c>
      <c r="B2" s="272">
        <f>INDEX(A5:A8,MATCH(MAX(D5:D8),D5:D8,0))</f>
        <v/>
      </c>
      <c r="C2" s="116" t="inlineStr">
        <is>
          <t>(basée sur volume de ruissellement total)</t>
        </is>
      </c>
    </row>
    <row r="3">
      <c r="B3" s="251" t="n"/>
    </row>
    <row r="4">
      <c r="A4" s="273" t="inlineStr">
        <is>
          <t>Durée_test_min</t>
        </is>
      </c>
      <c r="B4" s="274" t="inlineStr">
        <is>
          <t>Intensité_moy_mmh</t>
        </is>
      </c>
      <c r="C4" s="273" t="inlineStr">
        <is>
          <t>Lame_totale_mm</t>
        </is>
      </c>
      <c r="D4" s="273" t="inlineStr">
        <is>
          <t>Volume_ruissellement_m3</t>
        </is>
      </c>
      <c r="E4" s="273" t="inlineStr">
        <is>
          <t>Débit_pic_proxy_m3s</t>
        </is>
      </c>
      <c r="F4" s="273" t="inlineStr">
        <is>
          <t>Rang_volume</t>
        </is>
      </c>
      <c r="G4" s="273" t="inlineStr">
        <is>
          <t>Cas_gouvernant</t>
        </is>
      </c>
      <c r="H4" s="273" t="inlineStr">
        <is>
          <t>Commentaire</t>
        </is>
      </c>
    </row>
    <row r="5">
      <c r="A5" s="275" t="n">
        <v>30</v>
      </c>
      <c r="B5" s="276">
        <f>Inputs!$B$5/((A5+Inputs!$B$6)^Inputs!$B$7)</f>
        <v/>
      </c>
      <c r="C5" s="276">
        <f>B5*A5/60</f>
        <v/>
      </c>
      <c r="D5" s="276">
        <f>C5/1000*Inputs!$B$2*Inputs!$B$4</f>
        <v/>
      </c>
      <c r="E5" s="276">
        <f>0.00278*Inputs!$B$3*Inputs!$B$4*B5</f>
        <v/>
      </c>
      <c r="F5" s="275">
        <f>RANK(D5,$D$5:$D$8,0)</f>
        <v/>
      </c>
      <c r="G5" s="275">
        <f>IF(D5=MAX($D$5:$D$8),"GOVERNING","")</f>
        <v/>
      </c>
      <c r="H5" s="277">
        <f>IF(G5="GOVERNING","Utiliser cette durée pour Routing","")</f>
        <v/>
      </c>
    </row>
    <row r="6">
      <c r="A6" s="275" t="n">
        <v>60</v>
      </c>
      <c r="B6" s="276">
        <f>Inputs!$B$5/((A6+Inputs!$B$6)^Inputs!$B$7)</f>
        <v/>
      </c>
      <c r="C6" s="276">
        <f>B6*A6/60</f>
        <v/>
      </c>
      <c r="D6" s="276">
        <f>C6/1000*Inputs!$B$2*Inputs!$B$4</f>
        <v/>
      </c>
      <c r="E6" s="276">
        <f>0.00278*Inputs!$B$3*Inputs!$B$4*B6</f>
        <v/>
      </c>
      <c r="F6" s="275">
        <f>RANK(D6,$D$5:$D$8,0)</f>
        <v/>
      </c>
      <c r="G6" s="275">
        <f>IF(D6=MAX($D$5:$D$8),"GOVERNING","")</f>
        <v/>
      </c>
      <c r="H6" s="277">
        <f>IF(G6="GOVERNING","Utiliser cette durée pour Routing","")</f>
        <v/>
      </c>
    </row>
    <row r="7">
      <c r="A7" s="275" t="n">
        <v>120</v>
      </c>
      <c r="B7" s="276">
        <f>Inputs!$B$5/((A7+Inputs!$B$6)^Inputs!$B$7)</f>
        <v/>
      </c>
      <c r="C7" s="276">
        <f>B7*A7/60</f>
        <v/>
      </c>
      <c r="D7" s="276">
        <f>C7/1000*Inputs!$B$2*Inputs!$B$4</f>
        <v/>
      </c>
      <c r="E7" s="276">
        <f>0.00278*Inputs!$B$3*Inputs!$B$4*B7</f>
        <v/>
      </c>
      <c r="F7" s="275">
        <f>RANK(D7,$D$5:$D$8,0)</f>
        <v/>
      </c>
      <c r="G7" s="275">
        <f>IF(D7=MAX($D$5:$D$8),"GOVERNING","")</f>
        <v/>
      </c>
      <c r="H7" s="277">
        <f>IF(G7="GOVERNING","Utiliser cette durée pour Routing","")</f>
        <v/>
      </c>
    </row>
    <row r="8">
      <c r="A8" s="275" t="n">
        <v>180</v>
      </c>
      <c r="B8" s="276">
        <f>Inputs!$B$5/((A8+Inputs!$B$6)^Inputs!$B$7)</f>
        <v/>
      </c>
      <c r="C8" s="276">
        <f>B8*A8/60</f>
        <v/>
      </c>
      <c r="D8" s="276">
        <f>C8/1000*Inputs!$B$2*Inputs!$B$4</f>
        <v/>
      </c>
      <c r="E8" s="276">
        <f>0.00278*Inputs!$B$3*Inputs!$B$4*B8</f>
        <v/>
      </c>
      <c r="F8" s="275">
        <f>RANK(D8,$D$5:$D$8,0)</f>
        <v/>
      </c>
      <c r="G8" s="275">
        <f>IF(D8=MAX($D$5:$D$8),"GOVERNING","")</f>
        <v/>
      </c>
      <c r="H8" s="277">
        <f>IF(G8="GOVERNING","Utiliser cette durée pour Routing","")</f>
        <v/>
      </c>
    </row>
    <row r="9">
      <c r="B9" s="251" t="n"/>
    </row>
    <row r="10">
      <c r="A10" s="278" t="inlineStr">
        <is>
          <t>Durée utilisée par le modèle (Inputs!B52)</t>
        </is>
      </c>
      <c r="B10" s="279">
        <f>Inputs!$B$52</f>
        <v/>
      </c>
    </row>
    <row r="11">
      <c r="A11" s="278" t="inlineStr">
        <is>
          <t>Écart (durée modèle - durée gouvernante)</t>
        </is>
      </c>
      <c r="B11" s="279">
        <f>B10-B2</f>
        <v/>
      </c>
    </row>
    <row r="13">
      <c r="A13" s="280" t="inlineStr">
        <is>
          <t>Critère retenu: max volume de ruissellement (pré-sélection). Vérifier ensuite WL max, surverses et starts/h dans Routing/Pump_Sizing.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0"/>
  <sheetViews>
    <sheetView workbookViewId="0">
      <selection activeCell="A1" sqref="A1"/>
    </sheetView>
  </sheetViews>
  <sheetFormatPr baseColWidth="8" defaultRowHeight="15"/>
  <cols>
    <col width="8" customWidth="1" style="117" min="1" max="1"/>
    <col width="12" customWidth="1" style="117" min="2" max="2"/>
    <col width="14" customWidth="1" style="117" min="3" max="3"/>
    <col width="42" customWidth="1" style="117" min="4" max="4"/>
    <col width="14" customWidth="1" style="117" min="5" max="5"/>
    <col width="14" customWidth="1" style="117" min="6" max="6"/>
    <col width="12" customWidth="1" style="117" min="7" max="7"/>
    <col width="12" customWidth="1" style="117" min="8" max="8"/>
    <col width="14" customWidth="1" style="117" min="9" max="9"/>
    <col width="16" customWidth="1" style="117" min="10" max="10"/>
    <col width="16" customWidth="1" style="117" min="11" max="11"/>
  </cols>
  <sheetData>
    <row r="1">
      <c r="A1" s="236" t="inlineStr">
        <is>
          <t>ROUTAGE DU REGARD AVAL (APRES POSTE DE POMPAGE)</t>
        </is>
      </c>
    </row>
    <row r="2">
      <c r="A2" s="281" t="inlineStr">
        <is>
          <t>Calcul explicite: V_fin = MAX(0, V_debut + (Q_in - Q_out)*dt). Q_in provient de Routing!M. Q_out est lu/interpole depuis la courbe niveau-debit.</t>
        </is>
      </c>
    </row>
    <row r="4">
      <c r="A4" s="240" t="inlineStr">
        <is>
          <t>PARAMETRES</t>
        </is>
      </c>
      <c r="F4" s="240" t="inlineStr">
        <is>
          <t>RESULTATS</t>
        </is>
      </c>
      <c r="J4" s="240" t="inlineStr">
        <is>
          <t>COURBE Qout UTILISATEUR</t>
        </is>
      </c>
    </row>
    <row r="5">
      <c r="A5" t="inlineStr">
        <is>
          <t>Invert_regard_aval_m</t>
        </is>
      </c>
      <c r="B5" s="282" t="n">
        <v>103.03</v>
      </c>
      <c r="C5" t="inlineStr">
        <is>
          <t>m</t>
        </is>
      </c>
      <c r="D5" t="inlineStr">
        <is>
          <t>Fond du regard aval</t>
        </is>
      </c>
      <c r="F5" t="inlineStr">
        <is>
          <t>Vmax_calcule_m3</t>
        </is>
      </c>
      <c r="G5" s="283">
        <f>IF(B11&lt;=0,"",MAX(H16:INDEX(H:H,15+B11)))</f>
        <v/>
      </c>
      <c r="J5" s="284" t="inlineStr">
        <is>
          <t>Niveau_eau_m</t>
        </is>
      </c>
      <c r="K5" s="284" t="inlineStr">
        <is>
          <t>Qout_gravite_m3s</t>
        </is>
      </c>
    </row>
    <row r="6">
      <c r="A6" t="inlineStr">
        <is>
          <t>Diametre_regard_aval_m</t>
        </is>
      </c>
      <c r="B6" s="282" t="n">
        <v>1.5</v>
      </c>
      <c r="C6" t="inlineStr">
        <is>
          <t>m</t>
        </is>
      </c>
      <c r="D6" t="inlineStr">
        <is>
          <t>Diametre interieur utile</t>
        </is>
      </c>
      <c r="F6" t="inlineStr">
        <is>
          <t>Vreq_avec_FS_m3</t>
        </is>
      </c>
      <c r="G6" s="283">
        <f>IF(G5="","",G5*B9)</f>
        <v/>
      </c>
      <c r="J6" s="282">
        <f>B5</f>
        <v/>
      </c>
      <c r="K6" s="282" t="n">
        <v>0</v>
      </c>
    </row>
    <row r="7">
      <c r="A7" t="inlineStr">
        <is>
          <t>Aire_regard_aval_m2</t>
        </is>
      </c>
      <c r="B7" s="282">
        <f>PI()*B6^2/4</f>
        <v/>
      </c>
      <c r="C7" t="inlineStr">
        <is>
          <t>m2</t>
        </is>
      </c>
      <c r="D7" t="inlineStr">
        <is>
          <t>Aire de stockage verticale</t>
        </is>
      </c>
      <c r="F7" t="inlineStr">
        <is>
          <t>Hauteur_req_m</t>
        </is>
      </c>
      <c r="G7" s="283">
        <f>IF(OR(G6="",B7=0),"",G6/B7)</f>
        <v/>
      </c>
      <c r="J7" s="282">
        <f>B5+0.10</f>
        <v/>
      </c>
      <c r="K7" s="282" t="n">
        <v>0.005</v>
      </c>
    </row>
    <row r="8">
      <c r="A8" t="inlineStr">
        <is>
          <t>Volume_initial_m3</t>
        </is>
      </c>
      <c r="B8" s="282" t="n">
        <v>0</v>
      </c>
      <c r="C8" t="inlineStr">
        <is>
          <t>m3</t>
        </is>
      </c>
      <c r="D8" t="inlineStr">
        <is>
          <t>Condition initiale au debut de l evenement</t>
        </is>
      </c>
      <c r="F8" t="inlineStr">
        <is>
          <t>Niveau_eau_max_requis_m</t>
        </is>
      </c>
      <c r="G8" s="283">
        <f>IF(G7="","",B5+G7)</f>
        <v/>
      </c>
      <c r="J8" s="282">
        <f>B5+0.20</f>
        <v/>
      </c>
      <c r="K8" s="282" t="n">
        <v>0.012</v>
      </c>
    </row>
    <row r="9">
      <c r="A9" t="inlineStr">
        <is>
          <t>Facteur_securite_stockage</t>
        </is>
      </c>
      <c r="B9" s="282" t="n">
        <v>1.15</v>
      </c>
      <c r="C9" t="inlineStr">
        <is>
          <t>-</t>
        </is>
      </c>
      <c r="D9" t="inlineStr">
        <is>
          <t>Applique sur Vmax</t>
        </is>
      </c>
      <c r="F9" t="inlineStr">
        <is>
          <t>Verification_niveau</t>
        </is>
      </c>
      <c r="G9" s="285">
        <f>IF(OR(G8="",B12=""),"INFO",IF(G8&lt;=B12,"PASS","FAIL"))</f>
        <v/>
      </c>
      <c r="J9" s="282">
        <f>B5+0.30</f>
        <v/>
      </c>
      <c r="K9" s="282" t="n">
        <v>0.022</v>
      </c>
    </row>
    <row r="10">
      <c r="A10" t="inlineStr">
        <is>
          <t>Pas_temps_sec</t>
        </is>
      </c>
      <c r="B10" s="282">
        <f>Inputs!$B$9</f>
        <v/>
      </c>
      <c r="C10" t="inlineStr">
        <is>
          <t>s</t>
        </is>
      </c>
      <c r="D10" t="inlineStr">
        <is>
          <t>Pas du routage (doit suivre Inputs)</t>
        </is>
      </c>
      <c r="F10" t="inlineStr">
        <is>
          <t>Marge_niveau_m</t>
        </is>
      </c>
      <c r="G10" s="283">
        <f>IF(OR(G8="",B12=""),"",B12-G8)</f>
        <v/>
      </c>
      <c r="J10" s="282">
        <f>B5+0.40</f>
        <v/>
      </c>
      <c r="K10" s="282" t="n">
        <v>0.035</v>
      </c>
    </row>
    <row r="11">
      <c r="A11" t="inlineStr">
        <is>
          <t>Nb_pas_evenement</t>
        </is>
      </c>
      <c r="B11" s="286">
        <f>Inputs!$B$53</f>
        <v/>
      </c>
      <c r="C11" t="inlineStr">
        <is>
          <t>-</t>
        </is>
      </c>
      <c r="D11" t="inlineStr">
        <is>
          <t>Nombre de pas actifs depuis Inputs</t>
        </is>
      </c>
      <c r="J11" s="282">
        <f>B5+0.50</f>
        <v/>
      </c>
      <c r="K11" s="282" t="n">
        <v>0.05</v>
      </c>
    </row>
    <row r="12">
      <c r="A12" t="inlineStr">
        <is>
          <t>Niveau_max_admissible_m</t>
        </is>
      </c>
      <c r="B12" s="282">
        <f>B5+1.00</f>
        <v/>
      </c>
      <c r="C12" t="inlineStr">
        <is>
          <t>m</t>
        </is>
      </c>
      <c r="D12" t="inlineStr">
        <is>
          <t>Ajuster selon geometre/rim/freeboard</t>
        </is>
      </c>
      <c r="J12" t="inlineStr">
        <is>
          <t>Note: Niveaux J6:J11 doivent etre croissants.</t>
        </is>
      </c>
    </row>
    <row r="15">
      <c r="A15" s="287" t="inlineStr">
        <is>
          <t>Pas</t>
        </is>
      </c>
      <c r="B15" s="287" t="inlineStr">
        <is>
          <t>Temps_min</t>
        </is>
      </c>
      <c r="C15" s="287" t="inlineStr">
        <is>
          <t>Qin_pompe_m3s</t>
        </is>
      </c>
      <c r="D15" s="287" t="inlineStr">
        <is>
          <t>V_debut_m3</t>
        </is>
      </c>
      <c r="E15" s="287" t="inlineStr">
        <is>
          <t>Niveau_debut_m</t>
        </is>
      </c>
      <c r="F15" s="287" t="inlineStr">
        <is>
          <t>Qout_m3s_interp</t>
        </is>
      </c>
      <c r="G15" s="287" t="inlineStr">
        <is>
          <t>DeltaV_m3</t>
        </is>
      </c>
      <c r="H15" s="287" t="inlineStr">
        <is>
          <t>V_fin_m3</t>
        </is>
      </c>
      <c r="I15" s="287" t="inlineStr">
        <is>
          <t>Niveau_fin_m</t>
        </is>
      </c>
    </row>
    <row r="16">
      <c r="A16" s="288">
        <f>IF(B11&lt;=0,"",1)</f>
        <v/>
      </c>
      <c r="B16" s="288">
        <f>IF(ROW()-15&lt;=$B$11,INDEX(Routing!$A:$A,ROW()-14),"")</f>
        <v/>
      </c>
      <c r="C16" s="289">
        <f>IF(B16="","",INDEX(Routing!$M:$M,ROW()-14))</f>
        <v/>
      </c>
      <c r="D16" s="289">
        <f>IF(B16="","",$B$8)</f>
        <v/>
      </c>
      <c r="E16" s="289">
        <f>IF(B16="","",$B$5+IF($B$7=0,0,D16/$B$7))</f>
        <v/>
      </c>
      <c r="F16" s="289">
        <f>IF(B16="","",IF(E16&lt;=J6,K6,IF(E16&gt;=J11,K11,INDEX(K6:K11,MATCH(E16,J6:J11,1))+(E16-INDEX(J6:J11,MATCH(E16,J6:J11,1)))*(INDEX(K6:K11,MATCH(E16,J6:J11,1)+1)-INDEX(K6:K11,MATCH(E16,J6:J11,1)))/(INDEX(J6:J11,MATCH(E16,J6:J11,1)+1)-INDEX(J6:J11,MATCH(E16,J6:J11,1))))))</f>
        <v/>
      </c>
      <c r="G16" s="289">
        <f>IF(B16="","",(C16-F16)*$B$10)</f>
        <v/>
      </c>
      <c r="H16" s="289">
        <f>IF(B16="","",MAX(0,D16+G16))</f>
        <v/>
      </c>
      <c r="I16" s="289">
        <f>IF(B16="","",$B$5+IF($B$7=0,0,H16/$B$7))</f>
        <v/>
      </c>
    </row>
    <row r="17">
      <c r="A17" s="288">
        <f>IF(B17="","",A16+1)</f>
        <v/>
      </c>
      <c r="B17" s="288">
        <f>IF(ROW()-15&lt;=$B$11,INDEX(Routing!$A:$A,ROW()-14),"")</f>
        <v/>
      </c>
      <c r="C17" s="289">
        <f>IF(B17="","",INDEX(Routing!$M:$M,ROW()-14))</f>
        <v/>
      </c>
      <c r="D17" s="289">
        <f>IF(B17="","",H16)</f>
        <v/>
      </c>
      <c r="E17" s="289">
        <f>IF(B17="","",$B$5+IF($B$7=0,0,D17/$B$7))</f>
        <v/>
      </c>
      <c r="F17" s="289">
        <f>IF(B17="","",IF(E17&lt;=J6,K6,IF(E17&gt;=J11,K11,INDEX(K6:K11,MATCH(E17,J6:J11,1))+(E17-INDEX(J6:J11,MATCH(E17,J6:J11,1)))*(INDEX(K6:K11,MATCH(E17,J6:J11,1)+1)-INDEX(K6:K11,MATCH(E17,J6:J11,1)))/(INDEX(J6:J11,MATCH(E17,J6:J11,1)+1)-INDEX(J6:J11,MATCH(E17,J6:J11,1))))))</f>
        <v/>
      </c>
      <c r="G17" s="289">
        <f>IF(B17="","",(C17-F17)*$B$10)</f>
        <v/>
      </c>
      <c r="H17" s="289">
        <f>IF(B17="","",MAX(0,D17+G17))</f>
        <v/>
      </c>
      <c r="I17" s="289">
        <f>IF(B17="","",$B$5+IF($B$7=0,0,H17/$B$7))</f>
        <v/>
      </c>
    </row>
    <row r="18">
      <c r="A18" s="288">
        <f>IF(B18="","",A17+1)</f>
        <v/>
      </c>
      <c r="B18" s="288">
        <f>IF(ROW()-15&lt;=$B$11,INDEX(Routing!$A:$A,ROW()-14),"")</f>
        <v/>
      </c>
      <c r="C18" s="289">
        <f>IF(B18="","",INDEX(Routing!$M:$M,ROW()-14))</f>
        <v/>
      </c>
      <c r="D18" s="289">
        <f>IF(B18="","",H17)</f>
        <v/>
      </c>
      <c r="E18" s="289">
        <f>IF(B18="","",$B$5+IF($B$7=0,0,D18/$B$7))</f>
        <v/>
      </c>
      <c r="F18" s="289">
        <f>IF(B18="","",IF(E18&lt;=J6,K6,IF(E18&gt;=J11,K11,INDEX(K6:K11,MATCH(E18,J6:J11,1))+(E18-INDEX(J6:J11,MATCH(E18,J6:J11,1)))*(INDEX(K6:K11,MATCH(E18,J6:J11,1)+1)-INDEX(K6:K11,MATCH(E18,J6:J11,1)))/(INDEX(J6:J11,MATCH(E18,J6:J11,1)+1)-INDEX(J6:J11,MATCH(E18,J6:J11,1))))))</f>
        <v/>
      </c>
      <c r="G18" s="289">
        <f>IF(B18="","",(C18-F18)*$B$10)</f>
        <v/>
      </c>
      <c r="H18" s="289">
        <f>IF(B18="","",MAX(0,D18+G18))</f>
        <v/>
      </c>
      <c r="I18" s="289">
        <f>IF(B18="","",$B$5+IF($B$7=0,0,H18/$B$7))</f>
        <v/>
      </c>
    </row>
    <row r="19">
      <c r="A19" s="288">
        <f>IF(B19="","",A18+1)</f>
        <v/>
      </c>
      <c r="B19" s="288">
        <f>IF(ROW()-15&lt;=$B$11,INDEX(Routing!$A:$A,ROW()-14),"")</f>
        <v/>
      </c>
      <c r="C19" s="289">
        <f>IF(B19="","",INDEX(Routing!$M:$M,ROW()-14))</f>
        <v/>
      </c>
      <c r="D19" s="289">
        <f>IF(B19="","",H18)</f>
        <v/>
      </c>
      <c r="E19" s="289">
        <f>IF(B19="","",$B$5+IF($B$7=0,0,D19/$B$7))</f>
        <v/>
      </c>
      <c r="F19" s="289">
        <f>IF(B19="","",IF(E19&lt;=J6,K6,IF(E19&gt;=J11,K11,INDEX(K6:K11,MATCH(E19,J6:J11,1))+(E19-INDEX(J6:J11,MATCH(E19,J6:J11,1)))*(INDEX(K6:K11,MATCH(E19,J6:J11,1)+1)-INDEX(K6:K11,MATCH(E19,J6:J11,1)))/(INDEX(J6:J11,MATCH(E19,J6:J11,1)+1)-INDEX(J6:J11,MATCH(E19,J6:J11,1))))))</f>
        <v/>
      </c>
      <c r="G19" s="289">
        <f>IF(B19="","",(C19-F19)*$B$10)</f>
        <v/>
      </c>
      <c r="H19" s="289">
        <f>IF(B19="","",MAX(0,D19+G19))</f>
        <v/>
      </c>
      <c r="I19" s="289">
        <f>IF(B19="","",$B$5+IF($B$7=0,0,H19/$B$7))</f>
        <v/>
      </c>
    </row>
    <row r="20">
      <c r="A20" s="288">
        <f>IF(B20="","",A19+1)</f>
        <v/>
      </c>
      <c r="B20" s="288">
        <f>IF(ROW()-15&lt;=$B$11,INDEX(Routing!$A:$A,ROW()-14),"")</f>
        <v/>
      </c>
      <c r="C20" s="289">
        <f>IF(B20="","",INDEX(Routing!$M:$M,ROW()-14))</f>
        <v/>
      </c>
      <c r="D20" s="289">
        <f>IF(B20="","",H19)</f>
        <v/>
      </c>
      <c r="E20" s="289">
        <f>IF(B20="","",$B$5+IF($B$7=0,0,D20/$B$7))</f>
        <v/>
      </c>
      <c r="F20" s="289">
        <f>IF(B20="","",IF(E20&lt;=J6,K6,IF(E20&gt;=J11,K11,INDEX(K6:K11,MATCH(E20,J6:J11,1))+(E20-INDEX(J6:J11,MATCH(E20,J6:J11,1)))*(INDEX(K6:K11,MATCH(E20,J6:J11,1)+1)-INDEX(K6:K11,MATCH(E20,J6:J11,1)))/(INDEX(J6:J11,MATCH(E20,J6:J11,1)+1)-INDEX(J6:J11,MATCH(E20,J6:J11,1))))))</f>
        <v/>
      </c>
      <c r="G20" s="289">
        <f>IF(B20="","",(C20-F20)*$B$10)</f>
        <v/>
      </c>
      <c r="H20" s="289">
        <f>IF(B20="","",MAX(0,D20+G20))</f>
        <v/>
      </c>
      <c r="I20" s="289">
        <f>IF(B20="","",$B$5+IF($B$7=0,0,H20/$B$7))</f>
        <v/>
      </c>
    </row>
    <row r="21">
      <c r="A21" s="288">
        <f>IF(B21="","",A20+1)</f>
        <v/>
      </c>
      <c r="B21" s="288">
        <f>IF(ROW()-15&lt;=$B$11,INDEX(Routing!$A:$A,ROW()-14),"")</f>
        <v/>
      </c>
      <c r="C21" s="289">
        <f>IF(B21="","",INDEX(Routing!$M:$M,ROW()-14))</f>
        <v/>
      </c>
      <c r="D21" s="289">
        <f>IF(B21="","",H20)</f>
        <v/>
      </c>
      <c r="E21" s="289">
        <f>IF(B21="","",$B$5+IF($B$7=0,0,D21/$B$7))</f>
        <v/>
      </c>
      <c r="F21" s="289">
        <f>IF(B21="","",IF(E21&lt;=J6,K6,IF(E21&gt;=J11,K11,INDEX(K6:K11,MATCH(E21,J6:J11,1))+(E21-INDEX(J6:J11,MATCH(E21,J6:J11,1)))*(INDEX(K6:K11,MATCH(E21,J6:J11,1)+1)-INDEX(K6:K11,MATCH(E21,J6:J11,1)))/(INDEX(J6:J11,MATCH(E21,J6:J11,1)+1)-INDEX(J6:J11,MATCH(E21,J6:J11,1))))))</f>
        <v/>
      </c>
      <c r="G21" s="289">
        <f>IF(B21="","",(C21-F21)*$B$10)</f>
        <v/>
      </c>
      <c r="H21" s="289">
        <f>IF(B21="","",MAX(0,D21+G21))</f>
        <v/>
      </c>
      <c r="I21" s="289">
        <f>IF(B21="","",$B$5+IF($B$7=0,0,H21/$B$7))</f>
        <v/>
      </c>
    </row>
    <row r="22">
      <c r="A22" s="288">
        <f>IF(B22="","",A21+1)</f>
        <v/>
      </c>
      <c r="B22" s="288">
        <f>IF(ROW()-15&lt;=$B$11,INDEX(Routing!$A:$A,ROW()-14),"")</f>
        <v/>
      </c>
      <c r="C22" s="289">
        <f>IF(B22="","",INDEX(Routing!$M:$M,ROW()-14))</f>
        <v/>
      </c>
      <c r="D22" s="289">
        <f>IF(B22="","",H21)</f>
        <v/>
      </c>
      <c r="E22" s="289">
        <f>IF(B22="","",$B$5+IF($B$7=0,0,D22/$B$7))</f>
        <v/>
      </c>
      <c r="F22" s="289">
        <f>IF(B22="","",IF(E22&lt;=J6,K6,IF(E22&gt;=J11,K11,INDEX(K6:K11,MATCH(E22,J6:J11,1))+(E22-INDEX(J6:J11,MATCH(E22,J6:J11,1)))*(INDEX(K6:K11,MATCH(E22,J6:J11,1)+1)-INDEX(K6:K11,MATCH(E22,J6:J11,1)))/(INDEX(J6:J11,MATCH(E22,J6:J11,1)+1)-INDEX(J6:J11,MATCH(E22,J6:J11,1))))))</f>
        <v/>
      </c>
      <c r="G22" s="289">
        <f>IF(B22="","",(C22-F22)*$B$10)</f>
        <v/>
      </c>
      <c r="H22" s="289">
        <f>IF(B22="","",MAX(0,D22+G22))</f>
        <v/>
      </c>
      <c r="I22" s="289">
        <f>IF(B22="","",$B$5+IF($B$7=0,0,H22/$B$7))</f>
        <v/>
      </c>
    </row>
    <row r="23">
      <c r="A23" s="288">
        <f>IF(B23="","",A22+1)</f>
        <v/>
      </c>
      <c r="B23" s="288">
        <f>IF(ROW()-15&lt;=$B$11,INDEX(Routing!$A:$A,ROW()-14),"")</f>
        <v/>
      </c>
      <c r="C23" s="289">
        <f>IF(B23="","",INDEX(Routing!$M:$M,ROW()-14))</f>
        <v/>
      </c>
      <c r="D23" s="289">
        <f>IF(B23="","",H22)</f>
        <v/>
      </c>
      <c r="E23" s="289">
        <f>IF(B23="","",$B$5+IF($B$7=0,0,D23/$B$7))</f>
        <v/>
      </c>
      <c r="F23" s="289">
        <f>IF(B23="","",IF(E23&lt;=J6,K6,IF(E23&gt;=J11,K11,INDEX(K6:K11,MATCH(E23,J6:J11,1))+(E23-INDEX(J6:J11,MATCH(E23,J6:J11,1)))*(INDEX(K6:K11,MATCH(E23,J6:J11,1)+1)-INDEX(K6:K11,MATCH(E23,J6:J11,1)))/(INDEX(J6:J11,MATCH(E23,J6:J11,1)+1)-INDEX(J6:J11,MATCH(E23,J6:J11,1))))))</f>
        <v/>
      </c>
      <c r="G23" s="289">
        <f>IF(B23="","",(C23-F23)*$B$10)</f>
        <v/>
      </c>
      <c r="H23" s="289">
        <f>IF(B23="","",MAX(0,D23+G23))</f>
        <v/>
      </c>
      <c r="I23" s="289">
        <f>IF(B23="","",$B$5+IF($B$7=0,0,H23/$B$7))</f>
        <v/>
      </c>
    </row>
    <row r="24">
      <c r="A24" s="288">
        <f>IF(B24="","",A23+1)</f>
        <v/>
      </c>
      <c r="B24" s="288">
        <f>IF(ROW()-15&lt;=$B$11,INDEX(Routing!$A:$A,ROW()-14),"")</f>
        <v/>
      </c>
      <c r="C24" s="289">
        <f>IF(B24="","",INDEX(Routing!$M:$M,ROW()-14))</f>
        <v/>
      </c>
      <c r="D24" s="289">
        <f>IF(B24="","",H23)</f>
        <v/>
      </c>
      <c r="E24" s="289">
        <f>IF(B24="","",$B$5+IF($B$7=0,0,D24/$B$7))</f>
        <v/>
      </c>
      <c r="F24" s="289">
        <f>IF(B24="","",IF(E24&lt;=J6,K6,IF(E24&gt;=J11,K11,INDEX(K6:K11,MATCH(E24,J6:J11,1))+(E24-INDEX(J6:J11,MATCH(E24,J6:J11,1)))*(INDEX(K6:K11,MATCH(E24,J6:J11,1)+1)-INDEX(K6:K11,MATCH(E24,J6:J11,1)))/(INDEX(J6:J11,MATCH(E24,J6:J11,1)+1)-INDEX(J6:J11,MATCH(E24,J6:J11,1))))))</f>
        <v/>
      </c>
      <c r="G24" s="289">
        <f>IF(B24="","",(C24-F24)*$B$10)</f>
        <v/>
      </c>
      <c r="H24" s="289">
        <f>IF(B24="","",MAX(0,D24+G24))</f>
        <v/>
      </c>
      <c r="I24" s="289">
        <f>IF(B24="","",$B$5+IF($B$7=0,0,H24/$B$7))</f>
        <v/>
      </c>
    </row>
    <row r="25">
      <c r="A25" s="288">
        <f>IF(B25="","",A24+1)</f>
        <v/>
      </c>
      <c r="B25" s="288">
        <f>IF(ROW()-15&lt;=$B$11,INDEX(Routing!$A:$A,ROW()-14),"")</f>
        <v/>
      </c>
      <c r="C25" s="289">
        <f>IF(B25="","",INDEX(Routing!$M:$M,ROW()-14))</f>
        <v/>
      </c>
      <c r="D25" s="289">
        <f>IF(B25="","",H24)</f>
        <v/>
      </c>
      <c r="E25" s="289">
        <f>IF(B25="","",$B$5+IF($B$7=0,0,D25/$B$7))</f>
        <v/>
      </c>
      <c r="F25" s="289">
        <f>IF(B25="","",IF(E25&lt;=J6,K6,IF(E25&gt;=J11,K11,INDEX(K6:K11,MATCH(E25,J6:J11,1))+(E25-INDEX(J6:J11,MATCH(E25,J6:J11,1)))*(INDEX(K6:K11,MATCH(E25,J6:J11,1)+1)-INDEX(K6:K11,MATCH(E25,J6:J11,1)))/(INDEX(J6:J11,MATCH(E25,J6:J11,1)+1)-INDEX(J6:J11,MATCH(E25,J6:J11,1))))))</f>
        <v/>
      </c>
      <c r="G25" s="289">
        <f>IF(B25="","",(C25-F25)*$B$10)</f>
        <v/>
      </c>
      <c r="H25" s="289">
        <f>IF(B25="","",MAX(0,D25+G25))</f>
        <v/>
      </c>
      <c r="I25" s="289">
        <f>IF(B25="","",$B$5+IF($B$7=0,0,H25/$B$7))</f>
        <v/>
      </c>
    </row>
    <row r="26">
      <c r="A26" s="288">
        <f>IF(B26="","",A25+1)</f>
        <v/>
      </c>
      <c r="B26" s="288">
        <f>IF(ROW()-15&lt;=$B$11,INDEX(Routing!$A:$A,ROW()-14),"")</f>
        <v/>
      </c>
      <c r="C26" s="289">
        <f>IF(B26="","",INDEX(Routing!$M:$M,ROW()-14))</f>
        <v/>
      </c>
      <c r="D26" s="289">
        <f>IF(B26="","",H25)</f>
        <v/>
      </c>
      <c r="E26" s="289">
        <f>IF(B26="","",$B$5+IF($B$7=0,0,D26/$B$7))</f>
        <v/>
      </c>
      <c r="F26" s="289">
        <f>IF(B26="","",IF(E26&lt;=J6,K6,IF(E26&gt;=J11,K11,INDEX(K6:K11,MATCH(E26,J6:J11,1))+(E26-INDEX(J6:J11,MATCH(E26,J6:J11,1)))*(INDEX(K6:K11,MATCH(E26,J6:J11,1)+1)-INDEX(K6:K11,MATCH(E26,J6:J11,1)))/(INDEX(J6:J11,MATCH(E26,J6:J11,1)+1)-INDEX(J6:J11,MATCH(E26,J6:J11,1))))))</f>
        <v/>
      </c>
      <c r="G26" s="289">
        <f>IF(B26="","",(C26-F26)*$B$10)</f>
        <v/>
      </c>
      <c r="H26" s="289">
        <f>IF(B26="","",MAX(0,D26+G26))</f>
        <v/>
      </c>
      <c r="I26" s="289">
        <f>IF(B26="","",$B$5+IF($B$7=0,0,H26/$B$7))</f>
        <v/>
      </c>
    </row>
    <row r="27">
      <c r="A27" s="288">
        <f>IF(B27="","",A26+1)</f>
        <v/>
      </c>
      <c r="B27" s="288">
        <f>IF(ROW()-15&lt;=$B$11,INDEX(Routing!$A:$A,ROW()-14),"")</f>
        <v/>
      </c>
      <c r="C27" s="289">
        <f>IF(B27="","",INDEX(Routing!$M:$M,ROW()-14))</f>
        <v/>
      </c>
      <c r="D27" s="289">
        <f>IF(B27="","",H26)</f>
        <v/>
      </c>
      <c r="E27" s="289">
        <f>IF(B27="","",$B$5+IF($B$7=0,0,D27/$B$7))</f>
        <v/>
      </c>
      <c r="F27" s="289">
        <f>IF(B27="","",IF(E27&lt;=J6,K6,IF(E27&gt;=J11,K11,INDEX(K6:K11,MATCH(E27,J6:J11,1))+(E27-INDEX(J6:J11,MATCH(E27,J6:J11,1)))*(INDEX(K6:K11,MATCH(E27,J6:J11,1)+1)-INDEX(K6:K11,MATCH(E27,J6:J11,1)))/(INDEX(J6:J11,MATCH(E27,J6:J11,1)+1)-INDEX(J6:J11,MATCH(E27,J6:J11,1))))))</f>
        <v/>
      </c>
      <c r="G27" s="289">
        <f>IF(B27="","",(C27-F27)*$B$10)</f>
        <v/>
      </c>
      <c r="H27" s="289">
        <f>IF(B27="","",MAX(0,D27+G27))</f>
        <v/>
      </c>
      <c r="I27" s="289">
        <f>IF(B27="","",$B$5+IF($B$7=0,0,H27/$B$7))</f>
        <v/>
      </c>
    </row>
    <row r="28">
      <c r="A28" s="288">
        <f>IF(B28="","",A27+1)</f>
        <v/>
      </c>
      <c r="B28" s="288">
        <f>IF(ROW()-15&lt;=$B$11,INDEX(Routing!$A:$A,ROW()-14),"")</f>
        <v/>
      </c>
      <c r="C28" s="289">
        <f>IF(B28="","",INDEX(Routing!$M:$M,ROW()-14))</f>
        <v/>
      </c>
      <c r="D28" s="289">
        <f>IF(B28="","",H27)</f>
        <v/>
      </c>
      <c r="E28" s="289">
        <f>IF(B28="","",$B$5+IF($B$7=0,0,D28/$B$7))</f>
        <v/>
      </c>
      <c r="F28" s="289">
        <f>IF(B28="","",IF(E28&lt;=J6,K6,IF(E28&gt;=J11,K11,INDEX(K6:K11,MATCH(E28,J6:J11,1))+(E28-INDEX(J6:J11,MATCH(E28,J6:J11,1)))*(INDEX(K6:K11,MATCH(E28,J6:J11,1)+1)-INDEX(K6:K11,MATCH(E28,J6:J11,1)))/(INDEX(J6:J11,MATCH(E28,J6:J11,1)+1)-INDEX(J6:J11,MATCH(E28,J6:J11,1))))))</f>
        <v/>
      </c>
      <c r="G28" s="289">
        <f>IF(B28="","",(C28-F28)*$B$10)</f>
        <v/>
      </c>
      <c r="H28" s="289">
        <f>IF(B28="","",MAX(0,D28+G28))</f>
        <v/>
      </c>
      <c r="I28" s="289">
        <f>IF(B28="","",$B$5+IF($B$7=0,0,H28/$B$7))</f>
        <v/>
      </c>
    </row>
    <row r="29">
      <c r="A29" s="288">
        <f>IF(B29="","",A28+1)</f>
        <v/>
      </c>
      <c r="B29" s="288">
        <f>IF(ROW()-15&lt;=$B$11,INDEX(Routing!$A:$A,ROW()-14),"")</f>
        <v/>
      </c>
      <c r="C29" s="289">
        <f>IF(B29="","",INDEX(Routing!$M:$M,ROW()-14))</f>
        <v/>
      </c>
      <c r="D29" s="289">
        <f>IF(B29="","",H28)</f>
        <v/>
      </c>
      <c r="E29" s="289">
        <f>IF(B29="","",$B$5+IF($B$7=0,0,D29/$B$7))</f>
        <v/>
      </c>
      <c r="F29" s="289">
        <f>IF(B29="","",IF(E29&lt;=J6,K6,IF(E29&gt;=J11,K11,INDEX(K6:K11,MATCH(E29,J6:J11,1))+(E29-INDEX(J6:J11,MATCH(E29,J6:J11,1)))*(INDEX(K6:K11,MATCH(E29,J6:J11,1)+1)-INDEX(K6:K11,MATCH(E29,J6:J11,1)))/(INDEX(J6:J11,MATCH(E29,J6:J11,1)+1)-INDEX(J6:J11,MATCH(E29,J6:J11,1))))))</f>
        <v/>
      </c>
      <c r="G29" s="289">
        <f>IF(B29="","",(C29-F29)*$B$10)</f>
        <v/>
      </c>
      <c r="H29" s="289">
        <f>IF(B29="","",MAX(0,D29+G29))</f>
        <v/>
      </c>
      <c r="I29" s="289">
        <f>IF(B29="","",$B$5+IF($B$7=0,0,H29/$B$7))</f>
        <v/>
      </c>
    </row>
    <row r="30">
      <c r="A30" s="288">
        <f>IF(B30="","",A29+1)</f>
        <v/>
      </c>
      <c r="B30" s="288">
        <f>IF(ROW()-15&lt;=$B$11,INDEX(Routing!$A:$A,ROW()-14),"")</f>
        <v/>
      </c>
      <c r="C30" s="289">
        <f>IF(B30="","",INDEX(Routing!$M:$M,ROW()-14))</f>
        <v/>
      </c>
      <c r="D30" s="289">
        <f>IF(B30="","",H29)</f>
        <v/>
      </c>
      <c r="E30" s="289">
        <f>IF(B30="","",$B$5+IF($B$7=0,0,D30/$B$7))</f>
        <v/>
      </c>
      <c r="F30" s="289">
        <f>IF(B30="","",IF(E30&lt;=J6,K6,IF(E30&gt;=J11,K11,INDEX(K6:K11,MATCH(E30,J6:J11,1))+(E30-INDEX(J6:J11,MATCH(E30,J6:J11,1)))*(INDEX(K6:K11,MATCH(E30,J6:J11,1)+1)-INDEX(K6:K11,MATCH(E30,J6:J11,1)))/(INDEX(J6:J11,MATCH(E30,J6:J11,1)+1)-INDEX(J6:J11,MATCH(E30,J6:J11,1))))))</f>
        <v/>
      </c>
      <c r="G30" s="289">
        <f>IF(B30="","",(C30-F30)*$B$10)</f>
        <v/>
      </c>
      <c r="H30" s="289">
        <f>IF(B30="","",MAX(0,D30+G30))</f>
        <v/>
      </c>
      <c r="I30" s="289">
        <f>IF(B30="","",$B$5+IF($B$7=0,0,H30/$B$7))</f>
        <v/>
      </c>
    </row>
    <row r="31">
      <c r="A31" s="288">
        <f>IF(B31="","",A30+1)</f>
        <v/>
      </c>
      <c r="B31" s="288">
        <f>IF(ROW()-15&lt;=$B$11,INDEX(Routing!$A:$A,ROW()-14),"")</f>
        <v/>
      </c>
      <c r="C31" s="289">
        <f>IF(B31="","",INDEX(Routing!$M:$M,ROW()-14))</f>
        <v/>
      </c>
      <c r="D31" s="289">
        <f>IF(B31="","",H30)</f>
        <v/>
      </c>
      <c r="E31" s="289">
        <f>IF(B31="","",$B$5+IF($B$7=0,0,D31/$B$7))</f>
        <v/>
      </c>
      <c r="F31" s="289">
        <f>IF(B31="","",IF(E31&lt;=J6,K6,IF(E31&gt;=J11,K11,INDEX(K6:K11,MATCH(E31,J6:J11,1))+(E31-INDEX(J6:J11,MATCH(E31,J6:J11,1)))*(INDEX(K6:K11,MATCH(E31,J6:J11,1)+1)-INDEX(K6:K11,MATCH(E31,J6:J11,1)))/(INDEX(J6:J11,MATCH(E31,J6:J11,1)+1)-INDEX(J6:J11,MATCH(E31,J6:J11,1))))))</f>
        <v/>
      </c>
      <c r="G31" s="289">
        <f>IF(B31="","",(C31-F31)*$B$10)</f>
        <v/>
      </c>
      <c r="H31" s="289">
        <f>IF(B31="","",MAX(0,D31+G31))</f>
        <v/>
      </c>
      <c r="I31" s="289">
        <f>IF(B31="","",$B$5+IF($B$7=0,0,H31/$B$7))</f>
        <v/>
      </c>
    </row>
    <row r="32">
      <c r="A32" s="288">
        <f>IF(B32="","",A31+1)</f>
        <v/>
      </c>
      <c r="B32" s="288">
        <f>IF(ROW()-15&lt;=$B$11,INDEX(Routing!$A:$A,ROW()-14),"")</f>
        <v/>
      </c>
      <c r="C32" s="289">
        <f>IF(B32="","",INDEX(Routing!$M:$M,ROW()-14))</f>
        <v/>
      </c>
      <c r="D32" s="289">
        <f>IF(B32="","",H31)</f>
        <v/>
      </c>
      <c r="E32" s="289">
        <f>IF(B32="","",$B$5+IF($B$7=0,0,D32/$B$7))</f>
        <v/>
      </c>
      <c r="F32" s="289">
        <f>IF(B32="","",IF(E32&lt;=J6,K6,IF(E32&gt;=J11,K11,INDEX(K6:K11,MATCH(E32,J6:J11,1))+(E32-INDEX(J6:J11,MATCH(E32,J6:J11,1)))*(INDEX(K6:K11,MATCH(E32,J6:J11,1)+1)-INDEX(K6:K11,MATCH(E32,J6:J11,1)))/(INDEX(J6:J11,MATCH(E32,J6:J11,1)+1)-INDEX(J6:J11,MATCH(E32,J6:J11,1))))))</f>
        <v/>
      </c>
      <c r="G32" s="289">
        <f>IF(B32="","",(C32-F32)*$B$10)</f>
        <v/>
      </c>
      <c r="H32" s="289">
        <f>IF(B32="","",MAX(0,D32+G32))</f>
        <v/>
      </c>
      <c r="I32" s="289">
        <f>IF(B32="","",$B$5+IF($B$7=0,0,H32/$B$7))</f>
        <v/>
      </c>
    </row>
    <row r="33">
      <c r="A33" s="288">
        <f>IF(B33="","",A32+1)</f>
        <v/>
      </c>
      <c r="B33" s="288">
        <f>IF(ROW()-15&lt;=$B$11,INDEX(Routing!$A:$A,ROW()-14),"")</f>
        <v/>
      </c>
      <c r="C33" s="289">
        <f>IF(B33="","",INDEX(Routing!$M:$M,ROW()-14))</f>
        <v/>
      </c>
      <c r="D33" s="289">
        <f>IF(B33="","",H32)</f>
        <v/>
      </c>
      <c r="E33" s="289">
        <f>IF(B33="","",$B$5+IF($B$7=0,0,D33/$B$7))</f>
        <v/>
      </c>
      <c r="F33" s="289">
        <f>IF(B33="","",IF(E33&lt;=J6,K6,IF(E33&gt;=J11,K11,INDEX(K6:K11,MATCH(E33,J6:J11,1))+(E33-INDEX(J6:J11,MATCH(E33,J6:J11,1)))*(INDEX(K6:K11,MATCH(E33,J6:J11,1)+1)-INDEX(K6:K11,MATCH(E33,J6:J11,1)))/(INDEX(J6:J11,MATCH(E33,J6:J11,1)+1)-INDEX(J6:J11,MATCH(E33,J6:J11,1))))))</f>
        <v/>
      </c>
      <c r="G33" s="289">
        <f>IF(B33="","",(C33-F33)*$B$10)</f>
        <v/>
      </c>
      <c r="H33" s="289">
        <f>IF(B33="","",MAX(0,D33+G33))</f>
        <v/>
      </c>
      <c r="I33" s="289">
        <f>IF(B33="","",$B$5+IF($B$7=0,0,H33/$B$7))</f>
        <v/>
      </c>
    </row>
    <row r="34">
      <c r="A34" s="288">
        <f>IF(B34="","",A33+1)</f>
        <v/>
      </c>
      <c r="B34" s="288">
        <f>IF(ROW()-15&lt;=$B$11,INDEX(Routing!$A:$A,ROW()-14),"")</f>
        <v/>
      </c>
      <c r="C34" s="289">
        <f>IF(B34="","",INDEX(Routing!$M:$M,ROW()-14))</f>
        <v/>
      </c>
      <c r="D34" s="289">
        <f>IF(B34="","",H33)</f>
        <v/>
      </c>
      <c r="E34" s="289">
        <f>IF(B34="","",$B$5+IF($B$7=0,0,D34/$B$7))</f>
        <v/>
      </c>
      <c r="F34" s="289">
        <f>IF(B34="","",IF(E34&lt;=J6,K6,IF(E34&gt;=J11,K11,INDEX(K6:K11,MATCH(E34,J6:J11,1))+(E34-INDEX(J6:J11,MATCH(E34,J6:J11,1)))*(INDEX(K6:K11,MATCH(E34,J6:J11,1)+1)-INDEX(K6:K11,MATCH(E34,J6:J11,1)))/(INDEX(J6:J11,MATCH(E34,J6:J11,1)+1)-INDEX(J6:J11,MATCH(E34,J6:J11,1))))))</f>
        <v/>
      </c>
      <c r="G34" s="289">
        <f>IF(B34="","",(C34-F34)*$B$10)</f>
        <v/>
      </c>
      <c r="H34" s="289">
        <f>IF(B34="","",MAX(0,D34+G34))</f>
        <v/>
      </c>
      <c r="I34" s="289">
        <f>IF(B34="","",$B$5+IF($B$7=0,0,H34/$B$7))</f>
        <v/>
      </c>
    </row>
    <row r="35">
      <c r="A35" s="288">
        <f>IF(B35="","",A34+1)</f>
        <v/>
      </c>
      <c r="B35" s="288">
        <f>IF(ROW()-15&lt;=$B$11,INDEX(Routing!$A:$A,ROW()-14),"")</f>
        <v/>
      </c>
      <c r="C35" s="289">
        <f>IF(B35="","",INDEX(Routing!$M:$M,ROW()-14))</f>
        <v/>
      </c>
      <c r="D35" s="289">
        <f>IF(B35="","",H34)</f>
        <v/>
      </c>
      <c r="E35" s="289">
        <f>IF(B35="","",$B$5+IF($B$7=0,0,D35/$B$7))</f>
        <v/>
      </c>
      <c r="F35" s="289">
        <f>IF(B35="","",IF(E35&lt;=J6,K6,IF(E35&gt;=J11,K11,INDEX(K6:K11,MATCH(E35,J6:J11,1))+(E35-INDEX(J6:J11,MATCH(E35,J6:J11,1)))*(INDEX(K6:K11,MATCH(E35,J6:J11,1)+1)-INDEX(K6:K11,MATCH(E35,J6:J11,1)))/(INDEX(J6:J11,MATCH(E35,J6:J11,1)+1)-INDEX(J6:J11,MATCH(E35,J6:J11,1))))))</f>
        <v/>
      </c>
      <c r="G35" s="289">
        <f>IF(B35="","",(C35-F35)*$B$10)</f>
        <v/>
      </c>
      <c r="H35" s="289">
        <f>IF(B35="","",MAX(0,D35+G35))</f>
        <v/>
      </c>
      <c r="I35" s="289">
        <f>IF(B35="","",$B$5+IF($B$7=0,0,H35/$B$7))</f>
        <v/>
      </c>
    </row>
    <row r="36">
      <c r="A36" s="288">
        <f>IF(B36="","",A35+1)</f>
        <v/>
      </c>
      <c r="B36" s="288">
        <f>IF(ROW()-15&lt;=$B$11,INDEX(Routing!$A:$A,ROW()-14),"")</f>
        <v/>
      </c>
      <c r="C36" s="289">
        <f>IF(B36="","",INDEX(Routing!$M:$M,ROW()-14))</f>
        <v/>
      </c>
      <c r="D36" s="289">
        <f>IF(B36="","",H35)</f>
        <v/>
      </c>
      <c r="E36" s="289">
        <f>IF(B36="","",$B$5+IF($B$7=0,0,D36/$B$7))</f>
        <v/>
      </c>
      <c r="F36" s="289">
        <f>IF(B36="","",IF(E36&lt;=J6,K6,IF(E36&gt;=J11,K11,INDEX(K6:K11,MATCH(E36,J6:J11,1))+(E36-INDEX(J6:J11,MATCH(E36,J6:J11,1)))*(INDEX(K6:K11,MATCH(E36,J6:J11,1)+1)-INDEX(K6:K11,MATCH(E36,J6:J11,1)))/(INDEX(J6:J11,MATCH(E36,J6:J11,1)+1)-INDEX(J6:J11,MATCH(E36,J6:J11,1))))))</f>
        <v/>
      </c>
      <c r="G36" s="289">
        <f>IF(B36="","",(C36-F36)*$B$10)</f>
        <v/>
      </c>
      <c r="H36" s="289">
        <f>IF(B36="","",MAX(0,D36+G36))</f>
        <v/>
      </c>
      <c r="I36" s="289">
        <f>IF(B36="","",$B$5+IF($B$7=0,0,H36/$B$7))</f>
        <v/>
      </c>
    </row>
    <row r="37">
      <c r="A37" s="288">
        <f>IF(B37="","",A36+1)</f>
        <v/>
      </c>
      <c r="B37" s="288">
        <f>IF(ROW()-15&lt;=$B$11,INDEX(Routing!$A:$A,ROW()-14),"")</f>
        <v/>
      </c>
      <c r="C37" s="289">
        <f>IF(B37="","",INDEX(Routing!$M:$M,ROW()-14))</f>
        <v/>
      </c>
      <c r="D37" s="289">
        <f>IF(B37="","",H36)</f>
        <v/>
      </c>
      <c r="E37" s="289">
        <f>IF(B37="","",$B$5+IF($B$7=0,0,D37/$B$7))</f>
        <v/>
      </c>
      <c r="F37" s="289">
        <f>IF(B37="","",IF(E37&lt;=J6,K6,IF(E37&gt;=J11,K11,INDEX(K6:K11,MATCH(E37,J6:J11,1))+(E37-INDEX(J6:J11,MATCH(E37,J6:J11,1)))*(INDEX(K6:K11,MATCH(E37,J6:J11,1)+1)-INDEX(K6:K11,MATCH(E37,J6:J11,1)))/(INDEX(J6:J11,MATCH(E37,J6:J11,1)+1)-INDEX(J6:J11,MATCH(E37,J6:J11,1))))))</f>
        <v/>
      </c>
      <c r="G37" s="289">
        <f>IF(B37="","",(C37-F37)*$B$10)</f>
        <v/>
      </c>
      <c r="H37" s="289">
        <f>IF(B37="","",MAX(0,D37+G37))</f>
        <v/>
      </c>
      <c r="I37" s="289">
        <f>IF(B37="","",$B$5+IF($B$7=0,0,H37/$B$7))</f>
        <v/>
      </c>
    </row>
    <row r="38">
      <c r="A38" s="288">
        <f>IF(B38="","",A37+1)</f>
        <v/>
      </c>
      <c r="B38" s="288">
        <f>IF(ROW()-15&lt;=$B$11,INDEX(Routing!$A:$A,ROW()-14),"")</f>
        <v/>
      </c>
      <c r="C38" s="289">
        <f>IF(B38="","",INDEX(Routing!$M:$M,ROW()-14))</f>
        <v/>
      </c>
      <c r="D38" s="289">
        <f>IF(B38="","",H37)</f>
        <v/>
      </c>
      <c r="E38" s="289">
        <f>IF(B38="","",$B$5+IF($B$7=0,0,D38/$B$7))</f>
        <v/>
      </c>
      <c r="F38" s="289">
        <f>IF(B38="","",IF(E38&lt;=J6,K6,IF(E38&gt;=J11,K11,INDEX(K6:K11,MATCH(E38,J6:J11,1))+(E38-INDEX(J6:J11,MATCH(E38,J6:J11,1)))*(INDEX(K6:K11,MATCH(E38,J6:J11,1)+1)-INDEX(K6:K11,MATCH(E38,J6:J11,1)))/(INDEX(J6:J11,MATCH(E38,J6:J11,1)+1)-INDEX(J6:J11,MATCH(E38,J6:J11,1))))))</f>
        <v/>
      </c>
      <c r="G38" s="289">
        <f>IF(B38="","",(C38-F38)*$B$10)</f>
        <v/>
      </c>
      <c r="H38" s="289">
        <f>IF(B38="","",MAX(0,D38+G38))</f>
        <v/>
      </c>
      <c r="I38" s="289">
        <f>IF(B38="","",$B$5+IF($B$7=0,0,H38/$B$7))</f>
        <v/>
      </c>
    </row>
    <row r="39">
      <c r="A39" s="288">
        <f>IF(B39="","",A38+1)</f>
        <v/>
      </c>
      <c r="B39" s="288">
        <f>IF(ROW()-15&lt;=$B$11,INDEX(Routing!$A:$A,ROW()-14),"")</f>
        <v/>
      </c>
      <c r="C39" s="289">
        <f>IF(B39="","",INDEX(Routing!$M:$M,ROW()-14))</f>
        <v/>
      </c>
      <c r="D39" s="289">
        <f>IF(B39="","",H38)</f>
        <v/>
      </c>
      <c r="E39" s="289">
        <f>IF(B39="","",$B$5+IF($B$7=0,0,D39/$B$7))</f>
        <v/>
      </c>
      <c r="F39" s="289">
        <f>IF(B39="","",IF(E39&lt;=J6,K6,IF(E39&gt;=J11,K11,INDEX(K6:K11,MATCH(E39,J6:J11,1))+(E39-INDEX(J6:J11,MATCH(E39,J6:J11,1)))*(INDEX(K6:K11,MATCH(E39,J6:J11,1)+1)-INDEX(K6:K11,MATCH(E39,J6:J11,1)))/(INDEX(J6:J11,MATCH(E39,J6:J11,1)+1)-INDEX(J6:J11,MATCH(E39,J6:J11,1))))))</f>
        <v/>
      </c>
      <c r="G39" s="289">
        <f>IF(B39="","",(C39-F39)*$B$10)</f>
        <v/>
      </c>
      <c r="H39" s="289">
        <f>IF(B39="","",MAX(0,D39+G39))</f>
        <v/>
      </c>
      <c r="I39" s="289">
        <f>IF(B39="","",$B$5+IF($B$7=0,0,H39/$B$7))</f>
        <v/>
      </c>
    </row>
    <row r="40">
      <c r="A40" s="288">
        <f>IF(B40="","",A39+1)</f>
        <v/>
      </c>
      <c r="B40" s="288">
        <f>IF(ROW()-15&lt;=$B$11,INDEX(Routing!$A:$A,ROW()-14),"")</f>
        <v/>
      </c>
      <c r="C40" s="289">
        <f>IF(B40="","",INDEX(Routing!$M:$M,ROW()-14))</f>
        <v/>
      </c>
      <c r="D40" s="289">
        <f>IF(B40="","",H39)</f>
        <v/>
      </c>
      <c r="E40" s="289">
        <f>IF(B40="","",$B$5+IF($B$7=0,0,D40/$B$7))</f>
        <v/>
      </c>
      <c r="F40" s="289">
        <f>IF(B40="","",IF(E40&lt;=J6,K6,IF(E40&gt;=J11,K11,INDEX(K6:K11,MATCH(E40,J6:J11,1))+(E40-INDEX(J6:J11,MATCH(E40,J6:J11,1)))*(INDEX(K6:K11,MATCH(E40,J6:J11,1)+1)-INDEX(K6:K11,MATCH(E40,J6:J11,1)))/(INDEX(J6:J11,MATCH(E40,J6:J11,1)+1)-INDEX(J6:J11,MATCH(E40,J6:J11,1))))))</f>
        <v/>
      </c>
      <c r="G40" s="289">
        <f>IF(B40="","",(C40-F40)*$B$10)</f>
        <v/>
      </c>
      <c r="H40" s="289">
        <f>IF(B40="","",MAX(0,D40+G40))</f>
        <v/>
      </c>
      <c r="I40" s="289">
        <f>IF(B40="","",$B$5+IF($B$7=0,0,H40/$B$7))</f>
        <v/>
      </c>
    </row>
    <row r="41">
      <c r="A41" s="288">
        <f>IF(B41="","",A40+1)</f>
        <v/>
      </c>
      <c r="B41" s="288">
        <f>IF(ROW()-15&lt;=$B$11,INDEX(Routing!$A:$A,ROW()-14),"")</f>
        <v/>
      </c>
      <c r="C41" s="289">
        <f>IF(B41="","",INDEX(Routing!$M:$M,ROW()-14))</f>
        <v/>
      </c>
      <c r="D41" s="289">
        <f>IF(B41="","",H40)</f>
        <v/>
      </c>
      <c r="E41" s="289">
        <f>IF(B41="","",$B$5+IF($B$7=0,0,D41/$B$7))</f>
        <v/>
      </c>
      <c r="F41" s="289">
        <f>IF(B41="","",IF(E41&lt;=J6,K6,IF(E41&gt;=J11,K11,INDEX(K6:K11,MATCH(E41,J6:J11,1))+(E41-INDEX(J6:J11,MATCH(E41,J6:J11,1)))*(INDEX(K6:K11,MATCH(E41,J6:J11,1)+1)-INDEX(K6:K11,MATCH(E41,J6:J11,1)))/(INDEX(J6:J11,MATCH(E41,J6:J11,1)+1)-INDEX(J6:J11,MATCH(E41,J6:J11,1))))))</f>
        <v/>
      </c>
      <c r="G41" s="289">
        <f>IF(B41="","",(C41-F41)*$B$10)</f>
        <v/>
      </c>
      <c r="H41" s="289">
        <f>IF(B41="","",MAX(0,D41+G41))</f>
        <v/>
      </c>
      <c r="I41" s="289">
        <f>IF(B41="","",$B$5+IF($B$7=0,0,H41/$B$7))</f>
        <v/>
      </c>
    </row>
    <row r="42">
      <c r="A42" s="288">
        <f>IF(B42="","",A41+1)</f>
        <v/>
      </c>
      <c r="B42" s="288">
        <f>IF(ROW()-15&lt;=$B$11,INDEX(Routing!$A:$A,ROW()-14),"")</f>
        <v/>
      </c>
      <c r="C42" s="289">
        <f>IF(B42="","",INDEX(Routing!$M:$M,ROW()-14))</f>
        <v/>
      </c>
      <c r="D42" s="289">
        <f>IF(B42="","",H41)</f>
        <v/>
      </c>
      <c r="E42" s="289">
        <f>IF(B42="","",$B$5+IF($B$7=0,0,D42/$B$7))</f>
        <v/>
      </c>
      <c r="F42" s="289">
        <f>IF(B42="","",IF(E42&lt;=J6,K6,IF(E42&gt;=J11,K11,INDEX(K6:K11,MATCH(E42,J6:J11,1))+(E42-INDEX(J6:J11,MATCH(E42,J6:J11,1)))*(INDEX(K6:K11,MATCH(E42,J6:J11,1)+1)-INDEX(K6:K11,MATCH(E42,J6:J11,1)))/(INDEX(J6:J11,MATCH(E42,J6:J11,1)+1)-INDEX(J6:J11,MATCH(E42,J6:J11,1))))))</f>
        <v/>
      </c>
      <c r="G42" s="289">
        <f>IF(B42="","",(C42-F42)*$B$10)</f>
        <v/>
      </c>
      <c r="H42" s="289">
        <f>IF(B42="","",MAX(0,D42+G42))</f>
        <v/>
      </c>
      <c r="I42" s="289">
        <f>IF(B42="","",$B$5+IF($B$7=0,0,H42/$B$7))</f>
        <v/>
      </c>
    </row>
    <row r="43">
      <c r="A43" s="288">
        <f>IF(B43="","",A42+1)</f>
        <v/>
      </c>
      <c r="B43" s="288">
        <f>IF(ROW()-15&lt;=$B$11,INDEX(Routing!$A:$A,ROW()-14),"")</f>
        <v/>
      </c>
      <c r="C43" s="289">
        <f>IF(B43="","",INDEX(Routing!$M:$M,ROW()-14))</f>
        <v/>
      </c>
      <c r="D43" s="289">
        <f>IF(B43="","",H42)</f>
        <v/>
      </c>
      <c r="E43" s="289">
        <f>IF(B43="","",$B$5+IF($B$7=0,0,D43/$B$7))</f>
        <v/>
      </c>
      <c r="F43" s="289">
        <f>IF(B43="","",IF(E43&lt;=J6,K6,IF(E43&gt;=J11,K11,INDEX(K6:K11,MATCH(E43,J6:J11,1))+(E43-INDEX(J6:J11,MATCH(E43,J6:J11,1)))*(INDEX(K6:K11,MATCH(E43,J6:J11,1)+1)-INDEX(K6:K11,MATCH(E43,J6:J11,1)))/(INDEX(J6:J11,MATCH(E43,J6:J11,1)+1)-INDEX(J6:J11,MATCH(E43,J6:J11,1))))))</f>
        <v/>
      </c>
      <c r="G43" s="289">
        <f>IF(B43="","",(C43-F43)*$B$10)</f>
        <v/>
      </c>
      <c r="H43" s="289">
        <f>IF(B43="","",MAX(0,D43+G43))</f>
        <v/>
      </c>
      <c r="I43" s="289">
        <f>IF(B43="","",$B$5+IF($B$7=0,0,H43/$B$7))</f>
        <v/>
      </c>
    </row>
    <row r="44">
      <c r="A44" s="288">
        <f>IF(B44="","",A43+1)</f>
        <v/>
      </c>
      <c r="B44" s="288">
        <f>IF(ROW()-15&lt;=$B$11,INDEX(Routing!$A:$A,ROW()-14),"")</f>
        <v/>
      </c>
      <c r="C44" s="289">
        <f>IF(B44="","",INDEX(Routing!$M:$M,ROW()-14))</f>
        <v/>
      </c>
      <c r="D44" s="289">
        <f>IF(B44="","",H43)</f>
        <v/>
      </c>
      <c r="E44" s="289">
        <f>IF(B44="","",$B$5+IF($B$7=0,0,D44/$B$7))</f>
        <v/>
      </c>
      <c r="F44" s="289">
        <f>IF(B44="","",IF(E44&lt;=J6,K6,IF(E44&gt;=J11,K11,INDEX(K6:K11,MATCH(E44,J6:J11,1))+(E44-INDEX(J6:J11,MATCH(E44,J6:J11,1)))*(INDEX(K6:K11,MATCH(E44,J6:J11,1)+1)-INDEX(K6:K11,MATCH(E44,J6:J11,1)))/(INDEX(J6:J11,MATCH(E44,J6:J11,1)+1)-INDEX(J6:J11,MATCH(E44,J6:J11,1))))))</f>
        <v/>
      </c>
      <c r="G44" s="289">
        <f>IF(B44="","",(C44-F44)*$B$10)</f>
        <v/>
      </c>
      <c r="H44" s="289">
        <f>IF(B44="","",MAX(0,D44+G44))</f>
        <v/>
      </c>
      <c r="I44" s="289">
        <f>IF(B44="","",$B$5+IF($B$7=0,0,H44/$B$7))</f>
        <v/>
      </c>
    </row>
    <row r="45">
      <c r="A45" s="288">
        <f>IF(B45="","",A44+1)</f>
        <v/>
      </c>
      <c r="B45" s="288">
        <f>IF(ROW()-15&lt;=$B$11,INDEX(Routing!$A:$A,ROW()-14),"")</f>
        <v/>
      </c>
      <c r="C45" s="289">
        <f>IF(B45="","",INDEX(Routing!$M:$M,ROW()-14))</f>
        <v/>
      </c>
      <c r="D45" s="289">
        <f>IF(B45="","",H44)</f>
        <v/>
      </c>
      <c r="E45" s="289">
        <f>IF(B45="","",$B$5+IF($B$7=0,0,D45/$B$7))</f>
        <v/>
      </c>
      <c r="F45" s="289">
        <f>IF(B45="","",IF(E45&lt;=J6,K6,IF(E45&gt;=J11,K11,INDEX(K6:K11,MATCH(E45,J6:J11,1))+(E45-INDEX(J6:J11,MATCH(E45,J6:J11,1)))*(INDEX(K6:K11,MATCH(E45,J6:J11,1)+1)-INDEX(K6:K11,MATCH(E45,J6:J11,1)))/(INDEX(J6:J11,MATCH(E45,J6:J11,1)+1)-INDEX(J6:J11,MATCH(E45,J6:J11,1))))))</f>
        <v/>
      </c>
      <c r="G45" s="289">
        <f>IF(B45="","",(C45-F45)*$B$10)</f>
        <v/>
      </c>
      <c r="H45" s="289">
        <f>IF(B45="","",MAX(0,D45+G45))</f>
        <v/>
      </c>
      <c r="I45" s="289">
        <f>IF(B45="","",$B$5+IF($B$7=0,0,H45/$B$7))</f>
        <v/>
      </c>
    </row>
    <row r="46">
      <c r="A46" s="288">
        <f>IF(B46="","",A45+1)</f>
        <v/>
      </c>
      <c r="B46" s="288">
        <f>IF(ROW()-15&lt;=$B$11,INDEX(Routing!$A:$A,ROW()-14),"")</f>
        <v/>
      </c>
      <c r="C46" s="289">
        <f>IF(B46="","",INDEX(Routing!$M:$M,ROW()-14))</f>
        <v/>
      </c>
      <c r="D46" s="289">
        <f>IF(B46="","",H45)</f>
        <v/>
      </c>
      <c r="E46" s="289">
        <f>IF(B46="","",$B$5+IF($B$7=0,0,D46/$B$7))</f>
        <v/>
      </c>
      <c r="F46" s="289">
        <f>IF(B46="","",IF(E46&lt;=J6,K6,IF(E46&gt;=J11,K11,INDEX(K6:K11,MATCH(E46,J6:J11,1))+(E46-INDEX(J6:J11,MATCH(E46,J6:J11,1)))*(INDEX(K6:K11,MATCH(E46,J6:J11,1)+1)-INDEX(K6:K11,MATCH(E46,J6:J11,1)))/(INDEX(J6:J11,MATCH(E46,J6:J11,1)+1)-INDEX(J6:J11,MATCH(E46,J6:J11,1))))))</f>
        <v/>
      </c>
      <c r="G46" s="289">
        <f>IF(B46="","",(C46-F46)*$B$10)</f>
        <v/>
      </c>
      <c r="H46" s="289">
        <f>IF(B46="","",MAX(0,D46+G46))</f>
        <v/>
      </c>
      <c r="I46" s="289">
        <f>IF(B46="","",$B$5+IF($B$7=0,0,H46/$B$7))</f>
        <v/>
      </c>
    </row>
    <row r="47">
      <c r="A47" s="288">
        <f>IF(B47="","",A46+1)</f>
        <v/>
      </c>
      <c r="B47" s="288">
        <f>IF(ROW()-15&lt;=$B$11,INDEX(Routing!$A:$A,ROW()-14),"")</f>
        <v/>
      </c>
      <c r="C47" s="289">
        <f>IF(B47="","",INDEX(Routing!$M:$M,ROW()-14))</f>
        <v/>
      </c>
      <c r="D47" s="289">
        <f>IF(B47="","",H46)</f>
        <v/>
      </c>
      <c r="E47" s="289">
        <f>IF(B47="","",$B$5+IF($B$7=0,0,D47/$B$7))</f>
        <v/>
      </c>
      <c r="F47" s="289">
        <f>IF(B47="","",IF(E47&lt;=J6,K6,IF(E47&gt;=J11,K11,INDEX(K6:K11,MATCH(E47,J6:J11,1))+(E47-INDEX(J6:J11,MATCH(E47,J6:J11,1)))*(INDEX(K6:K11,MATCH(E47,J6:J11,1)+1)-INDEX(K6:K11,MATCH(E47,J6:J11,1)))/(INDEX(J6:J11,MATCH(E47,J6:J11,1)+1)-INDEX(J6:J11,MATCH(E47,J6:J11,1))))))</f>
        <v/>
      </c>
      <c r="G47" s="289">
        <f>IF(B47="","",(C47-F47)*$B$10)</f>
        <v/>
      </c>
      <c r="H47" s="289">
        <f>IF(B47="","",MAX(0,D47+G47))</f>
        <v/>
      </c>
      <c r="I47" s="289">
        <f>IF(B47="","",$B$5+IF($B$7=0,0,H47/$B$7))</f>
        <v/>
      </c>
    </row>
    <row r="48">
      <c r="A48" s="288">
        <f>IF(B48="","",A47+1)</f>
        <v/>
      </c>
      <c r="B48" s="288">
        <f>IF(ROW()-15&lt;=$B$11,INDEX(Routing!$A:$A,ROW()-14),"")</f>
        <v/>
      </c>
      <c r="C48" s="289">
        <f>IF(B48="","",INDEX(Routing!$M:$M,ROW()-14))</f>
        <v/>
      </c>
      <c r="D48" s="289">
        <f>IF(B48="","",H47)</f>
        <v/>
      </c>
      <c r="E48" s="289">
        <f>IF(B48="","",$B$5+IF($B$7=0,0,D48/$B$7))</f>
        <v/>
      </c>
      <c r="F48" s="289">
        <f>IF(B48="","",IF(E48&lt;=J6,K6,IF(E48&gt;=J11,K11,INDEX(K6:K11,MATCH(E48,J6:J11,1))+(E48-INDEX(J6:J11,MATCH(E48,J6:J11,1)))*(INDEX(K6:K11,MATCH(E48,J6:J11,1)+1)-INDEX(K6:K11,MATCH(E48,J6:J11,1)))/(INDEX(J6:J11,MATCH(E48,J6:J11,1)+1)-INDEX(J6:J11,MATCH(E48,J6:J11,1))))))</f>
        <v/>
      </c>
      <c r="G48" s="289">
        <f>IF(B48="","",(C48-F48)*$B$10)</f>
        <v/>
      </c>
      <c r="H48" s="289">
        <f>IF(B48="","",MAX(0,D48+G48))</f>
        <v/>
      </c>
      <c r="I48" s="289">
        <f>IF(B48="","",$B$5+IF($B$7=0,0,H48/$B$7))</f>
        <v/>
      </c>
    </row>
    <row r="49">
      <c r="A49" s="288">
        <f>IF(B49="","",A48+1)</f>
        <v/>
      </c>
      <c r="B49" s="288">
        <f>IF(ROW()-15&lt;=$B$11,INDEX(Routing!$A:$A,ROW()-14),"")</f>
        <v/>
      </c>
      <c r="C49" s="289">
        <f>IF(B49="","",INDEX(Routing!$M:$M,ROW()-14))</f>
        <v/>
      </c>
      <c r="D49" s="289">
        <f>IF(B49="","",H48)</f>
        <v/>
      </c>
      <c r="E49" s="289">
        <f>IF(B49="","",$B$5+IF($B$7=0,0,D49/$B$7))</f>
        <v/>
      </c>
      <c r="F49" s="289">
        <f>IF(B49="","",IF(E49&lt;=J6,K6,IF(E49&gt;=J11,K11,INDEX(K6:K11,MATCH(E49,J6:J11,1))+(E49-INDEX(J6:J11,MATCH(E49,J6:J11,1)))*(INDEX(K6:K11,MATCH(E49,J6:J11,1)+1)-INDEX(K6:K11,MATCH(E49,J6:J11,1)))/(INDEX(J6:J11,MATCH(E49,J6:J11,1)+1)-INDEX(J6:J11,MATCH(E49,J6:J11,1))))))</f>
        <v/>
      </c>
      <c r="G49" s="289">
        <f>IF(B49="","",(C49-F49)*$B$10)</f>
        <v/>
      </c>
      <c r="H49" s="289">
        <f>IF(B49="","",MAX(0,D49+G49))</f>
        <v/>
      </c>
      <c r="I49" s="289">
        <f>IF(B49="","",$B$5+IF($B$7=0,0,H49/$B$7))</f>
        <v/>
      </c>
    </row>
    <row r="50">
      <c r="A50" s="288">
        <f>IF(B50="","",A49+1)</f>
        <v/>
      </c>
      <c r="B50" s="288">
        <f>IF(ROW()-15&lt;=$B$11,INDEX(Routing!$A:$A,ROW()-14),"")</f>
        <v/>
      </c>
      <c r="C50" s="289">
        <f>IF(B50="","",INDEX(Routing!$M:$M,ROW()-14))</f>
        <v/>
      </c>
      <c r="D50" s="289">
        <f>IF(B50="","",H49)</f>
        <v/>
      </c>
      <c r="E50" s="289">
        <f>IF(B50="","",$B$5+IF($B$7=0,0,D50/$B$7))</f>
        <v/>
      </c>
      <c r="F50" s="289">
        <f>IF(B50="","",IF(E50&lt;=J6,K6,IF(E50&gt;=J11,K11,INDEX(K6:K11,MATCH(E50,J6:J11,1))+(E50-INDEX(J6:J11,MATCH(E50,J6:J11,1)))*(INDEX(K6:K11,MATCH(E50,J6:J11,1)+1)-INDEX(K6:K11,MATCH(E50,J6:J11,1)))/(INDEX(J6:J11,MATCH(E50,J6:J11,1)+1)-INDEX(J6:J11,MATCH(E50,J6:J11,1))))))</f>
        <v/>
      </c>
      <c r="G50" s="289">
        <f>IF(B50="","",(C50-F50)*$B$10)</f>
        <v/>
      </c>
      <c r="H50" s="289">
        <f>IF(B50="","",MAX(0,D50+G50))</f>
        <v/>
      </c>
      <c r="I50" s="289">
        <f>IF(B50="","",$B$5+IF($B$7=0,0,H50/$B$7))</f>
        <v/>
      </c>
    </row>
    <row r="51">
      <c r="A51" s="288">
        <f>IF(B51="","",A50+1)</f>
        <v/>
      </c>
      <c r="B51" s="288">
        <f>IF(ROW()-15&lt;=$B$11,INDEX(Routing!$A:$A,ROW()-14),"")</f>
        <v/>
      </c>
      <c r="C51" s="289">
        <f>IF(B51="","",INDEX(Routing!$M:$M,ROW()-14))</f>
        <v/>
      </c>
      <c r="D51" s="289">
        <f>IF(B51="","",H50)</f>
        <v/>
      </c>
      <c r="E51" s="289">
        <f>IF(B51="","",$B$5+IF($B$7=0,0,D51/$B$7))</f>
        <v/>
      </c>
      <c r="F51" s="289">
        <f>IF(B51="","",IF(E51&lt;=J6,K6,IF(E51&gt;=J11,K11,INDEX(K6:K11,MATCH(E51,J6:J11,1))+(E51-INDEX(J6:J11,MATCH(E51,J6:J11,1)))*(INDEX(K6:K11,MATCH(E51,J6:J11,1)+1)-INDEX(K6:K11,MATCH(E51,J6:J11,1)))/(INDEX(J6:J11,MATCH(E51,J6:J11,1)+1)-INDEX(J6:J11,MATCH(E51,J6:J11,1))))))</f>
        <v/>
      </c>
      <c r="G51" s="289">
        <f>IF(B51="","",(C51-F51)*$B$10)</f>
        <v/>
      </c>
      <c r="H51" s="289">
        <f>IF(B51="","",MAX(0,D51+G51))</f>
        <v/>
      </c>
      <c r="I51" s="289">
        <f>IF(B51="","",$B$5+IF($B$7=0,0,H51/$B$7))</f>
        <v/>
      </c>
    </row>
    <row r="52">
      <c r="A52" s="288">
        <f>IF(B52="","",A51+1)</f>
        <v/>
      </c>
      <c r="B52" s="288">
        <f>IF(ROW()-15&lt;=$B$11,INDEX(Routing!$A:$A,ROW()-14),"")</f>
        <v/>
      </c>
      <c r="C52" s="289">
        <f>IF(B52="","",INDEX(Routing!$M:$M,ROW()-14))</f>
        <v/>
      </c>
      <c r="D52" s="289">
        <f>IF(B52="","",H51)</f>
        <v/>
      </c>
      <c r="E52" s="289">
        <f>IF(B52="","",$B$5+IF($B$7=0,0,D52/$B$7))</f>
        <v/>
      </c>
      <c r="F52" s="289">
        <f>IF(B52="","",IF(E52&lt;=J6,K6,IF(E52&gt;=J11,K11,INDEX(K6:K11,MATCH(E52,J6:J11,1))+(E52-INDEX(J6:J11,MATCH(E52,J6:J11,1)))*(INDEX(K6:K11,MATCH(E52,J6:J11,1)+1)-INDEX(K6:K11,MATCH(E52,J6:J11,1)))/(INDEX(J6:J11,MATCH(E52,J6:J11,1)+1)-INDEX(J6:J11,MATCH(E52,J6:J11,1))))))</f>
        <v/>
      </c>
      <c r="G52" s="289">
        <f>IF(B52="","",(C52-F52)*$B$10)</f>
        <v/>
      </c>
      <c r="H52" s="289">
        <f>IF(B52="","",MAX(0,D52+G52))</f>
        <v/>
      </c>
      <c r="I52" s="289">
        <f>IF(B52="","",$B$5+IF($B$7=0,0,H52/$B$7))</f>
        <v/>
      </c>
    </row>
    <row r="53">
      <c r="A53" s="288">
        <f>IF(B53="","",A52+1)</f>
        <v/>
      </c>
      <c r="B53" s="288">
        <f>IF(ROW()-15&lt;=$B$11,INDEX(Routing!$A:$A,ROW()-14),"")</f>
        <v/>
      </c>
      <c r="C53" s="289">
        <f>IF(B53="","",INDEX(Routing!$M:$M,ROW()-14))</f>
        <v/>
      </c>
      <c r="D53" s="289">
        <f>IF(B53="","",H52)</f>
        <v/>
      </c>
      <c r="E53" s="289">
        <f>IF(B53="","",$B$5+IF($B$7=0,0,D53/$B$7))</f>
        <v/>
      </c>
      <c r="F53" s="289">
        <f>IF(B53="","",IF(E53&lt;=J6,K6,IF(E53&gt;=J11,K11,INDEX(K6:K11,MATCH(E53,J6:J11,1))+(E53-INDEX(J6:J11,MATCH(E53,J6:J11,1)))*(INDEX(K6:K11,MATCH(E53,J6:J11,1)+1)-INDEX(K6:K11,MATCH(E53,J6:J11,1)))/(INDEX(J6:J11,MATCH(E53,J6:J11,1)+1)-INDEX(J6:J11,MATCH(E53,J6:J11,1))))))</f>
        <v/>
      </c>
      <c r="G53" s="289">
        <f>IF(B53="","",(C53-F53)*$B$10)</f>
        <v/>
      </c>
      <c r="H53" s="289">
        <f>IF(B53="","",MAX(0,D53+G53))</f>
        <v/>
      </c>
      <c r="I53" s="289">
        <f>IF(B53="","",$B$5+IF($B$7=0,0,H53/$B$7))</f>
        <v/>
      </c>
    </row>
    <row r="54">
      <c r="A54" s="288">
        <f>IF(B54="","",A53+1)</f>
        <v/>
      </c>
      <c r="B54" s="288">
        <f>IF(ROW()-15&lt;=$B$11,INDEX(Routing!$A:$A,ROW()-14),"")</f>
        <v/>
      </c>
      <c r="C54" s="289">
        <f>IF(B54="","",INDEX(Routing!$M:$M,ROW()-14))</f>
        <v/>
      </c>
      <c r="D54" s="289">
        <f>IF(B54="","",H53)</f>
        <v/>
      </c>
      <c r="E54" s="289">
        <f>IF(B54="","",$B$5+IF($B$7=0,0,D54/$B$7))</f>
        <v/>
      </c>
      <c r="F54" s="289">
        <f>IF(B54="","",IF(E54&lt;=J6,K6,IF(E54&gt;=J11,K11,INDEX(K6:K11,MATCH(E54,J6:J11,1))+(E54-INDEX(J6:J11,MATCH(E54,J6:J11,1)))*(INDEX(K6:K11,MATCH(E54,J6:J11,1)+1)-INDEX(K6:K11,MATCH(E54,J6:J11,1)))/(INDEX(J6:J11,MATCH(E54,J6:J11,1)+1)-INDEX(J6:J11,MATCH(E54,J6:J11,1))))))</f>
        <v/>
      </c>
      <c r="G54" s="289">
        <f>IF(B54="","",(C54-F54)*$B$10)</f>
        <v/>
      </c>
      <c r="H54" s="289">
        <f>IF(B54="","",MAX(0,D54+G54))</f>
        <v/>
      </c>
      <c r="I54" s="289">
        <f>IF(B54="","",$B$5+IF($B$7=0,0,H54/$B$7))</f>
        <v/>
      </c>
    </row>
    <row r="55">
      <c r="A55" s="288">
        <f>IF(B55="","",A54+1)</f>
        <v/>
      </c>
      <c r="B55" s="288">
        <f>IF(ROW()-15&lt;=$B$11,INDEX(Routing!$A:$A,ROW()-14),"")</f>
        <v/>
      </c>
      <c r="C55" s="289">
        <f>IF(B55="","",INDEX(Routing!$M:$M,ROW()-14))</f>
        <v/>
      </c>
      <c r="D55" s="289">
        <f>IF(B55="","",H54)</f>
        <v/>
      </c>
      <c r="E55" s="289">
        <f>IF(B55="","",$B$5+IF($B$7=0,0,D55/$B$7))</f>
        <v/>
      </c>
      <c r="F55" s="289">
        <f>IF(B55="","",IF(E55&lt;=J6,K6,IF(E55&gt;=J11,K11,INDEX(K6:K11,MATCH(E55,J6:J11,1))+(E55-INDEX(J6:J11,MATCH(E55,J6:J11,1)))*(INDEX(K6:K11,MATCH(E55,J6:J11,1)+1)-INDEX(K6:K11,MATCH(E55,J6:J11,1)))/(INDEX(J6:J11,MATCH(E55,J6:J11,1)+1)-INDEX(J6:J11,MATCH(E55,J6:J11,1))))))</f>
        <v/>
      </c>
      <c r="G55" s="289">
        <f>IF(B55="","",(C55-F55)*$B$10)</f>
        <v/>
      </c>
      <c r="H55" s="289">
        <f>IF(B55="","",MAX(0,D55+G55))</f>
        <v/>
      </c>
      <c r="I55" s="289">
        <f>IF(B55="","",$B$5+IF($B$7=0,0,H55/$B$7))</f>
        <v/>
      </c>
    </row>
    <row r="56">
      <c r="A56" s="288">
        <f>IF(B56="","",A55+1)</f>
        <v/>
      </c>
      <c r="B56" s="288">
        <f>IF(ROW()-15&lt;=$B$11,INDEX(Routing!$A:$A,ROW()-14),"")</f>
        <v/>
      </c>
      <c r="C56" s="289">
        <f>IF(B56="","",INDEX(Routing!$M:$M,ROW()-14))</f>
        <v/>
      </c>
      <c r="D56" s="289">
        <f>IF(B56="","",H55)</f>
        <v/>
      </c>
      <c r="E56" s="289">
        <f>IF(B56="","",$B$5+IF($B$7=0,0,D56/$B$7))</f>
        <v/>
      </c>
      <c r="F56" s="289">
        <f>IF(B56="","",IF(E56&lt;=J6,K6,IF(E56&gt;=J11,K11,INDEX(K6:K11,MATCH(E56,J6:J11,1))+(E56-INDEX(J6:J11,MATCH(E56,J6:J11,1)))*(INDEX(K6:K11,MATCH(E56,J6:J11,1)+1)-INDEX(K6:K11,MATCH(E56,J6:J11,1)))/(INDEX(J6:J11,MATCH(E56,J6:J11,1)+1)-INDEX(J6:J11,MATCH(E56,J6:J11,1))))))</f>
        <v/>
      </c>
      <c r="G56" s="289">
        <f>IF(B56="","",(C56-F56)*$B$10)</f>
        <v/>
      </c>
      <c r="H56" s="289">
        <f>IF(B56="","",MAX(0,D56+G56))</f>
        <v/>
      </c>
      <c r="I56" s="289">
        <f>IF(B56="","",$B$5+IF($B$7=0,0,H56/$B$7))</f>
        <v/>
      </c>
    </row>
    <row r="57">
      <c r="A57" s="288">
        <f>IF(B57="","",A56+1)</f>
        <v/>
      </c>
      <c r="B57" s="288">
        <f>IF(ROW()-15&lt;=$B$11,INDEX(Routing!$A:$A,ROW()-14),"")</f>
        <v/>
      </c>
      <c r="C57" s="289">
        <f>IF(B57="","",INDEX(Routing!$M:$M,ROW()-14))</f>
        <v/>
      </c>
      <c r="D57" s="289">
        <f>IF(B57="","",H56)</f>
        <v/>
      </c>
      <c r="E57" s="289">
        <f>IF(B57="","",$B$5+IF($B$7=0,0,D57/$B$7))</f>
        <v/>
      </c>
      <c r="F57" s="289">
        <f>IF(B57="","",IF(E57&lt;=J6,K6,IF(E57&gt;=J11,K11,INDEX(K6:K11,MATCH(E57,J6:J11,1))+(E57-INDEX(J6:J11,MATCH(E57,J6:J11,1)))*(INDEX(K6:K11,MATCH(E57,J6:J11,1)+1)-INDEX(K6:K11,MATCH(E57,J6:J11,1)))/(INDEX(J6:J11,MATCH(E57,J6:J11,1)+1)-INDEX(J6:J11,MATCH(E57,J6:J11,1))))))</f>
        <v/>
      </c>
      <c r="G57" s="289">
        <f>IF(B57="","",(C57-F57)*$B$10)</f>
        <v/>
      </c>
      <c r="H57" s="289">
        <f>IF(B57="","",MAX(0,D57+G57))</f>
        <v/>
      </c>
      <c r="I57" s="289">
        <f>IF(B57="","",$B$5+IF($B$7=0,0,H57/$B$7))</f>
        <v/>
      </c>
    </row>
    <row r="58">
      <c r="A58" s="288">
        <f>IF(B58="","",A57+1)</f>
        <v/>
      </c>
      <c r="B58" s="288">
        <f>IF(ROW()-15&lt;=$B$11,INDEX(Routing!$A:$A,ROW()-14),"")</f>
        <v/>
      </c>
      <c r="C58" s="289">
        <f>IF(B58="","",INDEX(Routing!$M:$M,ROW()-14))</f>
        <v/>
      </c>
      <c r="D58" s="289">
        <f>IF(B58="","",H57)</f>
        <v/>
      </c>
      <c r="E58" s="289">
        <f>IF(B58="","",$B$5+IF($B$7=0,0,D58/$B$7))</f>
        <v/>
      </c>
      <c r="F58" s="289">
        <f>IF(B58="","",IF(E58&lt;=J6,K6,IF(E58&gt;=J11,K11,INDEX(K6:K11,MATCH(E58,J6:J11,1))+(E58-INDEX(J6:J11,MATCH(E58,J6:J11,1)))*(INDEX(K6:K11,MATCH(E58,J6:J11,1)+1)-INDEX(K6:K11,MATCH(E58,J6:J11,1)))/(INDEX(J6:J11,MATCH(E58,J6:J11,1)+1)-INDEX(J6:J11,MATCH(E58,J6:J11,1))))))</f>
        <v/>
      </c>
      <c r="G58" s="289">
        <f>IF(B58="","",(C58-F58)*$B$10)</f>
        <v/>
      </c>
      <c r="H58" s="289">
        <f>IF(B58="","",MAX(0,D58+G58))</f>
        <v/>
      </c>
      <c r="I58" s="289">
        <f>IF(B58="","",$B$5+IF($B$7=0,0,H58/$B$7))</f>
        <v/>
      </c>
    </row>
    <row r="59">
      <c r="A59" s="288">
        <f>IF(B59="","",A58+1)</f>
        <v/>
      </c>
      <c r="B59" s="288">
        <f>IF(ROW()-15&lt;=$B$11,INDEX(Routing!$A:$A,ROW()-14),"")</f>
        <v/>
      </c>
      <c r="C59" s="289">
        <f>IF(B59="","",INDEX(Routing!$M:$M,ROW()-14))</f>
        <v/>
      </c>
      <c r="D59" s="289">
        <f>IF(B59="","",H58)</f>
        <v/>
      </c>
      <c r="E59" s="289">
        <f>IF(B59="","",$B$5+IF($B$7=0,0,D59/$B$7))</f>
        <v/>
      </c>
      <c r="F59" s="289">
        <f>IF(B59="","",IF(E59&lt;=J6,K6,IF(E59&gt;=J11,K11,INDEX(K6:K11,MATCH(E59,J6:J11,1))+(E59-INDEX(J6:J11,MATCH(E59,J6:J11,1)))*(INDEX(K6:K11,MATCH(E59,J6:J11,1)+1)-INDEX(K6:K11,MATCH(E59,J6:J11,1)))/(INDEX(J6:J11,MATCH(E59,J6:J11,1)+1)-INDEX(J6:J11,MATCH(E59,J6:J11,1))))))</f>
        <v/>
      </c>
      <c r="G59" s="289">
        <f>IF(B59="","",(C59-F59)*$B$10)</f>
        <v/>
      </c>
      <c r="H59" s="289">
        <f>IF(B59="","",MAX(0,D59+G59))</f>
        <v/>
      </c>
      <c r="I59" s="289">
        <f>IF(B59="","",$B$5+IF($B$7=0,0,H59/$B$7))</f>
        <v/>
      </c>
    </row>
    <row r="60">
      <c r="A60" s="288">
        <f>IF(B60="","",A59+1)</f>
        <v/>
      </c>
      <c r="B60" s="288">
        <f>IF(ROW()-15&lt;=$B$11,INDEX(Routing!$A:$A,ROW()-14),"")</f>
        <v/>
      </c>
      <c r="C60" s="289">
        <f>IF(B60="","",INDEX(Routing!$M:$M,ROW()-14))</f>
        <v/>
      </c>
      <c r="D60" s="289">
        <f>IF(B60="","",H59)</f>
        <v/>
      </c>
      <c r="E60" s="289">
        <f>IF(B60="","",$B$5+IF($B$7=0,0,D60/$B$7))</f>
        <v/>
      </c>
      <c r="F60" s="289">
        <f>IF(B60="","",IF(E60&lt;=J6,K6,IF(E60&gt;=J11,K11,INDEX(K6:K11,MATCH(E60,J6:J11,1))+(E60-INDEX(J6:J11,MATCH(E60,J6:J11,1)))*(INDEX(K6:K11,MATCH(E60,J6:J11,1)+1)-INDEX(K6:K11,MATCH(E60,J6:J11,1)))/(INDEX(J6:J11,MATCH(E60,J6:J11,1)+1)-INDEX(J6:J11,MATCH(E60,J6:J11,1))))))</f>
        <v/>
      </c>
      <c r="G60" s="289">
        <f>IF(B60="","",(C60-F60)*$B$10)</f>
        <v/>
      </c>
      <c r="H60" s="289">
        <f>IF(B60="","",MAX(0,D60+G60))</f>
        <v/>
      </c>
      <c r="I60" s="289">
        <f>IF(B60="","",$B$5+IF($B$7=0,0,H60/$B$7))</f>
        <v/>
      </c>
    </row>
    <row r="61">
      <c r="A61" s="288">
        <f>IF(B61="","",A60+1)</f>
        <v/>
      </c>
      <c r="B61" s="288">
        <f>IF(ROW()-15&lt;=$B$11,INDEX(Routing!$A:$A,ROW()-14),"")</f>
        <v/>
      </c>
      <c r="C61" s="289">
        <f>IF(B61="","",INDEX(Routing!$M:$M,ROW()-14))</f>
        <v/>
      </c>
      <c r="D61" s="289">
        <f>IF(B61="","",H60)</f>
        <v/>
      </c>
      <c r="E61" s="289">
        <f>IF(B61="","",$B$5+IF($B$7=0,0,D61/$B$7))</f>
        <v/>
      </c>
      <c r="F61" s="289">
        <f>IF(B61="","",IF(E61&lt;=J6,K6,IF(E61&gt;=J11,K11,INDEX(K6:K11,MATCH(E61,J6:J11,1))+(E61-INDEX(J6:J11,MATCH(E61,J6:J11,1)))*(INDEX(K6:K11,MATCH(E61,J6:J11,1)+1)-INDEX(K6:K11,MATCH(E61,J6:J11,1)))/(INDEX(J6:J11,MATCH(E61,J6:J11,1)+1)-INDEX(J6:J11,MATCH(E61,J6:J11,1))))))</f>
        <v/>
      </c>
      <c r="G61" s="289">
        <f>IF(B61="","",(C61-F61)*$B$10)</f>
        <v/>
      </c>
      <c r="H61" s="289">
        <f>IF(B61="","",MAX(0,D61+G61))</f>
        <v/>
      </c>
      <c r="I61" s="289">
        <f>IF(B61="","",$B$5+IF($B$7=0,0,H61/$B$7))</f>
        <v/>
      </c>
    </row>
    <row r="62">
      <c r="A62" s="288">
        <f>IF(B62="","",A61+1)</f>
        <v/>
      </c>
      <c r="B62" s="288">
        <f>IF(ROW()-15&lt;=$B$11,INDEX(Routing!$A:$A,ROW()-14),"")</f>
        <v/>
      </c>
      <c r="C62" s="289">
        <f>IF(B62="","",INDEX(Routing!$M:$M,ROW()-14))</f>
        <v/>
      </c>
      <c r="D62" s="289">
        <f>IF(B62="","",H61)</f>
        <v/>
      </c>
      <c r="E62" s="289">
        <f>IF(B62="","",$B$5+IF($B$7=0,0,D62/$B$7))</f>
        <v/>
      </c>
      <c r="F62" s="289">
        <f>IF(B62="","",IF(E62&lt;=J6,K6,IF(E62&gt;=J11,K11,INDEX(K6:K11,MATCH(E62,J6:J11,1))+(E62-INDEX(J6:J11,MATCH(E62,J6:J11,1)))*(INDEX(K6:K11,MATCH(E62,J6:J11,1)+1)-INDEX(K6:K11,MATCH(E62,J6:J11,1)))/(INDEX(J6:J11,MATCH(E62,J6:J11,1)+1)-INDEX(J6:J11,MATCH(E62,J6:J11,1))))))</f>
        <v/>
      </c>
      <c r="G62" s="289">
        <f>IF(B62="","",(C62-F62)*$B$10)</f>
        <v/>
      </c>
      <c r="H62" s="289">
        <f>IF(B62="","",MAX(0,D62+G62))</f>
        <v/>
      </c>
      <c r="I62" s="289">
        <f>IF(B62="","",$B$5+IF($B$7=0,0,H62/$B$7))</f>
        <v/>
      </c>
    </row>
    <row r="63">
      <c r="A63" s="288">
        <f>IF(B63="","",A62+1)</f>
        <v/>
      </c>
      <c r="B63" s="288">
        <f>IF(ROW()-15&lt;=$B$11,INDEX(Routing!$A:$A,ROW()-14),"")</f>
        <v/>
      </c>
      <c r="C63" s="289">
        <f>IF(B63="","",INDEX(Routing!$M:$M,ROW()-14))</f>
        <v/>
      </c>
      <c r="D63" s="289">
        <f>IF(B63="","",H62)</f>
        <v/>
      </c>
      <c r="E63" s="289">
        <f>IF(B63="","",$B$5+IF($B$7=0,0,D63/$B$7))</f>
        <v/>
      </c>
      <c r="F63" s="289">
        <f>IF(B63="","",IF(E63&lt;=J6,K6,IF(E63&gt;=J11,K11,INDEX(K6:K11,MATCH(E63,J6:J11,1))+(E63-INDEX(J6:J11,MATCH(E63,J6:J11,1)))*(INDEX(K6:K11,MATCH(E63,J6:J11,1)+1)-INDEX(K6:K11,MATCH(E63,J6:J11,1)))/(INDEX(J6:J11,MATCH(E63,J6:J11,1)+1)-INDEX(J6:J11,MATCH(E63,J6:J11,1))))))</f>
        <v/>
      </c>
      <c r="G63" s="289">
        <f>IF(B63="","",(C63-F63)*$B$10)</f>
        <v/>
      </c>
      <c r="H63" s="289">
        <f>IF(B63="","",MAX(0,D63+G63))</f>
        <v/>
      </c>
      <c r="I63" s="289">
        <f>IF(B63="","",$B$5+IF($B$7=0,0,H63/$B$7))</f>
        <v/>
      </c>
    </row>
    <row r="64">
      <c r="A64" s="288">
        <f>IF(B64="","",A63+1)</f>
        <v/>
      </c>
      <c r="B64" s="288">
        <f>IF(ROW()-15&lt;=$B$11,INDEX(Routing!$A:$A,ROW()-14),"")</f>
        <v/>
      </c>
      <c r="C64" s="289">
        <f>IF(B64="","",INDEX(Routing!$M:$M,ROW()-14))</f>
        <v/>
      </c>
      <c r="D64" s="289">
        <f>IF(B64="","",H63)</f>
        <v/>
      </c>
      <c r="E64" s="289">
        <f>IF(B64="","",$B$5+IF($B$7=0,0,D64/$B$7))</f>
        <v/>
      </c>
      <c r="F64" s="289">
        <f>IF(B64="","",IF(E64&lt;=J6,K6,IF(E64&gt;=J11,K11,INDEX(K6:K11,MATCH(E64,J6:J11,1))+(E64-INDEX(J6:J11,MATCH(E64,J6:J11,1)))*(INDEX(K6:K11,MATCH(E64,J6:J11,1)+1)-INDEX(K6:K11,MATCH(E64,J6:J11,1)))/(INDEX(J6:J11,MATCH(E64,J6:J11,1)+1)-INDEX(J6:J11,MATCH(E64,J6:J11,1))))))</f>
        <v/>
      </c>
      <c r="G64" s="289">
        <f>IF(B64="","",(C64-F64)*$B$10)</f>
        <v/>
      </c>
      <c r="H64" s="289">
        <f>IF(B64="","",MAX(0,D64+G64))</f>
        <v/>
      </c>
      <c r="I64" s="289">
        <f>IF(B64="","",$B$5+IF($B$7=0,0,H64/$B$7))</f>
        <v/>
      </c>
    </row>
    <row r="65">
      <c r="A65" s="288">
        <f>IF(B65="","",A64+1)</f>
        <v/>
      </c>
      <c r="B65" s="288">
        <f>IF(ROW()-15&lt;=$B$11,INDEX(Routing!$A:$A,ROW()-14),"")</f>
        <v/>
      </c>
      <c r="C65" s="289">
        <f>IF(B65="","",INDEX(Routing!$M:$M,ROW()-14))</f>
        <v/>
      </c>
      <c r="D65" s="289">
        <f>IF(B65="","",H64)</f>
        <v/>
      </c>
      <c r="E65" s="289">
        <f>IF(B65="","",$B$5+IF($B$7=0,0,D65/$B$7))</f>
        <v/>
      </c>
      <c r="F65" s="289">
        <f>IF(B65="","",IF(E65&lt;=J6,K6,IF(E65&gt;=J11,K11,INDEX(K6:K11,MATCH(E65,J6:J11,1))+(E65-INDEX(J6:J11,MATCH(E65,J6:J11,1)))*(INDEX(K6:K11,MATCH(E65,J6:J11,1)+1)-INDEX(K6:K11,MATCH(E65,J6:J11,1)))/(INDEX(J6:J11,MATCH(E65,J6:J11,1)+1)-INDEX(J6:J11,MATCH(E65,J6:J11,1))))))</f>
        <v/>
      </c>
      <c r="G65" s="289">
        <f>IF(B65="","",(C65-F65)*$B$10)</f>
        <v/>
      </c>
      <c r="H65" s="289">
        <f>IF(B65="","",MAX(0,D65+G65))</f>
        <v/>
      </c>
      <c r="I65" s="289">
        <f>IF(B65="","",$B$5+IF($B$7=0,0,H65/$B$7))</f>
        <v/>
      </c>
    </row>
    <row r="66">
      <c r="A66" s="288">
        <f>IF(B66="","",A65+1)</f>
        <v/>
      </c>
      <c r="B66" s="288">
        <f>IF(ROW()-15&lt;=$B$11,INDEX(Routing!$A:$A,ROW()-14),"")</f>
        <v/>
      </c>
      <c r="C66" s="289">
        <f>IF(B66="","",INDEX(Routing!$M:$M,ROW()-14))</f>
        <v/>
      </c>
      <c r="D66" s="289">
        <f>IF(B66="","",H65)</f>
        <v/>
      </c>
      <c r="E66" s="289">
        <f>IF(B66="","",$B$5+IF($B$7=0,0,D66/$B$7))</f>
        <v/>
      </c>
      <c r="F66" s="289">
        <f>IF(B66="","",IF(E66&lt;=J6,K6,IF(E66&gt;=J11,K11,INDEX(K6:K11,MATCH(E66,J6:J11,1))+(E66-INDEX(J6:J11,MATCH(E66,J6:J11,1)))*(INDEX(K6:K11,MATCH(E66,J6:J11,1)+1)-INDEX(K6:K11,MATCH(E66,J6:J11,1)))/(INDEX(J6:J11,MATCH(E66,J6:J11,1)+1)-INDEX(J6:J11,MATCH(E66,J6:J11,1))))))</f>
        <v/>
      </c>
      <c r="G66" s="289">
        <f>IF(B66="","",(C66-F66)*$B$10)</f>
        <v/>
      </c>
      <c r="H66" s="289">
        <f>IF(B66="","",MAX(0,D66+G66))</f>
        <v/>
      </c>
      <c r="I66" s="289">
        <f>IF(B66="","",$B$5+IF($B$7=0,0,H66/$B$7))</f>
        <v/>
      </c>
    </row>
    <row r="67">
      <c r="A67" s="288">
        <f>IF(B67="","",A66+1)</f>
        <v/>
      </c>
      <c r="B67" s="288">
        <f>IF(ROW()-15&lt;=$B$11,INDEX(Routing!$A:$A,ROW()-14),"")</f>
        <v/>
      </c>
      <c r="C67" s="289">
        <f>IF(B67="","",INDEX(Routing!$M:$M,ROW()-14))</f>
        <v/>
      </c>
      <c r="D67" s="289">
        <f>IF(B67="","",H66)</f>
        <v/>
      </c>
      <c r="E67" s="289">
        <f>IF(B67="","",$B$5+IF($B$7=0,0,D67/$B$7))</f>
        <v/>
      </c>
      <c r="F67" s="289">
        <f>IF(B67="","",IF(E67&lt;=J6,K6,IF(E67&gt;=J11,K11,INDEX(K6:K11,MATCH(E67,J6:J11,1))+(E67-INDEX(J6:J11,MATCH(E67,J6:J11,1)))*(INDEX(K6:K11,MATCH(E67,J6:J11,1)+1)-INDEX(K6:K11,MATCH(E67,J6:J11,1)))/(INDEX(J6:J11,MATCH(E67,J6:J11,1)+1)-INDEX(J6:J11,MATCH(E67,J6:J11,1))))))</f>
        <v/>
      </c>
      <c r="G67" s="289">
        <f>IF(B67="","",(C67-F67)*$B$10)</f>
        <v/>
      </c>
      <c r="H67" s="289">
        <f>IF(B67="","",MAX(0,D67+G67))</f>
        <v/>
      </c>
      <c r="I67" s="289">
        <f>IF(B67="","",$B$5+IF($B$7=0,0,H67/$B$7))</f>
        <v/>
      </c>
    </row>
    <row r="68">
      <c r="A68" s="288">
        <f>IF(B68="","",A67+1)</f>
        <v/>
      </c>
      <c r="B68" s="288">
        <f>IF(ROW()-15&lt;=$B$11,INDEX(Routing!$A:$A,ROW()-14),"")</f>
        <v/>
      </c>
      <c r="C68" s="289">
        <f>IF(B68="","",INDEX(Routing!$M:$M,ROW()-14))</f>
        <v/>
      </c>
      <c r="D68" s="289">
        <f>IF(B68="","",H67)</f>
        <v/>
      </c>
      <c r="E68" s="289">
        <f>IF(B68="","",$B$5+IF($B$7=0,0,D68/$B$7))</f>
        <v/>
      </c>
      <c r="F68" s="289">
        <f>IF(B68="","",IF(E68&lt;=J6,K6,IF(E68&gt;=J11,K11,INDEX(K6:K11,MATCH(E68,J6:J11,1))+(E68-INDEX(J6:J11,MATCH(E68,J6:J11,1)))*(INDEX(K6:K11,MATCH(E68,J6:J11,1)+1)-INDEX(K6:K11,MATCH(E68,J6:J11,1)))/(INDEX(J6:J11,MATCH(E68,J6:J11,1)+1)-INDEX(J6:J11,MATCH(E68,J6:J11,1))))))</f>
        <v/>
      </c>
      <c r="G68" s="289">
        <f>IF(B68="","",(C68-F68)*$B$10)</f>
        <v/>
      </c>
      <c r="H68" s="289">
        <f>IF(B68="","",MAX(0,D68+G68))</f>
        <v/>
      </c>
      <c r="I68" s="289">
        <f>IF(B68="","",$B$5+IF($B$7=0,0,H68/$B$7))</f>
        <v/>
      </c>
    </row>
    <row r="69">
      <c r="A69" s="288">
        <f>IF(B69="","",A68+1)</f>
        <v/>
      </c>
      <c r="B69" s="288">
        <f>IF(ROW()-15&lt;=$B$11,INDEX(Routing!$A:$A,ROW()-14),"")</f>
        <v/>
      </c>
      <c r="C69" s="289">
        <f>IF(B69="","",INDEX(Routing!$M:$M,ROW()-14))</f>
        <v/>
      </c>
      <c r="D69" s="289">
        <f>IF(B69="","",H68)</f>
        <v/>
      </c>
      <c r="E69" s="289">
        <f>IF(B69="","",$B$5+IF($B$7=0,0,D69/$B$7))</f>
        <v/>
      </c>
      <c r="F69" s="289">
        <f>IF(B69="","",IF(E69&lt;=J6,K6,IF(E69&gt;=J11,K11,INDEX(K6:K11,MATCH(E69,J6:J11,1))+(E69-INDEX(J6:J11,MATCH(E69,J6:J11,1)))*(INDEX(K6:K11,MATCH(E69,J6:J11,1)+1)-INDEX(K6:K11,MATCH(E69,J6:J11,1)))/(INDEX(J6:J11,MATCH(E69,J6:J11,1)+1)-INDEX(J6:J11,MATCH(E69,J6:J11,1))))))</f>
        <v/>
      </c>
      <c r="G69" s="289">
        <f>IF(B69="","",(C69-F69)*$B$10)</f>
        <v/>
      </c>
      <c r="H69" s="289">
        <f>IF(B69="","",MAX(0,D69+G69))</f>
        <v/>
      </c>
      <c r="I69" s="289">
        <f>IF(B69="","",$B$5+IF($B$7=0,0,H69/$B$7))</f>
        <v/>
      </c>
    </row>
    <row r="70">
      <c r="A70" s="288">
        <f>IF(B70="","",A69+1)</f>
        <v/>
      </c>
      <c r="B70" s="288">
        <f>IF(ROW()-15&lt;=$B$11,INDEX(Routing!$A:$A,ROW()-14),"")</f>
        <v/>
      </c>
      <c r="C70" s="289">
        <f>IF(B70="","",INDEX(Routing!$M:$M,ROW()-14))</f>
        <v/>
      </c>
      <c r="D70" s="289">
        <f>IF(B70="","",H69)</f>
        <v/>
      </c>
      <c r="E70" s="289">
        <f>IF(B70="","",$B$5+IF($B$7=0,0,D70/$B$7))</f>
        <v/>
      </c>
      <c r="F70" s="289">
        <f>IF(B70="","",IF(E70&lt;=J6,K6,IF(E70&gt;=J11,K11,INDEX(K6:K11,MATCH(E70,J6:J11,1))+(E70-INDEX(J6:J11,MATCH(E70,J6:J11,1)))*(INDEX(K6:K11,MATCH(E70,J6:J11,1)+1)-INDEX(K6:K11,MATCH(E70,J6:J11,1)))/(INDEX(J6:J11,MATCH(E70,J6:J11,1)+1)-INDEX(J6:J11,MATCH(E70,J6:J11,1))))))</f>
        <v/>
      </c>
      <c r="G70" s="289">
        <f>IF(B70="","",(C70-F70)*$B$10)</f>
        <v/>
      </c>
      <c r="H70" s="289">
        <f>IF(B70="","",MAX(0,D70+G70))</f>
        <v/>
      </c>
      <c r="I70" s="289">
        <f>IF(B70="","",$B$5+IF($B$7=0,0,H70/$B$7))</f>
        <v/>
      </c>
    </row>
    <row r="71">
      <c r="A71" s="288">
        <f>IF(B71="","",A70+1)</f>
        <v/>
      </c>
      <c r="B71" s="288">
        <f>IF(ROW()-15&lt;=$B$11,INDEX(Routing!$A:$A,ROW()-14),"")</f>
        <v/>
      </c>
      <c r="C71" s="289">
        <f>IF(B71="","",INDEX(Routing!$M:$M,ROW()-14))</f>
        <v/>
      </c>
      <c r="D71" s="289">
        <f>IF(B71="","",H70)</f>
        <v/>
      </c>
      <c r="E71" s="289">
        <f>IF(B71="","",$B$5+IF($B$7=0,0,D71/$B$7))</f>
        <v/>
      </c>
      <c r="F71" s="289">
        <f>IF(B71="","",IF(E71&lt;=J6,K6,IF(E71&gt;=J11,K11,INDEX(K6:K11,MATCH(E71,J6:J11,1))+(E71-INDEX(J6:J11,MATCH(E71,J6:J11,1)))*(INDEX(K6:K11,MATCH(E71,J6:J11,1)+1)-INDEX(K6:K11,MATCH(E71,J6:J11,1)))/(INDEX(J6:J11,MATCH(E71,J6:J11,1)+1)-INDEX(J6:J11,MATCH(E71,J6:J11,1))))))</f>
        <v/>
      </c>
      <c r="G71" s="289">
        <f>IF(B71="","",(C71-F71)*$B$10)</f>
        <v/>
      </c>
      <c r="H71" s="289">
        <f>IF(B71="","",MAX(0,D71+G71))</f>
        <v/>
      </c>
      <c r="I71" s="289">
        <f>IF(B71="","",$B$5+IF($B$7=0,0,H71/$B$7))</f>
        <v/>
      </c>
    </row>
    <row r="72">
      <c r="A72" s="288">
        <f>IF(B72="","",A71+1)</f>
        <v/>
      </c>
      <c r="B72" s="288">
        <f>IF(ROW()-15&lt;=$B$11,INDEX(Routing!$A:$A,ROW()-14),"")</f>
        <v/>
      </c>
      <c r="C72" s="289">
        <f>IF(B72="","",INDEX(Routing!$M:$M,ROW()-14))</f>
        <v/>
      </c>
      <c r="D72" s="289">
        <f>IF(B72="","",H71)</f>
        <v/>
      </c>
      <c r="E72" s="289">
        <f>IF(B72="","",$B$5+IF($B$7=0,0,D72/$B$7))</f>
        <v/>
      </c>
      <c r="F72" s="289">
        <f>IF(B72="","",IF(E72&lt;=J6,K6,IF(E72&gt;=J11,K11,INDEX(K6:K11,MATCH(E72,J6:J11,1))+(E72-INDEX(J6:J11,MATCH(E72,J6:J11,1)))*(INDEX(K6:K11,MATCH(E72,J6:J11,1)+1)-INDEX(K6:K11,MATCH(E72,J6:J11,1)))/(INDEX(J6:J11,MATCH(E72,J6:J11,1)+1)-INDEX(J6:J11,MATCH(E72,J6:J11,1))))))</f>
        <v/>
      </c>
      <c r="G72" s="289">
        <f>IF(B72="","",(C72-F72)*$B$10)</f>
        <v/>
      </c>
      <c r="H72" s="289">
        <f>IF(B72="","",MAX(0,D72+G72))</f>
        <v/>
      </c>
      <c r="I72" s="289">
        <f>IF(B72="","",$B$5+IF($B$7=0,0,H72/$B$7))</f>
        <v/>
      </c>
    </row>
    <row r="73">
      <c r="A73" s="288">
        <f>IF(B73="","",A72+1)</f>
        <v/>
      </c>
      <c r="B73" s="288">
        <f>IF(ROW()-15&lt;=$B$11,INDEX(Routing!$A:$A,ROW()-14),"")</f>
        <v/>
      </c>
      <c r="C73" s="289">
        <f>IF(B73="","",INDEX(Routing!$M:$M,ROW()-14))</f>
        <v/>
      </c>
      <c r="D73" s="289">
        <f>IF(B73="","",H72)</f>
        <v/>
      </c>
      <c r="E73" s="289">
        <f>IF(B73="","",$B$5+IF($B$7=0,0,D73/$B$7))</f>
        <v/>
      </c>
      <c r="F73" s="289">
        <f>IF(B73="","",IF(E73&lt;=J6,K6,IF(E73&gt;=J11,K11,INDEX(K6:K11,MATCH(E73,J6:J11,1))+(E73-INDEX(J6:J11,MATCH(E73,J6:J11,1)))*(INDEX(K6:K11,MATCH(E73,J6:J11,1)+1)-INDEX(K6:K11,MATCH(E73,J6:J11,1)))/(INDEX(J6:J11,MATCH(E73,J6:J11,1)+1)-INDEX(J6:J11,MATCH(E73,J6:J11,1))))))</f>
        <v/>
      </c>
      <c r="G73" s="289">
        <f>IF(B73="","",(C73-F73)*$B$10)</f>
        <v/>
      </c>
      <c r="H73" s="289">
        <f>IF(B73="","",MAX(0,D73+G73))</f>
        <v/>
      </c>
      <c r="I73" s="289">
        <f>IF(B73="","",$B$5+IF($B$7=0,0,H73/$B$7))</f>
        <v/>
      </c>
    </row>
    <row r="74">
      <c r="A74" s="288">
        <f>IF(B74="","",A73+1)</f>
        <v/>
      </c>
      <c r="B74" s="288">
        <f>IF(ROW()-15&lt;=$B$11,INDEX(Routing!$A:$A,ROW()-14),"")</f>
        <v/>
      </c>
      <c r="C74" s="289">
        <f>IF(B74="","",INDEX(Routing!$M:$M,ROW()-14))</f>
        <v/>
      </c>
      <c r="D74" s="289">
        <f>IF(B74="","",H73)</f>
        <v/>
      </c>
      <c r="E74" s="289">
        <f>IF(B74="","",$B$5+IF($B$7=0,0,D74/$B$7))</f>
        <v/>
      </c>
      <c r="F74" s="289">
        <f>IF(B74="","",IF(E74&lt;=J6,K6,IF(E74&gt;=J11,K11,INDEX(K6:K11,MATCH(E74,J6:J11,1))+(E74-INDEX(J6:J11,MATCH(E74,J6:J11,1)))*(INDEX(K6:K11,MATCH(E74,J6:J11,1)+1)-INDEX(K6:K11,MATCH(E74,J6:J11,1)))/(INDEX(J6:J11,MATCH(E74,J6:J11,1)+1)-INDEX(J6:J11,MATCH(E74,J6:J11,1))))))</f>
        <v/>
      </c>
      <c r="G74" s="289">
        <f>IF(B74="","",(C74-F74)*$B$10)</f>
        <v/>
      </c>
      <c r="H74" s="289">
        <f>IF(B74="","",MAX(0,D74+G74))</f>
        <v/>
      </c>
      <c r="I74" s="289">
        <f>IF(B74="","",$B$5+IF($B$7=0,0,H74/$B$7))</f>
        <v/>
      </c>
    </row>
    <row r="75">
      <c r="A75" s="288">
        <f>IF(B75="","",A74+1)</f>
        <v/>
      </c>
      <c r="B75" s="288">
        <f>IF(ROW()-15&lt;=$B$11,INDEX(Routing!$A:$A,ROW()-14),"")</f>
        <v/>
      </c>
      <c r="C75" s="289">
        <f>IF(B75="","",INDEX(Routing!$M:$M,ROW()-14))</f>
        <v/>
      </c>
      <c r="D75" s="289">
        <f>IF(B75="","",H74)</f>
        <v/>
      </c>
      <c r="E75" s="289">
        <f>IF(B75="","",$B$5+IF($B$7=0,0,D75/$B$7))</f>
        <v/>
      </c>
      <c r="F75" s="289">
        <f>IF(B75="","",IF(E75&lt;=J6,K6,IF(E75&gt;=J11,K11,INDEX(K6:K11,MATCH(E75,J6:J11,1))+(E75-INDEX(J6:J11,MATCH(E75,J6:J11,1)))*(INDEX(K6:K11,MATCH(E75,J6:J11,1)+1)-INDEX(K6:K11,MATCH(E75,J6:J11,1)))/(INDEX(J6:J11,MATCH(E75,J6:J11,1)+1)-INDEX(J6:J11,MATCH(E75,J6:J11,1))))))</f>
        <v/>
      </c>
      <c r="G75" s="289">
        <f>IF(B75="","",(C75-F75)*$B$10)</f>
        <v/>
      </c>
      <c r="H75" s="289">
        <f>IF(B75="","",MAX(0,D75+G75))</f>
        <v/>
      </c>
      <c r="I75" s="289">
        <f>IF(B75="","",$B$5+IF($B$7=0,0,H75/$B$7))</f>
        <v/>
      </c>
    </row>
    <row r="76">
      <c r="A76" s="288">
        <f>IF(B76="","",A75+1)</f>
        <v/>
      </c>
      <c r="B76" s="288">
        <f>IF(ROW()-15&lt;=$B$11,INDEX(Routing!$A:$A,ROW()-14),"")</f>
        <v/>
      </c>
      <c r="C76" s="289">
        <f>IF(B76="","",INDEX(Routing!$M:$M,ROW()-14))</f>
        <v/>
      </c>
      <c r="D76" s="289">
        <f>IF(B76="","",H75)</f>
        <v/>
      </c>
      <c r="E76" s="289">
        <f>IF(B76="","",$B$5+IF($B$7=0,0,D76/$B$7))</f>
        <v/>
      </c>
      <c r="F76" s="289">
        <f>IF(B76="","",IF(E76&lt;=J6,K6,IF(E76&gt;=J11,K11,INDEX(K6:K11,MATCH(E76,J6:J11,1))+(E76-INDEX(J6:J11,MATCH(E76,J6:J11,1)))*(INDEX(K6:K11,MATCH(E76,J6:J11,1)+1)-INDEX(K6:K11,MATCH(E76,J6:J11,1)))/(INDEX(J6:J11,MATCH(E76,J6:J11,1)+1)-INDEX(J6:J11,MATCH(E76,J6:J11,1))))))</f>
        <v/>
      </c>
      <c r="G76" s="289">
        <f>IF(B76="","",(C76-F76)*$B$10)</f>
        <v/>
      </c>
      <c r="H76" s="289">
        <f>IF(B76="","",MAX(0,D76+G76))</f>
        <v/>
      </c>
      <c r="I76" s="289">
        <f>IF(B76="","",$B$5+IF($B$7=0,0,H76/$B$7))</f>
        <v/>
      </c>
    </row>
    <row r="77">
      <c r="A77" s="288">
        <f>IF(B77="","",A76+1)</f>
        <v/>
      </c>
      <c r="B77" s="288">
        <f>IF(ROW()-15&lt;=$B$11,INDEX(Routing!$A:$A,ROW()-14),"")</f>
        <v/>
      </c>
      <c r="C77" s="289">
        <f>IF(B77="","",INDEX(Routing!$M:$M,ROW()-14))</f>
        <v/>
      </c>
      <c r="D77" s="289">
        <f>IF(B77="","",H76)</f>
        <v/>
      </c>
      <c r="E77" s="289">
        <f>IF(B77="","",$B$5+IF($B$7=0,0,D77/$B$7))</f>
        <v/>
      </c>
      <c r="F77" s="289">
        <f>IF(B77="","",IF(E77&lt;=J6,K6,IF(E77&gt;=J11,K11,INDEX(K6:K11,MATCH(E77,J6:J11,1))+(E77-INDEX(J6:J11,MATCH(E77,J6:J11,1)))*(INDEX(K6:K11,MATCH(E77,J6:J11,1)+1)-INDEX(K6:K11,MATCH(E77,J6:J11,1)))/(INDEX(J6:J11,MATCH(E77,J6:J11,1)+1)-INDEX(J6:J11,MATCH(E77,J6:J11,1))))))</f>
        <v/>
      </c>
      <c r="G77" s="289">
        <f>IF(B77="","",(C77-F77)*$B$10)</f>
        <v/>
      </c>
      <c r="H77" s="289">
        <f>IF(B77="","",MAX(0,D77+G77))</f>
        <v/>
      </c>
      <c r="I77" s="289">
        <f>IF(B77="","",$B$5+IF($B$7=0,0,H77/$B$7))</f>
        <v/>
      </c>
    </row>
    <row r="78">
      <c r="A78" s="288">
        <f>IF(B78="","",A77+1)</f>
        <v/>
      </c>
      <c r="B78" s="288">
        <f>IF(ROW()-15&lt;=$B$11,INDEX(Routing!$A:$A,ROW()-14),"")</f>
        <v/>
      </c>
      <c r="C78" s="289">
        <f>IF(B78="","",INDEX(Routing!$M:$M,ROW()-14))</f>
        <v/>
      </c>
      <c r="D78" s="289">
        <f>IF(B78="","",H77)</f>
        <v/>
      </c>
      <c r="E78" s="289">
        <f>IF(B78="","",$B$5+IF($B$7=0,0,D78/$B$7))</f>
        <v/>
      </c>
      <c r="F78" s="289">
        <f>IF(B78="","",IF(E78&lt;=J6,K6,IF(E78&gt;=J11,K11,INDEX(K6:K11,MATCH(E78,J6:J11,1))+(E78-INDEX(J6:J11,MATCH(E78,J6:J11,1)))*(INDEX(K6:K11,MATCH(E78,J6:J11,1)+1)-INDEX(K6:K11,MATCH(E78,J6:J11,1)))/(INDEX(J6:J11,MATCH(E78,J6:J11,1)+1)-INDEX(J6:J11,MATCH(E78,J6:J11,1))))))</f>
        <v/>
      </c>
      <c r="G78" s="289">
        <f>IF(B78="","",(C78-F78)*$B$10)</f>
        <v/>
      </c>
      <c r="H78" s="289">
        <f>IF(B78="","",MAX(0,D78+G78))</f>
        <v/>
      </c>
      <c r="I78" s="289">
        <f>IF(B78="","",$B$5+IF($B$7=0,0,H78/$B$7))</f>
        <v/>
      </c>
    </row>
    <row r="79">
      <c r="A79" s="288">
        <f>IF(B79="","",A78+1)</f>
        <v/>
      </c>
      <c r="B79" s="288">
        <f>IF(ROW()-15&lt;=$B$11,INDEX(Routing!$A:$A,ROW()-14),"")</f>
        <v/>
      </c>
      <c r="C79" s="289">
        <f>IF(B79="","",INDEX(Routing!$M:$M,ROW()-14))</f>
        <v/>
      </c>
      <c r="D79" s="289">
        <f>IF(B79="","",H78)</f>
        <v/>
      </c>
      <c r="E79" s="289">
        <f>IF(B79="","",$B$5+IF($B$7=0,0,D79/$B$7))</f>
        <v/>
      </c>
      <c r="F79" s="289">
        <f>IF(B79="","",IF(E79&lt;=J6,K6,IF(E79&gt;=J11,K11,INDEX(K6:K11,MATCH(E79,J6:J11,1))+(E79-INDEX(J6:J11,MATCH(E79,J6:J11,1)))*(INDEX(K6:K11,MATCH(E79,J6:J11,1)+1)-INDEX(K6:K11,MATCH(E79,J6:J11,1)))/(INDEX(J6:J11,MATCH(E79,J6:J11,1)+1)-INDEX(J6:J11,MATCH(E79,J6:J11,1))))))</f>
        <v/>
      </c>
      <c r="G79" s="289">
        <f>IF(B79="","",(C79-F79)*$B$10)</f>
        <v/>
      </c>
      <c r="H79" s="289">
        <f>IF(B79="","",MAX(0,D79+G79))</f>
        <v/>
      </c>
      <c r="I79" s="289">
        <f>IF(B79="","",$B$5+IF($B$7=0,0,H79/$B$7))</f>
        <v/>
      </c>
    </row>
    <row r="80">
      <c r="A80" s="288">
        <f>IF(B80="","",A79+1)</f>
        <v/>
      </c>
      <c r="B80" s="288">
        <f>IF(ROW()-15&lt;=$B$11,INDEX(Routing!$A:$A,ROW()-14),"")</f>
        <v/>
      </c>
      <c r="C80" s="289">
        <f>IF(B80="","",INDEX(Routing!$M:$M,ROW()-14))</f>
        <v/>
      </c>
      <c r="D80" s="289">
        <f>IF(B80="","",H79)</f>
        <v/>
      </c>
      <c r="E80" s="289">
        <f>IF(B80="","",$B$5+IF($B$7=0,0,D80/$B$7))</f>
        <v/>
      </c>
      <c r="F80" s="289">
        <f>IF(B80="","",IF(E80&lt;=J6,K6,IF(E80&gt;=J11,K11,INDEX(K6:K11,MATCH(E80,J6:J11,1))+(E80-INDEX(J6:J11,MATCH(E80,J6:J11,1)))*(INDEX(K6:K11,MATCH(E80,J6:J11,1)+1)-INDEX(K6:K11,MATCH(E80,J6:J11,1)))/(INDEX(J6:J11,MATCH(E80,J6:J11,1)+1)-INDEX(J6:J11,MATCH(E80,J6:J11,1))))))</f>
        <v/>
      </c>
      <c r="G80" s="289">
        <f>IF(B80="","",(C80-F80)*$B$10)</f>
        <v/>
      </c>
      <c r="H80" s="289">
        <f>IF(B80="","",MAX(0,D80+G80))</f>
        <v/>
      </c>
      <c r="I80" s="289">
        <f>IF(B80="","",$B$5+IF($B$7=0,0,H80/$B$7))</f>
        <v/>
      </c>
    </row>
    <row r="81">
      <c r="A81" s="288">
        <f>IF(B81="","",A80+1)</f>
        <v/>
      </c>
      <c r="B81" s="288">
        <f>IF(ROW()-15&lt;=$B$11,INDEX(Routing!$A:$A,ROW()-14),"")</f>
        <v/>
      </c>
      <c r="C81" s="289">
        <f>IF(B81="","",INDEX(Routing!$M:$M,ROW()-14))</f>
        <v/>
      </c>
      <c r="D81" s="289">
        <f>IF(B81="","",H80)</f>
        <v/>
      </c>
      <c r="E81" s="289">
        <f>IF(B81="","",$B$5+IF($B$7=0,0,D81/$B$7))</f>
        <v/>
      </c>
      <c r="F81" s="289">
        <f>IF(B81="","",IF(E81&lt;=J6,K6,IF(E81&gt;=J11,K11,INDEX(K6:K11,MATCH(E81,J6:J11,1))+(E81-INDEX(J6:J11,MATCH(E81,J6:J11,1)))*(INDEX(K6:K11,MATCH(E81,J6:J11,1)+1)-INDEX(K6:K11,MATCH(E81,J6:J11,1)))/(INDEX(J6:J11,MATCH(E81,J6:J11,1)+1)-INDEX(J6:J11,MATCH(E81,J6:J11,1))))))</f>
        <v/>
      </c>
      <c r="G81" s="289">
        <f>IF(B81="","",(C81-F81)*$B$10)</f>
        <v/>
      </c>
      <c r="H81" s="289">
        <f>IF(B81="","",MAX(0,D81+G81))</f>
        <v/>
      </c>
      <c r="I81" s="289">
        <f>IF(B81="","",$B$5+IF($B$7=0,0,H81/$B$7))</f>
        <v/>
      </c>
    </row>
    <row r="82">
      <c r="A82" s="288">
        <f>IF(B82="","",A81+1)</f>
        <v/>
      </c>
      <c r="B82" s="288">
        <f>IF(ROW()-15&lt;=$B$11,INDEX(Routing!$A:$A,ROW()-14),"")</f>
        <v/>
      </c>
      <c r="C82" s="289">
        <f>IF(B82="","",INDEX(Routing!$M:$M,ROW()-14))</f>
        <v/>
      </c>
      <c r="D82" s="289">
        <f>IF(B82="","",H81)</f>
        <v/>
      </c>
      <c r="E82" s="289">
        <f>IF(B82="","",$B$5+IF($B$7=0,0,D82/$B$7))</f>
        <v/>
      </c>
      <c r="F82" s="289">
        <f>IF(B82="","",IF(E82&lt;=J6,K6,IF(E82&gt;=J11,K11,INDEX(K6:K11,MATCH(E82,J6:J11,1))+(E82-INDEX(J6:J11,MATCH(E82,J6:J11,1)))*(INDEX(K6:K11,MATCH(E82,J6:J11,1)+1)-INDEX(K6:K11,MATCH(E82,J6:J11,1)))/(INDEX(J6:J11,MATCH(E82,J6:J11,1)+1)-INDEX(J6:J11,MATCH(E82,J6:J11,1))))))</f>
        <v/>
      </c>
      <c r="G82" s="289">
        <f>IF(B82="","",(C82-F82)*$B$10)</f>
        <v/>
      </c>
      <c r="H82" s="289">
        <f>IF(B82="","",MAX(0,D82+G82))</f>
        <v/>
      </c>
      <c r="I82" s="289">
        <f>IF(B82="","",$B$5+IF($B$7=0,0,H82/$B$7))</f>
        <v/>
      </c>
    </row>
    <row r="83">
      <c r="A83" s="288">
        <f>IF(B83="","",A82+1)</f>
        <v/>
      </c>
      <c r="B83" s="288">
        <f>IF(ROW()-15&lt;=$B$11,INDEX(Routing!$A:$A,ROW()-14),"")</f>
        <v/>
      </c>
      <c r="C83" s="289">
        <f>IF(B83="","",INDEX(Routing!$M:$M,ROW()-14))</f>
        <v/>
      </c>
      <c r="D83" s="289">
        <f>IF(B83="","",H82)</f>
        <v/>
      </c>
      <c r="E83" s="289">
        <f>IF(B83="","",$B$5+IF($B$7=0,0,D83/$B$7))</f>
        <v/>
      </c>
      <c r="F83" s="289">
        <f>IF(B83="","",IF(E83&lt;=J6,K6,IF(E83&gt;=J11,K11,INDEX(K6:K11,MATCH(E83,J6:J11,1))+(E83-INDEX(J6:J11,MATCH(E83,J6:J11,1)))*(INDEX(K6:K11,MATCH(E83,J6:J11,1)+1)-INDEX(K6:K11,MATCH(E83,J6:J11,1)))/(INDEX(J6:J11,MATCH(E83,J6:J11,1)+1)-INDEX(J6:J11,MATCH(E83,J6:J11,1))))))</f>
        <v/>
      </c>
      <c r="G83" s="289">
        <f>IF(B83="","",(C83-F83)*$B$10)</f>
        <v/>
      </c>
      <c r="H83" s="289">
        <f>IF(B83="","",MAX(0,D83+G83))</f>
        <v/>
      </c>
      <c r="I83" s="289">
        <f>IF(B83="","",$B$5+IF($B$7=0,0,H83/$B$7))</f>
        <v/>
      </c>
    </row>
    <row r="84">
      <c r="A84" s="288">
        <f>IF(B84="","",A83+1)</f>
        <v/>
      </c>
      <c r="B84" s="288">
        <f>IF(ROW()-15&lt;=$B$11,INDEX(Routing!$A:$A,ROW()-14),"")</f>
        <v/>
      </c>
      <c r="C84" s="289">
        <f>IF(B84="","",INDEX(Routing!$M:$M,ROW()-14))</f>
        <v/>
      </c>
      <c r="D84" s="289">
        <f>IF(B84="","",H83)</f>
        <v/>
      </c>
      <c r="E84" s="289">
        <f>IF(B84="","",$B$5+IF($B$7=0,0,D84/$B$7))</f>
        <v/>
      </c>
      <c r="F84" s="289">
        <f>IF(B84="","",IF(E84&lt;=J6,K6,IF(E84&gt;=J11,K11,INDEX(K6:K11,MATCH(E84,J6:J11,1))+(E84-INDEX(J6:J11,MATCH(E84,J6:J11,1)))*(INDEX(K6:K11,MATCH(E84,J6:J11,1)+1)-INDEX(K6:K11,MATCH(E84,J6:J11,1)))/(INDEX(J6:J11,MATCH(E84,J6:J11,1)+1)-INDEX(J6:J11,MATCH(E84,J6:J11,1))))))</f>
        <v/>
      </c>
      <c r="G84" s="289">
        <f>IF(B84="","",(C84-F84)*$B$10)</f>
        <v/>
      </c>
      <c r="H84" s="289">
        <f>IF(B84="","",MAX(0,D84+G84))</f>
        <v/>
      </c>
      <c r="I84" s="289">
        <f>IF(B84="","",$B$5+IF($B$7=0,0,H84/$B$7))</f>
        <v/>
      </c>
    </row>
    <row r="85">
      <c r="A85" s="288">
        <f>IF(B85="","",A84+1)</f>
        <v/>
      </c>
      <c r="B85" s="288">
        <f>IF(ROW()-15&lt;=$B$11,INDEX(Routing!$A:$A,ROW()-14),"")</f>
        <v/>
      </c>
      <c r="C85" s="289">
        <f>IF(B85="","",INDEX(Routing!$M:$M,ROW()-14))</f>
        <v/>
      </c>
      <c r="D85" s="289">
        <f>IF(B85="","",H84)</f>
        <v/>
      </c>
      <c r="E85" s="289">
        <f>IF(B85="","",$B$5+IF($B$7=0,0,D85/$B$7))</f>
        <v/>
      </c>
      <c r="F85" s="289">
        <f>IF(B85="","",IF(E85&lt;=J6,K6,IF(E85&gt;=J11,K11,INDEX(K6:K11,MATCH(E85,J6:J11,1))+(E85-INDEX(J6:J11,MATCH(E85,J6:J11,1)))*(INDEX(K6:K11,MATCH(E85,J6:J11,1)+1)-INDEX(K6:K11,MATCH(E85,J6:J11,1)))/(INDEX(J6:J11,MATCH(E85,J6:J11,1)+1)-INDEX(J6:J11,MATCH(E85,J6:J11,1))))))</f>
        <v/>
      </c>
      <c r="G85" s="289">
        <f>IF(B85="","",(C85-F85)*$B$10)</f>
        <v/>
      </c>
      <c r="H85" s="289">
        <f>IF(B85="","",MAX(0,D85+G85))</f>
        <v/>
      </c>
      <c r="I85" s="289">
        <f>IF(B85="","",$B$5+IF($B$7=0,0,H85/$B$7))</f>
        <v/>
      </c>
    </row>
    <row r="86">
      <c r="A86" s="288">
        <f>IF(B86="","",A85+1)</f>
        <v/>
      </c>
      <c r="B86" s="288">
        <f>IF(ROW()-15&lt;=$B$11,INDEX(Routing!$A:$A,ROW()-14),"")</f>
        <v/>
      </c>
      <c r="C86" s="289">
        <f>IF(B86="","",INDEX(Routing!$M:$M,ROW()-14))</f>
        <v/>
      </c>
      <c r="D86" s="289">
        <f>IF(B86="","",H85)</f>
        <v/>
      </c>
      <c r="E86" s="289">
        <f>IF(B86="","",$B$5+IF($B$7=0,0,D86/$B$7))</f>
        <v/>
      </c>
      <c r="F86" s="289">
        <f>IF(B86="","",IF(E86&lt;=J6,K6,IF(E86&gt;=J11,K11,INDEX(K6:K11,MATCH(E86,J6:J11,1))+(E86-INDEX(J6:J11,MATCH(E86,J6:J11,1)))*(INDEX(K6:K11,MATCH(E86,J6:J11,1)+1)-INDEX(K6:K11,MATCH(E86,J6:J11,1)))/(INDEX(J6:J11,MATCH(E86,J6:J11,1)+1)-INDEX(J6:J11,MATCH(E86,J6:J11,1))))))</f>
        <v/>
      </c>
      <c r="G86" s="289">
        <f>IF(B86="","",(C86-F86)*$B$10)</f>
        <v/>
      </c>
      <c r="H86" s="289">
        <f>IF(B86="","",MAX(0,D86+G86))</f>
        <v/>
      </c>
      <c r="I86" s="289">
        <f>IF(B86="","",$B$5+IF($B$7=0,0,H86/$B$7))</f>
        <v/>
      </c>
    </row>
    <row r="87">
      <c r="A87" s="288">
        <f>IF(B87="","",A86+1)</f>
        <v/>
      </c>
      <c r="B87" s="288">
        <f>IF(ROW()-15&lt;=$B$11,INDEX(Routing!$A:$A,ROW()-14),"")</f>
        <v/>
      </c>
      <c r="C87" s="289">
        <f>IF(B87="","",INDEX(Routing!$M:$M,ROW()-14))</f>
        <v/>
      </c>
      <c r="D87" s="289">
        <f>IF(B87="","",H86)</f>
        <v/>
      </c>
      <c r="E87" s="289">
        <f>IF(B87="","",$B$5+IF($B$7=0,0,D87/$B$7))</f>
        <v/>
      </c>
      <c r="F87" s="289">
        <f>IF(B87="","",IF(E87&lt;=J6,K6,IF(E87&gt;=J11,K11,INDEX(K6:K11,MATCH(E87,J6:J11,1))+(E87-INDEX(J6:J11,MATCH(E87,J6:J11,1)))*(INDEX(K6:K11,MATCH(E87,J6:J11,1)+1)-INDEX(K6:K11,MATCH(E87,J6:J11,1)))/(INDEX(J6:J11,MATCH(E87,J6:J11,1)+1)-INDEX(J6:J11,MATCH(E87,J6:J11,1))))))</f>
        <v/>
      </c>
      <c r="G87" s="289">
        <f>IF(B87="","",(C87-F87)*$B$10)</f>
        <v/>
      </c>
      <c r="H87" s="289">
        <f>IF(B87="","",MAX(0,D87+G87))</f>
        <v/>
      </c>
      <c r="I87" s="289">
        <f>IF(B87="","",$B$5+IF($B$7=0,0,H87/$B$7))</f>
        <v/>
      </c>
    </row>
    <row r="88">
      <c r="A88" s="288">
        <f>IF(B88="","",A87+1)</f>
        <v/>
      </c>
      <c r="B88" s="288">
        <f>IF(ROW()-15&lt;=$B$11,INDEX(Routing!$A:$A,ROW()-14),"")</f>
        <v/>
      </c>
      <c r="C88" s="289">
        <f>IF(B88="","",INDEX(Routing!$M:$M,ROW()-14))</f>
        <v/>
      </c>
      <c r="D88" s="289">
        <f>IF(B88="","",H87)</f>
        <v/>
      </c>
      <c r="E88" s="289">
        <f>IF(B88="","",$B$5+IF($B$7=0,0,D88/$B$7))</f>
        <v/>
      </c>
      <c r="F88" s="289">
        <f>IF(B88="","",IF(E88&lt;=J6,K6,IF(E88&gt;=J11,K11,INDEX(K6:K11,MATCH(E88,J6:J11,1))+(E88-INDEX(J6:J11,MATCH(E88,J6:J11,1)))*(INDEX(K6:K11,MATCH(E88,J6:J11,1)+1)-INDEX(K6:K11,MATCH(E88,J6:J11,1)))/(INDEX(J6:J11,MATCH(E88,J6:J11,1)+1)-INDEX(J6:J11,MATCH(E88,J6:J11,1))))))</f>
        <v/>
      </c>
      <c r="G88" s="289">
        <f>IF(B88="","",(C88-F88)*$B$10)</f>
        <v/>
      </c>
      <c r="H88" s="289">
        <f>IF(B88="","",MAX(0,D88+G88))</f>
        <v/>
      </c>
      <c r="I88" s="289">
        <f>IF(B88="","",$B$5+IF($B$7=0,0,H88/$B$7))</f>
        <v/>
      </c>
    </row>
    <row r="89">
      <c r="A89" s="288">
        <f>IF(B89="","",A88+1)</f>
        <v/>
      </c>
      <c r="B89" s="288">
        <f>IF(ROW()-15&lt;=$B$11,INDEX(Routing!$A:$A,ROW()-14),"")</f>
        <v/>
      </c>
      <c r="C89" s="289">
        <f>IF(B89="","",INDEX(Routing!$M:$M,ROW()-14))</f>
        <v/>
      </c>
      <c r="D89" s="289">
        <f>IF(B89="","",H88)</f>
        <v/>
      </c>
      <c r="E89" s="289">
        <f>IF(B89="","",$B$5+IF($B$7=0,0,D89/$B$7))</f>
        <v/>
      </c>
      <c r="F89" s="289">
        <f>IF(B89="","",IF(E89&lt;=J6,K6,IF(E89&gt;=J11,K11,INDEX(K6:K11,MATCH(E89,J6:J11,1))+(E89-INDEX(J6:J11,MATCH(E89,J6:J11,1)))*(INDEX(K6:K11,MATCH(E89,J6:J11,1)+1)-INDEX(K6:K11,MATCH(E89,J6:J11,1)))/(INDEX(J6:J11,MATCH(E89,J6:J11,1)+1)-INDEX(J6:J11,MATCH(E89,J6:J11,1))))))</f>
        <v/>
      </c>
      <c r="G89" s="289">
        <f>IF(B89="","",(C89-F89)*$B$10)</f>
        <v/>
      </c>
      <c r="H89" s="289">
        <f>IF(B89="","",MAX(0,D89+G89))</f>
        <v/>
      </c>
      <c r="I89" s="289">
        <f>IF(B89="","",$B$5+IF($B$7=0,0,H89/$B$7))</f>
        <v/>
      </c>
    </row>
    <row r="90">
      <c r="A90" s="288">
        <f>IF(B90="","",A89+1)</f>
        <v/>
      </c>
      <c r="B90" s="288">
        <f>IF(ROW()-15&lt;=$B$11,INDEX(Routing!$A:$A,ROW()-14),"")</f>
        <v/>
      </c>
      <c r="C90" s="289">
        <f>IF(B90="","",INDEX(Routing!$M:$M,ROW()-14))</f>
        <v/>
      </c>
      <c r="D90" s="289">
        <f>IF(B90="","",H89)</f>
        <v/>
      </c>
      <c r="E90" s="289">
        <f>IF(B90="","",$B$5+IF($B$7=0,0,D90/$B$7))</f>
        <v/>
      </c>
      <c r="F90" s="289">
        <f>IF(B90="","",IF(E90&lt;=J6,K6,IF(E90&gt;=J11,K11,INDEX(K6:K11,MATCH(E90,J6:J11,1))+(E90-INDEX(J6:J11,MATCH(E90,J6:J11,1)))*(INDEX(K6:K11,MATCH(E90,J6:J11,1)+1)-INDEX(K6:K11,MATCH(E90,J6:J11,1)))/(INDEX(J6:J11,MATCH(E90,J6:J11,1)+1)-INDEX(J6:J11,MATCH(E90,J6:J11,1))))))</f>
        <v/>
      </c>
      <c r="G90" s="289">
        <f>IF(B90="","",(C90-F90)*$B$10)</f>
        <v/>
      </c>
      <c r="H90" s="289">
        <f>IF(B90="","",MAX(0,D90+G90))</f>
        <v/>
      </c>
      <c r="I90" s="289">
        <f>IF(B90="","",$B$5+IF($B$7=0,0,H90/$B$7))</f>
        <v/>
      </c>
    </row>
    <row r="91">
      <c r="A91" s="288">
        <f>IF(B91="","",A90+1)</f>
        <v/>
      </c>
      <c r="B91" s="288">
        <f>IF(ROW()-15&lt;=$B$11,INDEX(Routing!$A:$A,ROW()-14),"")</f>
        <v/>
      </c>
      <c r="C91" s="289">
        <f>IF(B91="","",INDEX(Routing!$M:$M,ROW()-14))</f>
        <v/>
      </c>
      <c r="D91" s="289">
        <f>IF(B91="","",H90)</f>
        <v/>
      </c>
      <c r="E91" s="289">
        <f>IF(B91="","",$B$5+IF($B$7=0,0,D91/$B$7))</f>
        <v/>
      </c>
      <c r="F91" s="289">
        <f>IF(B91="","",IF(E91&lt;=J6,K6,IF(E91&gt;=J11,K11,INDEX(K6:K11,MATCH(E91,J6:J11,1))+(E91-INDEX(J6:J11,MATCH(E91,J6:J11,1)))*(INDEX(K6:K11,MATCH(E91,J6:J11,1)+1)-INDEX(K6:K11,MATCH(E91,J6:J11,1)))/(INDEX(J6:J11,MATCH(E91,J6:J11,1)+1)-INDEX(J6:J11,MATCH(E91,J6:J11,1))))))</f>
        <v/>
      </c>
      <c r="G91" s="289">
        <f>IF(B91="","",(C91-F91)*$B$10)</f>
        <v/>
      </c>
      <c r="H91" s="289">
        <f>IF(B91="","",MAX(0,D91+G91))</f>
        <v/>
      </c>
      <c r="I91" s="289">
        <f>IF(B91="","",$B$5+IF($B$7=0,0,H91/$B$7))</f>
        <v/>
      </c>
    </row>
    <row r="92">
      <c r="A92" s="288">
        <f>IF(B92="","",A91+1)</f>
        <v/>
      </c>
      <c r="B92" s="288">
        <f>IF(ROW()-15&lt;=$B$11,INDEX(Routing!$A:$A,ROW()-14),"")</f>
        <v/>
      </c>
      <c r="C92" s="289">
        <f>IF(B92="","",INDEX(Routing!$M:$M,ROW()-14))</f>
        <v/>
      </c>
      <c r="D92" s="289">
        <f>IF(B92="","",H91)</f>
        <v/>
      </c>
      <c r="E92" s="289">
        <f>IF(B92="","",$B$5+IF($B$7=0,0,D92/$B$7))</f>
        <v/>
      </c>
      <c r="F92" s="289">
        <f>IF(B92="","",IF(E92&lt;=J6,K6,IF(E92&gt;=J11,K11,INDEX(K6:K11,MATCH(E92,J6:J11,1))+(E92-INDEX(J6:J11,MATCH(E92,J6:J11,1)))*(INDEX(K6:K11,MATCH(E92,J6:J11,1)+1)-INDEX(K6:K11,MATCH(E92,J6:J11,1)))/(INDEX(J6:J11,MATCH(E92,J6:J11,1)+1)-INDEX(J6:J11,MATCH(E92,J6:J11,1))))))</f>
        <v/>
      </c>
      <c r="G92" s="289">
        <f>IF(B92="","",(C92-F92)*$B$10)</f>
        <v/>
      </c>
      <c r="H92" s="289">
        <f>IF(B92="","",MAX(0,D92+G92))</f>
        <v/>
      </c>
      <c r="I92" s="289">
        <f>IF(B92="","",$B$5+IF($B$7=0,0,H92/$B$7))</f>
        <v/>
      </c>
    </row>
    <row r="93">
      <c r="A93" s="288">
        <f>IF(B93="","",A92+1)</f>
        <v/>
      </c>
      <c r="B93" s="288">
        <f>IF(ROW()-15&lt;=$B$11,INDEX(Routing!$A:$A,ROW()-14),"")</f>
        <v/>
      </c>
      <c r="C93" s="289">
        <f>IF(B93="","",INDEX(Routing!$M:$M,ROW()-14))</f>
        <v/>
      </c>
      <c r="D93" s="289">
        <f>IF(B93="","",H92)</f>
        <v/>
      </c>
      <c r="E93" s="289">
        <f>IF(B93="","",$B$5+IF($B$7=0,0,D93/$B$7))</f>
        <v/>
      </c>
      <c r="F93" s="289">
        <f>IF(B93="","",IF(E93&lt;=J6,K6,IF(E93&gt;=J11,K11,INDEX(K6:K11,MATCH(E93,J6:J11,1))+(E93-INDEX(J6:J11,MATCH(E93,J6:J11,1)))*(INDEX(K6:K11,MATCH(E93,J6:J11,1)+1)-INDEX(K6:K11,MATCH(E93,J6:J11,1)))/(INDEX(J6:J11,MATCH(E93,J6:J11,1)+1)-INDEX(J6:J11,MATCH(E93,J6:J11,1))))))</f>
        <v/>
      </c>
      <c r="G93" s="289">
        <f>IF(B93="","",(C93-F93)*$B$10)</f>
        <v/>
      </c>
      <c r="H93" s="289">
        <f>IF(B93="","",MAX(0,D93+G93))</f>
        <v/>
      </c>
      <c r="I93" s="289">
        <f>IF(B93="","",$B$5+IF($B$7=0,0,H93/$B$7))</f>
        <v/>
      </c>
    </row>
    <row r="94">
      <c r="A94" s="288">
        <f>IF(B94="","",A93+1)</f>
        <v/>
      </c>
      <c r="B94" s="288">
        <f>IF(ROW()-15&lt;=$B$11,INDEX(Routing!$A:$A,ROW()-14),"")</f>
        <v/>
      </c>
      <c r="C94" s="289">
        <f>IF(B94="","",INDEX(Routing!$M:$M,ROW()-14))</f>
        <v/>
      </c>
      <c r="D94" s="289">
        <f>IF(B94="","",H93)</f>
        <v/>
      </c>
      <c r="E94" s="289">
        <f>IF(B94="","",$B$5+IF($B$7=0,0,D94/$B$7))</f>
        <v/>
      </c>
      <c r="F94" s="289">
        <f>IF(B94="","",IF(E94&lt;=J6,K6,IF(E94&gt;=J11,K11,INDEX(K6:K11,MATCH(E94,J6:J11,1))+(E94-INDEX(J6:J11,MATCH(E94,J6:J11,1)))*(INDEX(K6:K11,MATCH(E94,J6:J11,1)+1)-INDEX(K6:K11,MATCH(E94,J6:J11,1)))/(INDEX(J6:J11,MATCH(E94,J6:J11,1)+1)-INDEX(J6:J11,MATCH(E94,J6:J11,1))))))</f>
        <v/>
      </c>
      <c r="G94" s="289">
        <f>IF(B94="","",(C94-F94)*$B$10)</f>
        <v/>
      </c>
      <c r="H94" s="289">
        <f>IF(B94="","",MAX(0,D94+G94))</f>
        <v/>
      </c>
      <c r="I94" s="289">
        <f>IF(B94="","",$B$5+IF($B$7=0,0,H94/$B$7))</f>
        <v/>
      </c>
    </row>
    <row r="95">
      <c r="A95" s="288">
        <f>IF(B95="","",A94+1)</f>
        <v/>
      </c>
      <c r="B95" s="288">
        <f>IF(ROW()-15&lt;=$B$11,INDEX(Routing!$A:$A,ROW()-14),"")</f>
        <v/>
      </c>
      <c r="C95" s="289">
        <f>IF(B95="","",INDEX(Routing!$M:$M,ROW()-14))</f>
        <v/>
      </c>
      <c r="D95" s="289">
        <f>IF(B95="","",H94)</f>
        <v/>
      </c>
      <c r="E95" s="289">
        <f>IF(B95="","",$B$5+IF($B$7=0,0,D95/$B$7))</f>
        <v/>
      </c>
      <c r="F95" s="289">
        <f>IF(B95="","",IF(E95&lt;=J6,K6,IF(E95&gt;=J11,K11,INDEX(K6:K11,MATCH(E95,J6:J11,1))+(E95-INDEX(J6:J11,MATCH(E95,J6:J11,1)))*(INDEX(K6:K11,MATCH(E95,J6:J11,1)+1)-INDEX(K6:K11,MATCH(E95,J6:J11,1)))/(INDEX(J6:J11,MATCH(E95,J6:J11,1)+1)-INDEX(J6:J11,MATCH(E95,J6:J11,1))))))</f>
        <v/>
      </c>
      <c r="G95" s="289">
        <f>IF(B95="","",(C95-F95)*$B$10)</f>
        <v/>
      </c>
      <c r="H95" s="289">
        <f>IF(B95="","",MAX(0,D95+G95))</f>
        <v/>
      </c>
      <c r="I95" s="289">
        <f>IF(B95="","",$B$5+IF($B$7=0,0,H95/$B$7))</f>
        <v/>
      </c>
    </row>
    <row r="96">
      <c r="A96" s="288">
        <f>IF(B96="","",A95+1)</f>
        <v/>
      </c>
      <c r="B96" s="288">
        <f>IF(ROW()-15&lt;=$B$11,INDEX(Routing!$A:$A,ROW()-14),"")</f>
        <v/>
      </c>
      <c r="C96" s="289">
        <f>IF(B96="","",INDEX(Routing!$M:$M,ROW()-14))</f>
        <v/>
      </c>
      <c r="D96" s="289">
        <f>IF(B96="","",H95)</f>
        <v/>
      </c>
      <c r="E96" s="289">
        <f>IF(B96="","",$B$5+IF($B$7=0,0,D96/$B$7))</f>
        <v/>
      </c>
      <c r="F96" s="289">
        <f>IF(B96="","",IF(E96&lt;=J6,K6,IF(E96&gt;=J11,K11,INDEX(K6:K11,MATCH(E96,J6:J11,1))+(E96-INDEX(J6:J11,MATCH(E96,J6:J11,1)))*(INDEX(K6:K11,MATCH(E96,J6:J11,1)+1)-INDEX(K6:K11,MATCH(E96,J6:J11,1)))/(INDEX(J6:J11,MATCH(E96,J6:J11,1)+1)-INDEX(J6:J11,MATCH(E96,J6:J11,1))))))</f>
        <v/>
      </c>
      <c r="G96" s="289">
        <f>IF(B96="","",(C96-F96)*$B$10)</f>
        <v/>
      </c>
      <c r="H96" s="289">
        <f>IF(B96="","",MAX(0,D96+G96))</f>
        <v/>
      </c>
      <c r="I96" s="289">
        <f>IF(B96="","",$B$5+IF($B$7=0,0,H96/$B$7))</f>
        <v/>
      </c>
    </row>
    <row r="97">
      <c r="A97" s="288">
        <f>IF(B97="","",A96+1)</f>
        <v/>
      </c>
      <c r="B97" s="288">
        <f>IF(ROW()-15&lt;=$B$11,INDEX(Routing!$A:$A,ROW()-14),"")</f>
        <v/>
      </c>
      <c r="C97" s="289">
        <f>IF(B97="","",INDEX(Routing!$M:$M,ROW()-14))</f>
        <v/>
      </c>
      <c r="D97" s="289">
        <f>IF(B97="","",H96)</f>
        <v/>
      </c>
      <c r="E97" s="289">
        <f>IF(B97="","",$B$5+IF($B$7=0,0,D97/$B$7))</f>
        <v/>
      </c>
      <c r="F97" s="289">
        <f>IF(B97="","",IF(E97&lt;=J6,K6,IF(E97&gt;=J11,K11,INDEX(K6:K11,MATCH(E97,J6:J11,1))+(E97-INDEX(J6:J11,MATCH(E97,J6:J11,1)))*(INDEX(K6:K11,MATCH(E97,J6:J11,1)+1)-INDEX(K6:K11,MATCH(E97,J6:J11,1)))/(INDEX(J6:J11,MATCH(E97,J6:J11,1)+1)-INDEX(J6:J11,MATCH(E97,J6:J11,1))))))</f>
        <v/>
      </c>
      <c r="G97" s="289">
        <f>IF(B97="","",(C97-F97)*$B$10)</f>
        <v/>
      </c>
      <c r="H97" s="289">
        <f>IF(B97="","",MAX(0,D97+G97))</f>
        <v/>
      </c>
      <c r="I97" s="289">
        <f>IF(B97="","",$B$5+IF($B$7=0,0,H97/$B$7))</f>
        <v/>
      </c>
    </row>
    <row r="98">
      <c r="A98" s="288">
        <f>IF(B98="","",A97+1)</f>
        <v/>
      </c>
      <c r="B98" s="288">
        <f>IF(ROW()-15&lt;=$B$11,INDEX(Routing!$A:$A,ROW()-14),"")</f>
        <v/>
      </c>
      <c r="C98" s="289">
        <f>IF(B98="","",INDEX(Routing!$M:$M,ROW()-14))</f>
        <v/>
      </c>
      <c r="D98" s="289">
        <f>IF(B98="","",H97)</f>
        <v/>
      </c>
      <c r="E98" s="289">
        <f>IF(B98="","",$B$5+IF($B$7=0,0,D98/$B$7))</f>
        <v/>
      </c>
      <c r="F98" s="289">
        <f>IF(B98="","",IF(E98&lt;=J6,K6,IF(E98&gt;=J11,K11,INDEX(K6:K11,MATCH(E98,J6:J11,1))+(E98-INDEX(J6:J11,MATCH(E98,J6:J11,1)))*(INDEX(K6:K11,MATCH(E98,J6:J11,1)+1)-INDEX(K6:K11,MATCH(E98,J6:J11,1)))/(INDEX(J6:J11,MATCH(E98,J6:J11,1)+1)-INDEX(J6:J11,MATCH(E98,J6:J11,1))))))</f>
        <v/>
      </c>
      <c r="G98" s="289">
        <f>IF(B98="","",(C98-F98)*$B$10)</f>
        <v/>
      </c>
      <c r="H98" s="289">
        <f>IF(B98="","",MAX(0,D98+G98))</f>
        <v/>
      </c>
      <c r="I98" s="289">
        <f>IF(B98="","",$B$5+IF($B$7=0,0,H98/$B$7))</f>
        <v/>
      </c>
    </row>
    <row r="99">
      <c r="A99" s="288">
        <f>IF(B99="","",A98+1)</f>
        <v/>
      </c>
      <c r="B99" s="288">
        <f>IF(ROW()-15&lt;=$B$11,INDEX(Routing!$A:$A,ROW()-14),"")</f>
        <v/>
      </c>
      <c r="C99" s="289">
        <f>IF(B99="","",INDEX(Routing!$M:$M,ROW()-14))</f>
        <v/>
      </c>
      <c r="D99" s="289">
        <f>IF(B99="","",H98)</f>
        <v/>
      </c>
      <c r="E99" s="289">
        <f>IF(B99="","",$B$5+IF($B$7=0,0,D99/$B$7))</f>
        <v/>
      </c>
      <c r="F99" s="289">
        <f>IF(B99="","",IF(E99&lt;=J6,K6,IF(E99&gt;=J11,K11,INDEX(K6:K11,MATCH(E99,J6:J11,1))+(E99-INDEX(J6:J11,MATCH(E99,J6:J11,1)))*(INDEX(K6:K11,MATCH(E99,J6:J11,1)+1)-INDEX(K6:K11,MATCH(E99,J6:J11,1)))/(INDEX(J6:J11,MATCH(E99,J6:J11,1)+1)-INDEX(J6:J11,MATCH(E99,J6:J11,1))))))</f>
        <v/>
      </c>
      <c r="G99" s="289">
        <f>IF(B99="","",(C99-F99)*$B$10)</f>
        <v/>
      </c>
      <c r="H99" s="289">
        <f>IF(B99="","",MAX(0,D99+G99))</f>
        <v/>
      </c>
      <c r="I99" s="289">
        <f>IF(B99="","",$B$5+IF($B$7=0,0,H99/$B$7))</f>
        <v/>
      </c>
    </row>
    <row r="100">
      <c r="A100" s="288">
        <f>IF(B100="","",A99+1)</f>
        <v/>
      </c>
      <c r="B100" s="288">
        <f>IF(ROW()-15&lt;=$B$11,INDEX(Routing!$A:$A,ROW()-14),"")</f>
        <v/>
      </c>
      <c r="C100" s="289">
        <f>IF(B100="","",INDEX(Routing!$M:$M,ROW()-14))</f>
        <v/>
      </c>
      <c r="D100" s="289">
        <f>IF(B100="","",H99)</f>
        <v/>
      </c>
      <c r="E100" s="289">
        <f>IF(B100="","",$B$5+IF($B$7=0,0,D100/$B$7))</f>
        <v/>
      </c>
      <c r="F100" s="289">
        <f>IF(B100="","",IF(E100&lt;=J6,K6,IF(E100&gt;=J11,K11,INDEX(K6:K11,MATCH(E100,J6:J11,1))+(E100-INDEX(J6:J11,MATCH(E100,J6:J11,1)))*(INDEX(K6:K11,MATCH(E100,J6:J11,1)+1)-INDEX(K6:K11,MATCH(E100,J6:J11,1)))/(INDEX(J6:J11,MATCH(E100,J6:J11,1)+1)-INDEX(J6:J11,MATCH(E100,J6:J11,1))))))</f>
        <v/>
      </c>
      <c r="G100" s="289">
        <f>IF(B100="","",(C100-F100)*$B$10)</f>
        <v/>
      </c>
      <c r="H100" s="289">
        <f>IF(B100="","",MAX(0,D100+G100))</f>
        <v/>
      </c>
      <c r="I100" s="289">
        <f>IF(B100="","",$B$5+IF($B$7=0,0,H100/$B$7))</f>
        <v/>
      </c>
    </row>
    <row r="101">
      <c r="A101" s="288">
        <f>IF(B101="","",A100+1)</f>
        <v/>
      </c>
      <c r="B101" s="288">
        <f>IF(ROW()-15&lt;=$B$11,INDEX(Routing!$A:$A,ROW()-14),"")</f>
        <v/>
      </c>
      <c r="C101" s="289">
        <f>IF(B101="","",INDEX(Routing!$M:$M,ROW()-14))</f>
        <v/>
      </c>
      <c r="D101" s="289">
        <f>IF(B101="","",H100)</f>
        <v/>
      </c>
      <c r="E101" s="289">
        <f>IF(B101="","",$B$5+IF($B$7=0,0,D101/$B$7))</f>
        <v/>
      </c>
      <c r="F101" s="289">
        <f>IF(B101="","",IF(E101&lt;=J6,K6,IF(E101&gt;=J11,K11,INDEX(K6:K11,MATCH(E101,J6:J11,1))+(E101-INDEX(J6:J11,MATCH(E101,J6:J11,1)))*(INDEX(K6:K11,MATCH(E101,J6:J11,1)+1)-INDEX(K6:K11,MATCH(E101,J6:J11,1)))/(INDEX(J6:J11,MATCH(E101,J6:J11,1)+1)-INDEX(J6:J11,MATCH(E101,J6:J11,1))))))</f>
        <v/>
      </c>
      <c r="G101" s="289">
        <f>IF(B101="","",(C101-F101)*$B$10)</f>
        <v/>
      </c>
      <c r="H101" s="289">
        <f>IF(B101="","",MAX(0,D101+G101))</f>
        <v/>
      </c>
      <c r="I101" s="289">
        <f>IF(B101="","",$B$5+IF($B$7=0,0,H101/$B$7))</f>
        <v/>
      </c>
    </row>
    <row r="102">
      <c r="A102" s="288">
        <f>IF(B102="","",A101+1)</f>
        <v/>
      </c>
      <c r="B102" s="288">
        <f>IF(ROW()-15&lt;=$B$11,INDEX(Routing!$A:$A,ROW()-14),"")</f>
        <v/>
      </c>
      <c r="C102" s="289">
        <f>IF(B102="","",INDEX(Routing!$M:$M,ROW()-14))</f>
        <v/>
      </c>
      <c r="D102" s="289">
        <f>IF(B102="","",H101)</f>
        <v/>
      </c>
      <c r="E102" s="289">
        <f>IF(B102="","",$B$5+IF($B$7=0,0,D102/$B$7))</f>
        <v/>
      </c>
      <c r="F102" s="289">
        <f>IF(B102="","",IF(E102&lt;=J6,K6,IF(E102&gt;=J11,K11,INDEX(K6:K11,MATCH(E102,J6:J11,1))+(E102-INDEX(J6:J11,MATCH(E102,J6:J11,1)))*(INDEX(K6:K11,MATCH(E102,J6:J11,1)+1)-INDEX(K6:K11,MATCH(E102,J6:J11,1)))/(INDEX(J6:J11,MATCH(E102,J6:J11,1)+1)-INDEX(J6:J11,MATCH(E102,J6:J11,1))))))</f>
        <v/>
      </c>
      <c r="G102" s="289">
        <f>IF(B102="","",(C102-F102)*$B$10)</f>
        <v/>
      </c>
      <c r="H102" s="289">
        <f>IF(B102="","",MAX(0,D102+G102))</f>
        <v/>
      </c>
      <c r="I102" s="289">
        <f>IF(B102="","",$B$5+IF($B$7=0,0,H102/$B$7))</f>
        <v/>
      </c>
    </row>
    <row r="103">
      <c r="A103" s="288">
        <f>IF(B103="","",A102+1)</f>
        <v/>
      </c>
      <c r="B103" s="288">
        <f>IF(ROW()-15&lt;=$B$11,INDEX(Routing!$A:$A,ROW()-14),"")</f>
        <v/>
      </c>
      <c r="C103" s="289">
        <f>IF(B103="","",INDEX(Routing!$M:$M,ROW()-14))</f>
        <v/>
      </c>
      <c r="D103" s="289">
        <f>IF(B103="","",H102)</f>
        <v/>
      </c>
      <c r="E103" s="289">
        <f>IF(B103="","",$B$5+IF($B$7=0,0,D103/$B$7))</f>
        <v/>
      </c>
      <c r="F103" s="289">
        <f>IF(B103="","",IF(E103&lt;=J6,K6,IF(E103&gt;=J11,K11,INDEX(K6:K11,MATCH(E103,J6:J11,1))+(E103-INDEX(J6:J11,MATCH(E103,J6:J11,1)))*(INDEX(K6:K11,MATCH(E103,J6:J11,1)+1)-INDEX(K6:K11,MATCH(E103,J6:J11,1)))/(INDEX(J6:J11,MATCH(E103,J6:J11,1)+1)-INDEX(J6:J11,MATCH(E103,J6:J11,1))))))</f>
        <v/>
      </c>
      <c r="G103" s="289">
        <f>IF(B103="","",(C103-F103)*$B$10)</f>
        <v/>
      </c>
      <c r="H103" s="289">
        <f>IF(B103="","",MAX(0,D103+G103))</f>
        <v/>
      </c>
      <c r="I103" s="289">
        <f>IF(B103="","",$B$5+IF($B$7=0,0,H103/$B$7))</f>
        <v/>
      </c>
    </row>
    <row r="104">
      <c r="A104" s="288">
        <f>IF(B104="","",A103+1)</f>
        <v/>
      </c>
      <c r="B104" s="288">
        <f>IF(ROW()-15&lt;=$B$11,INDEX(Routing!$A:$A,ROW()-14),"")</f>
        <v/>
      </c>
      <c r="C104" s="289">
        <f>IF(B104="","",INDEX(Routing!$M:$M,ROW()-14))</f>
        <v/>
      </c>
      <c r="D104" s="289">
        <f>IF(B104="","",H103)</f>
        <v/>
      </c>
      <c r="E104" s="289">
        <f>IF(B104="","",$B$5+IF($B$7=0,0,D104/$B$7))</f>
        <v/>
      </c>
      <c r="F104" s="289">
        <f>IF(B104="","",IF(E104&lt;=J6,K6,IF(E104&gt;=J11,K11,INDEX(K6:K11,MATCH(E104,J6:J11,1))+(E104-INDEX(J6:J11,MATCH(E104,J6:J11,1)))*(INDEX(K6:K11,MATCH(E104,J6:J11,1)+1)-INDEX(K6:K11,MATCH(E104,J6:J11,1)))/(INDEX(J6:J11,MATCH(E104,J6:J11,1)+1)-INDEX(J6:J11,MATCH(E104,J6:J11,1))))))</f>
        <v/>
      </c>
      <c r="G104" s="289">
        <f>IF(B104="","",(C104-F104)*$B$10)</f>
        <v/>
      </c>
      <c r="H104" s="289">
        <f>IF(B104="","",MAX(0,D104+G104))</f>
        <v/>
      </c>
      <c r="I104" s="289">
        <f>IF(B104="","",$B$5+IF($B$7=0,0,H104/$B$7))</f>
        <v/>
      </c>
    </row>
    <row r="105">
      <c r="A105" s="288">
        <f>IF(B105="","",A104+1)</f>
        <v/>
      </c>
      <c r="B105" s="288">
        <f>IF(ROW()-15&lt;=$B$11,INDEX(Routing!$A:$A,ROW()-14),"")</f>
        <v/>
      </c>
      <c r="C105" s="289">
        <f>IF(B105="","",INDEX(Routing!$M:$M,ROW()-14))</f>
        <v/>
      </c>
      <c r="D105" s="289">
        <f>IF(B105="","",H104)</f>
        <v/>
      </c>
      <c r="E105" s="289">
        <f>IF(B105="","",$B$5+IF($B$7=0,0,D105/$B$7))</f>
        <v/>
      </c>
      <c r="F105" s="289">
        <f>IF(B105="","",IF(E105&lt;=J6,K6,IF(E105&gt;=J11,K11,INDEX(K6:K11,MATCH(E105,J6:J11,1))+(E105-INDEX(J6:J11,MATCH(E105,J6:J11,1)))*(INDEX(K6:K11,MATCH(E105,J6:J11,1)+1)-INDEX(K6:K11,MATCH(E105,J6:J11,1)))/(INDEX(J6:J11,MATCH(E105,J6:J11,1)+1)-INDEX(J6:J11,MATCH(E105,J6:J11,1))))))</f>
        <v/>
      </c>
      <c r="G105" s="289">
        <f>IF(B105="","",(C105-F105)*$B$10)</f>
        <v/>
      </c>
      <c r="H105" s="289">
        <f>IF(B105="","",MAX(0,D105+G105))</f>
        <v/>
      </c>
      <c r="I105" s="289">
        <f>IF(B105="","",$B$5+IF($B$7=0,0,H105/$B$7))</f>
        <v/>
      </c>
    </row>
    <row r="106">
      <c r="A106" s="288">
        <f>IF(B106="","",A105+1)</f>
        <v/>
      </c>
      <c r="B106" s="288">
        <f>IF(ROW()-15&lt;=$B$11,INDEX(Routing!$A:$A,ROW()-14),"")</f>
        <v/>
      </c>
      <c r="C106" s="289">
        <f>IF(B106="","",INDEX(Routing!$M:$M,ROW()-14))</f>
        <v/>
      </c>
      <c r="D106" s="289">
        <f>IF(B106="","",H105)</f>
        <v/>
      </c>
      <c r="E106" s="289">
        <f>IF(B106="","",$B$5+IF($B$7=0,0,D106/$B$7))</f>
        <v/>
      </c>
      <c r="F106" s="289">
        <f>IF(B106="","",IF(E106&lt;=J6,K6,IF(E106&gt;=J11,K11,INDEX(K6:K11,MATCH(E106,J6:J11,1))+(E106-INDEX(J6:J11,MATCH(E106,J6:J11,1)))*(INDEX(K6:K11,MATCH(E106,J6:J11,1)+1)-INDEX(K6:K11,MATCH(E106,J6:J11,1)))/(INDEX(J6:J11,MATCH(E106,J6:J11,1)+1)-INDEX(J6:J11,MATCH(E106,J6:J11,1))))))</f>
        <v/>
      </c>
      <c r="G106" s="289">
        <f>IF(B106="","",(C106-F106)*$B$10)</f>
        <v/>
      </c>
      <c r="H106" s="289">
        <f>IF(B106="","",MAX(0,D106+G106))</f>
        <v/>
      </c>
      <c r="I106" s="289">
        <f>IF(B106="","",$B$5+IF($B$7=0,0,H106/$B$7))</f>
        <v/>
      </c>
    </row>
    <row r="107">
      <c r="A107" s="288">
        <f>IF(B107="","",A106+1)</f>
        <v/>
      </c>
      <c r="B107" s="288">
        <f>IF(ROW()-15&lt;=$B$11,INDEX(Routing!$A:$A,ROW()-14),"")</f>
        <v/>
      </c>
      <c r="C107" s="289">
        <f>IF(B107="","",INDEX(Routing!$M:$M,ROW()-14))</f>
        <v/>
      </c>
      <c r="D107" s="289">
        <f>IF(B107="","",H106)</f>
        <v/>
      </c>
      <c r="E107" s="289">
        <f>IF(B107="","",$B$5+IF($B$7=0,0,D107/$B$7))</f>
        <v/>
      </c>
      <c r="F107" s="289">
        <f>IF(B107="","",IF(E107&lt;=J6,K6,IF(E107&gt;=J11,K11,INDEX(K6:K11,MATCH(E107,J6:J11,1))+(E107-INDEX(J6:J11,MATCH(E107,J6:J11,1)))*(INDEX(K6:K11,MATCH(E107,J6:J11,1)+1)-INDEX(K6:K11,MATCH(E107,J6:J11,1)))/(INDEX(J6:J11,MATCH(E107,J6:J11,1)+1)-INDEX(J6:J11,MATCH(E107,J6:J11,1))))))</f>
        <v/>
      </c>
      <c r="G107" s="289">
        <f>IF(B107="","",(C107-F107)*$B$10)</f>
        <v/>
      </c>
      <c r="H107" s="289">
        <f>IF(B107="","",MAX(0,D107+G107))</f>
        <v/>
      </c>
      <c r="I107" s="289">
        <f>IF(B107="","",$B$5+IF($B$7=0,0,H107/$B$7))</f>
        <v/>
      </c>
    </row>
    <row r="108">
      <c r="A108" s="288">
        <f>IF(B108="","",A107+1)</f>
        <v/>
      </c>
      <c r="B108" s="288">
        <f>IF(ROW()-15&lt;=$B$11,INDEX(Routing!$A:$A,ROW()-14),"")</f>
        <v/>
      </c>
      <c r="C108" s="289">
        <f>IF(B108="","",INDEX(Routing!$M:$M,ROW()-14))</f>
        <v/>
      </c>
      <c r="D108" s="289">
        <f>IF(B108="","",H107)</f>
        <v/>
      </c>
      <c r="E108" s="289">
        <f>IF(B108="","",$B$5+IF($B$7=0,0,D108/$B$7))</f>
        <v/>
      </c>
      <c r="F108" s="289">
        <f>IF(B108="","",IF(E108&lt;=J6,K6,IF(E108&gt;=J11,K11,INDEX(K6:K11,MATCH(E108,J6:J11,1))+(E108-INDEX(J6:J11,MATCH(E108,J6:J11,1)))*(INDEX(K6:K11,MATCH(E108,J6:J11,1)+1)-INDEX(K6:K11,MATCH(E108,J6:J11,1)))/(INDEX(J6:J11,MATCH(E108,J6:J11,1)+1)-INDEX(J6:J11,MATCH(E108,J6:J11,1))))))</f>
        <v/>
      </c>
      <c r="G108" s="289">
        <f>IF(B108="","",(C108-F108)*$B$10)</f>
        <v/>
      </c>
      <c r="H108" s="289">
        <f>IF(B108="","",MAX(0,D108+G108))</f>
        <v/>
      </c>
      <c r="I108" s="289">
        <f>IF(B108="","",$B$5+IF($B$7=0,0,H108/$B$7))</f>
        <v/>
      </c>
    </row>
    <row r="109">
      <c r="A109" s="288">
        <f>IF(B109="","",A108+1)</f>
        <v/>
      </c>
      <c r="B109" s="288">
        <f>IF(ROW()-15&lt;=$B$11,INDEX(Routing!$A:$A,ROW()-14),"")</f>
        <v/>
      </c>
      <c r="C109" s="289">
        <f>IF(B109="","",INDEX(Routing!$M:$M,ROW()-14))</f>
        <v/>
      </c>
      <c r="D109" s="289">
        <f>IF(B109="","",H108)</f>
        <v/>
      </c>
      <c r="E109" s="289">
        <f>IF(B109="","",$B$5+IF($B$7=0,0,D109/$B$7))</f>
        <v/>
      </c>
      <c r="F109" s="289">
        <f>IF(B109="","",IF(E109&lt;=J6,K6,IF(E109&gt;=J11,K11,INDEX(K6:K11,MATCH(E109,J6:J11,1))+(E109-INDEX(J6:J11,MATCH(E109,J6:J11,1)))*(INDEX(K6:K11,MATCH(E109,J6:J11,1)+1)-INDEX(K6:K11,MATCH(E109,J6:J11,1)))/(INDEX(J6:J11,MATCH(E109,J6:J11,1)+1)-INDEX(J6:J11,MATCH(E109,J6:J11,1))))))</f>
        <v/>
      </c>
      <c r="G109" s="289">
        <f>IF(B109="","",(C109-F109)*$B$10)</f>
        <v/>
      </c>
      <c r="H109" s="289">
        <f>IF(B109="","",MAX(0,D109+G109))</f>
        <v/>
      </c>
      <c r="I109" s="289">
        <f>IF(B109="","",$B$5+IF($B$7=0,0,H109/$B$7))</f>
        <v/>
      </c>
    </row>
    <row r="110">
      <c r="A110" s="288">
        <f>IF(B110="","",A109+1)</f>
        <v/>
      </c>
      <c r="B110" s="288">
        <f>IF(ROW()-15&lt;=$B$11,INDEX(Routing!$A:$A,ROW()-14),"")</f>
        <v/>
      </c>
      <c r="C110" s="289">
        <f>IF(B110="","",INDEX(Routing!$M:$M,ROW()-14))</f>
        <v/>
      </c>
      <c r="D110" s="289">
        <f>IF(B110="","",H109)</f>
        <v/>
      </c>
      <c r="E110" s="289">
        <f>IF(B110="","",$B$5+IF($B$7=0,0,D110/$B$7))</f>
        <v/>
      </c>
      <c r="F110" s="289">
        <f>IF(B110="","",IF(E110&lt;=J6,K6,IF(E110&gt;=J11,K11,INDEX(K6:K11,MATCH(E110,J6:J11,1))+(E110-INDEX(J6:J11,MATCH(E110,J6:J11,1)))*(INDEX(K6:K11,MATCH(E110,J6:J11,1)+1)-INDEX(K6:K11,MATCH(E110,J6:J11,1)))/(INDEX(J6:J11,MATCH(E110,J6:J11,1)+1)-INDEX(J6:J11,MATCH(E110,J6:J11,1))))))</f>
        <v/>
      </c>
      <c r="G110" s="289">
        <f>IF(B110="","",(C110-F110)*$B$10)</f>
        <v/>
      </c>
      <c r="H110" s="289">
        <f>IF(B110="","",MAX(0,D110+G110))</f>
        <v/>
      </c>
      <c r="I110" s="289">
        <f>IF(B110="","",$B$5+IF($B$7=0,0,H110/$B$7))</f>
        <v/>
      </c>
    </row>
    <row r="111">
      <c r="A111" s="288">
        <f>IF(B111="","",A110+1)</f>
        <v/>
      </c>
      <c r="B111" s="288">
        <f>IF(ROW()-15&lt;=$B$11,INDEX(Routing!$A:$A,ROW()-14),"")</f>
        <v/>
      </c>
      <c r="C111" s="289">
        <f>IF(B111="","",INDEX(Routing!$M:$M,ROW()-14))</f>
        <v/>
      </c>
      <c r="D111" s="289">
        <f>IF(B111="","",H110)</f>
        <v/>
      </c>
      <c r="E111" s="289">
        <f>IF(B111="","",$B$5+IF($B$7=0,0,D111/$B$7))</f>
        <v/>
      </c>
      <c r="F111" s="289">
        <f>IF(B111="","",IF(E111&lt;=J6,K6,IF(E111&gt;=J11,K11,INDEX(K6:K11,MATCH(E111,J6:J11,1))+(E111-INDEX(J6:J11,MATCH(E111,J6:J11,1)))*(INDEX(K6:K11,MATCH(E111,J6:J11,1)+1)-INDEX(K6:K11,MATCH(E111,J6:J11,1)))/(INDEX(J6:J11,MATCH(E111,J6:J11,1)+1)-INDEX(J6:J11,MATCH(E111,J6:J11,1))))))</f>
        <v/>
      </c>
      <c r="G111" s="289">
        <f>IF(B111="","",(C111-F111)*$B$10)</f>
        <v/>
      </c>
      <c r="H111" s="289">
        <f>IF(B111="","",MAX(0,D111+G111))</f>
        <v/>
      </c>
      <c r="I111" s="289">
        <f>IF(B111="","",$B$5+IF($B$7=0,0,H111/$B$7))</f>
        <v/>
      </c>
    </row>
    <row r="112">
      <c r="A112" s="288">
        <f>IF(B112="","",A111+1)</f>
        <v/>
      </c>
      <c r="B112" s="288">
        <f>IF(ROW()-15&lt;=$B$11,INDEX(Routing!$A:$A,ROW()-14),"")</f>
        <v/>
      </c>
      <c r="C112" s="289">
        <f>IF(B112="","",INDEX(Routing!$M:$M,ROW()-14))</f>
        <v/>
      </c>
      <c r="D112" s="289">
        <f>IF(B112="","",H111)</f>
        <v/>
      </c>
      <c r="E112" s="289">
        <f>IF(B112="","",$B$5+IF($B$7=0,0,D112/$B$7))</f>
        <v/>
      </c>
      <c r="F112" s="289">
        <f>IF(B112="","",IF(E112&lt;=J6,K6,IF(E112&gt;=J11,K11,INDEX(K6:K11,MATCH(E112,J6:J11,1))+(E112-INDEX(J6:J11,MATCH(E112,J6:J11,1)))*(INDEX(K6:K11,MATCH(E112,J6:J11,1)+1)-INDEX(K6:K11,MATCH(E112,J6:J11,1)))/(INDEX(J6:J11,MATCH(E112,J6:J11,1)+1)-INDEX(J6:J11,MATCH(E112,J6:J11,1))))))</f>
        <v/>
      </c>
      <c r="G112" s="289">
        <f>IF(B112="","",(C112-F112)*$B$10)</f>
        <v/>
      </c>
      <c r="H112" s="289">
        <f>IF(B112="","",MAX(0,D112+G112))</f>
        <v/>
      </c>
      <c r="I112" s="289">
        <f>IF(B112="","",$B$5+IF($B$7=0,0,H112/$B$7))</f>
        <v/>
      </c>
    </row>
    <row r="113">
      <c r="A113" s="288">
        <f>IF(B113="","",A112+1)</f>
        <v/>
      </c>
      <c r="B113" s="288">
        <f>IF(ROW()-15&lt;=$B$11,INDEX(Routing!$A:$A,ROW()-14),"")</f>
        <v/>
      </c>
      <c r="C113" s="289">
        <f>IF(B113="","",INDEX(Routing!$M:$M,ROW()-14))</f>
        <v/>
      </c>
      <c r="D113" s="289">
        <f>IF(B113="","",H112)</f>
        <v/>
      </c>
      <c r="E113" s="289">
        <f>IF(B113="","",$B$5+IF($B$7=0,0,D113/$B$7))</f>
        <v/>
      </c>
      <c r="F113" s="289">
        <f>IF(B113="","",IF(E113&lt;=J6,K6,IF(E113&gt;=J11,K11,INDEX(K6:K11,MATCH(E113,J6:J11,1))+(E113-INDEX(J6:J11,MATCH(E113,J6:J11,1)))*(INDEX(K6:K11,MATCH(E113,J6:J11,1)+1)-INDEX(K6:K11,MATCH(E113,J6:J11,1)))/(INDEX(J6:J11,MATCH(E113,J6:J11,1)+1)-INDEX(J6:J11,MATCH(E113,J6:J11,1))))))</f>
        <v/>
      </c>
      <c r="G113" s="289">
        <f>IF(B113="","",(C113-F113)*$B$10)</f>
        <v/>
      </c>
      <c r="H113" s="289">
        <f>IF(B113="","",MAX(0,D113+G113))</f>
        <v/>
      </c>
      <c r="I113" s="289">
        <f>IF(B113="","",$B$5+IF($B$7=0,0,H113/$B$7))</f>
        <v/>
      </c>
    </row>
    <row r="114">
      <c r="A114" s="288">
        <f>IF(B114="","",A113+1)</f>
        <v/>
      </c>
      <c r="B114" s="288">
        <f>IF(ROW()-15&lt;=$B$11,INDEX(Routing!$A:$A,ROW()-14),"")</f>
        <v/>
      </c>
      <c r="C114" s="289">
        <f>IF(B114="","",INDEX(Routing!$M:$M,ROW()-14))</f>
        <v/>
      </c>
      <c r="D114" s="289">
        <f>IF(B114="","",H113)</f>
        <v/>
      </c>
      <c r="E114" s="289">
        <f>IF(B114="","",$B$5+IF($B$7=0,0,D114/$B$7))</f>
        <v/>
      </c>
      <c r="F114" s="289">
        <f>IF(B114="","",IF(E114&lt;=J6,K6,IF(E114&gt;=J11,K11,INDEX(K6:K11,MATCH(E114,J6:J11,1))+(E114-INDEX(J6:J11,MATCH(E114,J6:J11,1)))*(INDEX(K6:K11,MATCH(E114,J6:J11,1)+1)-INDEX(K6:K11,MATCH(E114,J6:J11,1)))/(INDEX(J6:J11,MATCH(E114,J6:J11,1)+1)-INDEX(J6:J11,MATCH(E114,J6:J11,1))))))</f>
        <v/>
      </c>
      <c r="G114" s="289">
        <f>IF(B114="","",(C114-F114)*$B$10)</f>
        <v/>
      </c>
      <c r="H114" s="289">
        <f>IF(B114="","",MAX(0,D114+G114))</f>
        <v/>
      </c>
      <c r="I114" s="289">
        <f>IF(B114="","",$B$5+IF($B$7=0,0,H114/$B$7))</f>
        <v/>
      </c>
    </row>
    <row r="115">
      <c r="A115" s="288">
        <f>IF(B115="","",A114+1)</f>
        <v/>
      </c>
      <c r="B115" s="288">
        <f>IF(ROW()-15&lt;=$B$11,INDEX(Routing!$A:$A,ROW()-14),"")</f>
        <v/>
      </c>
      <c r="C115" s="289">
        <f>IF(B115="","",INDEX(Routing!$M:$M,ROW()-14))</f>
        <v/>
      </c>
      <c r="D115" s="289">
        <f>IF(B115="","",H114)</f>
        <v/>
      </c>
      <c r="E115" s="289">
        <f>IF(B115="","",$B$5+IF($B$7=0,0,D115/$B$7))</f>
        <v/>
      </c>
      <c r="F115" s="289">
        <f>IF(B115="","",IF(E115&lt;=J6,K6,IF(E115&gt;=J11,K11,INDEX(K6:K11,MATCH(E115,J6:J11,1))+(E115-INDEX(J6:J11,MATCH(E115,J6:J11,1)))*(INDEX(K6:K11,MATCH(E115,J6:J11,1)+1)-INDEX(K6:K11,MATCH(E115,J6:J11,1)))/(INDEX(J6:J11,MATCH(E115,J6:J11,1)+1)-INDEX(J6:J11,MATCH(E115,J6:J11,1))))))</f>
        <v/>
      </c>
      <c r="G115" s="289">
        <f>IF(B115="","",(C115-F115)*$B$10)</f>
        <v/>
      </c>
      <c r="H115" s="289">
        <f>IF(B115="","",MAX(0,D115+G115))</f>
        <v/>
      </c>
      <c r="I115" s="289">
        <f>IF(B115="","",$B$5+IF($B$7=0,0,H115/$B$7))</f>
        <v/>
      </c>
    </row>
    <row r="116">
      <c r="A116" s="288">
        <f>IF(B116="","",A115+1)</f>
        <v/>
      </c>
      <c r="B116" s="288">
        <f>IF(ROW()-15&lt;=$B$11,INDEX(Routing!$A:$A,ROW()-14),"")</f>
        <v/>
      </c>
      <c r="C116" s="289">
        <f>IF(B116="","",INDEX(Routing!$M:$M,ROW()-14))</f>
        <v/>
      </c>
      <c r="D116" s="289">
        <f>IF(B116="","",H115)</f>
        <v/>
      </c>
      <c r="E116" s="289">
        <f>IF(B116="","",$B$5+IF($B$7=0,0,D116/$B$7))</f>
        <v/>
      </c>
      <c r="F116" s="289">
        <f>IF(B116="","",IF(E116&lt;=J6,K6,IF(E116&gt;=J11,K11,INDEX(K6:K11,MATCH(E116,J6:J11,1))+(E116-INDEX(J6:J11,MATCH(E116,J6:J11,1)))*(INDEX(K6:K11,MATCH(E116,J6:J11,1)+1)-INDEX(K6:K11,MATCH(E116,J6:J11,1)))/(INDEX(J6:J11,MATCH(E116,J6:J11,1)+1)-INDEX(J6:J11,MATCH(E116,J6:J11,1))))))</f>
        <v/>
      </c>
      <c r="G116" s="289">
        <f>IF(B116="","",(C116-F116)*$B$10)</f>
        <v/>
      </c>
      <c r="H116" s="289">
        <f>IF(B116="","",MAX(0,D116+G116))</f>
        <v/>
      </c>
      <c r="I116" s="289">
        <f>IF(B116="","",$B$5+IF($B$7=0,0,H116/$B$7))</f>
        <v/>
      </c>
    </row>
    <row r="117">
      <c r="A117" s="288">
        <f>IF(B117="","",A116+1)</f>
        <v/>
      </c>
      <c r="B117" s="288">
        <f>IF(ROW()-15&lt;=$B$11,INDEX(Routing!$A:$A,ROW()-14),"")</f>
        <v/>
      </c>
      <c r="C117" s="289">
        <f>IF(B117="","",INDEX(Routing!$M:$M,ROW()-14))</f>
        <v/>
      </c>
      <c r="D117" s="289">
        <f>IF(B117="","",H116)</f>
        <v/>
      </c>
      <c r="E117" s="289">
        <f>IF(B117="","",$B$5+IF($B$7=0,0,D117/$B$7))</f>
        <v/>
      </c>
      <c r="F117" s="289">
        <f>IF(B117="","",IF(E117&lt;=J6,K6,IF(E117&gt;=J11,K11,INDEX(K6:K11,MATCH(E117,J6:J11,1))+(E117-INDEX(J6:J11,MATCH(E117,J6:J11,1)))*(INDEX(K6:K11,MATCH(E117,J6:J11,1)+1)-INDEX(K6:K11,MATCH(E117,J6:J11,1)))/(INDEX(J6:J11,MATCH(E117,J6:J11,1)+1)-INDEX(J6:J11,MATCH(E117,J6:J11,1))))))</f>
        <v/>
      </c>
      <c r="G117" s="289">
        <f>IF(B117="","",(C117-F117)*$B$10)</f>
        <v/>
      </c>
      <c r="H117" s="289">
        <f>IF(B117="","",MAX(0,D117+G117))</f>
        <v/>
      </c>
      <c r="I117" s="289">
        <f>IF(B117="","",$B$5+IF($B$7=0,0,H117/$B$7))</f>
        <v/>
      </c>
    </row>
    <row r="118">
      <c r="A118" s="288">
        <f>IF(B118="","",A117+1)</f>
        <v/>
      </c>
      <c r="B118" s="288">
        <f>IF(ROW()-15&lt;=$B$11,INDEX(Routing!$A:$A,ROW()-14),"")</f>
        <v/>
      </c>
      <c r="C118" s="289">
        <f>IF(B118="","",INDEX(Routing!$M:$M,ROW()-14))</f>
        <v/>
      </c>
      <c r="D118" s="289">
        <f>IF(B118="","",H117)</f>
        <v/>
      </c>
      <c r="E118" s="289">
        <f>IF(B118="","",$B$5+IF($B$7=0,0,D118/$B$7))</f>
        <v/>
      </c>
      <c r="F118" s="289">
        <f>IF(B118="","",IF(E118&lt;=J6,K6,IF(E118&gt;=J11,K11,INDEX(K6:K11,MATCH(E118,J6:J11,1))+(E118-INDEX(J6:J11,MATCH(E118,J6:J11,1)))*(INDEX(K6:K11,MATCH(E118,J6:J11,1)+1)-INDEX(K6:K11,MATCH(E118,J6:J11,1)))/(INDEX(J6:J11,MATCH(E118,J6:J11,1)+1)-INDEX(J6:J11,MATCH(E118,J6:J11,1))))))</f>
        <v/>
      </c>
      <c r="G118" s="289">
        <f>IF(B118="","",(C118-F118)*$B$10)</f>
        <v/>
      </c>
      <c r="H118" s="289">
        <f>IF(B118="","",MAX(0,D118+G118))</f>
        <v/>
      </c>
      <c r="I118" s="289">
        <f>IF(B118="","",$B$5+IF($B$7=0,0,H118/$B$7))</f>
        <v/>
      </c>
    </row>
    <row r="119">
      <c r="A119" s="288">
        <f>IF(B119="","",A118+1)</f>
        <v/>
      </c>
      <c r="B119" s="288">
        <f>IF(ROW()-15&lt;=$B$11,INDEX(Routing!$A:$A,ROW()-14),"")</f>
        <v/>
      </c>
      <c r="C119" s="289">
        <f>IF(B119="","",INDEX(Routing!$M:$M,ROW()-14))</f>
        <v/>
      </c>
      <c r="D119" s="289">
        <f>IF(B119="","",H118)</f>
        <v/>
      </c>
      <c r="E119" s="289">
        <f>IF(B119="","",$B$5+IF($B$7=0,0,D119/$B$7))</f>
        <v/>
      </c>
      <c r="F119" s="289">
        <f>IF(B119="","",IF(E119&lt;=J6,K6,IF(E119&gt;=J11,K11,INDEX(K6:K11,MATCH(E119,J6:J11,1))+(E119-INDEX(J6:J11,MATCH(E119,J6:J11,1)))*(INDEX(K6:K11,MATCH(E119,J6:J11,1)+1)-INDEX(K6:K11,MATCH(E119,J6:J11,1)))/(INDEX(J6:J11,MATCH(E119,J6:J11,1)+1)-INDEX(J6:J11,MATCH(E119,J6:J11,1))))))</f>
        <v/>
      </c>
      <c r="G119" s="289">
        <f>IF(B119="","",(C119-F119)*$B$10)</f>
        <v/>
      </c>
      <c r="H119" s="289">
        <f>IF(B119="","",MAX(0,D119+G119))</f>
        <v/>
      </c>
      <c r="I119" s="289">
        <f>IF(B119="","",$B$5+IF($B$7=0,0,H119/$B$7))</f>
        <v/>
      </c>
    </row>
    <row r="120">
      <c r="A120" s="288">
        <f>IF(B120="","",A119+1)</f>
        <v/>
      </c>
      <c r="B120" s="288">
        <f>IF(ROW()-15&lt;=$B$11,INDEX(Routing!$A:$A,ROW()-14),"")</f>
        <v/>
      </c>
      <c r="C120" s="289">
        <f>IF(B120="","",INDEX(Routing!$M:$M,ROW()-14))</f>
        <v/>
      </c>
      <c r="D120" s="289">
        <f>IF(B120="","",H119)</f>
        <v/>
      </c>
      <c r="E120" s="289">
        <f>IF(B120="","",$B$5+IF($B$7=0,0,D120/$B$7))</f>
        <v/>
      </c>
      <c r="F120" s="289">
        <f>IF(B120="","",IF(E120&lt;=J6,K6,IF(E120&gt;=J11,K11,INDEX(K6:K11,MATCH(E120,J6:J11,1))+(E120-INDEX(J6:J11,MATCH(E120,J6:J11,1)))*(INDEX(K6:K11,MATCH(E120,J6:J11,1)+1)-INDEX(K6:K11,MATCH(E120,J6:J11,1)))/(INDEX(J6:J11,MATCH(E120,J6:J11,1)+1)-INDEX(J6:J11,MATCH(E120,J6:J11,1))))))</f>
        <v/>
      </c>
      <c r="G120" s="289">
        <f>IF(B120="","",(C120-F120)*$B$10)</f>
        <v/>
      </c>
      <c r="H120" s="289">
        <f>IF(B120="","",MAX(0,D120+G120))</f>
        <v/>
      </c>
      <c r="I120" s="289">
        <f>IF(B120="","",$B$5+IF($B$7=0,0,H120/$B$7))</f>
        <v/>
      </c>
    </row>
    <row r="121">
      <c r="A121" s="288">
        <f>IF(B121="","",A120+1)</f>
        <v/>
      </c>
      <c r="B121" s="288">
        <f>IF(ROW()-15&lt;=$B$11,INDEX(Routing!$A:$A,ROW()-14),"")</f>
        <v/>
      </c>
      <c r="C121" s="289">
        <f>IF(B121="","",INDEX(Routing!$M:$M,ROW()-14))</f>
        <v/>
      </c>
      <c r="D121" s="289">
        <f>IF(B121="","",H120)</f>
        <v/>
      </c>
      <c r="E121" s="289">
        <f>IF(B121="","",$B$5+IF($B$7=0,0,D121/$B$7))</f>
        <v/>
      </c>
      <c r="F121" s="289">
        <f>IF(B121="","",IF(E121&lt;=J6,K6,IF(E121&gt;=J11,K11,INDEX(K6:K11,MATCH(E121,J6:J11,1))+(E121-INDEX(J6:J11,MATCH(E121,J6:J11,1)))*(INDEX(K6:K11,MATCH(E121,J6:J11,1)+1)-INDEX(K6:K11,MATCH(E121,J6:J11,1)))/(INDEX(J6:J11,MATCH(E121,J6:J11,1)+1)-INDEX(J6:J11,MATCH(E121,J6:J11,1))))))</f>
        <v/>
      </c>
      <c r="G121" s="289">
        <f>IF(B121="","",(C121-F121)*$B$10)</f>
        <v/>
      </c>
      <c r="H121" s="289">
        <f>IF(B121="","",MAX(0,D121+G121))</f>
        <v/>
      </c>
      <c r="I121" s="289">
        <f>IF(B121="","",$B$5+IF($B$7=0,0,H121/$B$7))</f>
        <v/>
      </c>
    </row>
    <row r="122">
      <c r="A122" s="288">
        <f>IF(B122="","",A121+1)</f>
        <v/>
      </c>
      <c r="B122" s="288">
        <f>IF(ROW()-15&lt;=$B$11,INDEX(Routing!$A:$A,ROW()-14),"")</f>
        <v/>
      </c>
      <c r="C122" s="289">
        <f>IF(B122="","",INDEX(Routing!$M:$M,ROW()-14))</f>
        <v/>
      </c>
      <c r="D122" s="289">
        <f>IF(B122="","",H121)</f>
        <v/>
      </c>
      <c r="E122" s="289">
        <f>IF(B122="","",$B$5+IF($B$7=0,0,D122/$B$7))</f>
        <v/>
      </c>
      <c r="F122" s="289">
        <f>IF(B122="","",IF(E122&lt;=J6,K6,IF(E122&gt;=J11,K11,INDEX(K6:K11,MATCH(E122,J6:J11,1))+(E122-INDEX(J6:J11,MATCH(E122,J6:J11,1)))*(INDEX(K6:K11,MATCH(E122,J6:J11,1)+1)-INDEX(K6:K11,MATCH(E122,J6:J11,1)))/(INDEX(J6:J11,MATCH(E122,J6:J11,1)+1)-INDEX(J6:J11,MATCH(E122,J6:J11,1))))))</f>
        <v/>
      </c>
      <c r="G122" s="289">
        <f>IF(B122="","",(C122-F122)*$B$10)</f>
        <v/>
      </c>
      <c r="H122" s="289">
        <f>IF(B122="","",MAX(0,D122+G122))</f>
        <v/>
      </c>
      <c r="I122" s="289">
        <f>IF(B122="","",$B$5+IF($B$7=0,0,H122/$B$7))</f>
        <v/>
      </c>
    </row>
    <row r="123">
      <c r="A123" s="288">
        <f>IF(B123="","",A122+1)</f>
        <v/>
      </c>
      <c r="B123" s="288">
        <f>IF(ROW()-15&lt;=$B$11,INDEX(Routing!$A:$A,ROW()-14),"")</f>
        <v/>
      </c>
      <c r="C123" s="289">
        <f>IF(B123="","",INDEX(Routing!$M:$M,ROW()-14))</f>
        <v/>
      </c>
      <c r="D123" s="289">
        <f>IF(B123="","",H122)</f>
        <v/>
      </c>
      <c r="E123" s="289">
        <f>IF(B123="","",$B$5+IF($B$7=0,0,D123/$B$7))</f>
        <v/>
      </c>
      <c r="F123" s="289">
        <f>IF(B123="","",IF(E123&lt;=J6,K6,IF(E123&gt;=J11,K11,INDEX(K6:K11,MATCH(E123,J6:J11,1))+(E123-INDEX(J6:J11,MATCH(E123,J6:J11,1)))*(INDEX(K6:K11,MATCH(E123,J6:J11,1)+1)-INDEX(K6:K11,MATCH(E123,J6:J11,1)))/(INDEX(J6:J11,MATCH(E123,J6:J11,1)+1)-INDEX(J6:J11,MATCH(E123,J6:J11,1))))))</f>
        <v/>
      </c>
      <c r="G123" s="289">
        <f>IF(B123="","",(C123-F123)*$B$10)</f>
        <v/>
      </c>
      <c r="H123" s="289">
        <f>IF(B123="","",MAX(0,D123+G123))</f>
        <v/>
      </c>
      <c r="I123" s="289">
        <f>IF(B123="","",$B$5+IF($B$7=0,0,H123/$B$7))</f>
        <v/>
      </c>
    </row>
    <row r="124">
      <c r="A124" s="288">
        <f>IF(B124="","",A123+1)</f>
        <v/>
      </c>
      <c r="B124" s="288">
        <f>IF(ROW()-15&lt;=$B$11,INDEX(Routing!$A:$A,ROW()-14),"")</f>
        <v/>
      </c>
      <c r="C124" s="289">
        <f>IF(B124="","",INDEX(Routing!$M:$M,ROW()-14))</f>
        <v/>
      </c>
      <c r="D124" s="289">
        <f>IF(B124="","",H123)</f>
        <v/>
      </c>
      <c r="E124" s="289">
        <f>IF(B124="","",$B$5+IF($B$7=0,0,D124/$B$7))</f>
        <v/>
      </c>
      <c r="F124" s="289">
        <f>IF(B124="","",IF(E124&lt;=J6,K6,IF(E124&gt;=J11,K11,INDEX(K6:K11,MATCH(E124,J6:J11,1))+(E124-INDEX(J6:J11,MATCH(E124,J6:J11,1)))*(INDEX(K6:K11,MATCH(E124,J6:J11,1)+1)-INDEX(K6:K11,MATCH(E124,J6:J11,1)))/(INDEX(J6:J11,MATCH(E124,J6:J11,1)+1)-INDEX(J6:J11,MATCH(E124,J6:J11,1))))))</f>
        <v/>
      </c>
      <c r="G124" s="289">
        <f>IF(B124="","",(C124-F124)*$B$10)</f>
        <v/>
      </c>
      <c r="H124" s="289">
        <f>IF(B124="","",MAX(0,D124+G124))</f>
        <v/>
      </c>
      <c r="I124" s="289">
        <f>IF(B124="","",$B$5+IF($B$7=0,0,H124/$B$7))</f>
        <v/>
      </c>
    </row>
    <row r="125">
      <c r="A125" s="288">
        <f>IF(B125="","",A124+1)</f>
        <v/>
      </c>
      <c r="B125" s="288">
        <f>IF(ROW()-15&lt;=$B$11,INDEX(Routing!$A:$A,ROW()-14),"")</f>
        <v/>
      </c>
      <c r="C125" s="289">
        <f>IF(B125="","",INDEX(Routing!$M:$M,ROW()-14))</f>
        <v/>
      </c>
      <c r="D125" s="289">
        <f>IF(B125="","",H124)</f>
        <v/>
      </c>
      <c r="E125" s="289">
        <f>IF(B125="","",$B$5+IF($B$7=0,0,D125/$B$7))</f>
        <v/>
      </c>
      <c r="F125" s="289">
        <f>IF(B125="","",IF(E125&lt;=J6,K6,IF(E125&gt;=J11,K11,INDEX(K6:K11,MATCH(E125,J6:J11,1))+(E125-INDEX(J6:J11,MATCH(E125,J6:J11,1)))*(INDEX(K6:K11,MATCH(E125,J6:J11,1)+1)-INDEX(K6:K11,MATCH(E125,J6:J11,1)))/(INDEX(J6:J11,MATCH(E125,J6:J11,1)+1)-INDEX(J6:J11,MATCH(E125,J6:J11,1))))))</f>
        <v/>
      </c>
      <c r="G125" s="289">
        <f>IF(B125="","",(C125-F125)*$B$10)</f>
        <v/>
      </c>
      <c r="H125" s="289">
        <f>IF(B125="","",MAX(0,D125+G125))</f>
        <v/>
      </c>
      <c r="I125" s="289">
        <f>IF(B125="","",$B$5+IF($B$7=0,0,H125/$B$7))</f>
        <v/>
      </c>
    </row>
    <row r="126">
      <c r="A126" s="288">
        <f>IF(B126="","",A125+1)</f>
        <v/>
      </c>
      <c r="B126" s="288">
        <f>IF(ROW()-15&lt;=$B$11,INDEX(Routing!$A:$A,ROW()-14),"")</f>
        <v/>
      </c>
      <c r="C126" s="289">
        <f>IF(B126="","",INDEX(Routing!$M:$M,ROW()-14))</f>
        <v/>
      </c>
      <c r="D126" s="289">
        <f>IF(B126="","",H125)</f>
        <v/>
      </c>
      <c r="E126" s="289">
        <f>IF(B126="","",$B$5+IF($B$7=0,0,D126/$B$7))</f>
        <v/>
      </c>
      <c r="F126" s="289">
        <f>IF(B126="","",IF(E126&lt;=J6,K6,IF(E126&gt;=J11,K11,INDEX(K6:K11,MATCH(E126,J6:J11,1))+(E126-INDEX(J6:J11,MATCH(E126,J6:J11,1)))*(INDEX(K6:K11,MATCH(E126,J6:J11,1)+1)-INDEX(K6:K11,MATCH(E126,J6:J11,1)))/(INDEX(J6:J11,MATCH(E126,J6:J11,1)+1)-INDEX(J6:J11,MATCH(E126,J6:J11,1))))))</f>
        <v/>
      </c>
      <c r="G126" s="289">
        <f>IF(B126="","",(C126-F126)*$B$10)</f>
        <v/>
      </c>
      <c r="H126" s="289">
        <f>IF(B126="","",MAX(0,D126+G126))</f>
        <v/>
      </c>
      <c r="I126" s="289">
        <f>IF(B126="","",$B$5+IF($B$7=0,0,H126/$B$7))</f>
        <v/>
      </c>
    </row>
    <row r="127">
      <c r="A127" s="288">
        <f>IF(B127="","",A126+1)</f>
        <v/>
      </c>
      <c r="B127" s="288">
        <f>IF(ROW()-15&lt;=$B$11,INDEX(Routing!$A:$A,ROW()-14),"")</f>
        <v/>
      </c>
      <c r="C127" s="289">
        <f>IF(B127="","",INDEX(Routing!$M:$M,ROW()-14))</f>
        <v/>
      </c>
      <c r="D127" s="289">
        <f>IF(B127="","",H126)</f>
        <v/>
      </c>
      <c r="E127" s="289">
        <f>IF(B127="","",$B$5+IF($B$7=0,0,D127/$B$7))</f>
        <v/>
      </c>
      <c r="F127" s="289">
        <f>IF(B127="","",IF(E127&lt;=J6,K6,IF(E127&gt;=J11,K11,INDEX(K6:K11,MATCH(E127,J6:J11,1))+(E127-INDEX(J6:J11,MATCH(E127,J6:J11,1)))*(INDEX(K6:K11,MATCH(E127,J6:J11,1)+1)-INDEX(K6:K11,MATCH(E127,J6:J11,1)))/(INDEX(J6:J11,MATCH(E127,J6:J11,1)+1)-INDEX(J6:J11,MATCH(E127,J6:J11,1))))))</f>
        <v/>
      </c>
      <c r="G127" s="289">
        <f>IF(B127="","",(C127-F127)*$B$10)</f>
        <v/>
      </c>
      <c r="H127" s="289">
        <f>IF(B127="","",MAX(0,D127+G127))</f>
        <v/>
      </c>
      <c r="I127" s="289">
        <f>IF(B127="","",$B$5+IF($B$7=0,0,H127/$B$7))</f>
        <v/>
      </c>
    </row>
    <row r="128">
      <c r="A128" s="288">
        <f>IF(B128="","",A127+1)</f>
        <v/>
      </c>
      <c r="B128" s="288">
        <f>IF(ROW()-15&lt;=$B$11,INDEX(Routing!$A:$A,ROW()-14),"")</f>
        <v/>
      </c>
      <c r="C128" s="289">
        <f>IF(B128="","",INDEX(Routing!$M:$M,ROW()-14))</f>
        <v/>
      </c>
      <c r="D128" s="289">
        <f>IF(B128="","",H127)</f>
        <v/>
      </c>
      <c r="E128" s="289">
        <f>IF(B128="","",$B$5+IF($B$7=0,0,D128/$B$7))</f>
        <v/>
      </c>
      <c r="F128" s="289">
        <f>IF(B128="","",IF(E128&lt;=J6,K6,IF(E128&gt;=J11,K11,INDEX(K6:K11,MATCH(E128,J6:J11,1))+(E128-INDEX(J6:J11,MATCH(E128,J6:J11,1)))*(INDEX(K6:K11,MATCH(E128,J6:J11,1)+1)-INDEX(K6:K11,MATCH(E128,J6:J11,1)))/(INDEX(J6:J11,MATCH(E128,J6:J11,1)+1)-INDEX(J6:J11,MATCH(E128,J6:J11,1))))))</f>
        <v/>
      </c>
      <c r="G128" s="289">
        <f>IF(B128="","",(C128-F128)*$B$10)</f>
        <v/>
      </c>
      <c r="H128" s="289">
        <f>IF(B128="","",MAX(0,D128+G128))</f>
        <v/>
      </c>
      <c r="I128" s="289">
        <f>IF(B128="","",$B$5+IF($B$7=0,0,H128/$B$7))</f>
        <v/>
      </c>
    </row>
    <row r="129">
      <c r="A129" s="288">
        <f>IF(B129="","",A128+1)</f>
        <v/>
      </c>
      <c r="B129" s="288">
        <f>IF(ROW()-15&lt;=$B$11,INDEX(Routing!$A:$A,ROW()-14),"")</f>
        <v/>
      </c>
      <c r="C129" s="289">
        <f>IF(B129="","",INDEX(Routing!$M:$M,ROW()-14))</f>
        <v/>
      </c>
      <c r="D129" s="289">
        <f>IF(B129="","",H128)</f>
        <v/>
      </c>
      <c r="E129" s="289">
        <f>IF(B129="","",$B$5+IF($B$7=0,0,D129/$B$7))</f>
        <v/>
      </c>
      <c r="F129" s="289">
        <f>IF(B129="","",IF(E129&lt;=J6,K6,IF(E129&gt;=J11,K11,INDEX(K6:K11,MATCH(E129,J6:J11,1))+(E129-INDEX(J6:J11,MATCH(E129,J6:J11,1)))*(INDEX(K6:K11,MATCH(E129,J6:J11,1)+1)-INDEX(K6:K11,MATCH(E129,J6:J11,1)))/(INDEX(J6:J11,MATCH(E129,J6:J11,1)+1)-INDEX(J6:J11,MATCH(E129,J6:J11,1))))))</f>
        <v/>
      </c>
      <c r="G129" s="289">
        <f>IF(B129="","",(C129-F129)*$B$10)</f>
        <v/>
      </c>
      <c r="H129" s="289">
        <f>IF(B129="","",MAX(0,D129+G129))</f>
        <v/>
      </c>
      <c r="I129" s="289">
        <f>IF(B129="","",$B$5+IF($B$7=0,0,H129/$B$7))</f>
        <v/>
      </c>
    </row>
    <row r="130">
      <c r="A130" s="288">
        <f>IF(B130="","",A129+1)</f>
        <v/>
      </c>
      <c r="B130" s="288">
        <f>IF(ROW()-15&lt;=$B$11,INDEX(Routing!$A:$A,ROW()-14),"")</f>
        <v/>
      </c>
      <c r="C130" s="289">
        <f>IF(B130="","",INDEX(Routing!$M:$M,ROW()-14))</f>
        <v/>
      </c>
      <c r="D130" s="289">
        <f>IF(B130="","",H129)</f>
        <v/>
      </c>
      <c r="E130" s="289">
        <f>IF(B130="","",$B$5+IF($B$7=0,0,D130/$B$7))</f>
        <v/>
      </c>
      <c r="F130" s="289">
        <f>IF(B130="","",IF(E130&lt;=J6,K6,IF(E130&gt;=J11,K11,INDEX(K6:K11,MATCH(E130,J6:J11,1))+(E130-INDEX(J6:J11,MATCH(E130,J6:J11,1)))*(INDEX(K6:K11,MATCH(E130,J6:J11,1)+1)-INDEX(K6:K11,MATCH(E130,J6:J11,1)))/(INDEX(J6:J11,MATCH(E130,J6:J11,1)+1)-INDEX(J6:J11,MATCH(E130,J6:J11,1))))))</f>
        <v/>
      </c>
      <c r="G130" s="289">
        <f>IF(B130="","",(C130-F130)*$B$10)</f>
        <v/>
      </c>
      <c r="H130" s="289">
        <f>IF(B130="","",MAX(0,D130+G130))</f>
        <v/>
      </c>
      <c r="I130" s="289">
        <f>IF(B130="","",$B$5+IF($B$7=0,0,H130/$B$7))</f>
        <v/>
      </c>
    </row>
    <row r="131">
      <c r="A131" s="288">
        <f>IF(B131="","",A130+1)</f>
        <v/>
      </c>
      <c r="B131" s="288">
        <f>IF(ROW()-15&lt;=$B$11,INDEX(Routing!$A:$A,ROW()-14),"")</f>
        <v/>
      </c>
      <c r="C131" s="289">
        <f>IF(B131="","",INDEX(Routing!$M:$M,ROW()-14))</f>
        <v/>
      </c>
      <c r="D131" s="289">
        <f>IF(B131="","",H130)</f>
        <v/>
      </c>
      <c r="E131" s="289">
        <f>IF(B131="","",$B$5+IF($B$7=0,0,D131/$B$7))</f>
        <v/>
      </c>
      <c r="F131" s="289">
        <f>IF(B131="","",IF(E131&lt;=J6,K6,IF(E131&gt;=J11,K11,INDEX(K6:K11,MATCH(E131,J6:J11,1))+(E131-INDEX(J6:J11,MATCH(E131,J6:J11,1)))*(INDEX(K6:K11,MATCH(E131,J6:J11,1)+1)-INDEX(K6:K11,MATCH(E131,J6:J11,1)))/(INDEX(J6:J11,MATCH(E131,J6:J11,1)+1)-INDEX(J6:J11,MATCH(E131,J6:J11,1))))))</f>
        <v/>
      </c>
      <c r="G131" s="289">
        <f>IF(B131="","",(C131-F131)*$B$10)</f>
        <v/>
      </c>
      <c r="H131" s="289">
        <f>IF(B131="","",MAX(0,D131+G131))</f>
        <v/>
      </c>
      <c r="I131" s="289">
        <f>IF(B131="","",$B$5+IF($B$7=0,0,H131/$B$7))</f>
        <v/>
      </c>
    </row>
    <row r="132">
      <c r="A132" s="288">
        <f>IF(B132="","",A131+1)</f>
        <v/>
      </c>
      <c r="B132" s="288">
        <f>IF(ROW()-15&lt;=$B$11,INDEX(Routing!$A:$A,ROW()-14),"")</f>
        <v/>
      </c>
      <c r="C132" s="289">
        <f>IF(B132="","",INDEX(Routing!$M:$M,ROW()-14))</f>
        <v/>
      </c>
      <c r="D132" s="289">
        <f>IF(B132="","",H131)</f>
        <v/>
      </c>
      <c r="E132" s="289">
        <f>IF(B132="","",$B$5+IF($B$7=0,0,D132/$B$7))</f>
        <v/>
      </c>
      <c r="F132" s="289">
        <f>IF(B132="","",IF(E132&lt;=J6,K6,IF(E132&gt;=J11,K11,INDEX(K6:K11,MATCH(E132,J6:J11,1))+(E132-INDEX(J6:J11,MATCH(E132,J6:J11,1)))*(INDEX(K6:K11,MATCH(E132,J6:J11,1)+1)-INDEX(K6:K11,MATCH(E132,J6:J11,1)))/(INDEX(J6:J11,MATCH(E132,J6:J11,1)+1)-INDEX(J6:J11,MATCH(E132,J6:J11,1))))))</f>
        <v/>
      </c>
      <c r="G132" s="289">
        <f>IF(B132="","",(C132-F132)*$B$10)</f>
        <v/>
      </c>
      <c r="H132" s="289">
        <f>IF(B132="","",MAX(0,D132+G132))</f>
        <v/>
      </c>
      <c r="I132" s="289">
        <f>IF(B132="","",$B$5+IF($B$7=0,0,H132/$B$7))</f>
        <v/>
      </c>
    </row>
    <row r="133">
      <c r="A133" s="288">
        <f>IF(B133="","",A132+1)</f>
        <v/>
      </c>
      <c r="B133" s="288">
        <f>IF(ROW()-15&lt;=$B$11,INDEX(Routing!$A:$A,ROW()-14),"")</f>
        <v/>
      </c>
      <c r="C133" s="289">
        <f>IF(B133="","",INDEX(Routing!$M:$M,ROW()-14))</f>
        <v/>
      </c>
      <c r="D133" s="289">
        <f>IF(B133="","",H132)</f>
        <v/>
      </c>
      <c r="E133" s="289">
        <f>IF(B133="","",$B$5+IF($B$7=0,0,D133/$B$7))</f>
        <v/>
      </c>
      <c r="F133" s="289">
        <f>IF(B133="","",IF(E133&lt;=J6,K6,IF(E133&gt;=J11,K11,INDEX(K6:K11,MATCH(E133,J6:J11,1))+(E133-INDEX(J6:J11,MATCH(E133,J6:J11,1)))*(INDEX(K6:K11,MATCH(E133,J6:J11,1)+1)-INDEX(K6:K11,MATCH(E133,J6:J11,1)))/(INDEX(J6:J11,MATCH(E133,J6:J11,1)+1)-INDEX(J6:J11,MATCH(E133,J6:J11,1))))))</f>
        <v/>
      </c>
      <c r="G133" s="289">
        <f>IF(B133="","",(C133-F133)*$B$10)</f>
        <v/>
      </c>
      <c r="H133" s="289">
        <f>IF(B133="","",MAX(0,D133+G133))</f>
        <v/>
      </c>
      <c r="I133" s="289">
        <f>IF(B133="","",$B$5+IF($B$7=0,0,H133/$B$7))</f>
        <v/>
      </c>
    </row>
    <row r="134">
      <c r="A134" s="288">
        <f>IF(B134="","",A133+1)</f>
        <v/>
      </c>
      <c r="B134" s="288">
        <f>IF(ROW()-15&lt;=$B$11,INDEX(Routing!$A:$A,ROW()-14),"")</f>
        <v/>
      </c>
      <c r="C134" s="289">
        <f>IF(B134="","",INDEX(Routing!$M:$M,ROW()-14))</f>
        <v/>
      </c>
      <c r="D134" s="289">
        <f>IF(B134="","",H133)</f>
        <v/>
      </c>
      <c r="E134" s="289">
        <f>IF(B134="","",$B$5+IF($B$7=0,0,D134/$B$7))</f>
        <v/>
      </c>
      <c r="F134" s="289">
        <f>IF(B134="","",IF(E134&lt;=J6,K6,IF(E134&gt;=J11,K11,INDEX(K6:K11,MATCH(E134,J6:J11,1))+(E134-INDEX(J6:J11,MATCH(E134,J6:J11,1)))*(INDEX(K6:K11,MATCH(E134,J6:J11,1)+1)-INDEX(K6:K11,MATCH(E134,J6:J11,1)))/(INDEX(J6:J11,MATCH(E134,J6:J11,1)+1)-INDEX(J6:J11,MATCH(E134,J6:J11,1))))))</f>
        <v/>
      </c>
      <c r="G134" s="289">
        <f>IF(B134="","",(C134-F134)*$B$10)</f>
        <v/>
      </c>
      <c r="H134" s="289">
        <f>IF(B134="","",MAX(0,D134+G134))</f>
        <v/>
      </c>
      <c r="I134" s="289">
        <f>IF(B134="","",$B$5+IF($B$7=0,0,H134/$B$7))</f>
        <v/>
      </c>
    </row>
    <row r="135">
      <c r="A135" s="288">
        <f>IF(B135="","",A134+1)</f>
        <v/>
      </c>
      <c r="B135" s="288">
        <f>IF(ROW()-15&lt;=$B$11,INDEX(Routing!$A:$A,ROW()-14),"")</f>
        <v/>
      </c>
      <c r="C135" s="289">
        <f>IF(B135="","",INDEX(Routing!$M:$M,ROW()-14))</f>
        <v/>
      </c>
      <c r="D135" s="289">
        <f>IF(B135="","",H134)</f>
        <v/>
      </c>
      <c r="E135" s="289">
        <f>IF(B135="","",$B$5+IF($B$7=0,0,D135/$B$7))</f>
        <v/>
      </c>
      <c r="F135" s="289">
        <f>IF(B135="","",IF(E135&lt;=J6,K6,IF(E135&gt;=J11,K11,INDEX(K6:K11,MATCH(E135,J6:J11,1))+(E135-INDEX(J6:J11,MATCH(E135,J6:J11,1)))*(INDEX(K6:K11,MATCH(E135,J6:J11,1)+1)-INDEX(K6:K11,MATCH(E135,J6:J11,1)))/(INDEX(J6:J11,MATCH(E135,J6:J11,1)+1)-INDEX(J6:J11,MATCH(E135,J6:J11,1))))))</f>
        <v/>
      </c>
      <c r="G135" s="289">
        <f>IF(B135="","",(C135-F135)*$B$10)</f>
        <v/>
      </c>
      <c r="H135" s="289">
        <f>IF(B135="","",MAX(0,D135+G135))</f>
        <v/>
      </c>
      <c r="I135" s="289">
        <f>IF(B135="","",$B$5+IF($B$7=0,0,H135/$B$7))</f>
        <v/>
      </c>
    </row>
    <row r="136">
      <c r="A136" s="288">
        <f>IF(B136="","",A135+1)</f>
        <v/>
      </c>
      <c r="B136" s="288">
        <f>IF(ROW()-15&lt;=$B$11,INDEX(Routing!$A:$A,ROW()-14),"")</f>
        <v/>
      </c>
      <c r="C136" s="289">
        <f>IF(B136="","",INDEX(Routing!$M:$M,ROW()-14))</f>
        <v/>
      </c>
      <c r="D136" s="289">
        <f>IF(B136="","",H135)</f>
        <v/>
      </c>
      <c r="E136" s="289">
        <f>IF(B136="","",$B$5+IF($B$7=0,0,D136/$B$7))</f>
        <v/>
      </c>
      <c r="F136" s="289">
        <f>IF(B136="","",IF(E136&lt;=J6,K6,IF(E136&gt;=J11,K11,INDEX(K6:K11,MATCH(E136,J6:J11,1))+(E136-INDEX(J6:J11,MATCH(E136,J6:J11,1)))*(INDEX(K6:K11,MATCH(E136,J6:J11,1)+1)-INDEX(K6:K11,MATCH(E136,J6:J11,1)))/(INDEX(J6:J11,MATCH(E136,J6:J11,1)+1)-INDEX(J6:J11,MATCH(E136,J6:J11,1))))))</f>
        <v/>
      </c>
      <c r="G136" s="289">
        <f>IF(B136="","",(C136-F136)*$B$10)</f>
        <v/>
      </c>
      <c r="H136" s="289">
        <f>IF(B136="","",MAX(0,D136+G136))</f>
        <v/>
      </c>
      <c r="I136" s="289">
        <f>IF(B136="","",$B$5+IF($B$7=0,0,H136/$B$7))</f>
        <v/>
      </c>
    </row>
    <row r="137">
      <c r="A137" s="288">
        <f>IF(B137="","",A136+1)</f>
        <v/>
      </c>
      <c r="B137" s="288">
        <f>IF(ROW()-15&lt;=$B$11,INDEX(Routing!$A:$A,ROW()-14),"")</f>
        <v/>
      </c>
      <c r="C137" s="289">
        <f>IF(B137="","",INDEX(Routing!$M:$M,ROW()-14))</f>
        <v/>
      </c>
      <c r="D137" s="289">
        <f>IF(B137="","",H136)</f>
        <v/>
      </c>
      <c r="E137" s="289">
        <f>IF(B137="","",$B$5+IF($B$7=0,0,D137/$B$7))</f>
        <v/>
      </c>
      <c r="F137" s="289">
        <f>IF(B137="","",IF(E137&lt;=J6,K6,IF(E137&gt;=J11,K11,INDEX(K6:K11,MATCH(E137,J6:J11,1))+(E137-INDEX(J6:J11,MATCH(E137,J6:J11,1)))*(INDEX(K6:K11,MATCH(E137,J6:J11,1)+1)-INDEX(K6:K11,MATCH(E137,J6:J11,1)))/(INDEX(J6:J11,MATCH(E137,J6:J11,1)+1)-INDEX(J6:J11,MATCH(E137,J6:J11,1))))))</f>
        <v/>
      </c>
      <c r="G137" s="289">
        <f>IF(B137="","",(C137-F137)*$B$10)</f>
        <v/>
      </c>
      <c r="H137" s="289">
        <f>IF(B137="","",MAX(0,D137+G137))</f>
        <v/>
      </c>
      <c r="I137" s="289">
        <f>IF(B137="","",$B$5+IF($B$7=0,0,H137/$B$7))</f>
        <v/>
      </c>
    </row>
    <row r="138">
      <c r="A138" s="288">
        <f>IF(B138="","",A137+1)</f>
        <v/>
      </c>
      <c r="B138" s="288">
        <f>IF(ROW()-15&lt;=$B$11,INDEX(Routing!$A:$A,ROW()-14),"")</f>
        <v/>
      </c>
      <c r="C138" s="289">
        <f>IF(B138="","",INDEX(Routing!$M:$M,ROW()-14))</f>
        <v/>
      </c>
      <c r="D138" s="289">
        <f>IF(B138="","",H137)</f>
        <v/>
      </c>
      <c r="E138" s="289">
        <f>IF(B138="","",$B$5+IF($B$7=0,0,D138/$B$7))</f>
        <v/>
      </c>
      <c r="F138" s="289">
        <f>IF(B138="","",IF(E138&lt;=J6,K6,IF(E138&gt;=J11,K11,INDEX(K6:K11,MATCH(E138,J6:J11,1))+(E138-INDEX(J6:J11,MATCH(E138,J6:J11,1)))*(INDEX(K6:K11,MATCH(E138,J6:J11,1)+1)-INDEX(K6:K11,MATCH(E138,J6:J11,1)))/(INDEX(J6:J11,MATCH(E138,J6:J11,1)+1)-INDEX(J6:J11,MATCH(E138,J6:J11,1))))))</f>
        <v/>
      </c>
      <c r="G138" s="289">
        <f>IF(B138="","",(C138-F138)*$B$10)</f>
        <v/>
      </c>
      <c r="H138" s="289">
        <f>IF(B138="","",MAX(0,D138+G138))</f>
        <v/>
      </c>
      <c r="I138" s="289">
        <f>IF(B138="","",$B$5+IF($B$7=0,0,H138/$B$7))</f>
        <v/>
      </c>
    </row>
    <row r="139">
      <c r="A139" s="288">
        <f>IF(B139="","",A138+1)</f>
        <v/>
      </c>
      <c r="B139" s="288">
        <f>IF(ROW()-15&lt;=$B$11,INDEX(Routing!$A:$A,ROW()-14),"")</f>
        <v/>
      </c>
      <c r="C139" s="289">
        <f>IF(B139="","",INDEX(Routing!$M:$M,ROW()-14))</f>
        <v/>
      </c>
      <c r="D139" s="289">
        <f>IF(B139="","",H138)</f>
        <v/>
      </c>
      <c r="E139" s="289">
        <f>IF(B139="","",$B$5+IF($B$7=0,0,D139/$B$7))</f>
        <v/>
      </c>
      <c r="F139" s="289">
        <f>IF(B139="","",IF(E139&lt;=J6,K6,IF(E139&gt;=J11,K11,INDEX(K6:K11,MATCH(E139,J6:J11,1))+(E139-INDEX(J6:J11,MATCH(E139,J6:J11,1)))*(INDEX(K6:K11,MATCH(E139,J6:J11,1)+1)-INDEX(K6:K11,MATCH(E139,J6:J11,1)))/(INDEX(J6:J11,MATCH(E139,J6:J11,1)+1)-INDEX(J6:J11,MATCH(E139,J6:J11,1))))))</f>
        <v/>
      </c>
      <c r="G139" s="289">
        <f>IF(B139="","",(C139-F139)*$B$10)</f>
        <v/>
      </c>
      <c r="H139" s="289">
        <f>IF(B139="","",MAX(0,D139+G139))</f>
        <v/>
      </c>
      <c r="I139" s="289">
        <f>IF(B139="","",$B$5+IF($B$7=0,0,H139/$B$7))</f>
        <v/>
      </c>
    </row>
    <row r="140">
      <c r="A140" s="288">
        <f>IF(B140="","",A139+1)</f>
        <v/>
      </c>
      <c r="B140" s="288">
        <f>IF(ROW()-15&lt;=$B$11,INDEX(Routing!$A:$A,ROW()-14),"")</f>
        <v/>
      </c>
      <c r="C140" s="289">
        <f>IF(B140="","",INDEX(Routing!$M:$M,ROW()-14))</f>
        <v/>
      </c>
      <c r="D140" s="289">
        <f>IF(B140="","",H139)</f>
        <v/>
      </c>
      <c r="E140" s="289">
        <f>IF(B140="","",$B$5+IF($B$7=0,0,D140/$B$7))</f>
        <v/>
      </c>
      <c r="F140" s="289">
        <f>IF(B140="","",IF(E140&lt;=J6,K6,IF(E140&gt;=J11,K11,INDEX(K6:K11,MATCH(E140,J6:J11,1))+(E140-INDEX(J6:J11,MATCH(E140,J6:J11,1)))*(INDEX(K6:K11,MATCH(E140,J6:J11,1)+1)-INDEX(K6:K11,MATCH(E140,J6:J11,1)))/(INDEX(J6:J11,MATCH(E140,J6:J11,1)+1)-INDEX(J6:J11,MATCH(E140,J6:J11,1))))))</f>
        <v/>
      </c>
      <c r="G140" s="289">
        <f>IF(B140="","",(C140-F140)*$B$10)</f>
        <v/>
      </c>
      <c r="H140" s="289">
        <f>IF(B140="","",MAX(0,D140+G140))</f>
        <v/>
      </c>
      <c r="I140" s="289">
        <f>IF(B140="","",$B$5+IF($B$7=0,0,H140/$B$7))</f>
        <v/>
      </c>
    </row>
    <row r="141">
      <c r="A141" s="288">
        <f>IF(B141="","",A140+1)</f>
        <v/>
      </c>
      <c r="B141" s="288">
        <f>IF(ROW()-15&lt;=$B$11,INDEX(Routing!$A:$A,ROW()-14),"")</f>
        <v/>
      </c>
      <c r="C141" s="289">
        <f>IF(B141="","",INDEX(Routing!$M:$M,ROW()-14))</f>
        <v/>
      </c>
      <c r="D141" s="289">
        <f>IF(B141="","",H140)</f>
        <v/>
      </c>
      <c r="E141" s="289">
        <f>IF(B141="","",$B$5+IF($B$7=0,0,D141/$B$7))</f>
        <v/>
      </c>
      <c r="F141" s="289">
        <f>IF(B141="","",IF(E141&lt;=J6,K6,IF(E141&gt;=J11,K11,INDEX(K6:K11,MATCH(E141,J6:J11,1))+(E141-INDEX(J6:J11,MATCH(E141,J6:J11,1)))*(INDEX(K6:K11,MATCH(E141,J6:J11,1)+1)-INDEX(K6:K11,MATCH(E141,J6:J11,1)))/(INDEX(J6:J11,MATCH(E141,J6:J11,1)+1)-INDEX(J6:J11,MATCH(E141,J6:J11,1))))))</f>
        <v/>
      </c>
      <c r="G141" s="289">
        <f>IF(B141="","",(C141-F141)*$B$10)</f>
        <v/>
      </c>
      <c r="H141" s="289">
        <f>IF(B141="","",MAX(0,D141+G141))</f>
        <v/>
      </c>
      <c r="I141" s="289">
        <f>IF(B141="","",$B$5+IF($B$7=0,0,H141/$B$7))</f>
        <v/>
      </c>
    </row>
    <row r="142">
      <c r="A142" s="288">
        <f>IF(B142="","",A141+1)</f>
        <v/>
      </c>
      <c r="B142" s="288">
        <f>IF(ROW()-15&lt;=$B$11,INDEX(Routing!$A:$A,ROW()-14),"")</f>
        <v/>
      </c>
      <c r="C142" s="289">
        <f>IF(B142="","",INDEX(Routing!$M:$M,ROW()-14))</f>
        <v/>
      </c>
      <c r="D142" s="289">
        <f>IF(B142="","",H141)</f>
        <v/>
      </c>
      <c r="E142" s="289">
        <f>IF(B142="","",$B$5+IF($B$7=0,0,D142/$B$7))</f>
        <v/>
      </c>
      <c r="F142" s="289">
        <f>IF(B142="","",IF(E142&lt;=J6,K6,IF(E142&gt;=J11,K11,INDEX(K6:K11,MATCH(E142,J6:J11,1))+(E142-INDEX(J6:J11,MATCH(E142,J6:J11,1)))*(INDEX(K6:K11,MATCH(E142,J6:J11,1)+1)-INDEX(K6:K11,MATCH(E142,J6:J11,1)))/(INDEX(J6:J11,MATCH(E142,J6:J11,1)+1)-INDEX(J6:J11,MATCH(E142,J6:J11,1))))))</f>
        <v/>
      </c>
      <c r="G142" s="289">
        <f>IF(B142="","",(C142-F142)*$B$10)</f>
        <v/>
      </c>
      <c r="H142" s="289">
        <f>IF(B142="","",MAX(0,D142+G142))</f>
        <v/>
      </c>
      <c r="I142" s="289">
        <f>IF(B142="","",$B$5+IF($B$7=0,0,H142/$B$7))</f>
        <v/>
      </c>
    </row>
    <row r="143">
      <c r="A143" s="288">
        <f>IF(B143="","",A142+1)</f>
        <v/>
      </c>
      <c r="B143" s="288">
        <f>IF(ROW()-15&lt;=$B$11,INDEX(Routing!$A:$A,ROW()-14),"")</f>
        <v/>
      </c>
      <c r="C143" s="289">
        <f>IF(B143="","",INDEX(Routing!$M:$M,ROW()-14))</f>
        <v/>
      </c>
      <c r="D143" s="289">
        <f>IF(B143="","",H142)</f>
        <v/>
      </c>
      <c r="E143" s="289">
        <f>IF(B143="","",$B$5+IF($B$7=0,0,D143/$B$7))</f>
        <v/>
      </c>
      <c r="F143" s="289">
        <f>IF(B143="","",IF(E143&lt;=J6,K6,IF(E143&gt;=J11,K11,INDEX(K6:K11,MATCH(E143,J6:J11,1))+(E143-INDEX(J6:J11,MATCH(E143,J6:J11,1)))*(INDEX(K6:K11,MATCH(E143,J6:J11,1)+1)-INDEX(K6:K11,MATCH(E143,J6:J11,1)))/(INDEX(J6:J11,MATCH(E143,J6:J11,1)+1)-INDEX(J6:J11,MATCH(E143,J6:J11,1))))))</f>
        <v/>
      </c>
      <c r="G143" s="289">
        <f>IF(B143="","",(C143-F143)*$B$10)</f>
        <v/>
      </c>
      <c r="H143" s="289">
        <f>IF(B143="","",MAX(0,D143+G143))</f>
        <v/>
      </c>
      <c r="I143" s="289">
        <f>IF(B143="","",$B$5+IF($B$7=0,0,H143/$B$7))</f>
        <v/>
      </c>
    </row>
    <row r="144">
      <c r="A144" s="288">
        <f>IF(B144="","",A143+1)</f>
        <v/>
      </c>
      <c r="B144" s="288">
        <f>IF(ROW()-15&lt;=$B$11,INDEX(Routing!$A:$A,ROW()-14),"")</f>
        <v/>
      </c>
      <c r="C144" s="289">
        <f>IF(B144="","",INDEX(Routing!$M:$M,ROW()-14))</f>
        <v/>
      </c>
      <c r="D144" s="289">
        <f>IF(B144="","",H143)</f>
        <v/>
      </c>
      <c r="E144" s="289">
        <f>IF(B144="","",$B$5+IF($B$7=0,0,D144/$B$7))</f>
        <v/>
      </c>
      <c r="F144" s="289">
        <f>IF(B144="","",IF(E144&lt;=J6,K6,IF(E144&gt;=J11,K11,INDEX(K6:K11,MATCH(E144,J6:J11,1))+(E144-INDEX(J6:J11,MATCH(E144,J6:J11,1)))*(INDEX(K6:K11,MATCH(E144,J6:J11,1)+1)-INDEX(K6:K11,MATCH(E144,J6:J11,1)))/(INDEX(J6:J11,MATCH(E144,J6:J11,1)+1)-INDEX(J6:J11,MATCH(E144,J6:J11,1))))))</f>
        <v/>
      </c>
      <c r="G144" s="289">
        <f>IF(B144="","",(C144-F144)*$B$10)</f>
        <v/>
      </c>
      <c r="H144" s="289">
        <f>IF(B144="","",MAX(0,D144+G144))</f>
        <v/>
      </c>
      <c r="I144" s="289">
        <f>IF(B144="","",$B$5+IF($B$7=0,0,H144/$B$7))</f>
        <v/>
      </c>
    </row>
    <row r="145">
      <c r="A145" s="288">
        <f>IF(B145="","",A144+1)</f>
        <v/>
      </c>
      <c r="B145" s="288">
        <f>IF(ROW()-15&lt;=$B$11,INDEX(Routing!$A:$A,ROW()-14),"")</f>
        <v/>
      </c>
      <c r="C145" s="289">
        <f>IF(B145="","",INDEX(Routing!$M:$M,ROW()-14))</f>
        <v/>
      </c>
      <c r="D145" s="289">
        <f>IF(B145="","",H144)</f>
        <v/>
      </c>
      <c r="E145" s="289">
        <f>IF(B145="","",$B$5+IF($B$7=0,0,D145/$B$7))</f>
        <v/>
      </c>
      <c r="F145" s="289">
        <f>IF(B145="","",IF(E145&lt;=J6,K6,IF(E145&gt;=J11,K11,INDEX(K6:K11,MATCH(E145,J6:J11,1))+(E145-INDEX(J6:J11,MATCH(E145,J6:J11,1)))*(INDEX(K6:K11,MATCH(E145,J6:J11,1)+1)-INDEX(K6:K11,MATCH(E145,J6:J11,1)))/(INDEX(J6:J11,MATCH(E145,J6:J11,1)+1)-INDEX(J6:J11,MATCH(E145,J6:J11,1))))))</f>
        <v/>
      </c>
      <c r="G145" s="289">
        <f>IF(B145="","",(C145-F145)*$B$10)</f>
        <v/>
      </c>
      <c r="H145" s="289">
        <f>IF(B145="","",MAX(0,D145+G145))</f>
        <v/>
      </c>
      <c r="I145" s="289">
        <f>IF(B145="","",$B$5+IF($B$7=0,0,H145/$B$7))</f>
        <v/>
      </c>
    </row>
    <row r="146">
      <c r="A146" s="288">
        <f>IF(B146="","",A145+1)</f>
        <v/>
      </c>
      <c r="B146" s="288">
        <f>IF(ROW()-15&lt;=$B$11,INDEX(Routing!$A:$A,ROW()-14),"")</f>
        <v/>
      </c>
      <c r="C146" s="289">
        <f>IF(B146="","",INDEX(Routing!$M:$M,ROW()-14))</f>
        <v/>
      </c>
      <c r="D146" s="289">
        <f>IF(B146="","",H145)</f>
        <v/>
      </c>
      <c r="E146" s="289">
        <f>IF(B146="","",$B$5+IF($B$7=0,0,D146/$B$7))</f>
        <v/>
      </c>
      <c r="F146" s="289">
        <f>IF(B146="","",IF(E146&lt;=J6,K6,IF(E146&gt;=J11,K11,INDEX(K6:K11,MATCH(E146,J6:J11,1))+(E146-INDEX(J6:J11,MATCH(E146,J6:J11,1)))*(INDEX(K6:K11,MATCH(E146,J6:J11,1)+1)-INDEX(K6:K11,MATCH(E146,J6:J11,1)))/(INDEX(J6:J11,MATCH(E146,J6:J11,1)+1)-INDEX(J6:J11,MATCH(E146,J6:J11,1))))))</f>
        <v/>
      </c>
      <c r="G146" s="289">
        <f>IF(B146="","",(C146-F146)*$B$10)</f>
        <v/>
      </c>
      <c r="H146" s="289">
        <f>IF(B146="","",MAX(0,D146+G146))</f>
        <v/>
      </c>
      <c r="I146" s="289">
        <f>IF(B146="","",$B$5+IF($B$7=0,0,H146/$B$7))</f>
        <v/>
      </c>
    </row>
    <row r="147">
      <c r="A147" s="288">
        <f>IF(B147="","",A146+1)</f>
        <v/>
      </c>
      <c r="B147" s="288">
        <f>IF(ROW()-15&lt;=$B$11,INDEX(Routing!$A:$A,ROW()-14),"")</f>
        <v/>
      </c>
      <c r="C147" s="289">
        <f>IF(B147="","",INDEX(Routing!$M:$M,ROW()-14))</f>
        <v/>
      </c>
      <c r="D147" s="289">
        <f>IF(B147="","",H146)</f>
        <v/>
      </c>
      <c r="E147" s="289">
        <f>IF(B147="","",$B$5+IF($B$7=0,0,D147/$B$7))</f>
        <v/>
      </c>
      <c r="F147" s="289">
        <f>IF(B147="","",IF(E147&lt;=J6,K6,IF(E147&gt;=J11,K11,INDEX(K6:K11,MATCH(E147,J6:J11,1))+(E147-INDEX(J6:J11,MATCH(E147,J6:J11,1)))*(INDEX(K6:K11,MATCH(E147,J6:J11,1)+1)-INDEX(K6:K11,MATCH(E147,J6:J11,1)))/(INDEX(J6:J11,MATCH(E147,J6:J11,1)+1)-INDEX(J6:J11,MATCH(E147,J6:J11,1))))))</f>
        <v/>
      </c>
      <c r="G147" s="289">
        <f>IF(B147="","",(C147-F147)*$B$10)</f>
        <v/>
      </c>
      <c r="H147" s="289">
        <f>IF(B147="","",MAX(0,D147+G147))</f>
        <v/>
      </c>
      <c r="I147" s="289">
        <f>IF(B147="","",$B$5+IF($B$7=0,0,H147/$B$7))</f>
        <v/>
      </c>
    </row>
    <row r="148">
      <c r="A148" s="288">
        <f>IF(B148="","",A147+1)</f>
        <v/>
      </c>
      <c r="B148" s="288">
        <f>IF(ROW()-15&lt;=$B$11,INDEX(Routing!$A:$A,ROW()-14),"")</f>
        <v/>
      </c>
      <c r="C148" s="289">
        <f>IF(B148="","",INDEX(Routing!$M:$M,ROW()-14))</f>
        <v/>
      </c>
      <c r="D148" s="289">
        <f>IF(B148="","",H147)</f>
        <v/>
      </c>
      <c r="E148" s="289">
        <f>IF(B148="","",$B$5+IF($B$7=0,0,D148/$B$7))</f>
        <v/>
      </c>
      <c r="F148" s="289">
        <f>IF(B148="","",IF(E148&lt;=J6,K6,IF(E148&gt;=J11,K11,INDEX(K6:K11,MATCH(E148,J6:J11,1))+(E148-INDEX(J6:J11,MATCH(E148,J6:J11,1)))*(INDEX(K6:K11,MATCH(E148,J6:J11,1)+1)-INDEX(K6:K11,MATCH(E148,J6:J11,1)))/(INDEX(J6:J11,MATCH(E148,J6:J11,1)+1)-INDEX(J6:J11,MATCH(E148,J6:J11,1))))))</f>
        <v/>
      </c>
      <c r="G148" s="289">
        <f>IF(B148="","",(C148-F148)*$B$10)</f>
        <v/>
      </c>
      <c r="H148" s="289">
        <f>IF(B148="","",MAX(0,D148+G148))</f>
        <v/>
      </c>
      <c r="I148" s="289">
        <f>IF(B148="","",$B$5+IF($B$7=0,0,H148/$B$7))</f>
        <v/>
      </c>
    </row>
    <row r="149">
      <c r="A149" s="288">
        <f>IF(B149="","",A148+1)</f>
        <v/>
      </c>
      <c r="B149" s="288">
        <f>IF(ROW()-15&lt;=$B$11,INDEX(Routing!$A:$A,ROW()-14),"")</f>
        <v/>
      </c>
      <c r="C149" s="289">
        <f>IF(B149="","",INDEX(Routing!$M:$M,ROW()-14))</f>
        <v/>
      </c>
      <c r="D149" s="289">
        <f>IF(B149="","",H148)</f>
        <v/>
      </c>
      <c r="E149" s="289">
        <f>IF(B149="","",$B$5+IF($B$7=0,0,D149/$B$7))</f>
        <v/>
      </c>
      <c r="F149" s="289">
        <f>IF(B149="","",IF(E149&lt;=J6,K6,IF(E149&gt;=J11,K11,INDEX(K6:K11,MATCH(E149,J6:J11,1))+(E149-INDEX(J6:J11,MATCH(E149,J6:J11,1)))*(INDEX(K6:K11,MATCH(E149,J6:J11,1)+1)-INDEX(K6:K11,MATCH(E149,J6:J11,1)))/(INDEX(J6:J11,MATCH(E149,J6:J11,1)+1)-INDEX(J6:J11,MATCH(E149,J6:J11,1))))))</f>
        <v/>
      </c>
      <c r="G149" s="289">
        <f>IF(B149="","",(C149-F149)*$B$10)</f>
        <v/>
      </c>
      <c r="H149" s="289">
        <f>IF(B149="","",MAX(0,D149+G149))</f>
        <v/>
      </c>
      <c r="I149" s="289">
        <f>IF(B149="","",$B$5+IF($B$7=0,0,H149/$B$7))</f>
        <v/>
      </c>
    </row>
    <row r="150">
      <c r="A150" s="288">
        <f>IF(B150="","",A149+1)</f>
        <v/>
      </c>
      <c r="B150" s="288">
        <f>IF(ROW()-15&lt;=$B$11,INDEX(Routing!$A:$A,ROW()-14),"")</f>
        <v/>
      </c>
      <c r="C150" s="289">
        <f>IF(B150="","",INDEX(Routing!$M:$M,ROW()-14))</f>
        <v/>
      </c>
      <c r="D150" s="289">
        <f>IF(B150="","",H149)</f>
        <v/>
      </c>
      <c r="E150" s="289">
        <f>IF(B150="","",$B$5+IF($B$7=0,0,D150/$B$7))</f>
        <v/>
      </c>
      <c r="F150" s="289">
        <f>IF(B150="","",IF(E150&lt;=J6,K6,IF(E150&gt;=J11,K11,INDEX(K6:K11,MATCH(E150,J6:J11,1))+(E150-INDEX(J6:J11,MATCH(E150,J6:J11,1)))*(INDEX(K6:K11,MATCH(E150,J6:J11,1)+1)-INDEX(K6:K11,MATCH(E150,J6:J11,1)))/(INDEX(J6:J11,MATCH(E150,J6:J11,1)+1)-INDEX(J6:J11,MATCH(E150,J6:J11,1))))))</f>
        <v/>
      </c>
      <c r="G150" s="289">
        <f>IF(B150="","",(C150-F150)*$B$10)</f>
        <v/>
      </c>
      <c r="H150" s="289">
        <f>IF(B150="","",MAX(0,D150+G150))</f>
        <v/>
      </c>
      <c r="I150" s="289">
        <f>IF(B150="","",$B$5+IF($B$7=0,0,H150/$B$7))</f>
        <v/>
      </c>
    </row>
    <row r="151">
      <c r="A151" s="288">
        <f>IF(B151="","",A150+1)</f>
        <v/>
      </c>
      <c r="B151" s="288">
        <f>IF(ROW()-15&lt;=$B$11,INDEX(Routing!$A:$A,ROW()-14),"")</f>
        <v/>
      </c>
      <c r="C151" s="289">
        <f>IF(B151="","",INDEX(Routing!$M:$M,ROW()-14))</f>
        <v/>
      </c>
      <c r="D151" s="289">
        <f>IF(B151="","",H150)</f>
        <v/>
      </c>
      <c r="E151" s="289">
        <f>IF(B151="","",$B$5+IF($B$7=0,0,D151/$B$7))</f>
        <v/>
      </c>
      <c r="F151" s="289">
        <f>IF(B151="","",IF(E151&lt;=J6,K6,IF(E151&gt;=J11,K11,INDEX(K6:K11,MATCH(E151,J6:J11,1))+(E151-INDEX(J6:J11,MATCH(E151,J6:J11,1)))*(INDEX(K6:K11,MATCH(E151,J6:J11,1)+1)-INDEX(K6:K11,MATCH(E151,J6:J11,1)))/(INDEX(J6:J11,MATCH(E151,J6:J11,1)+1)-INDEX(J6:J11,MATCH(E151,J6:J11,1))))))</f>
        <v/>
      </c>
      <c r="G151" s="289">
        <f>IF(B151="","",(C151-F151)*$B$10)</f>
        <v/>
      </c>
      <c r="H151" s="289">
        <f>IF(B151="","",MAX(0,D151+G151))</f>
        <v/>
      </c>
      <c r="I151" s="289">
        <f>IF(B151="","",$B$5+IF($B$7=0,0,H151/$B$7))</f>
        <v/>
      </c>
    </row>
    <row r="152">
      <c r="A152" s="288">
        <f>IF(B152="","",A151+1)</f>
        <v/>
      </c>
      <c r="B152" s="288">
        <f>IF(ROW()-15&lt;=$B$11,INDEX(Routing!$A:$A,ROW()-14),"")</f>
        <v/>
      </c>
      <c r="C152" s="289">
        <f>IF(B152="","",INDEX(Routing!$M:$M,ROW()-14))</f>
        <v/>
      </c>
      <c r="D152" s="289">
        <f>IF(B152="","",H151)</f>
        <v/>
      </c>
      <c r="E152" s="289">
        <f>IF(B152="","",$B$5+IF($B$7=0,0,D152/$B$7))</f>
        <v/>
      </c>
      <c r="F152" s="289">
        <f>IF(B152="","",IF(E152&lt;=J6,K6,IF(E152&gt;=J11,K11,INDEX(K6:K11,MATCH(E152,J6:J11,1))+(E152-INDEX(J6:J11,MATCH(E152,J6:J11,1)))*(INDEX(K6:K11,MATCH(E152,J6:J11,1)+1)-INDEX(K6:K11,MATCH(E152,J6:J11,1)))/(INDEX(J6:J11,MATCH(E152,J6:J11,1)+1)-INDEX(J6:J11,MATCH(E152,J6:J11,1))))))</f>
        <v/>
      </c>
      <c r="G152" s="289">
        <f>IF(B152="","",(C152-F152)*$B$10)</f>
        <v/>
      </c>
      <c r="H152" s="289">
        <f>IF(B152="","",MAX(0,D152+G152))</f>
        <v/>
      </c>
      <c r="I152" s="289">
        <f>IF(B152="","",$B$5+IF($B$7=0,0,H152/$B$7))</f>
        <v/>
      </c>
    </row>
    <row r="153">
      <c r="A153" s="288">
        <f>IF(B153="","",A152+1)</f>
        <v/>
      </c>
      <c r="B153" s="288">
        <f>IF(ROW()-15&lt;=$B$11,INDEX(Routing!$A:$A,ROW()-14),"")</f>
        <v/>
      </c>
      <c r="C153" s="289">
        <f>IF(B153="","",INDEX(Routing!$M:$M,ROW()-14))</f>
        <v/>
      </c>
      <c r="D153" s="289">
        <f>IF(B153="","",H152)</f>
        <v/>
      </c>
      <c r="E153" s="289">
        <f>IF(B153="","",$B$5+IF($B$7=0,0,D153/$B$7))</f>
        <v/>
      </c>
      <c r="F153" s="289">
        <f>IF(B153="","",IF(E153&lt;=J6,K6,IF(E153&gt;=J11,K11,INDEX(K6:K11,MATCH(E153,J6:J11,1))+(E153-INDEX(J6:J11,MATCH(E153,J6:J11,1)))*(INDEX(K6:K11,MATCH(E153,J6:J11,1)+1)-INDEX(K6:K11,MATCH(E153,J6:J11,1)))/(INDEX(J6:J11,MATCH(E153,J6:J11,1)+1)-INDEX(J6:J11,MATCH(E153,J6:J11,1))))))</f>
        <v/>
      </c>
      <c r="G153" s="289">
        <f>IF(B153="","",(C153-F153)*$B$10)</f>
        <v/>
      </c>
      <c r="H153" s="289">
        <f>IF(B153="","",MAX(0,D153+G153))</f>
        <v/>
      </c>
      <c r="I153" s="289">
        <f>IF(B153="","",$B$5+IF($B$7=0,0,H153/$B$7))</f>
        <v/>
      </c>
    </row>
    <row r="154">
      <c r="A154" s="288">
        <f>IF(B154="","",A153+1)</f>
        <v/>
      </c>
      <c r="B154" s="288">
        <f>IF(ROW()-15&lt;=$B$11,INDEX(Routing!$A:$A,ROW()-14),"")</f>
        <v/>
      </c>
      <c r="C154" s="289">
        <f>IF(B154="","",INDEX(Routing!$M:$M,ROW()-14))</f>
        <v/>
      </c>
      <c r="D154" s="289">
        <f>IF(B154="","",H153)</f>
        <v/>
      </c>
      <c r="E154" s="289">
        <f>IF(B154="","",$B$5+IF($B$7=0,0,D154/$B$7))</f>
        <v/>
      </c>
      <c r="F154" s="289">
        <f>IF(B154="","",IF(E154&lt;=J6,K6,IF(E154&gt;=J11,K11,INDEX(K6:K11,MATCH(E154,J6:J11,1))+(E154-INDEX(J6:J11,MATCH(E154,J6:J11,1)))*(INDEX(K6:K11,MATCH(E154,J6:J11,1)+1)-INDEX(K6:K11,MATCH(E154,J6:J11,1)))/(INDEX(J6:J11,MATCH(E154,J6:J11,1)+1)-INDEX(J6:J11,MATCH(E154,J6:J11,1))))))</f>
        <v/>
      </c>
      <c r="G154" s="289">
        <f>IF(B154="","",(C154-F154)*$B$10)</f>
        <v/>
      </c>
      <c r="H154" s="289">
        <f>IF(B154="","",MAX(0,D154+G154))</f>
        <v/>
      </c>
      <c r="I154" s="289">
        <f>IF(B154="","",$B$5+IF($B$7=0,0,H154/$B$7))</f>
        <v/>
      </c>
    </row>
    <row r="155">
      <c r="A155" s="288">
        <f>IF(B155="","",A154+1)</f>
        <v/>
      </c>
      <c r="B155" s="288">
        <f>IF(ROW()-15&lt;=$B$11,INDEX(Routing!$A:$A,ROW()-14),"")</f>
        <v/>
      </c>
      <c r="C155" s="289">
        <f>IF(B155="","",INDEX(Routing!$M:$M,ROW()-14))</f>
        <v/>
      </c>
      <c r="D155" s="289">
        <f>IF(B155="","",H154)</f>
        <v/>
      </c>
      <c r="E155" s="289">
        <f>IF(B155="","",$B$5+IF($B$7=0,0,D155/$B$7))</f>
        <v/>
      </c>
      <c r="F155" s="289">
        <f>IF(B155="","",IF(E155&lt;=J6,K6,IF(E155&gt;=J11,K11,INDEX(K6:K11,MATCH(E155,J6:J11,1))+(E155-INDEX(J6:J11,MATCH(E155,J6:J11,1)))*(INDEX(K6:K11,MATCH(E155,J6:J11,1)+1)-INDEX(K6:K11,MATCH(E155,J6:J11,1)))/(INDEX(J6:J11,MATCH(E155,J6:J11,1)+1)-INDEX(J6:J11,MATCH(E155,J6:J11,1))))))</f>
        <v/>
      </c>
      <c r="G155" s="289">
        <f>IF(B155="","",(C155-F155)*$B$10)</f>
        <v/>
      </c>
      <c r="H155" s="289">
        <f>IF(B155="","",MAX(0,D155+G155))</f>
        <v/>
      </c>
      <c r="I155" s="289">
        <f>IF(B155="","",$B$5+IF($B$7=0,0,H155/$B$7))</f>
        <v/>
      </c>
    </row>
    <row r="156">
      <c r="A156" s="288">
        <f>IF(B156="","",A155+1)</f>
        <v/>
      </c>
      <c r="B156" s="288">
        <f>IF(ROW()-15&lt;=$B$11,INDEX(Routing!$A:$A,ROW()-14),"")</f>
        <v/>
      </c>
      <c r="C156" s="289">
        <f>IF(B156="","",INDEX(Routing!$M:$M,ROW()-14))</f>
        <v/>
      </c>
      <c r="D156" s="289">
        <f>IF(B156="","",H155)</f>
        <v/>
      </c>
      <c r="E156" s="289">
        <f>IF(B156="","",$B$5+IF($B$7=0,0,D156/$B$7))</f>
        <v/>
      </c>
      <c r="F156" s="289">
        <f>IF(B156="","",IF(E156&lt;=J6,K6,IF(E156&gt;=J11,K11,INDEX(K6:K11,MATCH(E156,J6:J11,1))+(E156-INDEX(J6:J11,MATCH(E156,J6:J11,1)))*(INDEX(K6:K11,MATCH(E156,J6:J11,1)+1)-INDEX(K6:K11,MATCH(E156,J6:J11,1)))/(INDEX(J6:J11,MATCH(E156,J6:J11,1)+1)-INDEX(J6:J11,MATCH(E156,J6:J11,1))))))</f>
        <v/>
      </c>
      <c r="G156" s="289">
        <f>IF(B156="","",(C156-F156)*$B$10)</f>
        <v/>
      </c>
      <c r="H156" s="289">
        <f>IF(B156="","",MAX(0,D156+G156))</f>
        <v/>
      </c>
      <c r="I156" s="289">
        <f>IF(B156="","",$B$5+IF($B$7=0,0,H156/$B$7))</f>
        <v/>
      </c>
    </row>
    <row r="157">
      <c r="A157" s="288">
        <f>IF(B157="","",A156+1)</f>
        <v/>
      </c>
      <c r="B157" s="288">
        <f>IF(ROW()-15&lt;=$B$11,INDEX(Routing!$A:$A,ROW()-14),"")</f>
        <v/>
      </c>
      <c r="C157" s="289">
        <f>IF(B157="","",INDEX(Routing!$M:$M,ROW()-14))</f>
        <v/>
      </c>
      <c r="D157" s="289">
        <f>IF(B157="","",H156)</f>
        <v/>
      </c>
      <c r="E157" s="289">
        <f>IF(B157="","",$B$5+IF($B$7=0,0,D157/$B$7))</f>
        <v/>
      </c>
      <c r="F157" s="289">
        <f>IF(B157="","",IF(E157&lt;=J6,K6,IF(E157&gt;=J11,K11,INDEX(K6:K11,MATCH(E157,J6:J11,1))+(E157-INDEX(J6:J11,MATCH(E157,J6:J11,1)))*(INDEX(K6:K11,MATCH(E157,J6:J11,1)+1)-INDEX(K6:K11,MATCH(E157,J6:J11,1)))/(INDEX(J6:J11,MATCH(E157,J6:J11,1)+1)-INDEX(J6:J11,MATCH(E157,J6:J11,1))))))</f>
        <v/>
      </c>
      <c r="G157" s="289">
        <f>IF(B157="","",(C157-F157)*$B$10)</f>
        <v/>
      </c>
      <c r="H157" s="289">
        <f>IF(B157="","",MAX(0,D157+G157))</f>
        <v/>
      </c>
      <c r="I157" s="289">
        <f>IF(B157="","",$B$5+IF($B$7=0,0,H157/$B$7))</f>
        <v/>
      </c>
    </row>
    <row r="158">
      <c r="A158" s="288">
        <f>IF(B158="","",A157+1)</f>
        <v/>
      </c>
      <c r="B158" s="288">
        <f>IF(ROW()-15&lt;=$B$11,INDEX(Routing!$A:$A,ROW()-14),"")</f>
        <v/>
      </c>
      <c r="C158" s="289">
        <f>IF(B158="","",INDEX(Routing!$M:$M,ROW()-14))</f>
        <v/>
      </c>
      <c r="D158" s="289">
        <f>IF(B158="","",H157)</f>
        <v/>
      </c>
      <c r="E158" s="289">
        <f>IF(B158="","",$B$5+IF($B$7=0,0,D158/$B$7))</f>
        <v/>
      </c>
      <c r="F158" s="289">
        <f>IF(B158="","",IF(E158&lt;=J6,K6,IF(E158&gt;=J11,K11,INDEX(K6:K11,MATCH(E158,J6:J11,1))+(E158-INDEX(J6:J11,MATCH(E158,J6:J11,1)))*(INDEX(K6:K11,MATCH(E158,J6:J11,1)+1)-INDEX(K6:K11,MATCH(E158,J6:J11,1)))/(INDEX(J6:J11,MATCH(E158,J6:J11,1)+1)-INDEX(J6:J11,MATCH(E158,J6:J11,1))))))</f>
        <v/>
      </c>
      <c r="G158" s="289">
        <f>IF(B158="","",(C158-F158)*$B$10)</f>
        <v/>
      </c>
      <c r="H158" s="289">
        <f>IF(B158="","",MAX(0,D158+G158))</f>
        <v/>
      </c>
      <c r="I158" s="289">
        <f>IF(B158="","",$B$5+IF($B$7=0,0,H158/$B$7))</f>
        <v/>
      </c>
    </row>
    <row r="159">
      <c r="A159" s="288">
        <f>IF(B159="","",A158+1)</f>
        <v/>
      </c>
      <c r="B159" s="288">
        <f>IF(ROW()-15&lt;=$B$11,INDEX(Routing!$A:$A,ROW()-14),"")</f>
        <v/>
      </c>
      <c r="C159" s="289">
        <f>IF(B159="","",INDEX(Routing!$M:$M,ROW()-14))</f>
        <v/>
      </c>
      <c r="D159" s="289">
        <f>IF(B159="","",H158)</f>
        <v/>
      </c>
      <c r="E159" s="289">
        <f>IF(B159="","",$B$5+IF($B$7=0,0,D159/$B$7))</f>
        <v/>
      </c>
      <c r="F159" s="289">
        <f>IF(B159="","",IF(E159&lt;=J6,K6,IF(E159&gt;=J11,K11,INDEX(K6:K11,MATCH(E159,J6:J11,1))+(E159-INDEX(J6:J11,MATCH(E159,J6:J11,1)))*(INDEX(K6:K11,MATCH(E159,J6:J11,1)+1)-INDEX(K6:K11,MATCH(E159,J6:J11,1)))/(INDEX(J6:J11,MATCH(E159,J6:J11,1)+1)-INDEX(J6:J11,MATCH(E159,J6:J11,1))))))</f>
        <v/>
      </c>
      <c r="G159" s="289">
        <f>IF(B159="","",(C159-F159)*$B$10)</f>
        <v/>
      </c>
      <c r="H159" s="289">
        <f>IF(B159="","",MAX(0,D159+G159))</f>
        <v/>
      </c>
      <c r="I159" s="289">
        <f>IF(B159="","",$B$5+IF($B$7=0,0,H159/$B$7))</f>
        <v/>
      </c>
    </row>
    <row r="160">
      <c r="A160" s="288">
        <f>IF(B160="","",A159+1)</f>
        <v/>
      </c>
      <c r="B160" s="288">
        <f>IF(ROW()-15&lt;=$B$11,INDEX(Routing!$A:$A,ROW()-14),"")</f>
        <v/>
      </c>
      <c r="C160" s="289">
        <f>IF(B160="","",INDEX(Routing!$M:$M,ROW()-14))</f>
        <v/>
      </c>
      <c r="D160" s="289">
        <f>IF(B160="","",H159)</f>
        <v/>
      </c>
      <c r="E160" s="289">
        <f>IF(B160="","",$B$5+IF($B$7=0,0,D160/$B$7))</f>
        <v/>
      </c>
      <c r="F160" s="289">
        <f>IF(B160="","",IF(E160&lt;=J6,K6,IF(E160&gt;=J11,K11,INDEX(K6:K11,MATCH(E160,J6:J11,1))+(E160-INDEX(J6:J11,MATCH(E160,J6:J11,1)))*(INDEX(K6:K11,MATCH(E160,J6:J11,1)+1)-INDEX(K6:K11,MATCH(E160,J6:J11,1)))/(INDEX(J6:J11,MATCH(E160,J6:J11,1)+1)-INDEX(J6:J11,MATCH(E160,J6:J11,1))))))</f>
        <v/>
      </c>
      <c r="G160" s="289">
        <f>IF(B160="","",(C160-F160)*$B$10)</f>
        <v/>
      </c>
      <c r="H160" s="289">
        <f>IF(B160="","",MAX(0,D160+G160))</f>
        <v/>
      </c>
      <c r="I160" s="289">
        <f>IF(B160="","",$B$5+IF($B$7=0,0,H160/$B$7))</f>
        <v/>
      </c>
    </row>
    <row r="161">
      <c r="A161" s="288">
        <f>IF(B161="","",A160+1)</f>
        <v/>
      </c>
      <c r="B161" s="288">
        <f>IF(ROW()-15&lt;=$B$11,INDEX(Routing!$A:$A,ROW()-14),"")</f>
        <v/>
      </c>
      <c r="C161" s="289">
        <f>IF(B161="","",INDEX(Routing!$M:$M,ROW()-14))</f>
        <v/>
      </c>
      <c r="D161" s="289">
        <f>IF(B161="","",H160)</f>
        <v/>
      </c>
      <c r="E161" s="289">
        <f>IF(B161="","",$B$5+IF($B$7=0,0,D161/$B$7))</f>
        <v/>
      </c>
      <c r="F161" s="289">
        <f>IF(B161="","",IF(E161&lt;=J6,K6,IF(E161&gt;=J11,K11,INDEX(K6:K11,MATCH(E161,J6:J11,1))+(E161-INDEX(J6:J11,MATCH(E161,J6:J11,1)))*(INDEX(K6:K11,MATCH(E161,J6:J11,1)+1)-INDEX(K6:K11,MATCH(E161,J6:J11,1)))/(INDEX(J6:J11,MATCH(E161,J6:J11,1)+1)-INDEX(J6:J11,MATCH(E161,J6:J11,1))))))</f>
        <v/>
      </c>
      <c r="G161" s="289">
        <f>IF(B161="","",(C161-F161)*$B$10)</f>
        <v/>
      </c>
      <c r="H161" s="289">
        <f>IF(B161="","",MAX(0,D161+G161))</f>
        <v/>
      </c>
      <c r="I161" s="289">
        <f>IF(B161="","",$B$5+IF($B$7=0,0,H161/$B$7))</f>
        <v/>
      </c>
    </row>
    <row r="162">
      <c r="A162" s="288">
        <f>IF(B162="","",A161+1)</f>
        <v/>
      </c>
      <c r="B162" s="288">
        <f>IF(ROW()-15&lt;=$B$11,INDEX(Routing!$A:$A,ROW()-14),"")</f>
        <v/>
      </c>
      <c r="C162" s="289">
        <f>IF(B162="","",INDEX(Routing!$M:$M,ROW()-14))</f>
        <v/>
      </c>
      <c r="D162" s="289">
        <f>IF(B162="","",H161)</f>
        <v/>
      </c>
      <c r="E162" s="289">
        <f>IF(B162="","",$B$5+IF($B$7=0,0,D162/$B$7))</f>
        <v/>
      </c>
      <c r="F162" s="289">
        <f>IF(B162="","",IF(E162&lt;=J6,K6,IF(E162&gt;=J11,K11,INDEX(K6:K11,MATCH(E162,J6:J11,1))+(E162-INDEX(J6:J11,MATCH(E162,J6:J11,1)))*(INDEX(K6:K11,MATCH(E162,J6:J11,1)+1)-INDEX(K6:K11,MATCH(E162,J6:J11,1)))/(INDEX(J6:J11,MATCH(E162,J6:J11,1)+1)-INDEX(J6:J11,MATCH(E162,J6:J11,1))))))</f>
        <v/>
      </c>
      <c r="G162" s="289">
        <f>IF(B162="","",(C162-F162)*$B$10)</f>
        <v/>
      </c>
      <c r="H162" s="289">
        <f>IF(B162="","",MAX(0,D162+G162))</f>
        <v/>
      </c>
      <c r="I162" s="289">
        <f>IF(B162="","",$B$5+IF($B$7=0,0,H162/$B$7))</f>
        <v/>
      </c>
    </row>
    <row r="163">
      <c r="A163" s="288">
        <f>IF(B163="","",A162+1)</f>
        <v/>
      </c>
      <c r="B163" s="288">
        <f>IF(ROW()-15&lt;=$B$11,INDEX(Routing!$A:$A,ROW()-14),"")</f>
        <v/>
      </c>
      <c r="C163" s="289">
        <f>IF(B163="","",INDEX(Routing!$M:$M,ROW()-14))</f>
        <v/>
      </c>
      <c r="D163" s="289">
        <f>IF(B163="","",H162)</f>
        <v/>
      </c>
      <c r="E163" s="289">
        <f>IF(B163="","",$B$5+IF($B$7=0,0,D163/$B$7))</f>
        <v/>
      </c>
      <c r="F163" s="289">
        <f>IF(B163="","",IF(E163&lt;=J6,K6,IF(E163&gt;=J11,K11,INDEX(K6:K11,MATCH(E163,J6:J11,1))+(E163-INDEX(J6:J11,MATCH(E163,J6:J11,1)))*(INDEX(K6:K11,MATCH(E163,J6:J11,1)+1)-INDEX(K6:K11,MATCH(E163,J6:J11,1)))/(INDEX(J6:J11,MATCH(E163,J6:J11,1)+1)-INDEX(J6:J11,MATCH(E163,J6:J11,1))))))</f>
        <v/>
      </c>
      <c r="G163" s="289">
        <f>IF(B163="","",(C163-F163)*$B$10)</f>
        <v/>
      </c>
      <c r="H163" s="289">
        <f>IF(B163="","",MAX(0,D163+G163))</f>
        <v/>
      </c>
      <c r="I163" s="289">
        <f>IF(B163="","",$B$5+IF($B$7=0,0,H163/$B$7))</f>
        <v/>
      </c>
    </row>
    <row r="164">
      <c r="A164" s="288">
        <f>IF(B164="","",A163+1)</f>
        <v/>
      </c>
      <c r="B164" s="288">
        <f>IF(ROW()-15&lt;=$B$11,INDEX(Routing!$A:$A,ROW()-14),"")</f>
        <v/>
      </c>
      <c r="C164" s="289">
        <f>IF(B164="","",INDEX(Routing!$M:$M,ROW()-14))</f>
        <v/>
      </c>
      <c r="D164" s="289">
        <f>IF(B164="","",H163)</f>
        <v/>
      </c>
      <c r="E164" s="289">
        <f>IF(B164="","",$B$5+IF($B$7=0,0,D164/$B$7))</f>
        <v/>
      </c>
      <c r="F164" s="289">
        <f>IF(B164="","",IF(E164&lt;=J6,K6,IF(E164&gt;=J11,K11,INDEX(K6:K11,MATCH(E164,J6:J11,1))+(E164-INDEX(J6:J11,MATCH(E164,J6:J11,1)))*(INDEX(K6:K11,MATCH(E164,J6:J11,1)+1)-INDEX(K6:K11,MATCH(E164,J6:J11,1)))/(INDEX(J6:J11,MATCH(E164,J6:J11,1)+1)-INDEX(J6:J11,MATCH(E164,J6:J11,1))))))</f>
        <v/>
      </c>
      <c r="G164" s="289">
        <f>IF(B164="","",(C164-F164)*$B$10)</f>
        <v/>
      </c>
      <c r="H164" s="289">
        <f>IF(B164="","",MAX(0,D164+G164))</f>
        <v/>
      </c>
      <c r="I164" s="289">
        <f>IF(B164="","",$B$5+IF($B$7=0,0,H164/$B$7))</f>
        <v/>
      </c>
    </row>
    <row r="165">
      <c r="A165" s="288">
        <f>IF(B165="","",A164+1)</f>
        <v/>
      </c>
      <c r="B165" s="288">
        <f>IF(ROW()-15&lt;=$B$11,INDEX(Routing!$A:$A,ROW()-14),"")</f>
        <v/>
      </c>
      <c r="C165" s="289">
        <f>IF(B165="","",INDEX(Routing!$M:$M,ROW()-14))</f>
        <v/>
      </c>
      <c r="D165" s="289">
        <f>IF(B165="","",H164)</f>
        <v/>
      </c>
      <c r="E165" s="289">
        <f>IF(B165="","",$B$5+IF($B$7=0,0,D165/$B$7))</f>
        <v/>
      </c>
      <c r="F165" s="289">
        <f>IF(B165="","",IF(E165&lt;=J6,K6,IF(E165&gt;=J11,K11,INDEX(K6:K11,MATCH(E165,J6:J11,1))+(E165-INDEX(J6:J11,MATCH(E165,J6:J11,1)))*(INDEX(K6:K11,MATCH(E165,J6:J11,1)+1)-INDEX(K6:K11,MATCH(E165,J6:J11,1)))/(INDEX(J6:J11,MATCH(E165,J6:J11,1)+1)-INDEX(J6:J11,MATCH(E165,J6:J11,1))))))</f>
        <v/>
      </c>
      <c r="G165" s="289">
        <f>IF(B165="","",(C165-F165)*$B$10)</f>
        <v/>
      </c>
      <c r="H165" s="289">
        <f>IF(B165="","",MAX(0,D165+G165))</f>
        <v/>
      </c>
      <c r="I165" s="289">
        <f>IF(B165="","",$B$5+IF($B$7=0,0,H165/$B$7))</f>
        <v/>
      </c>
    </row>
    <row r="166">
      <c r="A166" s="288">
        <f>IF(B166="","",A165+1)</f>
        <v/>
      </c>
      <c r="B166" s="288">
        <f>IF(ROW()-15&lt;=$B$11,INDEX(Routing!$A:$A,ROW()-14),"")</f>
        <v/>
      </c>
      <c r="C166" s="289">
        <f>IF(B166="","",INDEX(Routing!$M:$M,ROW()-14))</f>
        <v/>
      </c>
      <c r="D166" s="289">
        <f>IF(B166="","",H165)</f>
        <v/>
      </c>
      <c r="E166" s="289">
        <f>IF(B166="","",$B$5+IF($B$7=0,0,D166/$B$7))</f>
        <v/>
      </c>
      <c r="F166" s="289">
        <f>IF(B166="","",IF(E166&lt;=J6,K6,IF(E166&gt;=J11,K11,INDEX(K6:K11,MATCH(E166,J6:J11,1))+(E166-INDEX(J6:J11,MATCH(E166,J6:J11,1)))*(INDEX(K6:K11,MATCH(E166,J6:J11,1)+1)-INDEX(K6:K11,MATCH(E166,J6:J11,1)))/(INDEX(J6:J11,MATCH(E166,J6:J11,1)+1)-INDEX(J6:J11,MATCH(E166,J6:J11,1))))))</f>
        <v/>
      </c>
      <c r="G166" s="289">
        <f>IF(B166="","",(C166-F166)*$B$10)</f>
        <v/>
      </c>
      <c r="H166" s="289">
        <f>IF(B166="","",MAX(0,D166+G166))</f>
        <v/>
      </c>
      <c r="I166" s="289">
        <f>IF(B166="","",$B$5+IF($B$7=0,0,H166/$B$7))</f>
        <v/>
      </c>
    </row>
    <row r="167">
      <c r="A167" s="288">
        <f>IF(B167="","",A166+1)</f>
        <v/>
      </c>
      <c r="B167" s="288">
        <f>IF(ROW()-15&lt;=$B$11,INDEX(Routing!$A:$A,ROW()-14),"")</f>
        <v/>
      </c>
      <c r="C167" s="289">
        <f>IF(B167="","",INDEX(Routing!$M:$M,ROW()-14))</f>
        <v/>
      </c>
      <c r="D167" s="289">
        <f>IF(B167="","",H166)</f>
        <v/>
      </c>
      <c r="E167" s="289">
        <f>IF(B167="","",$B$5+IF($B$7=0,0,D167/$B$7))</f>
        <v/>
      </c>
      <c r="F167" s="289">
        <f>IF(B167="","",IF(E167&lt;=J6,K6,IF(E167&gt;=J11,K11,INDEX(K6:K11,MATCH(E167,J6:J11,1))+(E167-INDEX(J6:J11,MATCH(E167,J6:J11,1)))*(INDEX(K6:K11,MATCH(E167,J6:J11,1)+1)-INDEX(K6:K11,MATCH(E167,J6:J11,1)))/(INDEX(J6:J11,MATCH(E167,J6:J11,1)+1)-INDEX(J6:J11,MATCH(E167,J6:J11,1))))))</f>
        <v/>
      </c>
      <c r="G167" s="289">
        <f>IF(B167="","",(C167-F167)*$B$10)</f>
        <v/>
      </c>
      <c r="H167" s="289">
        <f>IF(B167="","",MAX(0,D167+G167))</f>
        <v/>
      </c>
      <c r="I167" s="289">
        <f>IF(B167="","",$B$5+IF($B$7=0,0,H167/$B$7))</f>
        <v/>
      </c>
    </row>
    <row r="168">
      <c r="A168" s="288">
        <f>IF(B168="","",A167+1)</f>
        <v/>
      </c>
      <c r="B168" s="288">
        <f>IF(ROW()-15&lt;=$B$11,INDEX(Routing!$A:$A,ROW()-14),"")</f>
        <v/>
      </c>
      <c r="C168" s="289">
        <f>IF(B168="","",INDEX(Routing!$M:$M,ROW()-14))</f>
        <v/>
      </c>
      <c r="D168" s="289">
        <f>IF(B168="","",H167)</f>
        <v/>
      </c>
      <c r="E168" s="289">
        <f>IF(B168="","",$B$5+IF($B$7=0,0,D168/$B$7))</f>
        <v/>
      </c>
      <c r="F168" s="289">
        <f>IF(B168="","",IF(E168&lt;=J6,K6,IF(E168&gt;=J11,K11,INDEX(K6:K11,MATCH(E168,J6:J11,1))+(E168-INDEX(J6:J11,MATCH(E168,J6:J11,1)))*(INDEX(K6:K11,MATCH(E168,J6:J11,1)+1)-INDEX(K6:K11,MATCH(E168,J6:J11,1)))/(INDEX(J6:J11,MATCH(E168,J6:J11,1)+1)-INDEX(J6:J11,MATCH(E168,J6:J11,1))))))</f>
        <v/>
      </c>
      <c r="G168" s="289">
        <f>IF(B168="","",(C168-F168)*$B$10)</f>
        <v/>
      </c>
      <c r="H168" s="289">
        <f>IF(B168="","",MAX(0,D168+G168))</f>
        <v/>
      </c>
      <c r="I168" s="289">
        <f>IF(B168="","",$B$5+IF($B$7=0,0,H168/$B$7))</f>
        <v/>
      </c>
    </row>
    <row r="169">
      <c r="A169" s="288">
        <f>IF(B169="","",A168+1)</f>
        <v/>
      </c>
      <c r="B169" s="288">
        <f>IF(ROW()-15&lt;=$B$11,INDEX(Routing!$A:$A,ROW()-14),"")</f>
        <v/>
      </c>
      <c r="C169" s="289">
        <f>IF(B169="","",INDEX(Routing!$M:$M,ROW()-14))</f>
        <v/>
      </c>
      <c r="D169" s="289">
        <f>IF(B169="","",H168)</f>
        <v/>
      </c>
      <c r="E169" s="289">
        <f>IF(B169="","",$B$5+IF($B$7=0,0,D169/$B$7))</f>
        <v/>
      </c>
      <c r="F169" s="289">
        <f>IF(B169="","",IF(E169&lt;=J6,K6,IF(E169&gt;=J11,K11,INDEX(K6:K11,MATCH(E169,J6:J11,1))+(E169-INDEX(J6:J11,MATCH(E169,J6:J11,1)))*(INDEX(K6:K11,MATCH(E169,J6:J11,1)+1)-INDEX(K6:K11,MATCH(E169,J6:J11,1)))/(INDEX(J6:J11,MATCH(E169,J6:J11,1)+1)-INDEX(J6:J11,MATCH(E169,J6:J11,1))))))</f>
        <v/>
      </c>
      <c r="G169" s="289">
        <f>IF(B169="","",(C169-F169)*$B$10)</f>
        <v/>
      </c>
      <c r="H169" s="289">
        <f>IF(B169="","",MAX(0,D169+G169))</f>
        <v/>
      </c>
      <c r="I169" s="289">
        <f>IF(B169="","",$B$5+IF($B$7=0,0,H169/$B$7))</f>
        <v/>
      </c>
    </row>
    <row r="170">
      <c r="A170" s="288">
        <f>IF(B170="","",A169+1)</f>
        <v/>
      </c>
      <c r="B170" s="288">
        <f>IF(ROW()-15&lt;=$B$11,INDEX(Routing!$A:$A,ROW()-14),"")</f>
        <v/>
      </c>
      <c r="C170" s="289">
        <f>IF(B170="","",INDEX(Routing!$M:$M,ROW()-14))</f>
        <v/>
      </c>
      <c r="D170" s="289">
        <f>IF(B170="","",H169)</f>
        <v/>
      </c>
      <c r="E170" s="289">
        <f>IF(B170="","",$B$5+IF($B$7=0,0,D170/$B$7))</f>
        <v/>
      </c>
      <c r="F170" s="289">
        <f>IF(B170="","",IF(E170&lt;=J6,K6,IF(E170&gt;=J11,K11,INDEX(K6:K11,MATCH(E170,J6:J11,1))+(E170-INDEX(J6:J11,MATCH(E170,J6:J11,1)))*(INDEX(K6:K11,MATCH(E170,J6:J11,1)+1)-INDEX(K6:K11,MATCH(E170,J6:J11,1)))/(INDEX(J6:J11,MATCH(E170,J6:J11,1)+1)-INDEX(J6:J11,MATCH(E170,J6:J11,1))))))</f>
        <v/>
      </c>
      <c r="G170" s="289">
        <f>IF(B170="","",(C170-F170)*$B$10)</f>
        <v/>
      </c>
      <c r="H170" s="289">
        <f>IF(B170="","",MAX(0,D170+G170))</f>
        <v/>
      </c>
      <c r="I170" s="289">
        <f>IF(B170="","",$B$5+IF($B$7=0,0,H170/$B$7))</f>
        <v/>
      </c>
    </row>
    <row r="171">
      <c r="A171" s="288">
        <f>IF(B171="","",A170+1)</f>
        <v/>
      </c>
      <c r="B171" s="288">
        <f>IF(ROW()-15&lt;=$B$11,INDEX(Routing!$A:$A,ROW()-14),"")</f>
        <v/>
      </c>
      <c r="C171" s="289">
        <f>IF(B171="","",INDEX(Routing!$M:$M,ROW()-14))</f>
        <v/>
      </c>
      <c r="D171" s="289">
        <f>IF(B171="","",H170)</f>
        <v/>
      </c>
      <c r="E171" s="289">
        <f>IF(B171="","",$B$5+IF($B$7=0,0,D171/$B$7))</f>
        <v/>
      </c>
      <c r="F171" s="289">
        <f>IF(B171="","",IF(E171&lt;=J6,K6,IF(E171&gt;=J11,K11,INDEX(K6:K11,MATCH(E171,J6:J11,1))+(E171-INDEX(J6:J11,MATCH(E171,J6:J11,1)))*(INDEX(K6:K11,MATCH(E171,J6:J11,1)+1)-INDEX(K6:K11,MATCH(E171,J6:J11,1)))/(INDEX(J6:J11,MATCH(E171,J6:J11,1)+1)-INDEX(J6:J11,MATCH(E171,J6:J11,1))))))</f>
        <v/>
      </c>
      <c r="G171" s="289">
        <f>IF(B171="","",(C171-F171)*$B$10)</f>
        <v/>
      </c>
      <c r="H171" s="289">
        <f>IF(B171="","",MAX(0,D171+G171))</f>
        <v/>
      </c>
      <c r="I171" s="289">
        <f>IF(B171="","",$B$5+IF($B$7=0,0,H171/$B$7))</f>
        <v/>
      </c>
    </row>
    <row r="172">
      <c r="A172" s="288">
        <f>IF(B172="","",A171+1)</f>
        <v/>
      </c>
      <c r="B172" s="288">
        <f>IF(ROW()-15&lt;=$B$11,INDEX(Routing!$A:$A,ROW()-14),"")</f>
        <v/>
      </c>
      <c r="C172" s="289">
        <f>IF(B172="","",INDEX(Routing!$M:$M,ROW()-14))</f>
        <v/>
      </c>
      <c r="D172" s="289">
        <f>IF(B172="","",H171)</f>
        <v/>
      </c>
      <c r="E172" s="289">
        <f>IF(B172="","",$B$5+IF($B$7=0,0,D172/$B$7))</f>
        <v/>
      </c>
      <c r="F172" s="289">
        <f>IF(B172="","",IF(E172&lt;=J6,K6,IF(E172&gt;=J11,K11,INDEX(K6:K11,MATCH(E172,J6:J11,1))+(E172-INDEX(J6:J11,MATCH(E172,J6:J11,1)))*(INDEX(K6:K11,MATCH(E172,J6:J11,1)+1)-INDEX(K6:K11,MATCH(E172,J6:J11,1)))/(INDEX(J6:J11,MATCH(E172,J6:J11,1)+1)-INDEX(J6:J11,MATCH(E172,J6:J11,1))))))</f>
        <v/>
      </c>
      <c r="G172" s="289">
        <f>IF(B172="","",(C172-F172)*$B$10)</f>
        <v/>
      </c>
      <c r="H172" s="289">
        <f>IF(B172="","",MAX(0,D172+G172))</f>
        <v/>
      </c>
      <c r="I172" s="289">
        <f>IF(B172="","",$B$5+IF($B$7=0,0,H172/$B$7))</f>
        <v/>
      </c>
    </row>
    <row r="173">
      <c r="A173" s="288">
        <f>IF(B173="","",A172+1)</f>
        <v/>
      </c>
      <c r="B173" s="288">
        <f>IF(ROW()-15&lt;=$B$11,INDEX(Routing!$A:$A,ROW()-14),"")</f>
        <v/>
      </c>
      <c r="C173" s="289">
        <f>IF(B173="","",INDEX(Routing!$M:$M,ROW()-14))</f>
        <v/>
      </c>
      <c r="D173" s="289">
        <f>IF(B173="","",H172)</f>
        <v/>
      </c>
      <c r="E173" s="289">
        <f>IF(B173="","",$B$5+IF($B$7=0,0,D173/$B$7))</f>
        <v/>
      </c>
      <c r="F173" s="289">
        <f>IF(B173="","",IF(E173&lt;=J6,K6,IF(E173&gt;=J11,K11,INDEX(K6:K11,MATCH(E173,J6:J11,1))+(E173-INDEX(J6:J11,MATCH(E173,J6:J11,1)))*(INDEX(K6:K11,MATCH(E173,J6:J11,1)+1)-INDEX(K6:K11,MATCH(E173,J6:J11,1)))/(INDEX(J6:J11,MATCH(E173,J6:J11,1)+1)-INDEX(J6:J11,MATCH(E173,J6:J11,1))))))</f>
        <v/>
      </c>
      <c r="G173" s="289">
        <f>IF(B173="","",(C173-F173)*$B$10)</f>
        <v/>
      </c>
      <c r="H173" s="289">
        <f>IF(B173="","",MAX(0,D173+G173))</f>
        <v/>
      </c>
      <c r="I173" s="289">
        <f>IF(B173="","",$B$5+IF($B$7=0,0,H173/$B$7))</f>
        <v/>
      </c>
    </row>
    <row r="174">
      <c r="A174" s="288">
        <f>IF(B174="","",A173+1)</f>
        <v/>
      </c>
      <c r="B174" s="288">
        <f>IF(ROW()-15&lt;=$B$11,INDEX(Routing!$A:$A,ROW()-14),"")</f>
        <v/>
      </c>
      <c r="C174" s="289">
        <f>IF(B174="","",INDEX(Routing!$M:$M,ROW()-14))</f>
        <v/>
      </c>
      <c r="D174" s="289">
        <f>IF(B174="","",H173)</f>
        <v/>
      </c>
      <c r="E174" s="289">
        <f>IF(B174="","",$B$5+IF($B$7=0,0,D174/$B$7))</f>
        <v/>
      </c>
      <c r="F174" s="289">
        <f>IF(B174="","",IF(E174&lt;=J6,K6,IF(E174&gt;=J11,K11,INDEX(K6:K11,MATCH(E174,J6:J11,1))+(E174-INDEX(J6:J11,MATCH(E174,J6:J11,1)))*(INDEX(K6:K11,MATCH(E174,J6:J11,1)+1)-INDEX(K6:K11,MATCH(E174,J6:J11,1)))/(INDEX(J6:J11,MATCH(E174,J6:J11,1)+1)-INDEX(J6:J11,MATCH(E174,J6:J11,1))))))</f>
        <v/>
      </c>
      <c r="G174" s="289">
        <f>IF(B174="","",(C174-F174)*$B$10)</f>
        <v/>
      </c>
      <c r="H174" s="289">
        <f>IF(B174="","",MAX(0,D174+G174))</f>
        <v/>
      </c>
      <c r="I174" s="289">
        <f>IF(B174="","",$B$5+IF($B$7=0,0,H174/$B$7))</f>
        <v/>
      </c>
    </row>
    <row r="175">
      <c r="A175" s="288">
        <f>IF(B175="","",A174+1)</f>
        <v/>
      </c>
      <c r="B175" s="288">
        <f>IF(ROW()-15&lt;=$B$11,INDEX(Routing!$A:$A,ROW()-14),"")</f>
        <v/>
      </c>
      <c r="C175" s="289">
        <f>IF(B175="","",INDEX(Routing!$M:$M,ROW()-14))</f>
        <v/>
      </c>
      <c r="D175" s="289">
        <f>IF(B175="","",H174)</f>
        <v/>
      </c>
      <c r="E175" s="289">
        <f>IF(B175="","",$B$5+IF($B$7=0,0,D175/$B$7))</f>
        <v/>
      </c>
      <c r="F175" s="289">
        <f>IF(B175="","",IF(E175&lt;=J6,K6,IF(E175&gt;=J11,K11,INDEX(K6:K11,MATCH(E175,J6:J11,1))+(E175-INDEX(J6:J11,MATCH(E175,J6:J11,1)))*(INDEX(K6:K11,MATCH(E175,J6:J11,1)+1)-INDEX(K6:K11,MATCH(E175,J6:J11,1)))/(INDEX(J6:J11,MATCH(E175,J6:J11,1)+1)-INDEX(J6:J11,MATCH(E175,J6:J11,1))))))</f>
        <v/>
      </c>
      <c r="G175" s="289">
        <f>IF(B175="","",(C175-F175)*$B$10)</f>
        <v/>
      </c>
      <c r="H175" s="289">
        <f>IF(B175="","",MAX(0,D175+G175))</f>
        <v/>
      </c>
      <c r="I175" s="289">
        <f>IF(B175="","",$B$5+IF($B$7=0,0,H175/$B$7))</f>
        <v/>
      </c>
    </row>
    <row r="176">
      <c r="A176" s="288">
        <f>IF(B176="","",A175+1)</f>
        <v/>
      </c>
      <c r="B176" s="288">
        <f>IF(ROW()-15&lt;=$B$11,INDEX(Routing!$A:$A,ROW()-14),"")</f>
        <v/>
      </c>
      <c r="C176" s="289">
        <f>IF(B176="","",INDEX(Routing!$M:$M,ROW()-14))</f>
        <v/>
      </c>
      <c r="D176" s="289">
        <f>IF(B176="","",H175)</f>
        <v/>
      </c>
      <c r="E176" s="289">
        <f>IF(B176="","",$B$5+IF($B$7=0,0,D176/$B$7))</f>
        <v/>
      </c>
      <c r="F176" s="289">
        <f>IF(B176="","",IF(E176&lt;=J6,K6,IF(E176&gt;=J11,K11,INDEX(K6:K11,MATCH(E176,J6:J11,1))+(E176-INDEX(J6:J11,MATCH(E176,J6:J11,1)))*(INDEX(K6:K11,MATCH(E176,J6:J11,1)+1)-INDEX(K6:K11,MATCH(E176,J6:J11,1)))/(INDEX(J6:J11,MATCH(E176,J6:J11,1)+1)-INDEX(J6:J11,MATCH(E176,J6:J11,1))))))</f>
        <v/>
      </c>
      <c r="G176" s="289">
        <f>IF(B176="","",(C176-F176)*$B$10)</f>
        <v/>
      </c>
      <c r="H176" s="289">
        <f>IF(B176="","",MAX(0,D176+G176))</f>
        <v/>
      </c>
      <c r="I176" s="289">
        <f>IF(B176="","",$B$5+IF($B$7=0,0,H176/$B$7))</f>
        <v/>
      </c>
    </row>
    <row r="177">
      <c r="A177" s="288">
        <f>IF(B177="","",A176+1)</f>
        <v/>
      </c>
      <c r="B177" s="288">
        <f>IF(ROW()-15&lt;=$B$11,INDEX(Routing!$A:$A,ROW()-14),"")</f>
        <v/>
      </c>
      <c r="C177" s="289">
        <f>IF(B177="","",INDEX(Routing!$M:$M,ROW()-14))</f>
        <v/>
      </c>
      <c r="D177" s="289">
        <f>IF(B177="","",H176)</f>
        <v/>
      </c>
      <c r="E177" s="289">
        <f>IF(B177="","",$B$5+IF($B$7=0,0,D177/$B$7))</f>
        <v/>
      </c>
      <c r="F177" s="289">
        <f>IF(B177="","",IF(E177&lt;=J6,K6,IF(E177&gt;=J11,K11,INDEX(K6:K11,MATCH(E177,J6:J11,1))+(E177-INDEX(J6:J11,MATCH(E177,J6:J11,1)))*(INDEX(K6:K11,MATCH(E177,J6:J11,1)+1)-INDEX(K6:K11,MATCH(E177,J6:J11,1)))/(INDEX(J6:J11,MATCH(E177,J6:J11,1)+1)-INDEX(J6:J11,MATCH(E177,J6:J11,1))))))</f>
        <v/>
      </c>
      <c r="G177" s="289">
        <f>IF(B177="","",(C177-F177)*$B$10)</f>
        <v/>
      </c>
      <c r="H177" s="289">
        <f>IF(B177="","",MAX(0,D177+G177))</f>
        <v/>
      </c>
      <c r="I177" s="289">
        <f>IF(B177="","",$B$5+IF($B$7=0,0,H177/$B$7))</f>
        <v/>
      </c>
    </row>
    <row r="178">
      <c r="A178" s="288">
        <f>IF(B178="","",A177+1)</f>
        <v/>
      </c>
      <c r="B178" s="288">
        <f>IF(ROW()-15&lt;=$B$11,INDEX(Routing!$A:$A,ROW()-14),"")</f>
        <v/>
      </c>
      <c r="C178" s="289">
        <f>IF(B178="","",INDEX(Routing!$M:$M,ROW()-14))</f>
        <v/>
      </c>
      <c r="D178" s="289">
        <f>IF(B178="","",H177)</f>
        <v/>
      </c>
      <c r="E178" s="289">
        <f>IF(B178="","",$B$5+IF($B$7=0,0,D178/$B$7))</f>
        <v/>
      </c>
      <c r="F178" s="289">
        <f>IF(B178="","",IF(E178&lt;=J6,K6,IF(E178&gt;=J11,K11,INDEX(K6:K11,MATCH(E178,J6:J11,1))+(E178-INDEX(J6:J11,MATCH(E178,J6:J11,1)))*(INDEX(K6:K11,MATCH(E178,J6:J11,1)+1)-INDEX(K6:K11,MATCH(E178,J6:J11,1)))/(INDEX(J6:J11,MATCH(E178,J6:J11,1)+1)-INDEX(J6:J11,MATCH(E178,J6:J11,1))))))</f>
        <v/>
      </c>
      <c r="G178" s="289">
        <f>IF(B178="","",(C178-F178)*$B$10)</f>
        <v/>
      </c>
      <c r="H178" s="289">
        <f>IF(B178="","",MAX(0,D178+G178))</f>
        <v/>
      </c>
      <c r="I178" s="289">
        <f>IF(B178="","",$B$5+IF($B$7=0,0,H178/$B$7))</f>
        <v/>
      </c>
    </row>
    <row r="179">
      <c r="A179" s="288">
        <f>IF(B179="","",A178+1)</f>
        <v/>
      </c>
      <c r="B179" s="288">
        <f>IF(ROW()-15&lt;=$B$11,INDEX(Routing!$A:$A,ROW()-14),"")</f>
        <v/>
      </c>
      <c r="C179" s="289">
        <f>IF(B179="","",INDEX(Routing!$M:$M,ROW()-14))</f>
        <v/>
      </c>
      <c r="D179" s="289">
        <f>IF(B179="","",H178)</f>
        <v/>
      </c>
      <c r="E179" s="289">
        <f>IF(B179="","",$B$5+IF($B$7=0,0,D179/$B$7))</f>
        <v/>
      </c>
      <c r="F179" s="289">
        <f>IF(B179="","",IF(E179&lt;=J6,K6,IF(E179&gt;=J11,K11,INDEX(K6:K11,MATCH(E179,J6:J11,1))+(E179-INDEX(J6:J11,MATCH(E179,J6:J11,1)))*(INDEX(K6:K11,MATCH(E179,J6:J11,1)+1)-INDEX(K6:K11,MATCH(E179,J6:J11,1)))/(INDEX(J6:J11,MATCH(E179,J6:J11,1)+1)-INDEX(J6:J11,MATCH(E179,J6:J11,1))))))</f>
        <v/>
      </c>
      <c r="G179" s="289">
        <f>IF(B179="","",(C179-F179)*$B$10)</f>
        <v/>
      </c>
      <c r="H179" s="289">
        <f>IF(B179="","",MAX(0,D179+G179))</f>
        <v/>
      </c>
      <c r="I179" s="289">
        <f>IF(B179="","",$B$5+IF($B$7=0,0,H179/$B$7))</f>
        <v/>
      </c>
    </row>
    <row r="180">
      <c r="A180" s="288">
        <f>IF(B180="","",A179+1)</f>
        <v/>
      </c>
      <c r="B180" s="288">
        <f>IF(ROW()-15&lt;=$B$11,INDEX(Routing!$A:$A,ROW()-14),"")</f>
        <v/>
      </c>
      <c r="C180" s="289">
        <f>IF(B180="","",INDEX(Routing!$M:$M,ROW()-14))</f>
        <v/>
      </c>
      <c r="D180" s="289">
        <f>IF(B180="","",H179)</f>
        <v/>
      </c>
      <c r="E180" s="289">
        <f>IF(B180="","",$B$5+IF($B$7=0,0,D180/$B$7))</f>
        <v/>
      </c>
      <c r="F180" s="289">
        <f>IF(B180="","",IF(E180&lt;=J6,K6,IF(E180&gt;=J11,K11,INDEX(K6:K11,MATCH(E180,J6:J11,1))+(E180-INDEX(J6:J11,MATCH(E180,J6:J11,1)))*(INDEX(K6:K11,MATCH(E180,J6:J11,1)+1)-INDEX(K6:K11,MATCH(E180,J6:J11,1)))/(INDEX(J6:J11,MATCH(E180,J6:J11,1)+1)-INDEX(J6:J11,MATCH(E180,J6:J11,1))))))</f>
        <v/>
      </c>
      <c r="G180" s="289">
        <f>IF(B180="","",(C180-F180)*$B$10)</f>
        <v/>
      </c>
      <c r="H180" s="289">
        <f>IF(B180="","",MAX(0,D180+G180))</f>
        <v/>
      </c>
      <c r="I180" s="289">
        <f>IF(B180="","",$B$5+IF($B$7=0,0,H180/$B$7))</f>
        <v/>
      </c>
    </row>
    <row r="181">
      <c r="A181" s="288">
        <f>IF(B181="","",A180+1)</f>
        <v/>
      </c>
      <c r="B181" s="288">
        <f>IF(ROW()-15&lt;=$B$11,INDEX(Routing!$A:$A,ROW()-14),"")</f>
        <v/>
      </c>
      <c r="C181" s="289">
        <f>IF(B181="","",INDEX(Routing!$M:$M,ROW()-14))</f>
        <v/>
      </c>
      <c r="D181" s="289">
        <f>IF(B181="","",H180)</f>
        <v/>
      </c>
      <c r="E181" s="289">
        <f>IF(B181="","",$B$5+IF($B$7=0,0,D181/$B$7))</f>
        <v/>
      </c>
      <c r="F181" s="289">
        <f>IF(B181="","",IF(E181&lt;=J6,K6,IF(E181&gt;=J11,K11,INDEX(K6:K11,MATCH(E181,J6:J11,1))+(E181-INDEX(J6:J11,MATCH(E181,J6:J11,1)))*(INDEX(K6:K11,MATCH(E181,J6:J11,1)+1)-INDEX(K6:K11,MATCH(E181,J6:J11,1)))/(INDEX(J6:J11,MATCH(E181,J6:J11,1)+1)-INDEX(J6:J11,MATCH(E181,J6:J11,1))))))</f>
        <v/>
      </c>
      <c r="G181" s="289">
        <f>IF(B181="","",(C181-F181)*$B$10)</f>
        <v/>
      </c>
      <c r="H181" s="289">
        <f>IF(B181="","",MAX(0,D181+G181))</f>
        <v/>
      </c>
      <c r="I181" s="289">
        <f>IF(B181="","",$B$5+IF($B$7=0,0,H181/$B$7))</f>
        <v/>
      </c>
    </row>
    <row r="182">
      <c r="A182" s="288">
        <f>IF(B182="","",A181+1)</f>
        <v/>
      </c>
      <c r="B182" s="288">
        <f>IF(ROW()-15&lt;=$B$11,INDEX(Routing!$A:$A,ROW()-14),"")</f>
        <v/>
      </c>
      <c r="C182" s="289">
        <f>IF(B182="","",INDEX(Routing!$M:$M,ROW()-14))</f>
        <v/>
      </c>
      <c r="D182" s="289">
        <f>IF(B182="","",H181)</f>
        <v/>
      </c>
      <c r="E182" s="289">
        <f>IF(B182="","",$B$5+IF($B$7=0,0,D182/$B$7))</f>
        <v/>
      </c>
      <c r="F182" s="289">
        <f>IF(B182="","",IF(E182&lt;=J6,K6,IF(E182&gt;=J11,K11,INDEX(K6:K11,MATCH(E182,J6:J11,1))+(E182-INDEX(J6:J11,MATCH(E182,J6:J11,1)))*(INDEX(K6:K11,MATCH(E182,J6:J11,1)+1)-INDEX(K6:K11,MATCH(E182,J6:J11,1)))/(INDEX(J6:J11,MATCH(E182,J6:J11,1)+1)-INDEX(J6:J11,MATCH(E182,J6:J11,1))))))</f>
        <v/>
      </c>
      <c r="G182" s="289">
        <f>IF(B182="","",(C182-F182)*$B$10)</f>
        <v/>
      </c>
      <c r="H182" s="289">
        <f>IF(B182="","",MAX(0,D182+G182))</f>
        <v/>
      </c>
      <c r="I182" s="289">
        <f>IF(B182="","",$B$5+IF($B$7=0,0,H182/$B$7))</f>
        <v/>
      </c>
    </row>
    <row r="183">
      <c r="A183" s="288">
        <f>IF(B183="","",A182+1)</f>
        <v/>
      </c>
      <c r="B183" s="288">
        <f>IF(ROW()-15&lt;=$B$11,INDEX(Routing!$A:$A,ROW()-14),"")</f>
        <v/>
      </c>
      <c r="C183" s="289">
        <f>IF(B183="","",INDEX(Routing!$M:$M,ROW()-14))</f>
        <v/>
      </c>
      <c r="D183" s="289">
        <f>IF(B183="","",H182)</f>
        <v/>
      </c>
      <c r="E183" s="289">
        <f>IF(B183="","",$B$5+IF($B$7=0,0,D183/$B$7))</f>
        <v/>
      </c>
      <c r="F183" s="289">
        <f>IF(B183="","",IF(E183&lt;=J6,K6,IF(E183&gt;=J11,K11,INDEX(K6:K11,MATCH(E183,J6:J11,1))+(E183-INDEX(J6:J11,MATCH(E183,J6:J11,1)))*(INDEX(K6:K11,MATCH(E183,J6:J11,1)+1)-INDEX(K6:K11,MATCH(E183,J6:J11,1)))/(INDEX(J6:J11,MATCH(E183,J6:J11,1)+1)-INDEX(J6:J11,MATCH(E183,J6:J11,1))))))</f>
        <v/>
      </c>
      <c r="G183" s="289">
        <f>IF(B183="","",(C183-F183)*$B$10)</f>
        <v/>
      </c>
      <c r="H183" s="289">
        <f>IF(B183="","",MAX(0,D183+G183))</f>
        <v/>
      </c>
      <c r="I183" s="289">
        <f>IF(B183="","",$B$5+IF($B$7=0,0,H183/$B$7))</f>
        <v/>
      </c>
    </row>
    <row r="184">
      <c r="A184" s="288">
        <f>IF(B184="","",A183+1)</f>
        <v/>
      </c>
      <c r="B184" s="288">
        <f>IF(ROW()-15&lt;=$B$11,INDEX(Routing!$A:$A,ROW()-14),"")</f>
        <v/>
      </c>
      <c r="C184" s="289">
        <f>IF(B184="","",INDEX(Routing!$M:$M,ROW()-14))</f>
        <v/>
      </c>
      <c r="D184" s="289">
        <f>IF(B184="","",H183)</f>
        <v/>
      </c>
      <c r="E184" s="289">
        <f>IF(B184="","",$B$5+IF($B$7=0,0,D184/$B$7))</f>
        <v/>
      </c>
      <c r="F184" s="289">
        <f>IF(B184="","",IF(E184&lt;=J6,K6,IF(E184&gt;=J11,K11,INDEX(K6:K11,MATCH(E184,J6:J11,1))+(E184-INDEX(J6:J11,MATCH(E184,J6:J11,1)))*(INDEX(K6:K11,MATCH(E184,J6:J11,1)+1)-INDEX(K6:K11,MATCH(E184,J6:J11,1)))/(INDEX(J6:J11,MATCH(E184,J6:J11,1)+1)-INDEX(J6:J11,MATCH(E184,J6:J11,1))))))</f>
        <v/>
      </c>
      <c r="G184" s="289">
        <f>IF(B184="","",(C184-F184)*$B$10)</f>
        <v/>
      </c>
      <c r="H184" s="289">
        <f>IF(B184="","",MAX(0,D184+G184))</f>
        <v/>
      </c>
      <c r="I184" s="289">
        <f>IF(B184="","",$B$5+IF($B$7=0,0,H184/$B$7))</f>
        <v/>
      </c>
    </row>
    <row r="185">
      <c r="A185" s="288">
        <f>IF(B185="","",A184+1)</f>
        <v/>
      </c>
      <c r="B185" s="288">
        <f>IF(ROW()-15&lt;=$B$11,INDEX(Routing!$A:$A,ROW()-14),"")</f>
        <v/>
      </c>
      <c r="C185" s="289">
        <f>IF(B185="","",INDEX(Routing!$M:$M,ROW()-14))</f>
        <v/>
      </c>
      <c r="D185" s="289">
        <f>IF(B185="","",H184)</f>
        <v/>
      </c>
      <c r="E185" s="289">
        <f>IF(B185="","",$B$5+IF($B$7=0,0,D185/$B$7))</f>
        <v/>
      </c>
      <c r="F185" s="289">
        <f>IF(B185="","",IF(E185&lt;=J6,K6,IF(E185&gt;=J11,K11,INDEX(K6:K11,MATCH(E185,J6:J11,1))+(E185-INDEX(J6:J11,MATCH(E185,J6:J11,1)))*(INDEX(K6:K11,MATCH(E185,J6:J11,1)+1)-INDEX(K6:K11,MATCH(E185,J6:J11,1)))/(INDEX(J6:J11,MATCH(E185,J6:J11,1)+1)-INDEX(J6:J11,MATCH(E185,J6:J11,1))))))</f>
        <v/>
      </c>
      <c r="G185" s="289">
        <f>IF(B185="","",(C185-F185)*$B$10)</f>
        <v/>
      </c>
      <c r="H185" s="289">
        <f>IF(B185="","",MAX(0,D185+G185))</f>
        <v/>
      </c>
      <c r="I185" s="289">
        <f>IF(B185="","",$B$5+IF($B$7=0,0,H185/$B$7))</f>
        <v/>
      </c>
    </row>
    <row r="186">
      <c r="A186" s="288">
        <f>IF(B186="","",A185+1)</f>
        <v/>
      </c>
      <c r="B186" s="288">
        <f>IF(ROW()-15&lt;=$B$11,INDEX(Routing!$A:$A,ROW()-14),"")</f>
        <v/>
      </c>
      <c r="C186" s="289">
        <f>IF(B186="","",INDEX(Routing!$M:$M,ROW()-14))</f>
        <v/>
      </c>
      <c r="D186" s="289">
        <f>IF(B186="","",H185)</f>
        <v/>
      </c>
      <c r="E186" s="289">
        <f>IF(B186="","",$B$5+IF($B$7=0,0,D186/$B$7))</f>
        <v/>
      </c>
      <c r="F186" s="289">
        <f>IF(B186="","",IF(E186&lt;=J6,K6,IF(E186&gt;=J11,K11,INDEX(K6:K11,MATCH(E186,J6:J11,1))+(E186-INDEX(J6:J11,MATCH(E186,J6:J11,1)))*(INDEX(K6:K11,MATCH(E186,J6:J11,1)+1)-INDEX(K6:K11,MATCH(E186,J6:J11,1)))/(INDEX(J6:J11,MATCH(E186,J6:J11,1)+1)-INDEX(J6:J11,MATCH(E186,J6:J11,1))))))</f>
        <v/>
      </c>
      <c r="G186" s="289">
        <f>IF(B186="","",(C186-F186)*$B$10)</f>
        <v/>
      </c>
      <c r="H186" s="289">
        <f>IF(B186="","",MAX(0,D186+G186))</f>
        <v/>
      </c>
      <c r="I186" s="289">
        <f>IF(B186="","",$B$5+IF($B$7=0,0,H186/$B$7))</f>
        <v/>
      </c>
    </row>
    <row r="187">
      <c r="A187" s="288">
        <f>IF(B187="","",A186+1)</f>
        <v/>
      </c>
      <c r="B187" s="288">
        <f>IF(ROW()-15&lt;=$B$11,INDEX(Routing!$A:$A,ROW()-14),"")</f>
        <v/>
      </c>
      <c r="C187" s="289">
        <f>IF(B187="","",INDEX(Routing!$M:$M,ROW()-14))</f>
        <v/>
      </c>
      <c r="D187" s="289">
        <f>IF(B187="","",H186)</f>
        <v/>
      </c>
      <c r="E187" s="289">
        <f>IF(B187="","",$B$5+IF($B$7=0,0,D187/$B$7))</f>
        <v/>
      </c>
      <c r="F187" s="289">
        <f>IF(B187="","",IF(E187&lt;=J6,K6,IF(E187&gt;=J11,K11,INDEX(K6:K11,MATCH(E187,J6:J11,1))+(E187-INDEX(J6:J11,MATCH(E187,J6:J11,1)))*(INDEX(K6:K11,MATCH(E187,J6:J11,1)+1)-INDEX(K6:K11,MATCH(E187,J6:J11,1)))/(INDEX(J6:J11,MATCH(E187,J6:J11,1)+1)-INDEX(J6:J11,MATCH(E187,J6:J11,1))))))</f>
        <v/>
      </c>
      <c r="G187" s="289">
        <f>IF(B187="","",(C187-F187)*$B$10)</f>
        <v/>
      </c>
      <c r="H187" s="289">
        <f>IF(B187="","",MAX(0,D187+G187))</f>
        <v/>
      </c>
      <c r="I187" s="289">
        <f>IF(B187="","",$B$5+IF($B$7=0,0,H187/$B$7))</f>
        <v/>
      </c>
    </row>
    <row r="188">
      <c r="A188" s="288">
        <f>IF(B188="","",A187+1)</f>
        <v/>
      </c>
      <c r="B188" s="288">
        <f>IF(ROW()-15&lt;=$B$11,INDEX(Routing!$A:$A,ROW()-14),"")</f>
        <v/>
      </c>
      <c r="C188" s="289">
        <f>IF(B188="","",INDEX(Routing!$M:$M,ROW()-14))</f>
        <v/>
      </c>
      <c r="D188" s="289">
        <f>IF(B188="","",H187)</f>
        <v/>
      </c>
      <c r="E188" s="289">
        <f>IF(B188="","",$B$5+IF($B$7=0,0,D188/$B$7))</f>
        <v/>
      </c>
      <c r="F188" s="289">
        <f>IF(B188="","",IF(E188&lt;=J6,K6,IF(E188&gt;=J11,K11,INDEX(K6:K11,MATCH(E188,J6:J11,1))+(E188-INDEX(J6:J11,MATCH(E188,J6:J11,1)))*(INDEX(K6:K11,MATCH(E188,J6:J11,1)+1)-INDEX(K6:K11,MATCH(E188,J6:J11,1)))/(INDEX(J6:J11,MATCH(E188,J6:J11,1)+1)-INDEX(J6:J11,MATCH(E188,J6:J11,1))))))</f>
        <v/>
      </c>
      <c r="G188" s="289">
        <f>IF(B188="","",(C188-F188)*$B$10)</f>
        <v/>
      </c>
      <c r="H188" s="289">
        <f>IF(B188="","",MAX(0,D188+G188))</f>
        <v/>
      </c>
      <c r="I188" s="289">
        <f>IF(B188="","",$B$5+IF($B$7=0,0,H188/$B$7))</f>
        <v/>
      </c>
    </row>
    <row r="189">
      <c r="A189" s="288">
        <f>IF(B189="","",A188+1)</f>
        <v/>
      </c>
      <c r="B189" s="288">
        <f>IF(ROW()-15&lt;=$B$11,INDEX(Routing!$A:$A,ROW()-14),"")</f>
        <v/>
      </c>
      <c r="C189" s="289">
        <f>IF(B189="","",INDEX(Routing!$M:$M,ROW()-14))</f>
        <v/>
      </c>
      <c r="D189" s="289">
        <f>IF(B189="","",H188)</f>
        <v/>
      </c>
      <c r="E189" s="289">
        <f>IF(B189="","",$B$5+IF($B$7=0,0,D189/$B$7))</f>
        <v/>
      </c>
      <c r="F189" s="289">
        <f>IF(B189="","",IF(E189&lt;=J6,K6,IF(E189&gt;=J11,K11,INDEX(K6:K11,MATCH(E189,J6:J11,1))+(E189-INDEX(J6:J11,MATCH(E189,J6:J11,1)))*(INDEX(K6:K11,MATCH(E189,J6:J11,1)+1)-INDEX(K6:K11,MATCH(E189,J6:J11,1)))/(INDEX(J6:J11,MATCH(E189,J6:J11,1)+1)-INDEX(J6:J11,MATCH(E189,J6:J11,1))))))</f>
        <v/>
      </c>
      <c r="G189" s="289">
        <f>IF(B189="","",(C189-F189)*$B$10)</f>
        <v/>
      </c>
      <c r="H189" s="289">
        <f>IF(B189="","",MAX(0,D189+G189))</f>
        <v/>
      </c>
      <c r="I189" s="289">
        <f>IF(B189="","",$B$5+IF($B$7=0,0,H189/$B$7))</f>
        <v/>
      </c>
    </row>
    <row r="190">
      <c r="A190" s="288">
        <f>IF(B190="","",A189+1)</f>
        <v/>
      </c>
      <c r="B190" s="288">
        <f>IF(ROW()-15&lt;=$B$11,INDEX(Routing!$A:$A,ROW()-14),"")</f>
        <v/>
      </c>
      <c r="C190" s="289">
        <f>IF(B190="","",INDEX(Routing!$M:$M,ROW()-14))</f>
        <v/>
      </c>
      <c r="D190" s="289">
        <f>IF(B190="","",H189)</f>
        <v/>
      </c>
      <c r="E190" s="289">
        <f>IF(B190="","",$B$5+IF($B$7=0,0,D190/$B$7))</f>
        <v/>
      </c>
      <c r="F190" s="289">
        <f>IF(B190="","",IF(E190&lt;=J6,K6,IF(E190&gt;=J11,K11,INDEX(K6:K11,MATCH(E190,J6:J11,1))+(E190-INDEX(J6:J11,MATCH(E190,J6:J11,1)))*(INDEX(K6:K11,MATCH(E190,J6:J11,1)+1)-INDEX(K6:K11,MATCH(E190,J6:J11,1)))/(INDEX(J6:J11,MATCH(E190,J6:J11,1)+1)-INDEX(J6:J11,MATCH(E190,J6:J11,1))))))</f>
        <v/>
      </c>
      <c r="G190" s="289">
        <f>IF(B190="","",(C190-F190)*$B$10)</f>
        <v/>
      </c>
      <c r="H190" s="289">
        <f>IF(B190="","",MAX(0,D190+G190))</f>
        <v/>
      </c>
      <c r="I190" s="289">
        <f>IF(B190="","",$B$5+IF($B$7=0,0,H190/$B$7))</f>
        <v/>
      </c>
    </row>
    <row r="191">
      <c r="A191" s="288">
        <f>IF(B191="","",A190+1)</f>
        <v/>
      </c>
      <c r="B191" s="288">
        <f>IF(ROW()-15&lt;=$B$11,INDEX(Routing!$A:$A,ROW()-14),"")</f>
        <v/>
      </c>
      <c r="C191" s="289">
        <f>IF(B191="","",INDEX(Routing!$M:$M,ROW()-14))</f>
        <v/>
      </c>
      <c r="D191" s="289">
        <f>IF(B191="","",H190)</f>
        <v/>
      </c>
      <c r="E191" s="289">
        <f>IF(B191="","",$B$5+IF($B$7=0,0,D191/$B$7))</f>
        <v/>
      </c>
      <c r="F191" s="289">
        <f>IF(B191="","",IF(E191&lt;=J6,K6,IF(E191&gt;=J11,K11,INDEX(K6:K11,MATCH(E191,J6:J11,1))+(E191-INDEX(J6:J11,MATCH(E191,J6:J11,1)))*(INDEX(K6:K11,MATCH(E191,J6:J11,1)+1)-INDEX(K6:K11,MATCH(E191,J6:J11,1)))/(INDEX(J6:J11,MATCH(E191,J6:J11,1)+1)-INDEX(J6:J11,MATCH(E191,J6:J11,1))))))</f>
        <v/>
      </c>
      <c r="G191" s="289">
        <f>IF(B191="","",(C191-F191)*$B$10)</f>
        <v/>
      </c>
      <c r="H191" s="289">
        <f>IF(B191="","",MAX(0,D191+G191))</f>
        <v/>
      </c>
      <c r="I191" s="289">
        <f>IF(B191="","",$B$5+IF($B$7=0,0,H191/$B$7))</f>
        <v/>
      </c>
    </row>
    <row r="192">
      <c r="A192" s="288">
        <f>IF(B192="","",A191+1)</f>
        <v/>
      </c>
      <c r="B192" s="288">
        <f>IF(ROW()-15&lt;=$B$11,INDEX(Routing!$A:$A,ROW()-14),"")</f>
        <v/>
      </c>
      <c r="C192" s="289">
        <f>IF(B192="","",INDEX(Routing!$M:$M,ROW()-14))</f>
        <v/>
      </c>
      <c r="D192" s="289">
        <f>IF(B192="","",H191)</f>
        <v/>
      </c>
      <c r="E192" s="289">
        <f>IF(B192="","",$B$5+IF($B$7=0,0,D192/$B$7))</f>
        <v/>
      </c>
      <c r="F192" s="289">
        <f>IF(B192="","",IF(E192&lt;=J6,K6,IF(E192&gt;=J11,K11,INDEX(K6:K11,MATCH(E192,J6:J11,1))+(E192-INDEX(J6:J11,MATCH(E192,J6:J11,1)))*(INDEX(K6:K11,MATCH(E192,J6:J11,1)+1)-INDEX(K6:K11,MATCH(E192,J6:J11,1)))/(INDEX(J6:J11,MATCH(E192,J6:J11,1)+1)-INDEX(J6:J11,MATCH(E192,J6:J11,1))))))</f>
        <v/>
      </c>
      <c r="G192" s="289">
        <f>IF(B192="","",(C192-F192)*$B$10)</f>
        <v/>
      </c>
      <c r="H192" s="289">
        <f>IF(B192="","",MAX(0,D192+G192))</f>
        <v/>
      </c>
      <c r="I192" s="289">
        <f>IF(B192="","",$B$5+IF($B$7=0,0,H192/$B$7))</f>
        <v/>
      </c>
    </row>
    <row r="193">
      <c r="A193" s="288">
        <f>IF(B193="","",A192+1)</f>
        <v/>
      </c>
      <c r="B193" s="288">
        <f>IF(ROW()-15&lt;=$B$11,INDEX(Routing!$A:$A,ROW()-14),"")</f>
        <v/>
      </c>
      <c r="C193" s="289">
        <f>IF(B193="","",INDEX(Routing!$M:$M,ROW()-14))</f>
        <v/>
      </c>
      <c r="D193" s="289">
        <f>IF(B193="","",H192)</f>
        <v/>
      </c>
      <c r="E193" s="289">
        <f>IF(B193="","",$B$5+IF($B$7=0,0,D193/$B$7))</f>
        <v/>
      </c>
      <c r="F193" s="289">
        <f>IF(B193="","",IF(E193&lt;=J6,K6,IF(E193&gt;=J11,K11,INDEX(K6:K11,MATCH(E193,J6:J11,1))+(E193-INDEX(J6:J11,MATCH(E193,J6:J11,1)))*(INDEX(K6:K11,MATCH(E193,J6:J11,1)+1)-INDEX(K6:K11,MATCH(E193,J6:J11,1)))/(INDEX(J6:J11,MATCH(E193,J6:J11,1)+1)-INDEX(J6:J11,MATCH(E193,J6:J11,1))))))</f>
        <v/>
      </c>
      <c r="G193" s="289">
        <f>IF(B193="","",(C193-F193)*$B$10)</f>
        <v/>
      </c>
      <c r="H193" s="289">
        <f>IF(B193="","",MAX(0,D193+G193))</f>
        <v/>
      </c>
      <c r="I193" s="289">
        <f>IF(B193="","",$B$5+IF($B$7=0,0,H193/$B$7))</f>
        <v/>
      </c>
    </row>
    <row r="194">
      <c r="A194" s="288">
        <f>IF(B194="","",A193+1)</f>
        <v/>
      </c>
      <c r="B194" s="288">
        <f>IF(ROW()-15&lt;=$B$11,INDEX(Routing!$A:$A,ROW()-14),"")</f>
        <v/>
      </c>
      <c r="C194" s="289">
        <f>IF(B194="","",INDEX(Routing!$M:$M,ROW()-14))</f>
        <v/>
      </c>
      <c r="D194" s="289">
        <f>IF(B194="","",H193)</f>
        <v/>
      </c>
      <c r="E194" s="289">
        <f>IF(B194="","",$B$5+IF($B$7=0,0,D194/$B$7))</f>
        <v/>
      </c>
      <c r="F194" s="289">
        <f>IF(B194="","",IF(E194&lt;=J6,K6,IF(E194&gt;=J11,K11,INDEX(K6:K11,MATCH(E194,J6:J11,1))+(E194-INDEX(J6:J11,MATCH(E194,J6:J11,1)))*(INDEX(K6:K11,MATCH(E194,J6:J11,1)+1)-INDEX(K6:K11,MATCH(E194,J6:J11,1)))/(INDEX(J6:J11,MATCH(E194,J6:J11,1)+1)-INDEX(J6:J11,MATCH(E194,J6:J11,1))))))</f>
        <v/>
      </c>
      <c r="G194" s="289">
        <f>IF(B194="","",(C194-F194)*$B$10)</f>
        <v/>
      </c>
      <c r="H194" s="289">
        <f>IF(B194="","",MAX(0,D194+G194))</f>
        <v/>
      </c>
      <c r="I194" s="289">
        <f>IF(B194="","",$B$5+IF($B$7=0,0,H194/$B$7))</f>
        <v/>
      </c>
    </row>
    <row r="195">
      <c r="A195" s="288">
        <f>IF(B195="","",A194+1)</f>
        <v/>
      </c>
      <c r="B195" s="288">
        <f>IF(ROW()-15&lt;=$B$11,INDEX(Routing!$A:$A,ROW()-14),"")</f>
        <v/>
      </c>
      <c r="C195" s="289">
        <f>IF(B195="","",INDEX(Routing!$M:$M,ROW()-14))</f>
        <v/>
      </c>
      <c r="D195" s="289">
        <f>IF(B195="","",H194)</f>
        <v/>
      </c>
      <c r="E195" s="289">
        <f>IF(B195="","",$B$5+IF($B$7=0,0,D195/$B$7))</f>
        <v/>
      </c>
      <c r="F195" s="289">
        <f>IF(B195="","",IF(E195&lt;=J6,K6,IF(E195&gt;=J11,K11,INDEX(K6:K11,MATCH(E195,J6:J11,1))+(E195-INDEX(J6:J11,MATCH(E195,J6:J11,1)))*(INDEX(K6:K11,MATCH(E195,J6:J11,1)+1)-INDEX(K6:K11,MATCH(E195,J6:J11,1)))/(INDEX(J6:J11,MATCH(E195,J6:J11,1)+1)-INDEX(J6:J11,MATCH(E195,J6:J11,1))))))</f>
        <v/>
      </c>
      <c r="G195" s="289">
        <f>IF(B195="","",(C195-F195)*$B$10)</f>
        <v/>
      </c>
      <c r="H195" s="289">
        <f>IF(B195="","",MAX(0,D195+G195))</f>
        <v/>
      </c>
      <c r="I195" s="289">
        <f>IF(B195="","",$B$5+IF($B$7=0,0,H195/$B$7))</f>
        <v/>
      </c>
    </row>
    <row r="196">
      <c r="A196" s="288">
        <f>IF(B196="","",A195+1)</f>
        <v/>
      </c>
      <c r="B196" s="288">
        <f>IF(ROW()-15&lt;=$B$11,INDEX(Routing!$A:$A,ROW()-14),"")</f>
        <v/>
      </c>
      <c r="C196" s="289">
        <f>IF(B196="","",INDEX(Routing!$M:$M,ROW()-14))</f>
        <v/>
      </c>
      <c r="D196" s="289">
        <f>IF(B196="","",H195)</f>
        <v/>
      </c>
      <c r="E196" s="289">
        <f>IF(B196="","",$B$5+IF($B$7=0,0,D196/$B$7))</f>
        <v/>
      </c>
      <c r="F196" s="289">
        <f>IF(B196="","",IF(E196&lt;=J6,K6,IF(E196&gt;=J11,K11,INDEX(K6:K11,MATCH(E196,J6:J11,1))+(E196-INDEX(J6:J11,MATCH(E196,J6:J11,1)))*(INDEX(K6:K11,MATCH(E196,J6:J11,1)+1)-INDEX(K6:K11,MATCH(E196,J6:J11,1)))/(INDEX(J6:J11,MATCH(E196,J6:J11,1)+1)-INDEX(J6:J11,MATCH(E196,J6:J11,1))))))</f>
        <v/>
      </c>
      <c r="G196" s="289">
        <f>IF(B196="","",(C196-F196)*$B$10)</f>
        <v/>
      </c>
      <c r="H196" s="289">
        <f>IF(B196="","",MAX(0,D196+G196))</f>
        <v/>
      </c>
      <c r="I196" s="289">
        <f>IF(B196="","",$B$5+IF($B$7=0,0,H196/$B$7))</f>
        <v/>
      </c>
    </row>
    <row r="197">
      <c r="A197" s="288">
        <f>IF(B197="","",A196+1)</f>
        <v/>
      </c>
      <c r="B197" s="288">
        <f>IF(ROW()-15&lt;=$B$11,INDEX(Routing!$A:$A,ROW()-14),"")</f>
        <v/>
      </c>
      <c r="C197" s="289">
        <f>IF(B197="","",INDEX(Routing!$M:$M,ROW()-14))</f>
        <v/>
      </c>
      <c r="D197" s="289">
        <f>IF(B197="","",H196)</f>
        <v/>
      </c>
      <c r="E197" s="289">
        <f>IF(B197="","",$B$5+IF($B$7=0,0,D197/$B$7))</f>
        <v/>
      </c>
      <c r="F197" s="289">
        <f>IF(B197="","",IF(E197&lt;=J6,K6,IF(E197&gt;=J11,K11,INDEX(K6:K11,MATCH(E197,J6:J11,1))+(E197-INDEX(J6:J11,MATCH(E197,J6:J11,1)))*(INDEX(K6:K11,MATCH(E197,J6:J11,1)+1)-INDEX(K6:K11,MATCH(E197,J6:J11,1)))/(INDEX(J6:J11,MATCH(E197,J6:J11,1)+1)-INDEX(J6:J11,MATCH(E197,J6:J11,1))))))</f>
        <v/>
      </c>
      <c r="G197" s="289">
        <f>IF(B197="","",(C197-F197)*$B$10)</f>
        <v/>
      </c>
      <c r="H197" s="289">
        <f>IF(B197="","",MAX(0,D197+G197))</f>
        <v/>
      </c>
      <c r="I197" s="289">
        <f>IF(B197="","",$B$5+IF($B$7=0,0,H197/$B$7))</f>
        <v/>
      </c>
    </row>
    <row r="198">
      <c r="A198" s="288">
        <f>IF(B198="","",A197+1)</f>
        <v/>
      </c>
      <c r="B198" s="288">
        <f>IF(ROW()-15&lt;=$B$11,INDEX(Routing!$A:$A,ROW()-14),"")</f>
        <v/>
      </c>
      <c r="C198" s="289">
        <f>IF(B198="","",INDEX(Routing!$M:$M,ROW()-14))</f>
        <v/>
      </c>
      <c r="D198" s="289">
        <f>IF(B198="","",H197)</f>
        <v/>
      </c>
      <c r="E198" s="289">
        <f>IF(B198="","",$B$5+IF($B$7=0,0,D198/$B$7))</f>
        <v/>
      </c>
      <c r="F198" s="289">
        <f>IF(B198="","",IF(E198&lt;=J6,K6,IF(E198&gt;=J11,K11,INDEX(K6:K11,MATCH(E198,J6:J11,1))+(E198-INDEX(J6:J11,MATCH(E198,J6:J11,1)))*(INDEX(K6:K11,MATCH(E198,J6:J11,1)+1)-INDEX(K6:K11,MATCH(E198,J6:J11,1)))/(INDEX(J6:J11,MATCH(E198,J6:J11,1)+1)-INDEX(J6:J11,MATCH(E198,J6:J11,1))))))</f>
        <v/>
      </c>
      <c r="G198" s="289">
        <f>IF(B198="","",(C198-F198)*$B$10)</f>
        <v/>
      </c>
      <c r="H198" s="289">
        <f>IF(B198="","",MAX(0,D198+G198))</f>
        <v/>
      </c>
      <c r="I198" s="289">
        <f>IF(B198="","",$B$5+IF($B$7=0,0,H198/$B$7))</f>
        <v/>
      </c>
    </row>
    <row r="199">
      <c r="A199" s="288">
        <f>IF(B199="","",A198+1)</f>
        <v/>
      </c>
      <c r="B199" s="288">
        <f>IF(ROW()-15&lt;=$B$11,INDEX(Routing!$A:$A,ROW()-14),"")</f>
        <v/>
      </c>
      <c r="C199" s="289">
        <f>IF(B199="","",INDEX(Routing!$M:$M,ROW()-14))</f>
        <v/>
      </c>
      <c r="D199" s="289">
        <f>IF(B199="","",H198)</f>
        <v/>
      </c>
      <c r="E199" s="289">
        <f>IF(B199="","",$B$5+IF($B$7=0,0,D199/$B$7))</f>
        <v/>
      </c>
      <c r="F199" s="289">
        <f>IF(B199="","",IF(E199&lt;=J6,K6,IF(E199&gt;=J11,K11,INDEX(K6:K11,MATCH(E199,J6:J11,1))+(E199-INDEX(J6:J11,MATCH(E199,J6:J11,1)))*(INDEX(K6:K11,MATCH(E199,J6:J11,1)+1)-INDEX(K6:K11,MATCH(E199,J6:J11,1)))/(INDEX(J6:J11,MATCH(E199,J6:J11,1)+1)-INDEX(J6:J11,MATCH(E199,J6:J11,1))))))</f>
        <v/>
      </c>
      <c r="G199" s="289">
        <f>IF(B199="","",(C199-F199)*$B$10)</f>
        <v/>
      </c>
      <c r="H199" s="289">
        <f>IF(B199="","",MAX(0,D199+G199))</f>
        <v/>
      </c>
      <c r="I199" s="289">
        <f>IF(B199="","",$B$5+IF($B$7=0,0,H199/$B$7))</f>
        <v/>
      </c>
    </row>
    <row r="200">
      <c r="A200" s="288">
        <f>IF(B200="","",A199+1)</f>
        <v/>
      </c>
      <c r="B200" s="288">
        <f>IF(ROW()-15&lt;=$B$11,INDEX(Routing!$A:$A,ROW()-14),"")</f>
        <v/>
      </c>
      <c r="C200" s="289">
        <f>IF(B200="","",INDEX(Routing!$M:$M,ROW()-14))</f>
        <v/>
      </c>
      <c r="D200" s="289">
        <f>IF(B200="","",H199)</f>
        <v/>
      </c>
      <c r="E200" s="289">
        <f>IF(B200="","",$B$5+IF($B$7=0,0,D200/$B$7))</f>
        <v/>
      </c>
      <c r="F200" s="289">
        <f>IF(B200="","",IF(E200&lt;=J6,K6,IF(E200&gt;=J11,K11,INDEX(K6:K11,MATCH(E200,J6:J11,1))+(E200-INDEX(J6:J11,MATCH(E200,J6:J11,1)))*(INDEX(K6:K11,MATCH(E200,J6:J11,1)+1)-INDEX(K6:K11,MATCH(E200,J6:J11,1)))/(INDEX(J6:J11,MATCH(E200,J6:J11,1)+1)-INDEX(J6:J11,MATCH(E200,J6:J11,1))))))</f>
        <v/>
      </c>
      <c r="G200" s="289">
        <f>IF(B200="","",(C200-F200)*$B$10)</f>
        <v/>
      </c>
      <c r="H200" s="289">
        <f>IF(B200="","",MAX(0,D200+G200))</f>
        <v/>
      </c>
      <c r="I200" s="289">
        <f>IF(B200="","",$B$5+IF($B$7=0,0,H200/$B$7))</f>
        <v/>
      </c>
    </row>
    <row r="201">
      <c r="A201" s="288">
        <f>IF(B201="","",A200+1)</f>
        <v/>
      </c>
      <c r="B201" s="288">
        <f>IF(ROW()-15&lt;=$B$11,INDEX(Routing!$A:$A,ROW()-14),"")</f>
        <v/>
      </c>
      <c r="C201" s="289">
        <f>IF(B201="","",INDEX(Routing!$M:$M,ROW()-14))</f>
        <v/>
      </c>
      <c r="D201" s="289">
        <f>IF(B201="","",H200)</f>
        <v/>
      </c>
      <c r="E201" s="289">
        <f>IF(B201="","",$B$5+IF($B$7=0,0,D201/$B$7))</f>
        <v/>
      </c>
      <c r="F201" s="289">
        <f>IF(B201="","",IF(E201&lt;=J6,K6,IF(E201&gt;=J11,K11,INDEX(K6:K11,MATCH(E201,J6:J11,1))+(E201-INDEX(J6:J11,MATCH(E201,J6:J11,1)))*(INDEX(K6:K11,MATCH(E201,J6:J11,1)+1)-INDEX(K6:K11,MATCH(E201,J6:J11,1)))/(INDEX(J6:J11,MATCH(E201,J6:J11,1)+1)-INDEX(J6:J11,MATCH(E201,J6:J11,1))))))</f>
        <v/>
      </c>
      <c r="G201" s="289">
        <f>IF(B201="","",(C201-F201)*$B$10)</f>
        <v/>
      </c>
      <c r="H201" s="289">
        <f>IF(B201="","",MAX(0,D201+G201))</f>
        <v/>
      </c>
      <c r="I201" s="289">
        <f>IF(B201="","",$B$5+IF($B$7=0,0,H201/$B$7))</f>
        <v/>
      </c>
    </row>
    <row r="202">
      <c r="A202" s="288">
        <f>IF(B202="","",A201+1)</f>
        <v/>
      </c>
      <c r="B202" s="288">
        <f>IF(ROW()-15&lt;=$B$11,INDEX(Routing!$A:$A,ROW()-14),"")</f>
        <v/>
      </c>
      <c r="C202" s="289">
        <f>IF(B202="","",INDEX(Routing!$M:$M,ROW()-14))</f>
        <v/>
      </c>
      <c r="D202" s="289">
        <f>IF(B202="","",H201)</f>
        <v/>
      </c>
      <c r="E202" s="289">
        <f>IF(B202="","",$B$5+IF($B$7=0,0,D202/$B$7))</f>
        <v/>
      </c>
      <c r="F202" s="289">
        <f>IF(B202="","",IF(E202&lt;=J6,K6,IF(E202&gt;=J11,K11,INDEX(K6:K11,MATCH(E202,J6:J11,1))+(E202-INDEX(J6:J11,MATCH(E202,J6:J11,1)))*(INDEX(K6:K11,MATCH(E202,J6:J11,1)+1)-INDEX(K6:K11,MATCH(E202,J6:J11,1)))/(INDEX(J6:J11,MATCH(E202,J6:J11,1)+1)-INDEX(J6:J11,MATCH(E202,J6:J11,1))))))</f>
        <v/>
      </c>
      <c r="G202" s="289">
        <f>IF(B202="","",(C202-F202)*$B$10)</f>
        <v/>
      </c>
      <c r="H202" s="289">
        <f>IF(B202="","",MAX(0,D202+G202))</f>
        <v/>
      </c>
      <c r="I202" s="289">
        <f>IF(B202="","",$B$5+IF($B$7=0,0,H202/$B$7))</f>
        <v/>
      </c>
    </row>
    <row r="203">
      <c r="A203" s="288">
        <f>IF(B203="","",A202+1)</f>
        <v/>
      </c>
      <c r="B203" s="288">
        <f>IF(ROW()-15&lt;=$B$11,INDEX(Routing!$A:$A,ROW()-14),"")</f>
        <v/>
      </c>
      <c r="C203" s="289">
        <f>IF(B203="","",INDEX(Routing!$M:$M,ROW()-14))</f>
        <v/>
      </c>
      <c r="D203" s="289">
        <f>IF(B203="","",H202)</f>
        <v/>
      </c>
      <c r="E203" s="289">
        <f>IF(B203="","",$B$5+IF($B$7=0,0,D203/$B$7))</f>
        <v/>
      </c>
      <c r="F203" s="289">
        <f>IF(B203="","",IF(E203&lt;=J6,K6,IF(E203&gt;=J11,K11,INDEX(K6:K11,MATCH(E203,J6:J11,1))+(E203-INDEX(J6:J11,MATCH(E203,J6:J11,1)))*(INDEX(K6:K11,MATCH(E203,J6:J11,1)+1)-INDEX(K6:K11,MATCH(E203,J6:J11,1)))/(INDEX(J6:J11,MATCH(E203,J6:J11,1)+1)-INDEX(J6:J11,MATCH(E203,J6:J11,1))))))</f>
        <v/>
      </c>
      <c r="G203" s="289">
        <f>IF(B203="","",(C203-F203)*$B$10)</f>
        <v/>
      </c>
      <c r="H203" s="289">
        <f>IF(B203="","",MAX(0,D203+G203))</f>
        <v/>
      </c>
      <c r="I203" s="289">
        <f>IF(B203="","",$B$5+IF($B$7=0,0,H203/$B$7))</f>
        <v/>
      </c>
    </row>
    <row r="204">
      <c r="A204" s="288">
        <f>IF(B204="","",A203+1)</f>
        <v/>
      </c>
      <c r="B204" s="288">
        <f>IF(ROW()-15&lt;=$B$11,INDEX(Routing!$A:$A,ROW()-14),"")</f>
        <v/>
      </c>
      <c r="C204" s="289">
        <f>IF(B204="","",INDEX(Routing!$M:$M,ROW()-14))</f>
        <v/>
      </c>
      <c r="D204" s="289">
        <f>IF(B204="","",H203)</f>
        <v/>
      </c>
      <c r="E204" s="289">
        <f>IF(B204="","",$B$5+IF($B$7=0,0,D204/$B$7))</f>
        <v/>
      </c>
      <c r="F204" s="289">
        <f>IF(B204="","",IF(E204&lt;=J6,K6,IF(E204&gt;=J11,K11,INDEX(K6:K11,MATCH(E204,J6:J11,1))+(E204-INDEX(J6:J11,MATCH(E204,J6:J11,1)))*(INDEX(K6:K11,MATCH(E204,J6:J11,1)+1)-INDEX(K6:K11,MATCH(E204,J6:J11,1)))/(INDEX(J6:J11,MATCH(E204,J6:J11,1)+1)-INDEX(J6:J11,MATCH(E204,J6:J11,1))))))</f>
        <v/>
      </c>
      <c r="G204" s="289">
        <f>IF(B204="","",(C204-F204)*$B$10)</f>
        <v/>
      </c>
      <c r="H204" s="289">
        <f>IF(B204="","",MAX(0,D204+G204))</f>
        <v/>
      </c>
      <c r="I204" s="289">
        <f>IF(B204="","",$B$5+IF($B$7=0,0,H204/$B$7))</f>
        <v/>
      </c>
    </row>
    <row r="205">
      <c r="A205" s="288">
        <f>IF(B205="","",A204+1)</f>
        <v/>
      </c>
      <c r="B205" s="288">
        <f>IF(ROW()-15&lt;=$B$11,INDEX(Routing!$A:$A,ROW()-14),"")</f>
        <v/>
      </c>
      <c r="C205" s="289">
        <f>IF(B205="","",INDEX(Routing!$M:$M,ROW()-14))</f>
        <v/>
      </c>
      <c r="D205" s="289">
        <f>IF(B205="","",H204)</f>
        <v/>
      </c>
      <c r="E205" s="289">
        <f>IF(B205="","",$B$5+IF($B$7=0,0,D205/$B$7))</f>
        <v/>
      </c>
      <c r="F205" s="289">
        <f>IF(B205="","",IF(E205&lt;=J6,K6,IF(E205&gt;=J11,K11,INDEX(K6:K11,MATCH(E205,J6:J11,1))+(E205-INDEX(J6:J11,MATCH(E205,J6:J11,1)))*(INDEX(K6:K11,MATCH(E205,J6:J11,1)+1)-INDEX(K6:K11,MATCH(E205,J6:J11,1)))/(INDEX(J6:J11,MATCH(E205,J6:J11,1)+1)-INDEX(J6:J11,MATCH(E205,J6:J11,1))))))</f>
        <v/>
      </c>
      <c r="G205" s="289">
        <f>IF(B205="","",(C205-F205)*$B$10)</f>
        <v/>
      </c>
      <c r="H205" s="289">
        <f>IF(B205="","",MAX(0,D205+G205))</f>
        <v/>
      </c>
      <c r="I205" s="289">
        <f>IF(B205="","",$B$5+IF($B$7=0,0,H205/$B$7))</f>
        <v/>
      </c>
    </row>
    <row r="206">
      <c r="A206" s="288">
        <f>IF(B206="","",A205+1)</f>
        <v/>
      </c>
      <c r="B206" s="288">
        <f>IF(ROW()-15&lt;=$B$11,INDEX(Routing!$A:$A,ROW()-14),"")</f>
        <v/>
      </c>
      <c r="C206" s="289">
        <f>IF(B206="","",INDEX(Routing!$M:$M,ROW()-14))</f>
        <v/>
      </c>
      <c r="D206" s="289">
        <f>IF(B206="","",H205)</f>
        <v/>
      </c>
      <c r="E206" s="289">
        <f>IF(B206="","",$B$5+IF($B$7=0,0,D206/$B$7))</f>
        <v/>
      </c>
      <c r="F206" s="289">
        <f>IF(B206="","",IF(E206&lt;=J6,K6,IF(E206&gt;=J11,K11,INDEX(K6:K11,MATCH(E206,J6:J11,1))+(E206-INDEX(J6:J11,MATCH(E206,J6:J11,1)))*(INDEX(K6:K11,MATCH(E206,J6:J11,1)+1)-INDEX(K6:K11,MATCH(E206,J6:J11,1)))/(INDEX(J6:J11,MATCH(E206,J6:J11,1)+1)-INDEX(J6:J11,MATCH(E206,J6:J11,1))))))</f>
        <v/>
      </c>
      <c r="G206" s="289">
        <f>IF(B206="","",(C206-F206)*$B$10)</f>
        <v/>
      </c>
      <c r="H206" s="289">
        <f>IF(B206="","",MAX(0,D206+G206))</f>
        <v/>
      </c>
      <c r="I206" s="289">
        <f>IF(B206="","",$B$5+IF($B$7=0,0,H206/$B$7))</f>
        <v/>
      </c>
    </row>
    <row r="207">
      <c r="A207" s="288">
        <f>IF(B207="","",A206+1)</f>
        <v/>
      </c>
      <c r="B207" s="288">
        <f>IF(ROW()-15&lt;=$B$11,INDEX(Routing!$A:$A,ROW()-14),"")</f>
        <v/>
      </c>
      <c r="C207" s="289">
        <f>IF(B207="","",INDEX(Routing!$M:$M,ROW()-14))</f>
        <v/>
      </c>
      <c r="D207" s="289">
        <f>IF(B207="","",H206)</f>
        <v/>
      </c>
      <c r="E207" s="289">
        <f>IF(B207="","",$B$5+IF($B$7=0,0,D207/$B$7))</f>
        <v/>
      </c>
      <c r="F207" s="289">
        <f>IF(B207="","",IF(E207&lt;=J6,K6,IF(E207&gt;=J11,K11,INDEX(K6:K11,MATCH(E207,J6:J11,1))+(E207-INDEX(J6:J11,MATCH(E207,J6:J11,1)))*(INDEX(K6:K11,MATCH(E207,J6:J11,1)+1)-INDEX(K6:K11,MATCH(E207,J6:J11,1)))/(INDEX(J6:J11,MATCH(E207,J6:J11,1)+1)-INDEX(J6:J11,MATCH(E207,J6:J11,1))))))</f>
        <v/>
      </c>
      <c r="G207" s="289">
        <f>IF(B207="","",(C207-F207)*$B$10)</f>
        <v/>
      </c>
      <c r="H207" s="289">
        <f>IF(B207="","",MAX(0,D207+G207))</f>
        <v/>
      </c>
      <c r="I207" s="289">
        <f>IF(B207="","",$B$5+IF($B$7=0,0,H207/$B$7))</f>
        <v/>
      </c>
    </row>
    <row r="208">
      <c r="A208" s="288">
        <f>IF(B208="","",A207+1)</f>
        <v/>
      </c>
      <c r="B208" s="288">
        <f>IF(ROW()-15&lt;=$B$11,INDEX(Routing!$A:$A,ROW()-14),"")</f>
        <v/>
      </c>
      <c r="C208" s="289">
        <f>IF(B208="","",INDEX(Routing!$M:$M,ROW()-14))</f>
        <v/>
      </c>
      <c r="D208" s="289">
        <f>IF(B208="","",H207)</f>
        <v/>
      </c>
      <c r="E208" s="289">
        <f>IF(B208="","",$B$5+IF($B$7=0,0,D208/$B$7))</f>
        <v/>
      </c>
      <c r="F208" s="289">
        <f>IF(B208="","",IF(E208&lt;=J6,K6,IF(E208&gt;=J11,K11,INDEX(K6:K11,MATCH(E208,J6:J11,1))+(E208-INDEX(J6:J11,MATCH(E208,J6:J11,1)))*(INDEX(K6:K11,MATCH(E208,J6:J11,1)+1)-INDEX(K6:K11,MATCH(E208,J6:J11,1)))/(INDEX(J6:J11,MATCH(E208,J6:J11,1)+1)-INDEX(J6:J11,MATCH(E208,J6:J11,1))))))</f>
        <v/>
      </c>
      <c r="G208" s="289">
        <f>IF(B208="","",(C208-F208)*$B$10)</f>
        <v/>
      </c>
      <c r="H208" s="289">
        <f>IF(B208="","",MAX(0,D208+G208))</f>
        <v/>
      </c>
      <c r="I208" s="289">
        <f>IF(B208="","",$B$5+IF($B$7=0,0,H208/$B$7))</f>
        <v/>
      </c>
    </row>
    <row r="209">
      <c r="A209" s="288">
        <f>IF(B209="","",A208+1)</f>
        <v/>
      </c>
      <c r="B209" s="288">
        <f>IF(ROW()-15&lt;=$B$11,INDEX(Routing!$A:$A,ROW()-14),"")</f>
        <v/>
      </c>
      <c r="C209" s="289">
        <f>IF(B209="","",INDEX(Routing!$M:$M,ROW()-14))</f>
        <v/>
      </c>
      <c r="D209" s="289">
        <f>IF(B209="","",H208)</f>
        <v/>
      </c>
      <c r="E209" s="289">
        <f>IF(B209="","",$B$5+IF($B$7=0,0,D209/$B$7))</f>
        <v/>
      </c>
      <c r="F209" s="289">
        <f>IF(B209="","",IF(E209&lt;=J6,K6,IF(E209&gt;=J11,K11,INDEX(K6:K11,MATCH(E209,J6:J11,1))+(E209-INDEX(J6:J11,MATCH(E209,J6:J11,1)))*(INDEX(K6:K11,MATCH(E209,J6:J11,1)+1)-INDEX(K6:K11,MATCH(E209,J6:J11,1)))/(INDEX(J6:J11,MATCH(E209,J6:J11,1)+1)-INDEX(J6:J11,MATCH(E209,J6:J11,1))))))</f>
        <v/>
      </c>
      <c r="G209" s="289">
        <f>IF(B209="","",(C209-F209)*$B$10)</f>
        <v/>
      </c>
      <c r="H209" s="289">
        <f>IF(B209="","",MAX(0,D209+G209))</f>
        <v/>
      </c>
      <c r="I209" s="289">
        <f>IF(B209="","",$B$5+IF($B$7=0,0,H209/$B$7))</f>
        <v/>
      </c>
    </row>
    <row r="210">
      <c r="A210" s="288">
        <f>IF(B210="","",A209+1)</f>
        <v/>
      </c>
      <c r="B210" s="288">
        <f>IF(ROW()-15&lt;=$B$11,INDEX(Routing!$A:$A,ROW()-14),"")</f>
        <v/>
      </c>
      <c r="C210" s="289">
        <f>IF(B210="","",INDEX(Routing!$M:$M,ROW()-14))</f>
        <v/>
      </c>
      <c r="D210" s="289">
        <f>IF(B210="","",H209)</f>
        <v/>
      </c>
      <c r="E210" s="289">
        <f>IF(B210="","",$B$5+IF($B$7=0,0,D210/$B$7))</f>
        <v/>
      </c>
      <c r="F210" s="289">
        <f>IF(B210="","",IF(E210&lt;=J6,K6,IF(E210&gt;=J11,K11,INDEX(K6:K11,MATCH(E210,J6:J11,1))+(E210-INDEX(J6:J11,MATCH(E210,J6:J11,1)))*(INDEX(K6:K11,MATCH(E210,J6:J11,1)+1)-INDEX(K6:K11,MATCH(E210,J6:J11,1)))/(INDEX(J6:J11,MATCH(E210,J6:J11,1)+1)-INDEX(J6:J11,MATCH(E210,J6:J11,1))))))</f>
        <v/>
      </c>
      <c r="G210" s="289">
        <f>IF(B210="","",(C210-F210)*$B$10)</f>
        <v/>
      </c>
      <c r="H210" s="289">
        <f>IF(B210="","",MAX(0,D210+G210))</f>
        <v/>
      </c>
      <c r="I210" s="289">
        <f>IF(B210="","",$B$5+IF($B$7=0,0,H210/$B$7))</f>
        <v/>
      </c>
    </row>
    <row r="211">
      <c r="A211" s="288">
        <f>IF(B211="","",A210+1)</f>
        <v/>
      </c>
      <c r="B211" s="288">
        <f>IF(ROW()-15&lt;=$B$11,INDEX(Routing!$A:$A,ROW()-14),"")</f>
        <v/>
      </c>
      <c r="C211" s="289">
        <f>IF(B211="","",INDEX(Routing!$M:$M,ROW()-14))</f>
        <v/>
      </c>
      <c r="D211" s="289">
        <f>IF(B211="","",H210)</f>
        <v/>
      </c>
      <c r="E211" s="289">
        <f>IF(B211="","",$B$5+IF($B$7=0,0,D211/$B$7))</f>
        <v/>
      </c>
      <c r="F211" s="289">
        <f>IF(B211="","",IF(E211&lt;=J6,K6,IF(E211&gt;=J11,K11,INDEX(K6:K11,MATCH(E211,J6:J11,1))+(E211-INDEX(J6:J11,MATCH(E211,J6:J11,1)))*(INDEX(K6:K11,MATCH(E211,J6:J11,1)+1)-INDEX(K6:K11,MATCH(E211,J6:J11,1)))/(INDEX(J6:J11,MATCH(E211,J6:J11,1)+1)-INDEX(J6:J11,MATCH(E211,J6:J11,1))))))</f>
        <v/>
      </c>
      <c r="G211" s="289">
        <f>IF(B211="","",(C211-F211)*$B$10)</f>
        <v/>
      </c>
      <c r="H211" s="289">
        <f>IF(B211="","",MAX(0,D211+G211))</f>
        <v/>
      </c>
      <c r="I211" s="289">
        <f>IF(B211="","",$B$5+IF($B$7=0,0,H211/$B$7))</f>
        <v/>
      </c>
    </row>
    <row r="212">
      <c r="A212" s="288">
        <f>IF(B212="","",A211+1)</f>
        <v/>
      </c>
      <c r="B212" s="288">
        <f>IF(ROW()-15&lt;=$B$11,INDEX(Routing!$A:$A,ROW()-14),"")</f>
        <v/>
      </c>
      <c r="C212" s="289">
        <f>IF(B212="","",INDEX(Routing!$M:$M,ROW()-14))</f>
        <v/>
      </c>
      <c r="D212" s="289">
        <f>IF(B212="","",H211)</f>
        <v/>
      </c>
      <c r="E212" s="289">
        <f>IF(B212="","",$B$5+IF($B$7=0,0,D212/$B$7))</f>
        <v/>
      </c>
      <c r="F212" s="289">
        <f>IF(B212="","",IF(E212&lt;=J6,K6,IF(E212&gt;=J11,K11,INDEX(K6:K11,MATCH(E212,J6:J11,1))+(E212-INDEX(J6:J11,MATCH(E212,J6:J11,1)))*(INDEX(K6:K11,MATCH(E212,J6:J11,1)+1)-INDEX(K6:K11,MATCH(E212,J6:J11,1)))/(INDEX(J6:J11,MATCH(E212,J6:J11,1)+1)-INDEX(J6:J11,MATCH(E212,J6:J11,1))))))</f>
        <v/>
      </c>
      <c r="G212" s="289">
        <f>IF(B212="","",(C212-F212)*$B$10)</f>
        <v/>
      </c>
      <c r="H212" s="289">
        <f>IF(B212="","",MAX(0,D212+G212))</f>
        <v/>
      </c>
      <c r="I212" s="289">
        <f>IF(B212="","",$B$5+IF($B$7=0,0,H212/$B$7))</f>
        <v/>
      </c>
    </row>
    <row r="213">
      <c r="A213" s="288">
        <f>IF(B213="","",A212+1)</f>
        <v/>
      </c>
      <c r="B213" s="288">
        <f>IF(ROW()-15&lt;=$B$11,INDEX(Routing!$A:$A,ROW()-14),"")</f>
        <v/>
      </c>
      <c r="C213" s="289">
        <f>IF(B213="","",INDEX(Routing!$M:$M,ROW()-14))</f>
        <v/>
      </c>
      <c r="D213" s="289">
        <f>IF(B213="","",H212)</f>
        <v/>
      </c>
      <c r="E213" s="289">
        <f>IF(B213="","",$B$5+IF($B$7=0,0,D213/$B$7))</f>
        <v/>
      </c>
      <c r="F213" s="289">
        <f>IF(B213="","",IF(E213&lt;=J6,K6,IF(E213&gt;=J11,K11,INDEX(K6:K11,MATCH(E213,J6:J11,1))+(E213-INDEX(J6:J11,MATCH(E213,J6:J11,1)))*(INDEX(K6:K11,MATCH(E213,J6:J11,1)+1)-INDEX(K6:K11,MATCH(E213,J6:J11,1)))/(INDEX(J6:J11,MATCH(E213,J6:J11,1)+1)-INDEX(J6:J11,MATCH(E213,J6:J11,1))))))</f>
        <v/>
      </c>
      <c r="G213" s="289">
        <f>IF(B213="","",(C213-F213)*$B$10)</f>
        <v/>
      </c>
      <c r="H213" s="289">
        <f>IF(B213="","",MAX(0,D213+G213))</f>
        <v/>
      </c>
      <c r="I213" s="289">
        <f>IF(B213="","",$B$5+IF($B$7=0,0,H213/$B$7))</f>
        <v/>
      </c>
    </row>
    <row r="214">
      <c r="A214" s="288">
        <f>IF(B214="","",A213+1)</f>
        <v/>
      </c>
      <c r="B214" s="288">
        <f>IF(ROW()-15&lt;=$B$11,INDEX(Routing!$A:$A,ROW()-14),"")</f>
        <v/>
      </c>
      <c r="C214" s="289">
        <f>IF(B214="","",INDEX(Routing!$M:$M,ROW()-14))</f>
        <v/>
      </c>
      <c r="D214" s="289">
        <f>IF(B214="","",H213)</f>
        <v/>
      </c>
      <c r="E214" s="289">
        <f>IF(B214="","",$B$5+IF($B$7=0,0,D214/$B$7))</f>
        <v/>
      </c>
      <c r="F214" s="289">
        <f>IF(B214="","",IF(E214&lt;=J6,K6,IF(E214&gt;=J11,K11,INDEX(K6:K11,MATCH(E214,J6:J11,1))+(E214-INDEX(J6:J11,MATCH(E214,J6:J11,1)))*(INDEX(K6:K11,MATCH(E214,J6:J11,1)+1)-INDEX(K6:K11,MATCH(E214,J6:J11,1)))/(INDEX(J6:J11,MATCH(E214,J6:J11,1)+1)-INDEX(J6:J11,MATCH(E214,J6:J11,1))))))</f>
        <v/>
      </c>
      <c r="G214" s="289">
        <f>IF(B214="","",(C214-F214)*$B$10)</f>
        <v/>
      </c>
      <c r="H214" s="289">
        <f>IF(B214="","",MAX(0,D214+G214))</f>
        <v/>
      </c>
      <c r="I214" s="289">
        <f>IF(B214="","",$B$5+IF($B$7=0,0,H214/$B$7))</f>
        <v/>
      </c>
    </row>
    <row r="215">
      <c r="A215" s="288">
        <f>IF(B215="","",A214+1)</f>
        <v/>
      </c>
      <c r="B215" s="288">
        <f>IF(ROW()-15&lt;=$B$11,INDEX(Routing!$A:$A,ROW()-14),"")</f>
        <v/>
      </c>
      <c r="C215" s="289">
        <f>IF(B215="","",INDEX(Routing!$M:$M,ROW()-14))</f>
        <v/>
      </c>
      <c r="D215" s="289">
        <f>IF(B215="","",H214)</f>
        <v/>
      </c>
      <c r="E215" s="289">
        <f>IF(B215="","",$B$5+IF($B$7=0,0,D215/$B$7))</f>
        <v/>
      </c>
      <c r="F215" s="289">
        <f>IF(B215="","",IF(E215&lt;=J6,K6,IF(E215&gt;=J11,K11,INDEX(K6:K11,MATCH(E215,J6:J11,1))+(E215-INDEX(J6:J11,MATCH(E215,J6:J11,1)))*(INDEX(K6:K11,MATCH(E215,J6:J11,1)+1)-INDEX(K6:K11,MATCH(E215,J6:J11,1)))/(INDEX(J6:J11,MATCH(E215,J6:J11,1)+1)-INDEX(J6:J11,MATCH(E215,J6:J11,1))))))</f>
        <v/>
      </c>
      <c r="G215" s="289">
        <f>IF(B215="","",(C215-F215)*$B$10)</f>
        <v/>
      </c>
      <c r="H215" s="289">
        <f>IF(B215="","",MAX(0,D215+G215))</f>
        <v/>
      </c>
      <c r="I215" s="289">
        <f>IF(B215="","",$B$5+IF($B$7=0,0,H215/$B$7))</f>
        <v/>
      </c>
    </row>
    <row r="216">
      <c r="A216" s="288">
        <f>IF(B216="","",A215+1)</f>
        <v/>
      </c>
      <c r="B216" s="288">
        <f>IF(ROW()-15&lt;=$B$11,INDEX(Routing!$A:$A,ROW()-14),"")</f>
        <v/>
      </c>
      <c r="C216" s="289">
        <f>IF(B216="","",INDEX(Routing!$M:$M,ROW()-14))</f>
        <v/>
      </c>
      <c r="D216" s="289">
        <f>IF(B216="","",H215)</f>
        <v/>
      </c>
      <c r="E216" s="289">
        <f>IF(B216="","",$B$5+IF($B$7=0,0,D216/$B$7))</f>
        <v/>
      </c>
      <c r="F216" s="289">
        <f>IF(B216="","",IF(E216&lt;=J6,K6,IF(E216&gt;=J11,K11,INDEX(K6:K11,MATCH(E216,J6:J11,1))+(E216-INDEX(J6:J11,MATCH(E216,J6:J11,1)))*(INDEX(K6:K11,MATCH(E216,J6:J11,1)+1)-INDEX(K6:K11,MATCH(E216,J6:J11,1)))/(INDEX(J6:J11,MATCH(E216,J6:J11,1)+1)-INDEX(J6:J11,MATCH(E216,J6:J11,1))))))</f>
        <v/>
      </c>
      <c r="G216" s="289">
        <f>IF(B216="","",(C216-F216)*$B$10)</f>
        <v/>
      </c>
      <c r="H216" s="289">
        <f>IF(B216="","",MAX(0,D216+G216))</f>
        <v/>
      </c>
      <c r="I216" s="289">
        <f>IF(B216="","",$B$5+IF($B$7=0,0,H216/$B$7))</f>
        <v/>
      </c>
    </row>
    <row r="217">
      <c r="A217" s="288">
        <f>IF(B217="","",A216+1)</f>
        <v/>
      </c>
      <c r="B217" s="288">
        <f>IF(ROW()-15&lt;=$B$11,INDEX(Routing!$A:$A,ROW()-14),"")</f>
        <v/>
      </c>
      <c r="C217" s="289">
        <f>IF(B217="","",INDEX(Routing!$M:$M,ROW()-14))</f>
        <v/>
      </c>
      <c r="D217" s="289">
        <f>IF(B217="","",H216)</f>
        <v/>
      </c>
      <c r="E217" s="289">
        <f>IF(B217="","",$B$5+IF($B$7=0,0,D217/$B$7))</f>
        <v/>
      </c>
      <c r="F217" s="289">
        <f>IF(B217="","",IF(E217&lt;=J6,K6,IF(E217&gt;=J11,K11,INDEX(K6:K11,MATCH(E217,J6:J11,1))+(E217-INDEX(J6:J11,MATCH(E217,J6:J11,1)))*(INDEX(K6:K11,MATCH(E217,J6:J11,1)+1)-INDEX(K6:K11,MATCH(E217,J6:J11,1)))/(INDEX(J6:J11,MATCH(E217,J6:J11,1)+1)-INDEX(J6:J11,MATCH(E217,J6:J11,1))))))</f>
        <v/>
      </c>
      <c r="G217" s="289">
        <f>IF(B217="","",(C217-F217)*$B$10)</f>
        <v/>
      </c>
      <c r="H217" s="289">
        <f>IF(B217="","",MAX(0,D217+G217))</f>
        <v/>
      </c>
      <c r="I217" s="289">
        <f>IF(B217="","",$B$5+IF($B$7=0,0,H217/$B$7))</f>
        <v/>
      </c>
    </row>
    <row r="218">
      <c r="A218" s="288">
        <f>IF(B218="","",A217+1)</f>
        <v/>
      </c>
      <c r="B218" s="288">
        <f>IF(ROW()-15&lt;=$B$11,INDEX(Routing!$A:$A,ROW()-14),"")</f>
        <v/>
      </c>
      <c r="C218" s="289">
        <f>IF(B218="","",INDEX(Routing!$M:$M,ROW()-14))</f>
        <v/>
      </c>
      <c r="D218" s="289">
        <f>IF(B218="","",H217)</f>
        <v/>
      </c>
      <c r="E218" s="289">
        <f>IF(B218="","",$B$5+IF($B$7=0,0,D218/$B$7))</f>
        <v/>
      </c>
      <c r="F218" s="289">
        <f>IF(B218="","",IF(E218&lt;=J6,K6,IF(E218&gt;=J11,K11,INDEX(K6:K11,MATCH(E218,J6:J11,1))+(E218-INDEX(J6:J11,MATCH(E218,J6:J11,1)))*(INDEX(K6:K11,MATCH(E218,J6:J11,1)+1)-INDEX(K6:K11,MATCH(E218,J6:J11,1)))/(INDEX(J6:J11,MATCH(E218,J6:J11,1)+1)-INDEX(J6:J11,MATCH(E218,J6:J11,1))))))</f>
        <v/>
      </c>
      <c r="G218" s="289">
        <f>IF(B218="","",(C218-F218)*$B$10)</f>
        <v/>
      </c>
      <c r="H218" s="289">
        <f>IF(B218="","",MAX(0,D218+G218))</f>
        <v/>
      </c>
      <c r="I218" s="289">
        <f>IF(B218="","",$B$5+IF($B$7=0,0,H218/$B$7))</f>
        <v/>
      </c>
    </row>
    <row r="219">
      <c r="A219" s="288">
        <f>IF(B219="","",A218+1)</f>
        <v/>
      </c>
      <c r="B219" s="288">
        <f>IF(ROW()-15&lt;=$B$11,INDEX(Routing!$A:$A,ROW()-14),"")</f>
        <v/>
      </c>
      <c r="C219" s="289">
        <f>IF(B219="","",INDEX(Routing!$M:$M,ROW()-14))</f>
        <v/>
      </c>
      <c r="D219" s="289">
        <f>IF(B219="","",H218)</f>
        <v/>
      </c>
      <c r="E219" s="289">
        <f>IF(B219="","",$B$5+IF($B$7=0,0,D219/$B$7))</f>
        <v/>
      </c>
      <c r="F219" s="289">
        <f>IF(B219="","",IF(E219&lt;=J6,K6,IF(E219&gt;=J11,K11,INDEX(K6:K11,MATCH(E219,J6:J11,1))+(E219-INDEX(J6:J11,MATCH(E219,J6:J11,1)))*(INDEX(K6:K11,MATCH(E219,J6:J11,1)+1)-INDEX(K6:K11,MATCH(E219,J6:J11,1)))/(INDEX(J6:J11,MATCH(E219,J6:J11,1)+1)-INDEX(J6:J11,MATCH(E219,J6:J11,1))))))</f>
        <v/>
      </c>
      <c r="G219" s="289">
        <f>IF(B219="","",(C219-F219)*$B$10)</f>
        <v/>
      </c>
      <c r="H219" s="289">
        <f>IF(B219="","",MAX(0,D219+G219))</f>
        <v/>
      </c>
      <c r="I219" s="289">
        <f>IF(B219="","",$B$5+IF($B$7=0,0,H219/$B$7))</f>
        <v/>
      </c>
    </row>
    <row r="220">
      <c r="A220" s="288">
        <f>IF(B220="","",A219+1)</f>
        <v/>
      </c>
      <c r="B220" s="288">
        <f>IF(ROW()-15&lt;=$B$11,INDEX(Routing!$A:$A,ROW()-14),"")</f>
        <v/>
      </c>
      <c r="C220" s="289">
        <f>IF(B220="","",INDEX(Routing!$M:$M,ROW()-14))</f>
        <v/>
      </c>
      <c r="D220" s="289">
        <f>IF(B220="","",H219)</f>
        <v/>
      </c>
      <c r="E220" s="289">
        <f>IF(B220="","",$B$5+IF($B$7=0,0,D220/$B$7))</f>
        <v/>
      </c>
      <c r="F220" s="289">
        <f>IF(B220="","",IF(E220&lt;=J6,K6,IF(E220&gt;=J11,K11,INDEX(K6:K11,MATCH(E220,J6:J11,1))+(E220-INDEX(J6:J11,MATCH(E220,J6:J11,1)))*(INDEX(K6:K11,MATCH(E220,J6:J11,1)+1)-INDEX(K6:K11,MATCH(E220,J6:J11,1)))/(INDEX(J6:J11,MATCH(E220,J6:J11,1)+1)-INDEX(J6:J11,MATCH(E220,J6:J11,1))))))</f>
        <v/>
      </c>
      <c r="G220" s="289">
        <f>IF(B220="","",(C220-F220)*$B$10)</f>
        <v/>
      </c>
      <c r="H220" s="289">
        <f>IF(B220="","",MAX(0,D220+G220))</f>
        <v/>
      </c>
      <c r="I220" s="289">
        <f>IF(B220="","",$B$5+IF($B$7=0,0,H220/$B$7))</f>
        <v/>
      </c>
    </row>
    <row r="221">
      <c r="A221" s="288">
        <f>IF(B221="","",A220+1)</f>
        <v/>
      </c>
      <c r="B221" s="288">
        <f>IF(ROW()-15&lt;=$B$11,INDEX(Routing!$A:$A,ROW()-14),"")</f>
        <v/>
      </c>
      <c r="C221" s="289">
        <f>IF(B221="","",INDEX(Routing!$M:$M,ROW()-14))</f>
        <v/>
      </c>
      <c r="D221" s="289">
        <f>IF(B221="","",H220)</f>
        <v/>
      </c>
      <c r="E221" s="289">
        <f>IF(B221="","",$B$5+IF($B$7=0,0,D221/$B$7))</f>
        <v/>
      </c>
      <c r="F221" s="289">
        <f>IF(B221="","",IF(E221&lt;=J6,K6,IF(E221&gt;=J11,K11,INDEX(K6:K11,MATCH(E221,J6:J11,1))+(E221-INDEX(J6:J11,MATCH(E221,J6:J11,1)))*(INDEX(K6:K11,MATCH(E221,J6:J11,1)+1)-INDEX(K6:K11,MATCH(E221,J6:J11,1)))/(INDEX(J6:J11,MATCH(E221,J6:J11,1)+1)-INDEX(J6:J11,MATCH(E221,J6:J11,1))))))</f>
        <v/>
      </c>
      <c r="G221" s="289">
        <f>IF(B221="","",(C221-F221)*$B$10)</f>
        <v/>
      </c>
      <c r="H221" s="289">
        <f>IF(B221="","",MAX(0,D221+G221))</f>
        <v/>
      </c>
      <c r="I221" s="289">
        <f>IF(B221="","",$B$5+IF($B$7=0,0,H221/$B$7))</f>
        <v/>
      </c>
    </row>
    <row r="222">
      <c r="A222" s="288">
        <f>IF(B222="","",A221+1)</f>
        <v/>
      </c>
      <c r="B222" s="288">
        <f>IF(ROW()-15&lt;=$B$11,INDEX(Routing!$A:$A,ROW()-14),"")</f>
        <v/>
      </c>
      <c r="C222" s="289">
        <f>IF(B222="","",INDEX(Routing!$M:$M,ROW()-14))</f>
        <v/>
      </c>
      <c r="D222" s="289">
        <f>IF(B222="","",H221)</f>
        <v/>
      </c>
      <c r="E222" s="289">
        <f>IF(B222="","",$B$5+IF($B$7=0,0,D222/$B$7))</f>
        <v/>
      </c>
      <c r="F222" s="289">
        <f>IF(B222="","",IF(E222&lt;=J6,K6,IF(E222&gt;=J11,K11,INDEX(K6:K11,MATCH(E222,J6:J11,1))+(E222-INDEX(J6:J11,MATCH(E222,J6:J11,1)))*(INDEX(K6:K11,MATCH(E222,J6:J11,1)+1)-INDEX(K6:K11,MATCH(E222,J6:J11,1)))/(INDEX(J6:J11,MATCH(E222,J6:J11,1)+1)-INDEX(J6:J11,MATCH(E222,J6:J11,1))))))</f>
        <v/>
      </c>
      <c r="G222" s="289">
        <f>IF(B222="","",(C222-F222)*$B$10)</f>
        <v/>
      </c>
      <c r="H222" s="289">
        <f>IF(B222="","",MAX(0,D222+G222))</f>
        <v/>
      </c>
      <c r="I222" s="289">
        <f>IF(B222="","",$B$5+IF($B$7=0,0,H222/$B$7))</f>
        <v/>
      </c>
    </row>
    <row r="223">
      <c r="A223" s="288">
        <f>IF(B223="","",A222+1)</f>
        <v/>
      </c>
      <c r="B223" s="288">
        <f>IF(ROW()-15&lt;=$B$11,INDEX(Routing!$A:$A,ROW()-14),"")</f>
        <v/>
      </c>
      <c r="C223" s="289">
        <f>IF(B223="","",INDEX(Routing!$M:$M,ROW()-14))</f>
        <v/>
      </c>
      <c r="D223" s="289">
        <f>IF(B223="","",H222)</f>
        <v/>
      </c>
      <c r="E223" s="289">
        <f>IF(B223="","",$B$5+IF($B$7=0,0,D223/$B$7))</f>
        <v/>
      </c>
      <c r="F223" s="289">
        <f>IF(B223="","",IF(E223&lt;=J6,K6,IF(E223&gt;=J11,K11,INDEX(K6:K11,MATCH(E223,J6:J11,1))+(E223-INDEX(J6:J11,MATCH(E223,J6:J11,1)))*(INDEX(K6:K11,MATCH(E223,J6:J11,1)+1)-INDEX(K6:K11,MATCH(E223,J6:J11,1)))/(INDEX(J6:J11,MATCH(E223,J6:J11,1)+1)-INDEX(J6:J11,MATCH(E223,J6:J11,1))))))</f>
        <v/>
      </c>
      <c r="G223" s="289">
        <f>IF(B223="","",(C223-F223)*$B$10)</f>
        <v/>
      </c>
      <c r="H223" s="289">
        <f>IF(B223="","",MAX(0,D223+G223))</f>
        <v/>
      </c>
      <c r="I223" s="289">
        <f>IF(B223="","",$B$5+IF($B$7=0,0,H223/$B$7))</f>
        <v/>
      </c>
    </row>
    <row r="224">
      <c r="A224" s="288">
        <f>IF(B224="","",A223+1)</f>
        <v/>
      </c>
      <c r="B224" s="288">
        <f>IF(ROW()-15&lt;=$B$11,INDEX(Routing!$A:$A,ROW()-14),"")</f>
        <v/>
      </c>
      <c r="C224" s="289">
        <f>IF(B224="","",INDEX(Routing!$M:$M,ROW()-14))</f>
        <v/>
      </c>
      <c r="D224" s="289">
        <f>IF(B224="","",H223)</f>
        <v/>
      </c>
      <c r="E224" s="289">
        <f>IF(B224="","",$B$5+IF($B$7=0,0,D224/$B$7))</f>
        <v/>
      </c>
      <c r="F224" s="289">
        <f>IF(B224="","",IF(E224&lt;=J6,K6,IF(E224&gt;=J11,K11,INDEX(K6:K11,MATCH(E224,J6:J11,1))+(E224-INDEX(J6:J11,MATCH(E224,J6:J11,1)))*(INDEX(K6:K11,MATCH(E224,J6:J11,1)+1)-INDEX(K6:K11,MATCH(E224,J6:J11,1)))/(INDEX(J6:J11,MATCH(E224,J6:J11,1)+1)-INDEX(J6:J11,MATCH(E224,J6:J11,1))))))</f>
        <v/>
      </c>
      <c r="G224" s="289">
        <f>IF(B224="","",(C224-F224)*$B$10)</f>
        <v/>
      </c>
      <c r="H224" s="289">
        <f>IF(B224="","",MAX(0,D224+G224))</f>
        <v/>
      </c>
      <c r="I224" s="289">
        <f>IF(B224="","",$B$5+IF($B$7=0,0,H224/$B$7))</f>
        <v/>
      </c>
    </row>
    <row r="225">
      <c r="A225" s="288">
        <f>IF(B225="","",A224+1)</f>
        <v/>
      </c>
      <c r="B225" s="288">
        <f>IF(ROW()-15&lt;=$B$11,INDEX(Routing!$A:$A,ROW()-14),"")</f>
        <v/>
      </c>
      <c r="C225" s="289">
        <f>IF(B225="","",INDEX(Routing!$M:$M,ROW()-14))</f>
        <v/>
      </c>
      <c r="D225" s="289">
        <f>IF(B225="","",H224)</f>
        <v/>
      </c>
      <c r="E225" s="289">
        <f>IF(B225="","",$B$5+IF($B$7=0,0,D225/$B$7))</f>
        <v/>
      </c>
      <c r="F225" s="289">
        <f>IF(B225="","",IF(E225&lt;=J6,K6,IF(E225&gt;=J11,K11,INDEX(K6:K11,MATCH(E225,J6:J11,1))+(E225-INDEX(J6:J11,MATCH(E225,J6:J11,1)))*(INDEX(K6:K11,MATCH(E225,J6:J11,1)+1)-INDEX(K6:K11,MATCH(E225,J6:J11,1)))/(INDEX(J6:J11,MATCH(E225,J6:J11,1)+1)-INDEX(J6:J11,MATCH(E225,J6:J11,1))))))</f>
        <v/>
      </c>
      <c r="G225" s="289">
        <f>IF(B225="","",(C225-F225)*$B$10)</f>
        <v/>
      </c>
      <c r="H225" s="289">
        <f>IF(B225="","",MAX(0,D225+G225))</f>
        <v/>
      </c>
      <c r="I225" s="289">
        <f>IF(B225="","",$B$5+IF($B$7=0,0,H225/$B$7))</f>
        <v/>
      </c>
    </row>
    <row r="226">
      <c r="A226" s="288">
        <f>IF(B226="","",A225+1)</f>
        <v/>
      </c>
      <c r="B226" s="288">
        <f>IF(ROW()-15&lt;=$B$11,INDEX(Routing!$A:$A,ROW()-14),"")</f>
        <v/>
      </c>
      <c r="C226" s="289">
        <f>IF(B226="","",INDEX(Routing!$M:$M,ROW()-14))</f>
        <v/>
      </c>
      <c r="D226" s="289">
        <f>IF(B226="","",H225)</f>
        <v/>
      </c>
      <c r="E226" s="289">
        <f>IF(B226="","",$B$5+IF($B$7=0,0,D226/$B$7))</f>
        <v/>
      </c>
      <c r="F226" s="289">
        <f>IF(B226="","",IF(E226&lt;=J6,K6,IF(E226&gt;=J11,K11,INDEX(K6:K11,MATCH(E226,J6:J11,1))+(E226-INDEX(J6:J11,MATCH(E226,J6:J11,1)))*(INDEX(K6:K11,MATCH(E226,J6:J11,1)+1)-INDEX(K6:K11,MATCH(E226,J6:J11,1)))/(INDEX(J6:J11,MATCH(E226,J6:J11,1)+1)-INDEX(J6:J11,MATCH(E226,J6:J11,1))))))</f>
        <v/>
      </c>
      <c r="G226" s="289">
        <f>IF(B226="","",(C226-F226)*$B$10)</f>
        <v/>
      </c>
      <c r="H226" s="289">
        <f>IF(B226="","",MAX(0,D226+G226))</f>
        <v/>
      </c>
      <c r="I226" s="289">
        <f>IF(B226="","",$B$5+IF($B$7=0,0,H226/$B$7))</f>
        <v/>
      </c>
    </row>
    <row r="227">
      <c r="A227" s="288">
        <f>IF(B227="","",A226+1)</f>
        <v/>
      </c>
      <c r="B227" s="288">
        <f>IF(ROW()-15&lt;=$B$11,INDEX(Routing!$A:$A,ROW()-14),"")</f>
        <v/>
      </c>
      <c r="C227" s="289">
        <f>IF(B227="","",INDEX(Routing!$M:$M,ROW()-14))</f>
        <v/>
      </c>
      <c r="D227" s="289">
        <f>IF(B227="","",H226)</f>
        <v/>
      </c>
      <c r="E227" s="289">
        <f>IF(B227="","",$B$5+IF($B$7=0,0,D227/$B$7))</f>
        <v/>
      </c>
      <c r="F227" s="289">
        <f>IF(B227="","",IF(E227&lt;=J6,K6,IF(E227&gt;=J11,K11,INDEX(K6:K11,MATCH(E227,J6:J11,1))+(E227-INDEX(J6:J11,MATCH(E227,J6:J11,1)))*(INDEX(K6:K11,MATCH(E227,J6:J11,1)+1)-INDEX(K6:K11,MATCH(E227,J6:J11,1)))/(INDEX(J6:J11,MATCH(E227,J6:J11,1)+1)-INDEX(J6:J11,MATCH(E227,J6:J11,1))))))</f>
        <v/>
      </c>
      <c r="G227" s="289">
        <f>IF(B227="","",(C227-F227)*$B$10)</f>
        <v/>
      </c>
      <c r="H227" s="289">
        <f>IF(B227="","",MAX(0,D227+G227))</f>
        <v/>
      </c>
      <c r="I227" s="289">
        <f>IF(B227="","",$B$5+IF($B$7=0,0,H227/$B$7))</f>
        <v/>
      </c>
    </row>
    <row r="228">
      <c r="A228" s="288">
        <f>IF(B228="","",A227+1)</f>
        <v/>
      </c>
      <c r="B228" s="288">
        <f>IF(ROW()-15&lt;=$B$11,INDEX(Routing!$A:$A,ROW()-14),"")</f>
        <v/>
      </c>
      <c r="C228" s="289">
        <f>IF(B228="","",INDEX(Routing!$M:$M,ROW()-14))</f>
        <v/>
      </c>
      <c r="D228" s="289">
        <f>IF(B228="","",H227)</f>
        <v/>
      </c>
      <c r="E228" s="289">
        <f>IF(B228="","",$B$5+IF($B$7=0,0,D228/$B$7))</f>
        <v/>
      </c>
      <c r="F228" s="289">
        <f>IF(B228="","",IF(E228&lt;=J6,K6,IF(E228&gt;=J11,K11,INDEX(K6:K11,MATCH(E228,J6:J11,1))+(E228-INDEX(J6:J11,MATCH(E228,J6:J11,1)))*(INDEX(K6:K11,MATCH(E228,J6:J11,1)+1)-INDEX(K6:K11,MATCH(E228,J6:J11,1)))/(INDEX(J6:J11,MATCH(E228,J6:J11,1)+1)-INDEX(J6:J11,MATCH(E228,J6:J11,1))))))</f>
        <v/>
      </c>
      <c r="G228" s="289">
        <f>IF(B228="","",(C228-F228)*$B$10)</f>
        <v/>
      </c>
      <c r="H228" s="289">
        <f>IF(B228="","",MAX(0,D228+G228))</f>
        <v/>
      </c>
      <c r="I228" s="289">
        <f>IF(B228="","",$B$5+IF($B$7=0,0,H228/$B$7))</f>
        <v/>
      </c>
    </row>
    <row r="229">
      <c r="A229" s="288">
        <f>IF(B229="","",A228+1)</f>
        <v/>
      </c>
      <c r="B229" s="288">
        <f>IF(ROW()-15&lt;=$B$11,INDEX(Routing!$A:$A,ROW()-14),"")</f>
        <v/>
      </c>
      <c r="C229" s="289">
        <f>IF(B229="","",INDEX(Routing!$M:$M,ROW()-14))</f>
        <v/>
      </c>
      <c r="D229" s="289">
        <f>IF(B229="","",H228)</f>
        <v/>
      </c>
      <c r="E229" s="289">
        <f>IF(B229="","",$B$5+IF($B$7=0,0,D229/$B$7))</f>
        <v/>
      </c>
      <c r="F229" s="289">
        <f>IF(B229="","",IF(E229&lt;=J6,K6,IF(E229&gt;=J11,K11,INDEX(K6:K11,MATCH(E229,J6:J11,1))+(E229-INDEX(J6:J11,MATCH(E229,J6:J11,1)))*(INDEX(K6:K11,MATCH(E229,J6:J11,1)+1)-INDEX(K6:K11,MATCH(E229,J6:J11,1)))/(INDEX(J6:J11,MATCH(E229,J6:J11,1)+1)-INDEX(J6:J11,MATCH(E229,J6:J11,1))))))</f>
        <v/>
      </c>
      <c r="G229" s="289">
        <f>IF(B229="","",(C229-F229)*$B$10)</f>
        <v/>
      </c>
      <c r="H229" s="289">
        <f>IF(B229="","",MAX(0,D229+G229))</f>
        <v/>
      </c>
      <c r="I229" s="289">
        <f>IF(B229="","",$B$5+IF($B$7=0,0,H229/$B$7))</f>
        <v/>
      </c>
    </row>
    <row r="230">
      <c r="A230" s="288">
        <f>IF(B230="","",A229+1)</f>
        <v/>
      </c>
      <c r="B230" s="288">
        <f>IF(ROW()-15&lt;=$B$11,INDEX(Routing!$A:$A,ROW()-14),"")</f>
        <v/>
      </c>
      <c r="C230" s="289">
        <f>IF(B230="","",INDEX(Routing!$M:$M,ROW()-14))</f>
        <v/>
      </c>
      <c r="D230" s="289">
        <f>IF(B230="","",H229)</f>
        <v/>
      </c>
      <c r="E230" s="289">
        <f>IF(B230="","",$B$5+IF($B$7=0,0,D230/$B$7))</f>
        <v/>
      </c>
      <c r="F230" s="289">
        <f>IF(B230="","",IF(E230&lt;=J6,K6,IF(E230&gt;=J11,K11,INDEX(K6:K11,MATCH(E230,J6:J11,1))+(E230-INDEX(J6:J11,MATCH(E230,J6:J11,1)))*(INDEX(K6:K11,MATCH(E230,J6:J11,1)+1)-INDEX(K6:K11,MATCH(E230,J6:J11,1)))/(INDEX(J6:J11,MATCH(E230,J6:J11,1)+1)-INDEX(J6:J11,MATCH(E230,J6:J11,1))))))</f>
        <v/>
      </c>
      <c r="G230" s="289">
        <f>IF(B230="","",(C230-F230)*$B$10)</f>
        <v/>
      </c>
      <c r="H230" s="289">
        <f>IF(B230="","",MAX(0,D230+G230))</f>
        <v/>
      </c>
      <c r="I230" s="289">
        <f>IF(B230="","",$B$5+IF($B$7=0,0,H230/$B$7))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2026-05-28T20:09:14Z</dcterms:created>
  <dcterms:modified xsi:type="dcterms:W3CDTF">2026-06-12T23:33:25Z</dcterms:modified>
  <cp:revision>77</cp:revision>
</cp:coreProperties>
</file>