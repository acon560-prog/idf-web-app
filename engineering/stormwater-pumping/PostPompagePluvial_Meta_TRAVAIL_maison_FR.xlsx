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puts" sheetId="1" state="visible" r:id="rId3"/>
    <sheet name="IDF_Hyetograph" sheetId="2" state="visible" r:id="rId4"/>
    <sheet name="Routing" sheetId="3" state="visible" r:id="rId5"/>
    <sheet name="Pump_Sizing" sheetId="4" state="visible" r:id="rId6"/>
    <sheet name="Quick checks" sheetId="5" state="visible" r:id="rId7"/>
  </sheets>
  <definedNames>
    <definedName function="false" hidden="false" name="A_wetwell" vbProcedure="false">Pump_Sizing!$E$39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<sst xmlns="http://schemas.openxmlformats.org/spreadsheetml/2006/main" count="186" uniqueCount="181">
  <si>
    <t xml:space="preserve">STORMWATER PUMP STATION SIZING (PRELIMINARY)</t>
  </si>
  <si>
    <t xml:space="preserve">Surface_m2</t>
  </si>
  <si>
    <t xml:space="preserve">Surface_ha</t>
  </si>
  <si>
    <t xml:space="preserve">Projet: 1792</t>
  </si>
  <si>
    <t xml:space="preserve">Coeff_ruissellement_C</t>
  </si>
  <si>
    <t xml:space="preserve">Location: Métabetchouan</t>
  </si>
  <si>
    <t xml:space="preserve">IDF_a</t>
  </si>
  <si>
    <t xml:space="preserve">Date:</t>
  </si>
  <si>
    <t xml:space="preserve">IDF_b</t>
  </si>
  <si>
    <t xml:space="preserve">IDF_c</t>
  </si>
  <si>
    <t xml:space="preserve">VÉRIFICATIONS DE CONCEPTION (MODÈLE vs LIMITES)</t>
  </si>
  <si>
    <t xml:space="preserve">Pas_temps_min</t>
  </si>
  <si>
    <t xml:space="preserve"> Indicateur</t>
  </si>
  <si>
    <t xml:space="preserve">Valeur du modèle</t>
  </si>
  <si>
    <t xml:space="preserve">Limite de conception</t>
  </si>
  <si>
    <t xml:space="preserve"> Statut</t>
  </si>
  <si>
    <t xml:space="preserve">Pas_temps_sec</t>
  </si>
  <si>
    <t xml:space="preserve">S1_Stormbrixx max (m³)</t>
  </si>
  <si>
    <t xml:space="preserve">Radier_bassin_m</t>
  </si>
  <si>
    <t xml:space="preserve">Niveau WL1 max (WL1 = niveau d’eau)</t>
  </si>
  <si>
    <t xml:space="preserve">Radier_exutoire_m</t>
  </si>
  <si>
    <t xml:space="preserve">Volume total de surverse Q_overflow1</t>
  </si>
  <si>
    <t xml:space="preserve">Niveau_eau_ruisseau_m</t>
  </si>
  <si>
    <t xml:space="preserve">S2_puisard max (m³)</t>
  </si>
  <si>
    <t xml:space="preserve">Debit_unitaire_pompe_m3s</t>
  </si>
  <si>
    <t xml:space="preserve">Niveau WL2 max</t>
  </si>
  <si>
    <t xml:space="preserve">Pompes_en_service</t>
  </si>
  <si>
    <t xml:space="preserve">Volume total de surverse Q_overflow2</t>
  </si>
  <si>
    <t xml:space="preserve">Longueur_conduite_refoulement_m</t>
  </si>
  <si>
    <t xml:space="preserve">Nombre total de démarrages (CumStarts final)</t>
  </si>
  <si>
    <t xml:space="preserve">Diametre_conduite_refoulement_m</t>
  </si>
  <si>
    <t xml:space="preserve"> Démarrages/heure</t>
  </si>
  <si>
    <t xml:space="preserve">Coeff_HazenC</t>
  </si>
  <si>
    <t xml:space="preserve">Débit maximal de pompage utilisé</t>
  </si>
  <si>
    <t xml:space="preserve">Coeff_pertes_singulieres_K_total</t>
  </si>
  <si>
    <t xml:space="preserve">Niveau_marche_pompe_m</t>
  </si>
  <si>
    <t xml:space="preserve">Statut global</t>
  </si>
  <si>
    <t xml:space="preserve">Niveau_arret_pompe_m</t>
  </si>
  <si>
    <t xml:space="preserve">Surface_plan_bassin_m2</t>
  </si>
  <si>
    <t xml:space="preserve">Taux_vide_StormBrixx</t>
  </si>
  <si>
    <t xml:space="preserve">V_reconstructed_from_area_depth_m3 </t>
  </si>
  <si>
    <t xml:space="preserve">DeltaV_m3</t>
  </si>
  <si>
    <t xml:space="preserve">Effective volume per block</t>
  </si>
  <si>
    <t xml:space="preserve">Stormbrixx_Vmax_m3</t>
  </si>
  <si>
    <t xml:space="preserve">Stormbrixx_invert_m</t>
  </si>
  <si>
    <t xml:space="preserve">Stormbrixx_effective_depth_m</t>
  </si>
  <si>
    <t xml:space="preserve">Stormbrixx_eq_area_m2</t>
  </si>
  <si>
    <t xml:space="preserve">Orifice_d_m</t>
  </si>
  <si>
    <t xml:space="preserve">Cd_orifice</t>
  </si>
  <si>
    <t xml:space="preserve">Orifice_area_m2</t>
  </si>
  <si>
    <t xml:space="preserve">g</t>
  </si>
  <si>
    <t xml:space="preserve">Wetwell_invert_m</t>
  </si>
  <si>
    <t xml:space="preserve">Wetwell_diameter_m</t>
  </si>
  <si>
    <t xml:space="preserve">Wetwell_area_m2</t>
  </si>
  <si>
    <t xml:space="preserve">Wetwell_total_depth_m</t>
  </si>
  <si>
    <t xml:space="preserve">S2_max_wetwell_m3</t>
  </si>
  <si>
    <t xml:space="preserve">Pump_ON_1_m</t>
  </si>
  <si>
    <t xml:space="preserve">Pump_OFF_1_m</t>
  </si>
  <si>
    <t xml:space="preserve">Pump_ON_2_m</t>
  </si>
  <si>
    <t xml:space="preserve">Pump_OFF_2_m</t>
  </si>
  <si>
    <t xml:space="preserve">Q_pump_each_m3s</t>
  </si>
  <si>
    <t xml:space="preserve"> Durée_min</t>
  </si>
  <si>
    <t xml:space="preserve">Intensité_mmh</t>
  </si>
  <si>
    <t xml:space="preserve">Lame_cumulée_mm</t>
  </si>
  <si>
    <t xml:space="preserve">Lame_incrementale_mm</t>
  </si>
  <si>
    <t xml:space="preserve">Rang </t>
  </si>
  <si>
    <t xml:space="preserve">Position </t>
  </si>
  <si>
    <t xml:space="preserve"> Indice_chronologique</t>
  </si>
  <si>
    <t xml:space="preserve">Lame_bloc_mm</t>
  </si>
  <si>
    <t xml:space="preserve">Intensité_bloc_mmh</t>
  </si>
  <si>
    <t xml:space="preserve">Temps_min</t>
  </si>
  <si>
    <t xml:space="preserve">Pluie_mmh</t>
  </si>
  <si>
    <t xml:space="preserve">Debit_entrant_toiture_m3s</t>
  </si>
  <si>
    <t xml:space="preserve">Stockage_S1_Stormbrixx_m3</t>
  </si>
  <si>
    <t xml:space="preserve">Niveau_WL1_Stormbrixx_m </t>
  </si>
  <si>
    <t xml:space="preserve">Debit_Q12_vers_puisard_m3s</t>
  </si>
  <si>
    <t xml:space="preserve">Debit_surverse1_m3s </t>
  </si>
  <si>
    <t xml:space="preserve">Stockage_S2_puisard_m3</t>
  </si>
  <si>
    <t xml:space="preserve">Debit_surverse2_m3s</t>
  </si>
  <si>
    <t xml:space="preserve">Niveau_WL2_puisard_m</t>
  </si>
  <si>
    <t xml:space="preserve">Pompes_en_marche</t>
  </si>
  <si>
    <t xml:space="preserve">Debit_pompe_commande_m3s</t>
  </si>
  <si>
    <t xml:space="preserve">Debit_pompe_effectif_m3s</t>
  </si>
  <si>
    <t xml:space="preserve">Indicateur_demarrage</t>
  </si>
  <si>
    <t xml:space="preserve">Cumul_demarrages</t>
  </si>
  <si>
    <t xml:space="preserve">BlockDepth_mm</t>
  </si>
  <si>
    <t xml:space="preserve">Total_starts</t>
  </si>
  <si>
    <t xml:space="preserve">Event_hours</t>
  </si>
  <si>
    <t xml:space="preserve">Starts_per_hr</t>
  </si>
  <si>
    <t xml:space="preserve">MassError_m3</t>
  </si>
  <si>
    <t xml:space="preserve">POSTE DE POMPAGE – POINT DE FONCTIONNEMENT ET PUISSANCE (PRÉLIMINAIRE – PLUIE DE RÉCURRENCE 100 ANS) </t>
  </si>
  <si>
    <t xml:space="preserve">Base : Ruissellement toiture -&gt; StormBrixx -&gt; Puisard -&gt; Rejet pompé au ruisseau</t>
  </si>
  <si>
    <t xml:space="preserve">Débit de conception vers le puisard, Q_design (m³/s)</t>
  </si>
  <si>
    <t xml:space="preserve">Débit de pointe toiture, Q_peak (m³/s)</t>
  </si>
  <si>
    <t xml:space="preserve">Niveau d’eau de conception du ruisseau (m)</t>
  </si>
  <si>
    <t xml:space="preserve">Niveau d’exploitation du puisard (m)  </t>
  </si>
  <si>
    <t xml:space="preserve">Point de fonctionnement de conception</t>
  </si>
  <si>
    <t xml:space="preserve">Longueur de la conduite de refoulement (m)</t>
  </si>
  <si>
    <t xml:space="preserve">Débit total requis</t>
  </si>
  <si>
    <t xml:space="preserve">(m³/s) </t>
  </si>
  <si>
    <t xml:space="preserve">Diamètre intérieur de la conduite de refoulement (m)</t>
  </si>
  <si>
    <t xml:space="preserve">Débit par pompe en service</t>
  </si>
  <si>
    <t xml:space="preserve">Coefficient C de Hazen-Williams (-)</t>
  </si>
  <si>
    <t xml:space="preserve">HMT (hauteur manométrique totale)</t>
  </si>
  <si>
    <t xml:space="preserve">m</t>
  </si>
  <si>
    <t xml:space="preserve">Coefficient de pertes singulières, K_total (-) </t>
  </si>
  <si>
    <t xml:space="preserve">Rendement pompe, η_pompe (-)</t>
  </si>
  <si>
    <t xml:space="preserve">Critères de sélection des pompes</t>
  </si>
  <si>
    <t xml:space="preserve">Rendement moteur, η_moteur (-)  </t>
  </si>
  <si>
    <t xml:space="preserve">1 en service + 1 en secours</t>
  </si>
  <si>
    <t xml:space="preserve">Oui</t>
  </si>
  <si>
    <t xml:space="preserve">Nombre de pompes en service (-)</t>
  </si>
  <si>
    <t xml:space="preserve">Point nominal minimal</t>
  </si>
  <si>
    <t xml:space="preserve">Facteur de sécurité (-)</t>
  </si>
  <si>
    <t xml:space="preserve">Puissance moteur retenue</t>
  </si>
  <si>
    <t xml:space="preserve">2.1 kW per pump) </t>
  </si>
  <si>
    <t xml:space="preserve">Débit total requis de pompage (m³/s)</t>
  </si>
  <si>
    <t xml:space="preserve">Vérification</t>
  </si>
  <si>
    <t xml:space="preserve">Débit requis par pompe en service (m³/s)</t>
  </si>
  <si>
    <t xml:space="preserve">Démarrages/heure</t>
  </si>
  <si>
    <t xml:space="preserve">COMPOSANTES DE CHARGE  </t>
  </si>
  <si>
    <t xml:space="preserve">Temps de vidange</t>
  </si>
  <si>
    <t xml:space="preserve">Charge statique (m)</t>
  </si>
  <si>
    <t xml:space="preserve">Vérification niveaux MARCHE/ARRÊT</t>
  </si>
  <si>
    <t xml:space="preserve">Vitesse dans la conduite de refoulement (m/s)</t>
  </si>
  <si>
    <t xml:space="preserve">Note : le modèle final de pompe doit être confirmé par la courbe du fabricant </t>
  </si>
  <si>
    <t xml:space="preserve">Perte de charge linéaire (m) </t>
  </si>
  <si>
    <t xml:space="preserve">Pertes singulières (m)</t>
  </si>
  <si>
    <t xml:space="preserve">Hauteur Manométrique Totale, HMT (m)</t>
  </si>
  <si>
    <t xml:space="preserve">BESOINS EN PUISSANCE</t>
  </si>
  <si>
    <t xml:space="preserve">Puissance hydraulique (kW)</t>
  </si>
  <si>
    <t xml:space="preserve">Puissance absorbée aux bornes moteur (kW)</t>
  </si>
  <si>
    <t xml:space="preserve">Puissance absorbée par pompe en service (kW)</t>
  </si>
  <si>
    <t xml:space="preserve">Volume utile du puisard entre MARCHE/ARRÊT (m³)</t>
  </si>
  <si>
    <t xml:space="preserve">Temps estimé de vidange (min)</t>
  </si>
  <si>
    <t xml:space="preserve">Nombre total de démarrages pendant l’événement (-)</t>
  </si>
  <si>
    <t xml:space="preserve">Durée de l’événement (h)</t>
  </si>
  <si>
    <t xml:space="preserve">Démarrages moyens par heure (1/h)</t>
  </si>
  <si>
    <t xml:space="preserve">Vérification des démarrages/heure</t>
  </si>
  <si>
    <t xml:space="preserve">Warning on pump levels</t>
  </si>
  <si>
    <t xml:space="preserve">V_block_eff = 0.8 * 0.8 * 0.66 * 0.9 = 0.38016 m3/block</t>
  </si>
  <si>
    <t xml:space="preserve">Blocks needed for 130 m3</t>
  </si>
  <si>
    <t xml:space="preserve">N_blocks_130 = 130 / 0.38016 = 341.96 -&gt; 342 blocks</t>
  </si>
  <si>
    <t xml:space="preserve">2) Why 95 mm is causing too much upstream storage</t>
  </si>
  <si>
    <t xml:space="preserve">Your peak roof inflow (from your routing) is around 0.389 m3/s (389 L/s).</t>
  </si>
  <si>
    <t xml:space="preserve">A 95 mm orifice typically passes only a small fraction of that (depending on head).</t>
  </si>
  <si>
    <t xml:space="preserve">So StormBrixx accumulates too much water, hence ~301 m3 required. </t>
  </si>
  <si>
    <t xml:space="preserve">3) Pump duty point target (preliminary)</t>
  </si>
  <si>
    <t xml:space="preserve">H_static = 1.282 m</t>
  </si>
  <si>
    <t xml:space="preserve">at Q = 0.04 m3/s, you had hf + hm = 0.310 + 0.715 = 1.025 m</t>
  </si>
  <si>
    <t xml:space="preserve">So system curve coefficient: </t>
  </si>
  <si>
    <t xml:space="preserve">k_sys = (hf+hm)/Q^2 = 1.025 / (0.04^2) = 640.6</t>
  </si>
  <si>
    <t xml:space="preserve">H_sys(Q) = 1.282 + 640.6*Q^2</t>
  </si>
  <si>
    <t xml:space="preserve">To keep 130 m3 realistic, you need total pumped/released flow around 0.07 m3/s order of magnitude during event (not 0.04). </t>
  </si>
  <si>
    <t xml:space="preserve">At Q = 0.07:</t>
  </si>
  <si>
    <t xml:space="preserve">H_sys = 1.282 + 640.6*(0.07^2) = 4.42 m </t>
  </si>
  <si>
    <t xml:space="preserve">So your pump station should target roughly: </t>
  </si>
  <si>
    <t xml:space="preserve">Q_total</t>
  </si>
  <si>
    <t xml:space="preserve">≈</t>
  </si>
  <si>
    <t xml:space="preserve">to</t>
  </si>
  <si>
    <t xml:space="preserve">m3/s</t>
  </si>
  <si>
    <t xml:space="preserve">TDH</t>
  </si>
  <si>
    <t xml:space="preserve">4) Temporary pump curve to use now (since no vendor curve yet)</t>
  </si>
  <si>
    <t xml:space="preserve">Use one-pump placeholder curve:</t>
  </si>
  <si>
    <t xml:space="preserve">H_pump_single(Q) = 7.5 - 2040*Q^2 </t>
  </si>
  <si>
    <t xml:space="preserve">(Q in m3/s, H in m)</t>
  </si>
  <si>
    <t xml:space="preserve">This gives approx:</t>
  </si>
  <si>
    <t xml:space="preserve">shutoff head ~7.5 m</t>
  </si>
  <si>
    <t xml:space="preserve">~5 m at Q ~0.035 m3/s (35 L/s)</t>
  </si>
  <si>
    <t xml:space="preserve">Intersection with your system curve gives about:</t>
  </si>
  <si>
    <t xml:space="preserve">Q_total ≈ 0.0735 m3/sH ≈ 4.74 m </t>
  </si>
  <si>
    <t xml:space="preserve">5) Important design conclusion</t>
  </si>
  <si>
    <t xml:space="preserve">If transfer from StormBrixx to wetwell is still through 95 mm Q-brake, the pumps may be starved and upstream storage will remain too high.</t>
  </si>
  <si>
    <t xml:space="preserve">You likely need to increase transfer/orifice size (first-pass likely around 150–180 mm depending head), then rerun routing.</t>
  </si>
  <si>
    <t xml:space="preserve">6) What I still need to finalize real pump selection</t>
  </si>
  <si>
    <t xml:space="preserve">To pick an actual catalog pump model/curve:</t>
  </si>
  <si>
    <t xml:space="preserve">Force main length + diameter + fittings (final values)</t>
  </si>
  <si>
    <t xml:space="preserve">Creek design water level for 100-year event</t>
  </si>
  <si>
    <t xml:space="preserve">Whether you want 2 duty + 1 standby or 1 duty + 1 standby</t>
  </si>
  <si>
    <t xml:space="preserve">Max allowed drawdown time after storm</t>
  </si>
  <si>
    <t xml:space="preserve">Any max discharge constraint to creek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</si>
</sst>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m/dd/yy"/>
    <numFmt numFmtId="166" formatCode="#,##0.00"/>
    <numFmt numFmtId="167" formatCode="#,##0.000"/>
    <numFmt numFmtId="168" formatCode="#,##0.0000"/>
    <numFmt numFmtId="169" formatCode="0.000"/>
    <numFmt numFmtId="170" formatCode="0.00"/>
    <numFmt numFmtId="171" formatCode="#,##0"/>
  </numFmts>
  <fonts count="2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492300"/>
      <name val="Arial"/>
      <family val="2"/>
      <charset val="1"/>
    </font>
    <font>
      <b val="true"/>
      <sz val="10"/>
      <color rgb="FF006100"/>
      <name val="Arial"/>
      <family val="2"/>
      <charset val="1"/>
    </font>
    <font>
      <sz val="16"/>
      <name val="Arial"/>
      <family val="2"/>
      <charset val="1"/>
    </font>
    <font>
      <i val="true"/>
      <sz val="10"/>
      <color rgb="FF1C1C1C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name val="Times New Roman"/>
      <family val="0"/>
      <charset val="1"/>
    </font>
    <font>
      <sz val="13"/>
      <color rgb="FFF2F2F2"/>
      <name val="Arial"/>
      <family val="2"/>
      <charset val="1"/>
    </font>
    <font>
      <sz val="10"/>
      <color rgb="FF1F4E78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1C1C1C"/>
      <name val="Arial"/>
      <family val="2"/>
      <charset val="1"/>
    </font>
    <font>
      <sz val="11"/>
      <name val="Times New Roman"/>
      <family val="1"/>
      <charset val="1"/>
    </font>
    <font>
      <sz val="11"/>
      <name val="Arial"/>
      <family val="2"/>
      <charset val="1"/>
    </font>
    <font>
      <sz val="14"/>
      <name val="Arial"/>
      <family val="2"/>
      <charset val="1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1"/>
    </font>
    <font>
      <b val="true"/>
      <sz val="12"/>
      <name val="Arial"/>
      <family val="2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dashed"/>
      <top/>
      <bottom/>
      <diagonal/>
    </border>
    <border diagonalUp="false" diagonalDown="false">
      <left/>
      <right style="dashed"/>
      <top style="dotted"/>
      <bottom/>
      <diagonal/>
    </border>
    <border diagonalUp="false" diagonalDown="false">
      <left style="dotted"/>
      <right style="dotted"/>
      <top style="dotted"/>
      <bottom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 style="dashed"/>
      <top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3" borderId="0" applyFont="true" applyBorder="false" applyAlignment="true" applyProtection="false">
      <alignment horizontal="general" vertical="bottom" textRotation="0" wrapText="false" indent="0" shrinkToFit="false"/>
    </xf>
    <xf numFmtId="164" fontId="6" fillId="4" borderId="0" applyFont="true" applyBorder="false" applyAlignment="true" applyProtection="false">
      <alignment horizontal="general" vertical="bottom" textRotation="0" wrapText="false" indent="0" shrinkToFit="false"/>
    </xf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0" fillId="8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0" fillId="8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6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1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8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8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6" borderId="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6" fontId="8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7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11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0" fillId="11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5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1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0" fillId="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0" fillId="8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8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18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top" textRotation="0" wrapText="true" indent="1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F_FAIL" xfId="20"/>
    <cellStyle name="CF_INFO" xfId="21"/>
    <cellStyle name="CF_PASS" xfId="22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9"/>
  <sheetViews>
    <sheetView showFormulas="false" showGridLines="true" showRowColHeaders="true" showZeros="true" rightToLeft="false" tabSelected="false" showOutlineSymbols="true" defaultGridColor="true" view="normal" topLeftCell="A10" colorId="64" zoomScale="95" zoomScaleNormal="95" zoomScalePageLayoutView="100" workbookViewId="0">
      <selection pane="topLeft" activeCell="B44" activeCellId="0" sqref="B44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23.48"/>
    <col collapsed="false" customWidth="true" hidden="false" outlineLevel="0" max="5" min="5" style="1" width="23.67"/>
    <col collapsed="false" customWidth="true" hidden="false" outlineLevel="0" max="7" min="7" style="1" width="19.69"/>
    <col collapsed="false" customWidth="true" hidden="false" outlineLevel="0" max="8" min="8" style="1" width="17.25"/>
  </cols>
  <sheetData>
    <row r="1" customFormat="false" ht="12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2.75" hidden="false" customHeight="true" outlineLevel="0" collapsed="false">
      <c r="A2" s="3" t="s">
        <v>1</v>
      </c>
      <c r="B2" s="4" t="n">
        <v>7800</v>
      </c>
    </row>
    <row r="3" customFormat="false" ht="12.75" hidden="false" customHeight="true" outlineLevel="0" collapsed="false">
      <c r="A3" s="5" t="s">
        <v>2</v>
      </c>
      <c r="B3" s="6" t="n">
        <f aca="false">B2/10000</f>
        <v>0.78</v>
      </c>
      <c r="J3" s="7" t="s">
        <v>3</v>
      </c>
      <c r="K3" s="8"/>
    </row>
    <row r="4" customFormat="false" ht="12.75" hidden="false" customHeight="true" outlineLevel="0" collapsed="false">
      <c r="A4" s="5" t="s">
        <v>4</v>
      </c>
      <c r="B4" s="6" t="n">
        <v>0.4</v>
      </c>
      <c r="J4" s="9" t="s">
        <v>5</v>
      </c>
      <c r="K4" s="10"/>
    </row>
    <row r="5" customFormat="false" ht="12.75" hidden="false" customHeight="true" outlineLevel="0" collapsed="false">
      <c r="A5" s="5" t="s">
        <v>6</v>
      </c>
      <c r="B5" s="6" t="n">
        <v>4156.21</v>
      </c>
      <c r="J5" s="11" t="s">
        <v>7</v>
      </c>
      <c r="K5" s="12" t="n">
        <f aca="true">TODAY()</f>
        <v>46177</v>
      </c>
    </row>
    <row r="6" customFormat="false" ht="12.75" hidden="false" customHeight="true" outlineLevel="0" collapsed="false">
      <c r="A6" s="5" t="s">
        <v>8</v>
      </c>
      <c r="B6" s="6" t="n">
        <v>15.1</v>
      </c>
    </row>
    <row r="7" customFormat="false" ht="12.75" hidden="false" customHeight="true" outlineLevel="0" collapsed="false">
      <c r="A7" s="5" t="s">
        <v>9</v>
      </c>
      <c r="B7" s="6" t="n">
        <v>1.026</v>
      </c>
      <c r="E7" s="13" t="s">
        <v>10</v>
      </c>
      <c r="F7" s="13"/>
      <c r="G7" s="13"/>
    </row>
    <row r="8" customFormat="false" ht="12.75" hidden="false" customHeight="true" outlineLevel="0" collapsed="false">
      <c r="A8" s="5" t="s">
        <v>11</v>
      </c>
      <c r="B8" s="6" t="n">
        <v>5</v>
      </c>
      <c r="E8" s="14" t="s">
        <v>12</v>
      </c>
      <c r="F8" s="15" t="s">
        <v>13</v>
      </c>
      <c r="G8" s="16" t="s">
        <v>14</v>
      </c>
      <c r="H8" s="16" t="s">
        <v>15</v>
      </c>
    </row>
    <row r="9" customFormat="false" ht="12.75" hidden="false" customHeight="true" outlineLevel="0" collapsed="false">
      <c r="A9" s="5" t="s">
        <v>16</v>
      </c>
      <c r="B9" s="6" t="n">
        <f aca="false">B8*60</f>
        <v>300</v>
      </c>
      <c r="E9" s="17" t="s">
        <v>17</v>
      </c>
      <c r="F9" s="18" t="n">
        <f aca="false">MAX(Routing!$D$2:$D$14)</f>
        <v>101.717864503479</v>
      </c>
      <c r="G9" s="19" t="n">
        <f aca="false">B30</f>
        <v>139</v>
      </c>
      <c r="H9" s="20" t="str">
        <f aca="false">IF(F9&lt;=G9,"PASS","FAIL")</f>
        <v>PASS</v>
      </c>
    </row>
    <row r="10" customFormat="false" ht="12.75" hidden="false" customHeight="true" outlineLevel="0" collapsed="false">
      <c r="A10" s="5" t="s">
        <v>18</v>
      </c>
      <c r="B10" s="6" t="n">
        <v>102.7</v>
      </c>
      <c r="E10" s="21" t="s">
        <v>19</v>
      </c>
      <c r="F10" s="22" t="n">
        <f aca="false">MAX(Routing!$E$2:$E$14)</f>
        <v>103.665953821184</v>
      </c>
      <c r="G10" s="23" t="n">
        <v>104.2</v>
      </c>
      <c r="H10" s="24" t="str">
        <f aca="false">IF(F10&lt;=G10,"PASS","FAIL")</f>
        <v>PASS</v>
      </c>
    </row>
    <row r="11" customFormat="false" ht="12.75" hidden="false" customHeight="true" outlineLevel="0" collapsed="false">
      <c r="A11" s="5" t="s">
        <v>20</v>
      </c>
      <c r="B11" s="6" t="n">
        <v>103.32</v>
      </c>
      <c r="E11" s="25" t="s">
        <v>21</v>
      </c>
      <c r="F11" s="22" t="n">
        <f aca="false">SUM(Routing!$G$2:$G$14)*Inputs!$B$9</f>
        <v>0</v>
      </c>
      <c r="G11" s="23" t="n">
        <v>0</v>
      </c>
      <c r="H11" s="24" t="str">
        <f aca="false">IF(F11&lt;=G11,"PASS","FAIL")</f>
        <v>PASS</v>
      </c>
    </row>
    <row r="12" customFormat="false" ht="12.75" hidden="false" customHeight="true" outlineLevel="0" collapsed="false">
      <c r="A12" s="5" t="s">
        <v>22</v>
      </c>
      <c r="B12" s="6" t="n">
        <v>103.32</v>
      </c>
      <c r="E12" s="26" t="s">
        <v>23</v>
      </c>
      <c r="F12" s="22" t="n">
        <f aca="false">MAX(Routing!$H$2:$H$14)</f>
        <v>12.8895015166618</v>
      </c>
      <c r="G12" s="27" t="n">
        <f aca="false">B44</f>
        <v>14.1622996823828</v>
      </c>
      <c r="H12" s="24" t="str">
        <f aca="false">IF(F12&lt;=G12,"PASS","FAIL")</f>
        <v>PASS</v>
      </c>
    </row>
    <row r="13" customFormat="false" ht="12.75" hidden="false" customHeight="true" outlineLevel="0" collapsed="false">
      <c r="A13" s="5" t="s">
        <v>24</v>
      </c>
      <c r="B13" s="6" t="n">
        <f aca="false">B49</f>
        <v>0.039</v>
      </c>
      <c r="E13" s="26" t="s">
        <v>25</v>
      </c>
      <c r="F13" s="22" t="n">
        <f aca="false">MAX(Routing!$J$2:$J$14)</f>
        <v>103.593293755477</v>
      </c>
      <c r="G13" s="23" t="n">
        <v>104</v>
      </c>
      <c r="H13" s="24" t="str">
        <f aca="false">IF(F13&lt;=G13,"PASS","FAIL")</f>
        <v>PASS</v>
      </c>
    </row>
    <row r="14" customFormat="false" ht="12.75" hidden="false" customHeight="true" outlineLevel="0" collapsed="false">
      <c r="A14" s="5" t="s">
        <v>26</v>
      </c>
      <c r="B14" s="6" t="n">
        <v>1</v>
      </c>
      <c r="E14" s="26" t="s">
        <v>27</v>
      </c>
      <c r="F14" s="22" t="n">
        <f aca="false">SUM(Routing!$I$2:$I$14)*Inputs!$B$9</f>
        <v>0</v>
      </c>
      <c r="G14" s="23" t="n">
        <v>0</v>
      </c>
      <c r="H14" s="24" t="str">
        <f aca="false">IF(F14&lt;=G14,"PASS","FAIL")</f>
        <v>PASS</v>
      </c>
    </row>
    <row r="15" customFormat="false" ht="12.75" hidden="false" customHeight="true" outlineLevel="0" collapsed="false">
      <c r="A15" s="5" t="s">
        <v>28</v>
      </c>
      <c r="B15" s="6" t="n">
        <v>31.5</v>
      </c>
      <c r="E15" s="25" t="s">
        <v>29</v>
      </c>
      <c r="F15" s="28" t="n">
        <f aca="false">LOOKUP(2,1/(Routing!$O$2:$O$14&lt;&gt;""),Routing!$O$2:$O$14)</f>
        <v>4</v>
      </c>
      <c r="G15" s="29"/>
      <c r="H15" s="24" t="str">
        <f aca="false">IF(G15="","INFO",IF(F15&lt;=G15,"PASS","FAIL"))</f>
        <v>INFO</v>
      </c>
    </row>
    <row r="16" customFormat="false" ht="12.75" hidden="false" customHeight="true" outlineLevel="0" collapsed="false">
      <c r="A16" s="5" t="s">
        <v>30</v>
      </c>
      <c r="B16" s="6" t="n">
        <v>0.2</v>
      </c>
      <c r="E16" s="25" t="s">
        <v>31</v>
      </c>
      <c r="F16" s="30" t="n">
        <f aca="false">IF(Routing!$O$17=0,0,Routing!$O$16/Routing!$O$17)</f>
        <v>4</v>
      </c>
      <c r="G16" s="29" t="n">
        <v>10</v>
      </c>
      <c r="H16" s="24" t="str">
        <f aca="false">IF(F16&lt;=G16,"PASS","FAIL")</f>
        <v>PASS</v>
      </c>
    </row>
    <row r="17" customFormat="false" ht="12.75" hidden="false" customHeight="true" outlineLevel="0" collapsed="false">
      <c r="A17" s="5" t="s">
        <v>32</v>
      </c>
      <c r="B17" s="6" t="n">
        <v>130</v>
      </c>
      <c r="E17" s="25" t="s">
        <v>33</v>
      </c>
      <c r="F17" s="31" t="n">
        <f aca="false">MAX(Routing!$M$2:$M$14)</f>
        <v>0.039</v>
      </c>
      <c r="G17" s="29" t="n">
        <f aca="false">B13*B14</f>
        <v>0.039</v>
      </c>
      <c r="H17" s="24" t="str">
        <f aca="false">IF(F17&lt;=G17,"PASS","FAIL")</f>
        <v>PASS</v>
      </c>
    </row>
    <row r="18" customFormat="false" ht="12.75" hidden="false" customHeight="true" outlineLevel="0" collapsed="false">
      <c r="A18" s="5" t="s">
        <v>34</v>
      </c>
      <c r="B18" s="6" t="n">
        <v>8.65</v>
      </c>
      <c r="E18" s="32"/>
      <c r="F18" s="28"/>
      <c r="G18" s="29"/>
      <c r="H18" s="10"/>
    </row>
    <row r="19" customFormat="false" ht="12.75" hidden="false" customHeight="true" outlineLevel="0" collapsed="false">
      <c r="A19" s="5" t="s">
        <v>35</v>
      </c>
      <c r="B19" s="6" t="n">
        <v>103.4</v>
      </c>
      <c r="C19" s="1" t="n">
        <v>102.8</v>
      </c>
      <c r="E19" s="33" t="s">
        <v>36</v>
      </c>
      <c r="F19" s="34"/>
      <c r="G19" s="35"/>
      <c r="H19" s="36" t="str">
        <f aca="false">IF(COUNTIF(H9:H17,"FAIL")&gt;0,"FAIL","PASS")</f>
        <v>PASS</v>
      </c>
    </row>
    <row r="20" customFormat="false" ht="12.75" hidden="false" customHeight="true" outlineLevel="0" collapsed="false">
      <c r="A20" s="5" t="s">
        <v>37</v>
      </c>
      <c r="B20" s="6" t="n">
        <v>102.8</v>
      </c>
      <c r="C20" s="1" t="n">
        <v>103.4</v>
      </c>
    </row>
    <row r="21" customFormat="false" ht="12.75" hidden="false" customHeight="true" outlineLevel="0" collapsed="false">
      <c r="A21" s="37" t="s">
        <v>38</v>
      </c>
      <c r="B21" s="6" t="n">
        <v>130</v>
      </c>
    </row>
    <row r="22" customFormat="false" ht="12.75" hidden="false" customHeight="true" outlineLevel="0" collapsed="false">
      <c r="A22" s="5" t="s">
        <v>39</v>
      </c>
      <c r="B22" s="6" t="n">
        <v>0.9</v>
      </c>
      <c r="G22" s="38" t="s">
        <v>40</v>
      </c>
      <c r="H22" s="1" t="n">
        <f aca="false">B30*B32</f>
        <v>183.48</v>
      </c>
    </row>
    <row r="23" customFormat="false" ht="13.55" hidden="false" customHeight="true" outlineLevel="0" collapsed="false">
      <c r="A23" s="5"/>
      <c r="B23" s="6"/>
      <c r="G23" s="1" t="s">
        <v>41</v>
      </c>
      <c r="H23" s="1" t="n">
        <f aca="false">H22-B30</f>
        <v>44.48</v>
      </c>
    </row>
    <row r="24" customFormat="false" ht="12.75" hidden="false" customHeight="true" outlineLevel="0" collapsed="false">
      <c r="A24" s="5"/>
      <c r="B24" s="6"/>
      <c r="H24" s="39" t="str">
        <f aca="false">IF(ABS(H23)&lt;=0.01,"PASS","FAIL")</f>
        <v>FAIL</v>
      </c>
    </row>
    <row r="25" customFormat="false" ht="12.75" hidden="false" customHeight="true" outlineLevel="0" collapsed="false">
      <c r="A25" s="5"/>
      <c r="B25" s="6"/>
    </row>
    <row r="26" customFormat="false" ht="12.75" hidden="false" customHeight="true" outlineLevel="0" collapsed="false">
      <c r="A26" s="5"/>
      <c r="B26" s="6"/>
      <c r="G26" s="1" t="s">
        <v>42</v>
      </c>
      <c r="H26" s="1" t="n">
        <f aca="false">0.8*0.8*0.66*B22</f>
        <v>0.38016</v>
      </c>
    </row>
    <row r="27" customFormat="false" ht="12.75" hidden="false" customHeight="true" outlineLevel="0" collapsed="false">
      <c r="A27" s="5"/>
      <c r="B27" s="6"/>
      <c r="H27" s="40" t="n">
        <f aca="false">B30/H26</f>
        <v>365.635521885522</v>
      </c>
    </row>
    <row r="28" customFormat="false" ht="12.75" hidden="false" customHeight="true" outlineLevel="0" collapsed="false">
      <c r="A28" s="5"/>
      <c r="B28" s="6"/>
      <c r="H28" s="1" t="n">
        <f aca="false">ROUND(H27,0)</f>
        <v>366</v>
      </c>
    </row>
    <row r="29" customFormat="false" ht="12.75" hidden="false" customHeight="true" outlineLevel="0" collapsed="false">
      <c r="A29" s="5"/>
      <c r="B29" s="6"/>
      <c r="H29" s="40" t="n">
        <f aca="false">H28*H26</f>
        <v>139.13856</v>
      </c>
    </row>
    <row r="30" customFormat="false" ht="12.75" hidden="false" customHeight="true" outlineLevel="0" collapsed="false">
      <c r="A30" s="41" t="s">
        <v>43</v>
      </c>
      <c r="B30" s="6" t="n">
        <v>139</v>
      </c>
      <c r="H30" s="40" t="n">
        <f aca="false">H29-B30</f>
        <v>0.138560000000041</v>
      </c>
    </row>
    <row r="31" customFormat="false" ht="12.75" hidden="false" customHeight="true" outlineLevel="0" collapsed="false">
      <c r="A31" s="41" t="s">
        <v>44</v>
      </c>
      <c r="B31" s="6" t="n">
        <v>102.7</v>
      </c>
    </row>
    <row r="32" customFormat="false" ht="12.75" hidden="false" customHeight="true" outlineLevel="0" collapsed="false">
      <c r="A32" s="42" t="s">
        <v>45</v>
      </c>
      <c r="B32" s="6" t="n">
        <v>1.32</v>
      </c>
    </row>
    <row r="33" customFormat="false" ht="12.75" hidden="false" customHeight="true" outlineLevel="0" collapsed="false">
      <c r="A33" s="41" t="s">
        <v>46</v>
      </c>
      <c r="B33" s="43" t="n">
        <f aca="false">B30/B32</f>
        <v>105.30303030303</v>
      </c>
    </row>
    <row r="34" customFormat="false" ht="12.75" hidden="false" customHeight="true" outlineLevel="0" collapsed="false">
      <c r="A34" s="41" t="s">
        <v>47</v>
      </c>
      <c r="B34" s="6" t="n">
        <v>0.11</v>
      </c>
    </row>
    <row r="35" customFormat="false" ht="12.75" hidden="false" customHeight="true" outlineLevel="0" collapsed="false">
      <c r="A35" s="41" t="s">
        <v>48</v>
      </c>
      <c r="B35" s="6" t="n">
        <v>0.62</v>
      </c>
    </row>
    <row r="36" customFormat="false" ht="12.75" hidden="false" customHeight="true" outlineLevel="0" collapsed="false">
      <c r="A36" s="41" t="s">
        <v>49</v>
      </c>
      <c r="B36" s="44" t="n">
        <f aca="false">PI()*B34^2/4</f>
        <v>0.00950331777710912</v>
      </c>
    </row>
    <row r="37" customFormat="false" ht="12.75" hidden="false" customHeight="true" outlineLevel="0" collapsed="false">
      <c r="A37" s="41" t="s">
        <v>50</v>
      </c>
      <c r="B37" s="6" t="n">
        <v>9.81</v>
      </c>
    </row>
    <row r="38" customFormat="false" ht="12.75" hidden="false" customHeight="true" outlineLevel="0" collapsed="false">
      <c r="A38" s="5"/>
      <c r="B38" s="6"/>
    </row>
    <row r="39" customFormat="false" ht="12.75" hidden="false" customHeight="true" outlineLevel="0" collapsed="false">
      <c r="A39" s="5"/>
      <c r="B39" s="6"/>
    </row>
    <row r="40" customFormat="false" ht="12.75" hidden="false" customHeight="true" outlineLevel="0" collapsed="false">
      <c r="A40" s="41" t="s">
        <v>51</v>
      </c>
      <c r="B40" s="6" t="n">
        <v>101.5</v>
      </c>
      <c r="C40" s="1" t="n">
        <v>102.5</v>
      </c>
      <c r="D40" s="1" t="n">
        <v>101</v>
      </c>
    </row>
    <row r="41" customFormat="false" ht="12.75" hidden="false" customHeight="true" outlineLevel="0" collapsed="false">
      <c r="A41" s="41" t="s">
        <v>52</v>
      </c>
      <c r="B41" s="6" t="n">
        <v>2.8</v>
      </c>
      <c r="C41" s="1" t="n">
        <v>3</v>
      </c>
      <c r="D41" s="1" t="n">
        <v>2</v>
      </c>
    </row>
    <row r="42" customFormat="false" ht="12.75" hidden="false" customHeight="true" outlineLevel="0" collapsed="false">
      <c r="A42" s="41" t="s">
        <v>53</v>
      </c>
      <c r="B42" s="43" t="n">
        <f aca="false">PI()*B41^2/4</f>
        <v>6.15752160103599</v>
      </c>
    </row>
    <row r="43" customFormat="false" ht="12.75" hidden="false" customHeight="true" outlineLevel="0" collapsed="false">
      <c r="A43" s="5" t="s">
        <v>54</v>
      </c>
      <c r="B43" s="6" t="n">
        <v>2.3</v>
      </c>
      <c r="C43" s="1" t="n">
        <v>3</v>
      </c>
      <c r="D43" s="1" t="n">
        <v>2</v>
      </c>
    </row>
    <row r="44" customFormat="false" ht="12.75" hidden="false" customHeight="true" outlineLevel="0" collapsed="false">
      <c r="A44" s="5" t="s">
        <v>55</v>
      </c>
      <c r="B44" s="43" t="n">
        <f aca="false">B42*B43</f>
        <v>14.1622996823828</v>
      </c>
    </row>
    <row r="45" customFormat="false" ht="12.75" hidden="false" customHeight="true" outlineLevel="0" collapsed="false">
      <c r="A45" s="42" t="s">
        <v>56</v>
      </c>
      <c r="B45" s="6" t="n">
        <v>102</v>
      </c>
      <c r="E45" s="1" t="n">
        <v>103.1</v>
      </c>
    </row>
    <row r="46" customFormat="false" ht="12.75" hidden="false" customHeight="true" outlineLevel="0" collapsed="false">
      <c r="A46" s="42" t="s">
        <v>57</v>
      </c>
      <c r="B46" s="6" t="n">
        <v>102.6</v>
      </c>
      <c r="E46" s="1" t="n">
        <v>102.74</v>
      </c>
    </row>
    <row r="47" customFormat="false" ht="12.75" hidden="false" customHeight="true" outlineLevel="0" collapsed="false">
      <c r="A47" s="42" t="s">
        <v>58</v>
      </c>
      <c r="B47" s="6" t="n">
        <v>999</v>
      </c>
    </row>
    <row r="48" customFormat="false" ht="12.75" hidden="false" customHeight="true" outlineLevel="0" collapsed="false">
      <c r="A48" s="41" t="s">
        <v>59</v>
      </c>
      <c r="B48" s="6" t="n">
        <v>998</v>
      </c>
    </row>
    <row r="49" customFormat="false" ht="12.75" hidden="false" customHeight="true" outlineLevel="0" collapsed="false">
      <c r="A49" s="45" t="s">
        <v>60</v>
      </c>
      <c r="B49" s="46" t="n">
        <v>0.039</v>
      </c>
    </row>
  </sheetData>
  <mergeCells count="2">
    <mergeCell ref="A1:L1"/>
    <mergeCell ref="E7:G7"/>
  </mergeCells>
  <conditionalFormatting sqref="H9:H17 H19">
    <cfRule type="expression" priority="2" aboveAverage="0" equalAverage="0" bottom="0" percent="0" rank="0" text="" dxfId="0">
      <formula>UPPER(TRIM($H9))="PASS"</formula>
    </cfRule>
    <cfRule type="expression" priority="3" aboveAverage="0" equalAverage="0" bottom="0" percent="0" rank="0" text="" dxfId="1">
      <formula>UPPER(TRIM($H9))="FAIL"</formula>
    </cfRule>
    <cfRule type="expression" priority="4" aboveAverage="0" equalAverage="0" bottom="0" percent="0" rank="0" text="" dxfId="2">
      <formula>UPPER(TRIM($H9))="INFO"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8" activeCellId="0" sqref="C8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0" min="10" style="1" width="11.71"/>
  </cols>
  <sheetData>
    <row r="1" customFormat="false" ht="12.75" hidden="false" customHeight="true" outlineLevel="0" collapsed="false">
      <c r="A1" s="1" t="s">
        <v>61</v>
      </c>
      <c r="B1" s="1" t="s">
        <v>62</v>
      </c>
      <c r="C1" s="1" t="s">
        <v>63</v>
      </c>
      <c r="D1" s="1" t="s">
        <v>64</v>
      </c>
      <c r="E1" s="47" t="s">
        <v>65</v>
      </c>
      <c r="F1" s="47" t="s">
        <v>66</v>
      </c>
      <c r="H1" s="1" t="s">
        <v>67</v>
      </c>
      <c r="I1" s="1" t="s">
        <v>68</v>
      </c>
      <c r="J1" s="1" t="s">
        <v>69</v>
      </c>
      <c r="K1" s="1" t="s">
        <v>70</v>
      </c>
    </row>
    <row r="2" customFormat="false" ht="12.75" hidden="false" customHeight="true" outlineLevel="0" collapsed="false">
      <c r="A2" s="1" t="n">
        <v>5</v>
      </c>
      <c r="B2" s="48" t="n">
        <f aca="false">Inputs!$B$5/((A2+Inputs!$B$6)^Inputs!$B$7)</f>
        <v>191.257435434726</v>
      </c>
      <c r="C2" s="49" t="n">
        <f aca="false">B2*A2/60</f>
        <v>15.9381196195605</v>
      </c>
      <c r="D2" s="50" t="n">
        <f aca="false">C2-IF(A2=5,0,C1)</f>
        <v>15.9381196195605</v>
      </c>
      <c r="E2" s="51" t="n">
        <f aca="false">RANK(D2,$D$2:$D$13,0)</f>
        <v>1</v>
      </c>
      <c r="F2" s="51" t="n">
        <f aca="false">IF(E2=1,6,IF(MOD(E2,2)=0,6+E2/2,6-(E2-1)/2))</f>
        <v>6</v>
      </c>
      <c r="H2" s="1" t="n">
        <v>1</v>
      </c>
      <c r="I2" s="50" t="n">
        <f aca="false">INDEX($D$2:$D$13, MATCH(H2,$F$2:$F$13,0))</f>
        <v>0.934397285067085</v>
      </c>
      <c r="J2" s="50" t="n">
        <f aca="false">I2*60/Inputs!$B$8</f>
        <v>11.212767420805</v>
      </c>
      <c r="K2" s="51" t="n">
        <f aca="false">H2*Inputs!$B$8</f>
        <v>5</v>
      </c>
    </row>
    <row r="3" customFormat="false" ht="12.75" hidden="false" customHeight="true" outlineLevel="0" collapsed="false">
      <c r="A3" s="1" t="n">
        <v>10</v>
      </c>
      <c r="B3" s="48" t="n">
        <f aca="false">Inputs!$B$5/((A3+Inputs!$B$6)^Inputs!$B$7)</f>
        <v>152.276275070585</v>
      </c>
      <c r="C3" s="49" t="n">
        <f aca="false">B3*A3/60</f>
        <v>25.3793791784308</v>
      </c>
      <c r="D3" s="50" t="n">
        <f aca="false">C3-IF(A3=5,0,C2)</f>
        <v>9.44125955887028</v>
      </c>
      <c r="E3" s="51" t="n">
        <f aca="false">RANK(D3,$D$2:$D$13,0)</f>
        <v>2</v>
      </c>
      <c r="F3" s="51" t="n">
        <f aca="false">IF(E3=1,6,IF(MOD(E3,2)=0,6+E3/2,6-(E3-1)/2))</f>
        <v>7</v>
      </c>
      <c r="H3" s="1" t="n">
        <v>2</v>
      </c>
      <c r="I3" s="50" t="n">
        <f aca="false">INDEX($D$2:$D$13, MATCH(H3,$F$2:$F$13,0))</f>
        <v>1.3175559362161</v>
      </c>
      <c r="J3" s="50" t="n">
        <f aca="false">I3*60/Inputs!$B$8</f>
        <v>15.8106712345931</v>
      </c>
      <c r="K3" s="51" t="n">
        <f aca="false">H3*Inputs!$B$8</f>
        <v>10</v>
      </c>
    </row>
    <row r="4" customFormat="false" ht="12.75" hidden="false" customHeight="true" outlineLevel="0" collapsed="false">
      <c r="A4" s="1" t="n">
        <v>15</v>
      </c>
      <c r="B4" s="48" t="n">
        <f aca="false">Inputs!$B$5/((A4+Inputs!$B$6)^Inputs!$B$7)</f>
        <v>126.382883105948</v>
      </c>
      <c r="C4" s="49" t="n">
        <f aca="false">B4*A4/60</f>
        <v>31.595720776487</v>
      </c>
      <c r="D4" s="50" t="n">
        <f aca="false">C4-IF(A4=5,0,C3)</f>
        <v>6.2163415980562</v>
      </c>
      <c r="E4" s="51" t="n">
        <f aca="false">RANK(D4,$D$2:$D$13,0)</f>
        <v>3</v>
      </c>
      <c r="F4" s="51" t="n">
        <f aca="false">IF(E4=1,6,IF(MOD(E4,2)=0,6+E4/2,6-(E4-1)/2))</f>
        <v>5</v>
      </c>
      <c r="H4" s="1" t="n">
        <v>3</v>
      </c>
      <c r="I4" s="50" t="n">
        <f aca="false">INDEX($D$2:$D$13, MATCH(H4,$F$2:$F$13,0))</f>
        <v>1.97673208805059</v>
      </c>
      <c r="J4" s="50" t="n">
        <f aca="false">I4*60/Inputs!$B$8</f>
        <v>23.7207850566071</v>
      </c>
      <c r="K4" s="51" t="n">
        <f aca="false">H4*Inputs!$B$8</f>
        <v>15</v>
      </c>
    </row>
    <row r="5" customFormat="false" ht="12.75" hidden="false" customHeight="true" outlineLevel="0" collapsed="false">
      <c r="A5" s="1" t="n">
        <v>20</v>
      </c>
      <c r="B5" s="48" t="n">
        <f aca="false">Inputs!$B$5/((A5+Inputs!$B$6)^Inputs!$B$7)</f>
        <v>107.947448467043</v>
      </c>
      <c r="C5" s="49" t="n">
        <f aca="false">B5*A5/60</f>
        <v>35.9824828223478</v>
      </c>
      <c r="D5" s="50" t="n">
        <f aca="false">C5-IF(A5=5,0,C4)</f>
        <v>4.38676204586083</v>
      </c>
      <c r="E5" s="51" t="n">
        <f aca="false">RANK(D5,$D$2:$D$13,0)</f>
        <v>4</v>
      </c>
      <c r="F5" s="51" t="n">
        <f aca="false">IF(E5=1,6,IF(MOD(E5,2)=0,6+E5/2,6-(E5-1)/2))</f>
        <v>8</v>
      </c>
      <c r="H5" s="1" t="n">
        <v>4</v>
      </c>
      <c r="I5" s="50" t="n">
        <f aca="false">INDEX($D$2:$D$13, MATCH(H5,$F$2:$F$13,0))</f>
        <v>3.25129378506948</v>
      </c>
      <c r="J5" s="50" t="n">
        <f aca="false">I5*60/Inputs!$B$8</f>
        <v>39.0155254208337</v>
      </c>
      <c r="K5" s="51" t="n">
        <f aca="false">H5*Inputs!$B$8</f>
        <v>20</v>
      </c>
    </row>
    <row r="6" customFormat="false" ht="12.75" hidden="false" customHeight="true" outlineLevel="0" collapsed="false">
      <c r="A6" s="1" t="n">
        <v>25</v>
      </c>
      <c r="B6" s="48" t="n">
        <f aca="false">Inputs!$B$5/((A6+Inputs!$B$6)^Inputs!$B$7)</f>
        <v>94.1610638578015</v>
      </c>
      <c r="C6" s="49" t="n">
        <f aca="false">B6*A6/60</f>
        <v>39.2337766074173</v>
      </c>
      <c r="D6" s="50" t="n">
        <f aca="false">C6-IF(A6=5,0,C5)</f>
        <v>3.25129378506948</v>
      </c>
      <c r="E6" s="51" t="n">
        <f aca="false">RANK(D6,$D$2:$D$13,0)</f>
        <v>5</v>
      </c>
      <c r="F6" s="51" t="n">
        <f aca="false">IF(E6=1,6,IF(MOD(E6,2)=0,6+E6/2,6-(E6-1)/2))</f>
        <v>4</v>
      </c>
      <c r="H6" s="1" t="n">
        <v>5</v>
      </c>
      <c r="I6" s="50" t="n">
        <f aca="false">INDEX($D$2:$D$13, MATCH(H6,$F$2:$F$13,0))</f>
        <v>6.2163415980562</v>
      </c>
      <c r="J6" s="50" t="n">
        <f aca="false">I6*60/Inputs!$B$8</f>
        <v>74.5960991766744</v>
      </c>
      <c r="K6" s="51" t="n">
        <f aca="false">H6*Inputs!$B$8</f>
        <v>25</v>
      </c>
    </row>
    <row r="7" customFormat="false" ht="12.75" hidden="false" customHeight="true" outlineLevel="0" collapsed="false">
      <c r="A7" s="1" t="n">
        <v>30</v>
      </c>
      <c r="B7" s="48" t="n">
        <f aca="false">Inputs!$B$5/((A7+Inputs!$B$6)^Inputs!$B$7)</f>
        <v>83.4665285145915</v>
      </c>
      <c r="C7" s="49" t="n">
        <f aca="false">B7*A7/60</f>
        <v>41.7332642572958</v>
      </c>
      <c r="D7" s="50" t="n">
        <f aca="false">C7-IF(A7=5,0,C6)</f>
        <v>2.49948764987849</v>
      </c>
      <c r="E7" s="51" t="n">
        <f aca="false">RANK(D7,$D$2:$D$13,0)</f>
        <v>6</v>
      </c>
      <c r="F7" s="51" t="n">
        <f aca="false">IF(E7=1,6,IF(MOD(E7,2)=0,6+E7/2,6-(E7-1)/2))</f>
        <v>9</v>
      </c>
      <c r="H7" s="1" t="n">
        <v>6</v>
      </c>
      <c r="I7" s="50" t="n">
        <f aca="false">INDEX($D$2:$D$13, MATCH(H7,$F$2:$F$13,0))</f>
        <v>15.9381196195605</v>
      </c>
      <c r="J7" s="50" t="n">
        <f aca="false">I7*60/Inputs!$B$8</f>
        <v>191.257435434726</v>
      </c>
      <c r="K7" s="51" t="n">
        <f aca="false">H7*Inputs!$B$8</f>
        <v>30</v>
      </c>
    </row>
    <row r="8" customFormat="false" ht="12.75" hidden="false" customHeight="true" outlineLevel="0" collapsed="false">
      <c r="A8" s="1" t="n">
        <v>35</v>
      </c>
      <c r="B8" s="48" t="n">
        <f aca="false">Inputs!$B$5/((A8+Inputs!$B$6)^Inputs!$B$7)</f>
        <v>74.9314223063081</v>
      </c>
      <c r="C8" s="49" t="n">
        <f aca="false">B8*A8/60</f>
        <v>43.7099963453464</v>
      </c>
      <c r="D8" s="50" t="n">
        <f aca="false">C8-IF(A8=5,0,C7)</f>
        <v>1.97673208805059</v>
      </c>
      <c r="E8" s="51" t="n">
        <f aca="false">RANK(D8,$D$2:$D$13,0)</f>
        <v>7</v>
      </c>
      <c r="F8" s="51" t="n">
        <f aca="false">IF(E8=1,6,IF(MOD(E8,2)=0,6+E8/2,6-(E8-1)/2))</f>
        <v>3</v>
      </c>
      <c r="H8" s="1" t="n">
        <v>7</v>
      </c>
      <c r="I8" s="50" t="n">
        <f aca="false">INDEX($D$2:$D$13, MATCH(H8,$F$2:$F$13,0))</f>
        <v>9.44125955887028</v>
      </c>
      <c r="J8" s="50" t="n">
        <f aca="false">I8*60/Inputs!$B$8</f>
        <v>113.295114706443</v>
      </c>
      <c r="K8" s="51" t="n">
        <f aca="false">H8*Inputs!$B$8</f>
        <v>35</v>
      </c>
    </row>
    <row r="9" customFormat="false" ht="12.75" hidden="false" customHeight="true" outlineLevel="0" collapsed="false">
      <c r="A9" s="1" t="n">
        <v>40</v>
      </c>
      <c r="B9" s="48" t="n">
        <f aca="false">Inputs!$B$5/((A9+Inputs!$B$6)^Inputs!$B$7)</f>
        <v>67.9635322934236</v>
      </c>
      <c r="C9" s="49" t="n">
        <f aca="false">B9*A9/60</f>
        <v>45.3090215289491</v>
      </c>
      <c r="D9" s="50" t="n">
        <f aca="false">C9-IF(A9=5,0,C8)</f>
        <v>1.59902518360273</v>
      </c>
      <c r="E9" s="51" t="n">
        <f aca="false">RANK(D9,$D$2:$D$13,0)</f>
        <v>8</v>
      </c>
      <c r="F9" s="51" t="n">
        <f aca="false">IF(E9=1,6,IF(MOD(E9,2)=0,6+E9/2,6-(E9-1)/2))</f>
        <v>10</v>
      </c>
      <c r="H9" s="1" t="n">
        <v>8</v>
      </c>
      <c r="I9" s="50" t="n">
        <f aca="false">INDEX($D$2:$D$13, MATCH(H9,$F$2:$F$13,0))</f>
        <v>4.38676204586083</v>
      </c>
      <c r="J9" s="50" t="n">
        <f aca="false">I9*60/Inputs!$B$8</f>
        <v>52.64114455033</v>
      </c>
      <c r="K9" s="51" t="n">
        <f aca="false">H9*Inputs!$B$8</f>
        <v>40</v>
      </c>
    </row>
    <row r="10" customFormat="false" ht="12.75" hidden="false" customHeight="true" outlineLevel="0" collapsed="false">
      <c r="A10" s="1" t="n">
        <v>45</v>
      </c>
      <c r="B10" s="48" t="n">
        <f aca="false">Inputs!$B$5/((A10+Inputs!$B$6)^Inputs!$B$7)</f>
        <v>62.1687699535536</v>
      </c>
      <c r="C10" s="49" t="n">
        <f aca="false">B10*A10/60</f>
        <v>46.6265774651652</v>
      </c>
      <c r="D10" s="50" t="n">
        <f aca="false">C10-IF(A10=5,0,C9)</f>
        <v>1.3175559362161</v>
      </c>
      <c r="E10" s="51" t="n">
        <f aca="false">RANK(D10,$D$2:$D$13,0)</f>
        <v>9</v>
      </c>
      <c r="F10" s="51" t="n">
        <f aca="false">IF(E10=1,6,IF(MOD(E10,2)=0,6+E10/2,6-(E10-1)/2))</f>
        <v>2</v>
      </c>
      <c r="H10" s="1" t="n">
        <v>9</v>
      </c>
      <c r="I10" s="50" t="n">
        <f aca="false">INDEX($D$2:$D$13, MATCH(H10,$F$2:$F$13,0))</f>
        <v>2.49948764987849</v>
      </c>
      <c r="J10" s="50" t="n">
        <f aca="false">I10*60/Inputs!$B$8</f>
        <v>29.9938517985419</v>
      </c>
      <c r="K10" s="51" t="n">
        <f aca="false">H10*Inputs!$B$8</f>
        <v>45</v>
      </c>
    </row>
    <row r="11" customFormat="false" ht="12.75" hidden="false" customHeight="true" outlineLevel="0" collapsed="false">
      <c r="A11" s="1" t="n">
        <v>50</v>
      </c>
      <c r="B11" s="48" t="n">
        <f aca="false">Inputs!$B$5/((A11+Inputs!$B$6)^Inputs!$B$7)</f>
        <v>57.2747745926216</v>
      </c>
      <c r="C11" s="49" t="n">
        <f aca="false">B11*A11/60</f>
        <v>47.7289788271846</v>
      </c>
      <c r="D11" s="50" t="n">
        <f aca="false">C11-IF(A11=5,0,C10)</f>
        <v>1.10240136201943</v>
      </c>
      <c r="E11" s="51" t="n">
        <f aca="false">RANK(D11,$D$2:$D$13,0)</f>
        <v>10</v>
      </c>
      <c r="F11" s="51" t="n">
        <f aca="false">IF(E11=1,6,IF(MOD(E11,2)=0,6+E11/2,6-(E11-1)/2))</f>
        <v>11</v>
      </c>
      <c r="H11" s="1" t="n">
        <v>10</v>
      </c>
      <c r="I11" s="50" t="n">
        <f aca="false">INDEX($D$2:$D$13, MATCH(H11,$F$2:$F$13,0))</f>
        <v>1.59902518360273</v>
      </c>
      <c r="J11" s="50" t="n">
        <f aca="false">I11*60/Inputs!$B$8</f>
        <v>19.1883022032328</v>
      </c>
      <c r="K11" s="51" t="n">
        <f aca="false">H11*Inputs!$B$8</f>
        <v>50</v>
      </c>
    </row>
    <row r="12" customFormat="false" ht="12.75" hidden="false" customHeight="true" outlineLevel="0" collapsed="false">
      <c r="A12" s="1" t="n">
        <v>55</v>
      </c>
      <c r="B12" s="48" t="n">
        <f aca="false">Inputs!$B$5/((A12+Inputs!$B$6)^Inputs!$B$7)</f>
        <v>53.0873193951837</v>
      </c>
      <c r="C12" s="49" t="n">
        <f aca="false">B12*A12/60</f>
        <v>48.6633761122517</v>
      </c>
      <c r="D12" s="50" t="n">
        <f aca="false">C12-IF(A12=5,0,C11)</f>
        <v>0.934397285067085</v>
      </c>
      <c r="E12" s="51" t="n">
        <f aca="false">RANK(D12,$D$2:$D$13,0)</f>
        <v>11</v>
      </c>
      <c r="F12" s="51" t="n">
        <f aca="false">IF(E12=1,6,IF(MOD(E12,2)=0,6+E12/2,6-(E12-1)/2))</f>
        <v>1</v>
      </c>
      <c r="H12" s="1" t="n">
        <v>11</v>
      </c>
      <c r="I12" s="50" t="n">
        <f aca="false">INDEX($D$2:$D$13, MATCH(H12,$F$2:$F$13,0))</f>
        <v>1.10240136201943</v>
      </c>
      <c r="J12" s="50" t="n">
        <f aca="false">I12*60/Inputs!$B$8</f>
        <v>13.2288163442331</v>
      </c>
      <c r="K12" s="51" t="n">
        <f aca="false">H12*Inputs!$B$8</f>
        <v>55</v>
      </c>
    </row>
    <row r="13" customFormat="false" ht="12.75" hidden="false" customHeight="true" outlineLevel="0" collapsed="false">
      <c r="A13" s="1" t="n">
        <v>60</v>
      </c>
      <c r="B13" s="48" t="n">
        <f aca="false">Inputs!$B$5/((A13+Inputs!$B$6)^Inputs!$B$7)</f>
        <v>49.4641906713912</v>
      </c>
      <c r="C13" s="49" t="n">
        <f aca="false">B13*A13/60</f>
        <v>49.4641906713912</v>
      </c>
      <c r="D13" s="50" t="n">
        <f aca="false">C13-IF(A13=5,0,C12)</f>
        <v>0.800814559139539</v>
      </c>
      <c r="E13" s="51" t="n">
        <f aca="false">RANK(D13,$D$2:$D$13,0)</f>
        <v>12</v>
      </c>
      <c r="F13" s="51" t="n">
        <f aca="false">IF(E13=1,6,IF(MOD(E13,2)=0,6+E13/2,6-(E13-1)/2))</f>
        <v>12</v>
      </c>
      <c r="H13" s="1" t="n">
        <v>12</v>
      </c>
      <c r="I13" s="50" t="n">
        <f aca="false">INDEX($D$2:$D$13, MATCH(H13,$F$2:$F$13,0))</f>
        <v>0.800814559139539</v>
      </c>
      <c r="J13" s="50" t="n">
        <f aca="false">I13*60/Inputs!$B$8</f>
        <v>9.60977470967447</v>
      </c>
      <c r="K13" s="51" t="n">
        <f aca="false">H13*Inputs!$B$8</f>
        <v>60</v>
      </c>
    </row>
    <row r="14" customFormat="false" ht="12.75" hidden="false" customHeight="true" outlineLevel="0" collapsed="false">
      <c r="C14" s="48"/>
      <c r="D14" s="48"/>
      <c r="E14" s="48"/>
      <c r="F14" s="48"/>
    </row>
    <row r="15" customFormat="false" ht="12.75" hidden="false" customHeight="true" outlineLevel="0" collapsed="false">
      <c r="C15" s="48"/>
      <c r="D15" s="48"/>
      <c r="E15" s="48"/>
      <c r="F15" s="4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H1" activeCellId="0" sqref="H1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2" min="2" style="1" width="12.29"/>
    <col collapsed="false" customWidth="true" hidden="false" outlineLevel="0" max="4" min="4" style="1" width="15.85"/>
    <col collapsed="false" customWidth="true" hidden="false" outlineLevel="0" max="6" min="6" style="1" width="12.67"/>
    <col collapsed="false" customWidth="true" hidden="false" outlineLevel="0" max="7" min="7" style="1" width="14.27"/>
    <col collapsed="false" customWidth="true" hidden="false" outlineLevel="0" max="8" min="8" style="1" width="12.65"/>
    <col collapsed="false" customWidth="true" hidden="false" outlineLevel="0" max="9" min="9" style="1" width="14.04"/>
    <col collapsed="false" customWidth="true" hidden="false" outlineLevel="0" max="10" min="10" style="1" width="13.1"/>
    <col collapsed="false" customWidth="true" hidden="false" outlineLevel="0" max="14" min="14" style="1" width="8.22"/>
    <col collapsed="false" customWidth="true" hidden="false" outlineLevel="0" max="15" min="15" style="1" width="9.48"/>
  </cols>
  <sheetData>
    <row r="1" customFormat="false" ht="26.6" hidden="false" customHeight="true" outlineLevel="0" collapsed="false">
      <c r="A1" s="1" t="s">
        <v>70</v>
      </c>
      <c r="B1" s="1" t="s">
        <v>71</v>
      </c>
      <c r="C1" s="51" t="s">
        <v>72</v>
      </c>
      <c r="D1" s="52" t="s">
        <v>73</v>
      </c>
      <c r="E1" s="53" t="s">
        <v>74</v>
      </c>
      <c r="F1" s="52" t="s">
        <v>75</v>
      </c>
      <c r="G1" s="54" t="s">
        <v>76</v>
      </c>
      <c r="H1" s="52" t="s">
        <v>77</v>
      </c>
      <c r="I1" s="54" t="s">
        <v>78</v>
      </c>
      <c r="J1" s="52" t="s">
        <v>79</v>
      </c>
      <c r="K1" s="52" t="s">
        <v>80</v>
      </c>
      <c r="L1" s="52" t="s">
        <v>81</v>
      </c>
      <c r="M1" s="52" t="s">
        <v>82</v>
      </c>
      <c r="N1" s="52" t="s">
        <v>83</v>
      </c>
      <c r="O1" s="55" t="s">
        <v>84</v>
      </c>
      <c r="P1" s="52"/>
      <c r="V1" s="1" t="s">
        <v>85</v>
      </c>
    </row>
    <row r="2" customFormat="false" ht="12.75" hidden="false" customHeight="true" outlineLevel="0" collapsed="false">
      <c r="A2" s="1" t="n">
        <v>0</v>
      </c>
      <c r="B2" s="56" t="n">
        <f aca="false">IF(A2=0,0,_xlfn.XLOOKUP(A2,IDF_Hyetograph!$K$2:$K$13,IDF_Hyetograph!$J$2:$J$13,0))</f>
        <v>0</v>
      </c>
      <c r="C2" s="51" t="n">
        <f aca="false">0.00278*Inputs!$B$4*Inputs!$B$3*B2</f>
        <v>0</v>
      </c>
      <c r="D2" s="1" t="n">
        <v>0</v>
      </c>
      <c r="E2" s="57" t="n">
        <f aca="false">Inputs!$B$31</f>
        <v>102.7</v>
      </c>
      <c r="F2" s="58" t="n">
        <v>0</v>
      </c>
      <c r="G2" s="58" t="n">
        <v>0</v>
      </c>
      <c r="H2" s="51" t="n">
        <v>0</v>
      </c>
      <c r="I2" s="51" t="n">
        <v>0</v>
      </c>
      <c r="J2" s="57" t="n">
        <f aca="false">Inputs!$B$40</f>
        <v>101.5</v>
      </c>
      <c r="K2" s="59" t="n">
        <v>0</v>
      </c>
      <c r="L2" s="60" t="n">
        <v>0</v>
      </c>
      <c r="M2" s="60" t="n">
        <v>0</v>
      </c>
      <c r="N2" s="55" t="n">
        <v>0</v>
      </c>
      <c r="O2" s="1" t="n">
        <v>0</v>
      </c>
      <c r="U2" s="1" t="n">
        <v>1</v>
      </c>
      <c r="V2" s="50" t="n">
        <f aca="false">INDEX(IDF_Hyetograph!$D$2:$D$13, MATCH(U2, IDF_Hyetograph!$F$2:$F$13, 0))</f>
        <v>0.934397285067085</v>
      </c>
    </row>
    <row r="3" customFormat="false" ht="12.75" hidden="false" customHeight="true" outlineLevel="0" collapsed="false">
      <c r="A3" s="51" t="n">
        <f aca="false">A2 + Inputs!$B$8</f>
        <v>5</v>
      </c>
      <c r="B3" s="61" t="n">
        <f aca="false">IF(A3=0,0,_xlfn.IFNA(_xlfn.XLOOKUP(A3,IDF_Hyetograph!$K$2:$K$13,IDF_Hyetograph!$J$2:$J$13),0))</f>
        <v>11.212767420805</v>
      </c>
      <c r="C3" s="62" t="n">
        <f aca="false">0.00278*Inputs!$B$4*Inputs!$B$3*B3</f>
        <v>0.00972550595010942</v>
      </c>
      <c r="D3" s="62" t="n">
        <f aca="false">MIN( Inputs!$B$30, MAX(0, D2 + (C3-F3-G3)*Inputs!$B$9) )</f>
        <v>2.91765178503283</v>
      </c>
      <c r="E3" s="62" t="n">
        <f aca="false">Inputs!$B$31 + D3/Inputs!$B$33</f>
        <v>102.727707196808</v>
      </c>
      <c r="F3" s="62" t="n">
        <f aca="false">MIN( D2/Inputs!$B$9, Inputs!$B$35*Inputs!$B$36*SQRT(2*Inputs!$B$37*MAX(E2-J2,0)) )</f>
        <v>0</v>
      </c>
      <c r="G3" s="62" t="n">
        <f aca="false">MAX(0,(D2 + (C3-F3)*Inputs!$B$9 - Inputs!$B$30)/Inputs!$B$9)</f>
        <v>0</v>
      </c>
      <c r="H3" s="63" t="n">
        <f aca="false">MAX(0,MIN(Inputs!$B$44,H2+(F3-L3-I3)*Inputs!$B$9))</f>
        <v>0</v>
      </c>
      <c r="I3" s="63" t="n">
        <f aca="false">MAX(0,(H2+(F3-L3)*Inputs!$B$9-Inputs!$B$44)/Inputs!$B$9)</f>
        <v>0</v>
      </c>
      <c r="J3" s="63" t="n">
        <f aca="false">Inputs!$B$40 + H3/Inputs!$B$42</f>
        <v>101.5</v>
      </c>
      <c r="K3" s="55" t="n">
        <f aca="false">IF(J2&gt;=Inputs!$B$47,2, IF(J2&gt;=Inputs!$B$45,1, IF(J2&lt;=Inputs!$B$46,0,K2)))</f>
        <v>0</v>
      </c>
      <c r="L3" s="62" t="n">
        <f aca="false">K3*Inputs!$B$49</f>
        <v>0</v>
      </c>
      <c r="M3" s="62" t="n">
        <f aca="false">MIN( L3, H2/Inputs!$B$9 + F3 )</f>
        <v>0</v>
      </c>
      <c r="N3" s="55" t="n">
        <f aca="false">IF(AND(K3&gt;0,K2=0),1,0)</f>
        <v>0</v>
      </c>
      <c r="O3" s="55" t="n">
        <f aca="false">O2 + N3</f>
        <v>0</v>
      </c>
      <c r="U3" s="1" t="n">
        <v>2</v>
      </c>
      <c r="V3" s="50" t="n">
        <f aca="false">INDEX(IDF_Hyetograph!$D$2:$D$13, MATCH(U3, IDF_Hyetograph!$F$2:$F$13, 0))</f>
        <v>1.3175559362161</v>
      </c>
    </row>
    <row r="4" customFormat="false" ht="12.75" hidden="false" customHeight="true" outlineLevel="0" collapsed="false">
      <c r="A4" s="51" t="n">
        <f aca="false">A3+Inputs!$B$8</f>
        <v>10</v>
      </c>
      <c r="B4" s="61" t="n">
        <f aca="false">IF(A4=0,0,_xlfn.IFNA(_xlfn.XLOOKUP(A4,IDF_Hyetograph!$K$2:$K$13,IDF_Hyetograph!$J$2:$J$13),0))</f>
        <v>15.8106712345931</v>
      </c>
      <c r="C4" s="62" t="n">
        <f aca="false">0.00278*Inputs!$B$4*Inputs!$B$3*B4</f>
        <v>0.0137135438020367</v>
      </c>
      <c r="D4" s="62" t="n">
        <f aca="false">MIN( Inputs!$B$30, MAX(0, D3 + (C4-F4-G4)*Inputs!$B$9) )</f>
        <v>4.114063140611</v>
      </c>
      <c r="E4" s="62" t="n">
        <f aca="false">Inputs!$B$31 + D4/Inputs!$B$33</f>
        <v>102.739068801048</v>
      </c>
      <c r="F4" s="62" t="n">
        <f aca="false">MIN( D3/Inputs!$B$9, Inputs!$B$35*Inputs!$B$36*SQRT(2*Inputs!$B$37*MAX(E3-J3,0)) )</f>
        <v>0.00972550595010942</v>
      </c>
      <c r="G4" s="62" t="n">
        <f aca="false">MAX(0,(D3 + (C4-F4)*Inputs!$B$9 - Inputs!$B$30)/Inputs!$B$9)</f>
        <v>0</v>
      </c>
      <c r="H4" s="63" t="n">
        <f aca="false">MAX(0,MIN(Inputs!$B$44,H3+(F4-L4-I4)*Inputs!$B$9))</f>
        <v>2.91765178503283</v>
      </c>
      <c r="I4" s="63" t="n">
        <f aca="false">MAX(0,(H3+(F4-L4)*Inputs!$B$9-Inputs!$B$44)/Inputs!$B$9)</f>
        <v>0</v>
      </c>
      <c r="J4" s="63" t="n">
        <f aca="false">Inputs!$B$40 + H4/Inputs!$B$42</f>
        <v>101.97383541205</v>
      </c>
      <c r="K4" s="55" t="n">
        <f aca="false">IF(J3&gt;=Inputs!$B$47,2, IF(J3&gt;=Inputs!$B$45,1, IF(J3&lt;=Inputs!$B$46,0,K3)))</f>
        <v>0</v>
      </c>
      <c r="L4" s="62" t="n">
        <f aca="false">K4*Inputs!$B$49</f>
        <v>0</v>
      </c>
      <c r="M4" s="62" t="n">
        <f aca="false">MIN( L4, H3/Inputs!$B$9 + F4 )</f>
        <v>0</v>
      </c>
      <c r="N4" s="55" t="n">
        <f aca="false">IF(AND(K4&gt;0,K3=0),1,0)</f>
        <v>0</v>
      </c>
      <c r="O4" s="55" t="n">
        <f aca="false">O3 + N4</f>
        <v>0</v>
      </c>
      <c r="U4" s="1" t="n">
        <v>3</v>
      </c>
      <c r="V4" s="50" t="n">
        <f aca="false">INDEX(IDF_Hyetograph!$D$2:$D$13, MATCH(U4, IDF_Hyetograph!$F$2:$F$13, 0))</f>
        <v>1.97673208805059</v>
      </c>
    </row>
    <row r="5" customFormat="false" ht="12.75" hidden="false" customHeight="true" outlineLevel="0" collapsed="false">
      <c r="A5" s="51" t="n">
        <f aca="false">A4+Inputs!$B$8</f>
        <v>15</v>
      </c>
      <c r="B5" s="61" t="n">
        <f aca="false">IF(A5=0,0,_xlfn.IFNA(_xlfn.XLOOKUP(A5,IDF_Hyetograph!$K$2:$K$13,IDF_Hyetograph!$J$2:$J$13),0))</f>
        <v>23.7207850566071</v>
      </c>
      <c r="C5" s="62" t="n">
        <f aca="false">0.00278*Inputs!$B$4*Inputs!$B$3*B5</f>
        <v>0.0205744601266987</v>
      </c>
      <c r="D5" s="62" t="n">
        <f aca="false">MIN( Inputs!$B$30, MAX(0, D4 + (C5-F5-G5)*Inputs!$B$9) )</f>
        <v>6.17233803800962</v>
      </c>
      <c r="E5" s="62" t="n">
        <f aca="false">Inputs!$B$31 + D5/Inputs!$B$33</f>
        <v>102.758615008706</v>
      </c>
      <c r="F5" s="62" t="n">
        <f aca="false">MIN( D4/Inputs!$B$9, Inputs!$B$35*Inputs!$B$36*SQRT(2*Inputs!$B$37*MAX(E4-J4,0)) )</f>
        <v>0.0137135438020367</v>
      </c>
      <c r="G5" s="62" t="n">
        <f aca="false">MAX(0,(D4 + (C5-F5)*Inputs!$B$9 - Inputs!$B$30)/Inputs!$B$9)</f>
        <v>0</v>
      </c>
      <c r="H5" s="63" t="n">
        <f aca="false">MAX(0,MIN(Inputs!$B$44,H4+(F5-L5-I5)*Inputs!$B$9))</f>
        <v>7.03171492564383</v>
      </c>
      <c r="I5" s="63" t="n">
        <f aca="false">MAX(0,(H4+(F5-L5)*Inputs!$B$9-Inputs!$B$44)/Inputs!$B$9)</f>
        <v>0</v>
      </c>
      <c r="J5" s="63" t="n">
        <f aca="false">Inputs!$B$40 + H5/Inputs!$B$42</f>
        <v>102.641971621254</v>
      </c>
      <c r="K5" s="55" t="n">
        <f aca="false">IF(J4&gt;=Inputs!$B$47,2, IF(J4&gt;=Inputs!$B$45,1, IF(J4&lt;=Inputs!$B$46,0,K4)))</f>
        <v>0</v>
      </c>
      <c r="L5" s="62" t="n">
        <f aca="false">K5*Inputs!$B$49</f>
        <v>0</v>
      </c>
      <c r="M5" s="62" t="n">
        <f aca="false">MIN( L5, H4/Inputs!$B$9 + F5 )</f>
        <v>0</v>
      </c>
      <c r="N5" s="55" t="n">
        <f aca="false">IF(AND(K5&gt;0,K4=0),1,0)</f>
        <v>0</v>
      </c>
      <c r="O5" s="55" t="n">
        <f aca="false">O4 + N5</f>
        <v>0</v>
      </c>
      <c r="U5" s="1" t="n">
        <v>4</v>
      </c>
      <c r="V5" s="50" t="n">
        <f aca="false">INDEX(IDF_Hyetograph!$D$2:$D$13, MATCH(U5, IDF_Hyetograph!$F$2:$F$13, 0))</f>
        <v>3.25129378506948</v>
      </c>
    </row>
    <row r="6" customFormat="false" ht="12.75" hidden="false" customHeight="true" outlineLevel="0" collapsed="false">
      <c r="A6" s="51" t="n">
        <f aca="false">A5+Inputs!$B$8</f>
        <v>20</v>
      </c>
      <c r="B6" s="61" t="n">
        <f aca="false">IF(A6=0,0,_xlfn.IFNA(_xlfn.XLOOKUP(A6,IDF_Hyetograph!$K$2:$K$13,IDF_Hyetograph!$J$2:$J$13),0))</f>
        <v>39.0155254208337</v>
      </c>
      <c r="C6" s="62" t="n">
        <f aca="false">0.00278*Inputs!$B$4*Inputs!$B$3*B6</f>
        <v>0.0338405061290143</v>
      </c>
      <c r="D6" s="62" t="n">
        <f aca="false">MIN( Inputs!$B$30, MAX(0, D5 + (C6-F6-G6)*Inputs!$B$9) )</f>
        <v>13.6504507401631</v>
      </c>
      <c r="E6" s="62" t="n">
        <f aca="false">Inputs!$B$31 + D6/Inputs!$B$33</f>
        <v>102.829630179691</v>
      </c>
      <c r="F6" s="62" t="n">
        <f aca="false">MIN( D5/Inputs!$B$9, Inputs!$B$35*Inputs!$B$36*SQRT(2*Inputs!$B$37*MAX(E5-J5,0)) )</f>
        <v>0.00891346378850286</v>
      </c>
      <c r="G6" s="62" t="n">
        <f aca="false">MAX(0,(D5 + (C6-F6)*Inputs!$B$9 - Inputs!$B$30)/Inputs!$B$9)</f>
        <v>0</v>
      </c>
      <c r="H6" s="63" t="n">
        <f aca="false">MAX(0,MIN(Inputs!$B$44,H5+(F6-L6-I6)*Inputs!$B$9))</f>
        <v>0</v>
      </c>
      <c r="I6" s="63" t="n">
        <f aca="false">MAX(0,(H5+(F6-L6)*Inputs!$B$9-Inputs!$B$44)/Inputs!$B$9)</f>
        <v>0</v>
      </c>
      <c r="J6" s="63" t="n">
        <f aca="false">Inputs!$B$40 + H6/Inputs!$B$42</f>
        <v>101.5</v>
      </c>
      <c r="K6" s="55" t="n">
        <f aca="false">IF(J5&gt;=Inputs!$B$47,2, IF(J5&gt;=Inputs!$B$45,1, IF(J5&lt;=Inputs!$B$46,0,K5)))</f>
        <v>1</v>
      </c>
      <c r="L6" s="62" t="n">
        <f aca="false">K6*Inputs!$B$49</f>
        <v>0.039</v>
      </c>
      <c r="M6" s="62" t="n">
        <f aca="false">MIN( L6, H5/Inputs!$B$9 + F6 )</f>
        <v>0.032352513540649</v>
      </c>
      <c r="N6" s="55" t="n">
        <f aca="false">IF(AND(K6&gt;0,K5=0),1,0)</f>
        <v>1</v>
      </c>
      <c r="O6" s="55" t="n">
        <f aca="false">O5 + N6</f>
        <v>1</v>
      </c>
      <c r="U6" s="1" t="n">
        <v>5</v>
      </c>
      <c r="V6" s="50" t="n">
        <f aca="false">INDEX(IDF_Hyetograph!$D$2:$D$13, MATCH(U6, IDF_Hyetograph!$F$2:$F$13, 0))</f>
        <v>6.2163415980562</v>
      </c>
    </row>
    <row r="7" customFormat="false" ht="12.75" hidden="false" customHeight="true" outlineLevel="0" collapsed="false">
      <c r="A7" s="51" t="n">
        <f aca="false">A6+Inputs!$B$8</f>
        <v>25</v>
      </c>
      <c r="B7" s="61" t="n">
        <f aca="false">IF(A7=0,0,_xlfn.IFNA(_xlfn.XLOOKUP(A7,IDF_Hyetograph!$K$2:$K$13,IDF_Hyetograph!$J$2:$J$13),0))</f>
        <v>74.5960991766744</v>
      </c>
      <c r="C7" s="62" t="n">
        <f aca="false">0.00278*Inputs!$B$4*Inputs!$B$3*B7</f>
        <v>0.0647016725818803</v>
      </c>
      <c r="D7" s="62" t="n">
        <f aca="false">MIN( Inputs!$B$30, MAX(0, D6 + (C7-F7-G7)*Inputs!$B$9) )</f>
        <v>24.0327118090678</v>
      </c>
      <c r="E7" s="62" t="n">
        <f aca="false">Inputs!$B$31 + D7/Inputs!$B$33</f>
        <v>102.928224313583</v>
      </c>
      <c r="F7" s="62" t="n">
        <f aca="false">MIN( D6/Inputs!$B$9, Inputs!$B$35*Inputs!$B$36*SQRT(2*Inputs!$B$37*MAX(E6-J6,0)) )</f>
        <v>0.0300941356855311</v>
      </c>
      <c r="G7" s="62" t="n">
        <f aca="false">MAX(0,(D6 + (C7-F7)*Inputs!$B$9 - Inputs!$B$30)/Inputs!$B$9)</f>
        <v>0</v>
      </c>
      <c r="H7" s="63" t="n">
        <f aca="false">MAX(0,MIN(Inputs!$B$44,H6+(F7-L7-I7)*Inputs!$B$9))</f>
        <v>9.02824070565934</v>
      </c>
      <c r="I7" s="63" t="n">
        <f aca="false">MAX(0,(H6+(F7-L7)*Inputs!$B$9-Inputs!$B$44)/Inputs!$B$9)</f>
        <v>0</v>
      </c>
      <c r="J7" s="63" t="n">
        <f aca="false">Inputs!$B$40 + H7/Inputs!$B$42</f>
        <v>102.966213403805</v>
      </c>
      <c r="K7" s="55" t="n">
        <f aca="false">IF(J6&gt;=Inputs!$B$47,2, IF(J6&gt;=Inputs!$B$45,1, IF(J6&lt;=Inputs!$B$46,0,K6)))</f>
        <v>0</v>
      </c>
      <c r="L7" s="62" t="n">
        <f aca="false">K7*Inputs!$B$49</f>
        <v>0</v>
      </c>
      <c r="M7" s="62" t="n">
        <f aca="false">MIN( L7, H6/Inputs!$B$9 + F7 )</f>
        <v>0</v>
      </c>
      <c r="N7" s="55" t="n">
        <f aca="false">IF(AND(K7&gt;0,K6=0),1,0)</f>
        <v>0</v>
      </c>
      <c r="O7" s="55" t="n">
        <f aca="false">O6 + N7</f>
        <v>1</v>
      </c>
      <c r="U7" s="1" t="n">
        <v>6</v>
      </c>
      <c r="V7" s="50" t="n">
        <f aca="false">INDEX(IDF_Hyetograph!$D$2:$D$13, MATCH(U7, IDF_Hyetograph!$F$2:$F$13, 0))</f>
        <v>15.9381196195605</v>
      </c>
    </row>
    <row r="8" customFormat="false" ht="12.75" hidden="false" customHeight="true" outlineLevel="0" collapsed="false">
      <c r="A8" s="51" t="n">
        <f aca="false">A7+Inputs!$B$8</f>
        <v>30</v>
      </c>
      <c r="B8" s="61" t="n">
        <f aca="false">IF(A8=0,0,_xlfn.IFNA(_xlfn.XLOOKUP(A8,IDF_Hyetograph!$K$2:$K$13,IDF_Hyetograph!$J$2:$J$13),0))</f>
        <v>191.257435434726</v>
      </c>
      <c r="C8" s="62" t="n">
        <f aca="false">0.00278*Inputs!$B$4*Inputs!$B$3*B8</f>
        <v>0.165889049198664</v>
      </c>
      <c r="D8" s="62" t="n">
        <f aca="false">MIN( Inputs!$B$30, MAX(0, D7 + (C8-F8-G8)*Inputs!$B$9) )</f>
        <v>73.799426568667</v>
      </c>
      <c r="E8" s="62" t="n">
        <f aca="false">Inputs!$B$31 + D8/Inputs!$B$33</f>
        <v>103.400829086839</v>
      </c>
      <c r="F8" s="62" t="n">
        <f aca="false">MIN( D7/Inputs!$B$9, Inputs!$B$35*Inputs!$B$36*SQRT(2*Inputs!$B$37*MAX(E7-J7,0)) )</f>
        <v>0</v>
      </c>
      <c r="G8" s="62" t="n">
        <f aca="false">MAX(0,(D7 + (C8-F8)*Inputs!$B$9 - Inputs!$B$30)/Inputs!$B$9)</f>
        <v>0</v>
      </c>
      <c r="H8" s="63" t="n">
        <f aca="false">MAX(0,MIN(Inputs!$B$44,H7+(F8-L8-I8)*Inputs!$B$9))</f>
        <v>0</v>
      </c>
      <c r="I8" s="63" t="n">
        <f aca="false">MAX(0,(H7+(F8-L8)*Inputs!$B$9-Inputs!$B$44)/Inputs!$B$9)</f>
        <v>0</v>
      </c>
      <c r="J8" s="63" t="n">
        <f aca="false">Inputs!$B$40 + H8/Inputs!$B$42</f>
        <v>101.5</v>
      </c>
      <c r="K8" s="55" t="n">
        <f aca="false">IF(J7&gt;=Inputs!$B$47,2, IF(J7&gt;=Inputs!$B$45,1, IF(J7&lt;=Inputs!$B$46,0,K7)))</f>
        <v>1</v>
      </c>
      <c r="L8" s="62" t="n">
        <f aca="false">K8*Inputs!$B$49</f>
        <v>0.039</v>
      </c>
      <c r="M8" s="62" t="n">
        <f aca="false">MIN( L8, H7/Inputs!$B$9 + F8 )</f>
        <v>0.0300941356855311</v>
      </c>
      <c r="N8" s="55" t="n">
        <f aca="false">IF(AND(K8&gt;0,K7=0),1,0)</f>
        <v>1</v>
      </c>
      <c r="O8" s="55" t="n">
        <f aca="false">O7 + N8</f>
        <v>2</v>
      </c>
      <c r="U8" s="1" t="n">
        <v>7</v>
      </c>
      <c r="V8" s="50" t="n">
        <f aca="false">INDEX(IDF_Hyetograph!$D$2:$D$13, MATCH(U8, IDF_Hyetograph!$F$2:$F$13, 0))</f>
        <v>9.44125955887028</v>
      </c>
    </row>
    <row r="9" customFormat="false" ht="12.75" hidden="false" customHeight="true" outlineLevel="0" collapsed="false">
      <c r="A9" s="51" t="n">
        <f aca="false">A8+Inputs!$B$8</f>
        <v>35</v>
      </c>
      <c r="B9" s="61" t="n">
        <f aca="false">IF(A9=0,0,_xlfn.IFNA(_xlfn.XLOOKUP(A9,IDF_Hyetograph!$K$2:$K$13,IDF_Hyetograph!$J$2:$J$13),0))</f>
        <v>113.295114706443</v>
      </c>
      <c r="C9" s="62" t="n">
        <f aca="false">0.00278*Inputs!$B$4*Inputs!$B$3*B9</f>
        <v>0.0982676506917804</v>
      </c>
      <c r="D9" s="62" t="n">
        <f aca="false">MIN( Inputs!$B$30, MAX(0, D8 + (C9-F9-G9)*Inputs!$B$9) )</f>
        <v>92.4850552133864</v>
      </c>
      <c r="E9" s="62" t="n">
        <f aca="false">Inputs!$B$31 + D9/Inputs!$B$33</f>
        <v>103.578275344472</v>
      </c>
      <c r="F9" s="62" t="n">
        <f aca="false">MIN( D8/Inputs!$B$9, Inputs!$B$35*Inputs!$B$36*SQRT(2*Inputs!$B$37*MAX(E8-J8,0)) )</f>
        <v>0.0359822218760492</v>
      </c>
      <c r="G9" s="62" t="n">
        <f aca="false">MAX(0,(D8 + (C9-F9)*Inputs!$B$9 - Inputs!$B$30)/Inputs!$B$9)</f>
        <v>0</v>
      </c>
      <c r="H9" s="63" t="n">
        <f aca="false">MAX(0,MIN(Inputs!$B$44,H8+(F9-L9-I9)*Inputs!$B$9))</f>
        <v>10.7946665628147</v>
      </c>
      <c r="I9" s="63" t="n">
        <f aca="false">MAX(0,(H8+(F9-L9)*Inputs!$B$9-Inputs!$B$44)/Inputs!$B$9)</f>
        <v>0</v>
      </c>
      <c r="J9" s="63" t="n">
        <f aca="false">Inputs!$B$40 + H9/Inputs!$B$42</f>
        <v>103.253086267858</v>
      </c>
      <c r="K9" s="55" t="n">
        <f aca="false">IF(J8&gt;=Inputs!$B$47,2, IF(J8&gt;=Inputs!$B$45,1, IF(J8&lt;=Inputs!$B$46,0,K8)))</f>
        <v>0</v>
      </c>
      <c r="L9" s="62" t="n">
        <f aca="false">K9*Inputs!$B$49</f>
        <v>0</v>
      </c>
      <c r="M9" s="62" t="n">
        <f aca="false">MIN( L9, H8/Inputs!$B$9 + F9 )</f>
        <v>0</v>
      </c>
      <c r="N9" s="55" t="n">
        <f aca="false">IF(AND(K9&gt;0,K8=0),1,0)</f>
        <v>0</v>
      </c>
      <c r="O9" s="55" t="n">
        <f aca="false">O8 + N9</f>
        <v>2</v>
      </c>
      <c r="U9" s="1" t="n">
        <v>8</v>
      </c>
      <c r="V9" s="50" t="n">
        <f aca="false">INDEX(IDF_Hyetograph!$D$2:$D$13, MATCH(U9, IDF_Hyetograph!$F$2:$F$13, 0))</f>
        <v>4.38676204586083</v>
      </c>
    </row>
    <row r="10" customFormat="false" ht="12.75" hidden="false" customHeight="true" outlineLevel="0" collapsed="false">
      <c r="A10" s="51" t="n">
        <f aca="false">A9+Inputs!$B$8</f>
        <v>40</v>
      </c>
      <c r="B10" s="61" t="n">
        <f aca="false">IF(A10=0,0,_xlfn.IFNA(_xlfn.XLOOKUP(A10,IDF_Hyetograph!$K$2:$K$13,IDF_Hyetograph!$J$2:$J$13),0))</f>
        <v>52.64114455033</v>
      </c>
      <c r="C10" s="62" t="n">
        <f aca="false">0.00278*Inputs!$B$4*Inputs!$B$3*B10</f>
        <v>0.0456588231371742</v>
      </c>
      <c r="D10" s="62" t="n">
        <f aca="false">MIN( Inputs!$B$30, MAX(0, D9 + (C10-F10-G10)*Inputs!$B$9) )</f>
        <v>101.717864503479</v>
      </c>
      <c r="E10" s="62" t="n">
        <f aca="false">Inputs!$B$31 + D10/Inputs!$B$33</f>
        <v>103.665953821184</v>
      </c>
      <c r="F10" s="62" t="n">
        <f aca="false">MIN( D9/Inputs!$B$9, Inputs!$B$35*Inputs!$B$36*SQRT(2*Inputs!$B$37*MAX(E9-J9,0)) )</f>
        <v>0.014882792170199</v>
      </c>
      <c r="G10" s="62" t="n">
        <f aca="false">MAX(0,(D9 + (C10-F10)*Inputs!$B$9 - Inputs!$B$30)/Inputs!$B$9)</f>
        <v>0</v>
      </c>
      <c r="H10" s="63" t="n">
        <f aca="false">MAX(0,MIN(Inputs!$B$44,H9+(F10-L10-I10)*Inputs!$B$9))</f>
        <v>3.55950421387446</v>
      </c>
      <c r="I10" s="63" t="n">
        <f aca="false">MAX(0,(H9+(F10-L10)*Inputs!$B$9-Inputs!$B$44)/Inputs!$B$9)</f>
        <v>0</v>
      </c>
      <c r="J10" s="63" t="n">
        <f aca="false">Inputs!$B$40 + H10/Inputs!$B$42</f>
        <v>102.078074174076</v>
      </c>
      <c r="K10" s="55" t="n">
        <f aca="false">IF(J9&gt;=Inputs!$B$47,2, IF(J9&gt;=Inputs!$B$45,1, IF(J9&lt;=Inputs!$B$46,0,K9)))</f>
        <v>1</v>
      </c>
      <c r="L10" s="62" t="n">
        <f aca="false">K10*Inputs!$B$49</f>
        <v>0.039</v>
      </c>
      <c r="M10" s="62" t="n">
        <f aca="false">MIN( L10, H9/Inputs!$B$9 + F10 )</f>
        <v>0.039</v>
      </c>
      <c r="N10" s="55" t="n">
        <f aca="false">IF(AND(K10&gt;0,K9=0),1,0)</f>
        <v>1</v>
      </c>
      <c r="O10" s="55" t="n">
        <f aca="false">O9 + N10</f>
        <v>3</v>
      </c>
      <c r="U10" s="1" t="n">
        <v>9</v>
      </c>
      <c r="V10" s="50" t="n">
        <f aca="false">INDEX(IDF_Hyetograph!$D$2:$D$13, MATCH(U10, IDF_Hyetograph!$F$2:$F$13, 0))</f>
        <v>2.49948764987849</v>
      </c>
    </row>
    <row r="11" customFormat="false" ht="12.75" hidden="false" customHeight="true" outlineLevel="0" collapsed="false">
      <c r="A11" s="51" t="n">
        <f aca="false">A10+Inputs!$B$8</f>
        <v>45</v>
      </c>
      <c r="B11" s="61" t="n">
        <f aca="false">IF(A11=0,0,_xlfn.IFNA(_xlfn.XLOOKUP(A11,IDF_Hyetograph!$K$2:$K$13,IDF_Hyetograph!$J$2:$J$13),0))</f>
        <v>29.9938517985419</v>
      </c>
      <c r="C11" s="62" t="n">
        <f aca="false">0.00278*Inputs!$B$4*Inputs!$B$3*B11</f>
        <v>0.0260154672959833</v>
      </c>
      <c r="D11" s="62" t="n">
        <f aca="false">MIN( Inputs!$B$30, MAX(0, D10 + (C11-F11-G11)*Inputs!$B$9) )</f>
        <v>99.6563825325866</v>
      </c>
      <c r="E11" s="62" t="n">
        <f aca="false">Inputs!$B$31 + D11/Inputs!$B$33</f>
        <v>103.646377157863</v>
      </c>
      <c r="F11" s="62" t="n">
        <f aca="false">MIN( D10/Inputs!$B$9, Inputs!$B$35*Inputs!$B$36*SQRT(2*Inputs!$B$37*MAX(E10-J10,0)) )</f>
        <v>0.0328870738656242</v>
      </c>
      <c r="G11" s="62" t="n">
        <f aca="false">MAX(0,(D10 + (C11-F11)*Inputs!$B$9 - Inputs!$B$30)/Inputs!$B$9)</f>
        <v>0</v>
      </c>
      <c r="H11" s="63" t="n">
        <f aca="false">MAX(0,MIN(Inputs!$B$44,H10+(F11-L11-I11)*Inputs!$B$9))</f>
        <v>1.72562637356173</v>
      </c>
      <c r="I11" s="63" t="n">
        <f aca="false">MAX(0,(H10+(F11-L11)*Inputs!$B$9-Inputs!$B$44)/Inputs!$B$9)</f>
        <v>0</v>
      </c>
      <c r="J11" s="63" t="n">
        <f aca="false">Inputs!$B$40 + H11/Inputs!$B$42</f>
        <v>101.78024690539</v>
      </c>
      <c r="K11" s="55" t="n">
        <f aca="false">IF(J10&gt;=Inputs!$B$47,2, IF(J10&gt;=Inputs!$B$45,1, IF(J10&lt;=Inputs!$B$46,0,K10)))</f>
        <v>1</v>
      </c>
      <c r="L11" s="62" t="n">
        <f aca="false">K11*Inputs!$B$49</f>
        <v>0.039</v>
      </c>
      <c r="M11" s="62" t="n">
        <f aca="false">MIN( L11, H10/Inputs!$B$9 + F11 )</f>
        <v>0.039</v>
      </c>
      <c r="N11" s="55" t="n">
        <f aca="false">IF(AND(K11&gt;0,K10=0),1,0)</f>
        <v>0</v>
      </c>
      <c r="O11" s="55" t="n">
        <f aca="false">O10 + N11</f>
        <v>3</v>
      </c>
      <c r="U11" s="1" t="n">
        <v>10</v>
      </c>
      <c r="V11" s="50" t="n">
        <f aca="false">INDEX(IDF_Hyetograph!$D$2:$D$13, MATCH(U11, IDF_Hyetograph!$F$2:$F$13, 0))</f>
        <v>1.59902518360273</v>
      </c>
    </row>
    <row r="12" customFormat="false" ht="12.75" hidden="false" customHeight="true" outlineLevel="0" collapsed="false">
      <c r="A12" s="51" t="n">
        <f aca="false">A11+Inputs!$B$8</f>
        <v>50</v>
      </c>
      <c r="B12" s="61" t="n">
        <f aca="false">IF(A12=0,0,_xlfn.IFNA(_xlfn.XLOOKUP(A12,IDF_Hyetograph!$K$2:$K$13,IDF_Hyetograph!$J$2:$J$13),0))</f>
        <v>19.1883022032328</v>
      </c>
      <c r="C12" s="62" t="n">
        <f aca="false">0.00278*Inputs!$B$4*Inputs!$B$3*B12</f>
        <v>0.016643165798996</v>
      </c>
      <c r="D12" s="62" t="n">
        <f aca="false">MIN( Inputs!$B$30, MAX(0, D11 + (C12-F12-G12)*Inputs!$B$9) )</f>
        <v>93.9536455444783</v>
      </c>
      <c r="E12" s="62" t="n">
        <f aca="false">Inputs!$B$31 + D12/Inputs!$B$33</f>
        <v>103.592221669919</v>
      </c>
      <c r="F12" s="62" t="n">
        <f aca="false">MIN( D11/Inputs!$B$9, Inputs!$B$35*Inputs!$B$36*SQRT(2*Inputs!$B$37*MAX(E11-J11,0)) )</f>
        <v>0.0356522890926905</v>
      </c>
      <c r="G12" s="62" t="n">
        <f aca="false">MAX(0,(D11 + (C12-F12)*Inputs!$B$9 - Inputs!$B$30)/Inputs!$B$9)</f>
        <v>0</v>
      </c>
      <c r="H12" s="63" t="n">
        <f aca="false">MAX(0,MIN(Inputs!$B$44,H11+(F12-L12-I12)*Inputs!$B$9))</f>
        <v>12.4213131013689</v>
      </c>
      <c r="I12" s="63" t="n">
        <f aca="false">MAX(0,(H11+(F12-L12)*Inputs!$B$9-Inputs!$B$44)/Inputs!$B$9)</f>
        <v>0</v>
      </c>
      <c r="J12" s="63" t="n">
        <f aca="false">Inputs!$B$40 + H12/Inputs!$B$42</f>
        <v>103.517258550791</v>
      </c>
      <c r="K12" s="55" t="n">
        <f aca="false">IF(J11&gt;=Inputs!$B$47,2, IF(J11&gt;=Inputs!$B$45,1, IF(J11&lt;=Inputs!$B$46,0,K11)))</f>
        <v>0</v>
      </c>
      <c r="L12" s="62" t="n">
        <f aca="false">K12*Inputs!$B$49</f>
        <v>0</v>
      </c>
      <c r="M12" s="62" t="n">
        <f aca="false">MIN( L12, H11/Inputs!$B$9 + F12 )</f>
        <v>0</v>
      </c>
      <c r="N12" s="55" t="n">
        <f aca="false">IF(AND(K12&gt;0,K11=0),1,0)</f>
        <v>0</v>
      </c>
      <c r="O12" s="55" t="n">
        <f aca="false">O11 + N12</f>
        <v>3</v>
      </c>
      <c r="U12" s="1" t="n">
        <v>11</v>
      </c>
      <c r="V12" s="50" t="n">
        <f aca="false">INDEX(IDF_Hyetograph!$D$2:$D$13, MATCH(U12, IDF_Hyetograph!$F$2:$F$13, 0))</f>
        <v>1.10240136201943</v>
      </c>
    </row>
    <row r="13" customFormat="false" ht="12.75" hidden="false" customHeight="true" outlineLevel="0" collapsed="false">
      <c r="A13" s="51" t="n">
        <f aca="false">A12+Inputs!$B$8</f>
        <v>55</v>
      </c>
      <c r="B13" s="61" t="n">
        <f aca="false">IF(A13=0,0,_xlfn.IFNA(_xlfn.XLOOKUP(A13,IDF_Hyetograph!$K$2:$K$13,IDF_Hyetograph!$J$2:$J$13),0))</f>
        <v>13.2288163442331</v>
      </c>
      <c r="C13" s="62" t="n">
        <f aca="false">0.00278*Inputs!$B$4*Inputs!$B$3*B13</f>
        <v>0.011474146144334</v>
      </c>
      <c r="D13" s="62" t="n">
        <f aca="false">MIN( Inputs!$B$30, MAX(0, D12 + (C13-F13-G13)*Inputs!$B$9) )</f>
        <v>95.2522016595452</v>
      </c>
      <c r="E13" s="62" t="n">
        <f aca="false">Inputs!$B$31 + D13/Inputs!$B$33</f>
        <v>103.604553281947</v>
      </c>
      <c r="F13" s="62" t="n">
        <f aca="false">MIN( D12/Inputs!$B$9, Inputs!$B$35*Inputs!$B$36*SQRT(2*Inputs!$B$37*MAX(E12-J12,0)) )</f>
        <v>0.00714562576077764</v>
      </c>
      <c r="G13" s="62" t="n">
        <f aca="false">MAX(0,(D12 + (C13-F13)*Inputs!$B$9 - Inputs!$B$30)/Inputs!$B$9)</f>
        <v>0</v>
      </c>
      <c r="H13" s="63" t="n">
        <f aca="false">MAX(0,MIN(Inputs!$B$44,H12+(F13-L13-I13)*Inputs!$B$9))</f>
        <v>2.86500082960218</v>
      </c>
      <c r="I13" s="63" t="n">
        <f aca="false">MAX(0,(H12+(F13-L13)*Inputs!$B$9-Inputs!$B$44)/Inputs!$B$9)</f>
        <v>0</v>
      </c>
      <c r="J13" s="63" t="n">
        <f aca="false">Inputs!$B$40 + H13/Inputs!$B$42</f>
        <v>101.965284738769</v>
      </c>
      <c r="K13" s="55" t="n">
        <f aca="false">IF(J12&gt;=Inputs!$B$47,2, IF(J12&gt;=Inputs!$B$45,1, IF(J12&lt;=Inputs!$B$46,0,K12)))</f>
        <v>1</v>
      </c>
      <c r="L13" s="62" t="n">
        <f aca="false">K13*Inputs!$B$49</f>
        <v>0.039</v>
      </c>
      <c r="M13" s="62" t="n">
        <f aca="false">MIN( L13, H12/Inputs!$B$9 + F13 )</f>
        <v>0.039</v>
      </c>
      <c r="N13" s="55" t="n">
        <f aca="false">IF(AND(K13&gt;0,K12=0),1,0)</f>
        <v>1</v>
      </c>
      <c r="O13" s="55" t="n">
        <f aca="false">O12 + N13</f>
        <v>4</v>
      </c>
      <c r="U13" s="1" t="n">
        <v>12</v>
      </c>
      <c r="V13" s="50" t="n">
        <f aca="false">INDEX(IDF_Hyetograph!$D$2:$D$13, MATCH(U13, IDF_Hyetograph!$F$2:$F$13, 0))</f>
        <v>0.800814559139539</v>
      </c>
    </row>
    <row r="14" customFormat="false" ht="12.75" hidden="false" customHeight="true" outlineLevel="0" collapsed="false">
      <c r="A14" s="51" t="n">
        <f aca="false">A13+Inputs!$B$8</f>
        <v>60</v>
      </c>
      <c r="B14" s="61" t="n">
        <f aca="false">IF(A14=0,0,_xlfn.IFNA(_xlfn.XLOOKUP(A14,IDF_Hyetograph!$K$2:$K$13,IDF_Hyetograph!$J$2:$J$13),0))</f>
        <v>9.60977470967447</v>
      </c>
      <c r="C14" s="62" t="n">
        <f aca="false">0.00278*Inputs!$B$4*Inputs!$B$3*B14</f>
        <v>0.00833513419218325</v>
      </c>
      <c r="D14" s="62" t="n">
        <f aca="false">MIN( Inputs!$B$30, MAX(0, D13 + (C14-F14-G14)*Inputs!$B$9) )</f>
        <v>87.7282412301406</v>
      </c>
      <c r="E14" s="62" t="n">
        <f aca="false">Inputs!$B$31 + D14/Inputs!$B$33</f>
        <v>103.533102722473</v>
      </c>
      <c r="F14" s="62" t="n">
        <f aca="false">MIN( D13/Inputs!$B$9, Inputs!$B$35*Inputs!$B$36*SQRT(2*Inputs!$B$37*MAX(E13-J13,0)) )</f>
        <v>0.0334150022901987</v>
      </c>
      <c r="G14" s="62" t="n">
        <f aca="false">MAX(0,(D13 + (C14-F14)*Inputs!$B$9 - Inputs!$B$30)/Inputs!$B$9)</f>
        <v>0</v>
      </c>
      <c r="H14" s="63" t="n">
        <f aca="false">MAX(0,MIN(Inputs!$B$44,H13+(F14-L14-I14)*Inputs!$B$9))</f>
        <v>12.8895015166618</v>
      </c>
      <c r="I14" s="63" t="n">
        <f aca="false">MAX(0,(H13+(F14-L14)*Inputs!$B$9-Inputs!$B$44)/Inputs!$B$9)</f>
        <v>0</v>
      </c>
      <c r="J14" s="63" t="n">
        <f aca="false">Inputs!$B$40 + H14/Inputs!$B$42</f>
        <v>103.593293755477</v>
      </c>
      <c r="K14" s="55" t="n">
        <f aca="false">IF(J13&gt;=Inputs!$B$47,2, IF(J13&gt;=Inputs!$B$45,1, IF(J13&lt;=Inputs!$B$46,0,K13)))</f>
        <v>0</v>
      </c>
      <c r="L14" s="62" t="n">
        <f aca="false">K14*Inputs!$B$49</f>
        <v>0</v>
      </c>
      <c r="M14" s="62" t="n">
        <f aca="false">MIN( L14, H13/Inputs!$B$9 + F14 )</f>
        <v>0</v>
      </c>
      <c r="N14" s="55" t="n">
        <f aca="false">IF(AND(K14&gt;0,K13=0),1,0)</f>
        <v>0</v>
      </c>
      <c r="O14" s="55" t="n">
        <f aca="false">O13 + N14</f>
        <v>4</v>
      </c>
    </row>
    <row r="15" customFormat="false" ht="12.75" hidden="false" customHeight="true" outlineLevel="0" collapsed="false">
      <c r="H15" s="40"/>
      <c r="K15" s="51"/>
    </row>
    <row r="16" customFormat="false" ht="12.75" hidden="false" customHeight="true" outlineLevel="0" collapsed="false">
      <c r="H16" s="64"/>
      <c r="N16" s="1" t="s">
        <v>86</v>
      </c>
      <c r="O16" s="1" t="n">
        <f aca="false">O14</f>
        <v>4</v>
      </c>
    </row>
    <row r="17" customFormat="false" ht="12.75" hidden="false" customHeight="true" outlineLevel="0" collapsed="false">
      <c r="C17" s="65" t="n">
        <f aca="false">SUM(C2:C14)*Inputs!$B9</f>
        <v>154.451737514656</v>
      </c>
      <c r="D17" s="66" t="n">
        <f aca="false">D14</f>
        <v>87.7282412301406</v>
      </c>
      <c r="E17" s="67" t="n">
        <f aca="false">D17+H17-D2-H2</f>
        <v>100.617742746802</v>
      </c>
      <c r="G17" s="68" t="n">
        <f aca="false">SUM(G2:G14)*Inputs!$B9</f>
        <v>0</v>
      </c>
      <c r="H17" s="69" t="n">
        <f aca="false">H14</f>
        <v>12.8895015166618</v>
      </c>
      <c r="I17" s="68" t="n">
        <f aca="false">SUM(I2:I14)*Inputs!$B9</f>
        <v>0</v>
      </c>
      <c r="M17" s="68" t="n">
        <f aca="false">SUM(M2:M14)*Inputs!$B9</f>
        <v>53.833994767854</v>
      </c>
      <c r="N17" s="1" t="s">
        <v>87</v>
      </c>
      <c r="O17" s="70" t="n">
        <f aca="false">(A14-A2)/60</f>
        <v>1</v>
      </c>
    </row>
    <row r="18" customFormat="false" ht="12.75" hidden="false" customHeight="true" outlineLevel="0" collapsed="false">
      <c r="N18" s="1" t="s">
        <v>88</v>
      </c>
      <c r="O18" s="55" t="n">
        <f aca="false">IF(O17=0,"",O16/O17)</f>
        <v>4</v>
      </c>
    </row>
    <row r="19" customFormat="false" ht="12.75" hidden="false" customHeight="true" outlineLevel="0" collapsed="false">
      <c r="B19" s="1" t="s">
        <v>89</v>
      </c>
      <c r="C19" s="40" t="n">
        <f aca="false">C17-G17-I17-M17-E17</f>
        <v>0</v>
      </c>
    </row>
    <row r="20" customFormat="false" ht="12.75" hidden="false" customHeight="true" outlineLevel="0" collapsed="false">
      <c r="H20" s="40"/>
      <c r="I20" s="4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1" min="1" style="1" width="34.13"/>
    <col collapsed="false" customWidth="true" hidden="false" outlineLevel="0" max="5" min="5" style="1" width="20.08"/>
    <col collapsed="false" customWidth="true" hidden="false" outlineLevel="0" max="6" min="6" style="1" width="13.69"/>
    <col collapsed="false" customWidth="true" hidden="false" outlineLevel="0" max="9" min="9" style="1" width="15.85"/>
  </cols>
  <sheetData>
    <row r="1" customFormat="false" ht="31.05" hidden="false" customHeight="true" outlineLevel="0" collapsed="false">
      <c r="A1" s="71" t="s">
        <v>90</v>
      </c>
      <c r="B1" s="71"/>
      <c r="C1" s="71"/>
      <c r="D1" s="71"/>
      <c r="E1" s="71"/>
      <c r="F1" s="71"/>
      <c r="G1" s="71"/>
      <c r="I1" s="55"/>
    </row>
    <row r="2" customFormat="false" ht="20.9" hidden="false" customHeight="true" outlineLevel="0" collapsed="false">
      <c r="A2" s="72" t="s">
        <v>91</v>
      </c>
      <c r="B2" s="72"/>
      <c r="C2" s="72"/>
      <c r="D2" s="72"/>
      <c r="E2" s="72"/>
    </row>
    <row r="3" customFormat="false" ht="24.05" hidden="false" customHeight="false" outlineLevel="0" collapsed="false">
      <c r="A3" s="73" t="s">
        <v>92</v>
      </c>
      <c r="B3" s="74" t="n">
        <f aca="false">MAX(Routing!F2:F100)</f>
        <v>0.0359822218760492</v>
      </c>
    </row>
    <row r="4" customFormat="false" ht="16.45" hidden="false" customHeight="true" outlineLevel="0" collapsed="false">
      <c r="A4" s="73" t="s">
        <v>93</v>
      </c>
      <c r="B4" s="74" t="n">
        <f aca="false">MAX(Routing!C2:C16)</f>
        <v>0.165889049198664</v>
      </c>
    </row>
    <row r="5" customFormat="false" ht="24.05" hidden="false" customHeight="false" outlineLevel="0" collapsed="false">
      <c r="A5" s="73" t="s">
        <v>94</v>
      </c>
      <c r="B5" s="75" t="n">
        <f aca="false">Inputs!$B$12</f>
        <v>103.32</v>
      </c>
    </row>
    <row r="6" customFormat="false" ht="12.75" hidden="false" customHeight="false" outlineLevel="0" collapsed="false">
      <c r="A6" s="76" t="s">
        <v>95</v>
      </c>
      <c r="B6" s="77" t="n">
        <f aca="false">AVERAGE(Inputs!B19,Inputs!B20)</f>
        <v>103.1</v>
      </c>
      <c r="E6" s="78" t="s">
        <v>96</v>
      </c>
      <c r="F6" s="79"/>
      <c r="G6" s="80"/>
    </row>
    <row r="7" customFormat="false" ht="24.05" hidden="false" customHeight="false" outlineLevel="0" collapsed="false">
      <c r="A7" s="73" t="s">
        <v>97</v>
      </c>
      <c r="B7" s="75" t="n">
        <f aca="false">Inputs!$B$15</f>
        <v>31.5</v>
      </c>
      <c r="E7" s="26" t="s">
        <v>98</v>
      </c>
      <c r="F7" s="81" t="n">
        <f aca="false">B16</f>
        <v>0.0395804440636541</v>
      </c>
      <c r="G7" s="81" t="s">
        <v>99</v>
      </c>
    </row>
    <row r="8" customFormat="false" ht="24.05" hidden="false" customHeight="false" outlineLevel="0" collapsed="false">
      <c r="A8" s="73" t="s">
        <v>100</v>
      </c>
      <c r="B8" s="82" t="n">
        <v>0.15</v>
      </c>
      <c r="E8" s="26" t="s">
        <v>101</v>
      </c>
      <c r="F8" s="81" t="n">
        <f aca="false">B17</f>
        <v>0.0395804440636541</v>
      </c>
      <c r="G8" s="81" t="s">
        <v>99</v>
      </c>
    </row>
    <row r="9" customFormat="false" ht="12.75" hidden="false" customHeight="false" outlineLevel="0" collapsed="false">
      <c r="A9" s="73" t="s">
        <v>102</v>
      </c>
      <c r="B9" s="83" t="n">
        <v>120</v>
      </c>
      <c r="E9" s="26" t="s">
        <v>103</v>
      </c>
      <c r="F9" s="81" t="n">
        <f aca="false">B23</f>
        <v>3.66427785647618</v>
      </c>
      <c r="G9" s="81" t="s">
        <v>104</v>
      </c>
    </row>
    <row r="10" customFormat="false" ht="24.05" hidden="false" customHeight="false" outlineLevel="0" collapsed="false">
      <c r="A10" s="73" t="s">
        <v>105</v>
      </c>
      <c r="B10" s="83" t="n">
        <f aca="false">Inputs!B18</f>
        <v>8.65</v>
      </c>
    </row>
    <row r="11" customFormat="false" ht="12.75" hidden="false" customHeight="false" outlineLevel="0" collapsed="false">
      <c r="A11" s="73" t="s">
        <v>106</v>
      </c>
      <c r="B11" s="83" t="n">
        <v>0.72</v>
      </c>
      <c r="E11" s="78" t="s">
        <v>107</v>
      </c>
      <c r="F11" s="79"/>
      <c r="G11" s="80"/>
    </row>
    <row r="12" customFormat="false" ht="12.75" hidden="false" customHeight="false" outlineLevel="0" collapsed="false">
      <c r="A12" s="73" t="s">
        <v>108</v>
      </c>
      <c r="B12" s="83" t="n">
        <v>0.92</v>
      </c>
      <c r="E12" s="26" t="s">
        <v>109</v>
      </c>
      <c r="F12" s="84" t="s">
        <v>110</v>
      </c>
      <c r="G12" s="81"/>
    </row>
    <row r="13" customFormat="false" ht="12.75" hidden="false" customHeight="false" outlineLevel="0" collapsed="false">
      <c r="A13" s="73" t="s">
        <v>111</v>
      </c>
      <c r="B13" s="83" t="n">
        <v>1</v>
      </c>
      <c r="E13" s="26" t="s">
        <v>112</v>
      </c>
      <c r="F13" s="81" t="str">
        <f aca="false">"≥ "&amp;TEXT(B17,"0.000")&amp;" m³/s @ "&amp;TEXT(B23,"0.00")&amp;" m TDH"</f>
        <v>≥ 0.040 m³/s @ 3.66 m TDH</v>
      </c>
      <c r="G13" s="81"/>
    </row>
    <row r="14" customFormat="false" ht="12.75" hidden="false" customHeight="false" outlineLevel="0" collapsed="false">
      <c r="A14" s="73" t="s">
        <v>113</v>
      </c>
      <c r="B14" s="83" t="n">
        <v>1.1</v>
      </c>
      <c r="E14" s="26" t="s">
        <v>114</v>
      </c>
      <c r="F14" s="81" t="s">
        <v>115</v>
      </c>
      <c r="G14" s="81"/>
    </row>
    <row r="15" customFormat="false" ht="12.75" hidden="false" customHeight="true" outlineLevel="0" collapsed="false">
      <c r="A15" s="76"/>
      <c r="B15" s="83"/>
    </row>
    <row r="16" customFormat="false" ht="13.8" hidden="false" customHeight="false" outlineLevel="0" collapsed="false">
      <c r="A16" s="73" t="s">
        <v>116</v>
      </c>
      <c r="B16" s="85" t="n">
        <f aca="false">B3*B14</f>
        <v>0.0395804440636541</v>
      </c>
      <c r="E16" s="78" t="s">
        <v>117</v>
      </c>
      <c r="F16" s="79"/>
      <c r="G16" s="80"/>
    </row>
    <row r="17" customFormat="false" ht="17.75" hidden="false" customHeight="true" outlineLevel="0" collapsed="false">
      <c r="A17" s="86" t="s">
        <v>118</v>
      </c>
      <c r="B17" s="87" t="n">
        <f aca="false">IF(B13=0,"",B16/B13)</f>
        <v>0.0395804440636541</v>
      </c>
      <c r="E17" s="26" t="s">
        <v>119</v>
      </c>
      <c r="F17" s="88" t="n">
        <f aca="false">B31</f>
        <v>4</v>
      </c>
      <c r="G17" s="81"/>
    </row>
    <row r="18" customFormat="false" ht="12.75" hidden="false" customHeight="true" outlineLevel="0" collapsed="false">
      <c r="A18" s="73" t="s">
        <v>120</v>
      </c>
      <c r="B18" s="89"/>
      <c r="E18" s="26" t="s">
        <v>121</v>
      </c>
      <c r="F18" s="90" t="n">
        <f aca="false">B30</f>
        <v>1.55569795809603</v>
      </c>
      <c r="G18" s="81"/>
    </row>
    <row r="19" customFormat="false" ht="24.05" hidden="false" customHeight="false" outlineLevel="0" collapsed="false">
      <c r="A19" s="73" t="s">
        <v>122</v>
      </c>
      <c r="B19" s="91" t="n">
        <f aca="false">MAX(0,B5-B6)</f>
        <v>0.219999999999999</v>
      </c>
      <c r="E19" s="92" t="s">
        <v>123</v>
      </c>
      <c r="F19" s="93" t="str">
        <f aca="false">B37</f>
        <v>OK</v>
      </c>
      <c r="G19" s="81" t="n">
        <f aca="false">Inputs!B19</f>
        <v>103.4</v>
      </c>
    </row>
    <row r="20" customFormat="false" ht="24.05" hidden="false" customHeight="false" outlineLevel="0" collapsed="false">
      <c r="A20" s="73" t="s">
        <v>124</v>
      </c>
      <c r="B20" s="94" t="n">
        <f aca="false">IF(B16&lt;=0,0,4*B16/(PI()*B8^2))</f>
        <v>2.23979495911211</v>
      </c>
      <c r="E20" s="26" t="s">
        <v>125</v>
      </c>
      <c r="F20" s="81"/>
      <c r="G20" s="81"/>
    </row>
    <row r="21" customFormat="false" ht="17.1" hidden="false" customHeight="true" outlineLevel="0" collapsed="false">
      <c r="A21" s="73" t="s">
        <v>126</v>
      </c>
      <c r="B21" s="94" t="n">
        <f aca="false">IF(B16&lt;=0,0,10.67*B7*B16^1.852/(B9^1.852*B8^4.87))</f>
        <v>1.23254010830218</v>
      </c>
      <c r="C21" s="95"/>
    </row>
    <row r="22" customFormat="false" ht="13.8" hidden="false" customHeight="false" outlineLevel="0" collapsed="false">
      <c r="A22" s="73" t="s">
        <v>127</v>
      </c>
      <c r="B22" s="94" t="n">
        <f aca="false">B10*B20^2/(2*9.81)</f>
        <v>2.211737748174</v>
      </c>
    </row>
    <row r="23" customFormat="false" ht="24.05" hidden="false" customHeight="false" outlineLevel="0" collapsed="false">
      <c r="A23" s="73" t="s">
        <v>128</v>
      </c>
      <c r="B23" s="94" t="n">
        <f aca="false">B19+B21+B22</f>
        <v>3.66427785647618</v>
      </c>
    </row>
    <row r="24" customFormat="false" ht="12.75" hidden="false" customHeight="true" outlineLevel="0" collapsed="false">
      <c r="A24" s="73" t="s">
        <v>129</v>
      </c>
      <c r="B24" s="89"/>
    </row>
    <row r="25" customFormat="false" ht="15" hidden="false" customHeight="false" outlineLevel="0" collapsed="false">
      <c r="A25" s="73" t="s">
        <v>130</v>
      </c>
      <c r="B25" s="94" t="n">
        <f aca="false">1000*9.81*B16*B23/1000</f>
        <v>1.42278103582035</v>
      </c>
      <c r="D25" s="96"/>
    </row>
    <row r="26" customFormat="false" ht="24.05" hidden="false" customHeight="false" outlineLevel="0" collapsed="false">
      <c r="A26" s="73" t="s">
        <v>131</v>
      </c>
      <c r="B26" s="97" t="n">
        <f aca="false">IF(B11*B12=0,"",B25/(B11*B12))</f>
        <v>2.14791823040511</v>
      </c>
      <c r="C26" s="51"/>
      <c r="D26" s="51"/>
    </row>
    <row r="27" customFormat="false" ht="24.05" hidden="false" customHeight="false" outlineLevel="0" collapsed="false">
      <c r="A27" s="73" t="s">
        <v>132</v>
      </c>
      <c r="B27" s="97" t="n">
        <f aca="false">IF(B13=0,"",B26/B13)</f>
        <v>2.14791823040511</v>
      </c>
      <c r="D27" s="51"/>
    </row>
    <row r="28" customFormat="false" ht="34.5" hidden="false" customHeight="true" outlineLevel="0" collapsed="false">
      <c r="A28" s="73"/>
      <c r="B28" s="83"/>
      <c r="D28" s="98"/>
      <c r="E28" s="98"/>
    </row>
    <row r="29" customFormat="false" ht="25.5" hidden="false" customHeight="true" outlineLevel="0" collapsed="false">
      <c r="A29" s="73" t="s">
        <v>133</v>
      </c>
      <c r="B29" s="99" t="n">
        <f aca="false">IF(Inputs!$B$19&lt;=Inputs!$B$20,"",Inputs!$B$42*(Inputs!$B$19-Inputs!$B$20))</f>
        <v>3.69451296062165</v>
      </c>
    </row>
    <row r="30" customFormat="false" ht="12.75" hidden="false" customHeight="false" outlineLevel="0" collapsed="false">
      <c r="A30" s="73" t="s">
        <v>134</v>
      </c>
      <c r="B30" s="100" t="n">
        <f aca="false">IF(OR(B17&lt;=0,B29&lt;=0),"",B29/B17/60)</f>
        <v>1.55569795809603</v>
      </c>
    </row>
    <row r="31" customFormat="false" ht="24.05" hidden="false" customHeight="false" outlineLevel="0" collapsed="false">
      <c r="A31" s="73" t="s">
        <v>135</v>
      </c>
      <c r="B31" s="101" t="n">
        <f aca="false">MAX(Routing!$O$2:$O$2000)</f>
        <v>4</v>
      </c>
    </row>
    <row r="32" customFormat="false" ht="25.5" hidden="false" customHeight="true" outlineLevel="0" collapsed="false">
      <c r="A32" s="73" t="s">
        <v>136</v>
      </c>
      <c r="B32" s="101" t="n">
        <f aca="false">(MAX(Routing!$A$2:$A$2000)-MIN(Routing!$A$2:$A$2000))/60</f>
        <v>1</v>
      </c>
      <c r="F32" s="102"/>
      <c r="H32" s="102"/>
      <c r="I32" s="102"/>
    </row>
    <row r="33" customFormat="false" ht="23.25" hidden="false" customHeight="true" outlineLevel="0" collapsed="false">
      <c r="A33" s="73" t="s">
        <v>137</v>
      </c>
      <c r="B33" s="101" t="n">
        <f aca="false">IF(B32=0,"",B31/B32)</f>
        <v>4</v>
      </c>
      <c r="F33" s="52"/>
      <c r="H33" s="103"/>
      <c r="I33" s="103"/>
    </row>
    <row r="34" customFormat="false" ht="18.75" hidden="false" customHeight="true" outlineLevel="0" collapsed="false">
      <c r="A34" s="73" t="s">
        <v>138</v>
      </c>
      <c r="B34" s="104" t="str">
        <f aca="false">IF(B33="","INFO",IF(B33&gt;10,"Too many starts","OK"))</f>
        <v>OK</v>
      </c>
      <c r="F34" s="52"/>
      <c r="H34" s="105"/>
      <c r="I34" s="105"/>
    </row>
    <row r="35" customFormat="false" ht="14.25" hidden="false" customHeight="true" outlineLevel="0" collapsed="false">
      <c r="A35" s="76"/>
      <c r="B35" s="74"/>
      <c r="F35" s="70"/>
      <c r="H35" s="51"/>
    </row>
    <row r="36" customFormat="false" ht="10.1" hidden="false" customHeight="true" outlineLevel="0" collapsed="false">
      <c r="A36" s="76"/>
      <c r="B36" s="83"/>
      <c r="F36" s="51"/>
      <c r="H36" s="106"/>
      <c r="I36" s="106"/>
      <c r="J36" s="106"/>
    </row>
    <row r="37" customFormat="false" ht="12" hidden="false" customHeight="true" outlineLevel="0" collapsed="false">
      <c r="A37" s="76" t="s">
        <v>139</v>
      </c>
      <c r="B37" s="104" t="str">
        <f aca="false">IF(Inputs!$B$19&lt;=Inputs!$B$20,"ERROR: ON level must be &gt; OFF level","OK")</f>
        <v>OK</v>
      </c>
      <c r="F37" s="52"/>
      <c r="H37" s="106"/>
      <c r="I37" s="106"/>
      <c r="J37" s="106"/>
    </row>
    <row r="38" customFormat="false" ht="18" hidden="false" customHeight="true" outlineLevel="0" collapsed="false">
      <c r="F38" s="107"/>
      <c r="H38" s="51"/>
    </row>
    <row r="39" customFormat="false" ht="27" hidden="false" customHeight="true" outlineLevel="0" collapsed="false">
      <c r="E39" s="57"/>
      <c r="F39" s="108"/>
      <c r="G39" s="108"/>
      <c r="H39" s="106"/>
      <c r="I39" s="106"/>
      <c r="J39" s="106"/>
    </row>
    <row r="40" customFormat="false" ht="12.75" hidden="false" customHeight="false" outlineLevel="0" collapsed="false">
      <c r="C40" s="57"/>
      <c r="D40" s="70"/>
    </row>
    <row r="41" customFormat="false" ht="40.5" hidden="false" customHeight="true" outlineLevel="0" collapsed="false">
      <c r="H41" s="109"/>
      <c r="I41" s="109"/>
    </row>
    <row r="42" customFormat="false" ht="19.5" hidden="false" customHeight="true" outlineLevel="0" collapsed="false">
      <c r="H42" s="106"/>
      <c r="I42" s="106"/>
      <c r="J42" s="106"/>
    </row>
    <row r="43" customFormat="false" ht="24.75" hidden="false" customHeight="true" outlineLevel="0" collapsed="false">
      <c r="H43" s="110"/>
      <c r="I43" s="110"/>
    </row>
    <row r="44" customFormat="false" ht="36" hidden="false" customHeight="true" outlineLevel="0" collapsed="false">
      <c r="H44" s="106"/>
      <c r="I44" s="106"/>
    </row>
    <row r="45" customFormat="false" ht="26.25" hidden="false" customHeight="true" outlineLevel="0" collapsed="false">
      <c r="H45" s="106"/>
      <c r="I45" s="106"/>
    </row>
    <row r="46" customFormat="false" ht="24.75" hidden="false" customHeight="true" outlineLevel="0" collapsed="false">
      <c r="H46" s="106"/>
      <c r="I46" s="106"/>
      <c r="J46" s="106"/>
    </row>
    <row r="47" customFormat="false" ht="30" hidden="false" customHeight="true" outlineLevel="0" collapsed="false">
      <c r="H47" s="106"/>
      <c r="I47" s="106"/>
      <c r="J47" s="106"/>
    </row>
  </sheetData>
  <mergeCells count="16">
    <mergeCell ref="A1:G1"/>
    <mergeCell ref="A2:E2"/>
    <mergeCell ref="D28:E28"/>
    <mergeCell ref="H33:I33"/>
    <mergeCell ref="H34:I34"/>
    <mergeCell ref="H36:J36"/>
    <mergeCell ref="H37:J37"/>
    <mergeCell ref="F39:G39"/>
    <mergeCell ref="H39:J39"/>
    <mergeCell ref="H41:I41"/>
    <mergeCell ref="H42:J42"/>
    <mergeCell ref="H43:I43"/>
    <mergeCell ref="H44:I44"/>
    <mergeCell ref="H45:I45"/>
    <mergeCell ref="H46:J46"/>
    <mergeCell ref="H47:J4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39"/>
  <sheetViews>
    <sheetView showFormulas="false" showGridLines="true" showRowColHeaders="true" showZeros="true" rightToLeft="false" tabSelected="false" showOutlineSymbols="true" defaultGridColor="true" view="normal" topLeftCell="A19" colorId="64" zoomScale="95" zoomScaleNormal="95" zoomScalePageLayoutView="100" workbookViewId="0">
      <selection pane="topLeft" activeCell="B41" activeCellId="0" sqref="B41"/>
    </sheetView>
  </sheetViews>
  <sheetFormatPr defaultColWidth="11.53515625" defaultRowHeight="12.8" customHeight="true" zeroHeight="false" outlineLevelRow="0" outlineLevelCol="0"/>
  <sheetData>
    <row r="2" customFormat="false" ht="12.8" hidden="false" customHeight="false" outlineLevel="0" collapsed="false">
      <c r="B2" s="1" t="s">
        <v>140</v>
      </c>
    </row>
    <row r="3" customFormat="false" ht="15" hidden="false" customHeight="true" outlineLevel="0" collapsed="false">
      <c r="B3" s="111" t="s">
        <v>141</v>
      </c>
      <c r="C3" s="111"/>
      <c r="D3" s="111"/>
    </row>
    <row r="4" customFormat="false" ht="12.8" hidden="false" customHeight="false" outlineLevel="0" collapsed="false">
      <c r="B4" s="1" t="s">
        <v>142</v>
      </c>
    </row>
    <row r="5" customFormat="false" ht="28.1" hidden="false" customHeight="true" outlineLevel="0" collapsed="false">
      <c r="B5" s="111" t="s">
        <v>143</v>
      </c>
      <c r="C5" s="111"/>
      <c r="D5" s="111"/>
    </row>
    <row r="6" customFormat="false" ht="23.05" hidden="false" customHeight="true" outlineLevel="0" collapsed="false">
      <c r="B6" s="112" t="s">
        <v>144</v>
      </c>
      <c r="C6" s="112"/>
      <c r="D6" s="112"/>
    </row>
    <row r="7" customFormat="false" ht="23.05" hidden="false" customHeight="true" outlineLevel="0" collapsed="false">
      <c r="B7" s="112" t="s">
        <v>145</v>
      </c>
      <c r="C7" s="112"/>
      <c r="D7" s="112"/>
    </row>
    <row r="8" customFormat="false" ht="23.05" hidden="false" customHeight="true" outlineLevel="0" collapsed="false">
      <c r="B8" s="112" t="s">
        <v>146</v>
      </c>
      <c r="C8" s="112"/>
      <c r="D8" s="112"/>
    </row>
    <row r="9" customFormat="false" ht="28.1" hidden="false" customHeight="true" outlineLevel="0" collapsed="false">
      <c r="B9" s="113" t="s">
        <v>147</v>
      </c>
      <c r="C9" s="113"/>
      <c r="D9" s="113"/>
    </row>
    <row r="10" customFormat="false" ht="12.8" hidden="false" customHeight="true" outlineLevel="0" collapsed="false">
      <c r="B10" s="112" t="s">
        <v>148</v>
      </c>
      <c r="C10" s="112"/>
      <c r="D10" s="112"/>
    </row>
    <row r="11" customFormat="false" ht="23.05" hidden="false" customHeight="true" outlineLevel="0" collapsed="false">
      <c r="B11" s="112" t="s">
        <v>149</v>
      </c>
      <c r="C11" s="112"/>
      <c r="D11" s="112"/>
    </row>
    <row r="12" customFormat="false" ht="12.8" hidden="false" customHeight="true" outlineLevel="0" collapsed="false">
      <c r="B12" s="112" t="s">
        <v>150</v>
      </c>
      <c r="C12" s="112"/>
    </row>
    <row r="13" customFormat="false" ht="12.8" hidden="false" customHeight="true" outlineLevel="0" collapsed="false">
      <c r="B13" s="112" t="s">
        <v>151</v>
      </c>
      <c r="C13" s="112"/>
      <c r="D13" s="112"/>
      <c r="E13" s="112"/>
    </row>
    <row r="14" customFormat="false" ht="12.8" hidden="false" customHeight="false" outlineLevel="0" collapsed="false">
      <c r="B14" s="1" t="s">
        <v>152</v>
      </c>
    </row>
    <row r="15" customFormat="false" ht="45.15" hidden="false" customHeight="true" outlineLevel="0" collapsed="false">
      <c r="B15" s="114" t="s">
        <v>153</v>
      </c>
      <c r="C15" s="114"/>
      <c r="D15" s="114"/>
    </row>
    <row r="16" customFormat="false" ht="12.8" hidden="false" customHeight="false" outlineLevel="0" collapsed="false">
      <c r="B16" s="55" t="s">
        <v>154</v>
      </c>
    </row>
    <row r="17" customFormat="false" ht="12.8" hidden="false" customHeight="true" outlineLevel="0" collapsed="false">
      <c r="B17" s="112" t="s">
        <v>155</v>
      </c>
      <c r="C17" s="112"/>
      <c r="D17" s="112"/>
    </row>
    <row r="18" customFormat="false" ht="23.05" hidden="false" customHeight="true" outlineLevel="0" collapsed="false">
      <c r="B18" s="112" t="s">
        <v>156</v>
      </c>
      <c r="C18" s="112"/>
      <c r="D18" s="112"/>
    </row>
    <row r="19" customFormat="false" ht="12.8" hidden="false" customHeight="false" outlineLevel="0" collapsed="false">
      <c r="B19" s="1" t="s">
        <v>157</v>
      </c>
      <c r="C19" s="1" t="s">
        <v>158</v>
      </c>
      <c r="D19" s="1" t="n">
        <v>0.07</v>
      </c>
      <c r="E19" s="1" t="s">
        <v>159</v>
      </c>
      <c r="F19" s="1" t="n">
        <v>0.08</v>
      </c>
      <c r="G19" s="1" t="s">
        <v>160</v>
      </c>
    </row>
    <row r="20" customFormat="false" ht="12.8" hidden="false" customHeight="false" outlineLevel="0" collapsed="false">
      <c r="B20" s="1" t="s">
        <v>161</v>
      </c>
      <c r="C20" s="1" t="s">
        <v>158</v>
      </c>
      <c r="D20" s="1" t="n">
        <v>4.5</v>
      </c>
      <c r="E20" s="1" t="s">
        <v>159</v>
      </c>
      <c r="F20" s="1" t="n">
        <v>5.5</v>
      </c>
      <c r="G20" s="1" t="s">
        <v>104</v>
      </c>
    </row>
    <row r="21" customFormat="false" ht="28.1" hidden="false" customHeight="true" outlineLevel="0" collapsed="false">
      <c r="B21" s="113" t="s">
        <v>162</v>
      </c>
      <c r="C21" s="113"/>
      <c r="D21" s="113"/>
    </row>
    <row r="22" customFormat="false" ht="12.8" hidden="false" customHeight="true" outlineLevel="0" collapsed="false">
      <c r="B22" s="112" t="s">
        <v>163</v>
      </c>
      <c r="C22" s="112"/>
      <c r="D22" s="112"/>
    </row>
    <row r="23" customFormat="false" ht="12.8" hidden="false" customHeight="true" outlineLevel="0" collapsed="false">
      <c r="B23" s="112" t="s">
        <v>164</v>
      </c>
      <c r="C23" s="112"/>
      <c r="D23" s="112"/>
      <c r="E23" s="112"/>
    </row>
    <row r="24" customFormat="false" ht="12.8" hidden="false" customHeight="true" outlineLevel="0" collapsed="false">
      <c r="B24" s="112" t="s">
        <v>165</v>
      </c>
      <c r="C24" s="112"/>
      <c r="D24" s="112"/>
    </row>
    <row r="25" customFormat="false" ht="12.8" hidden="false" customHeight="true" outlineLevel="0" collapsed="false">
      <c r="B25" s="112" t="s">
        <v>166</v>
      </c>
      <c r="C25" s="112"/>
    </row>
    <row r="26" customFormat="false" ht="12.8" hidden="false" customHeight="true" outlineLevel="0" collapsed="false">
      <c r="B26" s="112" t="s">
        <v>167</v>
      </c>
      <c r="C26" s="112"/>
      <c r="D26" s="112"/>
    </row>
    <row r="27" customFormat="false" ht="12.8" hidden="false" customHeight="true" outlineLevel="0" collapsed="false">
      <c r="B27" s="112" t="s">
        <v>168</v>
      </c>
      <c r="C27" s="112"/>
      <c r="D27" s="112"/>
    </row>
    <row r="28" customFormat="false" ht="23.05" hidden="false" customHeight="true" outlineLevel="0" collapsed="false">
      <c r="B28" s="112" t="s">
        <v>169</v>
      </c>
      <c r="C28" s="112"/>
      <c r="D28" s="112"/>
    </row>
    <row r="29" customFormat="false" ht="12.8" hidden="false" customHeight="true" outlineLevel="0" collapsed="false">
      <c r="B29" s="112" t="s">
        <v>170</v>
      </c>
      <c r="C29" s="112"/>
      <c r="D29" s="112"/>
    </row>
    <row r="30" customFormat="false" ht="15" hidden="false" customHeight="true" outlineLevel="0" collapsed="false">
      <c r="B30" s="113" t="s">
        <v>171</v>
      </c>
      <c r="C30" s="113"/>
      <c r="D30" s="113"/>
    </row>
    <row r="31" customFormat="false" ht="34.1" hidden="false" customHeight="true" outlineLevel="0" collapsed="false">
      <c r="B31" s="112" t="s">
        <v>172</v>
      </c>
      <c r="C31" s="112"/>
      <c r="D31" s="112"/>
      <c r="E31" s="112"/>
    </row>
    <row r="32" customFormat="false" ht="34.1" hidden="false" customHeight="true" outlineLevel="0" collapsed="false">
      <c r="B32" s="112" t="s">
        <v>173</v>
      </c>
      <c r="C32" s="112"/>
      <c r="D32" s="112"/>
      <c r="E32" s="112"/>
    </row>
    <row r="33" customFormat="false" ht="28.1" hidden="false" customHeight="true" outlineLevel="0" collapsed="false">
      <c r="B33" s="113" t="s">
        <v>174</v>
      </c>
      <c r="C33" s="113"/>
      <c r="D33" s="113"/>
    </row>
    <row r="34" customFormat="false" ht="12.8" hidden="false" customHeight="true" outlineLevel="0" collapsed="false">
      <c r="B34" s="112" t="s">
        <v>175</v>
      </c>
      <c r="C34" s="112"/>
      <c r="D34" s="112"/>
      <c r="E34" s="112"/>
    </row>
    <row r="35" customFormat="false" ht="12.8" hidden="false" customHeight="true" outlineLevel="0" collapsed="false">
      <c r="B35" s="115" t="s">
        <v>176</v>
      </c>
      <c r="C35" s="115"/>
      <c r="D35" s="115"/>
      <c r="E35" s="115"/>
    </row>
    <row r="36" customFormat="false" ht="12.8" hidden="false" customHeight="true" outlineLevel="0" collapsed="false">
      <c r="B36" s="115" t="s">
        <v>177</v>
      </c>
      <c r="C36" s="115"/>
      <c r="D36" s="115"/>
      <c r="E36" s="115"/>
    </row>
    <row r="37" customFormat="false" ht="23.05" hidden="false" customHeight="true" outlineLevel="0" collapsed="false">
      <c r="B37" s="115" t="s">
        <v>178</v>
      </c>
      <c r="C37" s="115"/>
      <c r="D37" s="115"/>
      <c r="E37" s="115"/>
    </row>
    <row r="38" customFormat="false" ht="12.8" hidden="false" customHeight="true" outlineLevel="0" collapsed="false">
      <c r="B38" s="115" t="s">
        <v>179</v>
      </c>
      <c r="C38" s="115"/>
      <c r="D38" s="115"/>
      <c r="E38" s="115"/>
    </row>
    <row r="39" customFormat="false" ht="12.8" hidden="false" customHeight="true" outlineLevel="0" collapsed="false">
      <c r="B39" s="115" t="s">
        <v>180</v>
      </c>
      <c r="C39" s="115"/>
      <c r="D39" s="115"/>
      <c r="E39" s="115"/>
    </row>
  </sheetData>
  <mergeCells count="32">
    <mergeCell ref="B3:D3"/>
    <mergeCell ref="B5:D5"/>
    <mergeCell ref="B6:D6"/>
    <mergeCell ref="B7:D7"/>
    <mergeCell ref="B8:D8"/>
    <mergeCell ref="B9:D9"/>
    <mergeCell ref="B10:D10"/>
    <mergeCell ref="B11:D11"/>
    <mergeCell ref="B12:C12"/>
    <mergeCell ref="B13:E13"/>
    <mergeCell ref="B15:D15"/>
    <mergeCell ref="B17:D17"/>
    <mergeCell ref="B18:D18"/>
    <mergeCell ref="B21:D21"/>
    <mergeCell ref="B22:D22"/>
    <mergeCell ref="B23:E23"/>
    <mergeCell ref="B24:D24"/>
    <mergeCell ref="B25:C25"/>
    <mergeCell ref="B26:D26"/>
    <mergeCell ref="B27:D27"/>
    <mergeCell ref="B28:D28"/>
    <mergeCell ref="B29:D29"/>
    <mergeCell ref="B30:D30"/>
    <mergeCell ref="B31:E31"/>
    <mergeCell ref="B32:E32"/>
    <mergeCell ref="B33:D33"/>
    <mergeCell ref="B34:E34"/>
    <mergeCell ref="B35:E35"/>
    <mergeCell ref="B36:E36"/>
    <mergeCell ref="B37:E37"/>
    <mergeCell ref="B38:E38"/>
    <mergeCell ref="B39:E3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2026-05-28T20:09:14Z</dcterms:created>
  <dc:creator/>
  <dc:description/>
  <dc:language>en-US</dc:language>
  <cp:lastModifiedBy/>
  <dcterms:modified xsi:type="dcterms:W3CDTF">2026-06-04T01:19:58Z</dcterms:modified>
  <cp:revision>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