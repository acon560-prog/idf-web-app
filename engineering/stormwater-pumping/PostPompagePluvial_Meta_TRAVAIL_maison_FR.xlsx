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  <sheet name="Aval_manhole_sync" sheetId="8" state="visible" r:id="rId8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18" borderId="0" pivotButton="0" quotePrefix="0" xfId="0"/>
    <xf numFmtId="168" fontId="0" fillId="16" borderId="22" pivotButton="0" quotePrefix="0" xfId="0"/>
    <xf numFmtId="168" fontId="0" fillId="17" borderId="22" pivotButton="0" quotePrefix="0" xfId="0"/>
    <xf numFmtId="0" fontId="28" fillId="14" borderId="22" pivotButton="0" quotePrefix="0" xfId="0"/>
    <xf numFmtId="0" fontId="0" fillId="17" borderId="22" pivotButton="0" quotePrefix="0" xfId="0"/>
    <xf numFmtId="0" fontId="0" fillId="16" borderId="22" pivotButton="0" quotePrefix="0" xfId="0"/>
    <xf numFmtId="0" fontId="28" fillId="14" borderId="22" applyAlignment="1" pivotButton="0" quotePrefix="0" xfId="0">
      <alignment horizontal="center"/>
    </xf>
    <xf numFmtId="0" fontId="0" fillId="0" borderId="22" pivotButton="0" quotePrefix="0" xfId="0"/>
    <xf numFmtId="168" fontId="0" fillId="0" borderId="22" pivotButton="0" quotePrefix="0" xfId="0"/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66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Routing!$O$205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Routing!$O$207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MAX(Routing!$M$2:INDEX(Routing!$M:$M,MIN(200,Inputs!$B$53+2)))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inlineStr">
        <is>
          <t>Wetwell_top_level_m</t>
        </is>
      </c>
      <c r="B39" s="242">
        <f>MAX(B45,B46)+0.30</f>
        <v/>
      </c>
      <c r="C39" s="116" t="inlineStr">
        <is>
          <t>m</t>
        </is>
      </c>
      <c r="D39" s="116" t="inlineStr">
        <is>
          <t>Niveau de référence du puits (couvercle/limite utile). Ajustable. Par défaut: max niveau marche/arrêt + 0.30 m.</t>
        </is>
      </c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>
        <f>MAX(0,B39-B40)</f>
        <v/>
      </c>
      <c r="C43" s="116" t="inlineStr">
        <is>
          <t>m</t>
        </is>
      </c>
      <c r="D43" s="116" t="inlineStr">
        <is>
          <t>Profondeur utile calculée = Wetwell_top_level_m - Wetwell_invert_m.</t>
        </is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s="116" t="inlineStr">
        <is>
          <t>Duree_hyetographe_min</t>
        </is>
      </c>
      <c r="B52" s="251">
        <f>IFERROR(Analyse_duree!$B$2,60)</f>
        <v/>
      </c>
    </row>
    <row r="53">
      <c r="A53" s="116" t="inlineStr">
        <is>
          <t>Nb_pas_hyetographe</t>
        </is>
      </c>
      <c r="B53" s="251">
        <f>ROUNDUP(B52/B8,0)</f>
        <v/>
      </c>
    </row>
    <row r="55">
      <c r="A55" s="160" t="inlineStr">
        <is>
          <t>Foundation_drain_length_m</t>
        </is>
      </c>
      <c r="B55" s="249" t="n">
        <v>0</v>
      </c>
      <c r="C55" s="116" t="inlineStr">
        <is>
          <t>m</t>
        </is>
      </c>
      <c r="D55" s="116" t="inlineStr">
        <is>
          <t>Longueur active de drains de fondation raccordes au bassin.</t>
        </is>
      </c>
    </row>
    <row r="56">
      <c r="A56" s="160" t="inlineStr">
        <is>
          <t>Foundation_drain_unit_flow_Ls_per_100m</t>
        </is>
      </c>
      <c r="B56" s="249" t="n">
        <v>0.8</v>
      </c>
      <c r="C56" s="116" t="inlineStr">
        <is>
          <t>L/s/100m</t>
        </is>
      </c>
      <c r="D56" s="116" t="inlineStr">
        <is>
          <t>Debit unitaire preliminaire (a calibrer avec donnees terrain/saison humide).</t>
        </is>
      </c>
    </row>
    <row r="57">
      <c r="A57" s="160" t="inlineStr">
        <is>
          <t>Q_foundation_drain_m3s</t>
        </is>
      </c>
      <c r="B57" s="249">
        <f>B55*B56/100/1000</f>
        <v/>
      </c>
      <c r="C57" s="116" t="inlineStr">
        <is>
          <t>m3/s</t>
        </is>
      </c>
      <c r="D57" s="116" t="inlineStr">
        <is>
          <t>Debit constant equivalent a ajouter manuellement aux scenarios de verification.</t>
        </is>
      </c>
    </row>
    <row r="58">
      <c r="A58" s="160" t="inlineStr">
        <is>
          <t>V_foundation_drain_event_m3</t>
        </is>
      </c>
      <c r="B58" s="249">
        <f>B57*B52*60</f>
        <v/>
      </c>
      <c r="C58" s="116" t="inlineStr">
        <is>
          <t>m3</t>
        </is>
      </c>
      <c r="D58" s="116" t="inlineStr">
        <is>
          <t>Volume genere pendant la duree d evenement (Inputs!B52).</t>
        </is>
      </c>
    </row>
    <row r="59">
      <c r="A59" s="160" t="inlineStr">
        <is>
          <t>Include_foundation_drain_in_whatif</t>
        </is>
      </c>
      <c r="B59" s="249" t="inlineStr">
        <is>
          <t>NO</t>
        </is>
      </c>
      <c r="C59" s="116" t="inlineStr">
        <is>
          <t>-</t>
        </is>
      </c>
      <c r="D59" s="116" t="inlineStr">
        <is>
          <t>YES/OUI pour inclure le debit de drains de fondation dans le calcul what-if (sans changer la logique principale).</t>
        </is>
      </c>
    </row>
    <row r="60">
      <c r="A60" s="160" t="inlineStr">
        <is>
          <t>Q_foundation_drain_used_m3s</t>
        </is>
      </c>
      <c r="B60" s="249">
        <f>IF(OR(UPPER(TRIM(B59))="YES",UPPER(TRIM(B59))="OUI",UPPER(TRIM(B59))="Y"),B57,0)</f>
        <v/>
      </c>
      <c r="C60" s="116" t="inlineStr">
        <is>
          <t>m3/s</t>
        </is>
      </c>
      <c r="D60" s="116" t="inlineStr">
        <is>
          <t>Debit de drains effectivement retenu selon le toggle.</t>
        </is>
      </c>
    </row>
    <row r="61">
      <c r="A61" s="160" t="inlineStr">
        <is>
          <t>V_foundation_drain_used_event_m3</t>
        </is>
      </c>
      <c r="B61" s="249">
        <f>B60*B52*60</f>
        <v/>
      </c>
      <c r="C61" s="116" t="inlineStr">
        <is>
          <t>m3</t>
        </is>
      </c>
      <c r="D61" s="116" t="inlineStr">
        <is>
          <t>Volume additionnel pendant la duree d evenement (what-if).</t>
        </is>
      </c>
    </row>
    <row r="62">
      <c r="A62" s="160" t="inlineStr">
        <is>
          <t>Q_peak_base_proxy_m3s</t>
        </is>
      </c>
      <c r="B62" s="249">
        <f>IFERROR(INDEX(Analyse_duree!$E$5:$E$8,MATCH(B52,Analyse_duree!$A$5:$A$8,0)),"")</f>
        <v/>
      </c>
      <c r="C62" s="116" t="inlineStr">
        <is>
          <t>m3/s</t>
        </is>
      </c>
      <c r="D62" s="116" t="inlineStr">
        <is>
          <t>Debit de pointe proxy de base (sans drains de fondation).</t>
        </is>
      </c>
    </row>
    <row r="63">
      <c r="A63" s="160" t="inlineStr">
        <is>
          <t>Q_peak_whatif_with_foundation_m3s</t>
        </is>
      </c>
      <c r="B63" s="249">
        <f>IF(B62="","",B62+B60)</f>
        <v/>
      </c>
      <c r="C63" s="116" t="inlineStr">
        <is>
          <t>m3/s</t>
        </is>
      </c>
      <c r="D63" s="116" t="inlineStr">
        <is>
          <t>Debit de pointe what-if = base + drains de fondation inclus.</t>
        </is>
      </c>
    </row>
    <row r="64">
      <c r="A64" s="160" t="inlineStr">
        <is>
          <t>Q_pumping_total_capacity_m3s</t>
        </is>
      </c>
      <c r="B64" s="249">
        <f>B13*B14</f>
        <v/>
      </c>
      <c r="C64" s="116" t="inlineStr">
        <is>
          <t>m3/s</t>
        </is>
      </c>
      <c r="D64" s="116" t="inlineStr">
        <is>
          <t>Capacite de pompage installee (debit unitaire x nb pompes en service).</t>
        </is>
      </c>
    </row>
    <row r="65">
      <c r="A65" s="160" t="inlineStr">
        <is>
          <t>Q_margin_pumping_minus_whatif_m3s</t>
        </is>
      </c>
      <c r="B65" s="249">
        <f>IF(OR(B63="",B64=""),"",B64-B63)</f>
        <v/>
      </c>
      <c r="C65" s="116" t="inlineStr">
        <is>
          <t>m3/s</t>
        </is>
      </c>
      <c r="D65" s="116" t="inlineStr">
        <is>
          <t>Marge positive = capacite suffisante au pic what-if.</t>
        </is>
      </c>
    </row>
    <row r="66">
      <c r="A66" s="160" t="inlineStr">
        <is>
          <t>Whatif_status_foundation_vs_pumping</t>
        </is>
      </c>
      <c r="B66" s="249">
        <f>IF(B65="","INFO",IF(B65&gt;=0,"OK","DEFICIT"))</f>
        <v/>
      </c>
      <c r="C66" s="116" t="inlineStr">
        <is>
          <t>-</t>
        </is>
      </c>
      <c r="D66" s="116" t="inlineStr">
        <is>
          <t>Indicateur rapide de risque si drains de fondation sont ajoutes.</t>
        </is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IF(E2="","",IF(E2=1,ROUNDUP(Inputs!$B$53/2,0),IF(MOD(E2,2)=0,ROUNDUP(Inputs!$B$53/2,0)+E2/2,ROUNDUP(Inputs!$B$53/2,0)-(E2-1)/2)))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IF(E3="","",IF(E3=1,ROUNDUP(Inputs!$B$53/2,0),IF(MOD(E3,2)=0,ROUNDUP(Inputs!$B$53/2,0)+E3/2,ROUNDUP(Inputs!$B$53/2,0)-(E3-1)/2)))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IF(E4="","",IF(E4=1,ROUNDUP(Inputs!$B$53/2,0),IF(MOD(E4,2)=0,ROUNDUP(Inputs!$B$53/2,0)+E4/2,ROUNDUP(Inputs!$B$53/2,0)-(E4-1)/2)))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IF(E5="","",IF(E5=1,ROUNDUP(Inputs!$B$53/2,0),IF(MOD(E5,2)=0,ROUNDUP(Inputs!$B$53/2,0)+E5/2,ROUNDUP(Inputs!$B$53/2,0)-(E5-1)/2)))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IF(E6="","",IF(E6=1,ROUNDUP(Inputs!$B$53/2,0),IF(MOD(E6,2)=0,ROUNDUP(Inputs!$B$53/2,0)+E6/2,ROUNDUP(Inputs!$B$53/2,0)-(E6-1)/2)))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IF(E7="","",IF(E7=1,ROUNDUP(Inputs!$B$53/2,0),IF(MOD(E7,2)=0,ROUNDUP(Inputs!$B$53/2,0)+E7/2,ROUNDUP(Inputs!$B$53/2,0)-(E7-1)/2)))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IF(E8="","",IF(E8=1,ROUNDUP(Inputs!$B$53/2,0),IF(MOD(E8,2)=0,ROUNDUP(Inputs!$B$53/2,0)+E8/2,ROUNDUP(Inputs!$B$53/2,0)-(E8-1)/2)))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IF(E9="","",IF(E9=1,ROUNDUP(Inputs!$B$53/2,0),IF(MOD(E9,2)=0,ROUNDUP(Inputs!$B$53/2,0)+E9/2,ROUNDUP(Inputs!$B$53/2,0)-(E9-1)/2)))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IF(E10="","",IF(E10=1,ROUNDUP(Inputs!$B$53/2,0),IF(MOD(E10,2)=0,ROUNDUP(Inputs!$B$53/2,0)+E10/2,ROUNDUP(Inputs!$B$53/2,0)-(E10-1)/2)))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IF(E11="","",IF(E11=1,ROUNDUP(Inputs!$B$53/2,0),IF(MOD(E11,2)=0,ROUNDUP(Inputs!$B$53/2,0)+E11/2,ROUNDUP(Inputs!$B$53/2,0)-(E11-1)/2)))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IF(E12="","",IF(E12=1,ROUNDUP(Inputs!$B$53/2,0),IF(MOD(E12,2)=0,ROUNDUP(Inputs!$B$53/2,0)+E12/2,ROUNDUP(Inputs!$B$53/2,0)-(E12-1)/2)))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IF(E13="","",IF(E13=1,ROUNDUP(Inputs!$B$53/2,0),IF(MOD(E13,2)=0,ROUNDUP(Inputs!$B$53/2,0)+E13/2,ROUNDUP(Inputs!$B$53/2,0)-(E13-1)/2)))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 s="116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IF(E14="","",IF(E14=1,ROUNDUP(Inputs!$B$53/2,0),IF(MOD(E14,2)=0,ROUNDUP(Inputs!$B$53/2,0)+E14/2,ROUNDUP(Inputs!$B$53/2,0)-(E14-1)/2)))</f>
        <v/>
      </c>
      <c r="H14" s="116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 s="116">
        <f>H14*Inputs!$B$8</f>
        <v/>
      </c>
    </row>
    <row r="15" ht="12.75" customHeight="1" s="117">
      <c r="A15" s="116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IF(E15="","",IF(E15=1,ROUNDUP(Inputs!$B$53/2,0),IF(MOD(E15,2)=0,ROUNDUP(Inputs!$B$53/2,0)+E15/2,ROUNDUP(Inputs!$B$53/2,0)-(E15-1)/2)))</f>
        <v/>
      </c>
      <c r="H15" s="116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 s="116">
        <f>H15*Inputs!$B$8</f>
        <v/>
      </c>
    </row>
    <row r="16">
      <c r="A16" s="1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 s="116">
        <f>IF(D16="","",COUNTIF($D$2:$D$37,"&gt;"&amp;D16)+COUNTIF($D$2:D16,D16))</f>
        <v/>
      </c>
      <c r="F16" s="116">
        <f>IF(E16="","",IF(E16=1,ROUNDUP(Inputs!$B$53/2,0),IF(MOD(E16,2)=0,ROUNDUP(Inputs!$B$53/2,0)+E16/2,ROUNDUP(Inputs!$B$53/2,0)-(E16-1)/2)))</f>
        <v/>
      </c>
      <c r="H16" s="1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 s="116">
        <f>H16*Inputs!$B$8</f>
        <v/>
      </c>
    </row>
    <row r="17">
      <c r="A17" s="116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 s="116">
        <f>IF(D17="","",COUNTIF($D$2:$D$37,"&gt;"&amp;D17)+COUNTIF($D$2:D17,D17))</f>
        <v/>
      </c>
      <c r="F17" s="116">
        <f>IF(E17="","",IF(E17=1,ROUNDUP(Inputs!$B$53/2,0),IF(MOD(E17,2)=0,ROUNDUP(Inputs!$B$53/2,0)+E17/2,ROUNDUP(Inputs!$B$53/2,0)-(E17-1)/2)))</f>
        <v/>
      </c>
      <c r="H17" s="116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 s="116">
        <f>H17*Inputs!$B$8</f>
        <v/>
      </c>
    </row>
    <row r="18">
      <c r="A18" s="116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 s="116">
        <f>IF(D18="","",COUNTIF($D$2:$D$37,"&gt;"&amp;D18)+COUNTIF($D$2:D18,D18))</f>
        <v/>
      </c>
      <c r="F18" s="116">
        <f>IF(E18="","",IF(E18=1,ROUNDUP(Inputs!$B$53/2,0),IF(MOD(E18,2)=0,ROUNDUP(Inputs!$B$53/2,0)+E18/2,ROUNDUP(Inputs!$B$53/2,0)-(E18-1)/2)))</f>
        <v/>
      </c>
      <c r="H18" s="116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 s="116">
        <f>H18*Inputs!$B$8</f>
        <v/>
      </c>
    </row>
    <row r="19">
      <c r="A19" s="116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 s="116">
        <f>IF(D19="","",COUNTIF($D$2:$D$37,"&gt;"&amp;D19)+COUNTIF($D$2:D19,D19))</f>
        <v/>
      </c>
      <c r="F19" s="116">
        <f>IF(E19="","",IF(E19=1,ROUNDUP(Inputs!$B$53/2,0),IF(MOD(E19,2)=0,ROUNDUP(Inputs!$B$53/2,0)+E19/2,ROUNDUP(Inputs!$B$53/2,0)-(E19-1)/2)))</f>
        <v/>
      </c>
      <c r="H19" s="116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 s="116">
        <f>H19*Inputs!$B$8</f>
        <v/>
      </c>
    </row>
    <row r="20">
      <c r="A20" s="116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 s="116">
        <f>IF(D20="","",COUNTIF($D$2:$D$37,"&gt;"&amp;D20)+COUNTIF($D$2:D20,D20))</f>
        <v/>
      </c>
      <c r="F20" s="116">
        <f>IF(E20="","",IF(E20=1,ROUNDUP(Inputs!$B$53/2,0),IF(MOD(E20,2)=0,ROUNDUP(Inputs!$B$53/2,0)+E20/2,ROUNDUP(Inputs!$B$53/2,0)-(E20-1)/2)))</f>
        <v/>
      </c>
      <c r="H20" s="116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 s="116">
        <f>H20*Inputs!$B$8</f>
        <v/>
      </c>
    </row>
    <row r="21">
      <c r="A21" s="116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 s="116">
        <f>IF(D21="","",COUNTIF($D$2:$D$37,"&gt;"&amp;D21)+COUNTIF($D$2:D21,D21))</f>
        <v/>
      </c>
      <c r="F21" s="116">
        <f>IF(E21="","",IF(E21=1,ROUNDUP(Inputs!$B$53/2,0),IF(MOD(E21,2)=0,ROUNDUP(Inputs!$B$53/2,0)+E21/2,ROUNDUP(Inputs!$B$53/2,0)-(E21-1)/2)))</f>
        <v/>
      </c>
      <c r="H21" s="116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 s="116">
        <f>H21*Inputs!$B$8</f>
        <v/>
      </c>
    </row>
    <row r="22">
      <c r="A22" s="116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 s="116">
        <f>IF(D22="","",COUNTIF($D$2:$D$37,"&gt;"&amp;D22)+COUNTIF($D$2:D22,D22))</f>
        <v/>
      </c>
      <c r="F22" s="116">
        <f>IF(E22="","",IF(E22=1,ROUNDUP(Inputs!$B$53/2,0),IF(MOD(E22,2)=0,ROUNDUP(Inputs!$B$53/2,0)+E22/2,ROUNDUP(Inputs!$B$53/2,0)-(E22-1)/2)))</f>
        <v/>
      </c>
      <c r="H22" s="116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 s="116">
        <f>H22*Inputs!$B$8</f>
        <v/>
      </c>
    </row>
    <row r="23">
      <c r="A23" s="116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 s="116">
        <f>IF(D23="","",COUNTIF($D$2:$D$37,"&gt;"&amp;D23)+COUNTIF($D$2:D23,D23))</f>
        <v/>
      </c>
      <c r="F23" s="116">
        <f>IF(E23="","",IF(E23=1,ROUNDUP(Inputs!$B$53/2,0),IF(MOD(E23,2)=0,ROUNDUP(Inputs!$B$53/2,0)+E23/2,ROUNDUP(Inputs!$B$53/2,0)-(E23-1)/2)))</f>
        <v/>
      </c>
      <c r="H23" s="116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 s="116">
        <f>H23*Inputs!$B$8</f>
        <v/>
      </c>
    </row>
    <row r="24">
      <c r="A24" s="116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 s="116">
        <f>IF(D24="","",COUNTIF($D$2:$D$37,"&gt;"&amp;D24)+COUNTIF($D$2:D24,D24))</f>
        <v/>
      </c>
      <c r="F24" s="116">
        <f>IF(E24="","",IF(E24=1,ROUNDUP(Inputs!$B$53/2,0),IF(MOD(E24,2)=0,ROUNDUP(Inputs!$B$53/2,0)+E24/2,ROUNDUP(Inputs!$B$53/2,0)-(E24-1)/2)))</f>
        <v/>
      </c>
      <c r="H24" s="116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 s="116">
        <f>H24*Inputs!$B$8</f>
        <v/>
      </c>
    </row>
    <row r="25">
      <c r="A25" s="116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 s="116">
        <f>IF(D25="","",COUNTIF($D$2:$D$37,"&gt;"&amp;D25)+COUNTIF($D$2:D25,D25))</f>
        <v/>
      </c>
      <c r="F25" s="116">
        <f>IF(E25="","",IF(E25=1,ROUNDUP(Inputs!$B$53/2,0),IF(MOD(E25,2)=0,ROUNDUP(Inputs!$B$53/2,0)+E25/2,ROUNDUP(Inputs!$B$53/2,0)-(E25-1)/2)))</f>
        <v/>
      </c>
      <c r="H25" s="116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 s="116">
        <f>H25*Inputs!$B$8</f>
        <v/>
      </c>
    </row>
    <row r="26">
      <c r="A26" s="11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 s="116">
        <f>IF(D26="","",COUNTIF($D$2:$D$37,"&gt;"&amp;D26)+COUNTIF($D$2:D26,D26))</f>
        <v/>
      </c>
      <c r="F26" s="116">
        <f>IF(E26="","",IF(E26=1,ROUNDUP(Inputs!$B$53/2,0),IF(MOD(E26,2)=0,ROUNDUP(Inputs!$B$53/2,0)+E26/2,ROUNDUP(Inputs!$B$53/2,0)-(E26-1)/2)))</f>
        <v/>
      </c>
      <c r="H26" s="11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 s="116">
        <f>H26*Inputs!$B$8</f>
        <v/>
      </c>
    </row>
    <row r="27">
      <c r="A27" s="116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 s="116">
        <f>IF(D27="","",COUNTIF($D$2:$D$37,"&gt;"&amp;D27)+COUNTIF($D$2:D27,D27))</f>
        <v/>
      </c>
      <c r="F27" s="116">
        <f>IF(E27="","",IF(E27=1,ROUNDUP(Inputs!$B$53/2,0),IF(MOD(E27,2)=0,ROUNDUP(Inputs!$B$53/2,0)+E27/2,ROUNDUP(Inputs!$B$53/2,0)-(E27-1)/2)))</f>
        <v/>
      </c>
      <c r="H27" s="116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 s="116">
        <f>H27*Inputs!$B$8</f>
        <v/>
      </c>
    </row>
    <row r="28">
      <c r="A28" s="116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 s="116">
        <f>IF(D28="","",COUNTIF($D$2:$D$37,"&gt;"&amp;D28)+COUNTIF($D$2:D28,D28))</f>
        <v/>
      </c>
      <c r="F28" s="116">
        <f>IF(E28="","",IF(E28=1,ROUNDUP(Inputs!$B$53/2,0),IF(MOD(E28,2)=0,ROUNDUP(Inputs!$B$53/2,0)+E28/2,ROUNDUP(Inputs!$B$53/2,0)-(E28-1)/2)))</f>
        <v/>
      </c>
      <c r="H28" s="116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 s="116">
        <f>H28*Inputs!$B$8</f>
        <v/>
      </c>
    </row>
    <row r="29">
      <c r="A29" s="116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 s="116">
        <f>IF(D29="","",COUNTIF($D$2:$D$37,"&gt;"&amp;D29)+COUNTIF($D$2:D29,D29))</f>
        <v/>
      </c>
      <c r="F29" s="116">
        <f>IF(E29="","",IF(E29=1,ROUNDUP(Inputs!$B$53/2,0),IF(MOD(E29,2)=0,ROUNDUP(Inputs!$B$53/2,0)+E29/2,ROUNDUP(Inputs!$B$53/2,0)-(E29-1)/2)))</f>
        <v/>
      </c>
      <c r="H29" s="116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 s="116">
        <f>H29*Inputs!$B$8</f>
        <v/>
      </c>
    </row>
    <row r="30">
      <c r="A30" s="116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 s="116">
        <f>IF(D30="","",COUNTIF($D$2:$D$37,"&gt;"&amp;D30)+COUNTIF($D$2:D30,D30))</f>
        <v/>
      </c>
      <c r="F30" s="116">
        <f>IF(E30="","",IF(E30=1,ROUNDUP(Inputs!$B$53/2,0),IF(MOD(E30,2)=0,ROUNDUP(Inputs!$B$53/2,0)+E30/2,ROUNDUP(Inputs!$B$53/2,0)-(E30-1)/2)))</f>
        <v/>
      </c>
      <c r="H30" s="116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 s="116">
        <f>H30*Inputs!$B$8</f>
        <v/>
      </c>
    </row>
    <row r="31">
      <c r="A31" s="116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 s="116">
        <f>IF(D31="","",COUNTIF($D$2:$D$37,"&gt;"&amp;D31)+COUNTIF($D$2:D31,D31))</f>
        <v/>
      </c>
      <c r="F31" s="116">
        <f>IF(E31="","",IF(E31=1,ROUNDUP(Inputs!$B$53/2,0),IF(MOD(E31,2)=0,ROUNDUP(Inputs!$B$53/2,0)+E31/2,ROUNDUP(Inputs!$B$53/2,0)-(E31-1)/2)))</f>
        <v/>
      </c>
      <c r="H31" s="116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 s="116">
        <f>H31*Inputs!$B$8</f>
        <v/>
      </c>
    </row>
    <row r="32">
      <c r="A32" s="116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 s="116">
        <f>IF(D32="","",COUNTIF($D$2:$D$37,"&gt;"&amp;D32)+COUNTIF($D$2:D32,D32))</f>
        <v/>
      </c>
      <c r="F32" s="116">
        <f>IF(E32="","",IF(E32=1,ROUNDUP(Inputs!$B$53/2,0),IF(MOD(E32,2)=0,ROUNDUP(Inputs!$B$53/2,0)+E32/2,ROUNDUP(Inputs!$B$53/2,0)-(E32-1)/2)))</f>
        <v/>
      </c>
      <c r="H32" s="116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 s="116">
        <f>H32*Inputs!$B$8</f>
        <v/>
      </c>
    </row>
    <row r="33">
      <c r="A33" s="116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 s="116">
        <f>IF(D33="","",COUNTIF($D$2:$D$37,"&gt;"&amp;D33)+COUNTIF($D$2:D33,D33))</f>
        <v/>
      </c>
      <c r="F33" s="116">
        <f>IF(E33="","",IF(E33=1,ROUNDUP(Inputs!$B$53/2,0),IF(MOD(E33,2)=0,ROUNDUP(Inputs!$B$53/2,0)+E33/2,ROUNDUP(Inputs!$B$53/2,0)-(E33-1)/2)))</f>
        <v/>
      </c>
      <c r="H33" s="116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 s="116">
        <f>H33*Inputs!$B$8</f>
        <v/>
      </c>
    </row>
    <row r="34">
      <c r="A34" s="116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 s="116">
        <f>IF(D34="","",COUNTIF($D$2:$D$37,"&gt;"&amp;D34)+COUNTIF($D$2:D34,D34))</f>
        <v/>
      </c>
      <c r="F34" s="116">
        <f>IF(E34="","",IF(E34=1,ROUNDUP(Inputs!$B$53/2,0),IF(MOD(E34,2)=0,ROUNDUP(Inputs!$B$53/2,0)+E34/2,ROUNDUP(Inputs!$B$53/2,0)-(E34-1)/2)))</f>
        <v/>
      </c>
      <c r="H34" s="116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 s="116">
        <f>H34*Inputs!$B$8</f>
        <v/>
      </c>
    </row>
    <row r="35">
      <c r="A35" s="116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 s="116">
        <f>IF(D35="","",COUNTIF($D$2:$D$37,"&gt;"&amp;D35)+COUNTIF($D$2:D35,D35))</f>
        <v/>
      </c>
      <c r="F35" s="116">
        <f>IF(E35="","",IF(E35=1,ROUNDUP(Inputs!$B$53/2,0),IF(MOD(E35,2)=0,ROUNDUP(Inputs!$B$53/2,0)+E35/2,ROUNDUP(Inputs!$B$53/2,0)-(E35-1)/2)))</f>
        <v/>
      </c>
      <c r="H35" s="116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 s="116">
        <f>H35*Inputs!$B$8</f>
        <v/>
      </c>
    </row>
    <row r="36">
      <c r="A36" s="11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 s="116">
        <f>IF(D36="","",COUNTIF($D$2:$D$37,"&gt;"&amp;D36)+COUNTIF($D$2:D36,D36))</f>
        <v/>
      </c>
      <c r="F36" s="116">
        <f>IF(E36="","",IF(E36=1,ROUNDUP(Inputs!$B$53/2,0),IF(MOD(E36,2)=0,ROUNDUP(Inputs!$B$53/2,0)+E36/2,ROUNDUP(Inputs!$B$53/2,0)-(E36-1)/2)))</f>
        <v/>
      </c>
      <c r="H36" s="11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 s="116">
        <f>H36*Inputs!$B$8</f>
        <v/>
      </c>
    </row>
    <row r="37">
      <c r="A37" s="116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 s="116">
        <f>IF(D37="","",COUNTIF($D$2:$D$37,"&gt;"&amp;D37)+COUNTIF($D$2:D37,D37))</f>
        <v/>
      </c>
      <c r="F37" s="116">
        <f>IF(E37="","",IF(E37=1,ROUNDUP(Inputs!$B$53/2,0),IF(MOD(E37,2)=0,ROUNDUP(Inputs!$B$53/2,0)+E37/2,ROUNDUP(Inputs!$B$53/2,0)-(E37-1)/2)))</f>
        <v/>
      </c>
      <c r="H37" s="116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 s="116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7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IFERROR(INDEX(IDF_Hyetograph!$D$2:$D$37, MATCH(U2, IDF_Hyetograph!$F$2:$F$37, 0)),"")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IFERROR(INDEX(IDF_Hyetograph!$D$2:$D$37, MATCH(U3, IDF_Hyetograph!$F$2:$F$37, 0)),"")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IFERROR(INDEX(IDF_Hyetograph!$D$2:$D$37, MATCH(U4, IDF_Hyetograph!$F$2:$F$37, 0)),"")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IFERROR(INDEX(IDF_Hyetograph!$D$2:$D$37, MATCH(U5, IDF_Hyetograph!$F$2:$F$37, 0)),"")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IFERROR(INDEX(IDF_Hyetograph!$D$2:$D$37, MATCH(U6, IDF_Hyetograph!$F$2:$F$37, 0)),"")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IFERROR(INDEX(IDF_Hyetograph!$D$2:$D$37, MATCH(U7, IDF_Hyetograph!$F$2:$F$37, 0)),"")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IFERROR(INDEX(IDF_Hyetograph!$D$2:$D$37, MATCH(U8, IDF_Hyetograph!$F$2:$F$37, 0)),"")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IFERROR(INDEX(IDF_Hyetograph!$D$2:$D$37, MATCH(U9, IDF_Hyetograph!$F$2:$F$37, 0)),"")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IFERROR(INDEX(IDF_Hyetograph!$D$2:$D$37, MATCH(U10, IDF_Hyetograph!$F$2:$F$37, 0)),"")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IFERROR(INDEX(IDF_Hyetograph!$D$2:$D$37, MATCH(U11, IDF_Hyetograph!$F$2:$F$37, 0)),"")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IFERROR(INDEX(IDF_Hyetograph!$D$2:$D$37, MATCH(U12, IDF_Hyetograph!$F$2:$F$37, 0)),"")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IFERROR(INDEX(IDF_Hyetograph!$D$2:$D$37, MATCH(U13, IDF_Hyetograph!$F$2:$F$37, 0)),"")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 s="116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 s="116">
        <f>IF(A15="","",IF(AND(K15&gt;0,K14=0),1,0))</f>
        <v/>
      </c>
      <c r="O15" s="116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 s="1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 s="1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>
        <f>IF(A16="","",IF(AND(K16&gt;0,K15=0),1,0))</f>
        <v/>
      </c>
      <c r="O16" s="116">
        <f>IF(A16="","",O15+N16)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 s="116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IF(A17="","",0.00278*Inputs!$B$4*Inputs!$B$3*B17)</f>
        <v/>
      </c>
      <c r="D17" s="257">
        <f>IF(A17="","",MIN( Inputs!$B$30, MAX(0, D16 + (C17-F17-G17)*Inputs!$B$9) ))</f>
        <v/>
      </c>
      <c r="E17" s="258">
        <f>IF(A17="","",Inputs!$B$31 + D17/Inputs!$B$33)</f>
        <v/>
      </c>
      <c r="F17" s="251">
        <f>IF(A17="","",MIN( D16/Inputs!$B$9, Inputs!$B$35*Inputs!$B$36*SQRT(2*Inputs!$B$37*MAX(E16-J16,0)) ))</f>
        <v/>
      </c>
      <c r="G17" s="259">
        <f>IF(A17="","",MAX(0,(D16 + (C17-F17)*Inputs!$B$9 - Inputs!$B$30)/Inputs!$B$9))</f>
        <v/>
      </c>
      <c r="H17" s="260">
        <f>IF(A17="","",MAX(0,MIN(Inputs!$B$44,H16+(S17-M17-I17)*Inputs!$B$9)))</f>
        <v/>
      </c>
      <c r="I17" s="259">
        <f>IF(A17="","",MAX(0,(H16+(S17-M17)*Inputs!$B$9-Inputs!$B$44)/Inputs!$B$9))</f>
        <v/>
      </c>
      <c r="J17" s="251">
        <f>IF(A17="","",Inputs!$B$40 + H17/Inputs!$B$42)</f>
        <v/>
      </c>
      <c r="K17" s="116">
        <f>IF(A17="","",IF(J16&gt;=Inputs!$B$47,2, IF(J16&gt;=Inputs!$B$45,1, IF(J16&lt;=Inputs!$B$46,0,K16))))</f>
        <v/>
      </c>
      <c r="L17" s="251">
        <f>IF(A17="","",K17*Inputs!$B$49)</f>
        <v/>
      </c>
      <c r="M17" s="259">
        <f>IF(A17="","",MIN(L17,H16/Inputs!$B$9+S17))</f>
        <v/>
      </c>
      <c r="N17" s="116">
        <f>IF(A17="","",IF(AND(K17&gt;0,K16=0),1,0))</f>
        <v/>
      </c>
      <c r="O17" s="252">
        <f>IF(A17="","",O16+N17)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 s="116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 s="116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>
        <f>IF(A18="","",IF(AND(K18&gt;0,K17=0),1,0))</f>
        <v/>
      </c>
      <c r="O18" s="254">
        <f>IF(A18="","",O17+N18)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 s="116">
        <f>IF(ROW()&lt;=Inputs!$B$53+2,A18+Inputs!$B$8,"")</f>
        <v/>
      </c>
      <c r="B19" s="250">
        <f>IF(A19="","",IFERROR(INDEX(IDF_Hyetograph!$J$2:$J$37,MATCH(A19,IDF_Hyetograph!$K$2:$K$37,0)),0))</f>
        <v/>
      </c>
      <c r="C19" s="250">
        <f>IF(A19="","",0.00278*Inputs!$B$4*Inputs!$B$3*B19)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 s="116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 s="116">
        <f>IF(A19="","",IF(AND(K19&gt;0,K18=0),1,0))</f>
        <v/>
      </c>
      <c r="O19" s="116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 s="116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 s="116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 s="116">
        <f>IF(A20="","",IF(AND(K20&gt;0,K19=0),1,0))</f>
        <v/>
      </c>
      <c r="O20" s="116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 s="116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 s="116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 s="116">
        <f>IF(A21="","",IF(AND(K21&gt;0,K20=0),1,0))</f>
        <v/>
      </c>
      <c r="O21" s="116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 s="116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 s="116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 s="116">
        <f>IF(A22="","",IF(AND(K22&gt;0,K21=0),1,0))</f>
        <v/>
      </c>
      <c r="O22" s="116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 s="116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 s="116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 s="116">
        <f>IF(A23="","",IF(AND(K23&gt;0,K22=0),1,0))</f>
        <v/>
      </c>
      <c r="O23" s="116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 s="116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 s="116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 s="116">
        <f>IF(A24="","",IF(AND(K24&gt;0,K23=0),1,0))</f>
        <v/>
      </c>
      <c r="O24" s="116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 s="116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 s="116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 s="116">
        <f>IF(A25="","",IF(AND(K25&gt;0,K24=0),1,0))</f>
        <v/>
      </c>
      <c r="O25" s="116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 s="11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 s="11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 s="116">
        <f>IF(A26="","",IF(AND(K26&gt;0,K25=0),1,0))</f>
        <v/>
      </c>
      <c r="O26" s="11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 s="116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 s="116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 s="116">
        <f>IF(A27="","",IF(AND(K27&gt;0,K26=0),1,0))</f>
        <v/>
      </c>
      <c r="O27" s="116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 s="116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 s="116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 s="116">
        <f>IF(A28="","",IF(AND(K28&gt;0,K27=0),1,0))</f>
        <v/>
      </c>
      <c r="O28" s="116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 s="116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 s="116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 s="116">
        <f>IF(A29="","",IF(AND(K29&gt;0,K28=0),1,0))</f>
        <v/>
      </c>
      <c r="O29" s="116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 s="116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 s="116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 s="116">
        <f>IF(A30="","",IF(AND(K30&gt;0,K29=0),1,0))</f>
        <v/>
      </c>
      <c r="O30" s="116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 s="116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 s="116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 s="116">
        <f>IF(A31="","",IF(AND(K31&gt;0,K30=0),1,0))</f>
        <v/>
      </c>
      <c r="O31" s="116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 s="116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 s="116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 s="116">
        <f>IF(A32="","",IF(AND(K32&gt;0,K31=0),1,0))</f>
        <v/>
      </c>
      <c r="O32" s="116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 s="116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 s="116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 s="116">
        <f>IF(A33="","",IF(AND(K33&gt;0,K32=0),1,0))</f>
        <v/>
      </c>
      <c r="O33" s="116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 s="116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 s="116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 s="116">
        <f>IF(A34="","",IF(AND(K34&gt;0,K33=0),1,0))</f>
        <v/>
      </c>
      <c r="O34" s="116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 s="116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 s="116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 s="116">
        <f>IF(A35="","",IF(AND(K35&gt;0,K34=0),1,0))</f>
        <v/>
      </c>
      <c r="O35" s="116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 s="11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 s="11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 s="116">
        <f>IF(A36="","",IF(AND(K36&gt;0,K35=0),1,0))</f>
        <v/>
      </c>
      <c r="O36" s="11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 s="116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 s="116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 s="116">
        <f>IF(A37="","",IF(AND(K37&gt;0,K36=0),1,0))</f>
        <v/>
      </c>
      <c r="O37" s="116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 s="116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 s="116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 s="116">
        <f>IF(A38="","",IF(AND(K38&gt;0,K37=0),1,0))</f>
        <v/>
      </c>
      <c r="O38" s="116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 s="116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 s="116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 s="116">
        <f>IF(A39="","",IF(AND(K39&gt;0,K38=0),1,0))</f>
        <v/>
      </c>
      <c r="O39" s="116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 s="116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 s="116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 s="116">
        <f>IF(A40="","",IF(AND(K40&gt;0,K39=0),1,0))</f>
        <v/>
      </c>
      <c r="O40" s="116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 s="116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 s="116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 s="116">
        <f>IF(A41="","",IF(AND(K41&gt;0,K40=0),1,0))</f>
        <v/>
      </c>
      <c r="O41" s="116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 s="116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 s="116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 s="116">
        <f>IF(A42="","",IF(AND(K42&gt;0,K41=0),1,0))</f>
        <v/>
      </c>
      <c r="O42" s="116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 s="116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 s="116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 s="116">
        <f>IF(A43="","",IF(AND(K43&gt;0,K42=0),1,0))</f>
        <v/>
      </c>
      <c r="O43" s="116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 s="116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 s="116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 s="116">
        <f>IF(A44="","",IF(AND(K44&gt;0,K43=0),1,0))</f>
        <v/>
      </c>
      <c r="O44" s="116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 s="116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 s="116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 s="116">
        <f>IF(A45="","",IF(AND(K45&gt;0,K44=0),1,0))</f>
        <v/>
      </c>
      <c r="O45" s="116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 s="11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 s="11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 s="116">
        <f>IF(A46="","",IF(AND(K46&gt;0,K45=0),1,0))</f>
        <v/>
      </c>
      <c r="O46" s="11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 s="116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 s="116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 s="116">
        <f>IF(A47="","",IF(AND(K47&gt;0,K46=0),1,0))</f>
        <v/>
      </c>
      <c r="O47" s="116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 s="116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 s="116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 s="116">
        <f>IF(A48="","",IF(AND(K48&gt;0,K47=0),1,0))</f>
        <v/>
      </c>
      <c r="O48" s="116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 s="116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 s="116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 s="116">
        <f>IF(A49="","",IF(AND(K49&gt;0,K48=0),1,0))</f>
        <v/>
      </c>
      <c r="O49" s="116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 s="116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 s="116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 s="116">
        <f>IF(A50="","",IF(AND(K50&gt;0,K49=0),1,0))</f>
        <v/>
      </c>
      <c r="O50" s="116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 s="116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 s="116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 s="116">
        <f>IF(A51="","",IF(AND(K51&gt;0,K50=0),1,0))</f>
        <v/>
      </c>
      <c r="O51" s="116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 s="116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 s="116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 s="116">
        <f>IF(A52="","",IF(AND(K52&gt;0,K51=0),1,0))</f>
        <v/>
      </c>
      <c r="O52" s="116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 s="116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 s="116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 s="116">
        <f>IF(A53="","",IF(AND(K53&gt;0,K52=0),1,0))</f>
        <v/>
      </c>
      <c r="O53" s="116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 s="116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 s="116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 s="116">
        <f>IF(A54="","",IF(AND(K54&gt;0,K53=0),1,0))</f>
        <v/>
      </c>
      <c r="O54" s="116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 s="116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 s="116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 s="116">
        <f>IF(A55="","",IF(AND(K55&gt;0,K54=0),1,0))</f>
        <v/>
      </c>
      <c r="O55" s="116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 s="11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 s="11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 s="116">
        <f>IF(A56="","",IF(AND(K56&gt;0,K55=0),1,0))</f>
        <v/>
      </c>
      <c r="O56" s="11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 s="116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 s="116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 s="116">
        <f>IF(A57="","",IF(AND(K57&gt;0,K56=0),1,0))</f>
        <v/>
      </c>
      <c r="O57" s="116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 s="116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 s="116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 s="116">
        <f>IF(A58="","",IF(AND(K58&gt;0,K57=0),1,0))</f>
        <v/>
      </c>
      <c r="O58" s="116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 s="116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 s="116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 s="116">
        <f>IF(A59="","",IF(AND(K59&gt;0,K58=0),1,0))</f>
        <v/>
      </c>
      <c r="O59" s="116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 s="116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 s="116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 s="116">
        <f>IF(A60="","",IF(AND(K60&gt;0,K59=0),1,0))</f>
        <v/>
      </c>
      <c r="O60" s="116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 s="116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 s="116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 s="116">
        <f>IF(A61="","",IF(AND(K61&gt;0,K60=0),1,0))</f>
        <v/>
      </c>
      <c r="O61" s="116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 s="116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 s="116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 s="116">
        <f>IF(A62="","",IF(AND(K62&gt;0,K61=0),1,0))</f>
        <v/>
      </c>
      <c r="O62" s="116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 s="116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 s="116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 s="116">
        <f>IF(A63="","",IF(AND(K63&gt;0,K62=0),1,0))</f>
        <v/>
      </c>
      <c r="O63" s="116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 s="116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 s="116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 s="116">
        <f>IF(A64="","",IF(AND(K64&gt;0,K63=0),1,0))</f>
        <v/>
      </c>
      <c r="O64" s="116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 s="116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 s="116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 s="116">
        <f>IF(A65="","",IF(AND(K65&gt;0,K64=0),1,0))</f>
        <v/>
      </c>
      <c r="O65" s="116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 s="11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 s="11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 s="116">
        <f>IF(A66="","",IF(AND(K66&gt;0,K65=0),1,0))</f>
        <v/>
      </c>
      <c r="O66" s="11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 s="116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 s="116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 s="116">
        <f>IF(A67="","",IF(AND(K67&gt;0,K66=0),1,0))</f>
        <v/>
      </c>
      <c r="O67" s="116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 s="116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 s="116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 s="116">
        <f>IF(A68="","",IF(AND(K68&gt;0,K67=0),1,0))</f>
        <v/>
      </c>
      <c r="O68" s="116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 s="116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 s="116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 s="116">
        <f>IF(A69="","",IF(AND(K69&gt;0,K68=0),1,0))</f>
        <v/>
      </c>
      <c r="O69" s="116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 s="116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 s="116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 s="116">
        <f>IF(A70="","",IF(AND(K70&gt;0,K69=0),1,0))</f>
        <v/>
      </c>
      <c r="O70" s="116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 s="116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 s="116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 s="116">
        <f>IF(A71="","",IF(AND(K71&gt;0,K70=0),1,0))</f>
        <v/>
      </c>
      <c r="O71" s="116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 s="116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 s="116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 s="116">
        <f>IF(A72="","",IF(AND(K72&gt;0,K71=0),1,0))</f>
        <v/>
      </c>
      <c r="O72" s="116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 s="116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 s="116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 s="116">
        <f>IF(A73="","",IF(AND(K73&gt;0,K72=0),1,0))</f>
        <v/>
      </c>
      <c r="O73" s="116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 s="116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 s="116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 s="116">
        <f>IF(A74="","",IF(AND(K74&gt;0,K73=0),1,0))</f>
        <v/>
      </c>
      <c r="O74" s="116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 s="116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 s="116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 s="116">
        <f>IF(A75="","",IF(AND(K75&gt;0,K74=0),1,0))</f>
        <v/>
      </c>
      <c r="O75" s="116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 s="11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 s="11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 s="116">
        <f>IF(A76="","",IF(AND(K76&gt;0,K75=0),1,0))</f>
        <v/>
      </c>
      <c r="O76" s="11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 s="116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 s="116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 s="116">
        <f>IF(A77="","",IF(AND(K77&gt;0,K76=0),1,0))</f>
        <v/>
      </c>
      <c r="O77" s="116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 s="116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 s="116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 s="116">
        <f>IF(A78="","",IF(AND(K78&gt;0,K77=0),1,0))</f>
        <v/>
      </c>
      <c r="O78" s="116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 s="116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 s="116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 s="116">
        <f>IF(A79="","",IF(AND(K79&gt;0,K78=0),1,0))</f>
        <v/>
      </c>
      <c r="O79" s="116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 s="116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 s="116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 s="116">
        <f>IF(A80="","",IF(AND(K80&gt;0,K79=0),1,0))</f>
        <v/>
      </c>
      <c r="O80" s="116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 s="116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 s="116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 s="116">
        <f>IF(A81="","",IF(AND(K81&gt;0,K80=0),1,0))</f>
        <v/>
      </c>
      <c r="O81" s="116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 s="116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 s="116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 s="116">
        <f>IF(A82="","",IF(AND(K82&gt;0,K81=0),1,0))</f>
        <v/>
      </c>
      <c r="O82" s="116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 s="116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 s="116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 s="116">
        <f>IF(A83="","",IF(AND(K83&gt;0,K82=0),1,0))</f>
        <v/>
      </c>
      <c r="O83" s="116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 s="116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 s="116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 s="116">
        <f>IF(A84="","",IF(AND(K84&gt;0,K83=0),1,0))</f>
        <v/>
      </c>
      <c r="O84" s="116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 s="116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 s="116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 s="116">
        <f>IF(A85="","",IF(AND(K85&gt;0,K84=0),1,0))</f>
        <v/>
      </c>
      <c r="O85" s="116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 s="11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 s="11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 s="116">
        <f>IF(A86="","",IF(AND(K86&gt;0,K85=0),1,0))</f>
        <v/>
      </c>
      <c r="O86" s="11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 s="116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 s="116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 s="116">
        <f>IF(A87="","",IF(AND(K87&gt;0,K86=0),1,0))</f>
        <v/>
      </c>
      <c r="O87" s="116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 s="116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 s="116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 s="116">
        <f>IF(A88="","",IF(AND(K88&gt;0,K87=0),1,0))</f>
        <v/>
      </c>
      <c r="O88" s="116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 s="116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 s="116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 s="116">
        <f>IF(A89="","",IF(AND(K89&gt;0,K88=0),1,0))</f>
        <v/>
      </c>
      <c r="O89" s="116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 s="116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 s="116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 s="116">
        <f>IF(A90="","",IF(AND(K90&gt;0,K89=0),1,0))</f>
        <v/>
      </c>
      <c r="O90" s="116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 s="116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 s="116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 s="116">
        <f>IF(A91="","",IF(AND(K91&gt;0,K90=0),1,0))</f>
        <v/>
      </c>
      <c r="O91" s="116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 s="116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 s="116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 s="116">
        <f>IF(A92="","",IF(AND(K92&gt;0,K91=0),1,0))</f>
        <v/>
      </c>
      <c r="O92" s="116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 s="116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 s="116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 s="116">
        <f>IF(A93="","",IF(AND(K93&gt;0,K92=0),1,0))</f>
        <v/>
      </c>
      <c r="O93" s="116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 s="116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 s="116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 s="116">
        <f>IF(A94="","",IF(AND(K94&gt;0,K93=0),1,0))</f>
        <v/>
      </c>
      <c r="O94" s="116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 s="116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 s="116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 s="116">
        <f>IF(A95="","",IF(AND(K95&gt;0,K94=0),1,0))</f>
        <v/>
      </c>
      <c r="O95" s="116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 s="11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 s="11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 s="116">
        <f>IF(A96="","",IF(AND(K96&gt;0,K95=0),1,0))</f>
        <v/>
      </c>
      <c r="O96" s="11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 s="116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 s="116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 s="116">
        <f>IF(A97="","",IF(AND(K97&gt;0,K96=0),1,0))</f>
        <v/>
      </c>
      <c r="O97" s="116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 s="116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 s="116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 s="116">
        <f>IF(A98="","",IF(AND(K98&gt;0,K97=0),1,0))</f>
        <v/>
      </c>
      <c r="O98" s="116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 s="116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 s="116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 s="116">
        <f>IF(A99="","",IF(AND(K99&gt;0,K98=0),1,0))</f>
        <v/>
      </c>
      <c r="O99" s="116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 s="116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 s="116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 s="116">
        <f>IF(A100="","",IF(AND(K100&gt;0,K99=0),1,0))</f>
        <v/>
      </c>
      <c r="O100" s="116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 s="116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 s="116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 s="116">
        <f>IF(A101="","",IF(AND(K101&gt;0,K100=0),1,0))</f>
        <v/>
      </c>
      <c r="O101" s="116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 s="116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 s="116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 s="116">
        <f>IF(A102="","",IF(AND(K102&gt;0,K101=0),1,0))</f>
        <v/>
      </c>
      <c r="O102" s="116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 s="116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 s="116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 s="116">
        <f>IF(A103="","",IF(AND(K103&gt;0,K102=0),1,0))</f>
        <v/>
      </c>
      <c r="O103" s="116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 s="116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 s="116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 s="116">
        <f>IF(A104="","",IF(AND(K104&gt;0,K103=0),1,0))</f>
        <v/>
      </c>
      <c r="O104" s="116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 s="116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 s="116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 s="116">
        <f>IF(A105="","",IF(AND(K105&gt;0,K104=0),1,0))</f>
        <v/>
      </c>
      <c r="O105" s="116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 s="11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 s="11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 s="116">
        <f>IF(A106="","",IF(AND(K106&gt;0,K105=0),1,0))</f>
        <v/>
      </c>
      <c r="O106" s="11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 s="116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 s="116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 s="116">
        <f>IF(A107="","",IF(AND(K107&gt;0,K106=0),1,0))</f>
        <v/>
      </c>
      <c r="O107" s="116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 s="116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 s="116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 s="116">
        <f>IF(A108="","",IF(AND(K108&gt;0,K107=0),1,0))</f>
        <v/>
      </c>
      <c r="O108" s="116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 s="116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 s="116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 s="116">
        <f>IF(A109="","",IF(AND(K109&gt;0,K108=0),1,0))</f>
        <v/>
      </c>
      <c r="O109" s="116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 s="116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 s="116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 s="116">
        <f>IF(A110="","",IF(AND(K110&gt;0,K109=0),1,0))</f>
        <v/>
      </c>
      <c r="O110" s="116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 s="116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 s="116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 s="116">
        <f>IF(A111="","",IF(AND(K111&gt;0,K110=0),1,0))</f>
        <v/>
      </c>
      <c r="O111" s="116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 s="116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 s="116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 s="116">
        <f>IF(A112="","",IF(AND(K112&gt;0,K111=0),1,0))</f>
        <v/>
      </c>
      <c r="O112" s="116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 s="116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 s="116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 s="116">
        <f>IF(A113="","",IF(AND(K113&gt;0,K112=0),1,0))</f>
        <v/>
      </c>
      <c r="O113" s="116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 s="116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 s="116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 s="116">
        <f>IF(A114="","",IF(AND(K114&gt;0,K113=0),1,0))</f>
        <v/>
      </c>
      <c r="O114" s="116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 s="116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 s="116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 s="116">
        <f>IF(A115="","",IF(AND(K115&gt;0,K114=0),1,0))</f>
        <v/>
      </c>
      <c r="O115" s="116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 s="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 s="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 s="116">
        <f>IF(A116="","",IF(AND(K116&gt;0,K115=0),1,0))</f>
        <v/>
      </c>
      <c r="O116" s="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 s="116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 s="116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 s="116">
        <f>IF(A117="","",IF(AND(K117&gt;0,K116=0),1,0))</f>
        <v/>
      </c>
      <c r="O117" s="116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 s="116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 s="116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 s="116">
        <f>IF(A118="","",IF(AND(K118&gt;0,K117=0),1,0))</f>
        <v/>
      </c>
      <c r="O118" s="116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 s="116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 s="116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 s="116">
        <f>IF(A119="","",IF(AND(K119&gt;0,K118=0),1,0))</f>
        <v/>
      </c>
      <c r="O119" s="116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 s="116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 s="116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 s="116">
        <f>IF(A120="","",IF(AND(K120&gt;0,K119=0),1,0))</f>
        <v/>
      </c>
      <c r="O120" s="116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 s="116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 s="116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 s="116">
        <f>IF(A121="","",IF(AND(K121&gt;0,K120=0),1,0))</f>
        <v/>
      </c>
      <c r="O121" s="116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 s="116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 s="116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 s="116">
        <f>IF(A122="","",IF(AND(K122&gt;0,K121=0),1,0))</f>
        <v/>
      </c>
      <c r="O122" s="116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 s="116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 s="116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 s="116">
        <f>IF(A123="","",IF(AND(K123&gt;0,K122=0),1,0))</f>
        <v/>
      </c>
      <c r="O123" s="116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 s="116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 s="116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 s="116">
        <f>IF(A124="","",IF(AND(K124&gt;0,K123=0),1,0))</f>
        <v/>
      </c>
      <c r="O124" s="116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 s="116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 s="116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 s="116">
        <f>IF(A125="","",IF(AND(K125&gt;0,K124=0),1,0))</f>
        <v/>
      </c>
      <c r="O125" s="116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 s="11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 s="11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 s="116">
        <f>IF(A126="","",IF(AND(K126&gt;0,K125=0),1,0))</f>
        <v/>
      </c>
      <c r="O126" s="11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 s="116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 s="116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 s="116">
        <f>IF(A127="","",IF(AND(K127&gt;0,K126=0),1,0))</f>
        <v/>
      </c>
      <c r="O127" s="116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 s="116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 s="116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 s="116">
        <f>IF(A128="","",IF(AND(K128&gt;0,K127=0),1,0))</f>
        <v/>
      </c>
      <c r="O128" s="116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 s="116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 s="116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 s="116">
        <f>IF(A129="","",IF(AND(K129&gt;0,K128=0),1,0))</f>
        <v/>
      </c>
      <c r="O129" s="116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 s="116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 s="116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 s="116">
        <f>IF(A130="","",IF(AND(K130&gt;0,K129=0),1,0))</f>
        <v/>
      </c>
      <c r="O130" s="116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 s="116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 s="116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 s="116">
        <f>IF(A131="","",IF(AND(K131&gt;0,K130=0),1,0))</f>
        <v/>
      </c>
      <c r="O131" s="116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 s="116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 s="116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 s="116">
        <f>IF(A132="","",IF(AND(K132&gt;0,K131=0),1,0))</f>
        <v/>
      </c>
      <c r="O132" s="116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 s="116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 s="116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 s="116">
        <f>IF(A133="","",IF(AND(K133&gt;0,K132=0),1,0))</f>
        <v/>
      </c>
      <c r="O133" s="116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 s="116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 s="116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 s="116">
        <f>IF(A134="","",IF(AND(K134&gt;0,K133=0),1,0))</f>
        <v/>
      </c>
      <c r="O134" s="116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 s="116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 s="116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 s="116">
        <f>IF(A135="","",IF(AND(K135&gt;0,K134=0),1,0))</f>
        <v/>
      </c>
      <c r="O135" s="116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 s="11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 s="11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 s="116">
        <f>IF(A136="","",IF(AND(K136&gt;0,K135=0),1,0))</f>
        <v/>
      </c>
      <c r="O136" s="11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 s="116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 s="116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 s="116">
        <f>IF(A137="","",IF(AND(K137&gt;0,K136=0),1,0))</f>
        <v/>
      </c>
      <c r="O137" s="116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 s="116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 s="116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 s="116">
        <f>IF(A138="","",IF(AND(K138&gt;0,K137=0),1,0))</f>
        <v/>
      </c>
      <c r="O138" s="116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 s="116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 s="116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 s="116">
        <f>IF(A139="","",IF(AND(K139&gt;0,K138=0),1,0))</f>
        <v/>
      </c>
      <c r="O139" s="116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 s="116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 s="116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 s="116">
        <f>IF(A140="","",IF(AND(K140&gt;0,K139=0),1,0))</f>
        <v/>
      </c>
      <c r="O140" s="116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 s="116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 s="116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 s="116">
        <f>IF(A141="","",IF(AND(K141&gt;0,K140=0),1,0))</f>
        <v/>
      </c>
      <c r="O141" s="116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 s="116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 s="116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 s="116">
        <f>IF(A142="","",IF(AND(K142&gt;0,K141=0),1,0))</f>
        <v/>
      </c>
      <c r="O142" s="116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 s="116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 s="116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 s="116">
        <f>IF(A143="","",IF(AND(K143&gt;0,K142=0),1,0))</f>
        <v/>
      </c>
      <c r="O143" s="116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 s="116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 s="116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 s="116">
        <f>IF(A144="","",IF(AND(K144&gt;0,K143=0),1,0))</f>
        <v/>
      </c>
      <c r="O144" s="116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 s="116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 s="116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 s="116">
        <f>IF(A145="","",IF(AND(K145&gt;0,K144=0),1,0))</f>
        <v/>
      </c>
      <c r="O145" s="116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 s="11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 s="11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 s="116">
        <f>IF(A146="","",IF(AND(K146&gt;0,K145=0),1,0))</f>
        <v/>
      </c>
      <c r="O146" s="11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 s="116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 s="116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 s="116">
        <f>IF(A147="","",IF(AND(K147&gt;0,K146=0),1,0))</f>
        <v/>
      </c>
      <c r="O147" s="116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 s="116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 s="116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 s="116">
        <f>IF(A148="","",IF(AND(K148&gt;0,K147=0),1,0))</f>
        <v/>
      </c>
      <c r="O148" s="116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 s="116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 s="116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 s="116">
        <f>IF(A149="","",IF(AND(K149&gt;0,K148=0),1,0))</f>
        <v/>
      </c>
      <c r="O149" s="116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 s="116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 s="116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 s="116">
        <f>IF(A150="","",IF(AND(K150&gt;0,K149=0),1,0))</f>
        <v/>
      </c>
      <c r="O150" s="116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 s="116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 s="116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 s="116">
        <f>IF(A151="","",IF(AND(K151&gt;0,K150=0),1,0))</f>
        <v/>
      </c>
      <c r="O151" s="116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 s="116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 s="116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 s="116">
        <f>IF(A152="","",IF(AND(K152&gt;0,K151=0),1,0))</f>
        <v/>
      </c>
      <c r="O152" s="116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 s="116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 s="116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 s="116">
        <f>IF(A153="","",IF(AND(K153&gt;0,K152=0),1,0))</f>
        <v/>
      </c>
      <c r="O153" s="116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 s="116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 s="116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 s="116">
        <f>IF(A154="","",IF(AND(K154&gt;0,K153=0),1,0))</f>
        <v/>
      </c>
      <c r="O154" s="116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 s="116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 s="116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 s="116">
        <f>IF(A155="","",IF(AND(K155&gt;0,K154=0),1,0))</f>
        <v/>
      </c>
      <c r="O155" s="116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 s="11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 s="11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 s="116">
        <f>IF(A156="","",IF(AND(K156&gt;0,K155=0),1,0))</f>
        <v/>
      </c>
      <c r="O156" s="11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 s="116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 s="116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 s="116">
        <f>IF(A157="","",IF(AND(K157&gt;0,K156=0),1,0))</f>
        <v/>
      </c>
      <c r="O157" s="116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 s="116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 s="116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 s="116">
        <f>IF(A158="","",IF(AND(K158&gt;0,K157=0),1,0))</f>
        <v/>
      </c>
      <c r="O158" s="116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 s="116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 s="116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 s="116">
        <f>IF(A159="","",IF(AND(K159&gt;0,K158=0),1,0))</f>
        <v/>
      </c>
      <c r="O159" s="116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 s="116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 s="116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 s="116">
        <f>IF(A160="","",IF(AND(K160&gt;0,K159=0),1,0))</f>
        <v/>
      </c>
      <c r="O160" s="116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 s="116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 s="116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 s="116">
        <f>IF(A161="","",IF(AND(K161&gt;0,K160=0),1,0))</f>
        <v/>
      </c>
      <c r="O161" s="116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 s="116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 s="116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 s="116">
        <f>IF(A162="","",IF(AND(K162&gt;0,K161=0),1,0))</f>
        <v/>
      </c>
      <c r="O162" s="116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 s="116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 s="116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 s="116">
        <f>IF(A163="","",IF(AND(K163&gt;0,K162=0),1,0))</f>
        <v/>
      </c>
      <c r="O163" s="116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 s="116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 s="116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 s="116">
        <f>IF(A164="","",IF(AND(K164&gt;0,K163=0),1,0))</f>
        <v/>
      </c>
      <c r="O164" s="116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 s="116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 s="116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 s="116">
        <f>IF(A165="","",IF(AND(K165&gt;0,K164=0),1,0))</f>
        <v/>
      </c>
      <c r="O165" s="116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 s="11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 s="11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 s="116">
        <f>IF(A166="","",IF(AND(K166&gt;0,K165=0),1,0))</f>
        <v/>
      </c>
      <c r="O166" s="11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 s="116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 s="116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 s="116">
        <f>IF(A167="","",IF(AND(K167&gt;0,K166=0),1,0))</f>
        <v/>
      </c>
      <c r="O167" s="116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 s="116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 s="116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 s="116">
        <f>IF(A168="","",IF(AND(K168&gt;0,K167=0),1,0))</f>
        <v/>
      </c>
      <c r="O168" s="116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 s="116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 s="116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 s="116">
        <f>IF(A169="","",IF(AND(K169&gt;0,K168=0),1,0))</f>
        <v/>
      </c>
      <c r="O169" s="116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 s="116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 s="116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 s="116">
        <f>IF(A170="","",IF(AND(K170&gt;0,K169=0),1,0))</f>
        <v/>
      </c>
      <c r="O170" s="116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 s="116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 s="116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 s="116">
        <f>IF(A171="","",IF(AND(K171&gt;0,K170=0),1,0))</f>
        <v/>
      </c>
      <c r="O171" s="116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 s="116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 s="116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 s="116">
        <f>IF(A172="","",IF(AND(K172&gt;0,K171=0),1,0))</f>
        <v/>
      </c>
      <c r="O172" s="116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 s="116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 s="116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 s="116">
        <f>IF(A173="","",IF(AND(K173&gt;0,K172=0),1,0))</f>
        <v/>
      </c>
      <c r="O173" s="116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 s="116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 s="116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 s="116">
        <f>IF(A174="","",IF(AND(K174&gt;0,K173=0),1,0))</f>
        <v/>
      </c>
      <c r="O174" s="116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 s="116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 s="116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 s="116">
        <f>IF(A175="","",IF(AND(K175&gt;0,K174=0),1,0))</f>
        <v/>
      </c>
      <c r="O175" s="116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 s="11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 s="11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 s="116">
        <f>IF(A176="","",IF(AND(K176&gt;0,K175=0),1,0))</f>
        <v/>
      </c>
      <c r="O176" s="11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 s="116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 s="116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 s="116">
        <f>IF(A177="","",IF(AND(K177&gt;0,K176=0),1,0))</f>
        <v/>
      </c>
      <c r="O177" s="116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 s="116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 s="116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 s="116">
        <f>IF(A178="","",IF(AND(K178&gt;0,K177=0),1,0))</f>
        <v/>
      </c>
      <c r="O178" s="116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 s="116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 s="116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 s="116">
        <f>IF(A179="","",IF(AND(K179&gt;0,K178=0),1,0))</f>
        <v/>
      </c>
      <c r="O179" s="116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 s="116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 s="116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 s="116">
        <f>IF(A180="","",IF(AND(K180&gt;0,K179=0),1,0))</f>
        <v/>
      </c>
      <c r="O180" s="116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 s="116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 s="116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 s="116">
        <f>IF(A181="","",IF(AND(K181&gt;0,K180=0),1,0))</f>
        <v/>
      </c>
      <c r="O181" s="116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 s="116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 s="116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 s="116">
        <f>IF(A182="","",IF(AND(K182&gt;0,K181=0),1,0))</f>
        <v/>
      </c>
      <c r="O182" s="116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 s="116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 s="116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 s="116">
        <f>IF(A183="","",IF(AND(K183&gt;0,K182=0),1,0))</f>
        <v/>
      </c>
      <c r="O183" s="116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 s="116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 s="116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 s="116">
        <f>IF(A184="","",IF(AND(K184&gt;0,K183=0),1,0))</f>
        <v/>
      </c>
      <c r="O184" s="116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 s="116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 s="116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 s="116">
        <f>IF(A185="","",IF(AND(K185&gt;0,K184=0),1,0))</f>
        <v/>
      </c>
      <c r="O185" s="116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 s="11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 s="11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 s="116">
        <f>IF(A186="","",IF(AND(K186&gt;0,K185=0),1,0))</f>
        <v/>
      </c>
      <c r="O186" s="11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 s="116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 s="116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 s="116">
        <f>IF(A187="","",IF(AND(K187&gt;0,K186=0),1,0))</f>
        <v/>
      </c>
      <c r="O187" s="116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 s="116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 s="116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 s="116">
        <f>IF(A188="","",IF(AND(K188&gt;0,K187=0),1,0))</f>
        <v/>
      </c>
      <c r="O188" s="116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 s="116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 s="116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 s="116">
        <f>IF(A189="","",IF(AND(K189&gt;0,K188=0),1,0))</f>
        <v/>
      </c>
      <c r="O189" s="116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 s="116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 s="116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 s="116">
        <f>IF(A190="","",IF(AND(K190&gt;0,K189=0),1,0))</f>
        <v/>
      </c>
      <c r="O190" s="116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 s="116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 s="116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 s="116">
        <f>IF(A191="","",IF(AND(K191&gt;0,K190=0),1,0))</f>
        <v/>
      </c>
      <c r="O191" s="116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 s="116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 s="116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 s="116">
        <f>IF(A192="","",IF(AND(K192&gt;0,K191=0),1,0))</f>
        <v/>
      </c>
      <c r="O192" s="116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 s="116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 s="116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 s="116">
        <f>IF(A193="","",IF(AND(K193&gt;0,K192=0),1,0))</f>
        <v/>
      </c>
      <c r="O193" s="116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 s="116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 s="116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 s="116">
        <f>IF(A194="","",IF(AND(K194&gt;0,K193=0),1,0))</f>
        <v/>
      </c>
      <c r="O194" s="116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 s="116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 s="116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 s="116">
        <f>IF(A195="","",IF(AND(K195&gt;0,K194=0),1,0))</f>
        <v/>
      </c>
      <c r="O195" s="116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 s="11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 s="11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 s="116">
        <f>IF(A196="","",IF(AND(K196&gt;0,K195=0),1,0))</f>
        <v/>
      </c>
      <c r="O196" s="11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 s="116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 s="116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 s="116">
        <f>IF(A197="","",IF(AND(K197&gt;0,K196=0),1,0))</f>
        <v/>
      </c>
      <c r="O197" s="116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 s="116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 s="116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 s="116">
        <f>IF(A198="","",IF(AND(K198&gt;0,K197=0),1,0))</f>
        <v/>
      </c>
      <c r="O198" s="116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 s="116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 s="116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 s="116">
        <f>IF(A199="","",IF(AND(K199&gt;0,K198=0),1,0))</f>
        <v/>
      </c>
      <c r="O199" s="116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 s="116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 s="116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 s="116">
        <f>IF(A200="","",IF(AND(K200&gt;0,K199=0),1,0))</f>
        <v/>
      </c>
      <c r="O200" s="116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  <row r="205">
      <c r="B205" s="116" t="inlineStr">
        <is>
          <t>MassError_m3</t>
        </is>
      </c>
      <c r="C205" s="250">
        <f>C206-G206-I206-M206-E206</f>
        <v/>
      </c>
      <c r="N205" s="116" t="inlineStr">
        <is>
          <t>Total_starts</t>
        </is>
      </c>
      <c r="O205" s="250">
        <f>INDEX(O:O,MIN(200,Inputs!$B$53+2))</f>
        <v/>
      </c>
    </row>
    <row r="206">
      <c r="C206" s="250">
        <f>SUM(C2:INDEX(C:C,MIN(200,Inputs!$B$53+2)))*Inputs!$B$9</f>
        <v/>
      </c>
      <c r="D206" s="250">
        <f>INDEX(D:D,MIN(200,Inputs!$B$53+2))</f>
        <v/>
      </c>
      <c r="E206" s="250">
        <f>D206+H206-D2-H2</f>
        <v/>
      </c>
      <c r="G206" s="250">
        <f>SUM(G2:INDEX(G:G,MIN(200,Inputs!$B$53+2)))*Inputs!$B$9</f>
        <v/>
      </c>
      <c r="H206" s="250">
        <f>INDEX(H:H,MIN(200,Inputs!$B$53+2))</f>
        <v/>
      </c>
      <c r="I206" s="250">
        <f>SUM(I2:INDEX(I:I,MIN(200,Inputs!$B$53+2)))*Inputs!$B$9</f>
        <v/>
      </c>
      <c r="M206" s="250">
        <f>SUM(M2:INDEX(M:M,MIN(200,Inputs!$B$53+2)))*Inputs!$B$9</f>
        <v/>
      </c>
      <c r="N206" s="116" t="inlineStr">
        <is>
          <t>Event_hours</t>
        </is>
      </c>
      <c r="O206" s="250">
        <f>Inputs!$B$52/60</f>
        <v/>
      </c>
    </row>
    <row r="207">
      <c r="N207" s="116" t="inlineStr">
        <is>
          <t>Starts_per_hr</t>
        </is>
      </c>
      <c r="O207" s="250">
        <f>IF(O206=0,"",O205/O206)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Routing!$O$205</f>
        <v/>
      </c>
    </row>
    <row r="32" ht="25.5" customHeight="1" s="117">
      <c r="A32" s="189" t="inlineStr">
        <is>
          <t>Durée de l’événement (h)</t>
        </is>
      </c>
      <c r="B32" s="265">
        <f>Routing!$O$206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s="116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selection activeCell="A1" sqref="A1"/>
    </sheetView>
  </sheetViews>
  <sheetFormatPr baseColWidth="8" defaultRowHeight="15"/>
  <cols>
    <col width="8" customWidth="1" style="117" min="1" max="1"/>
    <col width="12" customWidth="1" style="117" min="2" max="2"/>
    <col width="14" customWidth="1" style="117" min="3" max="3"/>
    <col width="42" customWidth="1" style="117" min="4" max="4"/>
    <col width="14" customWidth="1" style="117" min="5" max="5"/>
    <col width="14" customWidth="1" style="117" min="6" max="6"/>
    <col width="12" customWidth="1" style="117" min="7" max="7"/>
    <col width="12" customWidth="1" style="117" min="8" max="8"/>
    <col width="14" customWidth="1" style="117" min="9" max="9"/>
    <col width="16" customWidth="1" style="117" min="10" max="10"/>
    <col width="16" customWidth="1" style="117" min="11" max="11"/>
  </cols>
  <sheetData>
    <row r="1">
      <c r="A1" s="236" t="inlineStr">
        <is>
          <t>ROUTAGE DU REGARD AVAL (APRES POSTE DE POMPAGE)</t>
        </is>
      </c>
    </row>
    <row r="2">
      <c r="A2" s="281" t="inlineStr">
        <is>
          <t>Calcul explicite: V_fin = MAX(0, V_debut + (Q_in - Q_out)*dt). Q_in provient de Routing!M. Q_out est lu/interpole depuis la courbe niveau-debit.</t>
        </is>
      </c>
    </row>
    <row r="4">
      <c r="A4" s="240" t="inlineStr">
        <is>
          <t>PARAMETRES</t>
        </is>
      </c>
      <c r="F4" s="240" t="inlineStr">
        <is>
          <t>RESULTATS</t>
        </is>
      </c>
      <c r="J4" s="240" t="inlineStr">
        <is>
          <t>COURBE Qout UTILISATEUR</t>
        </is>
      </c>
    </row>
    <row r="5">
      <c r="A5" s="116" t="inlineStr">
        <is>
          <t>Invert_regard_aval_m</t>
        </is>
      </c>
      <c r="B5" s="282" t="n">
        <v>103.03</v>
      </c>
      <c r="C5" s="116" t="inlineStr">
        <is>
          <t>m</t>
        </is>
      </c>
      <c r="D5" s="116" t="inlineStr">
        <is>
          <t>Fond du regard aval</t>
        </is>
      </c>
      <c r="F5" s="116" t="inlineStr">
        <is>
          <t>Vmax_calcule_m3</t>
        </is>
      </c>
      <c r="G5" s="283">
        <f>IF(B11&lt;=0,"",MAX(H16:INDEX(H:H,15+B11)))</f>
        <v/>
      </c>
      <c r="J5" s="284" t="inlineStr">
        <is>
          <t>Niveau_eau_m</t>
        </is>
      </c>
      <c r="K5" s="284" t="inlineStr">
        <is>
          <t>Qout_gravite_m3s</t>
        </is>
      </c>
    </row>
    <row r="6">
      <c r="A6" s="116" t="inlineStr">
        <is>
          <t>Diametre_regard_aval_m</t>
        </is>
      </c>
      <c r="B6" s="282" t="n">
        <v>1.5</v>
      </c>
      <c r="C6" s="116" t="inlineStr">
        <is>
          <t>m</t>
        </is>
      </c>
      <c r="D6" s="116" t="inlineStr">
        <is>
          <t>Diametre interieur utile</t>
        </is>
      </c>
      <c r="F6" s="116" t="inlineStr">
        <is>
          <t>Vreq_avec_FS_m3</t>
        </is>
      </c>
      <c r="G6" s="283">
        <f>IF(G5="","",G5*B9)</f>
        <v/>
      </c>
      <c r="J6" s="282">
        <f>B5</f>
        <v/>
      </c>
      <c r="K6" s="282" t="n">
        <v>0</v>
      </c>
    </row>
    <row r="7">
      <c r="A7" s="116" t="inlineStr">
        <is>
          <t>Aire_regard_aval_m2</t>
        </is>
      </c>
      <c r="B7" s="282">
        <f>PI()*B6^2/4</f>
        <v/>
      </c>
      <c r="C7" s="116" t="inlineStr">
        <is>
          <t>m2</t>
        </is>
      </c>
      <c r="D7" s="116" t="inlineStr">
        <is>
          <t>Aire de stockage verticale</t>
        </is>
      </c>
      <c r="F7" s="116" t="inlineStr">
        <is>
          <t>Hauteur_req_m</t>
        </is>
      </c>
      <c r="G7" s="283">
        <f>IF(OR(G6="",B7=0),"",G6/B7)</f>
        <v/>
      </c>
      <c r="J7" s="282">
        <f>B5+0.10</f>
        <v/>
      </c>
      <c r="K7" s="282" t="n">
        <v>0.005</v>
      </c>
    </row>
    <row r="8">
      <c r="A8" s="116" t="inlineStr">
        <is>
          <t>Volume_initial_m3</t>
        </is>
      </c>
      <c r="B8" s="282" t="n">
        <v>0</v>
      </c>
      <c r="C8" s="116" t="inlineStr">
        <is>
          <t>m3</t>
        </is>
      </c>
      <c r="D8" s="116" t="inlineStr">
        <is>
          <t>Condition initiale au debut de l evenement</t>
        </is>
      </c>
      <c r="F8" s="116" t="inlineStr">
        <is>
          <t>Niveau_eau_max_requis_m</t>
        </is>
      </c>
      <c r="G8" s="283">
        <f>IF(G7="","",B5+G7)</f>
        <v/>
      </c>
      <c r="J8" s="282">
        <f>B5+0.20</f>
        <v/>
      </c>
      <c r="K8" s="282" t="n">
        <v>0.012</v>
      </c>
    </row>
    <row r="9">
      <c r="A9" s="116" t="inlineStr">
        <is>
          <t>Facteur_securite_stockage</t>
        </is>
      </c>
      <c r="B9" s="282" t="n">
        <v>1.15</v>
      </c>
      <c r="C9" s="116" t="inlineStr">
        <is>
          <t>-</t>
        </is>
      </c>
      <c r="D9" s="116" t="inlineStr">
        <is>
          <t>Applique sur Vmax</t>
        </is>
      </c>
      <c r="F9" s="116" t="inlineStr">
        <is>
          <t>Verification_niveau</t>
        </is>
      </c>
      <c r="G9" s="285">
        <f>IF(OR(G8="",B12=""),"INFO",IF(G8&lt;=B12,"PASS","FAIL"))</f>
        <v/>
      </c>
      <c r="J9" s="282">
        <f>B5+0.30</f>
        <v/>
      </c>
      <c r="K9" s="282" t="n">
        <v>0.022</v>
      </c>
    </row>
    <row r="10">
      <c r="A10" s="116" t="inlineStr">
        <is>
          <t>Pas_temps_sec</t>
        </is>
      </c>
      <c r="B10" s="282">
        <f>Inputs!$B$9</f>
        <v/>
      </c>
      <c r="C10" s="116" t="inlineStr">
        <is>
          <t>s</t>
        </is>
      </c>
      <c r="D10" s="116" t="inlineStr">
        <is>
          <t>Pas du routage (doit suivre Inputs)</t>
        </is>
      </c>
      <c r="F10" s="116" t="inlineStr">
        <is>
          <t>Marge_niveau_m</t>
        </is>
      </c>
      <c r="G10" s="283">
        <f>IF(OR(G8="",B12=""),"",B12-G8)</f>
        <v/>
      </c>
      <c r="J10" s="282">
        <f>B5+0.40</f>
        <v/>
      </c>
      <c r="K10" s="282" t="n">
        <v>0.035</v>
      </c>
    </row>
    <row r="11">
      <c r="A11" s="116" t="inlineStr">
        <is>
          <t>Nb_pas_evenement</t>
        </is>
      </c>
      <c r="B11" s="286">
        <f>Inputs!$B$53</f>
        <v/>
      </c>
      <c r="C11" s="116" t="inlineStr">
        <is>
          <t>-</t>
        </is>
      </c>
      <c r="D11" s="116" t="inlineStr">
        <is>
          <t>Nombre de pas actifs depuis Inputs</t>
        </is>
      </c>
      <c r="J11" s="282">
        <f>B5+0.50</f>
        <v/>
      </c>
      <c r="K11" s="282" t="n">
        <v>0.05</v>
      </c>
    </row>
    <row r="12">
      <c r="A12" s="116" t="inlineStr">
        <is>
          <t>Niveau_max_admissible_m</t>
        </is>
      </c>
      <c r="B12" s="282">
        <f>B5+1.00</f>
        <v/>
      </c>
      <c r="C12" s="116" t="inlineStr">
        <is>
          <t>m</t>
        </is>
      </c>
      <c r="D12" s="116" t="inlineStr">
        <is>
          <t>Ajuster selon geometre/rim/freeboard</t>
        </is>
      </c>
      <c r="J12" s="116" t="inlineStr">
        <is>
          <t>Note: Niveaux J6:J11 doivent etre croissants.</t>
        </is>
      </c>
    </row>
    <row r="15">
      <c r="A15" s="287" t="inlineStr">
        <is>
          <t>Pas</t>
        </is>
      </c>
      <c r="B15" s="287" t="inlineStr">
        <is>
          <t>Temps_min</t>
        </is>
      </c>
      <c r="C15" s="287" t="inlineStr">
        <is>
          <t>Qin_pompe_m3s</t>
        </is>
      </c>
      <c r="D15" s="287" t="inlineStr">
        <is>
          <t>V_debut_m3</t>
        </is>
      </c>
      <c r="E15" s="287" t="inlineStr">
        <is>
          <t>Niveau_debut_m</t>
        </is>
      </c>
      <c r="F15" s="287" t="inlineStr">
        <is>
          <t>Qout_m3s_interp</t>
        </is>
      </c>
      <c r="G15" s="287" t="inlineStr">
        <is>
          <t>DeltaV_m3</t>
        </is>
      </c>
      <c r="H15" s="287" t="inlineStr">
        <is>
          <t>V_fin_m3</t>
        </is>
      </c>
      <c r="I15" s="287" t="inlineStr">
        <is>
          <t>Niveau_fin_m</t>
        </is>
      </c>
    </row>
    <row r="16">
      <c r="A16" s="288">
        <f>IF(B11&lt;=0,"",1)</f>
        <v/>
      </c>
      <c r="B16" s="288">
        <f>IF(ROW()-15&lt;=$B$11,INDEX(Routing!$A:$A,ROW()-14),"")</f>
        <v/>
      </c>
      <c r="C16" s="289">
        <f>IF(B16="","",INDEX(Routing!$M:$M,ROW()-14))</f>
        <v/>
      </c>
      <c r="D16" s="289">
        <f>IF(B16="","",$B$8)</f>
        <v/>
      </c>
      <c r="E16" s="289">
        <f>IF(B16="","",$B$5+IF($B$7=0,0,D16/$B$7))</f>
        <v/>
      </c>
      <c r="F16" s="289">
        <f>IF(B16="","",IF(E16&lt;=J6,K6,IF(E16&gt;=J11,K11,INDEX(K6:K11,MATCH(E16,J6:J11,1))+(E16-INDEX(J6:J11,MATCH(E16,J6:J11,1)))*(INDEX(K6:K11,MATCH(E16,J6:J11,1)+1)-INDEX(K6:K11,MATCH(E16,J6:J11,1)))/(INDEX(J6:J11,MATCH(E16,J6:J11,1)+1)-INDEX(J6:J11,MATCH(E16,J6:J11,1))))))</f>
        <v/>
      </c>
      <c r="G16" s="289">
        <f>IF(B16="","",(C16-F16)*$B$10)</f>
        <v/>
      </c>
      <c r="H16" s="289">
        <f>IF(B16="","",MAX(0,D16+G16))</f>
        <v/>
      </c>
      <c r="I16" s="289">
        <f>IF(B16="","",$B$5+IF($B$7=0,0,H16/$B$7))</f>
        <v/>
      </c>
    </row>
    <row r="17">
      <c r="A17" s="288">
        <f>IF(B17="","",A16+1)</f>
        <v/>
      </c>
      <c r="B17" s="288">
        <f>IF(ROW()-15&lt;=$B$11,INDEX(Routing!$A:$A,ROW()-14),"")</f>
        <v/>
      </c>
      <c r="C17" s="289">
        <f>IF(B17="","",INDEX(Routing!$M:$M,ROW()-14))</f>
        <v/>
      </c>
      <c r="D17" s="289">
        <f>IF(B17="","",H16)</f>
        <v/>
      </c>
      <c r="E17" s="289">
        <f>IF(B17="","",$B$5+IF($B$7=0,0,D17/$B$7))</f>
        <v/>
      </c>
      <c r="F17" s="289">
        <f>IF(B17="","",IF(E17&lt;=J6,K6,IF(E17&gt;=J11,K11,INDEX(K6:K11,MATCH(E17,J6:J11,1))+(E17-INDEX(J6:J11,MATCH(E17,J6:J11,1)))*(INDEX(K6:K11,MATCH(E17,J6:J11,1)+1)-INDEX(K6:K11,MATCH(E17,J6:J11,1)))/(INDEX(J6:J11,MATCH(E17,J6:J11,1)+1)-INDEX(J6:J11,MATCH(E17,J6:J11,1))))))</f>
        <v/>
      </c>
      <c r="G17" s="289">
        <f>IF(B17="","",(C17-F17)*$B$10)</f>
        <v/>
      </c>
      <c r="H17" s="289">
        <f>IF(B17="","",MAX(0,D17+G17))</f>
        <v/>
      </c>
      <c r="I17" s="289">
        <f>IF(B17="","",$B$5+IF($B$7=0,0,H17/$B$7))</f>
        <v/>
      </c>
    </row>
    <row r="18">
      <c r="A18" s="288">
        <f>IF(B18="","",A17+1)</f>
        <v/>
      </c>
      <c r="B18" s="288">
        <f>IF(ROW()-15&lt;=$B$11,INDEX(Routing!$A:$A,ROW()-14),"")</f>
        <v/>
      </c>
      <c r="C18" s="289">
        <f>IF(B18="","",INDEX(Routing!$M:$M,ROW()-14))</f>
        <v/>
      </c>
      <c r="D18" s="289">
        <f>IF(B18="","",H17)</f>
        <v/>
      </c>
      <c r="E18" s="289">
        <f>IF(B18="","",$B$5+IF($B$7=0,0,D18/$B$7))</f>
        <v/>
      </c>
      <c r="F18" s="289">
        <f>IF(B18="","",IF(E18&lt;=J6,K6,IF(E18&gt;=J11,K11,INDEX(K6:K11,MATCH(E18,J6:J11,1))+(E18-INDEX(J6:J11,MATCH(E18,J6:J11,1)))*(INDEX(K6:K11,MATCH(E18,J6:J11,1)+1)-INDEX(K6:K11,MATCH(E18,J6:J11,1)))/(INDEX(J6:J11,MATCH(E18,J6:J11,1)+1)-INDEX(J6:J11,MATCH(E18,J6:J11,1))))))</f>
        <v/>
      </c>
      <c r="G18" s="289">
        <f>IF(B18="","",(C18-F18)*$B$10)</f>
        <v/>
      </c>
      <c r="H18" s="289">
        <f>IF(B18="","",MAX(0,D18+G18))</f>
        <v/>
      </c>
      <c r="I18" s="289">
        <f>IF(B18="","",$B$5+IF($B$7=0,0,H18/$B$7))</f>
        <v/>
      </c>
    </row>
    <row r="19">
      <c r="A19" s="288">
        <f>IF(B19="","",A18+1)</f>
        <v/>
      </c>
      <c r="B19" s="288">
        <f>IF(ROW()-15&lt;=$B$11,INDEX(Routing!$A:$A,ROW()-14),"")</f>
        <v/>
      </c>
      <c r="C19" s="289">
        <f>IF(B19="","",INDEX(Routing!$M:$M,ROW()-14))</f>
        <v/>
      </c>
      <c r="D19" s="289">
        <f>IF(B19="","",H18)</f>
        <v/>
      </c>
      <c r="E19" s="289">
        <f>IF(B19="","",$B$5+IF($B$7=0,0,D19/$B$7))</f>
        <v/>
      </c>
      <c r="F19" s="289">
        <f>IF(B19="","",IF(E19&lt;=J6,K6,IF(E19&gt;=J11,K11,INDEX(K6:K11,MATCH(E19,J6:J11,1))+(E19-INDEX(J6:J11,MATCH(E19,J6:J11,1)))*(INDEX(K6:K11,MATCH(E19,J6:J11,1)+1)-INDEX(K6:K11,MATCH(E19,J6:J11,1)))/(INDEX(J6:J11,MATCH(E19,J6:J11,1)+1)-INDEX(J6:J11,MATCH(E19,J6:J11,1))))))</f>
        <v/>
      </c>
      <c r="G19" s="289">
        <f>IF(B19="","",(C19-F19)*$B$10)</f>
        <v/>
      </c>
      <c r="H19" s="289">
        <f>IF(B19="","",MAX(0,D19+G19))</f>
        <v/>
      </c>
      <c r="I19" s="289">
        <f>IF(B19="","",$B$5+IF($B$7=0,0,H19/$B$7))</f>
        <v/>
      </c>
    </row>
    <row r="20">
      <c r="A20" s="288">
        <f>IF(B20="","",A19+1)</f>
        <v/>
      </c>
      <c r="B20" s="288">
        <f>IF(ROW()-15&lt;=$B$11,INDEX(Routing!$A:$A,ROW()-14),"")</f>
        <v/>
      </c>
      <c r="C20" s="289">
        <f>IF(B20="","",INDEX(Routing!$M:$M,ROW()-14))</f>
        <v/>
      </c>
      <c r="D20" s="289">
        <f>IF(B20="","",H19)</f>
        <v/>
      </c>
      <c r="E20" s="289">
        <f>IF(B20="","",$B$5+IF($B$7=0,0,D20/$B$7))</f>
        <v/>
      </c>
      <c r="F20" s="289">
        <f>IF(B20="","",IF(E20&lt;=J6,K6,IF(E20&gt;=J11,K11,INDEX(K6:K11,MATCH(E20,J6:J11,1))+(E20-INDEX(J6:J11,MATCH(E20,J6:J11,1)))*(INDEX(K6:K11,MATCH(E20,J6:J11,1)+1)-INDEX(K6:K11,MATCH(E20,J6:J11,1)))/(INDEX(J6:J11,MATCH(E20,J6:J11,1)+1)-INDEX(J6:J11,MATCH(E20,J6:J11,1))))))</f>
        <v/>
      </c>
      <c r="G20" s="289">
        <f>IF(B20="","",(C20-F20)*$B$10)</f>
        <v/>
      </c>
      <c r="H20" s="289">
        <f>IF(B20="","",MAX(0,D20+G20))</f>
        <v/>
      </c>
      <c r="I20" s="289">
        <f>IF(B20="","",$B$5+IF($B$7=0,0,H20/$B$7))</f>
        <v/>
      </c>
    </row>
    <row r="21">
      <c r="A21" s="288">
        <f>IF(B21="","",A20+1)</f>
        <v/>
      </c>
      <c r="B21" s="288">
        <f>IF(ROW()-15&lt;=$B$11,INDEX(Routing!$A:$A,ROW()-14),"")</f>
        <v/>
      </c>
      <c r="C21" s="289">
        <f>IF(B21="","",INDEX(Routing!$M:$M,ROW()-14))</f>
        <v/>
      </c>
      <c r="D21" s="289">
        <f>IF(B21="","",H20)</f>
        <v/>
      </c>
      <c r="E21" s="289">
        <f>IF(B21="","",$B$5+IF($B$7=0,0,D21/$B$7))</f>
        <v/>
      </c>
      <c r="F21" s="289">
        <f>IF(B21="","",IF(E21&lt;=J6,K6,IF(E21&gt;=J11,K11,INDEX(K6:K11,MATCH(E21,J6:J11,1))+(E21-INDEX(J6:J11,MATCH(E21,J6:J11,1)))*(INDEX(K6:K11,MATCH(E21,J6:J11,1)+1)-INDEX(K6:K11,MATCH(E21,J6:J11,1)))/(INDEX(J6:J11,MATCH(E21,J6:J11,1)+1)-INDEX(J6:J11,MATCH(E21,J6:J11,1))))))</f>
        <v/>
      </c>
      <c r="G21" s="289">
        <f>IF(B21="","",(C21-F21)*$B$10)</f>
        <v/>
      </c>
      <c r="H21" s="289">
        <f>IF(B21="","",MAX(0,D21+G21))</f>
        <v/>
      </c>
      <c r="I21" s="289">
        <f>IF(B21="","",$B$5+IF($B$7=0,0,H21/$B$7))</f>
        <v/>
      </c>
    </row>
    <row r="22">
      <c r="A22" s="288">
        <f>IF(B22="","",A21+1)</f>
        <v/>
      </c>
      <c r="B22" s="288">
        <f>IF(ROW()-15&lt;=$B$11,INDEX(Routing!$A:$A,ROW()-14),"")</f>
        <v/>
      </c>
      <c r="C22" s="289">
        <f>IF(B22="","",INDEX(Routing!$M:$M,ROW()-14))</f>
        <v/>
      </c>
      <c r="D22" s="289">
        <f>IF(B22="","",H21)</f>
        <v/>
      </c>
      <c r="E22" s="289">
        <f>IF(B22="","",$B$5+IF($B$7=0,0,D22/$B$7))</f>
        <v/>
      </c>
      <c r="F22" s="289">
        <f>IF(B22="","",IF(E22&lt;=J6,K6,IF(E22&gt;=J11,K11,INDEX(K6:K11,MATCH(E22,J6:J11,1))+(E22-INDEX(J6:J11,MATCH(E22,J6:J11,1)))*(INDEX(K6:K11,MATCH(E22,J6:J11,1)+1)-INDEX(K6:K11,MATCH(E22,J6:J11,1)))/(INDEX(J6:J11,MATCH(E22,J6:J11,1)+1)-INDEX(J6:J11,MATCH(E22,J6:J11,1))))))</f>
        <v/>
      </c>
      <c r="G22" s="289">
        <f>IF(B22="","",(C22-F22)*$B$10)</f>
        <v/>
      </c>
      <c r="H22" s="289">
        <f>IF(B22="","",MAX(0,D22+G22))</f>
        <v/>
      </c>
      <c r="I22" s="289">
        <f>IF(B22="","",$B$5+IF($B$7=0,0,H22/$B$7))</f>
        <v/>
      </c>
    </row>
    <row r="23">
      <c r="A23" s="288">
        <f>IF(B23="","",A22+1)</f>
        <v/>
      </c>
      <c r="B23" s="288">
        <f>IF(ROW()-15&lt;=$B$11,INDEX(Routing!$A:$A,ROW()-14),"")</f>
        <v/>
      </c>
      <c r="C23" s="289">
        <f>IF(B23="","",INDEX(Routing!$M:$M,ROW()-14))</f>
        <v/>
      </c>
      <c r="D23" s="289">
        <f>IF(B23="","",H22)</f>
        <v/>
      </c>
      <c r="E23" s="289">
        <f>IF(B23="","",$B$5+IF($B$7=0,0,D23/$B$7))</f>
        <v/>
      </c>
      <c r="F23" s="289">
        <f>IF(B23="","",IF(E23&lt;=J6,K6,IF(E23&gt;=J11,K11,INDEX(K6:K11,MATCH(E23,J6:J11,1))+(E23-INDEX(J6:J11,MATCH(E23,J6:J11,1)))*(INDEX(K6:K11,MATCH(E23,J6:J11,1)+1)-INDEX(K6:K11,MATCH(E23,J6:J11,1)))/(INDEX(J6:J11,MATCH(E23,J6:J11,1)+1)-INDEX(J6:J11,MATCH(E23,J6:J11,1))))))</f>
        <v/>
      </c>
      <c r="G23" s="289">
        <f>IF(B23="","",(C23-F23)*$B$10)</f>
        <v/>
      </c>
      <c r="H23" s="289">
        <f>IF(B23="","",MAX(0,D23+G23))</f>
        <v/>
      </c>
      <c r="I23" s="289">
        <f>IF(B23="","",$B$5+IF($B$7=0,0,H23/$B$7))</f>
        <v/>
      </c>
    </row>
    <row r="24">
      <c r="A24" s="288">
        <f>IF(B24="","",A23+1)</f>
        <v/>
      </c>
      <c r="B24" s="288">
        <f>IF(ROW()-15&lt;=$B$11,INDEX(Routing!$A:$A,ROW()-14),"")</f>
        <v/>
      </c>
      <c r="C24" s="289">
        <f>IF(B24="","",INDEX(Routing!$M:$M,ROW()-14))</f>
        <v/>
      </c>
      <c r="D24" s="289">
        <f>IF(B24="","",H23)</f>
        <v/>
      </c>
      <c r="E24" s="289">
        <f>IF(B24="","",$B$5+IF($B$7=0,0,D24/$B$7))</f>
        <v/>
      </c>
      <c r="F24" s="289">
        <f>IF(B24="","",IF(E24&lt;=J6,K6,IF(E24&gt;=J11,K11,INDEX(K6:K11,MATCH(E24,J6:J11,1))+(E24-INDEX(J6:J11,MATCH(E24,J6:J11,1)))*(INDEX(K6:K11,MATCH(E24,J6:J11,1)+1)-INDEX(K6:K11,MATCH(E24,J6:J11,1)))/(INDEX(J6:J11,MATCH(E24,J6:J11,1)+1)-INDEX(J6:J11,MATCH(E24,J6:J11,1))))))</f>
        <v/>
      </c>
      <c r="G24" s="289">
        <f>IF(B24="","",(C24-F24)*$B$10)</f>
        <v/>
      </c>
      <c r="H24" s="289">
        <f>IF(B24="","",MAX(0,D24+G24))</f>
        <v/>
      </c>
      <c r="I24" s="289">
        <f>IF(B24="","",$B$5+IF($B$7=0,0,H24/$B$7))</f>
        <v/>
      </c>
    </row>
    <row r="25">
      <c r="A25" s="288">
        <f>IF(B25="","",A24+1)</f>
        <v/>
      </c>
      <c r="B25" s="288">
        <f>IF(ROW()-15&lt;=$B$11,INDEX(Routing!$A:$A,ROW()-14),"")</f>
        <v/>
      </c>
      <c r="C25" s="289">
        <f>IF(B25="","",INDEX(Routing!$M:$M,ROW()-14))</f>
        <v/>
      </c>
      <c r="D25" s="289">
        <f>IF(B25="","",H24)</f>
        <v/>
      </c>
      <c r="E25" s="289">
        <f>IF(B25="","",$B$5+IF($B$7=0,0,D25/$B$7))</f>
        <v/>
      </c>
      <c r="F25" s="289">
        <f>IF(B25="","",IF(E25&lt;=J6,K6,IF(E25&gt;=J11,K11,INDEX(K6:K11,MATCH(E25,J6:J11,1))+(E25-INDEX(J6:J11,MATCH(E25,J6:J11,1)))*(INDEX(K6:K11,MATCH(E25,J6:J11,1)+1)-INDEX(K6:K11,MATCH(E25,J6:J11,1)))/(INDEX(J6:J11,MATCH(E25,J6:J11,1)+1)-INDEX(J6:J11,MATCH(E25,J6:J11,1))))))</f>
        <v/>
      </c>
      <c r="G25" s="289">
        <f>IF(B25="","",(C25-F25)*$B$10)</f>
        <v/>
      </c>
      <c r="H25" s="289">
        <f>IF(B25="","",MAX(0,D25+G25))</f>
        <v/>
      </c>
      <c r="I25" s="289">
        <f>IF(B25="","",$B$5+IF($B$7=0,0,H25/$B$7))</f>
        <v/>
      </c>
    </row>
    <row r="26">
      <c r="A26" s="288">
        <f>IF(B26="","",A25+1)</f>
        <v/>
      </c>
      <c r="B26" s="288">
        <f>IF(ROW()-15&lt;=$B$11,INDEX(Routing!$A:$A,ROW()-14),"")</f>
        <v/>
      </c>
      <c r="C26" s="289">
        <f>IF(B26="","",INDEX(Routing!$M:$M,ROW()-14))</f>
        <v/>
      </c>
      <c r="D26" s="289">
        <f>IF(B26="","",H25)</f>
        <v/>
      </c>
      <c r="E26" s="289">
        <f>IF(B26="","",$B$5+IF($B$7=0,0,D26/$B$7))</f>
        <v/>
      </c>
      <c r="F26" s="289">
        <f>IF(B26="","",IF(E26&lt;=J6,K6,IF(E26&gt;=J11,K11,INDEX(K6:K11,MATCH(E26,J6:J11,1))+(E26-INDEX(J6:J11,MATCH(E26,J6:J11,1)))*(INDEX(K6:K11,MATCH(E26,J6:J11,1)+1)-INDEX(K6:K11,MATCH(E26,J6:J11,1)))/(INDEX(J6:J11,MATCH(E26,J6:J11,1)+1)-INDEX(J6:J11,MATCH(E26,J6:J11,1))))))</f>
        <v/>
      </c>
      <c r="G26" s="289">
        <f>IF(B26="","",(C26-F26)*$B$10)</f>
        <v/>
      </c>
      <c r="H26" s="289">
        <f>IF(B26="","",MAX(0,D26+G26))</f>
        <v/>
      </c>
      <c r="I26" s="289">
        <f>IF(B26="","",$B$5+IF($B$7=0,0,H26/$B$7))</f>
        <v/>
      </c>
    </row>
    <row r="27">
      <c r="A27" s="288">
        <f>IF(B27="","",A26+1)</f>
        <v/>
      </c>
      <c r="B27" s="288">
        <f>IF(ROW()-15&lt;=$B$11,INDEX(Routing!$A:$A,ROW()-14),"")</f>
        <v/>
      </c>
      <c r="C27" s="289">
        <f>IF(B27="","",INDEX(Routing!$M:$M,ROW()-14))</f>
        <v/>
      </c>
      <c r="D27" s="289">
        <f>IF(B27="","",H26)</f>
        <v/>
      </c>
      <c r="E27" s="289">
        <f>IF(B27="","",$B$5+IF($B$7=0,0,D27/$B$7))</f>
        <v/>
      </c>
      <c r="F27" s="289">
        <f>IF(B27="","",IF(E27&lt;=J6,K6,IF(E27&gt;=J11,K11,INDEX(K6:K11,MATCH(E27,J6:J11,1))+(E27-INDEX(J6:J11,MATCH(E27,J6:J11,1)))*(INDEX(K6:K11,MATCH(E27,J6:J11,1)+1)-INDEX(K6:K11,MATCH(E27,J6:J11,1)))/(INDEX(J6:J11,MATCH(E27,J6:J11,1)+1)-INDEX(J6:J11,MATCH(E27,J6:J11,1))))))</f>
        <v/>
      </c>
      <c r="G27" s="289">
        <f>IF(B27="","",(C27-F27)*$B$10)</f>
        <v/>
      </c>
      <c r="H27" s="289">
        <f>IF(B27="","",MAX(0,D27+G27))</f>
        <v/>
      </c>
      <c r="I27" s="289">
        <f>IF(B27="","",$B$5+IF($B$7=0,0,H27/$B$7))</f>
        <v/>
      </c>
    </row>
    <row r="28">
      <c r="A28" s="288">
        <f>IF(B28="","",A27+1)</f>
        <v/>
      </c>
      <c r="B28" s="288">
        <f>IF(ROW()-15&lt;=$B$11,INDEX(Routing!$A:$A,ROW()-14),"")</f>
        <v/>
      </c>
      <c r="C28" s="289">
        <f>IF(B28="","",INDEX(Routing!$M:$M,ROW()-14))</f>
        <v/>
      </c>
      <c r="D28" s="289">
        <f>IF(B28="","",H27)</f>
        <v/>
      </c>
      <c r="E28" s="289">
        <f>IF(B28="","",$B$5+IF($B$7=0,0,D28/$B$7))</f>
        <v/>
      </c>
      <c r="F28" s="289">
        <f>IF(B28="","",IF(E28&lt;=J6,K6,IF(E28&gt;=J11,K11,INDEX(K6:K11,MATCH(E28,J6:J11,1))+(E28-INDEX(J6:J11,MATCH(E28,J6:J11,1)))*(INDEX(K6:K11,MATCH(E28,J6:J11,1)+1)-INDEX(K6:K11,MATCH(E28,J6:J11,1)))/(INDEX(J6:J11,MATCH(E28,J6:J11,1)+1)-INDEX(J6:J11,MATCH(E28,J6:J11,1))))))</f>
        <v/>
      </c>
      <c r="G28" s="289">
        <f>IF(B28="","",(C28-F28)*$B$10)</f>
        <v/>
      </c>
      <c r="H28" s="289">
        <f>IF(B28="","",MAX(0,D28+G28))</f>
        <v/>
      </c>
      <c r="I28" s="289">
        <f>IF(B28="","",$B$5+IF($B$7=0,0,H28/$B$7))</f>
        <v/>
      </c>
    </row>
    <row r="29">
      <c r="A29" s="288">
        <f>IF(B29="","",A28+1)</f>
        <v/>
      </c>
      <c r="B29" s="288">
        <f>IF(ROW()-15&lt;=$B$11,INDEX(Routing!$A:$A,ROW()-14),"")</f>
        <v/>
      </c>
      <c r="C29" s="289">
        <f>IF(B29="","",INDEX(Routing!$M:$M,ROW()-14))</f>
        <v/>
      </c>
      <c r="D29" s="289">
        <f>IF(B29="","",H28)</f>
        <v/>
      </c>
      <c r="E29" s="289">
        <f>IF(B29="","",$B$5+IF($B$7=0,0,D29/$B$7))</f>
        <v/>
      </c>
      <c r="F29" s="289">
        <f>IF(B29="","",IF(E29&lt;=J6,K6,IF(E29&gt;=J11,K11,INDEX(K6:K11,MATCH(E29,J6:J11,1))+(E29-INDEX(J6:J11,MATCH(E29,J6:J11,1)))*(INDEX(K6:K11,MATCH(E29,J6:J11,1)+1)-INDEX(K6:K11,MATCH(E29,J6:J11,1)))/(INDEX(J6:J11,MATCH(E29,J6:J11,1)+1)-INDEX(J6:J11,MATCH(E29,J6:J11,1))))))</f>
        <v/>
      </c>
      <c r="G29" s="289">
        <f>IF(B29="","",(C29-F29)*$B$10)</f>
        <v/>
      </c>
      <c r="H29" s="289">
        <f>IF(B29="","",MAX(0,D29+G29))</f>
        <v/>
      </c>
      <c r="I29" s="289">
        <f>IF(B29="","",$B$5+IF($B$7=0,0,H29/$B$7))</f>
        <v/>
      </c>
    </row>
    <row r="30">
      <c r="A30" s="288">
        <f>IF(B30="","",A29+1)</f>
        <v/>
      </c>
      <c r="B30" s="288">
        <f>IF(ROW()-15&lt;=$B$11,INDEX(Routing!$A:$A,ROW()-14),"")</f>
        <v/>
      </c>
      <c r="C30" s="289">
        <f>IF(B30="","",INDEX(Routing!$M:$M,ROW()-14))</f>
        <v/>
      </c>
      <c r="D30" s="289">
        <f>IF(B30="","",H29)</f>
        <v/>
      </c>
      <c r="E30" s="289">
        <f>IF(B30="","",$B$5+IF($B$7=0,0,D30/$B$7))</f>
        <v/>
      </c>
      <c r="F30" s="289">
        <f>IF(B30="","",IF(E30&lt;=J6,K6,IF(E30&gt;=J11,K11,INDEX(K6:K11,MATCH(E30,J6:J11,1))+(E30-INDEX(J6:J11,MATCH(E30,J6:J11,1)))*(INDEX(K6:K11,MATCH(E30,J6:J11,1)+1)-INDEX(K6:K11,MATCH(E30,J6:J11,1)))/(INDEX(J6:J11,MATCH(E30,J6:J11,1)+1)-INDEX(J6:J11,MATCH(E30,J6:J11,1))))))</f>
        <v/>
      </c>
      <c r="G30" s="289">
        <f>IF(B30="","",(C30-F30)*$B$10)</f>
        <v/>
      </c>
      <c r="H30" s="289">
        <f>IF(B30="","",MAX(0,D30+G30))</f>
        <v/>
      </c>
      <c r="I30" s="289">
        <f>IF(B30="","",$B$5+IF($B$7=0,0,H30/$B$7))</f>
        <v/>
      </c>
    </row>
    <row r="31">
      <c r="A31" s="288">
        <f>IF(B31="","",A30+1)</f>
        <v/>
      </c>
      <c r="B31" s="288">
        <f>IF(ROW()-15&lt;=$B$11,INDEX(Routing!$A:$A,ROW()-14),"")</f>
        <v/>
      </c>
      <c r="C31" s="289">
        <f>IF(B31="","",INDEX(Routing!$M:$M,ROW()-14))</f>
        <v/>
      </c>
      <c r="D31" s="289">
        <f>IF(B31="","",H30)</f>
        <v/>
      </c>
      <c r="E31" s="289">
        <f>IF(B31="","",$B$5+IF($B$7=0,0,D31/$B$7))</f>
        <v/>
      </c>
      <c r="F31" s="289">
        <f>IF(B31="","",IF(E31&lt;=J6,K6,IF(E31&gt;=J11,K11,INDEX(K6:K11,MATCH(E31,J6:J11,1))+(E31-INDEX(J6:J11,MATCH(E31,J6:J11,1)))*(INDEX(K6:K11,MATCH(E31,J6:J11,1)+1)-INDEX(K6:K11,MATCH(E31,J6:J11,1)))/(INDEX(J6:J11,MATCH(E31,J6:J11,1)+1)-INDEX(J6:J11,MATCH(E31,J6:J11,1))))))</f>
        <v/>
      </c>
      <c r="G31" s="289">
        <f>IF(B31="","",(C31-F31)*$B$10)</f>
        <v/>
      </c>
      <c r="H31" s="289">
        <f>IF(B31="","",MAX(0,D31+G31))</f>
        <v/>
      </c>
      <c r="I31" s="289">
        <f>IF(B31="","",$B$5+IF($B$7=0,0,H31/$B$7))</f>
        <v/>
      </c>
    </row>
    <row r="32">
      <c r="A32" s="288">
        <f>IF(B32="","",A31+1)</f>
        <v/>
      </c>
      <c r="B32" s="288">
        <f>IF(ROW()-15&lt;=$B$11,INDEX(Routing!$A:$A,ROW()-14),"")</f>
        <v/>
      </c>
      <c r="C32" s="289">
        <f>IF(B32="","",INDEX(Routing!$M:$M,ROW()-14))</f>
        <v/>
      </c>
      <c r="D32" s="289">
        <f>IF(B32="","",H31)</f>
        <v/>
      </c>
      <c r="E32" s="289">
        <f>IF(B32="","",$B$5+IF($B$7=0,0,D32/$B$7))</f>
        <v/>
      </c>
      <c r="F32" s="289">
        <f>IF(B32="","",IF(E32&lt;=J6,K6,IF(E32&gt;=J11,K11,INDEX(K6:K11,MATCH(E32,J6:J11,1))+(E32-INDEX(J6:J11,MATCH(E32,J6:J11,1)))*(INDEX(K6:K11,MATCH(E32,J6:J11,1)+1)-INDEX(K6:K11,MATCH(E32,J6:J11,1)))/(INDEX(J6:J11,MATCH(E32,J6:J11,1)+1)-INDEX(J6:J11,MATCH(E32,J6:J11,1))))))</f>
        <v/>
      </c>
      <c r="G32" s="289">
        <f>IF(B32="","",(C32-F32)*$B$10)</f>
        <v/>
      </c>
      <c r="H32" s="289">
        <f>IF(B32="","",MAX(0,D32+G32))</f>
        <v/>
      </c>
      <c r="I32" s="289">
        <f>IF(B32="","",$B$5+IF($B$7=0,0,H32/$B$7))</f>
        <v/>
      </c>
    </row>
    <row r="33">
      <c r="A33" s="288">
        <f>IF(B33="","",A32+1)</f>
        <v/>
      </c>
      <c r="B33" s="288">
        <f>IF(ROW()-15&lt;=$B$11,INDEX(Routing!$A:$A,ROW()-14),"")</f>
        <v/>
      </c>
      <c r="C33" s="289">
        <f>IF(B33="","",INDEX(Routing!$M:$M,ROW()-14))</f>
        <v/>
      </c>
      <c r="D33" s="289">
        <f>IF(B33="","",H32)</f>
        <v/>
      </c>
      <c r="E33" s="289">
        <f>IF(B33="","",$B$5+IF($B$7=0,0,D33/$B$7))</f>
        <v/>
      </c>
      <c r="F33" s="289">
        <f>IF(B33="","",IF(E33&lt;=J6,K6,IF(E33&gt;=J11,K11,INDEX(K6:K11,MATCH(E33,J6:J11,1))+(E33-INDEX(J6:J11,MATCH(E33,J6:J11,1)))*(INDEX(K6:K11,MATCH(E33,J6:J11,1)+1)-INDEX(K6:K11,MATCH(E33,J6:J11,1)))/(INDEX(J6:J11,MATCH(E33,J6:J11,1)+1)-INDEX(J6:J11,MATCH(E33,J6:J11,1))))))</f>
        <v/>
      </c>
      <c r="G33" s="289">
        <f>IF(B33="","",(C33-F33)*$B$10)</f>
        <v/>
      </c>
      <c r="H33" s="289">
        <f>IF(B33="","",MAX(0,D33+G33))</f>
        <v/>
      </c>
      <c r="I33" s="289">
        <f>IF(B33="","",$B$5+IF($B$7=0,0,H33/$B$7))</f>
        <v/>
      </c>
    </row>
    <row r="34">
      <c r="A34" s="288">
        <f>IF(B34="","",A33+1)</f>
        <v/>
      </c>
      <c r="B34" s="288">
        <f>IF(ROW()-15&lt;=$B$11,INDEX(Routing!$A:$A,ROW()-14),"")</f>
        <v/>
      </c>
      <c r="C34" s="289">
        <f>IF(B34="","",INDEX(Routing!$M:$M,ROW()-14))</f>
        <v/>
      </c>
      <c r="D34" s="289">
        <f>IF(B34="","",H33)</f>
        <v/>
      </c>
      <c r="E34" s="289">
        <f>IF(B34="","",$B$5+IF($B$7=0,0,D34/$B$7))</f>
        <v/>
      </c>
      <c r="F34" s="289">
        <f>IF(B34="","",IF(E34&lt;=J6,K6,IF(E34&gt;=J11,K11,INDEX(K6:K11,MATCH(E34,J6:J11,1))+(E34-INDEX(J6:J11,MATCH(E34,J6:J11,1)))*(INDEX(K6:K11,MATCH(E34,J6:J11,1)+1)-INDEX(K6:K11,MATCH(E34,J6:J11,1)))/(INDEX(J6:J11,MATCH(E34,J6:J11,1)+1)-INDEX(J6:J11,MATCH(E34,J6:J11,1))))))</f>
        <v/>
      </c>
      <c r="G34" s="289">
        <f>IF(B34="","",(C34-F34)*$B$10)</f>
        <v/>
      </c>
      <c r="H34" s="289">
        <f>IF(B34="","",MAX(0,D34+G34))</f>
        <v/>
      </c>
      <c r="I34" s="289">
        <f>IF(B34="","",$B$5+IF($B$7=0,0,H34/$B$7))</f>
        <v/>
      </c>
    </row>
    <row r="35">
      <c r="A35" s="288">
        <f>IF(B35="","",A34+1)</f>
        <v/>
      </c>
      <c r="B35" s="288">
        <f>IF(ROW()-15&lt;=$B$11,INDEX(Routing!$A:$A,ROW()-14),"")</f>
        <v/>
      </c>
      <c r="C35" s="289">
        <f>IF(B35="","",INDEX(Routing!$M:$M,ROW()-14))</f>
        <v/>
      </c>
      <c r="D35" s="289">
        <f>IF(B35="","",H34)</f>
        <v/>
      </c>
      <c r="E35" s="289">
        <f>IF(B35="","",$B$5+IF($B$7=0,0,D35/$B$7))</f>
        <v/>
      </c>
      <c r="F35" s="289">
        <f>IF(B35="","",IF(E35&lt;=J6,K6,IF(E35&gt;=J11,K11,INDEX(K6:K11,MATCH(E35,J6:J11,1))+(E35-INDEX(J6:J11,MATCH(E35,J6:J11,1)))*(INDEX(K6:K11,MATCH(E35,J6:J11,1)+1)-INDEX(K6:K11,MATCH(E35,J6:J11,1)))/(INDEX(J6:J11,MATCH(E35,J6:J11,1)+1)-INDEX(J6:J11,MATCH(E35,J6:J11,1))))))</f>
        <v/>
      </c>
      <c r="G35" s="289">
        <f>IF(B35="","",(C35-F35)*$B$10)</f>
        <v/>
      </c>
      <c r="H35" s="289">
        <f>IF(B35="","",MAX(0,D35+G35))</f>
        <v/>
      </c>
      <c r="I35" s="289">
        <f>IF(B35="","",$B$5+IF($B$7=0,0,H35/$B$7))</f>
        <v/>
      </c>
    </row>
    <row r="36">
      <c r="A36" s="288">
        <f>IF(B36="","",A35+1)</f>
        <v/>
      </c>
      <c r="B36" s="288">
        <f>IF(ROW()-15&lt;=$B$11,INDEX(Routing!$A:$A,ROW()-14),"")</f>
        <v/>
      </c>
      <c r="C36" s="289">
        <f>IF(B36="","",INDEX(Routing!$M:$M,ROW()-14))</f>
        <v/>
      </c>
      <c r="D36" s="289">
        <f>IF(B36="","",H35)</f>
        <v/>
      </c>
      <c r="E36" s="289">
        <f>IF(B36="","",$B$5+IF($B$7=0,0,D36/$B$7))</f>
        <v/>
      </c>
      <c r="F36" s="289">
        <f>IF(B36="","",IF(E36&lt;=J6,K6,IF(E36&gt;=J11,K11,INDEX(K6:K11,MATCH(E36,J6:J11,1))+(E36-INDEX(J6:J11,MATCH(E36,J6:J11,1)))*(INDEX(K6:K11,MATCH(E36,J6:J11,1)+1)-INDEX(K6:K11,MATCH(E36,J6:J11,1)))/(INDEX(J6:J11,MATCH(E36,J6:J11,1)+1)-INDEX(J6:J11,MATCH(E36,J6:J11,1))))))</f>
        <v/>
      </c>
      <c r="G36" s="289">
        <f>IF(B36="","",(C36-F36)*$B$10)</f>
        <v/>
      </c>
      <c r="H36" s="289">
        <f>IF(B36="","",MAX(0,D36+G36))</f>
        <v/>
      </c>
      <c r="I36" s="289">
        <f>IF(B36="","",$B$5+IF($B$7=0,0,H36/$B$7))</f>
        <v/>
      </c>
    </row>
    <row r="37">
      <c r="A37" s="288">
        <f>IF(B37="","",A36+1)</f>
        <v/>
      </c>
      <c r="B37" s="288">
        <f>IF(ROW()-15&lt;=$B$11,INDEX(Routing!$A:$A,ROW()-14),"")</f>
        <v/>
      </c>
      <c r="C37" s="289">
        <f>IF(B37="","",INDEX(Routing!$M:$M,ROW()-14))</f>
        <v/>
      </c>
      <c r="D37" s="289">
        <f>IF(B37="","",H36)</f>
        <v/>
      </c>
      <c r="E37" s="289">
        <f>IF(B37="","",$B$5+IF($B$7=0,0,D37/$B$7))</f>
        <v/>
      </c>
      <c r="F37" s="289">
        <f>IF(B37="","",IF(E37&lt;=J6,K6,IF(E37&gt;=J11,K11,INDEX(K6:K11,MATCH(E37,J6:J11,1))+(E37-INDEX(J6:J11,MATCH(E37,J6:J11,1)))*(INDEX(K6:K11,MATCH(E37,J6:J11,1)+1)-INDEX(K6:K11,MATCH(E37,J6:J11,1)))/(INDEX(J6:J11,MATCH(E37,J6:J11,1)+1)-INDEX(J6:J11,MATCH(E37,J6:J11,1))))))</f>
        <v/>
      </c>
      <c r="G37" s="289">
        <f>IF(B37="","",(C37-F37)*$B$10)</f>
        <v/>
      </c>
      <c r="H37" s="289">
        <f>IF(B37="","",MAX(0,D37+G37))</f>
        <v/>
      </c>
      <c r="I37" s="289">
        <f>IF(B37="","",$B$5+IF($B$7=0,0,H37/$B$7))</f>
        <v/>
      </c>
    </row>
    <row r="38">
      <c r="A38" s="288">
        <f>IF(B38="","",A37+1)</f>
        <v/>
      </c>
      <c r="B38" s="288">
        <f>IF(ROW()-15&lt;=$B$11,INDEX(Routing!$A:$A,ROW()-14),"")</f>
        <v/>
      </c>
      <c r="C38" s="289">
        <f>IF(B38="","",INDEX(Routing!$M:$M,ROW()-14))</f>
        <v/>
      </c>
      <c r="D38" s="289">
        <f>IF(B38="","",H37)</f>
        <v/>
      </c>
      <c r="E38" s="289">
        <f>IF(B38="","",$B$5+IF($B$7=0,0,D38/$B$7))</f>
        <v/>
      </c>
      <c r="F38" s="289">
        <f>IF(B38="","",IF(E38&lt;=J6,K6,IF(E38&gt;=J11,K11,INDEX(K6:K11,MATCH(E38,J6:J11,1))+(E38-INDEX(J6:J11,MATCH(E38,J6:J11,1)))*(INDEX(K6:K11,MATCH(E38,J6:J11,1)+1)-INDEX(K6:K11,MATCH(E38,J6:J11,1)))/(INDEX(J6:J11,MATCH(E38,J6:J11,1)+1)-INDEX(J6:J11,MATCH(E38,J6:J11,1))))))</f>
        <v/>
      </c>
      <c r="G38" s="289">
        <f>IF(B38="","",(C38-F38)*$B$10)</f>
        <v/>
      </c>
      <c r="H38" s="289">
        <f>IF(B38="","",MAX(0,D38+G38))</f>
        <v/>
      </c>
      <c r="I38" s="289">
        <f>IF(B38="","",$B$5+IF($B$7=0,0,H38/$B$7))</f>
        <v/>
      </c>
    </row>
    <row r="39">
      <c r="A39" s="288">
        <f>IF(B39="","",A38+1)</f>
        <v/>
      </c>
      <c r="B39" s="288">
        <f>IF(ROW()-15&lt;=$B$11,INDEX(Routing!$A:$A,ROW()-14),"")</f>
        <v/>
      </c>
      <c r="C39" s="289">
        <f>IF(B39="","",INDEX(Routing!$M:$M,ROW()-14))</f>
        <v/>
      </c>
      <c r="D39" s="289">
        <f>IF(B39="","",H38)</f>
        <v/>
      </c>
      <c r="E39" s="289">
        <f>IF(B39="","",$B$5+IF($B$7=0,0,D39/$B$7))</f>
        <v/>
      </c>
      <c r="F39" s="289">
        <f>IF(B39="","",IF(E39&lt;=J6,K6,IF(E39&gt;=J11,K11,INDEX(K6:K11,MATCH(E39,J6:J11,1))+(E39-INDEX(J6:J11,MATCH(E39,J6:J11,1)))*(INDEX(K6:K11,MATCH(E39,J6:J11,1)+1)-INDEX(K6:K11,MATCH(E39,J6:J11,1)))/(INDEX(J6:J11,MATCH(E39,J6:J11,1)+1)-INDEX(J6:J11,MATCH(E39,J6:J11,1))))))</f>
        <v/>
      </c>
      <c r="G39" s="289">
        <f>IF(B39="","",(C39-F39)*$B$10)</f>
        <v/>
      </c>
      <c r="H39" s="289">
        <f>IF(B39="","",MAX(0,D39+G39))</f>
        <v/>
      </c>
      <c r="I39" s="289">
        <f>IF(B39="","",$B$5+IF($B$7=0,0,H39/$B$7))</f>
        <v/>
      </c>
    </row>
    <row r="40">
      <c r="A40" s="288">
        <f>IF(B40="","",A39+1)</f>
        <v/>
      </c>
      <c r="B40" s="288">
        <f>IF(ROW()-15&lt;=$B$11,INDEX(Routing!$A:$A,ROW()-14),"")</f>
        <v/>
      </c>
      <c r="C40" s="289">
        <f>IF(B40="","",INDEX(Routing!$M:$M,ROW()-14))</f>
        <v/>
      </c>
      <c r="D40" s="289">
        <f>IF(B40="","",H39)</f>
        <v/>
      </c>
      <c r="E40" s="289">
        <f>IF(B40="","",$B$5+IF($B$7=0,0,D40/$B$7))</f>
        <v/>
      </c>
      <c r="F40" s="289">
        <f>IF(B40="","",IF(E40&lt;=J6,K6,IF(E40&gt;=J11,K11,INDEX(K6:K11,MATCH(E40,J6:J11,1))+(E40-INDEX(J6:J11,MATCH(E40,J6:J11,1)))*(INDEX(K6:K11,MATCH(E40,J6:J11,1)+1)-INDEX(K6:K11,MATCH(E40,J6:J11,1)))/(INDEX(J6:J11,MATCH(E40,J6:J11,1)+1)-INDEX(J6:J11,MATCH(E40,J6:J11,1))))))</f>
        <v/>
      </c>
      <c r="G40" s="289">
        <f>IF(B40="","",(C40-F40)*$B$10)</f>
        <v/>
      </c>
      <c r="H40" s="289">
        <f>IF(B40="","",MAX(0,D40+G40))</f>
        <v/>
      </c>
      <c r="I40" s="289">
        <f>IF(B40="","",$B$5+IF($B$7=0,0,H40/$B$7))</f>
        <v/>
      </c>
    </row>
    <row r="41">
      <c r="A41" s="288">
        <f>IF(B41="","",A40+1)</f>
        <v/>
      </c>
      <c r="B41" s="288">
        <f>IF(ROW()-15&lt;=$B$11,INDEX(Routing!$A:$A,ROW()-14),"")</f>
        <v/>
      </c>
      <c r="C41" s="289">
        <f>IF(B41="","",INDEX(Routing!$M:$M,ROW()-14))</f>
        <v/>
      </c>
      <c r="D41" s="289">
        <f>IF(B41="","",H40)</f>
        <v/>
      </c>
      <c r="E41" s="289">
        <f>IF(B41="","",$B$5+IF($B$7=0,0,D41/$B$7))</f>
        <v/>
      </c>
      <c r="F41" s="289">
        <f>IF(B41="","",IF(E41&lt;=J6,K6,IF(E41&gt;=J11,K11,INDEX(K6:K11,MATCH(E41,J6:J11,1))+(E41-INDEX(J6:J11,MATCH(E41,J6:J11,1)))*(INDEX(K6:K11,MATCH(E41,J6:J11,1)+1)-INDEX(K6:K11,MATCH(E41,J6:J11,1)))/(INDEX(J6:J11,MATCH(E41,J6:J11,1)+1)-INDEX(J6:J11,MATCH(E41,J6:J11,1))))))</f>
        <v/>
      </c>
      <c r="G41" s="289">
        <f>IF(B41="","",(C41-F41)*$B$10)</f>
        <v/>
      </c>
      <c r="H41" s="289">
        <f>IF(B41="","",MAX(0,D41+G41))</f>
        <v/>
      </c>
      <c r="I41" s="289">
        <f>IF(B41="","",$B$5+IF($B$7=0,0,H41/$B$7))</f>
        <v/>
      </c>
    </row>
    <row r="42">
      <c r="A42" s="288">
        <f>IF(B42="","",A41+1)</f>
        <v/>
      </c>
      <c r="B42" s="288">
        <f>IF(ROW()-15&lt;=$B$11,INDEX(Routing!$A:$A,ROW()-14),"")</f>
        <v/>
      </c>
      <c r="C42" s="289">
        <f>IF(B42="","",INDEX(Routing!$M:$M,ROW()-14))</f>
        <v/>
      </c>
      <c r="D42" s="289">
        <f>IF(B42="","",H41)</f>
        <v/>
      </c>
      <c r="E42" s="289">
        <f>IF(B42="","",$B$5+IF($B$7=0,0,D42/$B$7))</f>
        <v/>
      </c>
      <c r="F42" s="289">
        <f>IF(B42="","",IF(E42&lt;=J6,K6,IF(E42&gt;=J11,K11,INDEX(K6:K11,MATCH(E42,J6:J11,1))+(E42-INDEX(J6:J11,MATCH(E42,J6:J11,1)))*(INDEX(K6:K11,MATCH(E42,J6:J11,1)+1)-INDEX(K6:K11,MATCH(E42,J6:J11,1)))/(INDEX(J6:J11,MATCH(E42,J6:J11,1)+1)-INDEX(J6:J11,MATCH(E42,J6:J11,1))))))</f>
        <v/>
      </c>
      <c r="G42" s="289">
        <f>IF(B42="","",(C42-F42)*$B$10)</f>
        <v/>
      </c>
      <c r="H42" s="289">
        <f>IF(B42="","",MAX(0,D42+G42))</f>
        <v/>
      </c>
      <c r="I42" s="289">
        <f>IF(B42="","",$B$5+IF($B$7=0,0,H42/$B$7))</f>
        <v/>
      </c>
    </row>
    <row r="43">
      <c r="A43" s="288">
        <f>IF(B43="","",A42+1)</f>
        <v/>
      </c>
      <c r="B43" s="288">
        <f>IF(ROW()-15&lt;=$B$11,INDEX(Routing!$A:$A,ROW()-14),"")</f>
        <v/>
      </c>
      <c r="C43" s="289">
        <f>IF(B43="","",INDEX(Routing!$M:$M,ROW()-14))</f>
        <v/>
      </c>
      <c r="D43" s="289">
        <f>IF(B43="","",H42)</f>
        <v/>
      </c>
      <c r="E43" s="289">
        <f>IF(B43="","",$B$5+IF($B$7=0,0,D43/$B$7))</f>
        <v/>
      </c>
      <c r="F43" s="289">
        <f>IF(B43="","",IF(E43&lt;=J6,K6,IF(E43&gt;=J11,K11,INDEX(K6:K11,MATCH(E43,J6:J11,1))+(E43-INDEX(J6:J11,MATCH(E43,J6:J11,1)))*(INDEX(K6:K11,MATCH(E43,J6:J11,1)+1)-INDEX(K6:K11,MATCH(E43,J6:J11,1)))/(INDEX(J6:J11,MATCH(E43,J6:J11,1)+1)-INDEX(J6:J11,MATCH(E43,J6:J11,1))))))</f>
        <v/>
      </c>
      <c r="G43" s="289">
        <f>IF(B43="","",(C43-F43)*$B$10)</f>
        <v/>
      </c>
      <c r="H43" s="289">
        <f>IF(B43="","",MAX(0,D43+G43))</f>
        <v/>
      </c>
      <c r="I43" s="289">
        <f>IF(B43="","",$B$5+IF($B$7=0,0,H43/$B$7))</f>
        <v/>
      </c>
    </row>
    <row r="44">
      <c r="A44" s="288">
        <f>IF(B44="","",A43+1)</f>
        <v/>
      </c>
      <c r="B44" s="288">
        <f>IF(ROW()-15&lt;=$B$11,INDEX(Routing!$A:$A,ROW()-14),"")</f>
        <v/>
      </c>
      <c r="C44" s="289">
        <f>IF(B44="","",INDEX(Routing!$M:$M,ROW()-14))</f>
        <v/>
      </c>
      <c r="D44" s="289">
        <f>IF(B44="","",H43)</f>
        <v/>
      </c>
      <c r="E44" s="289">
        <f>IF(B44="","",$B$5+IF($B$7=0,0,D44/$B$7))</f>
        <v/>
      </c>
      <c r="F44" s="289">
        <f>IF(B44="","",IF(E44&lt;=J6,K6,IF(E44&gt;=J11,K11,INDEX(K6:K11,MATCH(E44,J6:J11,1))+(E44-INDEX(J6:J11,MATCH(E44,J6:J11,1)))*(INDEX(K6:K11,MATCH(E44,J6:J11,1)+1)-INDEX(K6:K11,MATCH(E44,J6:J11,1)))/(INDEX(J6:J11,MATCH(E44,J6:J11,1)+1)-INDEX(J6:J11,MATCH(E44,J6:J11,1))))))</f>
        <v/>
      </c>
      <c r="G44" s="289">
        <f>IF(B44="","",(C44-F44)*$B$10)</f>
        <v/>
      </c>
      <c r="H44" s="289">
        <f>IF(B44="","",MAX(0,D44+G44))</f>
        <v/>
      </c>
      <c r="I44" s="289">
        <f>IF(B44="","",$B$5+IF($B$7=0,0,H44/$B$7))</f>
        <v/>
      </c>
    </row>
    <row r="45">
      <c r="A45" s="288">
        <f>IF(B45="","",A44+1)</f>
        <v/>
      </c>
      <c r="B45" s="288">
        <f>IF(ROW()-15&lt;=$B$11,INDEX(Routing!$A:$A,ROW()-14),"")</f>
        <v/>
      </c>
      <c r="C45" s="289">
        <f>IF(B45="","",INDEX(Routing!$M:$M,ROW()-14))</f>
        <v/>
      </c>
      <c r="D45" s="289">
        <f>IF(B45="","",H44)</f>
        <v/>
      </c>
      <c r="E45" s="289">
        <f>IF(B45="","",$B$5+IF($B$7=0,0,D45/$B$7))</f>
        <v/>
      </c>
      <c r="F45" s="289">
        <f>IF(B45="","",IF(E45&lt;=J6,K6,IF(E45&gt;=J11,K11,INDEX(K6:K11,MATCH(E45,J6:J11,1))+(E45-INDEX(J6:J11,MATCH(E45,J6:J11,1)))*(INDEX(K6:K11,MATCH(E45,J6:J11,1)+1)-INDEX(K6:K11,MATCH(E45,J6:J11,1)))/(INDEX(J6:J11,MATCH(E45,J6:J11,1)+1)-INDEX(J6:J11,MATCH(E45,J6:J11,1))))))</f>
        <v/>
      </c>
      <c r="G45" s="289">
        <f>IF(B45="","",(C45-F45)*$B$10)</f>
        <v/>
      </c>
      <c r="H45" s="289">
        <f>IF(B45="","",MAX(0,D45+G45))</f>
        <v/>
      </c>
      <c r="I45" s="289">
        <f>IF(B45="","",$B$5+IF($B$7=0,0,H45/$B$7))</f>
        <v/>
      </c>
    </row>
    <row r="46">
      <c r="A46" s="288">
        <f>IF(B46="","",A45+1)</f>
        <v/>
      </c>
      <c r="B46" s="288">
        <f>IF(ROW()-15&lt;=$B$11,INDEX(Routing!$A:$A,ROW()-14),"")</f>
        <v/>
      </c>
      <c r="C46" s="289">
        <f>IF(B46="","",INDEX(Routing!$M:$M,ROW()-14))</f>
        <v/>
      </c>
      <c r="D46" s="289">
        <f>IF(B46="","",H45)</f>
        <v/>
      </c>
      <c r="E46" s="289">
        <f>IF(B46="","",$B$5+IF($B$7=0,0,D46/$B$7))</f>
        <v/>
      </c>
      <c r="F46" s="289">
        <f>IF(B46="","",IF(E46&lt;=J6,K6,IF(E46&gt;=J11,K11,INDEX(K6:K11,MATCH(E46,J6:J11,1))+(E46-INDEX(J6:J11,MATCH(E46,J6:J11,1)))*(INDEX(K6:K11,MATCH(E46,J6:J11,1)+1)-INDEX(K6:K11,MATCH(E46,J6:J11,1)))/(INDEX(J6:J11,MATCH(E46,J6:J11,1)+1)-INDEX(J6:J11,MATCH(E46,J6:J11,1))))))</f>
        <v/>
      </c>
      <c r="G46" s="289">
        <f>IF(B46="","",(C46-F46)*$B$10)</f>
        <v/>
      </c>
      <c r="H46" s="289">
        <f>IF(B46="","",MAX(0,D46+G46))</f>
        <v/>
      </c>
      <c r="I46" s="289">
        <f>IF(B46="","",$B$5+IF($B$7=0,0,H46/$B$7))</f>
        <v/>
      </c>
    </row>
    <row r="47">
      <c r="A47" s="288">
        <f>IF(B47="","",A46+1)</f>
        <v/>
      </c>
      <c r="B47" s="288">
        <f>IF(ROW()-15&lt;=$B$11,INDEX(Routing!$A:$A,ROW()-14),"")</f>
        <v/>
      </c>
      <c r="C47" s="289">
        <f>IF(B47="","",INDEX(Routing!$M:$M,ROW()-14))</f>
        <v/>
      </c>
      <c r="D47" s="289">
        <f>IF(B47="","",H46)</f>
        <v/>
      </c>
      <c r="E47" s="289">
        <f>IF(B47="","",$B$5+IF($B$7=0,0,D47/$B$7))</f>
        <v/>
      </c>
      <c r="F47" s="289">
        <f>IF(B47="","",IF(E47&lt;=J6,K6,IF(E47&gt;=J11,K11,INDEX(K6:K11,MATCH(E47,J6:J11,1))+(E47-INDEX(J6:J11,MATCH(E47,J6:J11,1)))*(INDEX(K6:K11,MATCH(E47,J6:J11,1)+1)-INDEX(K6:K11,MATCH(E47,J6:J11,1)))/(INDEX(J6:J11,MATCH(E47,J6:J11,1)+1)-INDEX(J6:J11,MATCH(E47,J6:J11,1))))))</f>
        <v/>
      </c>
      <c r="G47" s="289">
        <f>IF(B47="","",(C47-F47)*$B$10)</f>
        <v/>
      </c>
      <c r="H47" s="289">
        <f>IF(B47="","",MAX(0,D47+G47))</f>
        <v/>
      </c>
      <c r="I47" s="289">
        <f>IF(B47="","",$B$5+IF($B$7=0,0,H47/$B$7))</f>
        <v/>
      </c>
    </row>
    <row r="48">
      <c r="A48" s="288">
        <f>IF(B48="","",A47+1)</f>
        <v/>
      </c>
      <c r="B48" s="288">
        <f>IF(ROW()-15&lt;=$B$11,INDEX(Routing!$A:$A,ROW()-14),"")</f>
        <v/>
      </c>
      <c r="C48" s="289">
        <f>IF(B48="","",INDEX(Routing!$M:$M,ROW()-14))</f>
        <v/>
      </c>
      <c r="D48" s="289">
        <f>IF(B48="","",H47)</f>
        <v/>
      </c>
      <c r="E48" s="289">
        <f>IF(B48="","",$B$5+IF($B$7=0,0,D48/$B$7))</f>
        <v/>
      </c>
      <c r="F48" s="289">
        <f>IF(B48="","",IF(E48&lt;=J6,K6,IF(E48&gt;=J11,K11,INDEX(K6:K11,MATCH(E48,J6:J11,1))+(E48-INDEX(J6:J11,MATCH(E48,J6:J11,1)))*(INDEX(K6:K11,MATCH(E48,J6:J11,1)+1)-INDEX(K6:K11,MATCH(E48,J6:J11,1)))/(INDEX(J6:J11,MATCH(E48,J6:J11,1)+1)-INDEX(J6:J11,MATCH(E48,J6:J11,1))))))</f>
        <v/>
      </c>
      <c r="G48" s="289">
        <f>IF(B48="","",(C48-F48)*$B$10)</f>
        <v/>
      </c>
      <c r="H48" s="289">
        <f>IF(B48="","",MAX(0,D48+G48))</f>
        <v/>
      </c>
      <c r="I48" s="289">
        <f>IF(B48="","",$B$5+IF($B$7=0,0,H48/$B$7))</f>
        <v/>
      </c>
    </row>
    <row r="49">
      <c r="A49" s="288">
        <f>IF(B49="","",A48+1)</f>
        <v/>
      </c>
      <c r="B49" s="288">
        <f>IF(ROW()-15&lt;=$B$11,INDEX(Routing!$A:$A,ROW()-14),"")</f>
        <v/>
      </c>
      <c r="C49" s="289">
        <f>IF(B49="","",INDEX(Routing!$M:$M,ROW()-14))</f>
        <v/>
      </c>
      <c r="D49" s="289">
        <f>IF(B49="","",H48)</f>
        <v/>
      </c>
      <c r="E49" s="289">
        <f>IF(B49="","",$B$5+IF($B$7=0,0,D49/$B$7))</f>
        <v/>
      </c>
      <c r="F49" s="289">
        <f>IF(B49="","",IF(E49&lt;=J6,K6,IF(E49&gt;=J11,K11,INDEX(K6:K11,MATCH(E49,J6:J11,1))+(E49-INDEX(J6:J11,MATCH(E49,J6:J11,1)))*(INDEX(K6:K11,MATCH(E49,J6:J11,1)+1)-INDEX(K6:K11,MATCH(E49,J6:J11,1)))/(INDEX(J6:J11,MATCH(E49,J6:J11,1)+1)-INDEX(J6:J11,MATCH(E49,J6:J11,1))))))</f>
        <v/>
      </c>
      <c r="G49" s="289">
        <f>IF(B49="","",(C49-F49)*$B$10)</f>
        <v/>
      </c>
      <c r="H49" s="289">
        <f>IF(B49="","",MAX(0,D49+G49))</f>
        <v/>
      </c>
      <c r="I49" s="289">
        <f>IF(B49="","",$B$5+IF($B$7=0,0,H49/$B$7))</f>
        <v/>
      </c>
    </row>
    <row r="50">
      <c r="A50" s="288">
        <f>IF(B50="","",A49+1)</f>
        <v/>
      </c>
      <c r="B50" s="288">
        <f>IF(ROW()-15&lt;=$B$11,INDEX(Routing!$A:$A,ROW()-14),"")</f>
        <v/>
      </c>
      <c r="C50" s="289">
        <f>IF(B50="","",INDEX(Routing!$M:$M,ROW()-14))</f>
        <v/>
      </c>
      <c r="D50" s="289">
        <f>IF(B50="","",H49)</f>
        <v/>
      </c>
      <c r="E50" s="289">
        <f>IF(B50="","",$B$5+IF($B$7=0,0,D50/$B$7))</f>
        <v/>
      </c>
      <c r="F50" s="289">
        <f>IF(B50="","",IF(E50&lt;=J6,K6,IF(E50&gt;=J11,K11,INDEX(K6:K11,MATCH(E50,J6:J11,1))+(E50-INDEX(J6:J11,MATCH(E50,J6:J11,1)))*(INDEX(K6:K11,MATCH(E50,J6:J11,1)+1)-INDEX(K6:K11,MATCH(E50,J6:J11,1)))/(INDEX(J6:J11,MATCH(E50,J6:J11,1)+1)-INDEX(J6:J11,MATCH(E50,J6:J11,1))))))</f>
        <v/>
      </c>
      <c r="G50" s="289">
        <f>IF(B50="","",(C50-F50)*$B$10)</f>
        <v/>
      </c>
      <c r="H50" s="289">
        <f>IF(B50="","",MAX(0,D50+G50))</f>
        <v/>
      </c>
      <c r="I50" s="289">
        <f>IF(B50="","",$B$5+IF($B$7=0,0,H50/$B$7))</f>
        <v/>
      </c>
    </row>
    <row r="51">
      <c r="A51" s="288">
        <f>IF(B51="","",A50+1)</f>
        <v/>
      </c>
      <c r="B51" s="288">
        <f>IF(ROW()-15&lt;=$B$11,INDEX(Routing!$A:$A,ROW()-14),"")</f>
        <v/>
      </c>
      <c r="C51" s="289">
        <f>IF(B51="","",INDEX(Routing!$M:$M,ROW()-14))</f>
        <v/>
      </c>
      <c r="D51" s="289">
        <f>IF(B51="","",H50)</f>
        <v/>
      </c>
      <c r="E51" s="289">
        <f>IF(B51="","",$B$5+IF($B$7=0,0,D51/$B$7))</f>
        <v/>
      </c>
      <c r="F51" s="289">
        <f>IF(B51="","",IF(E51&lt;=J6,K6,IF(E51&gt;=J11,K11,INDEX(K6:K11,MATCH(E51,J6:J11,1))+(E51-INDEX(J6:J11,MATCH(E51,J6:J11,1)))*(INDEX(K6:K11,MATCH(E51,J6:J11,1)+1)-INDEX(K6:K11,MATCH(E51,J6:J11,1)))/(INDEX(J6:J11,MATCH(E51,J6:J11,1)+1)-INDEX(J6:J11,MATCH(E51,J6:J11,1))))))</f>
        <v/>
      </c>
      <c r="G51" s="289">
        <f>IF(B51="","",(C51-F51)*$B$10)</f>
        <v/>
      </c>
      <c r="H51" s="289">
        <f>IF(B51="","",MAX(0,D51+G51))</f>
        <v/>
      </c>
      <c r="I51" s="289">
        <f>IF(B51="","",$B$5+IF($B$7=0,0,H51/$B$7))</f>
        <v/>
      </c>
    </row>
    <row r="52">
      <c r="A52" s="288">
        <f>IF(B52="","",A51+1)</f>
        <v/>
      </c>
      <c r="B52" s="288">
        <f>IF(ROW()-15&lt;=$B$11,INDEX(Routing!$A:$A,ROW()-14),"")</f>
        <v/>
      </c>
      <c r="C52" s="289">
        <f>IF(B52="","",INDEX(Routing!$M:$M,ROW()-14))</f>
        <v/>
      </c>
      <c r="D52" s="289">
        <f>IF(B52="","",H51)</f>
        <v/>
      </c>
      <c r="E52" s="289">
        <f>IF(B52="","",$B$5+IF($B$7=0,0,D52/$B$7))</f>
        <v/>
      </c>
      <c r="F52" s="289">
        <f>IF(B52="","",IF(E52&lt;=J6,K6,IF(E52&gt;=J11,K11,INDEX(K6:K11,MATCH(E52,J6:J11,1))+(E52-INDEX(J6:J11,MATCH(E52,J6:J11,1)))*(INDEX(K6:K11,MATCH(E52,J6:J11,1)+1)-INDEX(K6:K11,MATCH(E52,J6:J11,1)))/(INDEX(J6:J11,MATCH(E52,J6:J11,1)+1)-INDEX(J6:J11,MATCH(E52,J6:J11,1))))))</f>
        <v/>
      </c>
      <c r="G52" s="289">
        <f>IF(B52="","",(C52-F52)*$B$10)</f>
        <v/>
      </c>
      <c r="H52" s="289">
        <f>IF(B52="","",MAX(0,D52+G52))</f>
        <v/>
      </c>
      <c r="I52" s="289">
        <f>IF(B52="","",$B$5+IF($B$7=0,0,H52/$B$7))</f>
        <v/>
      </c>
    </row>
    <row r="53">
      <c r="A53" s="288">
        <f>IF(B53="","",A52+1)</f>
        <v/>
      </c>
      <c r="B53" s="288">
        <f>IF(ROW()-15&lt;=$B$11,INDEX(Routing!$A:$A,ROW()-14),"")</f>
        <v/>
      </c>
      <c r="C53" s="289">
        <f>IF(B53="","",INDEX(Routing!$M:$M,ROW()-14))</f>
        <v/>
      </c>
      <c r="D53" s="289">
        <f>IF(B53="","",H52)</f>
        <v/>
      </c>
      <c r="E53" s="289">
        <f>IF(B53="","",$B$5+IF($B$7=0,0,D53/$B$7))</f>
        <v/>
      </c>
      <c r="F53" s="289">
        <f>IF(B53="","",IF(E53&lt;=J6,K6,IF(E53&gt;=J11,K11,INDEX(K6:K11,MATCH(E53,J6:J11,1))+(E53-INDEX(J6:J11,MATCH(E53,J6:J11,1)))*(INDEX(K6:K11,MATCH(E53,J6:J11,1)+1)-INDEX(K6:K11,MATCH(E53,J6:J11,1)))/(INDEX(J6:J11,MATCH(E53,J6:J11,1)+1)-INDEX(J6:J11,MATCH(E53,J6:J11,1))))))</f>
        <v/>
      </c>
      <c r="G53" s="289">
        <f>IF(B53="","",(C53-F53)*$B$10)</f>
        <v/>
      </c>
      <c r="H53" s="289">
        <f>IF(B53="","",MAX(0,D53+G53))</f>
        <v/>
      </c>
      <c r="I53" s="289">
        <f>IF(B53="","",$B$5+IF($B$7=0,0,H53/$B$7))</f>
        <v/>
      </c>
    </row>
    <row r="54">
      <c r="A54" s="288">
        <f>IF(B54="","",A53+1)</f>
        <v/>
      </c>
      <c r="B54" s="288">
        <f>IF(ROW()-15&lt;=$B$11,INDEX(Routing!$A:$A,ROW()-14),"")</f>
        <v/>
      </c>
      <c r="C54" s="289">
        <f>IF(B54="","",INDEX(Routing!$M:$M,ROW()-14))</f>
        <v/>
      </c>
      <c r="D54" s="289">
        <f>IF(B54="","",H53)</f>
        <v/>
      </c>
      <c r="E54" s="289">
        <f>IF(B54="","",$B$5+IF($B$7=0,0,D54/$B$7))</f>
        <v/>
      </c>
      <c r="F54" s="289">
        <f>IF(B54="","",IF(E54&lt;=J6,K6,IF(E54&gt;=J11,K11,INDEX(K6:K11,MATCH(E54,J6:J11,1))+(E54-INDEX(J6:J11,MATCH(E54,J6:J11,1)))*(INDEX(K6:K11,MATCH(E54,J6:J11,1)+1)-INDEX(K6:K11,MATCH(E54,J6:J11,1)))/(INDEX(J6:J11,MATCH(E54,J6:J11,1)+1)-INDEX(J6:J11,MATCH(E54,J6:J11,1))))))</f>
        <v/>
      </c>
      <c r="G54" s="289">
        <f>IF(B54="","",(C54-F54)*$B$10)</f>
        <v/>
      </c>
      <c r="H54" s="289">
        <f>IF(B54="","",MAX(0,D54+G54))</f>
        <v/>
      </c>
      <c r="I54" s="289">
        <f>IF(B54="","",$B$5+IF($B$7=0,0,H54/$B$7))</f>
        <v/>
      </c>
    </row>
    <row r="55">
      <c r="A55" s="288">
        <f>IF(B55="","",A54+1)</f>
        <v/>
      </c>
      <c r="B55" s="288">
        <f>IF(ROW()-15&lt;=$B$11,INDEX(Routing!$A:$A,ROW()-14),"")</f>
        <v/>
      </c>
      <c r="C55" s="289">
        <f>IF(B55="","",INDEX(Routing!$M:$M,ROW()-14))</f>
        <v/>
      </c>
      <c r="D55" s="289">
        <f>IF(B55="","",H54)</f>
        <v/>
      </c>
      <c r="E55" s="289">
        <f>IF(B55="","",$B$5+IF($B$7=0,0,D55/$B$7))</f>
        <v/>
      </c>
      <c r="F55" s="289">
        <f>IF(B55="","",IF(E55&lt;=J6,K6,IF(E55&gt;=J11,K11,INDEX(K6:K11,MATCH(E55,J6:J11,1))+(E55-INDEX(J6:J11,MATCH(E55,J6:J11,1)))*(INDEX(K6:K11,MATCH(E55,J6:J11,1)+1)-INDEX(K6:K11,MATCH(E55,J6:J11,1)))/(INDEX(J6:J11,MATCH(E55,J6:J11,1)+1)-INDEX(J6:J11,MATCH(E55,J6:J11,1))))))</f>
        <v/>
      </c>
      <c r="G55" s="289">
        <f>IF(B55="","",(C55-F55)*$B$10)</f>
        <v/>
      </c>
      <c r="H55" s="289">
        <f>IF(B55="","",MAX(0,D55+G55))</f>
        <v/>
      </c>
      <c r="I55" s="289">
        <f>IF(B55="","",$B$5+IF($B$7=0,0,H55/$B$7))</f>
        <v/>
      </c>
    </row>
    <row r="56">
      <c r="A56" s="288">
        <f>IF(B56="","",A55+1)</f>
        <v/>
      </c>
      <c r="B56" s="288">
        <f>IF(ROW()-15&lt;=$B$11,INDEX(Routing!$A:$A,ROW()-14),"")</f>
        <v/>
      </c>
      <c r="C56" s="289">
        <f>IF(B56="","",INDEX(Routing!$M:$M,ROW()-14))</f>
        <v/>
      </c>
      <c r="D56" s="289">
        <f>IF(B56="","",H55)</f>
        <v/>
      </c>
      <c r="E56" s="289">
        <f>IF(B56="","",$B$5+IF($B$7=0,0,D56/$B$7))</f>
        <v/>
      </c>
      <c r="F56" s="289">
        <f>IF(B56="","",IF(E56&lt;=J6,K6,IF(E56&gt;=J11,K11,INDEX(K6:K11,MATCH(E56,J6:J11,1))+(E56-INDEX(J6:J11,MATCH(E56,J6:J11,1)))*(INDEX(K6:K11,MATCH(E56,J6:J11,1)+1)-INDEX(K6:K11,MATCH(E56,J6:J11,1)))/(INDEX(J6:J11,MATCH(E56,J6:J11,1)+1)-INDEX(J6:J11,MATCH(E56,J6:J11,1))))))</f>
        <v/>
      </c>
      <c r="G56" s="289">
        <f>IF(B56="","",(C56-F56)*$B$10)</f>
        <v/>
      </c>
      <c r="H56" s="289">
        <f>IF(B56="","",MAX(0,D56+G56))</f>
        <v/>
      </c>
      <c r="I56" s="289">
        <f>IF(B56="","",$B$5+IF($B$7=0,0,H56/$B$7))</f>
        <v/>
      </c>
    </row>
    <row r="57">
      <c r="A57" s="288">
        <f>IF(B57="","",A56+1)</f>
        <v/>
      </c>
      <c r="B57" s="288">
        <f>IF(ROW()-15&lt;=$B$11,INDEX(Routing!$A:$A,ROW()-14),"")</f>
        <v/>
      </c>
      <c r="C57" s="289">
        <f>IF(B57="","",INDEX(Routing!$M:$M,ROW()-14))</f>
        <v/>
      </c>
      <c r="D57" s="289">
        <f>IF(B57="","",H56)</f>
        <v/>
      </c>
      <c r="E57" s="289">
        <f>IF(B57="","",$B$5+IF($B$7=0,0,D57/$B$7))</f>
        <v/>
      </c>
      <c r="F57" s="289">
        <f>IF(B57="","",IF(E57&lt;=J6,K6,IF(E57&gt;=J11,K11,INDEX(K6:K11,MATCH(E57,J6:J11,1))+(E57-INDEX(J6:J11,MATCH(E57,J6:J11,1)))*(INDEX(K6:K11,MATCH(E57,J6:J11,1)+1)-INDEX(K6:K11,MATCH(E57,J6:J11,1)))/(INDEX(J6:J11,MATCH(E57,J6:J11,1)+1)-INDEX(J6:J11,MATCH(E57,J6:J11,1))))))</f>
        <v/>
      </c>
      <c r="G57" s="289">
        <f>IF(B57="","",(C57-F57)*$B$10)</f>
        <v/>
      </c>
      <c r="H57" s="289">
        <f>IF(B57="","",MAX(0,D57+G57))</f>
        <v/>
      </c>
      <c r="I57" s="289">
        <f>IF(B57="","",$B$5+IF($B$7=0,0,H57/$B$7))</f>
        <v/>
      </c>
    </row>
    <row r="58">
      <c r="A58" s="288">
        <f>IF(B58="","",A57+1)</f>
        <v/>
      </c>
      <c r="B58" s="288">
        <f>IF(ROW()-15&lt;=$B$11,INDEX(Routing!$A:$A,ROW()-14),"")</f>
        <v/>
      </c>
      <c r="C58" s="289">
        <f>IF(B58="","",INDEX(Routing!$M:$M,ROW()-14))</f>
        <v/>
      </c>
      <c r="D58" s="289">
        <f>IF(B58="","",H57)</f>
        <v/>
      </c>
      <c r="E58" s="289">
        <f>IF(B58="","",$B$5+IF($B$7=0,0,D58/$B$7))</f>
        <v/>
      </c>
      <c r="F58" s="289">
        <f>IF(B58="","",IF(E58&lt;=J6,K6,IF(E58&gt;=J11,K11,INDEX(K6:K11,MATCH(E58,J6:J11,1))+(E58-INDEX(J6:J11,MATCH(E58,J6:J11,1)))*(INDEX(K6:K11,MATCH(E58,J6:J11,1)+1)-INDEX(K6:K11,MATCH(E58,J6:J11,1)))/(INDEX(J6:J11,MATCH(E58,J6:J11,1)+1)-INDEX(J6:J11,MATCH(E58,J6:J11,1))))))</f>
        <v/>
      </c>
      <c r="G58" s="289">
        <f>IF(B58="","",(C58-F58)*$B$10)</f>
        <v/>
      </c>
      <c r="H58" s="289">
        <f>IF(B58="","",MAX(0,D58+G58))</f>
        <v/>
      </c>
      <c r="I58" s="289">
        <f>IF(B58="","",$B$5+IF($B$7=0,0,H58/$B$7))</f>
        <v/>
      </c>
    </row>
    <row r="59">
      <c r="A59" s="288">
        <f>IF(B59="","",A58+1)</f>
        <v/>
      </c>
      <c r="B59" s="288">
        <f>IF(ROW()-15&lt;=$B$11,INDEX(Routing!$A:$A,ROW()-14),"")</f>
        <v/>
      </c>
      <c r="C59" s="289">
        <f>IF(B59="","",INDEX(Routing!$M:$M,ROW()-14))</f>
        <v/>
      </c>
      <c r="D59" s="289">
        <f>IF(B59="","",H58)</f>
        <v/>
      </c>
      <c r="E59" s="289">
        <f>IF(B59="","",$B$5+IF($B$7=0,0,D59/$B$7))</f>
        <v/>
      </c>
      <c r="F59" s="289">
        <f>IF(B59="","",IF(E59&lt;=J6,K6,IF(E59&gt;=J11,K11,INDEX(K6:K11,MATCH(E59,J6:J11,1))+(E59-INDEX(J6:J11,MATCH(E59,J6:J11,1)))*(INDEX(K6:K11,MATCH(E59,J6:J11,1)+1)-INDEX(K6:K11,MATCH(E59,J6:J11,1)))/(INDEX(J6:J11,MATCH(E59,J6:J11,1)+1)-INDEX(J6:J11,MATCH(E59,J6:J11,1))))))</f>
        <v/>
      </c>
      <c r="G59" s="289">
        <f>IF(B59="","",(C59-F59)*$B$10)</f>
        <v/>
      </c>
      <c r="H59" s="289">
        <f>IF(B59="","",MAX(0,D59+G59))</f>
        <v/>
      </c>
      <c r="I59" s="289">
        <f>IF(B59="","",$B$5+IF($B$7=0,0,H59/$B$7))</f>
        <v/>
      </c>
    </row>
    <row r="60">
      <c r="A60" s="288">
        <f>IF(B60="","",A59+1)</f>
        <v/>
      </c>
      <c r="B60" s="288">
        <f>IF(ROW()-15&lt;=$B$11,INDEX(Routing!$A:$A,ROW()-14),"")</f>
        <v/>
      </c>
      <c r="C60" s="289">
        <f>IF(B60="","",INDEX(Routing!$M:$M,ROW()-14))</f>
        <v/>
      </c>
      <c r="D60" s="289">
        <f>IF(B60="","",H59)</f>
        <v/>
      </c>
      <c r="E60" s="289">
        <f>IF(B60="","",$B$5+IF($B$7=0,0,D60/$B$7))</f>
        <v/>
      </c>
      <c r="F60" s="289">
        <f>IF(B60="","",IF(E60&lt;=J6,K6,IF(E60&gt;=J11,K11,INDEX(K6:K11,MATCH(E60,J6:J11,1))+(E60-INDEX(J6:J11,MATCH(E60,J6:J11,1)))*(INDEX(K6:K11,MATCH(E60,J6:J11,1)+1)-INDEX(K6:K11,MATCH(E60,J6:J11,1)))/(INDEX(J6:J11,MATCH(E60,J6:J11,1)+1)-INDEX(J6:J11,MATCH(E60,J6:J11,1))))))</f>
        <v/>
      </c>
      <c r="G60" s="289">
        <f>IF(B60="","",(C60-F60)*$B$10)</f>
        <v/>
      </c>
      <c r="H60" s="289">
        <f>IF(B60="","",MAX(0,D60+G60))</f>
        <v/>
      </c>
      <c r="I60" s="289">
        <f>IF(B60="","",$B$5+IF($B$7=0,0,H60/$B$7))</f>
        <v/>
      </c>
    </row>
    <row r="61">
      <c r="A61" s="288">
        <f>IF(B61="","",A60+1)</f>
        <v/>
      </c>
      <c r="B61" s="288">
        <f>IF(ROW()-15&lt;=$B$11,INDEX(Routing!$A:$A,ROW()-14),"")</f>
        <v/>
      </c>
      <c r="C61" s="289">
        <f>IF(B61="","",INDEX(Routing!$M:$M,ROW()-14))</f>
        <v/>
      </c>
      <c r="D61" s="289">
        <f>IF(B61="","",H60)</f>
        <v/>
      </c>
      <c r="E61" s="289">
        <f>IF(B61="","",$B$5+IF($B$7=0,0,D61/$B$7))</f>
        <v/>
      </c>
      <c r="F61" s="289">
        <f>IF(B61="","",IF(E61&lt;=J6,K6,IF(E61&gt;=J11,K11,INDEX(K6:K11,MATCH(E61,J6:J11,1))+(E61-INDEX(J6:J11,MATCH(E61,J6:J11,1)))*(INDEX(K6:K11,MATCH(E61,J6:J11,1)+1)-INDEX(K6:K11,MATCH(E61,J6:J11,1)))/(INDEX(J6:J11,MATCH(E61,J6:J11,1)+1)-INDEX(J6:J11,MATCH(E61,J6:J11,1))))))</f>
        <v/>
      </c>
      <c r="G61" s="289">
        <f>IF(B61="","",(C61-F61)*$B$10)</f>
        <v/>
      </c>
      <c r="H61" s="289">
        <f>IF(B61="","",MAX(0,D61+G61))</f>
        <v/>
      </c>
      <c r="I61" s="289">
        <f>IF(B61="","",$B$5+IF($B$7=0,0,H61/$B$7))</f>
        <v/>
      </c>
    </row>
    <row r="62">
      <c r="A62" s="288">
        <f>IF(B62="","",A61+1)</f>
        <v/>
      </c>
      <c r="B62" s="288">
        <f>IF(ROW()-15&lt;=$B$11,INDEX(Routing!$A:$A,ROW()-14),"")</f>
        <v/>
      </c>
      <c r="C62" s="289">
        <f>IF(B62="","",INDEX(Routing!$M:$M,ROW()-14))</f>
        <v/>
      </c>
      <c r="D62" s="289">
        <f>IF(B62="","",H61)</f>
        <v/>
      </c>
      <c r="E62" s="289">
        <f>IF(B62="","",$B$5+IF($B$7=0,0,D62/$B$7))</f>
        <v/>
      </c>
      <c r="F62" s="289">
        <f>IF(B62="","",IF(E62&lt;=J6,K6,IF(E62&gt;=J11,K11,INDEX(K6:K11,MATCH(E62,J6:J11,1))+(E62-INDEX(J6:J11,MATCH(E62,J6:J11,1)))*(INDEX(K6:K11,MATCH(E62,J6:J11,1)+1)-INDEX(K6:K11,MATCH(E62,J6:J11,1)))/(INDEX(J6:J11,MATCH(E62,J6:J11,1)+1)-INDEX(J6:J11,MATCH(E62,J6:J11,1))))))</f>
        <v/>
      </c>
      <c r="G62" s="289">
        <f>IF(B62="","",(C62-F62)*$B$10)</f>
        <v/>
      </c>
      <c r="H62" s="289">
        <f>IF(B62="","",MAX(0,D62+G62))</f>
        <v/>
      </c>
      <c r="I62" s="289">
        <f>IF(B62="","",$B$5+IF($B$7=0,0,H62/$B$7))</f>
        <v/>
      </c>
    </row>
    <row r="63">
      <c r="A63" s="288">
        <f>IF(B63="","",A62+1)</f>
        <v/>
      </c>
      <c r="B63" s="288">
        <f>IF(ROW()-15&lt;=$B$11,INDEX(Routing!$A:$A,ROW()-14),"")</f>
        <v/>
      </c>
      <c r="C63" s="289">
        <f>IF(B63="","",INDEX(Routing!$M:$M,ROW()-14))</f>
        <v/>
      </c>
      <c r="D63" s="289">
        <f>IF(B63="","",H62)</f>
        <v/>
      </c>
      <c r="E63" s="289">
        <f>IF(B63="","",$B$5+IF($B$7=0,0,D63/$B$7))</f>
        <v/>
      </c>
      <c r="F63" s="289">
        <f>IF(B63="","",IF(E63&lt;=J6,K6,IF(E63&gt;=J11,K11,INDEX(K6:K11,MATCH(E63,J6:J11,1))+(E63-INDEX(J6:J11,MATCH(E63,J6:J11,1)))*(INDEX(K6:K11,MATCH(E63,J6:J11,1)+1)-INDEX(K6:K11,MATCH(E63,J6:J11,1)))/(INDEX(J6:J11,MATCH(E63,J6:J11,1)+1)-INDEX(J6:J11,MATCH(E63,J6:J11,1))))))</f>
        <v/>
      </c>
      <c r="G63" s="289">
        <f>IF(B63="","",(C63-F63)*$B$10)</f>
        <v/>
      </c>
      <c r="H63" s="289">
        <f>IF(B63="","",MAX(0,D63+G63))</f>
        <v/>
      </c>
      <c r="I63" s="289">
        <f>IF(B63="","",$B$5+IF($B$7=0,0,H63/$B$7))</f>
        <v/>
      </c>
    </row>
    <row r="64">
      <c r="A64" s="288">
        <f>IF(B64="","",A63+1)</f>
        <v/>
      </c>
      <c r="B64" s="288">
        <f>IF(ROW()-15&lt;=$B$11,INDEX(Routing!$A:$A,ROW()-14),"")</f>
        <v/>
      </c>
      <c r="C64" s="289">
        <f>IF(B64="","",INDEX(Routing!$M:$M,ROW()-14))</f>
        <v/>
      </c>
      <c r="D64" s="289">
        <f>IF(B64="","",H63)</f>
        <v/>
      </c>
      <c r="E64" s="289">
        <f>IF(B64="","",$B$5+IF($B$7=0,0,D64/$B$7))</f>
        <v/>
      </c>
      <c r="F64" s="289">
        <f>IF(B64="","",IF(E64&lt;=J6,K6,IF(E64&gt;=J11,K11,INDEX(K6:K11,MATCH(E64,J6:J11,1))+(E64-INDEX(J6:J11,MATCH(E64,J6:J11,1)))*(INDEX(K6:K11,MATCH(E64,J6:J11,1)+1)-INDEX(K6:K11,MATCH(E64,J6:J11,1)))/(INDEX(J6:J11,MATCH(E64,J6:J11,1)+1)-INDEX(J6:J11,MATCH(E64,J6:J11,1))))))</f>
        <v/>
      </c>
      <c r="G64" s="289">
        <f>IF(B64="","",(C64-F64)*$B$10)</f>
        <v/>
      </c>
      <c r="H64" s="289">
        <f>IF(B64="","",MAX(0,D64+G64))</f>
        <v/>
      </c>
      <c r="I64" s="289">
        <f>IF(B64="","",$B$5+IF($B$7=0,0,H64/$B$7))</f>
        <v/>
      </c>
    </row>
    <row r="65">
      <c r="A65" s="288">
        <f>IF(B65="","",A64+1)</f>
        <v/>
      </c>
      <c r="B65" s="288">
        <f>IF(ROW()-15&lt;=$B$11,INDEX(Routing!$A:$A,ROW()-14),"")</f>
        <v/>
      </c>
      <c r="C65" s="289">
        <f>IF(B65="","",INDEX(Routing!$M:$M,ROW()-14))</f>
        <v/>
      </c>
      <c r="D65" s="289">
        <f>IF(B65="","",H64)</f>
        <v/>
      </c>
      <c r="E65" s="289">
        <f>IF(B65="","",$B$5+IF($B$7=0,0,D65/$B$7))</f>
        <v/>
      </c>
      <c r="F65" s="289">
        <f>IF(B65="","",IF(E65&lt;=J6,K6,IF(E65&gt;=J11,K11,INDEX(K6:K11,MATCH(E65,J6:J11,1))+(E65-INDEX(J6:J11,MATCH(E65,J6:J11,1)))*(INDEX(K6:K11,MATCH(E65,J6:J11,1)+1)-INDEX(K6:K11,MATCH(E65,J6:J11,1)))/(INDEX(J6:J11,MATCH(E65,J6:J11,1)+1)-INDEX(J6:J11,MATCH(E65,J6:J11,1))))))</f>
        <v/>
      </c>
      <c r="G65" s="289">
        <f>IF(B65="","",(C65-F65)*$B$10)</f>
        <v/>
      </c>
      <c r="H65" s="289">
        <f>IF(B65="","",MAX(0,D65+G65))</f>
        <v/>
      </c>
      <c r="I65" s="289">
        <f>IF(B65="","",$B$5+IF($B$7=0,0,H65/$B$7))</f>
        <v/>
      </c>
    </row>
    <row r="66">
      <c r="A66" s="288">
        <f>IF(B66="","",A65+1)</f>
        <v/>
      </c>
      <c r="B66" s="288">
        <f>IF(ROW()-15&lt;=$B$11,INDEX(Routing!$A:$A,ROW()-14),"")</f>
        <v/>
      </c>
      <c r="C66" s="289">
        <f>IF(B66="","",INDEX(Routing!$M:$M,ROW()-14))</f>
        <v/>
      </c>
      <c r="D66" s="289">
        <f>IF(B66="","",H65)</f>
        <v/>
      </c>
      <c r="E66" s="289">
        <f>IF(B66="","",$B$5+IF($B$7=0,0,D66/$B$7))</f>
        <v/>
      </c>
      <c r="F66" s="289">
        <f>IF(B66="","",IF(E66&lt;=J6,K6,IF(E66&gt;=J11,K11,INDEX(K6:K11,MATCH(E66,J6:J11,1))+(E66-INDEX(J6:J11,MATCH(E66,J6:J11,1)))*(INDEX(K6:K11,MATCH(E66,J6:J11,1)+1)-INDEX(K6:K11,MATCH(E66,J6:J11,1)))/(INDEX(J6:J11,MATCH(E66,J6:J11,1)+1)-INDEX(J6:J11,MATCH(E66,J6:J11,1))))))</f>
        <v/>
      </c>
      <c r="G66" s="289">
        <f>IF(B66="","",(C66-F66)*$B$10)</f>
        <v/>
      </c>
      <c r="H66" s="289">
        <f>IF(B66="","",MAX(0,D66+G66))</f>
        <v/>
      </c>
      <c r="I66" s="289">
        <f>IF(B66="","",$B$5+IF($B$7=0,0,H66/$B$7))</f>
        <v/>
      </c>
    </row>
    <row r="67">
      <c r="A67" s="288">
        <f>IF(B67="","",A66+1)</f>
        <v/>
      </c>
      <c r="B67" s="288">
        <f>IF(ROW()-15&lt;=$B$11,INDEX(Routing!$A:$A,ROW()-14),"")</f>
        <v/>
      </c>
      <c r="C67" s="289">
        <f>IF(B67="","",INDEX(Routing!$M:$M,ROW()-14))</f>
        <v/>
      </c>
      <c r="D67" s="289">
        <f>IF(B67="","",H66)</f>
        <v/>
      </c>
      <c r="E67" s="289">
        <f>IF(B67="","",$B$5+IF($B$7=0,0,D67/$B$7))</f>
        <v/>
      </c>
      <c r="F67" s="289">
        <f>IF(B67="","",IF(E67&lt;=J6,K6,IF(E67&gt;=J11,K11,INDEX(K6:K11,MATCH(E67,J6:J11,1))+(E67-INDEX(J6:J11,MATCH(E67,J6:J11,1)))*(INDEX(K6:K11,MATCH(E67,J6:J11,1)+1)-INDEX(K6:K11,MATCH(E67,J6:J11,1)))/(INDEX(J6:J11,MATCH(E67,J6:J11,1)+1)-INDEX(J6:J11,MATCH(E67,J6:J11,1))))))</f>
        <v/>
      </c>
      <c r="G67" s="289">
        <f>IF(B67="","",(C67-F67)*$B$10)</f>
        <v/>
      </c>
      <c r="H67" s="289">
        <f>IF(B67="","",MAX(0,D67+G67))</f>
        <v/>
      </c>
      <c r="I67" s="289">
        <f>IF(B67="","",$B$5+IF($B$7=0,0,H67/$B$7))</f>
        <v/>
      </c>
    </row>
    <row r="68">
      <c r="A68" s="288">
        <f>IF(B68="","",A67+1)</f>
        <v/>
      </c>
      <c r="B68" s="288">
        <f>IF(ROW()-15&lt;=$B$11,INDEX(Routing!$A:$A,ROW()-14),"")</f>
        <v/>
      </c>
      <c r="C68" s="289">
        <f>IF(B68="","",INDEX(Routing!$M:$M,ROW()-14))</f>
        <v/>
      </c>
      <c r="D68" s="289">
        <f>IF(B68="","",H67)</f>
        <v/>
      </c>
      <c r="E68" s="289">
        <f>IF(B68="","",$B$5+IF($B$7=0,0,D68/$B$7))</f>
        <v/>
      </c>
      <c r="F68" s="289">
        <f>IF(B68="","",IF(E68&lt;=J6,K6,IF(E68&gt;=J11,K11,INDEX(K6:K11,MATCH(E68,J6:J11,1))+(E68-INDEX(J6:J11,MATCH(E68,J6:J11,1)))*(INDEX(K6:K11,MATCH(E68,J6:J11,1)+1)-INDEX(K6:K11,MATCH(E68,J6:J11,1)))/(INDEX(J6:J11,MATCH(E68,J6:J11,1)+1)-INDEX(J6:J11,MATCH(E68,J6:J11,1))))))</f>
        <v/>
      </c>
      <c r="G68" s="289">
        <f>IF(B68="","",(C68-F68)*$B$10)</f>
        <v/>
      </c>
      <c r="H68" s="289">
        <f>IF(B68="","",MAX(0,D68+G68))</f>
        <v/>
      </c>
      <c r="I68" s="289">
        <f>IF(B68="","",$B$5+IF($B$7=0,0,H68/$B$7))</f>
        <v/>
      </c>
    </row>
    <row r="69">
      <c r="A69" s="288">
        <f>IF(B69="","",A68+1)</f>
        <v/>
      </c>
      <c r="B69" s="288">
        <f>IF(ROW()-15&lt;=$B$11,INDEX(Routing!$A:$A,ROW()-14),"")</f>
        <v/>
      </c>
      <c r="C69" s="289">
        <f>IF(B69="","",INDEX(Routing!$M:$M,ROW()-14))</f>
        <v/>
      </c>
      <c r="D69" s="289">
        <f>IF(B69="","",H68)</f>
        <v/>
      </c>
      <c r="E69" s="289">
        <f>IF(B69="","",$B$5+IF($B$7=0,0,D69/$B$7))</f>
        <v/>
      </c>
      <c r="F69" s="289">
        <f>IF(B69="","",IF(E69&lt;=J6,K6,IF(E69&gt;=J11,K11,INDEX(K6:K11,MATCH(E69,J6:J11,1))+(E69-INDEX(J6:J11,MATCH(E69,J6:J11,1)))*(INDEX(K6:K11,MATCH(E69,J6:J11,1)+1)-INDEX(K6:K11,MATCH(E69,J6:J11,1)))/(INDEX(J6:J11,MATCH(E69,J6:J11,1)+1)-INDEX(J6:J11,MATCH(E69,J6:J11,1))))))</f>
        <v/>
      </c>
      <c r="G69" s="289">
        <f>IF(B69="","",(C69-F69)*$B$10)</f>
        <v/>
      </c>
      <c r="H69" s="289">
        <f>IF(B69="","",MAX(0,D69+G69))</f>
        <v/>
      </c>
      <c r="I69" s="289">
        <f>IF(B69="","",$B$5+IF($B$7=0,0,H69/$B$7))</f>
        <v/>
      </c>
    </row>
    <row r="70">
      <c r="A70" s="288">
        <f>IF(B70="","",A69+1)</f>
        <v/>
      </c>
      <c r="B70" s="288">
        <f>IF(ROW()-15&lt;=$B$11,INDEX(Routing!$A:$A,ROW()-14),"")</f>
        <v/>
      </c>
      <c r="C70" s="289">
        <f>IF(B70="","",INDEX(Routing!$M:$M,ROW()-14))</f>
        <v/>
      </c>
      <c r="D70" s="289">
        <f>IF(B70="","",H69)</f>
        <v/>
      </c>
      <c r="E70" s="289">
        <f>IF(B70="","",$B$5+IF($B$7=0,0,D70/$B$7))</f>
        <v/>
      </c>
      <c r="F70" s="289">
        <f>IF(B70="","",IF(E70&lt;=J6,K6,IF(E70&gt;=J11,K11,INDEX(K6:K11,MATCH(E70,J6:J11,1))+(E70-INDEX(J6:J11,MATCH(E70,J6:J11,1)))*(INDEX(K6:K11,MATCH(E70,J6:J11,1)+1)-INDEX(K6:K11,MATCH(E70,J6:J11,1)))/(INDEX(J6:J11,MATCH(E70,J6:J11,1)+1)-INDEX(J6:J11,MATCH(E70,J6:J11,1))))))</f>
        <v/>
      </c>
      <c r="G70" s="289">
        <f>IF(B70="","",(C70-F70)*$B$10)</f>
        <v/>
      </c>
      <c r="H70" s="289">
        <f>IF(B70="","",MAX(0,D70+G70))</f>
        <v/>
      </c>
      <c r="I70" s="289">
        <f>IF(B70="","",$B$5+IF($B$7=0,0,H70/$B$7))</f>
        <v/>
      </c>
    </row>
    <row r="71">
      <c r="A71" s="288">
        <f>IF(B71="","",A70+1)</f>
        <v/>
      </c>
      <c r="B71" s="288">
        <f>IF(ROW()-15&lt;=$B$11,INDEX(Routing!$A:$A,ROW()-14),"")</f>
        <v/>
      </c>
      <c r="C71" s="289">
        <f>IF(B71="","",INDEX(Routing!$M:$M,ROW()-14))</f>
        <v/>
      </c>
      <c r="D71" s="289">
        <f>IF(B71="","",H70)</f>
        <v/>
      </c>
      <c r="E71" s="289">
        <f>IF(B71="","",$B$5+IF($B$7=0,0,D71/$B$7))</f>
        <v/>
      </c>
      <c r="F71" s="289">
        <f>IF(B71="","",IF(E71&lt;=J6,K6,IF(E71&gt;=J11,K11,INDEX(K6:K11,MATCH(E71,J6:J11,1))+(E71-INDEX(J6:J11,MATCH(E71,J6:J11,1)))*(INDEX(K6:K11,MATCH(E71,J6:J11,1)+1)-INDEX(K6:K11,MATCH(E71,J6:J11,1)))/(INDEX(J6:J11,MATCH(E71,J6:J11,1)+1)-INDEX(J6:J11,MATCH(E71,J6:J11,1))))))</f>
        <v/>
      </c>
      <c r="G71" s="289">
        <f>IF(B71="","",(C71-F71)*$B$10)</f>
        <v/>
      </c>
      <c r="H71" s="289">
        <f>IF(B71="","",MAX(0,D71+G71))</f>
        <v/>
      </c>
      <c r="I71" s="289">
        <f>IF(B71="","",$B$5+IF($B$7=0,0,H71/$B$7))</f>
        <v/>
      </c>
    </row>
    <row r="72">
      <c r="A72" s="288">
        <f>IF(B72="","",A71+1)</f>
        <v/>
      </c>
      <c r="B72" s="288">
        <f>IF(ROW()-15&lt;=$B$11,INDEX(Routing!$A:$A,ROW()-14),"")</f>
        <v/>
      </c>
      <c r="C72" s="289">
        <f>IF(B72="","",INDEX(Routing!$M:$M,ROW()-14))</f>
        <v/>
      </c>
      <c r="D72" s="289">
        <f>IF(B72="","",H71)</f>
        <v/>
      </c>
      <c r="E72" s="289">
        <f>IF(B72="","",$B$5+IF($B$7=0,0,D72/$B$7))</f>
        <v/>
      </c>
      <c r="F72" s="289">
        <f>IF(B72="","",IF(E72&lt;=J6,K6,IF(E72&gt;=J11,K11,INDEX(K6:K11,MATCH(E72,J6:J11,1))+(E72-INDEX(J6:J11,MATCH(E72,J6:J11,1)))*(INDEX(K6:K11,MATCH(E72,J6:J11,1)+1)-INDEX(K6:K11,MATCH(E72,J6:J11,1)))/(INDEX(J6:J11,MATCH(E72,J6:J11,1)+1)-INDEX(J6:J11,MATCH(E72,J6:J11,1))))))</f>
        <v/>
      </c>
      <c r="G72" s="289">
        <f>IF(B72="","",(C72-F72)*$B$10)</f>
        <v/>
      </c>
      <c r="H72" s="289">
        <f>IF(B72="","",MAX(0,D72+G72))</f>
        <v/>
      </c>
      <c r="I72" s="289">
        <f>IF(B72="","",$B$5+IF($B$7=0,0,H72/$B$7))</f>
        <v/>
      </c>
    </row>
    <row r="73">
      <c r="A73" s="288">
        <f>IF(B73="","",A72+1)</f>
        <v/>
      </c>
      <c r="B73" s="288">
        <f>IF(ROW()-15&lt;=$B$11,INDEX(Routing!$A:$A,ROW()-14),"")</f>
        <v/>
      </c>
      <c r="C73" s="289">
        <f>IF(B73="","",INDEX(Routing!$M:$M,ROW()-14))</f>
        <v/>
      </c>
      <c r="D73" s="289">
        <f>IF(B73="","",H72)</f>
        <v/>
      </c>
      <c r="E73" s="289">
        <f>IF(B73="","",$B$5+IF($B$7=0,0,D73/$B$7))</f>
        <v/>
      </c>
      <c r="F73" s="289">
        <f>IF(B73="","",IF(E73&lt;=J6,K6,IF(E73&gt;=J11,K11,INDEX(K6:K11,MATCH(E73,J6:J11,1))+(E73-INDEX(J6:J11,MATCH(E73,J6:J11,1)))*(INDEX(K6:K11,MATCH(E73,J6:J11,1)+1)-INDEX(K6:K11,MATCH(E73,J6:J11,1)))/(INDEX(J6:J11,MATCH(E73,J6:J11,1)+1)-INDEX(J6:J11,MATCH(E73,J6:J11,1))))))</f>
        <v/>
      </c>
      <c r="G73" s="289">
        <f>IF(B73="","",(C73-F73)*$B$10)</f>
        <v/>
      </c>
      <c r="H73" s="289">
        <f>IF(B73="","",MAX(0,D73+G73))</f>
        <v/>
      </c>
      <c r="I73" s="289">
        <f>IF(B73="","",$B$5+IF($B$7=0,0,H73/$B$7))</f>
        <v/>
      </c>
    </row>
    <row r="74">
      <c r="A74" s="288">
        <f>IF(B74="","",A73+1)</f>
        <v/>
      </c>
      <c r="B74" s="288">
        <f>IF(ROW()-15&lt;=$B$11,INDEX(Routing!$A:$A,ROW()-14),"")</f>
        <v/>
      </c>
      <c r="C74" s="289">
        <f>IF(B74="","",INDEX(Routing!$M:$M,ROW()-14))</f>
        <v/>
      </c>
      <c r="D74" s="289">
        <f>IF(B74="","",H73)</f>
        <v/>
      </c>
      <c r="E74" s="289">
        <f>IF(B74="","",$B$5+IF($B$7=0,0,D74/$B$7))</f>
        <v/>
      </c>
      <c r="F74" s="289">
        <f>IF(B74="","",IF(E74&lt;=J6,K6,IF(E74&gt;=J11,K11,INDEX(K6:K11,MATCH(E74,J6:J11,1))+(E74-INDEX(J6:J11,MATCH(E74,J6:J11,1)))*(INDEX(K6:K11,MATCH(E74,J6:J11,1)+1)-INDEX(K6:K11,MATCH(E74,J6:J11,1)))/(INDEX(J6:J11,MATCH(E74,J6:J11,1)+1)-INDEX(J6:J11,MATCH(E74,J6:J11,1))))))</f>
        <v/>
      </c>
      <c r="G74" s="289">
        <f>IF(B74="","",(C74-F74)*$B$10)</f>
        <v/>
      </c>
      <c r="H74" s="289">
        <f>IF(B74="","",MAX(0,D74+G74))</f>
        <v/>
      </c>
      <c r="I74" s="289">
        <f>IF(B74="","",$B$5+IF($B$7=0,0,H74/$B$7))</f>
        <v/>
      </c>
    </row>
    <row r="75">
      <c r="A75" s="288">
        <f>IF(B75="","",A74+1)</f>
        <v/>
      </c>
      <c r="B75" s="288">
        <f>IF(ROW()-15&lt;=$B$11,INDEX(Routing!$A:$A,ROW()-14),"")</f>
        <v/>
      </c>
      <c r="C75" s="289">
        <f>IF(B75="","",INDEX(Routing!$M:$M,ROW()-14))</f>
        <v/>
      </c>
      <c r="D75" s="289">
        <f>IF(B75="","",H74)</f>
        <v/>
      </c>
      <c r="E75" s="289">
        <f>IF(B75="","",$B$5+IF($B$7=0,0,D75/$B$7))</f>
        <v/>
      </c>
      <c r="F75" s="289">
        <f>IF(B75="","",IF(E75&lt;=J6,K6,IF(E75&gt;=J11,K11,INDEX(K6:K11,MATCH(E75,J6:J11,1))+(E75-INDEX(J6:J11,MATCH(E75,J6:J11,1)))*(INDEX(K6:K11,MATCH(E75,J6:J11,1)+1)-INDEX(K6:K11,MATCH(E75,J6:J11,1)))/(INDEX(J6:J11,MATCH(E75,J6:J11,1)+1)-INDEX(J6:J11,MATCH(E75,J6:J11,1))))))</f>
        <v/>
      </c>
      <c r="G75" s="289">
        <f>IF(B75="","",(C75-F75)*$B$10)</f>
        <v/>
      </c>
      <c r="H75" s="289">
        <f>IF(B75="","",MAX(0,D75+G75))</f>
        <v/>
      </c>
      <c r="I75" s="289">
        <f>IF(B75="","",$B$5+IF($B$7=0,0,H75/$B$7))</f>
        <v/>
      </c>
    </row>
    <row r="76">
      <c r="A76" s="288">
        <f>IF(B76="","",A75+1)</f>
        <v/>
      </c>
      <c r="B76" s="288">
        <f>IF(ROW()-15&lt;=$B$11,INDEX(Routing!$A:$A,ROW()-14),"")</f>
        <v/>
      </c>
      <c r="C76" s="289">
        <f>IF(B76="","",INDEX(Routing!$M:$M,ROW()-14))</f>
        <v/>
      </c>
      <c r="D76" s="289">
        <f>IF(B76="","",H75)</f>
        <v/>
      </c>
      <c r="E76" s="289">
        <f>IF(B76="","",$B$5+IF($B$7=0,0,D76/$B$7))</f>
        <v/>
      </c>
      <c r="F76" s="289">
        <f>IF(B76="","",IF(E76&lt;=J6,K6,IF(E76&gt;=J11,K11,INDEX(K6:K11,MATCH(E76,J6:J11,1))+(E76-INDEX(J6:J11,MATCH(E76,J6:J11,1)))*(INDEX(K6:K11,MATCH(E76,J6:J11,1)+1)-INDEX(K6:K11,MATCH(E76,J6:J11,1)))/(INDEX(J6:J11,MATCH(E76,J6:J11,1)+1)-INDEX(J6:J11,MATCH(E76,J6:J11,1))))))</f>
        <v/>
      </c>
      <c r="G76" s="289">
        <f>IF(B76="","",(C76-F76)*$B$10)</f>
        <v/>
      </c>
      <c r="H76" s="289">
        <f>IF(B76="","",MAX(0,D76+G76))</f>
        <v/>
      </c>
      <c r="I76" s="289">
        <f>IF(B76="","",$B$5+IF($B$7=0,0,H76/$B$7))</f>
        <v/>
      </c>
    </row>
    <row r="77">
      <c r="A77" s="288">
        <f>IF(B77="","",A76+1)</f>
        <v/>
      </c>
      <c r="B77" s="288">
        <f>IF(ROW()-15&lt;=$B$11,INDEX(Routing!$A:$A,ROW()-14),"")</f>
        <v/>
      </c>
      <c r="C77" s="289">
        <f>IF(B77="","",INDEX(Routing!$M:$M,ROW()-14))</f>
        <v/>
      </c>
      <c r="D77" s="289">
        <f>IF(B77="","",H76)</f>
        <v/>
      </c>
      <c r="E77" s="289">
        <f>IF(B77="","",$B$5+IF($B$7=0,0,D77/$B$7))</f>
        <v/>
      </c>
      <c r="F77" s="289">
        <f>IF(B77="","",IF(E77&lt;=J6,K6,IF(E77&gt;=J11,K11,INDEX(K6:K11,MATCH(E77,J6:J11,1))+(E77-INDEX(J6:J11,MATCH(E77,J6:J11,1)))*(INDEX(K6:K11,MATCH(E77,J6:J11,1)+1)-INDEX(K6:K11,MATCH(E77,J6:J11,1)))/(INDEX(J6:J11,MATCH(E77,J6:J11,1)+1)-INDEX(J6:J11,MATCH(E77,J6:J11,1))))))</f>
        <v/>
      </c>
      <c r="G77" s="289">
        <f>IF(B77="","",(C77-F77)*$B$10)</f>
        <v/>
      </c>
      <c r="H77" s="289">
        <f>IF(B77="","",MAX(0,D77+G77))</f>
        <v/>
      </c>
      <c r="I77" s="289">
        <f>IF(B77="","",$B$5+IF($B$7=0,0,H77/$B$7))</f>
        <v/>
      </c>
    </row>
    <row r="78">
      <c r="A78" s="288">
        <f>IF(B78="","",A77+1)</f>
        <v/>
      </c>
      <c r="B78" s="288">
        <f>IF(ROW()-15&lt;=$B$11,INDEX(Routing!$A:$A,ROW()-14),"")</f>
        <v/>
      </c>
      <c r="C78" s="289">
        <f>IF(B78="","",INDEX(Routing!$M:$M,ROW()-14))</f>
        <v/>
      </c>
      <c r="D78" s="289">
        <f>IF(B78="","",H77)</f>
        <v/>
      </c>
      <c r="E78" s="289">
        <f>IF(B78="","",$B$5+IF($B$7=0,0,D78/$B$7))</f>
        <v/>
      </c>
      <c r="F78" s="289">
        <f>IF(B78="","",IF(E78&lt;=J6,K6,IF(E78&gt;=J11,K11,INDEX(K6:K11,MATCH(E78,J6:J11,1))+(E78-INDEX(J6:J11,MATCH(E78,J6:J11,1)))*(INDEX(K6:K11,MATCH(E78,J6:J11,1)+1)-INDEX(K6:K11,MATCH(E78,J6:J11,1)))/(INDEX(J6:J11,MATCH(E78,J6:J11,1)+1)-INDEX(J6:J11,MATCH(E78,J6:J11,1))))))</f>
        <v/>
      </c>
      <c r="G78" s="289">
        <f>IF(B78="","",(C78-F78)*$B$10)</f>
        <v/>
      </c>
      <c r="H78" s="289">
        <f>IF(B78="","",MAX(0,D78+G78))</f>
        <v/>
      </c>
      <c r="I78" s="289">
        <f>IF(B78="","",$B$5+IF($B$7=0,0,H78/$B$7))</f>
        <v/>
      </c>
    </row>
    <row r="79">
      <c r="A79" s="288">
        <f>IF(B79="","",A78+1)</f>
        <v/>
      </c>
      <c r="B79" s="288">
        <f>IF(ROW()-15&lt;=$B$11,INDEX(Routing!$A:$A,ROW()-14),"")</f>
        <v/>
      </c>
      <c r="C79" s="289">
        <f>IF(B79="","",INDEX(Routing!$M:$M,ROW()-14))</f>
        <v/>
      </c>
      <c r="D79" s="289">
        <f>IF(B79="","",H78)</f>
        <v/>
      </c>
      <c r="E79" s="289">
        <f>IF(B79="","",$B$5+IF($B$7=0,0,D79/$B$7))</f>
        <v/>
      </c>
      <c r="F79" s="289">
        <f>IF(B79="","",IF(E79&lt;=J6,K6,IF(E79&gt;=J11,K11,INDEX(K6:K11,MATCH(E79,J6:J11,1))+(E79-INDEX(J6:J11,MATCH(E79,J6:J11,1)))*(INDEX(K6:K11,MATCH(E79,J6:J11,1)+1)-INDEX(K6:K11,MATCH(E79,J6:J11,1)))/(INDEX(J6:J11,MATCH(E79,J6:J11,1)+1)-INDEX(J6:J11,MATCH(E79,J6:J11,1))))))</f>
        <v/>
      </c>
      <c r="G79" s="289">
        <f>IF(B79="","",(C79-F79)*$B$10)</f>
        <v/>
      </c>
      <c r="H79" s="289">
        <f>IF(B79="","",MAX(0,D79+G79))</f>
        <v/>
      </c>
      <c r="I79" s="289">
        <f>IF(B79="","",$B$5+IF($B$7=0,0,H79/$B$7))</f>
        <v/>
      </c>
    </row>
    <row r="80">
      <c r="A80" s="288">
        <f>IF(B80="","",A79+1)</f>
        <v/>
      </c>
      <c r="B80" s="288">
        <f>IF(ROW()-15&lt;=$B$11,INDEX(Routing!$A:$A,ROW()-14),"")</f>
        <v/>
      </c>
      <c r="C80" s="289">
        <f>IF(B80="","",INDEX(Routing!$M:$M,ROW()-14))</f>
        <v/>
      </c>
      <c r="D80" s="289">
        <f>IF(B80="","",H79)</f>
        <v/>
      </c>
      <c r="E80" s="289">
        <f>IF(B80="","",$B$5+IF($B$7=0,0,D80/$B$7))</f>
        <v/>
      </c>
      <c r="F80" s="289">
        <f>IF(B80="","",IF(E80&lt;=J6,K6,IF(E80&gt;=J11,K11,INDEX(K6:K11,MATCH(E80,J6:J11,1))+(E80-INDEX(J6:J11,MATCH(E80,J6:J11,1)))*(INDEX(K6:K11,MATCH(E80,J6:J11,1)+1)-INDEX(K6:K11,MATCH(E80,J6:J11,1)))/(INDEX(J6:J11,MATCH(E80,J6:J11,1)+1)-INDEX(J6:J11,MATCH(E80,J6:J11,1))))))</f>
        <v/>
      </c>
      <c r="G80" s="289">
        <f>IF(B80="","",(C80-F80)*$B$10)</f>
        <v/>
      </c>
      <c r="H80" s="289">
        <f>IF(B80="","",MAX(0,D80+G80))</f>
        <v/>
      </c>
      <c r="I80" s="289">
        <f>IF(B80="","",$B$5+IF($B$7=0,0,H80/$B$7))</f>
        <v/>
      </c>
    </row>
    <row r="81">
      <c r="A81" s="288">
        <f>IF(B81="","",A80+1)</f>
        <v/>
      </c>
      <c r="B81" s="288">
        <f>IF(ROW()-15&lt;=$B$11,INDEX(Routing!$A:$A,ROW()-14),"")</f>
        <v/>
      </c>
      <c r="C81" s="289">
        <f>IF(B81="","",INDEX(Routing!$M:$M,ROW()-14))</f>
        <v/>
      </c>
      <c r="D81" s="289">
        <f>IF(B81="","",H80)</f>
        <v/>
      </c>
      <c r="E81" s="289">
        <f>IF(B81="","",$B$5+IF($B$7=0,0,D81/$B$7))</f>
        <v/>
      </c>
      <c r="F81" s="289">
        <f>IF(B81="","",IF(E81&lt;=J6,K6,IF(E81&gt;=J11,K11,INDEX(K6:K11,MATCH(E81,J6:J11,1))+(E81-INDEX(J6:J11,MATCH(E81,J6:J11,1)))*(INDEX(K6:K11,MATCH(E81,J6:J11,1)+1)-INDEX(K6:K11,MATCH(E81,J6:J11,1)))/(INDEX(J6:J11,MATCH(E81,J6:J11,1)+1)-INDEX(J6:J11,MATCH(E81,J6:J11,1))))))</f>
        <v/>
      </c>
      <c r="G81" s="289">
        <f>IF(B81="","",(C81-F81)*$B$10)</f>
        <v/>
      </c>
      <c r="H81" s="289">
        <f>IF(B81="","",MAX(0,D81+G81))</f>
        <v/>
      </c>
      <c r="I81" s="289">
        <f>IF(B81="","",$B$5+IF($B$7=0,0,H81/$B$7))</f>
        <v/>
      </c>
    </row>
    <row r="82">
      <c r="A82" s="288">
        <f>IF(B82="","",A81+1)</f>
        <v/>
      </c>
      <c r="B82" s="288">
        <f>IF(ROW()-15&lt;=$B$11,INDEX(Routing!$A:$A,ROW()-14),"")</f>
        <v/>
      </c>
      <c r="C82" s="289">
        <f>IF(B82="","",INDEX(Routing!$M:$M,ROW()-14))</f>
        <v/>
      </c>
      <c r="D82" s="289">
        <f>IF(B82="","",H81)</f>
        <v/>
      </c>
      <c r="E82" s="289">
        <f>IF(B82="","",$B$5+IF($B$7=0,0,D82/$B$7))</f>
        <v/>
      </c>
      <c r="F82" s="289">
        <f>IF(B82="","",IF(E82&lt;=J6,K6,IF(E82&gt;=J11,K11,INDEX(K6:K11,MATCH(E82,J6:J11,1))+(E82-INDEX(J6:J11,MATCH(E82,J6:J11,1)))*(INDEX(K6:K11,MATCH(E82,J6:J11,1)+1)-INDEX(K6:K11,MATCH(E82,J6:J11,1)))/(INDEX(J6:J11,MATCH(E82,J6:J11,1)+1)-INDEX(J6:J11,MATCH(E82,J6:J11,1))))))</f>
        <v/>
      </c>
      <c r="G82" s="289">
        <f>IF(B82="","",(C82-F82)*$B$10)</f>
        <v/>
      </c>
      <c r="H82" s="289">
        <f>IF(B82="","",MAX(0,D82+G82))</f>
        <v/>
      </c>
      <c r="I82" s="289">
        <f>IF(B82="","",$B$5+IF($B$7=0,0,H82/$B$7))</f>
        <v/>
      </c>
    </row>
    <row r="83">
      <c r="A83" s="288">
        <f>IF(B83="","",A82+1)</f>
        <v/>
      </c>
      <c r="B83" s="288">
        <f>IF(ROW()-15&lt;=$B$11,INDEX(Routing!$A:$A,ROW()-14),"")</f>
        <v/>
      </c>
      <c r="C83" s="289">
        <f>IF(B83="","",INDEX(Routing!$M:$M,ROW()-14))</f>
        <v/>
      </c>
      <c r="D83" s="289">
        <f>IF(B83="","",H82)</f>
        <v/>
      </c>
      <c r="E83" s="289">
        <f>IF(B83="","",$B$5+IF($B$7=0,0,D83/$B$7))</f>
        <v/>
      </c>
      <c r="F83" s="289">
        <f>IF(B83="","",IF(E83&lt;=J6,K6,IF(E83&gt;=J11,K11,INDEX(K6:K11,MATCH(E83,J6:J11,1))+(E83-INDEX(J6:J11,MATCH(E83,J6:J11,1)))*(INDEX(K6:K11,MATCH(E83,J6:J11,1)+1)-INDEX(K6:K11,MATCH(E83,J6:J11,1)))/(INDEX(J6:J11,MATCH(E83,J6:J11,1)+1)-INDEX(J6:J11,MATCH(E83,J6:J11,1))))))</f>
        <v/>
      </c>
      <c r="G83" s="289">
        <f>IF(B83="","",(C83-F83)*$B$10)</f>
        <v/>
      </c>
      <c r="H83" s="289">
        <f>IF(B83="","",MAX(0,D83+G83))</f>
        <v/>
      </c>
      <c r="I83" s="289">
        <f>IF(B83="","",$B$5+IF($B$7=0,0,H83/$B$7))</f>
        <v/>
      </c>
    </row>
    <row r="84">
      <c r="A84" s="288">
        <f>IF(B84="","",A83+1)</f>
        <v/>
      </c>
      <c r="B84" s="288">
        <f>IF(ROW()-15&lt;=$B$11,INDEX(Routing!$A:$A,ROW()-14),"")</f>
        <v/>
      </c>
      <c r="C84" s="289">
        <f>IF(B84="","",INDEX(Routing!$M:$M,ROW()-14))</f>
        <v/>
      </c>
      <c r="D84" s="289">
        <f>IF(B84="","",H83)</f>
        <v/>
      </c>
      <c r="E84" s="289">
        <f>IF(B84="","",$B$5+IF($B$7=0,0,D84/$B$7))</f>
        <v/>
      </c>
      <c r="F84" s="289">
        <f>IF(B84="","",IF(E84&lt;=J6,K6,IF(E84&gt;=J11,K11,INDEX(K6:K11,MATCH(E84,J6:J11,1))+(E84-INDEX(J6:J11,MATCH(E84,J6:J11,1)))*(INDEX(K6:K11,MATCH(E84,J6:J11,1)+1)-INDEX(K6:K11,MATCH(E84,J6:J11,1)))/(INDEX(J6:J11,MATCH(E84,J6:J11,1)+1)-INDEX(J6:J11,MATCH(E84,J6:J11,1))))))</f>
        <v/>
      </c>
      <c r="G84" s="289">
        <f>IF(B84="","",(C84-F84)*$B$10)</f>
        <v/>
      </c>
      <c r="H84" s="289">
        <f>IF(B84="","",MAX(0,D84+G84))</f>
        <v/>
      </c>
      <c r="I84" s="289">
        <f>IF(B84="","",$B$5+IF($B$7=0,0,H84/$B$7))</f>
        <v/>
      </c>
    </row>
    <row r="85">
      <c r="A85" s="288">
        <f>IF(B85="","",A84+1)</f>
        <v/>
      </c>
      <c r="B85" s="288">
        <f>IF(ROW()-15&lt;=$B$11,INDEX(Routing!$A:$A,ROW()-14),"")</f>
        <v/>
      </c>
      <c r="C85" s="289">
        <f>IF(B85="","",INDEX(Routing!$M:$M,ROW()-14))</f>
        <v/>
      </c>
      <c r="D85" s="289">
        <f>IF(B85="","",H84)</f>
        <v/>
      </c>
      <c r="E85" s="289">
        <f>IF(B85="","",$B$5+IF($B$7=0,0,D85/$B$7))</f>
        <v/>
      </c>
      <c r="F85" s="289">
        <f>IF(B85="","",IF(E85&lt;=J6,K6,IF(E85&gt;=J11,K11,INDEX(K6:K11,MATCH(E85,J6:J11,1))+(E85-INDEX(J6:J11,MATCH(E85,J6:J11,1)))*(INDEX(K6:K11,MATCH(E85,J6:J11,1)+1)-INDEX(K6:K11,MATCH(E85,J6:J11,1)))/(INDEX(J6:J11,MATCH(E85,J6:J11,1)+1)-INDEX(J6:J11,MATCH(E85,J6:J11,1))))))</f>
        <v/>
      </c>
      <c r="G85" s="289">
        <f>IF(B85="","",(C85-F85)*$B$10)</f>
        <v/>
      </c>
      <c r="H85" s="289">
        <f>IF(B85="","",MAX(0,D85+G85))</f>
        <v/>
      </c>
      <c r="I85" s="289">
        <f>IF(B85="","",$B$5+IF($B$7=0,0,H85/$B$7))</f>
        <v/>
      </c>
    </row>
    <row r="86">
      <c r="A86" s="288">
        <f>IF(B86="","",A85+1)</f>
        <v/>
      </c>
      <c r="B86" s="288">
        <f>IF(ROW()-15&lt;=$B$11,INDEX(Routing!$A:$A,ROW()-14),"")</f>
        <v/>
      </c>
      <c r="C86" s="289">
        <f>IF(B86="","",INDEX(Routing!$M:$M,ROW()-14))</f>
        <v/>
      </c>
      <c r="D86" s="289">
        <f>IF(B86="","",H85)</f>
        <v/>
      </c>
      <c r="E86" s="289">
        <f>IF(B86="","",$B$5+IF($B$7=0,0,D86/$B$7))</f>
        <v/>
      </c>
      <c r="F86" s="289">
        <f>IF(B86="","",IF(E86&lt;=J6,K6,IF(E86&gt;=J11,K11,INDEX(K6:K11,MATCH(E86,J6:J11,1))+(E86-INDEX(J6:J11,MATCH(E86,J6:J11,1)))*(INDEX(K6:K11,MATCH(E86,J6:J11,1)+1)-INDEX(K6:K11,MATCH(E86,J6:J11,1)))/(INDEX(J6:J11,MATCH(E86,J6:J11,1)+1)-INDEX(J6:J11,MATCH(E86,J6:J11,1))))))</f>
        <v/>
      </c>
      <c r="G86" s="289">
        <f>IF(B86="","",(C86-F86)*$B$10)</f>
        <v/>
      </c>
      <c r="H86" s="289">
        <f>IF(B86="","",MAX(0,D86+G86))</f>
        <v/>
      </c>
      <c r="I86" s="289">
        <f>IF(B86="","",$B$5+IF($B$7=0,0,H86/$B$7))</f>
        <v/>
      </c>
    </row>
    <row r="87">
      <c r="A87" s="288">
        <f>IF(B87="","",A86+1)</f>
        <v/>
      </c>
      <c r="B87" s="288">
        <f>IF(ROW()-15&lt;=$B$11,INDEX(Routing!$A:$A,ROW()-14),"")</f>
        <v/>
      </c>
      <c r="C87" s="289">
        <f>IF(B87="","",INDEX(Routing!$M:$M,ROW()-14))</f>
        <v/>
      </c>
      <c r="D87" s="289">
        <f>IF(B87="","",H86)</f>
        <v/>
      </c>
      <c r="E87" s="289">
        <f>IF(B87="","",$B$5+IF($B$7=0,0,D87/$B$7))</f>
        <v/>
      </c>
      <c r="F87" s="289">
        <f>IF(B87="","",IF(E87&lt;=J6,K6,IF(E87&gt;=J11,K11,INDEX(K6:K11,MATCH(E87,J6:J11,1))+(E87-INDEX(J6:J11,MATCH(E87,J6:J11,1)))*(INDEX(K6:K11,MATCH(E87,J6:J11,1)+1)-INDEX(K6:K11,MATCH(E87,J6:J11,1)))/(INDEX(J6:J11,MATCH(E87,J6:J11,1)+1)-INDEX(J6:J11,MATCH(E87,J6:J11,1))))))</f>
        <v/>
      </c>
      <c r="G87" s="289">
        <f>IF(B87="","",(C87-F87)*$B$10)</f>
        <v/>
      </c>
      <c r="H87" s="289">
        <f>IF(B87="","",MAX(0,D87+G87))</f>
        <v/>
      </c>
      <c r="I87" s="289">
        <f>IF(B87="","",$B$5+IF($B$7=0,0,H87/$B$7))</f>
        <v/>
      </c>
    </row>
    <row r="88">
      <c r="A88" s="288">
        <f>IF(B88="","",A87+1)</f>
        <v/>
      </c>
      <c r="B88" s="288">
        <f>IF(ROW()-15&lt;=$B$11,INDEX(Routing!$A:$A,ROW()-14),"")</f>
        <v/>
      </c>
      <c r="C88" s="289">
        <f>IF(B88="","",INDEX(Routing!$M:$M,ROW()-14))</f>
        <v/>
      </c>
      <c r="D88" s="289">
        <f>IF(B88="","",H87)</f>
        <v/>
      </c>
      <c r="E88" s="289">
        <f>IF(B88="","",$B$5+IF($B$7=0,0,D88/$B$7))</f>
        <v/>
      </c>
      <c r="F88" s="289">
        <f>IF(B88="","",IF(E88&lt;=J6,K6,IF(E88&gt;=J11,K11,INDEX(K6:K11,MATCH(E88,J6:J11,1))+(E88-INDEX(J6:J11,MATCH(E88,J6:J11,1)))*(INDEX(K6:K11,MATCH(E88,J6:J11,1)+1)-INDEX(K6:K11,MATCH(E88,J6:J11,1)))/(INDEX(J6:J11,MATCH(E88,J6:J11,1)+1)-INDEX(J6:J11,MATCH(E88,J6:J11,1))))))</f>
        <v/>
      </c>
      <c r="G88" s="289">
        <f>IF(B88="","",(C88-F88)*$B$10)</f>
        <v/>
      </c>
      <c r="H88" s="289">
        <f>IF(B88="","",MAX(0,D88+G88))</f>
        <v/>
      </c>
      <c r="I88" s="289">
        <f>IF(B88="","",$B$5+IF($B$7=0,0,H88/$B$7))</f>
        <v/>
      </c>
    </row>
    <row r="89">
      <c r="A89" s="288">
        <f>IF(B89="","",A88+1)</f>
        <v/>
      </c>
      <c r="B89" s="288">
        <f>IF(ROW()-15&lt;=$B$11,INDEX(Routing!$A:$A,ROW()-14),"")</f>
        <v/>
      </c>
      <c r="C89" s="289">
        <f>IF(B89="","",INDEX(Routing!$M:$M,ROW()-14))</f>
        <v/>
      </c>
      <c r="D89" s="289">
        <f>IF(B89="","",H88)</f>
        <v/>
      </c>
      <c r="E89" s="289">
        <f>IF(B89="","",$B$5+IF($B$7=0,0,D89/$B$7))</f>
        <v/>
      </c>
      <c r="F89" s="289">
        <f>IF(B89="","",IF(E89&lt;=J6,K6,IF(E89&gt;=J11,K11,INDEX(K6:K11,MATCH(E89,J6:J11,1))+(E89-INDEX(J6:J11,MATCH(E89,J6:J11,1)))*(INDEX(K6:K11,MATCH(E89,J6:J11,1)+1)-INDEX(K6:K11,MATCH(E89,J6:J11,1)))/(INDEX(J6:J11,MATCH(E89,J6:J11,1)+1)-INDEX(J6:J11,MATCH(E89,J6:J11,1))))))</f>
        <v/>
      </c>
      <c r="G89" s="289">
        <f>IF(B89="","",(C89-F89)*$B$10)</f>
        <v/>
      </c>
      <c r="H89" s="289">
        <f>IF(B89="","",MAX(0,D89+G89))</f>
        <v/>
      </c>
      <c r="I89" s="289">
        <f>IF(B89="","",$B$5+IF($B$7=0,0,H89/$B$7))</f>
        <v/>
      </c>
    </row>
    <row r="90">
      <c r="A90" s="288">
        <f>IF(B90="","",A89+1)</f>
        <v/>
      </c>
      <c r="B90" s="288">
        <f>IF(ROW()-15&lt;=$B$11,INDEX(Routing!$A:$A,ROW()-14),"")</f>
        <v/>
      </c>
      <c r="C90" s="289">
        <f>IF(B90="","",INDEX(Routing!$M:$M,ROW()-14))</f>
        <v/>
      </c>
      <c r="D90" s="289">
        <f>IF(B90="","",H89)</f>
        <v/>
      </c>
      <c r="E90" s="289">
        <f>IF(B90="","",$B$5+IF($B$7=0,0,D90/$B$7))</f>
        <v/>
      </c>
      <c r="F90" s="289">
        <f>IF(B90="","",IF(E90&lt;=J6,K6,IF(E90&gt;=J11,K11,INDEX(K6:K11,MATCH(E90,J6:J11,1))+(E90-INDEX(J6:J11,MATCH(E90,J6:J11,1)))*(INDEX(K6:K11,MATCH(E90,J6:J11,1)+1)-INDEX(K6:K11,MATCH(E90,J6:J11,1)))/(INDEX(J6:J11,MATCH(E90,J6:J11,1)+1)-INDEX(J6:J11,MATCH(E90,J6:J11,1))))))</f>
        <v/>
      </c>
      <c r="G90" s="289">
        <f>IF(B90="","",(C90-F90)*$B$10)</f>
        <v/>
      </c>
      <c r="H90" s="289">
        <f>IF(B90="","",MAX(0,D90+G90))</f>
        <v/>
      </c>
      <c r="I90" s="289">
        <f>IF(B90="","",$B$5+IF($B$7=0,0,H90/$B$7))</f>
        <v/>
      </c>
    </row>
    <row r="91">
      <c r="A91" s="288">
        <f>IF(B91="","",A90+1)</f>
        <v/>
      </c>
      <c r="B91" s="288">
        <f>IF(ROW()-15&lt;=$B$11,INDEX(Routing!$A:$A,ROW()-14),"")</f>
        <v/>
      </c>
      <c r="C91" s="289">
        <f>IF(B91="","",INDEX(Routing!$M:$M,ROW()-14))</f>
        <v/>
      </c>
      <c r="D91" s="289">
        <f>IF(B91="","",H90)</f>
        <v/>
      </c>
      <c r="E91" s="289">
        <f>IF(B91="","",$B$5+IF($B$7=0,0,D91/$B$7))</f>
        <v/>
      </c>
      <c r="F91" s="289">
        <f>IF(B91="","",IF(E91&lt;=J6,K6,IF(E91&gt;=J11,K11,INDEX(K6:K11,MATCH(E91,J6:J11,1))+(E91-INDEX(J6:J11,MATCH(E91,J6:J11,1)))*(INDEX(K6:K11,MATCH(E91,J6:J11,1)+1)-INDEX(K6:K11,MATCH(E91,J6:J11,1)))/(INDEX(J6:J11,MATCH(E91,J6:J11,1)+1)-INDEX(J6:J11,MATCH(E91,J6:J11,1))))))</f>
        <v/>
      </c>
      <c r="G91" s="289">
        <f>IF(B91="","",(C91-F91)*$B$10)</f>
        <v/>
      </c>
      <c r="H91" s="289">
        <f>IF(B91="","",MAX(0,D91+G91))</f>
        <v/>
      </c>
      <c r="I91" s="289">
        <f>IF(B91="","",$B$5+IF($B$7=0,0,H91/$B$7))</f>
        <v/>
      </c>
    </row>
    <row r="92">
      <c r="A92" s="288">
        <f>IF(B92="","",A91+1)</f>
        <v/>
      </c>
      <c r="B92" s="288">
        <f>IF(ROW()-15&lt;=$B$11,INDEX(Routing!$A:$A,ROW()-14),"")</f>
        <v/>
      </c>
      <c r="C92" s="289">
        <f>IF(B92="","",INDEX(Routing!$M:$M,ROW()-14))</f>
        <v/>
      </c>
      <c r="D92" s="289">
        <f>IF(B92="","",H91)</f>
        <v/>
      </c>
      <c r="E92" s="289">
        <f>IF(B92="","",$B$5+IF($B$7=0,0,D92/$B$7))</f>
        <v/>
      </c>
      <c r="F92" s="289">
        <f>IF(B92="","",IF(E92&lt;=J6,K6,IF(E92&gt;=J11,K11,INDEX(K6:K11,MATCH(E92,J6:J11,1))+(E92-INDEX(J6:J11,MATCH(E92,J6:J11,1)))*(INDEX(K6:K11,MATCH(E92,J6:J11,1)+1)-INDEX(K6:K11,MATCH(E92,J6:J11,1)))/(INDEX(J6:J11,MATCH(E92,J6:J11,1)+1)-INDEX(J6:J11,MATCH(E92,J6:J11,1))))))</f>
        <v/>
      </c>
      <c r="G92" s="289">
        <f>IF(B92="","",(C92-F92)*$B$10)</f>
        <v/>
      </c>
      <c r="H92" s="289">
        <f>IF(B92="","",MAX(0,D92+G92))</f>
        <v/>
      </c>
      <c r="I92" s="289">
        <f>IF(B92="","",$B$5+IF($B$7=0,0,H92/$B$7))</f>
        <v/>
      </c>
    </row>
    <row r="93">
      <c r="A93" s="288">
        <f>IF(B93="","",A92+1)</f>
        <v/>
      </c>
      <c r="B93" s="288">
        <f>IF(ROW()-15&lt;=$B$11,INDEX(Routing!$A:$A,ROW()-14),"")</f>
        <v/>
      </c>
      <c r="C93" s="289">
        <f>IF(B93="","",INDEX(Routing!$M:$M,ROW()-14))</f>
        <v/>
      </c>
      <c r="D93" s="289">
        <f>IF(B93="","",H92)</f>
        <v/>
      </c>
      <c r="E93" s="289">
        <f>IF(B93="","",$B$5+IF($B$7=0,0,D93/$B$7))</f>
        <v/>
      </c>
      <c r="F93" s="289">
        <f>IF(B93="","",IF(E93&lt;=J6,K6,IF(E93&gt;=J11,K11,INDEX(K6:K11,MATCH(E93,J6:J11,1))+(E93-INDEX(J6:J11,MATCH(E93,J6:J11,1)))*(INDEX(K6:K11,MATCH(E93,J6:J11,1)+1)-INDEX(K6:K11,MATCH(E93,J6:J11,1)))/(INDEX(J6:J11,MATCH(E93,J6:J11,1)+1)-INDEX(J6:J11,MATCH(E93,J6:J11,1))))))</f>
        <v/>
      </c>
      <c r="G93" s="289">
        <f>IF(B93="","",(C93-F93)*$B$10)</f>
        <v/>
      </c>
      <c r="H93" s="289">
        <f>IF(B93="","",MAX(0,D93+G93))</f>
        <v/>
      </c>
      <c r="I93" s="289">
        <f>IF(B93="","",$B$5+IF($B$7=0,0,H93/$B$7))</f>
        <v/>
      </c>
    </row>
    <row r="94">
      <c r="A94" s="288">
        <f>IF(B94="","",A93+1)</f>
        <v/>
      </c>
      <c r="B94" s="288">
        <f>IF(ROW()-15&lt;=$B$11,INDEX(Routing!$A:$A,ROW()-14),"")</f>
        <v/>
      </c>
      <c r="C94" s="289">
        <f>IF(B94="","",INDEX(Routing!$M:$M,ROW()-14))</f>
        <v/>
      </c>
      <c r="D94" s="289">
        <f>IF(B94="","",H93)</f>
        <v/>
      </c>
      <c r="E94" s="289">
        <f>IF(B94="","",$B$5+IF($B$7=0,0,D94/$B$7))</f>
        <v/>
      </c>
      <c r="F94" s="289">
        <f>IF(B94="","",IF(E94&lt;=J6,K6,IF(E94&gt;=J11,K11,INDEX(K6:K11,MATCH(E94,J6:J11,1))+(E94-INDEX(J6:J11,MATCH(E94,J6:J11,1)))*(INDEX(K6:K11,MATCH(E94,J6:J11,1)+1)-INDEX(K6:K11,MATCH(E94,J6:J11,1)))/(INDEX(J6:J11,MATCH(E94,J6:J11,1)+1)-INDEX(J6:J11,MATCH(E94,J6:J11,1))))))</f>
        <v/>
      </c>
      <c r="G94" s="289">
        <f>IF(B94="","",(C94-F94)*$B$10)</f>
        <v/>
      </c>
      <c r="H94" s="289">
        <f>IF(B94="","",MAX(0,D94+G94))</f>
        <v/>
      </c>
      <c r="I94" s="289">
        <f>IF(B94="","",$B$5+IF($B$7=0,0,H94/$B$7))</f>
        <v/>
      </c>
    </row>
    <row r="95">
      <c r="A95" s="288">
        <f>IF(B95="","",A94+1)</f>
        <v/>
      </c>
      <c r="B95" s="288">
        <f>IF(ROW()-15&lt;=$B$11,INDEX(Routing!$A:$A,ROW()-14),"")</f>
        <v/>
      </c>
      <c r="C95" s="289">
        <f>IF(B95="","",INDEX(Routing!$M:$M,ROW()-14))</f>
        <v/>
      </c>
      <c r="D95" s="289">
        <f>IF(B95="","",H94)</f>
        <v/>
      </c>
      <c r="E95" s="289">
        <f>IF(B95="","",$B$5+IF($B$7=0,0,D95/$B$7))</f>
        <v/>
      </c>
      <c r="F95" s="289">
        <f>IF(B95="","",IF(E95&lt;=J6,K6,IF(E95&gt;=J11,K11,INDEX(K6:K11,MATCH(E95,J6:J11,1))+(E95-INDEX(J6:J11,MATCH(E95,J6:J11,1)))*(INDEX(K6:K11,MATCH(E95,J6:J11,1)+1)-INDEX(K6:K11,MATCH(E95,J6:J11,1)))/(INDEX(J6:J11,MATCH(E95,J6:J11,1)+1)-INDEX(J6:J11,MATCH(E95,J6:J11,1))))))</f>
        <v/>
      </c>
      <c r="G95" s="289">
        <f>IF(B95="","",(C95-F95)*$B$10)</f>
        <v/>
      </c>
      <c r="H95" s="289">
        <f>IF(B95="","",MAX(0,D95+G95))</f>
        <v/>
      </c>
      <c r="I95" s="289">
        <f>IF(B95="","",$B$5+IF($B$7=0,0,H95/$B$7))</f>
        <v/>
      </c>
    </row>
    <row r="96">
      <c r="A96" s="288">
        <f>IF(B96="","",A95+1)</f>
        <v/>
      </c>
      <c r="B96" s="288">
        <f>IF(ROW()-15&lt;=$B$11,INDEX(Routing!$A:$A,ROW()-14),"")</f>
        <v/>
      </c>
      <c r="C96" s="289">
        <f>IF(B96="","",INDEX(Routing!$M:$M,ROW()-14))</f>
        <v/>
      </c>
      <c r="D96" s="289">
        <f>IF(B96="","",H95)</f>
        <v/>
      </c>
      <c r="E96" s="289">
        <f>IF(B96="","",$B$5+IF($B$7=0,0,D96/$B$7))</f>
        <v/>
      </c>
      <c r="F96" s="289">
        <f>IF(B96="","",IF(E96&lt;=J6,K6,IF(E96&gt;=J11,K11,INDEX(K6:K11,MATCH(E96,J6:J11,1))+(E96-INDEX(J6:J11,MATCH(E96,J6:J11,1)))*(INDEX(K6:K11,MATCH(E96,J6:J11,1)+1)-INDEX(K6:K11,MATCH(E96,J6:J11,1)))/(INDEX(J6:J11,MATCH(E96,J6:J11,1)+1)-INDEX(J6:J11,MATCH(E96,J6:J11,1))))))</f>
        <v/>
      </c>
      <c r="G96" s="289">
        <f>IF(B96="","",(C96-F96)*$B$10)</f>
        <v/>
      </c>
      <c r="H96" s="289">
        <f>IF(B96="","",MAX(0,D96+G96))</f>
        <v/>
      </c>
      <c r="I96" s="289">
        <f>IF(B96="","",$B$5+IF($B$7=0,0,H96/$B$7))</f>
        <v/>
      </c>
    </row>
    <row r="97">
      <c r="A97" s="288">
        <f>IF(B97="","",A96+1)</f>
        <v/>
      </c>
      <c r="B97" s="288">
        <f>IF(ROW()-15&lt;=$B$11,INDEX(Routing!$A:$A,ROW()-14),"")</f>
        <v/>
      </c>
      <c r="C97" s="289">
        <f>IF(B97="","",INDEX(Routing!$M:$M,ROW()-14))</f>
        <v/>
      </c>
      <c r="D97" s="289">
        <f>IF(B97="","",H96)</f>
        <v/>
      </c>
      <c r="E97" s="289">
        <f>IF(B97="","",$B$5+IF($B$7=0,0,D97/$B$7))</f>
        <v/>
      </c>
      <c r="F97" s="289">
        <f>IF(B97="","",IF(E97&lt;=J6,K6,IF(E97&gt;=J11,K11,INDEX(K6:K11,MATCH(E97,J6:J11,1))+(E97-INDEX(J6:J11,MATCH(E97,J6:J11,1)))*(INDEX(K6:K11,MATCH(E97,J6:J11,1)+1)-INDEX(K6:K11,MATCH(E97,J6:J11,1)))/(INDEX(J6:J11,MATCH(E97,J6:J11,1)+1)-INDEX(J6:J11,MATCH(E97,J6:J11,1))))))</f>
        <v/>
      </c>
      <c r="G97" s="289">
        <f>IF(B97="","",(C97-F97)*$B$10)</f>
        <v/>
      </c>
      <c r="H97" s="289">
        <f>IF(B97="","",MAX(0,D97+G97))</f>
        <v/>
      </c>
      <c r="I97" s="289">
        <f>IF(B97="","",$B$5+IF($B$7=0,0,H97/$B$7))</f>
        <v/>
      </c>
    </row>
    <row r="98">
      <c r="A98" s="288">
        <f>IF(B98="","",A97+1)</f>
        <v/>
      </c>
      <c r="B98" s="288">
        <f>IF(ROW()-15&lt;=$B$11,INDEX(Routing!$A:$A,ROW()-14),"")</f>
        <v/>
      </c>
      <c r="C98" s="289">
        <f>IF(B98="","",INDEX(Routing!$M:$M,ROW()-14))</f>
        <v/>
      </c>
      <c r="D98" s="289">
        <f>IF(B98="","",H97)</f>
        <v/>
      </c>
      <c r="E98" s="289">
        <f>IF(B98="","",$B$5+IF($B$7=0,0,D98/$B$7))</f>
        <v/>
      </c>
      <c r="F98" s="289">
        <f>IF(B98="","",IF(E98&lt;=J6,K6,IF(E98&gt;=J11,K11,INDEX(K6:K11,MATCH(E98,J6:J11,1))+(E98-INDEX(J6:J11,MATCH(E98,J6:J11,1)))*(INDEX(K6:K11,MATCH(E98,J6:J11,1)+1)-INDEX(K6:K11,MATCH(E98,J6:J11,1)))/(INDEX(J6:J11,MATCH(E98,J6:J11,1)+1)-INDEX(J6:J11,MATCH(E98,J6:J11,1))))))</f>
        <v/>
      </c>
      <c r="G98" s="289">
        <f>IF(B98="","",(C98-F98)*$B$10)</f>
        <v/>
      </c>
      <c r="H98" s="289">
        <f>IF(B98="","",MAX(0,D98+G98))</f>
        <v/>
      </c>
      <c r="I98" s="289">
        <f>IF(B98="","",$B$5+IF($B$7=0,0,H98/$B$7))</f>
        <v/>
      </c>
    </row>
    <row r="99">
      <c r="A99" s="288">
        <f>IF(B99="","",A98+1)</f>
        <v/>
      </c>
      <c r="B99" s="288">
        <f>IF(ROW()-15&lt;=$B$11,INDEX(Routing!$A:$A,ROW()-14),"")</f>
        <v/>
      </c>
      <c r="C99" s="289">
        <f>IF(B99="","",INDEX(Routing!$M:$M,ROW()-14))</f>
        <v/>
      </c>
      <c r="D99" s="289">
        <f>IF(B99="","",H98)</f>
        <v/>
      </c>
      <c r="E99" s="289">
        <f>IF(B99="","",$B$5+IF($B$7=0,0,D99/$B$7))</f>
        <v/>
      </c>
      <c r="F99" s="289">
        <f>IF(B99="","",IF(E99&lt;=J6,K6,IF(E99&gt;=J11,K11,INDEX(K6:K11,MATCH(E99,J6:J11,1))+(E99-INDEX(J6:J11,MATCH(E99,J6:J11,1)))*(INDEX(K6:K11,MATCH(E99,J6:J11,1)+1)-INDEX(K6:K11,MATCH(E99,J6:J11,1)))/(INDEX(J6:J11,MATCH(E99,J6:J11,1)+1)-INDEX(J6:J11,MATCH(E99,J6:J11,1))))))</f>
        <v/>
      </c>
      <c r="G99" s="289">
        <f>IF(B99="","",(C99-F99)*$B$10)</f>
        <v/>
      </c>
      <c r="H99" s="289">
        <f>IF(B99="","",MAX(0,D99+G99))</f>
        <v/>
      </c>
      <c r="I99" s="289">
        <f>IF(B99="","",$B$5+IF($B$7=0,0,H99/$B$7))</f>
        <v/>
      </c>
    </row>
    <row r="100">
      <c r="A100" s="288">
        <f>IF(B100="","",A99+1)</f>
        <v/>
      </c>
      <c r="B100" s="288">
        <f>IF(ROW()-15&lt;=$B$11,INDEX(Routing!$A:$A,ROW()-14),"")</f>
        <v/>
      </c>
      <c r="C100" s="289">
        <f>IF(B100="","",INDEX(Routing!$M:$M,ROW()-14))</f>
        <v/>
      </c>
      <c r="D100" s="289">
        <f>IF(B100="","",H99)</f>
        <v/>
      </c>
      <c r="E100" s="289">
        <f>IF(B100="","",$B$5+IF($B$7=0,0,D100/$B$7))</f>
        <v/>
      </c>
      <c r="F100" s="289">
        <f>IF(B100="","",IF(E100&lt;=J6,K6,IF(E100&gt;=J11,K11,INDEX(K6:K11,MATCH(E100,J6:J11,1))+(E100-INDEX(J6:J11,MATCH(E100,J6:J11,1)))*(INDEX(K6:K11,MATCH(E100,J6:J11,1)+1)-INDEX(K6:K11,MATCH(E100,J6:J11,1)))/(INDEX(J6:J11,MATCH(E100,J6:J11,1)+1)-INDEX(J6:J11,MATCH(E100,J6:J11,1))))))</f>
        <v/>
      </c>
      <c r="G100" s="289">
        <f>IF(B100="","",(C100-F100)*$B$10)</f>
        <v/>
      </c>
      <c r="H100" s="289">
        <f>IF(B100="","",MAX(0,D100+G100))</f>
        <v/>
      </c>
      <c r="I100" s="289">
        <f>IF(B100="","",$B$5+IF($B$7=0,0,H100/$B$7))</f>
        <v/>
      </c>
    </row>
    <row r="101">
      <c r="A101" s="288">
        <f>IF(B101="","",A100+1)</f>
        <v/>
      </c>
      <c r="B101" s="288">
        <f>IF(ROW()-15&lt;=$B$11,INDEX(Routing!$A:$A,ROW()-14),"")</f>
        <v/>
      </c>
      <c r="C101" s="289">
        <f>IF(B101="","",INDEX(Routing!$M:$M,ROW()-14))</f>
        <v/>
      </c>
      <c r="D101" s="289">
        <f>IF(B101="","",H100)</f>
        <v/>
      </c>
      <c r="E101" s="289">
        <f>IF(B101="","",$B$5+IF($B$7=0,0,D101/$B$7))</f>
        <v/>
      </c>
      <c r="F101" s="289">
        <f>IF(B101="","",IF(E101&lt;=J6,K6,IF(E101&gt;=J11,K11,INDEX(K6:K11,MATCH(E101,J6:J11,1))+(E101-INDEX(J6:J11,MATCH(E101,J6:J11,1)))*(INDEX(K6:K11,MATCH(E101,J6:J11,1)+1)-INDEX(K6:K11,MATCH(E101,J6:J11,1)))/(INDEX(J6:J11,MATCH(E101,J6:J11,1)+1)-INDEX(J6:J11,MATCH(E101,J6:J11,1))))))</f>
        <v/>
      </c>
      <c r="G101" s="289">
        <f>IF(B101="","",(C101-F101)*$B$10)</f>
        <v/>
      </c>
      <c r="H101" s="289">
        <f>IF(B101="","",MAX(0,D101+G101))</f>
        <v/>
      </c>
      <c r="I101" s="289">
        <f>IF(B101="","",$B$5+IF($B$7=0,0,H101/$B$7))</f>
        <v/>
      </c>
    </row>
    <row r="102">
      <c r="A102" s="288">
        <f>IF(B102="","",A101+1)</f>
        <v/>
      </c>
      <c r="B102" s="288">
        <f>IF(ROW()-15&lt;=$B$11,INDEX(Routing!$A:$A,ROW()-14),"")</f>
        <v/>
      </c>
      <c r="C102" s="289">
        <f>IF(B102="","",INDEX(Routing!$M:$M,ROW()-14))</f>
        <v/>
      </c>
      <c r="D102" s="289">
        <f>IF(B102="","",H101)</f>
        <v/>
      </c>
      <c r="E102" s="289">
        <f>IF(B102="","",$B$5+IF($B$7=0,0,D102/$B$7))</f>
        <v/>
      </c>
      <c r="F102" s="289">
        <f>IF(B102="","",IF(E102&lt;=J6,K6,IF(E102&gt;=J11,K11,INDEX(K6:K11,MATCH(E102,J6:J11,1))+(E102-INDEX(J6:J11,MATCH(E102,J6:J11,1)))*(INDEX(K6:K11,MATCH(E102,J6:J11,1)+1)-INDEX(K6:K11,MATCH(E102,J6:J11,1)))/(INDEX(J6:J11,MATCH(E102,J6:J11,1)+1)-INDEX(J6:J11,MATCH(E102,J6:J11,1))))))</f>
        <v/>
      </c>
      <c r="G102" s="289">
        <f>IF(B102="","",(C102-F102)*$B$10)</f>
        <v/>
      </c>
      <c r="H102" s="289">
        <f>IF(B102="","",MAX(0,D102+G102))</f>
        <v/>
      </c>
      <c r="I102" s="289">
        <f>IF(B102="","",$B$5+IF($B$7=0,0,H102/$B$7))</f>
        <v/>
      </c>
    </row>
    <row r="103">
      <c r="A103" s="288">
        <f>IF(B103="","",A102+1)</f>
        <v/>
      </c>
      <c r="B103" s="288">
        <f>IF(ROW()-15&lt;=$B$11,INDEX(Routing!$A:$A,ROW()-14),"")</f>
        <v/>
      </c>
      <c r="C103" s="289">
        <f>IF(B103="","",INDEX(Routing!$M:$M,ROW()-14))</f>
        <v/>
      </c>
      <c r="D103" s="289">
        <f>IF(B103="","",H102)</f>
        <v/>
      </c>
      <c r="E103" s="289">
        <f>IF(B103="","",$B$5+IF($B$7=0,0,D103/$B$7))</f>
        <v/>
      </c>
      <c r="F103" s="289">
        <f>IF(B103="","",IF(E103&lt;=J6,K6,IF(E103&gt;=J11,K11,INDEX(K6:K11,MATCH(E103,J6:J11,1))+(E103-INDEX(J6:J11,MATCH(E103,J6:J11,1)))*(INDEX(K6:K11,MATCH(E103,J6:J11,1)+1)-INDEX(K6:K11,MATCH(E103,J6:J11,1)))/(INDEX(J6:J11,MATCH(E103,J6:J11,1)+1)-INDEX(J6:J11,MATCH(E103,J6:J11,1))))))</f>
        <v/>
      </c>
      <c r="G103" s="289">
        <f>IF(B103="","",(C103-F103)*$B$10)</f>
        <v/>
      </c>
      <c r="H103" s="289">
        <f>IF(B103="","",MAX(0,D103+G103))</f>
        <v/>
      </c>
      <c r="I103" s="289">
        <f>IF(B103="","",$B$5+IF($B$7=0,0,H103/$B$7))</f>
        <v/>
      </c>
    </row>
    <row r="104">
      <c r="A104" s="288">
        <f>IF(B104="","",A103+1)</f>
        <v/>
      </c>
      <c r="B104" s="288">
        <f>IF(ROW()-15&lt;=$B$11,INDEX(Routing!$A:$A,ROW()-14),"")</f>
        <v/>
      </c>
      <c r="C104" s="289">
        <f>IF(B104="","",INDEX(Routing!$M:$M,ROW()-14))</f>
        <v/>
      </c>
      <c r="D104" s="289">
        <f>IF(B104="","",H103)</f>
        <v/>
      </c>
      <c r="E104" s="289">
        <f>IF(B104="","",$B$5+IF($B$7=0,0,D104/$B$7))</f>
        <v/>
      </c>
      <c r="F104" s="289">
        <f>IF(B104="","",IF(E104&lt;=J6,K6,IF(E104&gt;=J11,K11,INDEX(K6:K11,MATCH(E104,J6:J11,1))+(E104-INDEX(J6:J11,MATCH(E104,J6:J11,1)))*(INDEX(K6:K11,MATCH(E104,J6:J11,1)+1)-INDEX(K6:K11,MATCH(E104,J6:J11,1)))/(INDEX(J6:J11,MATCH(E104,J6:J11,1)+1)-INDEX(J6:J11,MATCH(E104,J6:J11,1))))))</f>
        <v/>
      </c>
      <c r="G104" s="289">
        <f>IF(B104="","",(C104-F104)*$B$10)</f>
        <v/>
      </c>
      <c r="H104" s="289">
        <f>IF(B104="","",MAX(0,D104+G104))</f>
        <v/>
      </c>
      <c r="I104" s="289">
        <f>IF(B104="","",$B$5+IF($B$7=0,0,H104/$B$7))</f>
        <v/>
      </c>
    </row>
    <row r="105">
      <c r="A105" s="288">
        <f>IF(B105="","",A104+1)</f>
        <v/>
      </c>
      <c r="B105" s="288">
        <f>IF(ROW()-15&lt;=$B$11,INDEX(Routing!$A:$A,ROW()-14),"")</f>
        <v/>
      </c>
      <c r="C105" s="289">
        <f>IF(B105="","",INDEX(Routing!$M:$M,ROW()-14))</f>
        <v/>
      </c>
      <c r="D105" s="289">
        <f>IF(B105="","",H104)</f>
        <v/>
      </c>
      <c r="E105" s="289">
        <f>IF(B105="","",$B$5+IF($B$7=0,0,D105/$B$7))</f>
        <v/>
      </c>
      <c r="F105" s="289">
        <f>IF(B105="","",IF(E105&lt;=J6,K6,IF(E105&gt;=J11,K11,INDEX(K6:K11,MATCH(E105,J6:J11,1))+(E105-INDEX(J6:J11,MATCH(E105,J6:J11,1)))*(INDEX(K6:K11,MATCH(E105,J6:J11,1)+1)-INDEX(K6:K11,MATCH(E105,J6:J11,1)))/(INDEX(J6:J11,MATCH(E105,J6:J11,1)+1)-INDEX(J6:J11,MATCH(E105,J6:J11,1))))))</f>
        <v/>
      </c>
      <c r="G105" s="289">
        <f>IF(B105="","",(C105-F105)*$B$10)</f>
        <v/>
      </c>
      <c r="H105" s="289">
        <f>IF(B105="","",MAX(0,D105+G105))</f>
        <v/>
      </c>
      <c r="I105" s="289">
        <f>IF(B105="","",$B$5+IF($B$7=0,0,H105/$B$7))</f>
        <v/>
      </c>
    </row>
    <row r="106">
      <c r="A106" s="288">
        <f>IF(B106="","",A105+1)</f>
        <v/>
      </c>
      <c r="B106" s="288">
        <f>IF(ROW()-15&lt;=$B$11,INDEX(Routing!$A:$A,ROW()-14),"")</f>
        <v/>
      </c>
      <c r="C106" s="289">
        <f>IF(B106="","",INDEX(Routing!$M:$M,ROW()-14))</f>
        <v/>
      </c>
      <c r="D106" s="289">
        <f>IF(B106="","",H105)</f>
        <v/>
      </c>
      <c r="E106" s="289">
        <f>IF(B106="","",$B$5+IF($B$7=0,0,D106/$B$7))</f>
        <v/>
      </c>
      <c r="F106" s="289">
        <f>IF(B106="","",IF(E106&lt;=J6,K6,IF(E106&gt;=J11,K11,INDEX(K6:K11,MATCH(E106,J6:J11,1))+(E106-INDEX(J6:J11,MATCH(E106,J6:J11,1)))*(INDEX(K6:K11,MATCH(E106,J6:J11,1)+1)-INDEX(K6:K11,MATCH(E106,J6:J11,1)))/(INDEX(J6:J11,MATCH(E106,J6:J11,1)+1)-INDEX(J6:J11,MATCH(E106,J6:J11,1))))))</f>
        <v/>
      </c>
      <c r="G106" s="289">
        <f>IF(B106="","",(C106-F106)*$B$10)</f>
        <v/>
      </c>
      <c r="H106" s="289">
        <f>IF(B106="","",MAX(0,D106+G106))</f>
        <v/>
      </c>
      <c r="I106" s="289">
        <f>IF(B106="","",$B$5+IF($B$7=0,0,H106/$B$7))</f>
        <v/>
      </c>
    </row>
    <row r="107">
      <c r="A107" s="288">
        <f>IF(B107="","",A106+1)</f>
        <v/>
      </c>
      <c r="B107" s="288">
        <f>IF(ROW()-15&lt;=$B$11,INDEX(Routing!$A:$A,ROW()-14),"")</f>
        <v/>
      </c>
      <c r="C107" s="289">
        <f>IF(B107="","",INDEX(Routing!$M:$M,ROW()-14))</f>
        <v/>
      </c>
      <c r="D107" s="289">
        <f>IF(B107="","",H106)</f>
        <v/>
      </c>
      <c r="E107" s="289">
        <f>IF(B107="","",$B$5+IF($B$7=0,0,D107/$B$7))</f>
        <v/>
      </c>
      <c r="F107" s="289">
        <f>IF(B107="","",IF(E107&lt;=J6,K6,IF(E107&gt;=J11,K11,INDEX(K6:K11,MATCH(E107,J6:J11,1))+(E107-INDEX(J6:J11,MATCH(E107,J6:J11,1)))*(INDEX(K6:K11,MATCH(E107,J6:J11,1)+1)-INDEX(K6:K11,MATCH(E107,J6:J11,1)))/(INDEX(J6:J11,MATCH(E107,J6:J11,1)+1)-INDEX(J6:J11,MATCH(E107,J6:J11,1))))))</f>
        <v/>
      </c>
      <c r="G107" s="289">
        <f>IF(B107="","",(C107-F107)*$B$10)</f>
        <v/>
      </c>
      <c r="H107" s="289">
        <f>IF(B107="","",MAX(0,D107+G107))</f>
        <v/>
      </c>
      <c r="I107" s="289">
        <f>IF(B107="","",$B$5+IF($B$7=0,0,H107/$B$7))</f>
        <v/>
      </c>
    </row>
    <row r="108">
      <c r="A108" s="288">
        <f>IF(B108="","",A107+1)</f>
        <v/>
      </c>
      <c r="B108" s="288">
        <f>IF(ROW()-15&lt;=$B$11,INDEX(Routing!$A:$A,ROW()-14),"")</f>
        <v/>
      </c>
      <c r="C108" s="289">
        <f>IF(B108="","",INDEX(Routing!$M:$M,ROW()-14))</f>
        <v/>
      </c>
      <c r="D108" s="289">
        <f>IF(B108="","",H107)</f>
        <v/>
      </c>
      <c r="E108" s="289">
        <f>IF(B108="","",$B$5+IF($B$7=0,0,D108/$B$7))</f>
        <v/>
      </c>
      <c r="F108" s="289">
        <f>IF(B108="","",IF(E108&lt;=J6,K6,IF(E108&gt;=J11,K11,INDEX(K6:K11,MATCH(E108,J6:J11,1))+(E108-INDEX(J6:J11,MATCH(E108,J6:J11,1)))*(INDEX(K6:K11,MATCH(E108,J6:J11,1)+1)-INDEX(K6:K11,MATCH(E108,J6:J11,1)))/(INDEX(J6:J11,MATCH(E108,J6:J11,1)+1)-INDEX(J6:J11,MATCH(E108,J6:J11,1))))))</f>
        <v/>
      </c>
      <c r="G108" s="289">
        <f>IF(B108="","",(C108-F108)*$B$10)</f>
        <v/>
      </c>
      <c r="H108" s="289">
        <f>IF(B108="","",MAX(0,D108+G108))</f>
        <v/>
      </c>
      <c r="I108" s="289">
        <f>IF(B108="","",$B$5+IF($B$7=0,0,H108/$B$7))</f>
        <v/>
      </c>
    </row>
    <row r="109">
      <c r="A109" s="288">
        <f>IF(B109="","",A108+1)</f>
        <v/>
      </c>
      <c r="B109" s="288">
        <f>IF(ROW()-15&lt;=$B$11,INDEX(Routing!$A:$A,ROW()-14),"")</f>
        <v/>
      </c>
      <c r="C109" s="289">
        <f>IF(B109="","",INDEX(Routing!$M:$M,ROW()-14))</f>
        <v/>
      </c>
      <c r="D109" s="289">
        <f>IF(B109="","",H108)</f>
        <v/>
      </c>
      <c r="E109" s="289">
        <f>IF(B109="","",$B$5+IF($B$7=0,0,D109/$B$7))</f>
        <v/>
      </c>
      <c r="F109" s="289">
        <f>IF(B109="","",IF(E109&lt;=J6,K6,IF(E109&gt;=J11,K11,INDEX(K6:K11,MATCH(E109,J6:J11,1))+(E109-INDEX(J6:J11,MATCH(E109,J6:J11,1)))*(INDEX(K6:K11,MATCH(E109,J6:J11,1)+1)-INDEX(K6:K11,MATCH(E109,J6:J11,1)))/(INDEX(J6:J11,MATCH(E109,J6:J11,1)+1)-INDEX(J6:J11,MATCH(E109,J6:J11,1))))))</f>
        <v/>
      </c>
      <c r="G109" s="289">
        <f>IF(B109="","",(C109-F109)*$B$10)</f>
        <v/>
      </c>
      <c r="H109" s="289">
        <f>IF(B109="","",MAX(0,D109+G109))</f>
        <v/>
      </c>
      <c r="I109" s="289">
        <f>IF(B109="","",$B$5+IF($B$7=0,0,H109/$B$7))</f>
        <v/>
      </c>
    </row>
    <row r="110">
      <c r="A110" s="288">
        <f>IF(B110="","",A109+1)</f>
        <v/>
      </c>
      <c r="B110" s="288">
        <f>IF(ROW()-15&lt;=$B$11,INDEX(Routing!$A:$A,ROW()-14),"")</f>
        <v/>
      </c>
      <c r="C110" s="289">
        <f>IF(B110="","",INDEX(Routing!$M:$M,ROW()-14))</f>
        <v/>
      </c>
      <c r="D110" s="289">
        <f>IF(B110="","",H109)</f>
        <v/>
      </c>
      <c r="E110" s="289">
        <f>IF(B110="","",$B$5+IF($B$7=0,0,D110/$B$7))</f>
        <v/>
      </c>
      <c r="F110" s="289">
        <f>IF(B110="","",IF(E110&lt;=J6,K6,IF(E110&gt;=J11,K11,INDEX(K6:K11,MATCH(E110,J6:J11,1))+(E110-INDEX(J6:J11,MATCH(E110,J6:J11,1)))*(INDEX(K6:K11,MATCH(E110,J6:J11,1)+1)-INDEX(K6:K11,MATCH(E110,J6:J11,1)))/(INDEX(J6:J11,MATCH(E110,J6:J11,1)+1)-INDEX(J6:J11,MATCH(E110,J6:J11,1))))))</f>
        <v/>
      </c>
      <c r="G110" s="289">
        <f>IF(B110="","",(C110-F110)*$B$10)</f>
        <v/>
      </c>
      <c r="H110" s="289">
        <f>IF(B110="","",MAX(0,D110+G110))</f>
        <v/>
      </c>
      <c r="I110" s="289">
        <f>IF(B110="","",$B$5+IF($B$7=0,0,H110/$B$7))</f>
        <v/>
      </c>
    </row>
    <row r="111">
      <c r="A111" s="288">
        <f>IF(B111="","",A110+1)</f>
        <v/>
      </c>
      <c r="B111" s="288">
        <f>IF(ROW()-15&lt;=$B$11,INDEX(Routing!$A:$A,ROW()-14),"")</f>
        <v/>
      </c>
      <c r="C111" s="289">
        <f>IF(B111="","",INDEX(Routing!$M:$M,ROW()-14))</f>
        <v/>
      </c>
      <c r="D111" s="289">
        <f>IF(B111="","",H110)</f>
        <v/>
      </c>
      <c r="E111" s="289">
        <f>IF(B111="","",$B$5+IF($B$7=0,0,D111/$B$7))</f>
        <v/>
      </c>
      <c r="F111" s="289">
        <f>IF(B111="","",IF(E111&lt;=J6,K6,IF(E111&gt;=J11,K11,INDEX(K6:K11,MATCH(E111,J6:J11,1))+(E111-INDEX(J6:J11,MATCH(E111,J6:J11,1)))*(INDEX(K6:K11,MATCH(E111,J6:J11,1)+1)-INDEX(K6:K11,MATCH(E111,J6:J11,1)))/(INDEX(J6:J11,MATCH(E111,J6:J11,1)+1)-INDEX(J6:J11,MATCH(E111,J6:J11,1))))))</f>
        <v/>
      </c>
      <c r="G111" s="289">
        <f>IF(B111="","",(C111-F111)*$B$10)</f>
        <v/>
      </c>
      <c r="H111" s="289">
        <f>IF(B111="","",MAX(0,D111+G111))</f>
        <v/>
      </c>
      <c r="I111" s="289">
        <f>IF(B111="","",$B$5+IF($B$7=0,0,H111/$B$7))</f>
        <v/>
      </c>
    </row>
    <row r="112">
      <c r="A112" s="288">
        <f>IF(B112="","",A111+1)</f>
        <v/>
      </c>
      <c r="B112" s="288">
        <f>IF(ROW()-15&lt;=$B$11,INDEX(Routing!$A:$A,ROW()-14),"")</f>
        <v/>
      </c>
      <c r="C112" s="289">
        <f>IF(B112="","",INDEX(Routing!$M:$M,ROW()-14))</f>
        <v/>
      </c>
      <c r="D112" s="289">
        <f>IF(B112="","",H111)</f>
        <v/>
      </c>
      <c r="E112" s="289">
        <f>IF(B112="","",$B$5+IF($B$7=0,0,D112/$B$7))</f>
        <v/>
      </c>
      <c r="F112" s="289">
        <f>IF(B112="","",IF(E112&lt;=J6,K6,IF(E112&gt;=J11,K11,INDEX(K6:K11,MATCH(E112,J6:J11,1))+(E112-INDEX(J6:J11,MATCH(E112,J6:J11,1)))*(INDEX(K6:K11,MATCH(E112,J6:J11,1)+1)-INDEX(K6:K11,MATCH(E112,J6:J11,1)))/(INDEX(J6:J11,MATCH(E112,J6:J11,1)+1)-INDEX(J6:J11,MATCH(E112,J6:J11,1))))))</f>
        <v/>
      </c>
      <c r="G112" s="289">
        <f>IF(B112="","",(C112-F112)*$B$10)</f>
        <v/>
      </c>
      <c r="H112" s="289">
        <f>IF(B112="","",MAX(0,D112+G112))</f>
        <v/>
      </c>
      <c r="I112" s="289">
        <f>IF(B112="","",$B$5+IF($B$7=0,0,H112/$B$7))</f>
        <v/>
      </c>
    </row>
    <row r="113">
      <c r="A113" s="288">
        <f>IF(B113="","",A112+1)</f>
        <v/>
      </c>
      <c r="B113" s="288">
        <f>IF(ROW()-15&lt;=$B$11,INDEX(Routing!$A:$A,ROW()-14),"")</f>
        <v/>
      </c>
      <c r="C113" s="289">
        <f>IF(B113="","",INDEX(Routing!$M:$M,ROW()-14))</f>
        <v/>
      </c>
      <c r="D113" s="289">
        <f>IF(B113="","",H112)</f>
        <v/>
      </c>
      <c r="E113" s="289">
        <f>IF(B113="","",$B$5+IF($B$7=0,0,D113/$B$7))</f>
        <v/>
      </c>
      <c r="F113" s="289">
        <f>IF(B113="","",IF(E113&lt;=J6,K6,IF(E113&gt;=J11,K11,INDEX(K6:K11,MATCH(E113,J6:J11,1))+(E113-INDEX(J6:J11,MATCH(E113,J6:J11,1)))*(INDEX(K6:K11,MATCH(E113,J6:J11,1)+1)-INDEX(K6:K11,MATCH(E113,J6:J11,1)))/(INDEX(J6:J11,MATCH(E113,J6:J11,1)+1)-INDEX(J6:J11,MATCH(E113,J6:J11,1))))))</f>
        <v/>
      </c>
      <c r="G113" s="289">
        <f>IF(B113="","",(C113-F113)*$B$10)</f>
        <v/>
      </c>
      <c r="H113" s="289">
        <f>IF(B113="","",MAX(0,D113+G113))</f>
        <v/>
      </c>
      <c r="I113" s="289">
        <f>IF(B113="","",$B$5+IF($B$7=0,0,H113/$B$7))</f>
        <v/>
      </c>
    </row>
    <row r="114">
      <c r="A114" s="288">
        <f>IF(B114="","",A113+1)</f>
        <v/>
      </c>
      <c r="B114" s="288">
        <f>IF(ROW()-15&lt;=$B$11,INDEX(Routing!$A:$A,ROW()-14),"")</f>
        <v/>
      </c>
      <c r="C114" s="289">
        <f>IF(B114="","",INDEX(Routing!$M:$M,ROW()-14))</f>
        <v/>
      </c>
      <c r="D114" s="289">
        <f>IF(B114="","",H113)</f>
        <v/>
      </c>
      <c r="E114" s="289">
        <f>IF(B114="","",$B$5+IF($B$7=0,0,D114/$B$7))</f>
        <v/>
      </c>
      <c r="F114" s="289">
        <f>IF(B114="","",IF(E114&lt;=J6,K6,IF(E114&gt;=J11,K11,INDEX(K6:K11,MATCH(E114,J6:J11,1))+(E114-INDEX(J6:J11,MATCH(E114,J6:J11,1)))*(INDEX(K6:K11,MATCH(E114,J6:J11,1)+1)-INDEX(K6:K11,MATCH(E114,J6:J11,1)))/(INDEX(J6:J11,MATCH(E114,J6:J11,1)+1)-INDEX(J6:J11,MATCH(E114,J6:J11,1))))))</f>
        <v/>
      </c>
      <c r="G114" s="289">
        <f>IF(B114="","",(C114-F114)*$B$10)</f>
        <v/>
      </c>
      <c r="H114" s="289">
        <f>IF(B114="","",MAX(0,D114+G114))</f>
        <v/>
      </c>
      <c r="I114" s="289">
        <f>IF(B114="","",$B$5+IF($B$7=0,0,H114/$B$7))</f>
        <v/>
      </c>
    </row>
    <row r="115">
      <c r="A115" s="288">
        <f>IF(B115="","",A114+1)</f>
        <v/>
      </c>
      <c r="B115" s="288">
        <f>IF(ROW()-15&lt;=$B$11,INDEX(Routing!$A:$A,ROW()-14),"")</f>
        <v/>
      </c>
      <c r="C115" s="289">
        <f>IF(B115="","",INDEX(Routing!$M:$M,ROW()-14))</f>
        <v/>
      </c>
      <c r="D115" s="289">
        <f>IF(B115="","",H114)</f>
        <v/>
      </c>
      <c r="E115" s="289">
        <f>IF(B115="","",$B$5+IF($B$7=0,0,D115/$B$7))</f>
        <v/>
      </c>
      <c r="F115" s="289">
        <f>IF(B115="","",IF(E115&lt;=J6,K6,IF(E115&gt;=J11,K11,INDEX(K6:K11,MATCH(E115,J6:J11,1))+(E115-INDEX(J6:J11,MATCH(E115,J6:J11,1)))*(INDEX(K6:K11,MATCH(E115,J6:J11,1)+1)-INDEX(K6:K11,MATCH(E115,J6:J11,1)))/(INDEX(J6:J11,MATCH(E115,J6:J11,1)+1)-INDEX(J6:J11,MATCH(E115,J6:J11,1))))))</f>
        <v/>
      </c>
      <c r="G115" s="289">
        <f>IF(B115="","",(C115-F115)*$B$10)</f>
        <v/>
      </c>
      <c r="H115" s="289">
        <f>IF(B115="","",MAX(0,D115+G115))</f>
        <v/>
      </c>
      <c r="I115" s="289">
        <f>IF(B115="","",$B$5+IF($B$7=0,0,H115/$B$7))</f>
        <v/>
      </c>
    </row>
    <row r="116">
      <c r="A116" s="288">
        <f>IF(B116="","",A115+1)</f>
        <v/>
      </c>
      <c r="B116" s="288">
        <f>IF(ROW()-15&lt;=$B$11,INDEX(Routing!$A:$A,ROW()-14),"")</f>
        <v/>
      </c>
      <c r="C116" s="289">
        <f>IF(B116="","",INDEX(Routing!$M:$M,ROW()-14))</f>
        <v/>
      </c>
      <c r="D116" s="289">
        <f>IF(B116="","",H115)</f>
        <v/>
      </c>
      <c r="E116" s="289">
        <f>IF(B116="","",$B$5+IF($B$7=0,0,D116/$B$7))</f>
        <v/>
      </c>
      <c r="F116" s="289">
        <f>IF(B116="","",IF(E116&lt;=J6,K6,IF(E116&gt;=J11,K11,INDEX(K6:K11,MATCH(E116,J6:J11,1))+(E116-INDEX(J6:J11,MATCH(E116,J6:J11,1)))*(INDEX(K6:K11,MATCH(E116,J6:J11,1)+1)-INDEX(K6:K11,MATCH(E116,J6:J11,1)))/(INDEX(J6:J11,MATCH(E116,J6:J11,1)+1)-INDEX(J6:J11,MATCH(E116,J6:J11,1))))))</f>
        <v/>
      </c>
      <c r="G116" s="289">
        <f>IF(B116="","",(C116-F116)*$B$10)</f>
        <v/>
      </c>
      <c r="H116" s="289">
        <f>IF(B116="","",MAX(0,D116+G116))</f>
        <v/>
      </c>
      <c r="I116" s="289">
        <f>IF(B116="","",$B$5+IF($B$7=0,0,H116/$B$7))</f>
        <v/>
      </c>
    </row>
    <row r="117">
      <c r="A117" s="288">
        <f>IF(B117="","",A116+1)</f>
        <v/>
      </c>
      <c r="B117" s="288">
        <f>IF(ROW()-15&lt;=$B$11,INDEX(Routing!$A:$A,ROW()-14),"")</f>
        <v/>
      </c>
      <c r="C117" s="289">
        <f>IF(B117="","",INDEX(Routing!$M:$M,ROW()-14))</f>
        <v/>
      </c>
      <c r="D117" s="289">
        <f>IF(B117="","",H116)</f>
        <v/>
      </c>
      <c r="E117" s="289">
        <f>IF(B117="","",$B$5+IF($B$7=0,0,D117/$B$7))</f>
        <v/>
      </c>
      <c r="F117" s="289">
        <f>IF(B117="","",IF(E117&lt;=J6,K6,IF(E117&gt;=J11,K11,INDEX(K6:K11,MATCH(E117,J6:J11,1))+(E117-INDEX(J6:J11,MATCH(E117,J6:J11,1)))*(INDEX(K6:K11,MATCH(E117,J6:J11,1)+1)-INDEX(K6:K11,MATCH(E117,J6:J11,1)))/(INDEX(J6:J11,MATCH(E117,J6:J11,1)+1)-INDEX(J6:J11,MATCH(E117,J6:J11,1))))))</f>
        <v/>
      </c>
      <c r="G117" s="289">
        <f>IF(B117="","",(C117-F117)*$B$10)</f>
        <v/>
      </c>
      <c r="H117" s="289">
        <f>IF(B117="","",MAX(0,D117+G117))</f>
        <v/>
      </c>
      <c r="I117" s="289">
        <f>IF(B117="","",$B$5+IF($B$7=0,0,H117/$B$7))</f>
        <v/>
      </c>
    </row>
    <row r="118">
      <c r="A118" s="288">
        <f>IF(B118="","",A117+1)</f>
        <v/>
      </c>
      <c r="B118" s="288">
        <f>IF(ROW()-15&lt;=$B$11,INDEX(Routing!$A:$A,ROW()-14),"")</f>
        <v/>
      </c>
      <c r="C118" s="289">
        <f>IF(B118="","",INDEX(Routing!$M:$M,ROW()-14))</f>
        <v/>
      </c>
      <c r="D118" s="289">
        <f>IF(B118="","",H117)</f>
        <v/>
      </c>
      <c r="E118" s="289">
        <f>IF(B118="","",$B$5+IF($B$7=0,0,D118/$B$7))</f>
        <v/>
      </c>
      <c r="F118" s="289">
        <f>IF(B118="","",IF(E118&lt;=J6,K6,IF(E118&gt;=J11,K11,INDEX(K6:K11,MATCH(E118,J6:J11,1))+(E118-INDEX(J6:J11,MATCH(E118,J6:J11,1)))*(INDEX(K6:K11,MATCH(E118,J6:J11,1)+1)-INDEX(K6:K11,MATCH(E118,J6:J11,1)))/(INDEX(J6:J11,MATCH(E118,J6:J11,1)+1)-INDEX(J6:J11,MATCH(E118,J6:J11,1))))))</f>
        <v/>
      </c>
      <c r="G118" s="289">
        <f>IF(B118="","",(C118-F118)*$B$10)</f>
        <v/>
      </c>
      <c r="H118" s="289">
        <f>IF(B118="","",MAX(0,D118+G118))</f>
        <v/>
      </c>
      <c r="I118" s="289">
        <f>IF(B118="","",$B$5+IF($B$7=0,0,H118/$B$7))</f>
        <v/>
      </c>
    </row>
    <row r="119">
      <c r="A119" s="288">
        <f>IF(B119="","",A118+1)</f>
        <v/>
      </c>
      <c r="B119" s="288">
        <f>IF(ROW()-15&lt;=$B$11,INDEX(Routing!$A:$A,ROW()-14),"")</f>
        <v/>
      </c>
      <c r="C119" s="289">
        <f>IF(B119="","",INDEX(Routing!$M:$M,ROW()-14))</f>
        <v/>
      </c>
      <c r="D119" s="289">
        <f>IF(B119="","",H118)</f>
        <v/>
      </c>
      <c r="E119" s="289">
        <f>IF(B119="","",$B$5+IF($B$7=0,0,D119/$B$7))</f>
        <v/>
      </c>
      <c r="F119" s="289">
        <f>IF(B119="","",IF(E119&lt;=J6,K6,IF(E119&gt;=J11,K11,INDEX(K6:K11,MATCH(E119,J6:J11,1))+(E119-INDEX(J6:J11,MATCH(E119,J6:J11,1)))*(INDEX(K6:K11,MATCH(E119,J6:J11,1)+1)-INDEX(K6:K11,MATCH(E119,J6:J11,1)))/(INDEX(J6:J11,MATCH(E119,J6:J11,1)+1)-INDEX(J6:J11,MATCH(E119,J6:J11,1))))))</f>
        <v/>
      </c>
      <c r="G119" s="289">
        <f>IF(B119="","",(C119-F119)*$B$10)</f>
        <v/>
      </c>
      <c r="H119" s="289">
        <f>IF(B119="","",MAX(0,D119+G119))</f>
        <v/>
      </c>
      <c r="I119" s="289">
        <f>IF(B119="","",$B$5+IF($B$7=0,0,H119/$B$7))</f>
        <v/>
      </c>
    </row>
    <row r="120">
      <c r="A120" s="288">
        <f>IF(B120="","",A119+1)</f>
        <v/>
      </c>
      <c r="B120" s="288">
        <f>IF(ROW()-15&lt;=$B$11,INDEX(Routing!$A:$A,ROW()-14),"")</f>
        <v/>
      </c>
      <c r="C120" s="289">
        <f>IF(B120="","",INDEX(Routing!$M:$M,ROW()-14))</f>
        <v/>
      </c>
      <c r="D120" s="289">
        <f>IF(B120="","",H119)</f>
        <v/>
      </c>
      <c r="E120" s="289">
        <f>IF(B120="","",$B$5+IF($B$7=0,0,D120/$B$7))</f>
        <v/>
      </c>
      <c r="F120" s="289">
        <f>IF(B120="","",IF(E120&lt;=J6,K6,IF(E120&gt;=J11,K11,INDEX(K6:K11,MATCH(E120,J6:J11,1))+(E120-INDEX(J6:J11,MATCH(E120,J6:J11,1)))*(INDEX(K6:K11,MATCH(E120,J6:J11,1)+1)-INDEX(K6:K11,MATCH(E120,J6:J11,1)))/(INDEX(J6:J11,MATCH(E120,J6:J11,1)+1)-INDEX(J6:J11,MATCH(E120,J6:J11,1))))))</f>
        <v/>
      </c>
      <c r="G120" s="289">
        <f>IF(B120="","",(C120-F120)*$B$10)</f>
        <v/>
      </c>
      <c r="H120" s="289">
        <f>IF(B120="","",MAX(0,D120+G120))</f>
        <v/>
      </c>
      <c r="I120" s="289">
        <f>IF(B120="","",$B$5+IF($B$7=0,0,H120/$B$7))</f>
        <v/>
      </c>
    </row>
    <row r="121">
      <c r="A121" s="288">
        <f>IF(B121="","",A120+1)</f>
        <v/>
      </c>
      <c r="B121" s="288">
        <f>IF(ROW()-15&lt;=$B$11,INDEX(Routing!$A:$A,ROW()-14),"")</f>
        <v/>
      </c>
      <c r="C121" s="289">
        <f>IF(B121="","",INDEX(Routing!$M:$M,ROW()-14))</f>
        <v/>
      </c>
      <c r="D121" s="289">
        <f>IF(B121="","",H120)</f>
        <v/>
      </c>
      <c r="E121" s="289">
        <f>IF(B121="","",$B$5+IF($B$7=0,0,D121/$B$7))</f>
        <v/>
      </c>
      <c r="F121" s="289">
        <f>IF(B121="","",IF(E121&lt;=J6,K6,IF(E121&gt;=J11,K11,INDEX(K6:K11,MATCH(E121,J6:J11,1))+(E121-INDEX(J6:J11,MATCH(E121,J6:J11,1)))*(INDEX(K6:K11,MATCH(E121,J6:J11,1)+1)-INDEX(K6:K11,MATCH(E121,J6:J11,1)))/(INDEX(J6:J11,MATCH(E121,J6:J11,1)+1)-INDEX(J6:J11,MATCH(E121,J6:J11,1))))))</f>
        <v/>
      </c>
      <c r="G121" s="289">
        <f>IF(B121="","",(C121-F121)*$B$10)</f>
        <v/>
      </c>
      <c r="H121" s="289">
        <f>IF(B121="","",MAX(0,D121+G121))</f>
        <v/>
      </c>
      <c r="I121" s="289">
        <f>IF(B121="","",$B$5+IF($B$7=0,0,H121/$B$7))</f>
        <v/>
      </c>
    </row>
    <row r="122">
      <c r="A122" s="288">
        <f>IF(B122="","",A121+1)</f>
        <v/>
      </c>
      <c r="B122" s="288">
        <f>IF(ROW()-15&lt;=$B$11,INDEX(Routing!$A:$A,ROW()-14),"")</f>
        <v/>
      </c>
      <c r="C122" s="289">
        <f>IF(B122="","",INDEX(Routing!$M:$M,ROW()-14))</f>
        <v/>
      </c>
      <c r="D122" s="289">
        <f>IF(B122="","",H121)</f>
        <v/>
      </c>
      <c r="E122" s="289">
        <f>IF(B122="","",$B$5+IF($B$7=0,0,D122/$B$7))</f>
        <v/>
      </c>
      <c r="F122" s="289">
        <f>IF(B122="","",IF(E122&lt;=J6,K6,IF(E122&gt;=J11,K11,INDEX(K6:K11,MATCH(E122,J6:J11,1))+(E122-INDEX(J6:J11,MATCH(E122,J6:J11,1)))*(INDEX(K6:K11,MATCH(E122,J6:J11,1)+1)-INDEX(K6:K11,MATCH(E122,J6:J11,1)))/(INDEX(J6:J11,MATCH(E122,J6:J11,1)+1)-INDEX(J6:J11,MATCH(E122,J6:J11,1))))))</f>
        <v/>
      </c>
      <c r="G122" s="289">
        <f>IF(B122="","",(C122-F122)*$B$10)</f>
        <v/>
      </c>
      <c r="H122" s="289">
        <f>IF(B122="","",MAX(0,D122+G122))</f>
        <v/>
      </c>
      <c r="I122" s="289">
        <f>IF(B122="","",$B$5+IF($B$7=0,0,H122/$B$7))</f>
        <v/>
      </c>
    </row>
    <row r="123">
      <c r="A123" s="288">
        <f>IF(B123="","",A122+1)</f>
        <v/>
      </c>
      <c r="B123" s="288">
        <f>IF(ROW()-15&lt;=$B$11,INDEX(Routing!$A:$A,ROW()-14),"")</f>
        <v/>
      </c>
      <c r="C123" s="289">
        <f>IF(B123="","",INDEX(Routing!$M:$M,ROW()-14))</f>
        <v/>
      </c>
      <c r="D123" s="289">
        <f>IF(B123="","",H122)</f>
        <v/>
      </c>
      <c r="E123" s="289">
        <f>IF(B123="","",$B$5+IF($B$7=0,0,D123/$B$7))</f>
        <v/>
      </c>
      <c r="F123" s="289">
        <f>IF(B123="","",IF(E123&lt;=J6,K6,IF(E123&gt;=J11,K11,INDEX(K6:K11,MATCH(E123,J6:J11,1))+(E123-INDEX(J6:J11,MATCH(E123,J6:J11,1)))*(INDEX(K6:K11,MATCH(E123,J6:J11,1)+1)-INDEX(K6:K11,MATCH(E123,J6:J11,1)))/(INDEX(J6:J11,MATCH(E123,J6:J11,1)+1)-INDEX(J6:J11,MATCH(E123,J6:J11,1))))))</f>
        <v/>
      </c>
      <c r="G123" s="289">
        <f>IF(B123="","",(C123-F123)*$B$10)</f>
        <v/>
      </c>
      <c r="H123" s="289">
        <f>IF(B123="","",MAX(0,D123+G123))</f>
        <v/>
      </c>
      <c r="I123" s="289">
        <f>IF(B123="","",$B$5+IF($B$7=0,0,H123/$B$7))</f>
        <v/>
      </c>
    </row>
    <row r="124">
      <c r="A124" s="288">
        <f>IF(B124="","",A123+1)</f>
        <v/>
      </c>
      <c r="B124" s="288">
        <f>IF(ROW()-15&lt;=$B$11,INDEX(Routing!$A:$A,ROW()-14),"")</f>
        <v/>
      </c>
      <c r="C124" s="289">
        <f>IF(B124="","",INDEX(Routing!$M:$M,ROW()-14))</f>
        <v/>
      </c>
      <c r="D124" s="289">
        <f>IF(B124="","",H123)</f>
        <v/>
      </c>
      <c r="E124" s="289">
        <f>IF(B124="","",$B$5+IF($B$7=0,0,D124/$B$7))</f>
        <v/>
      </c>
      <c r="F124" s="289">
        <f>IF(B124="","",IF(E124&lt;=J6,K6,IF(E124&gt;=J11,K11,INDEX(K6:K11,MATCH(E124,J6:J11,1))+(E124-INDEX(J6:J11,MATCH(E124,J6:J11,1)))*(INDEX(K6:K11,MATCH(E124,J6:J11,1)+1)-INDEX(K6:K11,MATCH(E124,J6:J11,1)))/(INDEX(J6:J11,MATCH(E124,J6:J11,1)+1)-INDEX(J6:J11,MATCH(E124,J6:J11,1))))))</f>
        <v/>
      </c>
      <c r="G124" s="289">
        <f>IF(B124="","",(C124-F124)*$B$10)</f>
        <v/>
      </c>
      <c r="H124" s="289">
        <f>IF(B124="","",MAX(0,D124+G124))</f>
        <v/>
      </c>
      <c r="I124" s="289">
        <f>IF(B124="","",$B$5+IF($B$7=0,0,H124/$B$7))</f>
        <v/>
      </c>
    </row>
    <row r="125">
      <c r="A125" s="288">
        <f>IF(B125="","",A124+1)</f>
        <v/>
      </c>
      <c r="B125" s="288">
        <f>IF(ROW()-15&lt;=$B$11,INDEX(Routing!$A:$A,ROW()-14),"")</f>
        <v/>
      </c>
      <c r="C125" s="289">
        <f>IF(B125="","",INDEX(Routing!$M:$M,ROW()-14))</f>
        <v/>
      </c>
      <c r="D125" s="289">
        <f>IF(B125="","",H124)</f>
        <v/>
      </c>
      <c r="E125" s="289">
        <f>IF(B125="","",$B$5+IF($B$7=0,0,D125/$B$7))</f>
        <v/>
      </c>
      <c r="F125" s="289">
        <f>IF(B125="","",IF(E125&lt;=J6,K6,IF(E125&gt;=J11,K11,INDEX(K6:K11,MATCH(E125,J6:J11,1))+(E125-INDEX(J6:J11,MATCH(E125,J6:J11,1)))*(INDEX(K6:K11,MATCH(E125,J6:J11,1)+1)-INDEX(K6:K11,MATCH(E125,J6:J11,1)))/(INDEX(J6:J11,MATCH(E125,J6:J11,1)+1)-INDEX(J6:J11,MATCH(E125,J6:J11,1))))))</f>
        <v/>
      </c>
      <c r="G125" s="289">
        <f>IF(B125="","",(C125-F125)*$B$10)</f>
        <v/>
      </c>
      <c r="H125" s="289">
        <f>IF(B125="","",MAX(0,D125+G125))</f>
        <v/>
      </c>
      <c r="I125" s="289">
        <f>IF(B125="","",$B$5+IF($B$7=0,0,H125/$B$7))</f>
        <v/>
      </c>
    </row>
    <row r="126">
      <c r="A126" s="288">
        <f>IF(B126="","",A125+1)</f>
        <v/>
      </c>
      <c r="B126" s="288">
        <f>IF(ROW()-15&lt;=$B$11,INDEX(Routing!$A:$A,ROW()-14),"")</f>
        <v/>
      </c>
      <c r="C126" s="289">
        <f>IF(B126="","",INDEX(Routing!$M:$M,ROW()-14))</f>
        <v/>
      </c>
      <c r="D126" s="289">
        <f>IF(B126="","",H125)</f>
        <v/>
      </c>
      <c r="E126" s="289">
        <f>IF(B126="","",$B$5+IF($B$7=0,0,D126/$B$7))</f>
        <v/>
      </c>
      <c r="F126" s="289">
        <f>IF(B126="","",IF(E126&lt;=J6,K6,IF(E126&gt;=J11,K11,INDEX(K6:K11,MATCH(E126,J6:J11,1))+(E126-INDEX(J6:J11,MATCH(E126,J6:J11,1)))*(INDEX(K6:K11,MATCH(E126,J6:J11,1)+1)-INDEX(K6:K11,MATCH(E126,J6:J11,1)))/(INDEX(J6:J11,MATCH(E126,J6:J11,1)+1)-INDEX(J6:J11,MATCH(E126,J6:J11,1))))))</f>
        <v/>
      </c>
      <c r="G126" s="289">
        <f>IF(B126="","",(C126-F126)*$B$10)</f>
        <v/>
      </c>
      <c r="H126" s="289">
        <f>IF(B126="","",MAX(0,D126+G126))</f>
        <v/>
      </c>
      <c r="I126" s="289">
        <f>IF(B126="","",$B$5+IF($B$7=0,0,H126/$B$7))</f>
        <v/>
      </c>
    </row>
    <row r="127">
      <c r="A127" s="288">
        <f>IF(B127="","",A126+1)</f>
        <v/>
      </c>
      <c r="B127" s="288">
        <f>IF(ROW()-15&lt;=$B$11,INDEX(Routing!$A:$A,ROW()-14),"")</f>
        <v/>
      </c>
      <c r="C127" s="289">
        <f>IF(B127="","",INDEX(Routing!$M:$M,ROW()-14))</f>
        <v/>
      </c>
      <c r="D127" s="289">
        <f>IF(B127="","",H126)</f>
        <v/>
      </c>
      <c r="E127" s="289">
        <f>IF(B127="","",$B$5+IF($B$7=0,0,D127/$B$7))</f>
        <v/>
      </c>
      <c r="F127" s="289">
        <f>IF(B127="","",IF(E127&lt;=J6,K6,IF(E127&gt;=J11,K11,INDEX(K6:K11,MATCH(E127,J6:J11,1))+(E127-INDEX(J6:J11,MATCH(E127,J6:J11,1)))*(INDEX(K6:K11,MATCH(E127,J6:J11,1)+1)-INDEX(K6:K11,MATCH(E127,J6:J11,1)))/(INDEX(J6:J11,MATCH(E127,J6:J11,1)+1)-INDEX(J6:J11,MATCH(E127,J6:J11,1))))))</f>
        <v/>
      </c>
      <c r="G127" s="289">
        <f>IF(B127="","",(C127-F127)*$B$10)</f>
        <v/>
      </c>
      <c r="H127" s="289">
        <f>IF(B127="","",MAX(0,D127+G127))</f>
        <v/>
      </c>
      <c r="I127" s="289">
        <f>IF(B127="","",$B$5+IF($B$7=0,0,H127/$B$7))</f>
        <v/>
      </c>
    </row>
    <row r="128">
      <c r="A128" s="288">
        <f>IF(B128="","",A127+1)</f>
        <v/>
      </c>
      <c r="B128" s="288">
        <f>IF(ROW()-15&lt;=$B$11,INDEX(Routing!$A:$A,ROW()-14),"")</f>
        <v/>
      </c>
      <c r="C128" s="289">
        <f>IF(B128="","",INDEX(Routing!$M:$M,ROW()-14))</f>
        <v/>
      </c>
      <c r="D128" s="289">
        <f>IF(B128="","",H127)</f>
        <v/>
      </c>
      <c r="E128" s="289">
        <f>IF(B128="","",$B$5+IF($B$7=0,0,D128/$B$7))</f>
        <v/>
      </c>
      <c r="F128" s="289">
        <f>IF(B128="","",IF(E128&lt;=J6,K6,IF(E128&gt;=J11,K11,INDEX(K6:K11,MATCH(E128,J6:J11,1))+(E128-INDEX(J6:J11,MATCH(E128,J6:J11,1)))*(INDEX(K6:K11,MATCH(E128,J6:J11,1)+1)-INDEX(K6:K11,MATCH(E128,J6:J11,1)))/(INDEX(J6:J11,MATCH(E128,J6:J11,1)+1)-INDEX(J6:J11,MATCH(E128,J6:J11,1))))))</f>
        <v/>
      </c>
      <c r="G128" s="289">
        <f>IF(B128="","",(C128-F128)*$B$10)</f>
        <v/>
      </c>
      <c r="H128" s="289">
        <f>IF(B128="","",MAX(0,D128+G128))</f>
        <v/>
      </c>
      <c r="I128" s="289">
        <f>IF(B128="","",$B$5+IF($B$7=0,0,H128/$B$7))</f>
        <v/>
      </c>
    </row>
    <row r="129">
      <c r="A129" s="288">
        <f>IF(B129="","",A128+1)</f>
        <v/>
      </c>
      <c r="B129" s="288">
        <f>IF(ROW()-15&lt;=$B$11,INDEX(Routing!$A:$A,ROW()-14),"")</f>
        <v/>
      </c>
      <c r="C129" s="289">
        <f>IF(B129="","",INDEX(Routing!$M:$M,ROW()-14))</f>
        <v/>
      </c>
      <c r="D129" s="289">
        <f>IF(B129="","",H128)</f>
        <v/>
      </c>
      <c r="E129" s="289">
        <f>IF(B129="","",$B$5+IF($B$7=0,0,D129/$B$7))</f>
        <v/>
      </c>
      <c r="F129" s="289">
        <f>IF(B129="","",IF(E129&lt;=J6,K6,IF(E129&gt;=J11,K11,INDEX(K6:K11,MATCH(E129,J6:J11,1))+(E129-INDEX(J6:J11,MATCH(E129,J6:J11,1)))*(INDEX(K6:K11,MATCH(E129,J6:J11,1)+1)-INDEX(K6:K11,MATCH(E129,J6:J11,1)))/(INDEX(J6:J11,MATCH(E129,J6:J11,1)+1)-INDEX(J6:J11,MATCH(E129,J6:J11,1))))))</f>
        <v/>
      </c>
      <c r="G129" s="289">
        <f>IF(B129="","",(C129-F129)*$B$10)</f>
        <v/>
      </c>
      <c r="H129" s="289">
        <f>IF(B129="","",MAX(0,D129+G129))</f>
        <v/>
      </c>
      <c r="I129" s="289">
        <f>IF(B129="","",$B$5+IF($B$7=0,0,H129/$B$7))</f>
        <v/>
      </c>
    </row>
    <row r="130">
      <c r="A130" s="288">
        <f>IF(B130="","",A129+1)</f>
        <v/>
      </c>
      <c r="B130" s="288">
        <f>IF(ROW()-15&lt;=$B$11,INDEX(Routing!$A:$A,ROW()-14),"")</f>
        <v/>
      </c>
      <c r="C130" s="289">
        <f>IF(B130="","",INDEX(Routing!$M:$M,ROW()-14))</f>
        <v/>
      </c>
      <c r="D130" s="289">
        <f>IF(B130="","",H129)</f>
        <v/>
      </c>
      <c r="E130" s="289">
        <f>IF(B130="","",$B$5+IF($B$7=0,0,D130/$B$7))</f>
        <v/>
      </c>
      <c r="F130" s="289">
        <f>IF(B130="","",IF(E130&lt;=J6,K6,IF(E130&gt;=J11,K11,INDEX(K6:K11,MATCH(E130,J6:J11,1))+(E130-INDEX(J6:J11,MATCH(E130,J6:J11,1)))*(INDEX(K6:K11,MATCH(E130,J6:J11,1)+1)-INDEX(K6:K11,MATCH(E130,J6:J11,1)))/(INDEX(J6:J11,MATCH(E130,J6:J11,1)+1)-INDEX(J6:J11,MATCH(E130,J6:J11,1))))))</f>
        <v/>
      </c>
      <c r="G130" s="289">
        <f>IF(B130="","",(C130-F130)*$B$10)</f>
        <v/>
      </c>
      <c r="H130" s="289">
        <f>IF(B130="","",MAX(0,D130+G130))</f>
        <v/>
      </c>
      <c r="I130" s="289">
        <f>IF(B130="","",$B$5+IF($B$7=0,0,H130/$B$7))</f>
        <v/>
      </c>
    </row>
    <row r="131">
      <c r="A131" s="288">
        <f>IF(B131="","",A130+1)</f>
        <v/>
      </c>
      <c r="B131" s="288">
        <f>IF(ROW()-15&lt;=$B$11,INDEX(Routing!$A:$A,ROW()-14),"")</f>
        <v/>
      </c>
      <c r="C131" s="289">
        <f>IF(B131="","",INDEX(Routing!$M:$M,ROW()-14))</f>
        <v/>
      </c>
      <c r="D131" s="289">
        <f>IF(B131="","",H130)</f>
        <v/>
      </c>
      <c r="E131" s="289">
        <f>IF(B131="","",$B$5+IF($B$7=0,0,D131/$B$7))</f>
        <v/>
      </c>
      <c r="F131" s="289">
        <f>IF(B131="","",IF(E131&lt;=J6,K6,IF(E131&gt;=J11,K11,INDEX(K6:K11,MATCH(E131,J6:J11,1))+(E131-INDEX(J6:J11,MATCH(E131,J6:J11,1)))*(INDEX(K6:K11,MATCH(E131,J6:J11,1)+1)-INDEX(K6:K11,MATCH(E131,J6:J11,1)))/(INDEX(J6:J11,MATCH(E131,J6:J11,1)+1)-INDEX(J6:J11,MATCH(E131,J6:J11,1))))))</f>
        <v/>
      </c>
      <c r="G131" s="289">
        <f>IF(B131="","",(C131-F131)*$B$10)</f>
        <v/>
      </c>
      <c r="H131" s="289">
        <f>IF(B131="","",MAX(0,D131+G131))</f>
        <v/>
      </c>
      <c r="I131" s="289">
        <f>IF(B131="","",$B$5+IF($B$7=0,0,H131/$B$7))</f>
        <v/>
      </c>
    </row>
    <row r="132">
      <c r="A132" s="288">
        <f>IF(B132="","",A131+1)</f>
        <v/>
      </c>
      <c r="B132" s="288">
        <f>IF(ROW()-15&lt;=$B$11,INDEX(Routing!$A:$A,ROW()-14),"")</f>
        <v/>
      </c>
      <c r="C132" s="289">
        <f>IF(B132="","",INDEX(Routing!$M:$M,ROW()-14))</f>
        <v/>
      </c>
      <c r="D132" s="289">
        <f>IF(B132="","",H131)</f>
        <v/>
      </c>
      <c r="E132" s="289">
        <f>IF(B132="","",$B$5+IF($B$7=0,0,D132/$B$7))</f>
        <v/>
      </c>
      <c r="F132" s="289">
        <f>IF(B132="","",IF(E132&lt;=J6,K6,IF(E132&gt;=J11,K11,INDEX(K6:K11,MATCH(E132,J6:J11,1))+(E132-INDEX(J6:J11,MATCH(E132,J6:J11,1)))*(INDEX(K6:K11,MATCH(E132,J6:J11,1)+1)-INDEX(K6:K11,MATCH(E132,J6:J11,1)))/(INDEX(J6:J11,MATCH(E132,J6:J11,1)+1)-INDEX(J6:J11,MATCH(E132,J6:J11,1))))))</f>
        <v/>
      </c>
      <c r="G132" s="289">
        <f>IF(B132="","",(C132-F132)*$B$10)</f>
        <v/>
      </c>
      <c r="H132" s="289">
        <f>IF(B132="","",MAX(0,D132+G132))</f>
        <v/>
      </c>
      <c r="I132" s="289">
        <f>IF(B132="","",$B$5+IF($B$7=0,0,H132/$B$7))</f>
        <v/>
      </c>
    </row>
    <row r="133">
      <c r="A133" s="288">
        <f>IF(B133="","",A132+1)</f>
        <v/>
      </c>
      <c r="B133" s="288">
        <f>IF(ROW()-15&lt;=$B$11,INDEX(Routing!$A:$A,ROW()-14),"")</f>
        <v/>
      </c>
      <c r="C133" s="289">
        <f>IF(B133="","",INDEX(Routing!$M:$M,ROW()-14))</f>
        <v/>
      </c>
      <c r="D133" s="289">
        <f>IF(B133="","",H132)</f>
        <v/>
      </c>
      <c r="E133" s="289">
        <f>IF(B133="","",$B$5+IF($B$7=0,0,D133/$B$7))</f>
        <v/>
      </c>
      <c r="F133" s="289">
        <f>IF(B133="","",IF(E133&lt;=J6,K6,IF(E133&gt;=J11,K11,INDEX(K6:K11,MATCH(E133,J6:J11,1))+(E133-INDEX(J6:J11,MATCH(E133,J6:J11,1)))*(INDEX(K6:K11,MATCH(E133,J6:J11,1)+1)-INDEX(K6:K11,MATCH(E133,J6:J11,1)))/(INDEX(J6:J11,MATCH(E133,J6:J11,1)+1)-INDEX(J6:J11,MATCH(E133,J6:J11,1))))))</f>
        <v/>
      </c>
      <c r="G133" s="289">
        <f>IF(B133="","",(C133-F133)*$B$10)</f>
        <v/>
      </c>
      <c r="H133" s="289">
        <f>IF(B133="","",MAX(0,D133+G133))</f>
        <v/>
      </c>
      <c r="I133" s="289">
        <f>IF(B133="","",$B$5+IF($B$7=0,0,H133/$B$7))</f>
        <v/>
      </c>
    </row>
    <row r="134">
      <c r="A134" s="288">
        <f>IF(B134="","",A133+1)</f>
        <v/>
      </c>
      <c r="B134" s="288">
        <f>IF(ROW()-15&lt;=$B$11,INDEX(Routing!$A:$A,ROW()-14),"")</f>
        <v/>
      </c>
      <c r="C134" s="289">
        <f>IF(B134="","",INDEX(Routing!$M:$M,ROW()-14))</f>
        <v/>
      </c>
      <c r="D134" s="289">
        <f>IF(B134="","",H133)</f>
        <v/>
      </c>
      <c r="E134" s="289">
        <f>IF(B134="","",$B$5+IF($B$7=0,0,D134/$B$7))</f>
        <v/>
      </c>
      <c r="F134" s="289">
        <f>IF(B134="","",IF(E134&lt;=J6,K6,IF(E134&gt;=J11,K11,INDEX(K6:K11,MATCH(E134,J6:J11,1))+(E134-INDEX(J6:J11,MATCH(E134,J6:J11,1)))*(INDEX(K6:K11,MATCH(E134,J6:J11,1)+1)-INDEX(K6:K11,MATCH(E134,J6:J11,1)))/(INDEX(J6:J11,MATCH(E134,J6:J11,1)+1)-INDEX(J6:J11,MATCH(E134,J6:J11,1))))))</f>
        <v/>
      </c>
      <c r="G134" s="289">
        <f>IF(B134="","",(C134-F134)*$B$10)</f>
        <v/>
      </c>
      <c r="H134" s="289">
        <f>IF(B134="","",MAX(0,D134+G134))</f>
        <v/>
      </c>
      <c r="I134" s="289">
        <f>IF(B134="","",$B$5+IF($B$7=0,0,H134/$B$7))</f>
        <v/>
      </c>
    </row>
    <row r="135">
      <c r="A135" s="288">
        <f>IF(B135="","",A134+1)</f>
        <v/>
      </c>
      <c r="B135" s="288">
        <f>IF(ROW()-15&lt;=$B$11,INDEX(Routing!$A:$A,ROW()-14),"")</f>
        <v/>
      </c>
      <c r="C135" s="289">
        <f>IF(B135="","",INDEX(Routing!$M:$M,ROW()-14))</f>
        <v/>
      </c>
      <c r="D135" s="289">
        <f>IF(B135="","",H134)</f>
        <v/>
      </c>
      <c r="E135" s="289">
        <f>IF(B135="","",$B$5+IF($B$7=0,0,D135/$B$7))</f>
        <v/>
      </c>
      <c r="F135" s="289">
        <f>IF(B135="","",IF(E135&lt;=J6,K6,IF(E135&gt;=J11,K11,INDEX(K6:K11,MATCH(E135,J6:J11,1))+(E135-INDEX(J6:J11,MATCH(E135,J6:J11,1)))*(INDEX(K6:K11,MATCH(E135,J6:J11,1)+1)-INDEX(K6:K11,MATCH(E135,J6:J11,1)))/(INDEX(J6:J11,MATCH(E135,J6:J11,1)+1)-INDEX(J6:J11,MATCH(E135,J6:J11,1))))))</f>
        <v/>
      </c>
      <c r="G135" s="289">
        <f>IF(B135="","",(C135-F135)*$B$10)</f>
        <v/>
      </c>
      <c r="H135" s="289">
        <f>IF(B135="","",MAX(0,D135+G135))</f>
        <v/>
      </c>
      <c r="I135" s="289">
        <f>IF(B135="","",$B$5+IF($B$7=0,0,H135/$B$7))</f>
        <v/>
      </c>
    </row>
    <row r="136">
      <c r="A136" s="288">
        <f>IF(B136="","",A135+1)</f>
        <v/>
      </c>
      <c r="B136" s="288">
        <f>IF(ROW()-15&lt;=$B$11,INDEX(Routing!$A:$A,ROW()-14),"")</f>
        <v/>
      </c>
      <c r="C136" s="289">
        <f>IF(B136="","",INDEX(Routing!$M:$M,ROW()-14))</f>
        <v/>
      </c>
      <c r="D136" s="289">
        <f>IF(B136="","",H135)</f>
        <v/>
      </c>
      <c r="E136" s="289">
        <f>IF(B136="","",$B$5+IF($B$7=0,0,D136/$B$7))</f>
        <v/>
      </c>
      <c r="F136" s="289">
        <f>IF(B136="","",IF(E136&lt;=J6,K6,IF(E136&gt;=J11,K11,INDEX(K6:K11,MATCH(E136,J6:J11,1))+(E136-INDEX(J6:J11,MATCH(E136,J6:J11,1)))*(INDEX(K6:K11,MATCH(E136,J6:J11,1)+1)-INDEX(K6:K11,MATCH(E136,J6:J11,1)))/(INDEX(J6:J11,MATCH(E136,J6:J11,1)+1)-INDEX(J6:J11,MATCH(E136,J6:J11,1))))))</f>
        <v/>
      </c>
      <c r="G136" s="289">
        <f>IF(B136="","",(C136-F136)*$B$10)</f>
        <v/>
      </c>
      <c r="H136" s="289">
        <f>IF(B136="","",MAX(0,D136+G136))</f>
        <v/>
      </c>
      <c r="I136" s="289">
        <f>IF(B136="","",$B$5+IF($B$7=0,0,H136/$B$7))</f>
        <v/>
      </c>
    </row>
    <row r="137">
      <c r="A137" s="288">
        <f>IF(B137="","",A136+1)</f>
        <v/>
      </c>
      <c r="B137" s="288">
        <f>IF(ROW()-15&lt;=$B$11,INDEX(Routing!$A:$A,ROW()-14),"")</f>
        <v/>
      </c>
      <c r="C137" s="289">
        <f>IF(B137="","",INDEX(Routing!$M:$M,ROW()-14))</f>
        <v/>
      </c>
      <c r="D137" s="289">
        <f>IF(B137="","",H136)</f>
        <v/>
      </c>
      <c r="E137" s="289">
        <f>IF(B137="","",$B$5+IF($B$7=0,0,D137/$B$7))</f>
        <v/>
      </c>
      <c r="F137" s="289">
        <f>IF(B137="","",IF(E137&lt;=J6,K6,IF(E137&gt;=J11,K11,INDEX(K6:K11,MATCH(E137,J6:J11,1))+(E137-INDEX(J6:J11,MATCH(E137,J6:J11,1)))*(INDEX(K6:K11,MATCH(E137,J6:J11,1)+1)-INDEX(K6:K11,MATCH(E137,J6:J11,1)))/(INDEX(J6:J11,MATCH(E137,J6:J11,1)+1)-INDEX(J6:J11,MATCH(E137,J6:J11,1))))))</f>
        <v/>
      </c>
      <c r="G137" s="289">
        <f>IF(B137="","",(C137-F137)*$B$10)</f>
        <v/>
      </c>
      <c r="H137" s="289">
        <f>IF(B137="","",MAX(0,D137+G137))</f>
        <v/>
      </c>
      <c r="I137" s="289">
        <f>IF(B137="","",$B$5+IF($B$7=0,0,H137/$B$7))</f>
        <v/>
      </c>
    </row>
    <row r="138">
      <c r="A138" s="288">
        <f>IF(B138="","",A137+1)</f>
        <v/>
      </c>
      <c r="B138" s="288">
        <f>IF(ROW()-15&lt;=$B$11,INDEX(Routing!$A:$A,ROW()-14),"")</f>
        <v/>
      </c>
      <c r="C138" s="289">
        <f>IF(B138="","",INDEX(Routing!$M:$M,ROW()-14))</f>
        <v/>
      </c>
      <c r="D138" s="289">
        <f>IF(B138="","",H137)</f>
        <v/>
      </c>
      <c r="E138" s="289">
        <f>IF(B138="","",$B$5+IF($B$7=0,0,D138/$B$7))</f>
        <v/>
      </c>
      <c r="F138" s="289">
        <f>IF(B138="","",IF(E138&lt;=J6,K6,IF(E138&gt;=J11,K11,INDEX(K6:K11,MATCH(E138,J6:J11,1))+(E138-INDEX(J6:J11,MATCH(E138,J6:J11,1)))*(INDEX(K6:K11,MATCH(E138,J6:J11,1)+1)-INDEX(K6:K11,MATCH(E138,J6:J11,1)))/(INDEX(J6:J11,MATCH(E138,J6:J11,1)+1)-INDEX(J6:J11,MATCH(E138,J6:J11,1))))))</f>
        <v/>
      </c>
      <c r="G138" s="289">
        <f>IF(B138="","",(C138-F138)*$B$10)</f>
        <v/>
      </c>
      <c r="H138" s="289">
        <f>IF(B138="","",MAX(0,D138+G138))</f>
        <v/>
      </c>
      <c r="I138" s="289">
        <f>IF(B138="","",$B$5+IF($B$7=0,0,H138/$B$7))</f>
        <v/>
      </c>
    </row>
    <row r="139">
      <c r="A139" s="288">
        <f>IF(B139="","",A138+1)</f>
        <v/>
      </c>
      <c r="B139" s="288">
        <f>IF(ROW()-15&lt;=$B$11,INDEX(Routing!$A:$A,ROW()-14),"")</f>
        <v/>
      </c>
      <c r="C139" s="289">
        <f>IF(B139="","",INDEX(Routing!$M:$M,ROW()-14))</f>
        <v/>
      </c>
      <c r="D139" s="289">
        <f>IF(B139="","",H138)</f>
        <v/>
      </c>
      <c r="E139" s="289">
        <f>IF(B139="","",$B$5+IF($B$7=0,0,D139/$B$7))</f>
        <v/>
      </c>
      <c r="F139" s="289">
        <f>IF(B139="","",IF(E139&lt;=J6,K6,IF(E139&gt;=J11,K11,INDEX(K6:K11,MATCH(E139,J6:J11,1))+(E139-INDEX(J6:J11,MATCH(E139,J6:J11,1)))*(INDEX(K6:K11,MATCH(E139,J6:J11,1)+1)-INDEX(K6:K11,MATCH(E139,J6:J11,1)))/(INDEX(J6:J11,MATCH(E139,J6:J11,1)+1)-INDEX(J6:J11,MATCH(E139,J6:J11,1))))))</f>
        <v/>
      </c>
      <c r="G139" s="289">
        <f>IF(B139="","",(C139-F139)*$B$10)</f>
        <v/>
      </c>
      <c r="H139" s="289">
        <f>IF(B139="","",MAX(0,D139+G139))</f>
        <v/>
      </c>
      <c r="I139" s="289">
        <f>IF(B139="","",$B$5+IF($B$7=0,0,H139/$B$7))</f>
        <v/>
      </c>
    </row>
    <row r="140">
      <c r="A140" s="288">
        <f>IF(B140="","",A139+1)</f>
        <v/>
      </c>
      <c r="B140" s="288">
        <f>IF(ROW()-15&lt;=$B$11,INDEX(Routing!$A:$A,ROW()-14),"")</f>
        <v/>
      </c>
      <c r="C140" s="289">
        <f>IF(B140="","",INDEX(Routing!$M:$M,ROW()-14))</f>
        <v/>
      </c>
      <c r="D140" s="289">
        <f>IF(B140="","",H139)</f>
        <v/>
      </c>
      <c r="E140" s="289">
        <f>IF(B140="","",$B$5+IF($B$7=0,0,D140/$B$7))</f>
        <v/>
      </c>
      <c r="F140" s="289">
        <f>IF(B140="","",IF(E140&lt;=J6,K6,IF(E140&gt;=J11,K11,INDEX(K6:K11,MATCH(E140,J6:J11,1))+(E140-INDEX(J6:J11,MATCH(E140,J6:J11,1)))*(INDEX(K6:K11,MATCH(E140,J6:J11,1)+1)-INDEX(K6:K11,MATCH(E140,J6:J11,1)))/(INDEX(J6:J11,MATCH(E140,J6:J11,1)+1)-INDEX(J6:J11,MATCH(E140,J6:J11,1))))))</f>
        <v/>
      </c>
      <c r="G140" s="289">
        <f>IF(B140="","",(C140-F140)*$B$10)</f>
        <v/>
      </c>
      <c r="H140" s="289">
        <f>IF(B140="","",MAX(0,D140+G140))</f>
        <v/>
      </c>
      <c r="I140" s="289">
        <f>IF(B140="","",$B$5+IF($B$7=0,0,H140/$B$7))</f>
        <v/>
      </c>
    </row>
    <row r="141">
      <c r="A141" s="288">
        <f>IF(B141="","",A140+1)</f>
        <v/>
      </c>
      <c r="B141" s="288">
        <f>IF(ROW()-15&lt;=$B$11,INDEX(Routing!$A:$A,ROW()-14),"")</f>
        <v/>
      </c>
      <c r="C141" s="289">
        <f>IF(B141="","",INDEX(Routing!$M:$M,ROW()-14))</f>
        <v/>
      </c>
      <c r="D141" s="289">
        <f>IF(B141="","",H140)</f>
        <v/>
      </c>
      <c r="E141" s="289">
        <f>IF(B141="","",$B$5+IF($B$7=0,0,D141/$B$7))</f>
        <v/>
      </c>
      <c r="F141" s="289">
        <f>IF(B141="","",IF(E141&lt;=J6,K6,IF(E141&gt;=J11,K11,INDEX(K6:K11,MATCH(E141,J6:J11,1))+(E141-INDEX(J6:J11,MATCH(E141,J6:J11,1)))*(INDEX(K6:K11,MATCH(E141,J6:J11,1)+1)-INDEX(K6:K11,MATCH(E141,J6:J11,1)))/(INDEX(J6:J11,MATCH(E141,J6:J11,1)+1)-INDEX(J6:J11,MATCH(E141,J6:J11,1))))))</f>
        <v/>
      </c>
      <c r="G141" s="289">
        <f>IF(B141="","",(C141-F141)*$B$10)</f>
        <v/>
      </c>
      <c r="H141" s="289">
        <f>IF(B141="","",MAX(0,D141+G141))</f>
        <v/>
      </c>
      <c r="I141" s="289">
        <f>IF(B141="","",$B$5+IF($B$7=0,0,H141/$B$7))</f>
        <v/>
      </c>
    </row>
    <row r="142">
      <c r="A142" s="288">
        <f>IF(B142="","",A141+1)</f>
        <v/>
      </c>
      <c r="B142" s="288">
        <f>IF(ROW()-15&lt;=$B$11,INDEX(Routing!$A:$A,ROW()-14),"")</f>
        <v/>
      </c>
      <c r="C142" s="289">
        <f>IF(B142="","",INDEX(Routing!$M:$M,ROW()-14))</f>
        <v/>
      </c>
      <c r="D142" s="289">
        <f>IF(B142="","",H141)</f>
        <v/>
      </c>
      <c r="E142" s="289">
        <f>IF(B142="","",$B$5+IF($B$7=0,0,D142/$B$7))</f>
        <v/>
      </c>
      <c r="F142" s="289">
        <f>IF(B142="","",IF(E142&lt;=J6,K6,IF(E142&gt;=J11,K11,INDEX(K6:K11,MATCH(E142,J6:J11,1))+(E142-INDEX(J6:J11,MATCH(E142,J6:J11,1)))*(INDEX(K6:K11,MATCH(E142,J6:J11,1)+1)-INDEX(K6:K11,MATCH(E142,J6:J11,1)))/(INDEX(J6:J11,MATCH(E142,J6:J11,1)+1)-INDEX(J6:J11,MATCH(E142,J6:J11,1))))))</f>
        <v/>
      </c>
      <c r="G142" s="289">
        <f>IF(B142="","",(C142-F142)*$B$10)</f>
        <v/>
      </c>
      <c r="H142" s="289">
        <f>IF(B142="","",MAX(0,D142+G142))</f>
        <v/>
      </c>
      <c r="I142" s="289">
        <f>IF(B142="","",$B$5+IF($B$7=0,0,H142/$B$7))</f>
        <v/>
      </c>
    </row>
    <row r="143">
      <c r="A143" s="288">
        <f>IF(B143="","",A142+1)</f>
        <v/>
      </c>
      <c r="B143" s="288">
        <f>IF(ROW()-15&lt;=$B$11,INDEX(Routing!$A:$A,ROW()-14),"")</f>
        <v/>
      </c>
      <c r="C143" s="289">
        <f>IF(B143="","",INDEX(Routing!$M:$M,ROW()-14))</f>
        <v/>
      </c>
      <c r="D143" s="289">
        <f>IF(B143="","",H142)</f>
        <v/>
      </c>
      <c r="E143" s="289">
        <f>IF(B143="","",$B$5+IF($B$7=0,0,D143/$B$7))</f>
        <v/>
      </c>
      <c r="F143" s="289">
        <f>IF(B143="","",IF(E143&lt;=J6,K6,IF(E143&gt;=J11,K11,INDEX(K6:K11,MATCH(E143,J6:J11,1))+(E143-INDEX(J6:J11,MATCH(E143,J6:J11,1)))*(INDEX(K6:K11,MATCH(E143,J6:J11,1)+1)-INDEX(K6:K11,MATCH(E143,J6:J11,1)))/(INDEX(J6:J11,MATCH(E143,J6:J11,1)+1)-INDEX(J6:J11,MATCH(E143,J6:J11,1))))))</f>
        <v/>
      </c>
      <c r="G143" s="289">
        <f>IF(B143="","",(C143-F143)*$B$10)</f>
        <v/>
      </c>
      <c r="H143" s="289">
        <f>IF(B143="","",MAX(0,D143+G143))</f>
        <v/>
      </c>
      <c r="I143" s="289">
        <f>IF(B143="","",$B$5+IF($B$7=0,0,H143/$B$7))</f>
        <v/>
      </c>
    </row>
    <row r="144">
      <c r="A144" s="288">
        <f>IF(B144="","",A143+1)</f>
        <v/>
      </c>
      <c r="B144" s="288">
        <f>IF(ROW()-15&lt;=$B$11,INDEX(Routing!$A:$A,ROW()-14),"")</f>
        <v/>
      </c>
      <c r="C144" s="289">
        <f>IF(B144="","",INDEX(Routing!$M:$M,ROW()-14))</f>
        <v/>
      </c>
      <c r="D144" s="289">
        <f>IF(B144="","",H143)</f>
        <v/>
      </c>
      <c r="E144" s="289">
        <f>IF(B144="","",$B$5+IF($B$7=0,0,D144/$B$7))</f>
        <v/>
      </c>
      <c r="F144" s="289">
        <f>IF(B144="","",IF(E144&lt;=J6,K6,IF(E144&gt;=J11,K11,INDEX(K6:K11,MATCH(E144,J6:J11,1))+(E144-INDEX(J6:J11,MATCH(E144,J6:J11,1)))*(INDEX(K6:K11,MATCH(E144,J6:J11,1)+1)-INDEX(K6:K11,MATCH(E144,J6:J11,1)))/(INDEX(J6:J11,MATCH(E144,J6:J11,1)+1)-INDEX(J6:J11,MATCH(E144,J6:J11,1))))))</f>
        <v/>
      </c>
      <c r="G144" s="289">
        <f>IF(B144="","",(C144-F144)*$B$10)</f>
        <v/>
      </c>
      <c r="H144" s="289">
        <f>IF(B144="","",MAX(0,D144+G144))</f>
        <v/>
      </c>
      <c r="I144" s="289">
        <f>IF(B144="","",$B$5+IF($B$7=0,0,H144/$B$7))</f>
        <v/>
      </c>
    </row>
    <row r="145">
      <c r="A145" s="288">
        <f>IF(B145="","",A144+1)</f>
        <v/>
      </c>
      <c r="B145" s="288">
        <f>IF(ROW()-15&lt;=$B$11,INDEX(Routing!$A:$A,ROW()-14),"")</f>
        <v/>
      </c>
      <c r="C145" s="289">
        <f>IF(B145="","",INDEX(Routing!$M:$M,ROW()-14))</f>
        <v/>
      </c>
      <c r="D145" s="289">
        <f>IF(B145="","",H144)</f>
        <v/>
      </c>
      <c r="E145" s="289">
        <f>IF(B145="","",$B$5+IF($B$7=0,0,D145/$B$7))</f>
        <v/>
      </c>
      <c r="F145" s="289">
        <f>IF(B145="","",IF(E145&lt;=J6,K6,IF(E145&gt;=J11,K11,INDEX(K6:K11,MATCH(E145,J6:J11,1))+(E145-INDEX(J6:J11,MATCH(E145,J6:J11,1)))*(INDEX(K6:K11,MATCH(E145,J6:J11,1)+1)-INDEX(K6:K11,MATCH(E145,J6:J11,1)))/(INDEX(J6:J11,MATCH(E145,J6:J11,1)+1)-INDEX(J6:J11,MATCH(E145,J6:J11,1))))))</f>
        <v/>
      </c>
      <c r="G145" s="289">
        <f>IF(B145="","",(C145-F145)*$B$10)</f>
        <v/>
      </c>
      <c r="H145" s="289">
        <f>IF(B145="","",MAX(0,D145+G145))</f>
        <v/>
      </c>
      <c r="I145" s="289">
        <f>IF(B145="","",$B$5+IF($B$7=0,0,H145/$B$7))</f>
        <v/>
      </c>
    </row>
    <row r="146">
      <c r="A146" s="288">
        <f>IF(B146="","",A145+1)</f>
        <v/>
      </c>
      <c r="B146" s="288">
        <f>IF(ROW()-15&lt;=$B$11,INDEX(Routing!$A:$A,ROW()-14),"")</f>
        <v/>
      </c>
      <c r="C146" s="289">
        <f>IF(B146="","",INDEX(Routing!$M:$M,ROW()-14))</f>
        <v/>
      </c>
      <c r="D146" s="289">
        <f>IF(B146="","",H145)</f>
        <v/>
      </c>
      <c r="E146" s="289">
        <f>IF(B146="","",$B$5+IF($B$7=0,0,D146/$B$7))</f>
        <v/>
      </c>
      <c r="F146" s="289">
        <f>IF(B146="","",IF(E146&lt;=J6,K6,IF(E146&gt;=J11,K11,INDEX(K6:K11,MATCH(E146,J6:J11,1))+(E146-INDEX(J6:J11,MATCH(E146,J6:J11,1)))*(INDEX(K6:K11,MATCH(E146,J6:J11,1)+1)-INDEX(K6:K11,MATCH(E146,J6:J11,1)))/(INDEX(J6:J11,MATCH(E146,J6:J11,1)+1)-INDEX(J6:J11,MATCH(E146,J6:J11,1))))))</f>
        <v/>
      </c>
      <c r="G146" s="289">
        <f>IF(B146="","",(C146-F146)*$B$10)</f>
        <v/>
      </c>
      <c r="H146" s="289">
        <f>IF(B146="","",MAX(0,D146+G146))</f>
        <v/>
      </c>
      <c r="I146" s="289">
        <f>IF(B146="","",$B$5+IF($B$7=0,0,H146/$B$7))</f>
        <v/>
      </c>
    </row>
    <row r="147">
      <c r="A147" s="288">
        <f>IF(B147="","",A146+1)</f>
        <v/>
      </c>
      <c r="B147" s="288">
        <f>IF(ROW()-15&lt;=$B$11,INDEX(Routing!$A:$A,ROW()-14),"")</f>
        <v/>
      </c>
      <c r="C147" s="289">
        <f>IF(B147="","",INDEX(Routing!$M:$M,ROW()-14))</f>
        <v/>
      </c>
      <c r="D147" s="289">
        <f>IF(B147="","",H146)</f>
        <v/>
      </c>
      <c r="E147" s="289">
        <f>IF(B147="","",$B$5+IF($B$7=0,0,D147/$B$7))</f>
        <v/>
      </c>
      <c r="F147" s="289">
        <f>IF(B147="","",IF(E147&lt;=J6,K6,IF(E147&gt;=J11,K11,INDEX(K6:K11,MATCH(E147,J6:J11,1))+(E147-INDEX(J6:J11,MATCH(E147,J6:J11,1)))*(INDEX(K6:K11,MATCH(E147,J6:J11,1)+1)-INDEX(K6:K11,MATCH(E147,J6:J11,1)))/(INDEX(J6:J11,MATCH(E147,J6:J11,1)+1)-INDEX(J6:J11,MATCH(E147,J6:J11,1))))))</f>
        <v/>
      </c>
      <c r="G147" s="289">
        <f>IF(B147="","",(C147-F147)*$B$10)</f>
        <v/>
      </c>
      <c r="H147" s="289">
        <f>IF(B147="","",MAX(0,D147+G147))</f>
        <v/>
      </c>
      <c r="I147" s="289">
        <f>IF(B147="","",$B$5+IF($B$7=0,0,H147/$B$7))</f>
        <v/>
      </c>
    </row>
    <row r="148">
      <c r="A148" s="288">
        <f>IF(B148="","",A147+1)</f>
        <v/>
      </c>
      <c r="B148" s="288">
        <f>IF(ROW()-15&lt;=$B$11,INDEX(Routing!$A:$A,ROW()-14),"")</f>
        <v/>
      </c>
      <c r="C148" s="289">
        <f>IF(B148="","",INDEX(Routing!$M:$M,ROW()-14))</f>
        <v/>
      </c>
      <c r="D148" s="289">
        <f>IF(B148="","",H147)</f>
        <v/>
      </c>
      <c r="E148" s="289">
        <f>IF(B148="","",$B$5+IF($B$7=0,0,D148/$B$7))</f>
        <v/>
      </c>
      <c r="F148" s="289">
        <f>IF(B148="","",IF(E148&lt;=J6,K6,IF(E148&gt;=J11,K11,INDEX(K6:K11,MATCH(E148,J6:J11,1))+(E148-INDEX(J6:J11,MATCH(E148,J6:J11,1)))*(INDEX(K6:K11,MATCH(E148,J6:J11,1)+1)-INDEX(K6:K11,MATCH(E148,J6:J11,1)))/(INDEX(J6:J11,MATCH(E148,J6:J11,1)+1)-INDEX(J6:J11,MATCH(E148,J6:J11,1))))))</f>
        <v/>
      </c>
      <c r="G148" s="289">
        <f>IF(B148="","",(C148-F148)*$B$10)</f>
        <v/>
      </c>
      <c r="H148" s="289">
        <f>IF(B148="","",MAX(0,D148+G148))</f>
        <v/>
      </c>
      <c r="I148" s="289">
        <f>IF(B148="","",$B$5+IF($B$7=0,0,H148/$B$7))</f>
        <v/>
      </c>
    </row>
    <row r="149">
      <c r="A149" s="288">
        <f>IF(B149="","",A148+1)</f>
        <v/>
      </c>
      <c r="B149" s="288">
        <f>IF(ROW()-15&lt;=$B$11,INDEX(Routing!$A:$A,ROW()-14),"")</f>
        <v/>
      </c>
      <c r="C149" s="289">
        <f>IF(B149="","",INDEX(Routing!$M:$M,ROW()-14))</f>
        <v/>
      </c>
      <c r="D149" s="289">
        <f>IF(B149="","",H148)</f>
        <v/>
      </c>
      <c r="E149" s="289">
        <f>IF(B149="","",$B$5+IF($B$7=0,0,D149/$B$7))</f>
        <v/>
      </c>
      <c r="F149" s="289">
        <f>IF(B149="","",IF(E149&lt;=J6,K6,IF(E149&gt;=J11,K11,INDEX(K6:K11,MATCH(E149,J6:J11,1))+(E149-INDEX(J6:J11,MATCH(E149,J6:J11,1)))*(INDEX(K6:K11,MATCH(E149,J6:J11,1)+1)-INDEX(K6:K11,MATCH(E149,J6:J11,1)))/(INDEX(J6:J11,MATCH(E149,J6:J11,1)+1)-INDEX(J6:J11,MATCH(E149,J6:J11,1))))))</f>
        <v/>
      </c>
      <c r="G149" s="289">
        <f>IF(B149="","",(C149-F149)*$B$10)</f>
        <v/>
      </c>
      <c r="H149" s="289">
        <f>IF(B149="","",MAX(0,D149+G149))</f>
        <v/>
      </c>
      <c r="I149" s="289">
        <f>IF(B149="","",$B$5+IF($B$7=0,0,H149/$B$7))</f>
        <v/>
      </c>
    </row>
    <row r="150">
      <c r="A150" s="288">
        <f>IF(B150="","",A149+1)</f>
        <v/>
      </c>
      <c r="B150" s="288">
        <f>IF(ROW()-15&lt;=$B$11,INDEX(Routing!$A:$A,ROW()-14),"")</f>
        <v/>
      </c>
      <c r="C150" s="289">
        <f>IF(B150="","",INDEX(Routing!$M:$M,ROW()-14))</f>
        <v/>
      </c>
      <c r="D150" s="289">
        <f>IF(B150="","",H149)</f>
        <v/>
      </c>
      <c r="E150" s="289">
        <f>IF(B150="","",$B$5+IF($B$7=0,0,D150/$B$7))</f>
        <v/>
      </c>
      <c r="F150" s="289">
        <f>IF(B150="","",IF(E150&lt;=J6,K6,IF(E150&gt;=J11,K11,INDEX(K6:K11,MATCH(E150,J6:J11,1))+(E150-INDEX(J6:J11,MATCH(E150,J6:J11,1)))*(INDEX(K6:K11,MATCH(E150,J6:J11,1)+1)-INDEX(K6:K11,MATCH(E150,J6:J11,1)))/(INDEX(J6:J11,MATCH(E150,J6:J11,1)+1)-INDEX(J6:J11,MATCH(E150,J6:J11,1))))))</f>
        <v/>
      </c>
      <c r="G150" s="289">
        <f>IF(B150="","",(C150-F150)*$B$10)</f>
        <v/>
      </c>
      <c r="H150" s="289">
        <f>IF(B150="","",MAX(0,D150+G150))</f>
        <v/>
      </c>
      <c r="I150" s="289">
        <f>IF(B150="","",$B$5+IF($B$7=0,0,H150/$B$7))</f>
        <v/>
      </c>
    </row>
    <row r="151">
      <c r="A151" s="288">
        <f>IF(B151="","",A150+1)</f>
        <v/>
      </c>
      <c r="B151" s="288">
        <f>IF(ROW()-15&lt;=$B$11,INDEX(Routing!$A:$A,ROW()-14),"")</f>
        <v/>
      </c>
      <c r="C151" s="289">
        <f>IF(B151="","",INDEX(Routing!$M:$M,ROW()-14))</f>
        <v/>
      </c>
      <c r="D151" s="289">
        <f>IF(B151="","",H150)</f>
        <v/>
      </c>
      <c r="E151" s="289">
        <f>IF(B151="","",$B$5+IF($B$7=0,0,D151/$B$7))</f>
        <v/>
      </c>
      <c r="F151" s="289">
        <f>IF(B151="","",IF(E151&lt;=J6,K6,IF(E151&gt;=J11,K11,INDEX(K6:K11,MATCH(E151,J6:J11,1))+(E151-INDEX(J6:J11,MATCH(E151,J6:J11,1)))*(INDEX(K6:K11,MATCH(E151,J6:J11,1)+1)-INDEX(K6:K11,MATCH(E151,J6:J11,1)))/(INDEX(J6:J11,MATCH(E151,J6:J11,1)+1)-INDEX(J6:J11,MATCH(E151,J6:J11,1))))))</f>
        <v/>
      </c>
      <c r="G151" s="289">
        <f>IF(B151="","",(C151-F151)*$B$10)</f>
        <v/>
      </c>
      <c r="H151" s="289">
        <f>IF(B151="","",MAX(0,D151+G151))</f>
        <v/>
      </c>
      <c r="I151" s="289">
        <f>IF(B151="","",$B$5+IF($B$7=0,0,H151/$B$7))</f>
        <v/>
      </c>
    </row>
    <row r="152">
      <c r="A152" s="288">
        <f>IF(B152="","",A151+1)</f>
        <v/>
      </c>
      <c r="B152" s="288">
        <f>IF(ROW()-15&lt;=$B$11,INDEX(Routing!$A:$A,ROW()-14),"")</f>
        <v/>
      </c>
      <c r="C152" s="289">
        <f>IF(B152="","",INDEX(Routing!$M:$M,ROW()-14))</f>
        <v/>
      </c>
      <c r="D152" s="289">
        <f>IF(B152="","",H151)</f>
        <v/>
      </c>
      <c r="E152" s="289">
        <f>IF(B152="","",$B$5+IF($B$7=0,0,D152/$B$7))</f>
        <v/>
      </c>
      <c r="F152" s="289">
        <f>IF(B152="","",IF(E152&lt;=J6,K6,IF(E152&gt;=J11,K11,INDEX(K6:K11,MATCH(E152,J6:J11,1))+(E152-INDEX(J6:J11,MATCH(E152,J6:J11,1)))*(INDEX(K6:K11,MATCH(E152,J6:J11,1)+1)-INDEX(K6:K11,MATCH(E152,J6:J11,1)))/(INDEX(J6:J11,MATCH(E152,J6:J11,1)+1)-INDEX(J6:J11,MATCH(E152,J6:J11,1))))))</f>
        <v/>
      </c>
      <c r="G152" s="289">
        <f>IF(B152="","",(C152-F152)*$B$10)</f>
        <v/>
      </c>
      <c r="H152" s="289">
        <f>IF(B152="","",MAX(0,D152+G152))</f>
        <v/>
      </c>
      <c r="I152" s="289">
        <f>IF(B152="","",$B$5+IF($B$7=0,0,H152/$B$7))</f>
        <v/>
      </c>
    </row>
    <row r="153">
      <c r="A153" s="288">
        <f>IF(B153="","",A152+1)</f>
        <v/>
      </c>
      <c r="B153" s="288">
        <f>IF(ROW()-15&lt;=$B$11,INDEX(Routing!$A:$A,ROW()-14),"")</f>
        <v/>
      </c>
      <c r="C153" s="289">
        <f>IF(B153="","",INDEX(Routing!$M:$M,ROW()-14))</f>
        <v/>
      </c>
      <c r="D153" s="289">
        <f>IF(B153="","",H152)</f>
        <v/>
      </c>
      <c r="E153" s="289">
        <f>IF(B153="","",$B$5+IF($B$7=0,0,D153/$B$7))</f>
        <v/>
      </c>
      <c r="F153" s="289">
        <f>IF(B153="","",IF(E153&lt;=J6,K6,IF(E153&gt;=J11,K11,INDEX(K6:K11,MATCH(E153,J6:J11,1))+(E153-INDEX(J6:J11,MATCH(E153,J6:J11,1)))*(INDEX(K6:K11,MATCH(E153,J6:J11,1)+1)-INDEX(K6:K11,MATCH(E153,J6:J11,1)))/(INDEX(J6:J11,MATCH(E153,J6:J11,1)+1)-INDEX(J6:J11,MATCH(E153,J6:J11,1))))))</f>
        <v/>
      </c>
      <c r="G153" s="289">
        <f>IF(B153="","",(C153-F153)*$B$10)</f>
        <v/>
      </c>
      <c r="H153" s="289">
        <f>IF(B153="","",MAX(0,D153+G153))</f>
        <v/>
      </c>
      <c r="I153" s="289">
        <f>IF(B153="","",$B$5+IF($B$7=0,0,H153/$B$7))</f>
        <v/>
      </c>
    </row>
    <row r="154">
      <c r="A154" s="288">
        <f>IF(B154="","",A153+1)</f>
        <v/>
      </c>
      <c r="B154" s="288">
        <f>IF(ROW()-15&lt;=$B$11,INDEX(Routing!$A:$A,ROW()-14),"")</f>
        <v/>
      </c>
      <c r="C154" s="289">
        <f>IF(B154="","",INDEX(Routing!$M:$M,ROW()-14))</f>
        <v/>
      </c>
      <c r="D154" s="289">
        <f>IF(B154="","",H153)</f>
        <v/>
      </c>
      <c r="E154" s="289">
        <f>IF(B154="","",$B$5+IF($B$7=0,0,D154/$B$7))</f>
        <v/>
      </c>
      <c r="F154" s="289">
        <f>IF(B154="","",IF(E154&lt;=J6,K6,IF(E154&gt;=J11,K11,INDEX(K6:K11,MATCH(E154,J6:J11,1))+(E154-INDEX(J6:J11,MATCH(E154,J6:J11,1)))*(INDEX(K6:K11,MATCH(E154,J6:J11,1)+1)-INDEX(K6:K11,MATCH(E154,J6:J11,1)))/(INDEX(J6:J11,MATCH(E154,J6:J11,1)+1)-INDEX(J6:J11,MATCH(E154,J6:J11,1))))))</f>
        <v/>
      </c>
      <c r="G154" s="289">
        <f>IF(B154="","",(C154-F154)*$B$10)</f>
        <v/>
      </c>
      <c r="H154" s="289">
        <f>IF(B154="","",MAX(0,D154+G154))</f>
        <v/>
      </c>
      <c r="I154" s="289">
        <f>IF(B154="","",$B$5+IF($B$7=0,0,H154/$B$7))</f>
        <v/>
      </c>
    </row>
    <row r="155">
      <c r="A155" s="288">
        <f>IF(B155="","",A154+1)</f>
        <v/>
      </c>
      <c r="B155" s="288">
        <f>IF(ROW()-15&lt;=$B$11,INDEX(Routing!$A:$A,ROW()-14),"")</f>
        <v/>
      </c>
      <c r="C155" s="289">
        <f>IF(B155="","",INDEX(Routing!$M:$M,ROW()-14))</f>
        <v/>
      </c>
      <c r="D155" s="289">
        <f>IF(B155="","",H154)</f>
        <v/>
      </c>
      <c r="E155" s="289">
        <f>IF(B155="","",$B$5+IF($B$7=0,0,D155/$B$7))</f>
        <v/>
      </c>
      <c r="F155" s="289">
        <f>IF(B155="","",IF(E155&lt;=J6,K6,IF(E155&gt;=J11,K11,INDEX(K6:K11,MATCH(E155,J6:J11,1))+(E155-INDEX(J6:J11,MATCH(E155,J6:J11,1)))*(INDEX(K6:K11,MATCH(E155,J6:J11,1)+1)-INDEX(K6:K11,MATCH(E155,J6:J11,1)))/(INDEX(J6:J11,MATCH(E155,J6:J11,1)+1)-INDEX(J6:J11,MATCH(E155,J6:J11,1))))))</f>
        <v/>
      </c>
      <c r="G155" s="289">
        <f>IF(B155="","",(C155-F155)*$B$10)</f>
        <v/>
      </c>
      <c r="H155" s="289">
        <f>IF(B155="","",MAX(0,D155+G155))</f>
        <v/>
      </c>
      <c r="I155" s="289">
        <f>IF(B155="","",$B$5+IF($B$7=0,0,H155/$B$7))</f>
        <v/>
      </c>
    </row>
    <row r="156">
      <c r="A156" s="288">
        <f>IF(B156="","",A155+1)</f>
        <v/>
      </c>
      <c r="B156" s="288">
        <f>IF(ROW()-15&lt;=$B$11,INDEX(Routing!$A:$A,ROW()-14),"")</f>
        <v/>
      </c>
      <c r="C156" s="289">
        <f>IF(B156="","",INDEX(Routing!$M:$M,ROW()-14))</f>
        <v/>
      </c>
      <c r="D156" s="289">
        <f>IF(B156="","",H155)</f>
        <v/>
      </c>
      <c r="E156" s="289">
        <f>IF(B156="","",$B$5+IF($B$7=0,0,D156/$B$7))</f>
        <v/>
      </c>
      <c r="F156" s="289">
        <f>IF(B156="","",IF(E156&lt;=J6,K6,IF(E156&gt;=J11,K11,INDEX(K6:K11,MATCH(E156,J6:J11,1))+(E156-INDEX(J6:J11,MATCH(E156,J6:J11,1)))*(INDEX(K6:K11,MATCH(E156,J6:J11,1)+1)-INDEX(K6:K11,MATCH(E156,J6:J11,1)))/(INDEX(J6:J11,MATCH(E156,J6:J11,1)+1)-INDEX(J6:J11,MATCH(E156,J6:J11,1))))))</f>
        <v/>
      </c>
      <c r="G156" s="289">
        <f>IF(B156="","",(C156-F156)*$B$10)</f>
        <v/>
      </c>
      <c r="H156" s="289">
        <f>IF(B156="","",MAX(0,D156+G156))</f>
        <v/>
      </c>
      <c r="I156" s="289">
        <f>IF(B156="","",$B$5+IF($B$7=0,0,H156/$B$7))</f>
        <v/>
      </c>
    </row>
    <row r="157">
      <c r="A157" s="288">
        <f>IF(B157="","",A156+1)</f>
        <v/>
      </c>
      <c r="B157" s="288">
        <f>IF(ROW()-15&lt;=$B$11,INDEX(Routing!$A:$A,ROW()-14),"")</f>
        <v/>
      </c>
      <c r="C157" s="289">
        <f>IF(B157="","",INDEX(Routing!$M:$M,ROW()-14))</f>
        <v/>
      </c>
      <c r="D157" s="289">
        <f>IF(B157="","",H156)</f>
        <v/>
      </c>
      <c r="E157" s="289">
        <f>IF(B157="","",$B$5+IF($B$7=0,0,D157/$B$7))</f>
        <v/>
      </c>
      <c r="F157" s="289">
        <f>IF(B157="","",IF(E157&lt;=J6,K6,IF(E157&gt;=J11,K11,INDEX(K6:K11,MATCH(E157,J6:J11,1))+(E157-INDEX(J6:J11,MATCH(E157,J6:J11,1)))*(INDEX(K6:K11,MATCH(E157,J6:J11,1)+1)-INDEX(K6:K11,MATCH(E157,J6:J11,1)))/(INDEX(J6:J11,MATCH(E157,J6:J11,1)+1)-INDEX(J6:J11,MATCH(E157,J6:J11,1))))))</f>
        <v/>
      </c>
      <c r="G157" s="289">
        <f>IF(B157="","",(C157-F157)*$B$10)</f>
        <v/>
      </c>
      <c r="H157" s="289">
        <f>IF(B157="","",MAX(0,D157+G157))</f>
        <v/>
      </c>
      <c r="I157" s="289">
        <f>IF(B157="","",$B$5+IF($B$7=0,0,H157/$B$7))</f>
        <v/>
      </c>
    </row>
    <row r="158">
      <c r="A158" s="288">
        <f>IF(B158="","",A157+1)</f>
        <v/>
      </c>
      <c r="B158" s="288">
        <f>IF(ROW()-15&lt;=$B$11,INDEX(Routing!$A:$A,ROW()-14),"")</f>
        <v/>
      </c>
      <c r="C158" s="289">
        <f>IF(B158="","",INDEX(Routing!$M:$M,ROW()-14))</f>
        <v/>
      </c>
      <c r="D158" s="289">
        <f>IF(B158="","",H157)</f>
        <v/>
      </c>
      <c r="E158" s="289">
        <f>IF(B158="","",$B$5+IF($B$7=0,0,D158/$B$7))</f>
        <v/>
      </c>
      <c r="F158" s="289">
        <f>IF(B158="","",IF(E158&lt;=J6,K6,IF(E158&gt;=J11,K11,INDEX(K6:K11,MATCH(E158,J6:J11,1))+(E158-INDEX(J6:J11,MATCH(E158,J6:J11,1)))*(INDEX(K6:K11,MATCH(E158,J6:J11,1)+1)-INDEX(K6:K11,MATCH(E158,J6:J11,1)))/(INDEX(J6:J11,MATCH(E158,J6:J11,1)+1)-INDEX(J6:J11,MATCH(E158,J6:J11,1))))))</f>
        <v/>
      </c>
      <c r="G158" s="289">
        <f>IF(B158="","",(C158-F158)*$B$10)</f>
        <v/>
      </c>
      <c r="H158" s="289">
        <f>IF(B158="","",MAX(0,D158+G158))</f>
        <v/>
      </c>
      <c r="I158" s="289">
        <f>IF(B158="","",$B$5+IF($B$7=0,0,H158/$B$7))</f>
        <v/>
      </c>
    </row>
    <row r="159">
      <c r="A159" s="288">
        <f>IF(B159="","",A158+1)</f>
        <v/>
      </c>
      <c r="B159" s="288">
        <f>IF(ROW()-15&lt;=$B$11,INDEX(Routing!$A:$A,ROW()-14),"")</f>
        <v/>
      </c>
      <c r="C159" s="289">
        <f>IF(B159="","",INDEX(Routing!$M:$M,ROW()-14))</f>
        <v/>
      </c>
      <c r="D159" s="289">
        <f>IF(B159="","",H158)</f>
        <v/>
      </c>
      <c r="E159" s="289">
        <f>IF(B159="","",$B$5+IF($B$7=0,0,D159/$B$7))</f>
        <v/>
      </c>
      <c r="F159" s="289">
        <f>IF(B159="","",IF(E159&lt;=J6,K6,IF(E159&gt;=J11,K11,INDEX(K6:K11,MATCH(E159,J6:J11,1))+(E159-INDEX(J6:J11,MATCH(E159,J6:J11,1)))*(INDEX(K6:K11,MATCH(E159,J6:J11,1)+1)-INDEX(K6:K11,MATCH(E159,J6:J11,1)))/(INDEX(J6:J11,MATCH(E159,J6:J11,1)+1)-INDEX(J6:J11,MATCH(E159,J6:J11,1))))))</f>
        <v/>
      </c>
      <c r="G159" s="289">
        <f>IF(B159="","",(C159-F159)*$B$10)</f>
        <v/>
      </c>
      <c r="H159" s="289">
        <f>IF(B159="","",MAX(0,D159+G159))</f>
        <v/>
      </c>
      <c r="I159" s="289">
        <f>IF(B159="","",$B$5+IF($B$7=0,0,H159/$B$7))</f>
        <v/>
      </c>
    </row>
    <row r="160">
      <c r="A160" s="288">
        <f>IF(B160="","",A159+1)</f>
        <v/>
      </c>
      <c r="B160" s="288">
        <f>IF(ROW()-15&lt;=$B$11,INDEX(Routing!$A:$A,ROW()-14),"")</f>
        <v/>
      </c>
      <c r="C160" s="289">
        <f>IF(B160="","",INDEX(Routing!$M:$M,ROW()-14))</f>
        <v/>
      </c>
      <c r="D160" s="289">
        <f>IF(B160="","",H159)</f>
        <v/>
      </c>
      <c r="E160" s="289">
        <f>IF(B160="","",$B$5+IF($B$7=0,0,D160/$B$7))</f>
        <v/>
      </c>
      <c r="F160" s="289">
        <f>IF(B160="","",IF(E160&lt;=J6,K6,IF(E160&gt;=J11,K11,INDEX(K6:K11,MATCH(E160,J6:J11,1))+(E160-INDEX(J6:J11,MATCH(E160,J6:J11,1)))*(INDEX(K6:K11,MATCH(E160,J6:J11,1)+1)-INDEX(K6:K11,MATCH(E160,J6:J11,1)))/(INDEX(J6:J11,MATCH(E160,J6:J11,1)+1)-INDEX(J6:J11,MATCH(E160,J6:J11,1))))))</f>
        <v/>
      </c>
      <c r="G160" s="289">
        <f>IF(B160="","",(C160-F160)*$B$10)</f>
        <v/>
      </c>
      <c r="H160" s="289">
        <f>IF(B160="","",MAX(0,D160+G160))</f>
        <v/>
      </c>
      <c r="I160" s="289">
        <f>IF(B160="","",$B$5+IF($B$7=0,0,H160/$B$7))</f>
        <v/>
      </c>
    </row>
    <row r="161">
      <c r="A161" s="288">
        <f>IF(B161="","",A160+1)</f>
        <v/>
      </c>
      <c r="B161" s="288">
        <f>IF(ROW()-15&lt;=$B$11,INDEX(Routing!$A:$A,ROW()-14),"")</f>
        <v/>
      </c>
      <c r="C161" s="289">
        <f>IF(B161="","",INDEX(Routing!$M:$M,ROW()-14))</f>
        <v/>
      </c>
      <c r="D161" s="289">
        <f>IF(B161="","",H160)</f>
        <v/>
      </c>
      <c r="E161" s="289">
        <f>IF(B161="","",$B$5+IF($B$7=0,0,D161/$B$7))</f>
        <v/>
      </c>
      <c r="F161" s="289">
        <f>IF(B161="","",IF(E161&lt;=J6,K6,IF(E161&gt;=J11,K11,INDEX(K6:K11,MATCH(E161,J6:J11,1))+(E161-INDEX(J6:J11,MATCH(E161,J6:J11,1)))*(INDEX(K6:K11,MATCH(E161,J6:J11,1)+1)-INDEX(K6:K11,MATCH(E161,J6:J11,1)))/(INDEX(J6:J11,MATCH(E161,J6:J11,1)+1)-INDEX(J6:J11,MATCH(E161,J6:J11,1))))))</f>
        <v/>
      </c>
      <c r="G161" s="289">
        <f>IF(B161="","",(C161-F161)*$B$10)</f>
        <v/>
      </c>
      <c r="H161" s="289">
        <f>IF(B161="","",MAX(0,D161+G161))</f>
        <v/>
      </c>
      <c r="I161" s="289">
        <f>IF(B161="","",$B$5+IF($B$7=0,0,H161/$B$7))</f>
        <v/>
      </c>
    </row>
    <row r="162">
      <c r="A162" s="288">
        <f>IF(B162="","",A161+1)</f>
        <v/>
      </c>
      <c r="B162" s="288">
        <f>IF(ROW()-15&lt;=$B$11,INDEX(Routing!$A:$A,ROW()-14),"")</f>
        <v/>
      </c>
      <c r="C162" s="289">
        <f>IF(B162="","",INDEX(Routing!$M:$M,ROW()-14))</f>
        <v/>
      </c>
      <c r="D162" s="289">
        <f>IF(B162="","",H161)</f>
        <v/>
      </c>
      <c r="E162" s="289">
        <f>IF(B162="","",$B$5+IF($B$7=0,0,D162/$B$7))</f>
        <v/>
      </c>
      <c r="F162" s="289">
        <f>IF(B162="","",IF(E162&lt;=J6,K6,IF(E162&gt;=J11,K11,INDEX(K6:K11,MATCH(E162,J6:J11,1))+(E162-INDEX(J6:J11,MATCH(E162,J6:J11,1)))*(INDEX(K6:K11,MATCH(E162,J6:J11,1)+1)-INDEX(K6:K11,MATCH(E162,J6:J11,1)))/(INDEX(J6:J11,MATCH(E162,J6:J11,1)+1)-INDEX(J6:J11,MATCH(E162,J6:J11,1))))))</f>
        <v/>
      </c>
      <c r="G162" s="289">
        <f>IF(B162="","",(C162-F162)*$B$10)</f>
        <v/>
      </c>
      <c r="H162" s="289">
        <f>IF(B162="","",MAX(0,D162+G162))</f>
        <v/>
      </c>
      <c r="I162" s="289">
        <f>IF(B162="","",$B$5+IF($B$7=0,0,H162/$B$7))</f>
        <v/>
      </c>
    </row>
    <row r="163">
      <c r="A163" s="288">
        <f>IF(B163="","",A162+1)</f>
        <v/>
      </c>
      <c r="B163" s="288">
        <f>IF(ROW()-15&lt;=$B$11,INDEX(Routing!$A:$A,ROW()-14),"")</f>
        <v/>
      </c>
      <c r="C163" s="289">
        <f>IF(B163="","",INDEX(Routing!$M:$M,ROW()-14))</f>
        <v/>
      </c>
      <c r="D163" s="289">
        <f>IF(B163="","",H162)</f>
        <v/>
      </c>
      <c r="E163" s="289">
        <f>IF(B163="","",$B$5+IF($B$7=0,0,D163/$B$7))</f>
        <v/>
      </c>
      <c r="F163" s="289">
        <f>IF(B163="","",IF(E163&lt;=J6,K6,IF(E163&gt;=J11,K11,INDEX(K6:K11,MATCH(E163,J6:J11,1))+(E163-INDEX(J6:J11,MATCH(E163,J6:J11,1)))*(INDEX(K6:K11,MATCH(E163,J6:J11,1)+1)-INDEX(K6:K11,MATCH(E163,J6:J11,1)))/(INDEX(J6:J11,MATCH(E163,J6:J11,1)+1)-INDEX(J6:J11,MATCH(E163,J6:J11,1))))))</f>
        <v/>
      </c>
      <c r="G163" s="289">
        <f>IF(B163="","",(C163-F163)*$B$10)</f>
        <v/>
      </c>
      <c r="H163" s="289">
        <f>IF(B163="","",MAX(0,D163+G163))</f>
        <v/>
      </c>
      <c r="I163" s="289">
        <f>IF(B163="","",$B$5+IF($B$7=0,0,H163/$B$7))</f>
        <v/>
      </c>
    </row>
    <row r="164">
      <c r="A164" s="288">
        <f>IF(B164="","",A163+1)</f>
        <v/>
      </c>
      <c r="B164" s="288">
        <f>IF(ROW()-15&lt;=$B$11,INDEX(Routing!$A:$A,ROW()-14),"")</f>
        <v/>
      </c>
      <c r="C164" s="289">
        <f>IF(B164="","",INDEX(Routing!$M:$M,ROW()-14))</f>
        <v/>
      </c>
      <c r="D164" s="289">
        <f>IF(B164="","",H163)</f>
        <v/>
      </c>
      <c r="E164" s="289">
        <f>IF(B164="","",$B$5+IF($B$7=0,0,D164/$B$7))</f>
        <v/>
      </c>
      <c r="F164" s="289">
        <f>IF(B164="","",IF(E164&lt;=J6,K6,IF(E164&gt;=J11,K11,INDEX(K6:K11,MATCH(E164,J6:J11,1))+(E164-INDEX(J6:J11,MATCH(E164,J6:J11,1)))*(INDEX(K6:K11,MATCH(E164,J6:J11,1)+1)-INDEX(K6:K11,MATCH(E164,J6:J11,1)))/(INDEX(J6:J11,MATCH(E164,J6:J11,1)+1)-INDEX(J6:J11,MATCH(E164,J6:J11,1))))))</f>
        <v/>
      </c>
      <c r="G164" s="289">
        <f>IF(B164="","",(C164-F164)*$B$10)</f>
        <v/>
      </c>
      <c r="H164" s="289">
        <f>IF(B164="","",MAX(0,D164+G164))</f>
        <v/>
      </c>
      <c r="I164" s="289">
        <f>IF(B164="","",$B$5+IF($B$7=0,0,H164/$B$7))</f>
        <v/>
      </c>
    </row>
    <row r="165">
      <c r="A165" s="288">
        <f>IF(B165="","",A164+1)</f>
        <v/>
      </c>
      <c r="B165" s="288">
        <f>IF(ROW()-15&lt;=$B$11,INDEX(Routing!$A:$A,ROW()-14),"")</f>
        <v/>
      </c>
      <c r="C165" s="289">
        <f>IF(B165="","",INDEX(Routing!$M:$M,ROW()-14))</f>
        <v/>
      </c>
      <c r="D165" s="289">
        <f>IF(B165="","",H164)</f>
        <v/>
      </c>
      <c r="E165" s="289">
        <f>IF(B165="","",$B$5+IF($B$7=0,0,D165/$B$7))</f>
        <v/>
      </c>
      <c r="F165" s="289">
        <f>IF(B165="","",IF(E165&lt;=J6,K6,IF(E165&gt;=J11,K11,INDEX(K6:K11,MATCH(E165,J6:J11,1))+(E165-INDEX(J6:J11,MATCH(E165,J6:J11,1)))*(INDEX(K6:K11,MATCH(E165,J6:J11,1)+1)-INDEX(K6:K11,MATCH(E165,J6:J11,1)))/(INDEX(J6:J11,MATCH(E165,J6:J11,1)+1)-INDEX(J6:J11,MATCH(E165,J6:J11,1))))))</f>
        <v/>
      </c>
      <c r="G165" s="289">
        <f>IF(B165="","",(C165-F165)*$B$10)</f>
        <v/>
      </c>
      <c r="H165" s="289">
        <f>IF(B165="","",MAX(0,D165+G165))</f>
        <v/>
      </c>
      <c r="I165" s="289">
        <f>IF(B165="","",$B$5+IF($B$7=0,0,H165/$B$7))</f>
        <v/>
      </c>
    </row>
    <row r="166">
      <c r="A166" s="288">
        <f>IF(B166="","",A165+1)</f>
        <v/>
      </c>
      <c r="B166" s="288">
        <f>IF(ROW()-15&lt;=$B$11,INDEX(Routing!$A:$A,ROW()-14),"")</f>
        <v/>
      </c>
      <c r="C166" s="289">
        <f>IF(B166="","",INDEX(Routing!$M:$M,ROW()-14))</f>
        <v/>
      </c>
      <c r="D166" s="289">
        <f>IF(B166="","",H165)</f>
        <v/>
      </c>
      <c r="E166" s="289">
        <f>IF(B166="","",$B$5+IF($B$7=0,0,D166/$B$7))</f>
        <v/>
      </c>
      <c r="F166" s="289">
        <f>IF(B166="","",IF(E166&lt;=J6,K6,IF(E166&gt;=J11,K11,INDEX(K6:K11,MATCH(E166,J6:J11,1))+(E166-INDEX(J6:J11,MATCH(E166,J6:J11,1)))*(INDEX(K6:K11,MATCH(E166,J6:J11,1)+1)-INDEX(K6:K11,MATCH(E166,J6:J11,1)))/(INDEX(J6:J11,MATCH(E166,J6:J11,1)+1)-INDEX(J6:J11,MATCH(E166,J6:J11,1))))))</f>
        <v/>
      </c>
      <c r="G166" s="289">
        <f>IF(B166="","",(C166-F166)*$B$10)</f>
        <v/>
      </c>
      <c r="H166" s="289">
        <f>IF(B166="","",MAX(0,D166+G166))</f>
        <v/>
      </c>
      <c r="I166" s="289">
        <f>IF(B166="","",$B$5+IF($B$7=0,0,H166/$B$7))</f>
        <v/>
      </c>
    </row>
    <row r="167">
      <c r="A167" s="288">
        <f>IF(B167="","",A166+1)</f>
        <v/>
      </c>
      <c r="B167" s="288">
        <f>IF(ROW()-15&lt;=$B$11,INDEX(Routing!$A:$A,ROW()-14),"")</f>
        <v/>
      </c>
      <c r="C167" s="289">
        <f>IF(B167="","",INDEX(Routing!$M:$M,ROW()-14))</f>
        <v/>
      </c>
      <c r="D167" s="289">
        <f>IF(B167="","",H166)</f>
        <v/>
      </c>
      <c r="E167" s="289">
        <f>IF(B167="","",$B$5+IF($B$7=0,0,D167/$B$7))</f>
        <v/>
      </c>
      <c r="F167" s="289">
        <f>IF(B167="","",IF(E167&lt;=J6,K6,IF(E167&gt;=J11,K11,INDEX(K6:K11,MATCH(E167,J6:J11,1))+(E167-INDEX(J6:J11,MATCH(E167,J6:J11,1)))*(INDEX(K6:K11,MATCH(E167,J6:J11,1)+1)-INDEX(K6:K11,MATCH(E167,J6:J11,1)))/(INDEX(J6:J11,MATCH(E167,J6:J11,1)+1)-INDEX(J6:J11,MATCH(E167,J6:J11,1))))))</f>
        <v/>
      </c>
      <c r="G167" s="289">
        <f>IF(B167="","",(C167-F167)*$B$10)</f>
        <v/>
      </c>
      <c r="H167" s="289">
        <f>IF(B167="","",MAX(0,D167+G167))</f>
        <v/>
      </c>
      <c r="I167" s="289">
        <f>IF(B167="","",$B$5+IF($B$7=0,0,H167/$B$7))</f>
        <v/>
      </c>
    </row>
    <row r="168">
      <c r="A168" s="288">
        <f>IF(B168="","",A167+1)</f>
        <v/>
      </c>
      <c r="B168" s="288">
        <f>IF(ROW()-15&lt;=$B$11,INDEX(Routing!$A:$A,ROW()-14),"")</f>
        <v/>
      </c>
      <c r="C168" s="289">
        <f>IF(B168="","",INDEX(Routing!$M:$M,ROW()-14))</f>
        <v/>
      </c>
      <c r="D168" s="289">
        <f>IF(B168="","",H167)</f>
        <v/>
      </c>
      <c r="E168" s="289">
        <f>IF(B168="","",$B$5+IF($B$7=0,0,D168/$B$7))</f>
        <v/>
      </c>
      <c r="F168" s="289">
        <f>IF(B168="","",IF(E168&lt;=J6,K6,IF(E168&gt;=J11,K11,INDEX(K6:K11,MATCH(E168,J6:J11,1))+(E168-INDEX(J6:J11,MATCH(E168,J6:J11,1)))*(INDEX(K6:K11,MATCH(E168,J6:J11,1)+1)-INDEX(K6:K11,MATCH(E168,J6:J11,1)))/(INDEX(J6:J11,MATCH(E168,J6:J11,1)+1)-INDEX(J6:J11,MATCH(E168,J6:J11,1))))))</f>
        <v/>
      </c>
      <c r="G168" s="289">
        <f>IF(B168="","",(C168-F168)*$B$10)</f>
        <v/>
      </c>
      <c r="H168" s="289">
        <f>IF(B168="","",MAX(0,D168+G168))</f>
        <v/>
      </c>
      <c r="I168" s="289">
        <f>IF(B168="","",$B$5+IF($B$7=0,0,H168/$B$7))</f>
        <v/>
      </c>
    </row>
    <row r="169">
      <c r="A169" s="288">
        <f>IF(B169="","",A168+1)</f>
        <v/>
      </c>
      <c r="B169" s="288">
        <f>IF(ROW()-15&lt;=$B$11,INDEX(Routing!$A:$A,ROW()-14),"")</f>
        <v/>
      </c>
      <c r="C169" s="289">
        <f>IF(B169="","",INDEX(Routing!$M:$M,ROW()-14))</f>
        <v/>
      </c>
      <c r="D169" s="289">
        <f>IF(B169="","",H168)</f>
        <v/>
      </c>
      <c r="E169" s="289">
        <f>IF(B169="","",$B$5+IF($B$7=0,0,D169/$B$7))</f>
        <v/>
      </c>
      <c r="F169" s="289">
        <f>IF(B169="","",IF(E169&lt;=J6,K6,IF(E169&gt;=J11,K11,INDEX(K6:K11,MATCH(E169,J6:J11,1))+(E169-INDEX(J6:J11,MATCH(E169,J6:J11,1)))*(INDEX(K6:K11,MATCH(E169,J6:J11,1)+1)-INDEX(K6:K11,MATCH(E169,J6:J11,1)))/(INDEX(J6:J11,MATCH(E169,J6:J11,1)+1)-INDEX(J6:J11,MATCH(E169,J6:J11,1))))))</f>
        <v/>
      </c>
      <c r="G169" s="289">
        <f>IF(B169="","",(C169-F169)*$B$10)</f>
        <v/>
      </c>
      <c r="H169" s="289">
        <f>IF(B169="","",MAX(0,D169+G169))</f>
        <v/>
      </c>
      <c r="I169" s="289">
        <f>IF(B169="","",$B$5+IF($B$7=0,0,H169/$B$7))</f>
        <v/>
      </c>
    </row>
    <row r="170">
      <c r="A170" s="288">
        <f>IF(B170="","",A169+1)</f>
        <v/>
      </c>
      <c r="B170" s="288">
        <f>IF(ROW()-15&lt;=$B$11,INDEX(Routing!$A:$A,ROW()-14),"")</f>
        <v/>
      </c>
      <c r="C170" s="289">
        <f>IF(B170="","",INDEX(Routing!$M:$M,ROW()-14))</f>
        <v/>
      </c>
      <c r="D170" s="289">
        <f>IF(B170="","",H169)</f>
        <v/>
      </c>
      <c r="E170" s="289">
        <f>IF(B170="","",$B$5+IF($B$7=0,0,D170/$B$7))</f>
        <v/>
      </c>
      <c r="F170" s="289">
        <f>IF(B170="","",IF(E170&lt;=J6,K6,IF(E170&gt;=J11,K11,INDEX(K6:K11,MATCH(E170,J6:J11,1))+(E170-INDEX(J6:J11,MATCH(E170,J6:J11,1)))*(INDEX(K6:K11,MATCH(E170,J6:J11,1)+1)-INDEX(K6:K11,MATCH(E170,J6:J11,1)))/(INDEX(J6:J11,MATCH(E170,J6:J11,1)+1)-INDEX(J6:J11,MATCH(E170,J6:J11,1))))))</f>
        <v/>
      </c>
      <c r="G170" s="289">
        <f>IF(B170="","",(C170-F170)*$B$10)</f>
        <v/>
      </c>
      <c r="H170" s="289">
        <f>IF(B170="","",MAX(0,D170+G170))</f>
        <v/>
      </c>
      <c r="I170" s="289">
        <f>IF(B170="","",$B$5+IF($B$7=0,0,H170/$B$7))</f>
        <v/>
      </c>
    </row>
    <row r="171">
      <c r="A171" s="288">
        <f>IF(B171="","",A170+1)</f>
        <v/>
      </c>
      <c r="B171" s="288">
        <f>IF(ROW()-15&lt;=$B$11,INDEX(Routing!$A:$A,ROW()-14),"")</f>
        <v/>
      </c>
      <c r="C171" s="289">
        <f>IF(B171="","",INDEX(Routing!$M:$M,ROW()-14))</f>
        <v/>
      </c>
      <c r="D171" s="289">
        <f>IF(B171="","",H170)</f>
        <v/>
      </c>
      <c r="E171" s="289">
        <f>IF(B171="","",$B$5+IF($B$7=0,0,D171/$B$7))</f>
        <v/>
      </c>
      <c r="F171" s="289">
        <f>IF(B171="","",IF(E171&lt;=J6,K6,IF(E171&gt;=J11,K11,INDEX(K6:K11,MATCH(E171,J6:J11,1))+(E171-INDEX(J6:J11,MATCH(E171,J6:J11,1)))*(INDEX(K6:K11,MATCH(E171,J6:J11,1)+1)-INDEX(K6:K11,MATCH(E171,J6:J11,1)))/(INDEX(J6:J11,MATCH(E171,J6:J11,1)+1)-INDEX(J6:J11,MATCH(E171,J6:J11,1))))))</f>
        <v/>
      </c>
      <c r="G171" s="289">
        <f>IF(B171="","",(C171-F171)*$B$10)</f>
        <v/>
      </c>
      <c r="H171" s="289">
        <f>IF(B171="","",MAX(0,D171+G171))</f>
        <v/>
      </c>
      <c r="I171" s="289">
        <f>IF(B171="","",$B$5+IF($B$7=0,0,H171/$B$7))</f>
        <v/>
      </c>
    </row>
    <row r="172">
      <c r="A172" s="288">
        <f>IF(B172="","",A171+1)</f>
        <v/>
      </c>
      <c r="B172" s="288">
        <f>IF(ROW()-15&lt;=$B$11,INDEX(Routing!$A:$A,ROW()-14),"")</f>
        <v/>
      </c>
      <c r="C172" s="289">
        <f>IF(B172="","",INDEX(Routing!$M:$M,ROW()-14))</f>
        <v/>
      </c>
      <c r="D172" s="289">
        <f>IF(B172="","",H171)</f>
        <v/>
      </c>
      <c r="E172" s="289">
        <f>IF(B172="","",$B$5+IF($B$7=0,0,D172/$B$7))</f>
        <v/>
      </c>
      <c r="F172" s="289">
        <f>IF(B172="","",IF(E172&lt;=J6,K6,IF(E172&gt;=J11,K11,INDEX(K6:K11,MATCH(E172,J6:J11,1))+(E172-INDEX(J6:J11,MATCH(E172,J6:J11,1)))*(INDEX(K6:K11,MATCH(E172,J6:J11,1)+1)-INDEX(K6:K11,MATCH(E172,J6:J11,1)))/(INDEX(J6:J11,MATCH(E172,J6:J11,1)+1)-INDEX(J6:J11,MATCH(E172,J6:J11,1))))))</f>
        <v/>
      </c>
      <c r="G172" s="289">
        <f>IF(B172="","",(C172-F172)*$B$10)</f>
        <v/>
      </c>
      <c r="H172" s="289">
        <f>IF(B172="","",MAX(0,D172+G172))</f>
        <v/>
      </c>
      <c r="I172" s="289">
        <f>IF(B172="","",$B$5+IF($B$7=0,0,H172/$B$7))</f>
        <v/>
      </c>
    </row>
    <row r="173">
      <c r="A173" s="288">
        <f>IF(B173="","",A172+1)</f>
        <v/>
      </c>
      <c r="B173" s="288">
        <f>IF(ROW()-15&lt;=$B$11,INDEX(Routing!$A:$A,ROW()-14),"")</f>
        <v/>
      </c>
      <c r="C173" s="289">
        <f>IF(B173="","",INDEX(Routing!$M:$M,ROW()-14))</f>
        <v/>
      </c>
      <c r="D173" s="289">
        <f>IF(B173="","",H172)</f>
        <v/>
      </c>
      <c r="E173" s="289">
        <f>IF(B173="","",$B$5+IF($B$7=0,0,D173/$B$7))</f>
        <v/>
      </c>
      <c r="F173" s="289">
        <f>IF(B173="","",IF(E173&lt;=J6,K6,IF(E173&gt;=J11,K11,INDEX(K6:K11,MATCH(E173,J6:J11,1))+(E173-INDEX(J6:J11,MATCH(E173,J6:J11,1)))*(INDEX(K6:K11,MATCH(E173,J6:J11,1)+1)-INDEX(K6:K11,MATCH(E173,J6:J11,1)))/(INDEX(J6:J11,MATCH(E173,J6:J11,1)+1)-INDEX(J6:J11,MATCH(E173,J6:J11,1))))))</f>
        <v/>
      </c>
      <c r="G173" s="289">
        <f>IF(B173="","",(C173-F173)*$B$10)</f>
        <v/>
      </c>
      <c r="H173" s="289">
        <f>IF(B173="","",MAX(0,D173+G173))</f>
        <v/>
      </c>
      <c r="I173" s="289">
        <f>IF(B173="","",$B$5+IF($B$7=0,0,H173/$B$7))</f>
        <v/>
      </c>
    </row>
    <row r="174">
      <c r="A174" s="288">
        <f>IF(B174="","",A173+1)</f>
        <v/>
      </c>
      <c r="B174" s="288">
        <f>IF(ROW()-15&lt;=$B$11,INDEX(Routing!$A:$A,ROW()-14),"")</f>
        <v/>
      </c>
      <c r="C174" s="289">
        <f>IF(B174="","",INDEX(Routing!$M:$M,ROW()-14))</f>
        <v/>
      </c>
      <c r="D174" s="289">
        <f>IF(B174="","",H173)</f>
        <v/>
      </c>
      <c r="E174" s="289">
        <f>IF(B174="","",$B$5+IF($B$7=0,0,D174/$B$7))</f>
        <v/>
      </c>
      <c r="F174" s="289">
        <f>IF(B174="","",IF(E174&lt;=J6,K6,IF(E174&gt;=J11,K11,INDEX(K6:K11,MATCH(E174,J6:J11,1))+(E174-INDEX(J6:J11,MATCH(E174,J6:J11,1)))*(INDEX(K6:K11,MATCH(E174,J6:J11,1)+1)-INDEX(K6:K11,MATCH(E174,J6:J11,1)))/(INDEX(J6:J11,MATCH(E174,J6:J11,1)+1)-INDEX(J6:J11,MATCH(E174,J6:J11,1))))))</f>
        <v/>
      </c>
      <c r="G174" s="289">
        <f>IF(B174="","",(C174-F174)*$B$10)</f>
        <v/>
      </c>
      <c r="H174" s="289">
        <f>IF(B174="","",MAX(0,D174+G174))</f>
        <v/>
      </c>
      <c r="I174" s="289">
        <f>IF(B174="","",$B$5+IF($B$7=0,0,H174/$B$7))</f>
        <v/>
      </c>
    </row>
    <row r="175">
      <c r="A175" s="288">
        <f>IF(B175="","",A174+1)</f>
        <v/>
      </c>
      <c r="B175" s="288">
        <f>IF(ROW()-15&lt;=$B$11,INDEX(Routing!$A:$A,ROW()-14),"")</f>
        <v/>
      </c>
      <c r="C175" s="289">
        <f>IF(B175="","",INDEX(Routing!$M:$M,ROW()-14))</f>
        <v/>
      </c>
      <c r="D175" s="289">
        <f>IF(B175="","",H174)</f>
        <v/>
      </c>
      <c r="E175" s="289">
        <f>IF(B175="","",$B$5+IF($B$7=0,0,D175/$B$7))</f>
        <v/>
      </c>
      <c r="F175" s="289">
        <f>IF(B175="","",IF(E175&lt;=J6,K6,IF(E175&gt;=J11,K11,INDEX(K6:K11,MATCH(E175,J6:J11,1))+(E175-INDEX(J6:J11,MATCH(E175,J6:J11,1)))*(INDEX(K6:K11,MATCH(E175,J6:J11,1)+1)-INDEX(K6:K11,MATCH(E175,J6:J11,1)))/(INDEX(J6:J11,MATCH(E175,J6:J11,1)+1)-INDEX(J6:J11,MATCH(E175,J6:J11,1))))))</f>
        <v/>
      </c>
      <c r="G175" s="289">
        <f>IF(B175="","",(C175-F175)*$B$10)</f>
        <v/>
      </c>
      <c r="H175" s="289">
        <f>IF(B175="","",MAX(0,D175+G175))</f>
        <v/>
      </c>
      <c r="I175" s="289">
        <f>IF(B175="","",$B$5+IF($B$7=0,0,H175/$B$7))</f>
        <v/>
      </c>
    </row>
    <row r="176">
      <c r="A176" s="288">
        <f>IF(B176="","",A175+1)</f>
        <v/>
      </c>
      <c r="B176" s="288">
        <f>IF(ROW()-15&lt;=$B$11,INDEX(Routing!$A:$A,ROW()-14),"")</f>
        <v/>
      </c>
      <c r="C176" s="289">
        <f>IF(B176="","",INDEX(Routing!$M:$M,ROW()-14))</f>
        <v/>
      </c>
      <c r="D176" s="289">
        <f>IF(B176="","",H175)</f>
        <v/>
      </c>
      <c r="E176" s="289">
        <f>IF(B176="","",$B$5+IF($B$7=0,0,D176/$B$7))</f>
        <v/>
      </c>
      <c r="F176" s="289">
        <f>IF(B176="","",IF(E176&lt;=J6,K6,IF(E176&gt;=J11,K11,INDEX(K6:K11,MATCH(E176,J6:J11,1))+(E176-INDEX(J6:J11,MATCH(E176,J6:J11,1)))*(INDEX(K6:K11,MATCH(E176,J6:J11,1)+1)-INDEX(K6:K11,MATCH(E176,J6:J11,1)))/(INDEX(J6:J11,MATCH(E176,J6:J11,1)+1)-INDEX(J6:J11,MATCH(E176,J6:J11,1))))))</f>
        <v/>
      </c>
      <c r="G176" s="289">
        <f>IF(B176="","",(C176-F176)*$B$10)</f>
        <v/>
      </c>
      <c r="H176" s="289">
        <f>IF(B176="","",MAX(0,D176+G176))</f>
        <v/>
      </c>
      <c r="I176" s="289">
        <f>IF(B176="","",$B$5+IF($B$7=0,0,H176/$B$7))</f>
        <v/>
      </c>
    </row>
    <row r="177">
      <c r="A177" s="288">
        <f>IF(B177="","",A176+1)</f>
        <v/>
      </c>
      <c r="B177" s="288">
        <f>IF(ROW()-15&lt;=$B$11,INDEX(Routing!$A:$A,ROW()-14),"")</f>
        <v/>
      </c>
      <c r="C177" s="289">
        <f>IF(B177="","",INDEX(Routing!$M:$M,ROW()-14))</f>
        <v/>
      </c>
      <c r="D177" s="289">
        <f>IF(B177="","",H176)</f>
        <v/>
      </c>
      <c r="E177" s="289">
        <f>IF(B177="","",$B$5+IF($B$7=0,0,D177/$B$7))</f>
        <v/>
      </c>
      <c r="F177" s="289">
        <f>IF(B177="","",IF(E177&lt;=J6,K6,IF(E177&gt;=J11,K11,INDEX(K6:K11,MATCH(E177,J6:J11,1))+(E177-INDEX(J6:J11,MATCH(E177,J6:J11,1)))*(INDEX(K6:K11,MATCH(E177,J6:J11,1)+1)-INDEX(K6:K11,MATCH(E177,J6:J11,1)))/(INDEX(J6:J11,MATCH(E177,J6:J11,1)+1)-INDEX(J6:J11,MATCH(E177,J6:J11,1))))))</f>
        <v/>
      </c>
      <c r="G177" s="289">
        <f>IF(B177="","",(C177-F177)*$B$10)</f>
        <v/>
      </c>
      <c r="H177" s="289">
        <f>IF(B177="","",MAX(0,D177+G177))</f>
        <v/>
      </c>
      <c r="I177" s="289">
        <f>IF(B177="","",$B$5+IF($B$7=0,0,H177/$B$7))</f>
        <v/>
      </c>
    </row>
    <row r="178">
      <c r="A178" s="288">
        <f>IF(B178="","",A177+1)</f>
        <v/>
      </c>
      <c r="B178" s="288">
        <f>IF(ROW()-15&lt;=$B$11,INDEX(Routing!$A:$A,ROW()-14),"")</f>
        <v/>
      </c>
      <c r="C178" s="289">
        <f>IF(B178="","",INDEX(Routing!$M:$M,ROW()-14))</f>
        <v/>
      </c>
      <c r="D178" s="289">
        <f>IF(B178="","",H177)</f>
        <v/>
      </c>
      <c r="E178" s="289">
        <f>IF(B178="","",$B$5+IF($B$7=0,0,D178/$B$7))</f>
        <v/>
      </c>
      <c r="F178" s="289">
        <f>IF(B178="","",IF(E178&lt;=J6,K6,IF(E178&gt;=J11,K11,INDEX(K6:K11,MATCH(E178,J6:J11,1))+(E178-INDEX(J6:J11,MATCH(E178,J6:J11,1)))*(INDEX(K6:K11,MATCH(E178,J6:J11,1)+1)-INDEX(K6:K11,MATCH(E178,J6:J11,1)))/(INDEX(J6:J11,MATCH(E178,J6:J11,1)+1)-INDEX(J6:J11,MATCH(E178,J6:J11,1))))))</f>
        <v/>
      </c>
      <c r="G178" s="289">
        <f>IF(B178="","",(C178-F178)*$B$10)</f>
        <v/>
      </c>
      <c r="H178" s="289">
        <f>IF(B178="","",MAX(0,D178+G178))</f>
        <v/>
      </c>
      <c r="I178" s="289">
        <f>IF(B178="","",$B$5+IF($B$7=0,0,H178/$B$7))</f>
        <v/>
      </c>
    </row>
    <row r="179">
      <c r="A179" s="288">
        <f>IF(B179="","",A178+1)</f>
        <v/>
      </c>
      <c r="B179" s="288">
        <f>IF(ROW()-15&lt;=$B$11,INDEX(Routing!$A:$A,ROW()-14),"")</f>
        <v/>
      </c>
      <c r="C179" s="289">
        <f>IF(B179="","",INDEX(Routing!$M:$M,ROW()-14))</f>
        <v/>
      </c>
      <c r="D179" s="289">
        <f>IF(B179="","",H178)</f>
        <v/>
      </c>
      <c r="E179" s="289">
        <f>IF(B179="","",$B$5+IF($B$7=0,0,D179/$B$7))</f>
        <v/>
      </c>
      <c r="F179" s="289">
        <f>IF(B179="","",IF(E179&lt;=J6,K6,IF(E179&gt;=J11,K11,INDEX(K6:K11,MATCH(E179,J6:J11,1))+(E179-INDEX(J6:J11,MATCH(E179,J6:J11,1)))*(INDEX(K6:K11,MATCH(E179,J6:J11,1)+1)-INDEX(K6:K11,MATCH(E179,J6:J11,1)))/(INDEX(J6:J11,MATCH(E179,J6:J11,1)+1)-INDEX(J6:J11,MATCH(E179,J6:J11,1))))))</f>
        <v/>
      </c>
      <c r="G179" s="289">
        <f>IF(B179="","",(C179-F179)*$B$10)</f>
        <v/>
      </c>
      <c r="H179" s="289">
        <f>IF(B179="","",MAX(0,D179+G179))</f>
        <v/>
      </c>
      <c r="I179" s="289">
        <f>IF(B179="","",$B$5+IF($B$7=0,0,H179/$B$7))</f>
        <v/>
      </c>
    </row>
    <row r="180">
      <c r="A180" s="288">
        <f>IF(B180="","",A179+1)</f>
        <v/>
      </c>
      <c r="B180" s="288">
        <f>IF(ROW()-15&lt;=$B$11,INDEX(Routing!$A:$A,ROW()-14),"")</f>
        <v/>
      </c>
      <c r="C180" s="289">
        <f>IF(B180="","",INDEX(Routing!$M:$M,ROW()-14))</f>
        <v/>
      </c>
      <c r="D180" s="289">
        <f>IF(B180="","",H179)</f>
        <v/>
      </c>
      <c r="E180" s="289">
        <f>IF(B180="","",$B$5+IF($B$7=0,0,D180/$B$7))</f>
        <v/>
      </c>
      <c r="F180" s="289">
        <f>IF(B180="","",IF(E180&lt;=J6,K6,IF(E180&gt;=J11,K11,INDEX(K6:K11,MATCH(E180,J6:J11,1))+(E180-INDEX(J6:J11,MATCH(E180,J6:J11,1)))*(INDEX(K6:K11,MATCH(E180,J6:J11,1)+1)-INDEX(K6:K11,MATCH(E180,J6:J11,1)))/(INDEX(J6:J11,MATCH(E180,J6:J11,1)+1)-INDEX(J6:J11,MATCH(E180,J6:J11,1))))))</f>
        <v/>
      </c>
      <c r="G180" s="289">
        <f>IF(B180="","",(C180-F180)*$B$10)</f>
        <v/>
      </c>
      <c r="H180" s="289">
        <f>IF(B180="","",MAX(0,D180+G180))</f>
        <v/>
      </c>
      <c r="I180" s="289">
        <f>IF(B180="","",$B$5+IF($B$7=0,0,H180/$B$7))</f>
        <v/>
      </c>
    </row>
    <row r="181">
      <c r="A181" s="288">
        <f>IF(B181="","",A180+1)</f>
        <v/>
      </c>
      <c r="B181" s="288">
        <f>IF(ROW()-15&lt;=$B$11,INDEX(Routing!$A:$A,ROW()-14),"")</f>
        <v/>
      </c>
      <c r="C181" s="289">
        <f>IF(B181="","",INDEX(Routing!$M:$M,ROW()-14))</f>
        <v/>
      </c>
      <c r="D181" s="289">
        <f>IF(B181="","",H180)</f>
        <v/>
      </c>
      <c r="E181" s="289">
        <f>IF(B181="","",$B$5+IF($B$7=0,0,D181/$B$7))</f>
        <v/>
      </c>
      <c r="F181" s="289">
        <f>IF(B181="","",IF(E181&lt;=J6,K6,IF(E181&gt;=J11,K11,INDEX(K6:K11,MATCH(E181,J6:J11,1))+(E181-INDEX(J6:J11,MATCH(E181,J6:J11,1)))*(INDEX(K6:K11,MATCH(E181,J6:J11,1)+1)-INDEX(K6:K11,MATCH(E181,J6:J11,1)))/(INDEX(J6:J11,MATCH(E181,J6:J11,1)+1)-INDEX(J6:J11,MATCH(E181,J6:J11,1))))))</f>
        <v/>
      </c>
      <c r="G181" s="289">
        <f>IF(B181="","",(C181-F181)*$B$10)</f>
        <v/>
      </c>
      <c r="H181" s="289">
        <f>IF(B181="","",MAX(0,D181+G181))</f>
        <v/>
      </c>
      <c r="I181" s="289">
        <f>IF(B181="","",$B$5+IF($B$7=0,0,H181/$B$7))</f>
        <v/>
      </c>
    </row>
    <row r="182">
      <c r="A182" s="288">
        <f>IF(B182="","",A181+1)</f>
        <v/>
      </c>
      <c r="B182" s="288">
        <f>IF(ROW()-15&lt;=$B$11,INDEX(Routing!$A:$A,ROW()-14),"")</f>
        <v/>
      </c>
      <c r="C182" s="289">
        <f>IF(B182="","",INDEX(Routing!$M:$M,ROW()-14))</f>
        <v/>
      </c>
      <c r="D182" s="289">
        <f>IF(B182="","",H181)</f>
        <v/>
      </c>
      <c r="E182" s="289">
        <f>IF(B182="","",$B$5+IF($B$7=0,0,D182/$B$7))</f>
        <v/>
      </c>
      <c r="F182" s="289">
        <f>IF(B182="","",IF(E182&lt;=J6,K6,IF(E182&gt;=J11,K11,INDEX(K6:K11,MATCH(E182,J6:J11,1))+(E182-INDEX(J6:J11,MATCH(E182,J6:J11,1)))*(INDEX(K6:K11,MATCH(E182,J6:J11,1)+1)-INDEX(K6:K11,MATCH(E182,J6:J11,1)))/(INDEX(J6:J11,MATCH(E182,J6:J11,1)+1)-INDEX(J6:J11,MATCH(E182,J6:J11,1))))))</f>
        <v/>
      </c>
      <c r="G182" s="289">
        <f>IF(B182="","",(C182-F182)*$B$10)</f>
        <v/>
      </c>
      <c r="H182" s="289">
        <f>IF(B182="","",MAX(0,D182+G182))</f>
        <v/>
      </c>
      <c r="I182" s="289">
        <f>IF(B182="","",$B$5+IF($B$7=0,0,H182/$B$7))</f>
        <v/>
      </c>
    </row>
    <row r="183">
      <c r="A183" s="288">
        <f>IF(B183="","",A182+1)</f>
        <v/>
      </c>
      <c r="B183" s="288">
        <f>IF(ROW()-15&lt;=$B$11,INDEX(Routing!$A:$A,ROW()-14),"")</f>
        <v/>
      </c>
      <c r="C183" s="289">
        <f>IF(B183="","",INDEX(Routing!$M:$M,ROW()-14))</f>
        <v/>
      </c>
      <c r="D183" s="289">
        <f>IF(B183="","",H182)</f>
        <v/>
      </c>
      <c r="E183" s="289">
        <f>IF(B183="","",$B$5+IF($B$7=0,0,D183/$B$7))</f>
        <v/>
      </c>
      <c r="F183" s="289">
        <f>IF(B183="","",IF(E183&lt;=J6,K6,IF(E183&gt;=J11,K11,INDEX(K6:K11,MATCH(E183,J6:J11,1))+(E183-INDEX(J6:J11,MATCH(E183,J6:J11,1)))*(INDEX(K6:K11,MATCH(E183,J6:J11,1)+1)-INDEX(K6:K11,MATCH(E183,J6:J11,1)))/(INDEX(J6:J11,MATCH(E183,J6:J11,1)+1)-INDEX(J6:J11,MATCH(E183,J6:J11,1))))))</f>
        <v/>
      </c>
      <c r="G183" s="289">
        <f>IF(B183="","",(C183-F183)*$B$10)</f>
        <v/>
      </c>
      <c r="H183" s="289">
        <f>IF(B183="","",MAX(0,D183+G183))</f>
        <v/>
      </c>
      <c r="I183" s="289">
        <f>IF(B183="","",$B$5+IF($B$7=0,0,H183/$B$7))</f>
        <v/>
      </c>
    </row>
    <row r="184">
      <c r="A184" s="288">
        <f>IF(B184="","",A183+1)</f>
        <v/>
      </c>
      <c r="B184" s="288">
        <f>IF(ROW()-15&lt;=$B$11,INDEX(Routing!$A:$A,ROW()-14),"")</f>
        <v/>
      </c>
      <c r="C184" s="289">
        <f>IF(B184="","",INDEX(Routing!$M:$M,ROW()-14))</f>
        <v/>
      </c>
      <c r="D184" s="289">
        <f>IF(B184="","",H183)</f>
        <v/>
      </c>
      <c r="E184" s="289">
        <f>IF(B184="","",$B$5+IF($B$7=0,0,D184/$B$7))</f>
        <v/>
      </c>
      <c r="F184" s="289">
        <f>IF(B184="","",IF(E184&lt;=J6,K6,IF(E184&gt;=J11,K11,INDEX(K6:K11,MATCH(E184,J6:J11,1))+(E184-INDEX(J6:J11,MATCH(E184,J6:J11,1)))*(INDEX(K6:K11,MATCH(E184,J6:J11,1)+1)-INDEX(K6:K11,MATCH(E184,J6:J11,1)))/(INDEX(J6:J11,MATCH(E184,J6:J11,1)+1)-INDEX(J6:J11,MATCH(E184,J6:J11,1))))))</f>
        <v/>
      </c>
      <c r="G184" s="289">
        <f>IF(B184="","",(C184-F184)*$B$10)</f>
        <v/>
      </c>
      <c r="H184" s="289">
        <f>IF(B184="","",MAX(0,D184+G184))</f>
        <v/>
      </c>
      <c r="I184" s="289">
        <f>IF(B184="","",$B$5+IF($B$7=0,0,H184/$B$7))</f>
        <v/>
      </c>
    </row>
    <row r="185">
      <c r="A185" s="288">
        <f>IF(B185="","",A184+1)</f>
        <v/>
      </c>
      <c r="B185" s="288">
        <f>IF(ROW()-15&lt;=$B$11,INDEX(Routing!$A:$A,ROW()-14),"")</f>
        <v/>
      </c>
      <c r="C185" s="289">
        <f>IF(B185="","",INDEX(Routing!$M:$M,ROW()-14))</f>
        <v/>
      </c>
      <c r="D185" s="289">
        <f>IF(B185="","",H184)</f>
        <v/>
      </c>
      <c r="E185" s="289">
        <f>IF(B185="","",$B$5+IF($B$7=0,0,D185/$B$7))</f>
        <v/>
      </c>
      <c r="F185" s="289">
        <f>IF(B185="","",IF(E185&lt;=J6,K6,IF(E185&gt;=J11,K11,INDEX(K6:K11,MATCH(E185,J6:J11,1))+(E185-INDEX(J6:J11,MATCH(E185,J6:J11,1)))*(INDEX(K6:K11,MATCH(E185,J6:J11,1)+1)-INDEX(K6:K11,MATCH(E185,J6:J11,1)))/(INDEX(J6:J11,MATCH(E185,J6:J11,1)+1)-INDEX(J6:J11,MATCH(E185,J6:J11,1))))))</f>
        <v/>
      </c>
      <c r="G185" s="289">
        <f>IF(B185="","",(C185-F185)*$B$10)</f>
        <v/>
      </c>
      <c r="H185" s="289">
        <f>IF(B185="","",MAX(0,D185+G185))</f>
        <v/>
      </c>
      <c r="I185" s="289">
        <f>IF(B185="","",$B$5+IF($B$7=0,0,H185/$B$7))</f>
        <v/>
      </c>
    </row>
    <row r="186">
      <c r="A186" s="288">
        <f>IF(B186="","",A185+1)</f>
        <v/>
      </c>
      <c r="B186" s="288">
        <f>IF(ROW()-15&lt;=$B$11,INDEX(Routing!$A:$A,ROW()-14),"")</f>
        <v/>
      </c>
      <c r="C186" s="289">
        <f>IF(B186="","",INDEX(Routing!$M:$M,ROW()-14))</f>
        <v/>
      </c>
      <c r="D186" s="289">
        <f>IF(B186="","",H185)</f>
        <v/>
      </c>
      <c r="E186" s="289">
        <f>IF(B186="","",$B$5+IF($B$7=0,0,D186/$B$7))</f>
        <v/>
      </c>
      <c r="F186" s="289">
        <f>IF(B186="","",IF(E186&lt;=J6,K6,IF(E186&gt;=J11,K11,INDEX(K6:K11,MATCH(E186,J6:J11,1))+(E186-INDEX(J6:J11,MATCH(E186,J6:J11,1)))*(INDEX(K6:K11,MATCH(E186,J6:J11,1)+1)-INDEX(K6:K11,MATCH(E186,J6:J11,1)))/(INDEX(J6:J11,MATCH(E186,J6:J11,1)+1)-INDEX(J6:J11,MATCH(E186,J6:J11,1))))))</f>
        <v/>
      </c>
      <c r="G186" s="289">
        <f>IF(B186="","",(C186-F186)*$B$10)</f>
        <v/>
      </c>
      <c r="H186" s="289">
        <f>IF(B186="","",MAX(0,D186+G186))</f>
        <v/>
      </c>
      <c r="I186" s="289">
        <f>IF(B186="","",$B$5+IF($B$7=0,0,H186/$B$7))</f>
        <v/>
      </c>
    </row>
    <row r="187">
      <c r="A187" s="288">
        <f>IF(B187="","",A186+1)</f>
        <v/>
      </c>
      <c r="B187" s="288">
        <f>IF(ROW()-15&lt;=$B$11,INDEX(Routing!$A:$A,ROW()-14),"")</f>
        <v/>
      </c>
      <c r="C187" s="289">
        <f>IF(B187="","",INDEX(Routing!$M:$M,ROW()-14))</f>
        <v/>
      </c>
      <c r="D187" s="289">
        <f>IF(B187="","",H186)</f>
        <v/>
      </c>
      <c r="E187" s="289">
        <f>IF(B187="","",$B$5+IF($B$7=0,0,D187/$B$7))</f>
        <v/>
      </c>
      <c r="F187" s="289">
        <f>IF(B187="","",IF(E187&lt;=J6,K6,IF(E187&gt;=J11,K11,INDEX(K6:K11,MATCH(E187,J6:J11,1))+(E187-INDEX(J6:J11,MATCH(E187,J6:J11,1)))*(INDEX(K6:K11,MATCH(E187,J6:J11,1)+1)-INDEX(K6:K11,MATCH(E187,J6:J11,1)))/(INDEX(J6:J11,MATCH(E187,J6:J11,1)+1)-INDEX(J6:J11,MATCH(E187,J6:J11,1))))))</f>
        <v/>
      </c>
      <c r="G187" s="289">
        <f>IF(B187="","",(C187-F187)*$B$10)</f>
        <v/>
      </c>
      <c r="H187" s="289">
        <f>IF(B187="","",MAX(0,D187+G187))</f>
        <v/>
      </c>
      <c r="I187" s="289">
        <f>IF(B187="","",$B$5+IF($B$7=0,0,H187/$B$7))</f>
        <v/>
      </c>
    </row>
    <row r="188">
      <c r="A188" s="288">
        <f>IF(B188="","",A187+1)</f>
        <v/>
      </c>
      <c r="B188" s="288">
        <f>IF(ROW()-15&lt;=$B$11,INDEX(Routing!$A:$A,ROW()-14),"")</f>
        <v/>
      </c>
      <c r="C188" s="289">
        <f>IF(B188="","",INDEX(Routing!$M:$M,ROW()-14))</f>
        <v/>
      </c>
      <c r="D188" s="289">
        <f>IF(B188="","",H187)</f>
        <v/>
      </c>
      <c r="E188" s="289">
        <f>IF(B188="","",$B$5+IF($B$7=0,0,D188/$B$7))</f>
        <v/>
      </c>
      <c r="F188" s="289">
        <f>IF(B188="","",IF(E188&lt;=J6,K6,IF(E188&gt;=J11,K11,INDEX(K6:K11,MATCH(E188,J6:J11,1))+(E188-INDEX(J6:J11,MATCH(E188,J6:J11,1)))*(INDEX(K6:K11,MATCH(E188,J6:J11,1)+1)-INDEX(K6:K11,MATCH(E188,J6:J11,1)))/(INDEX(J6:J11,MATCH(E188,J6:J11,1)+1)-INDEX(J6:J11,MATCH(E188,J6:J11,1))))))</f>
        <v/>
      </c>
      <c r="G188" s="289">
        <f>IF(B188="","",(C188-F188)*$B$10)</f>
        <v/>
      </c>
      <c r="H188" s="289">
        <f>IF(B188="","",MAX(0,D188+G188))</f>
        <v/>
      </c>
      <c r="I188" s="289">
        <f>IF(B188="","",$B$5+IF($B$7=0,0,H188/$B$7))</f>
        <v/>
      </c>
    </row>
    <row r="189">
      <c r="A189" s="288">
        <f>IF(B189="","",A188+1)</f>
        <v/>
      </c>
      <c r="B189" s="288">
        <f>IF(ROW()-15&lt;=$B$11,INDEX(Routing!$A:$A,ROW()-14),"")</f>
        <v/>
      </c>
      <c r="C189" s="289">
        <f>IF(B189="","",INDEX(Routing!$M:$M,ROW()-14))</f>
        <v/>
      </c>
      <c r="D189" s="289">
        <f>IF(B189="","",H188)</f>
        <v/>
      </c>
      <c r="E189" s="289">
        <f>IF(B189="","",$B$5+IF($B$7=0,0,D189/$B$7))</f>
        <v/>
      </c>
      <c r="F189" s="289">
        <f>IF(B189="","",IF(E189&lt;=J6,K6,IF(E189&gt;=J11,K11,INDEX(K6:K11,MATCH(E189,J6:J11,1))+(E189-INDEX(J6:J11,MATCH(E189,J6:J11,1)))*(INDEX(K6:K11,MATCH(E189,J6:J11,1)+1)-INDEX(K6:K11,MATCH(E189,J6:J11,1)))/(INDEX(J6:J11,MATCH(E189,J6:J11,1)+1)-INDEX(J6:J11,MATCH(E189,J6:J11,1))))))</f>
        <v/>
      </c>
      <c r="G189" s="289">
        <f>IF(B189="","",(C189-F189)*$B$10)</f>
        <v/>
      </c>
      <c r="H189" s="289">
        <f>IF(B189="","",MAX(0,D189+G189))</f>
        <v/>
      </c>
      <c r="I189" s="289">
        <f>IF(B189="","",$B$5+IF($B$7=0,0,H189/$B$7))</f>
        <v/>
      </c>
    </row>
    <row r="190">
      <c r="A190" s="288">
        <f>IF(B190="","",A189+1)</f>
        <v/>
      </c>
      <c r="B190" s="288">
        <f>IF(ROW()-15&lt;=$B$11,INDEX(Routing!$A:$A,ROW()-14),"")</f>
        <v/>
      </c>
      <c r="C190" s="289">
        <f>IF(B190="","",INDEX(Routing!$M:$M,ROW()-14))</f>
        <v/>
      </c>
      <c r="D190" s="289">
        <f>IF(B190="","",H189)</f>
        <v/>
      </c>
      <c r="E190" s="289">
        <f>IF(B190="","",$B$5+IF($B$7=0,0,D190/$B$7))</f>
        <v/>
      </c>
      <c r="F190" s="289">
        <f>IF(B190="","",IF(E190&lt;=J6,K6,IF(E190&gt;=J11,K11,INDEX(K6:K11,MATCH(E190,J6:J11,1))+(E190-INDEX(J6:J11,MATCH(E190,J6:J11,1)))*(INDEX(K6:K11,MATCH(E190,J6:J11,1)+1)-INDEX(K6:K11,MATCH(E190,J6:J11,1)))/(INDEX(J6:J11,MATCH(E190,J6:J11,1)+1)-INDEX(J6:J11,MATCH(E190,J6:J11,1))))))</f>
        <v/>
      </c>
      <c r="G190" s="289">
        <f>IF(B190="","",(C190-F190)*$B$10)</f>
        <v/>
      </c>
      <c r="H190" s="289">
        <f>IF(B190="","",MAX(0,D190+G190))</f>
        <v/>
      </c>
      <c r="I190" s="289">
        <f>IF(B190="","",$B$5+IF($B$7=0,0,H190/$B$7))</f>
        <v/>
      </c>
    </row>
    <row r="191">
      <c r="A191" s="288">
        <f>IF(B191="","",A190+1)</f>
        <v/>
      </c>
      <c r="B191" s="288">
        <f>IF(ROW()-15&lt;=$B$11,INDEX(Routing!$A:$A,ROW()-14),"")</f>
        <v/>
      </c>
      <c r="C191" s="289">
        <f>IF(B191="","",INDEX(Routing!$M:$M,ROW()-14))</f>
        <v/>
      </c>
      <c r="D191" s="289">
        <f>IF(B191="","",H190)</f>
        <v/>
      </c>
      <c r="E191" s="289">
        <f>IF(B191="","",$B$5+IF($B$7=0,0,D191/$B$7))</f>
        <v/>
      </c>
      <c r="F191" s="289">
        <f>IF(B191="","",IF(E191&lt;=J6,K6,IF(E191&gt;=J11,K11,INDEX(K6:K11,MATCH(E191,J6:J11,1))+(E191-INDEX(J6:J11,MATCH(E191,J6:J11,1)))*(INDEX(K6:K11,MATCH(E191,J6:J11,1)+1)-INDEX(K6:K11,MATCH(E191,J6:J11,1)))/(INDEX(J6:J11,MATCH(E191,J6:J11,1)+1)-INDEX(J6:J11,MATCH(E191,J6:J11,1))))))</f>
        <v/>
      </c>
      <c r="G191" s="289">
        <f>IF(B191="","",(C191-F191)*$B$10)</f>
        <v/>
      </c>
      <c r="H191" s="289">
        <f>IF(B191="","",MAX(0,D191+G191))</f>
        <v/>
      </c>
      <c r="I191" s="289">
        <f>IF(B191="","",$B$5+IF($B$7=0,0,H191/$B$7))</f>
        <v/>
      </c>
    </row>
    <row r="192">
      <c r="A192" s="288">
        <f>IF(B192="","",A191+1)</f>
        <v/>
      </c>
      <c r="B192" s="288">
        <f>IF(ROW()-15&lt;=$B$11,INDEX(Routing!$A:$A,ROW()-14),"")</f>
        <v/>
      </c>
      <c r="C192" s="289">
        <f>IF(B192="","",INDEX(Routing!$M:$M,ROW()-14))</f>
        <v/>
      </c>
      <c r="D192" s="289">
        <f>IF(B192="","",H191)</f>
        <v/>
      </c>
      <c r="E192" s="289">
        <f>IF(B192="","",$B$5+IF($B$7=0,0,D192/$B$7))</f>
        <v/>
      </c>
      <c r="F192" s="289">
        <f>IF(B192="","",IF(E192&lt;=J6,K6,IF(E192&gt;=J11,K11,INDEX(K6:K11,MATCH(E192,J6:J11,1))+(E192-INDEX(J6:J11,MATCH(E192,J6:J11,1)))*(INDEX(K6:K11,MATCH(E192,J6:J11,1)+1)-INDEX(K6:K11,MATCH(E192,J6:J11,1)))/(INDEX(J6:J11,MATCH(E192,J6:J11,1)+1)-INDEX(J6:J11,MATCH(E192,J6:J11,1))))))</f>
        <v/>
      </c>
      <c r="G192" s="289">
        <f>IF(B192="","",(C192-F192)*$B$10)</f>
        <v/>
      </c>
      <c r="H192" s="289">
        <f>IF(B192="","",MAX(0,D192+G192))</f>
        <v/>
      </c>
      <c r="I192" s="289">
        <f>IF(B192="","",$B$5+IF($B$7=0,0,H192/$B$7))</f>
        <v/>
      </c>
    </row>
    <row r="193">
      <c r="A193" s="288">
        <f>IF(B193="","",A192+1)</f>
        <v/>
      </c>
      <c r="B193" s="288">
        <f>IF(ROW()-15&lt;=$B$11,INDEX(Routing!$A:$A,ROW()-14),"")</f>
        <v/>
      </c>
      <c r="C193" s="289">
        <f>IF(B193="","",INDEX(Routing!$M:$M,ROW()-14))</f>
        <v/>
      </c>
      <c r="D193" s="289">
        <f>IF(B193="","",H192)</f>
        <v/>
      </c>
      <c r="E193" s="289">
        <f>IF(B193="","",$B$5+IF($B$7=0,0,D193/$B$7))</f>
        <v/>
      </c>
      <c r="F193" s="289">
        <f>IF(B193="","",IF(E193&lt;=J6,K6,IF(E193&gt;=J11,K11,INDEX(K6:K11,MATCH(E193,J6:J11,1))+(E193-INDEX(J6:J11,MATCH(E193,J6:J11,1)))*(INDEX(K6:K11,MATCH(E193,J6:J11,1)+1)-INDEX(K6:K11,MATCH(E193,J6:J11,1)))/(INDEX(J6:J11,MATCH(E193,J6:J11,1)+1)-INDEX(J6:J11,MATCH(E193,J6:J11,1))))))</f>
        <v/>
      </c>
      <c r="G193" s="289">
        <f>IF(B193="","",(C193-F193)*$B$10)</f>
        <v/>
      </c>
      <c r="H193" s="289">
        <f>IF(B193="","",MAX(0,D193+G193))</f>
        <v/>
      </c>
      <c r="I193" s="289">
        <f>IF(B193="","",$B$5+IF($B$7=0,0,H193/$B$7))</f>
        <v/>
      </c>
    </row>
    <row r="194">
      <c r="A194" s="288">
        <f>IF(B194="","",A193+1)</f>
        <v/>
      </c>
      <c r="B194" s="288">
        <f>IF(ROW()-15&lt;=$B$11,INDEX(Routing!$A:$A,ROW()-14),"")</f>
        <v/>
      </c>
      <c r="C194" s="289">
        <f>IF(B194="","",INDEX(Routing!$M:$M,ROW()-14))</f>
        <v/>
      </c>
      <c r="D194" s="289">
        <f>IF(B194="","",H193)</f>
        <v/>
      </c>
      <c r="E194" s="289">
        <f>IF(B194="","",$B$5+IF($B$7=0,0,D194/$B$7))</f>
        <v/>
      </c>
      <c r="F194" s="289">
        <f>IF(B194="","",IF(E194&lt;=J6,K6,IF(E194&gt;=J11,K11,INDEX(K6:K11,MATCH(E194,J6:J11,1))+(E194-INDEX(J6:J11,MATCH(E194,J6:J11,1)))*(INDEX(K6:K11,MATCH(E194,J6:J11,1)+1)-INDEX(K6:K11,MATCH(E194,J6:J11,1)))/(INDEX(J6:J11,MATCH(E194,J6:J11,1)+1)-INDEX(J6:J11,MATCH(E194,J6:J11,1))))))</f>
        <v/>
      </c>
      <c r="G194" s="289">
        <f>IF(B194="","",(C194-F194)*$B$10)</f>
        <v/>
      </c>
      <c r="H194" s="289">
        <f>IF(B194="","",MAX(0,D194+G194))</f>
        <v/>
      </c>
      <c r="I194" s="289">
        <f>IF(B194="","",$B$5+IF($B$7=0,0,H194/$B$7))</f>
        <v/>
      </c>
    </row>
    <row r="195">
      <c r="A195" s="288">
        <f>IF(B195="","",A194+1)</f>
        <v/>
      </c>
      <c r="B195" s="288">
        <f>IF(ROW()-15&lt;=$B$11,INDEX(Routing!$A:$A,ROW()-14),"")</f>
        <v/>
      </c>
      <c r="C195" s="289">
        <f>IF(B195="","",INDEX(Routing!$M:$M,ROW()-14))</f>
        <v/>
      </c>
      <c r="D195" s="289">
        <f>IF(B195="","",H194)</f>
        <v/>
      </c>
      <c r="E195" s="289">
        <f>IF(B195="","",$B$5+IF($B$7=0,0,D195/$B$7))</f>
        <v/>
      </c>
      <c r="F195" s="289">
        <f>IF(B195="","",IF(E195&lt;=J6,K6,IF(E195&gt;=J11,K11,INDEX(K6:K11,MATCH(E195,J6:J11,1))+(E195-INDEX(J6:J11,MATCH(E195,J6:J11,1)))*(INDEX(K6:K11,MATCH(E195,J6:J11,1)+1)-INDEX(K6:K11,MATCH(E195,J6:J11,1)))/(INDEX(J6:J11,MATCH(E195,J6:J11,1)+1)-INDEX(J6:J11,MATCH(E195,J6:J11,1))))))</f>
        <v/>
      </c>
      <c r="G195" s="289">
        <f>IF(B195="","",(C195-F195)*$B$10)</f>
        <v/>
      </c>
      <c r="H195" s="289">
        <f>IF(B195="","",MAX(0,D195+G195))</f>
        <v/>
      </c>
      <c r="I195" s="289">
        <f>IF(B195="","",$B$5+IF($B$7=0,0,H195/$B$7))</f>
        <v/>
      </c>
    </row>
    <row r="196">
      <c r="A196" s="288">
        <f>IF(B196="","",A195+1)</f>
        <v/>
      </c>
      <c r="B196" s="288">
        <f>IF(ROW()-15&lt;=$B$11,INDEX(Routing!$A:$A,ROW()-14),"")</f>
        <v/>
      </c>
      <c r="C196" s="289">
        <f>IF(B196="","",INDEX(Routing!$M:$M,ROW()-14))</f>
        <v/>
      </c>
      <c r="D196" s="289">
        <f>IF(B196="","",H195)</f>
        <v/>
      </c>
      <c r="E196" s="289">
        <f>IF(B196="","",$B$5+IF($B$7=0,0,D196/$B$7))</f>
        <v/>
      </c>
      <c r="F196" s="289">
        <f>IF(B196="","",IF(E196&lt;=J6,K6,IF(E196&gt;=J11,K11,INDEX(K6:K11,MATCH(E196,J6:J11,1))+(E196-INDEX(J6:J11,MATCH(E196,J6:J11,1)))*(INDEX(K6:K11,MATCH(E196,J6:J11,1)+1)-INDEX(K6:K11,MATCH(E196,J6:J11,1)))/(INDEX(J6:J11,MATCH(E196,J6:J11,1)+1)-INDEX(J6:J11,MATCH(E196,J6:J11,1))))))</f>
        <v/>
      </c>
      <c r="G196" s="289">
        <f>IF(B196="","",(C196-F196)*$B$10)</f>
        <v/>
      </c>
      <c r="H196" s="289">
        <f>IF(B196="","",MAX(0,D196+G196))</f>
        <v/>
      </c>
      <c r="I196" s="289">
        <f>IF(B196="","",$B$5+IF($B$7=0,0,H196/$B$7))</f>
        <v/>
      </c>
    </row>
    <row r="197">
      <c r="A197" s="288">
        <f>IF(B197="","",A196+1)</f>
        <v/>
      </c>
      <c r="B197" s="288">
        <f>IF(ROW()-15&lt;=$B$11,INDEX(Routing!$A:$A,ROW()-14),"")</f>
        <v/>
      </c>
      <c r="C197" s="289">
        <f>IF(B197="","",INDEX(Routing!$M:$M,ROW()-14))</f>
        <v/>
      </c>
      <c r="D197" s="289">
        <f>IF(B197="","",H196)</f>
        <v/>
      </c>
      <c r="E197" s="289">
        <f>IF(B197="","",$B$5+IF($B$7=0,0,D197/$B$7))</f>
        <v/>
      </c>
      <c r="F197" s="289">
        <f>IF(B197="","",IF(E197&lt;=J6,K6,IF(E197&gt;=J11,K11,INDEX(K6:K11,MATCH(E197,J6:J11,1))+(E197-INDEX(J6:J11,MATCH(E197,J6:J11,1)))*(INDEX(K6:K11,MATCH(E197,J6:J11,1)+1)-INDEX(K6:K11,MATCH(E197,J6:J11,1)))/(INDEX(J6:J11,MATCH(E197,J6:J11,1)+1)-INDEX(J6:J11,MATCH(E197,J6:J11,1))))))</f>
        <v/>
      </c>
      <c r="G197" s="289">
        <f>IF(B197="","",(C197-F197)*$B$10)</f>
        <v/>
      </c>
      <c r="H197" s="289">
        <f>IF(B197="","",MAX(0,D197+G197))</f>
        <v/>
      </c>
      <c r="I197" s="289">
        <f>IF(B197="","",$B$5+IF($B$7=0,0,H197/$B$7))</f>
        <v/>
      </c>
    </row>
    <row r="198">
      <c r="A198" s="288">
        <f>IF(B198="","",A197+1)</f>
        <v/>
      </c>
      <c r="B198" s="288">
        <f>IF(ROW()-15&lt;=$B$11,INDEX(Routing!$A:$A,ROW()-14),"")</f>
        <v/>
      </c>
      <c r="C198" s="289">
        <f>IF(B198="","",INDEX(Routing!$M:$M,ROW()-14))</f>
        <v/>
      </c>
      <c r="D198" s="289">
        <f>IF(B198="","",H197)</f>
        <v/>
      </c>
      <c r="E198" s="289">
        <f>IF(B198="","",$B$5+IF($B$7=0,0,D198/$B$7))</f>
        <v/>
      </c>
      <c r="F198" s="289">
        <f>IF(B198="","",IF(E198&lt;=J6,K6,IF(E198&gt;=J11,K11,INDEX(K6:K11,MATCH(E198,J6:J11,1))+(E198-INDEX(J6:J11,MATCH(E198,J6:J11,1)))*(INDEX(K6:K11,MATCH(E198,J6:J11,1)+1)-INDEX(K6:K11,MATCH(E198,J6:J11,1)))/(INDEX(J6:J11,MATCH(E198,J6:J11,1)+1)-INDEX(J6:J11,MATCH(E198,J6:J11,1))))))</f>
        <v/>
      </c>
      <c r="G198" s="289">
        <f>IF(B198="","",(C198-F198)*$B$10)</f>
        <v/>
      </c>
      <c r="H198" s="289">
        <f>IF(B198="","",MAX(0,D198+G198))</f>
        <v/>
      </c>
      <c r="I198" s="289">
        <f>IF(B198="","",$B$5+IF($B$7=0,0,H198/$B$7))</f>
        <v/>
      </c>
    </row>
    <row r="199">
      <c r="A199" s="288">
        <f>IF(B199="","",A198+1)</f>
        <v/>
      </c>
      <c r="B199" s="288">
        <f>IF(ROW()-15&lt;=$B$11,INDEX(Routing!$A:$A,ROW()-14),"")</f>
        <v/>
      </c>
      <c r="C199" s="289">
        <f>IF(B199="","",INDEX(Routing!$M:$M,ROW()-14))</f>
        <v/>
      </c>
      <c r="D199" s="289">
        <f>IF(B199="","",H198)</f>
        <v/>
      </c>
      <c r="E199" s="289">
        <f>IF(B199="","",$B$5+IF($B$7=0,0,D199/$B$7))</f>
        <v/>
      </c>
      <c r="F199" s="289">
        <f>IF(B199="","",IF(E199&lt;=J6,K6,IF(E199&gt;=J11,K11,INDEX(K6:K11,MATCH(E199,J6:J11,1))+(E199-INDEX(J6:J11,MATCH(E199,J6:J11,1)))*(INDEX(K6:K11,MATCH(E199,J6:J11,1)+1)-INDEX(K6:K11,MATCH(E199,J6:J11,1)))/(INDEX(J6:J11,MATCH(E199,J6:J11,1)+1)-INDEX(J6:J11,MATCH(E199,J6:J11,1))))))</f>
        <v/>
      </c>
      <c r="G199" s="289">
        <f>IF(B199="","",(C199-F199)*$B$10)</f>
        <v/>
      </c>
      <c r="H199" s="289">
        <f>IF(B199="","",MAX(0,D199+G199))</f>
        <v/>
      </c>
      <c r="I199" s="289">
        <f>IF(B199="","",$B$5+IF($B$7=0,0,H199/$B$7))</f>
        <v/>
      </c>
    </row>
    <row r="200">
      <c r="A200" s="288">
        <f>IF(B200="","",A199+1)</f>
        <v/>
      </c>
      <c r="B200" s="288">
        <f>IF(ROW()-15&lt;=$B$11,INDEX(Routing!$A:$A,ROW()-14),"")</f>
        <v/>
      </c>
      <c r="C200" s="289">
        <f>IF(B200="","",INDEX(Routing!$M:$M,ROW()-14))</f>
        <v/>
      </c>
      <c r="D200" s="289">
        <f>IF(B200="","",H199)</f>
        <v/>
      </c>
      <c r="E200" s="289">
        <f>IF(B200="","",$B$5+IF($B$7=0,0,D200/$B$7))</f>
        <v/>
      </c>
      <c r="F200" s="289">
        <f>IF(B200="","",IF(E200&lt;=J6,K6,IF(E200&gt;=J11,K11,INDEX(K6:K11,MATCH(E200,J6:J11,1))+(E200-INDEX(J6:J11,MATCH(E200,J6:J11,1)))*(INDEX(K6:K11,MATCH(E200,J6:J11,1)+1)-INDEX(K6:K11,MATCH(E200,J6:J11,1)))/(INDEX(J6:J11,MATCH(E200,J6:J11,1)+1)-INDEX(J6:J11,MATCH(E200,J6:J11,1))))))</f>
        <v/>
      </c>
      <c r="G200" s="289">
        <f>IF(B200="","",(C200-F200)*$B$10)</f>
        <v/>
      </c>
      <c r="H200" s="289">
        <f>IF(B200="","",MAX(0,D200+G200))</f>
        <v/>
      </c>
      <c r="I200" s="289">
        <f>IF(B200="","",$B$5+IF($B$7=0,0,H200/$B$7))</f>
        <v/>
      </c>
    </row>
    <row r="201">
      <c r="A201" s="288">
        <f>IF(B201="","",A200+1)</f>
        <v/>
      </c>
      <c r="B201" s="288">
        <f>IF(ROW()-15&lt;=$B$11,INDEX(Routing!$A:$A,ROW()-14),"")</f>
        <v/>
      </c>
      <c r="C201" s="289">
        <f>IF(B201="","",INDEX(Routing!$M:$M,ROW()-14))</f>
        <v/>
      </c>
      <c r="D201" s="289">
        <f>IF(B201="","",H200)</f>
        <v/>
      </c>
      <c r="E201" s="289">
        <f>IF(B201="","",$B$5+IF($B$7=0,0,D201/$B$7))</f>
        <v/>
      </c>
      <c r="F201" s="289">
        <f>IF(B201="","",IF(E201&lt;=J6,K6,IF(E201&gt;=J11,K11,INDEX(K6:K11,MATCH(E201,J6:J11,1))+(E201-INDEX(J6:J11,MATCH(E201,J6:J11,1)))*(INDEX(K6:K11,MATCH(E201,J6:J11,1)+1)-INDEX(K6:K11,MATCH(E201,J6:J11,1)))/(INDEX(J6:J11,MATCH(E201,J6:J11,1)+1)-INDEX(J6:J11,MATCH(E201,J6:J11,1))))))</f>
        <v/>
      </c>
      <c r="G201" s="289">
        <f>IF(B201="","",(C201-F201)*$B$10)</f>
        <v/>
      </c>
      <c r="H201" s="289">
        <f>IF(B201="","",MAX(0,D201+G201))</f>
        <v/>
      </c>
      <c r="I201" s="289">
        <f>IF(B201="","",$B$5+IF($B$7=0,0,H201/$B$7))</f>
        <v/>
      </c>
    </row>
    <row r="202">
      <c r="A202" s="288">
        <f>IF(B202="","",A201+1)</f>
        <v/>
      </c>
      <c r="B202" s="288">
        <f>IF(ROW()-15&lt;=$B$11,INDEX(Routing!$A:$A,ROW()-14),"")</f>
        <v/>
      </c>
      <c r="C202" s="289">
        <f>IF(B202="","",INDEX(Routing!$M:$M,ROW()-14))</f>
        <v/>
      </c>
      <c r="D202" s="289">
        <f>IF(B202="","",H201)</f>
        <v/>
      </c>
      <c r="E202" s="289">
        <f>IF(B202="","",$B$5+IF($B$7=0,0,D202/$B$7))</f>
        <v/>
      </c>
      <c r="F202" s="289">
        <f>IF(B202="","",IF(E202&lt;=J6,K6,IF(E202&gt;=J11,K11,INDEX(K6:K11,MATCH(E202,J6:J11,1))+(E202-INDEX(J6:J11,MATCH(E202,J6:J11,1)))*(INDEX(K6:K11,MATCH(E202,J6:J11,1)+1)-INDEX(K6:K11,MATCH(E202,J6:J11,1)))/(INDEX(J6:J11,MATCH(E202,J6:J11,1)+1)-INDEX(J6:J11,MATCH(E202,J6:J11,1))))))</f>
        <v/>
      </c>
      <c r="G202" s="289">
        <f>IF(B202="","",(C202-F202)*$B$10)</f>
        <v/>
      </c>
      <c r="H202" s="289">
        <f>IF(B202="","",MAX(0,D202+G202))</f>
        <v/>
      </c>
      <c r="I202" s="289">
        <f>IF(B202="","",$B$5+IF($B$7=0,0,H202/$B$7))</f>
        <v/>
      </c>
    </row>
    <row r="203">
      <c r="A203" s="288">
        <f>IF(B203="","",A202+1)</f>
        <v/>
      </c>
      <c r="B203" s="288">
        <f>IF(ROW()-15&lt;=$B$11,INDEX(Routing!$A:$A,ROW()-14),"")</f>
        <v/>
      </c>
      <c r="C203" s="289">
        <f>IF(B203="","",INDEX(Routing!$M:$M,ROW()-14))</f>
        <v/>
      </c>
      <c r="D203" s="289">
        <f>IF(B203="","",H202)</f>
        <v/>
      </c>
      <c r="E203" s="289">
        <f>IF(B203="","",$B$5+IF($B$7=0,0,D203/$B$7))</f>
        <v/>
      </c>
      <c r="F203" s="289">
        <f>IF(B203="","",IF(E203&lt;=J6,K6,IF(E203&gt;=J11,K11,INDEX(K6:K11,MATCH(E203,J6:J11,1))+(E203-INDEX(J6:J11,MATCH(E203,J6:J11,1)))*(INDEX(K6:K11,MATCH(E203,J6:J11,1)+1)-INDEX(K6:K11,MATCH(E203,J6:J11,1)))/(INDEX(J6:J11,MATCH(E203,J6:J11,1)+1)-INDEX(J6:J11,MATCH(E203,J6:J11,1))))))</f>
        <v/>
      </c>
      <c r="G203" s="289">
        <f>IF(B203="","",(C203-F203)*$B$10)</f>
        <v/>
      </c>
      <c r="H203" s="289">
        <f>IF(B203="","",MAX(0,D203+G203))</f>
        <v/>
      </c>
      <c r="I203" s="289">
        <f>IF(B203="","",$B$5+IF($B$7=0,0,H203/$B$7))</f>
        <v/>
      </c>
    </row>
    <row r="204">
      <c r="A204" s="288">
        <f>IF(B204="","",A203+1)</f>
        <v/>
      </c>
      <c r="B204" s="288">
        <f>IF(ROW()-15&lt;=$B$11,INDEX(Routing!$A:$A,ROW()-14),"")</f>
        <v/>
      </c>
      <c r="C204" s="289">
        <f>IF(B204="","",INDEX(Routing!$M:$M,ROW()-14))</f>
        <v/>
      </c>
      <c r="D204" s="289">
        <f>IF(B204="","",H203)</f>
        <v/>
      </c>
      <c r="E204" s="289">
        <f>IF(B204="","",$B$5+IF($B$7=0,0,D204/$B$7))</f>
        <v/>
      </c>
      <c r="F204" s="289">
        <f>IF(B204="","",IF(E204&lt;=J6,K6,IF(E204&gt;=J11,K11,INDEX(K6:K11,MATCH(E204,J6:J11,1))+(E204-INDEX(J6:J11,MATCH(E204,J6:J11,1)))*(INDEX(K6:K11,MATCH(E204,J6:J11,1)+1)-INDEX(K6:K11,MATCH(E204,J6:J11,1)))/(INDEX(J6:J11,MATCH(E204,J6:J11,1)+1)-INDEX(J6:J11,MATCH(E204,J6:J11,1))))))</f>
        <v/>
      </c>
      <c r="G204" s="289">
        <f>IF(B204="","",(C204-F204)*$B$10)</f>
        <v/>
      </c>
      <c r="H204" s="289">
        <f>IF(B204="","",MAX(0,D204+G204))</f>
        <v/>
      </c>
      <c r="I204" s="289">
        <f>IF(B204="","",$B$5+IF($B$7=0,0,H204/$B$7))</f>
        <v/>
      </c>
    </row>
    <row r="205">
      <c r="A205" s="288">
        <f>IF(B205="","",A204+1)</f>
        <v/>
      </c>
      <c r="B205" s="288">
        <f>IF(ROW()-15&lt;=$B$11,INDEX(Routing!$A:$A,ROW()-14),"")</f>
        <v/>
      </c>
      <c r="C205" s="289">
        <f>IF(B205="","",INDEX(Routing!$M:$M,ROW()-14))</f>
        <v/>
      </c>
      <c r="D205" s="289">
        <f>IF(B205="","",H204)</f>
        <v/>
      </c>
      <c r="E205" s="289">
        <f>IF(B205="","",$B$5+IF($B$7=0,0,D205/$B$7))</f>
        <v/>
      </c>
      <c r="F205" s="289">
        <f>IF(B205="","",IF(E205&lt;=J6,K6,IF(E205&gt;=J11,K11,INDEX(K6:K11,MATCH(E205,J6:J11,1))+(E205-INDEX(J6:J11,MATCH(E205,J6:J11,1)))*(INDEX(K6:K11,MATCH(E205,J6:J11,1)+1)-INDEX(K6:K11,MATCH(E205,J6:J11,1)))/(INDEX(J6:J11,MATCH(E205,J6:J11,1)+1)-INDEX(J6:J11,MATCH(E205,J6:J11,1))))))</f>
        <v/>
      </c>
      <c r="G205" s="289">
        <f>IF(B205="","",(C205-F205)*$B$10)</f>
        <v/>
      </c>
      <c r="H205" s="289">
        <f>IF(B205="","",MAX(0,D205+G205))</f>
        <v/>
      </c>
      <c r="I205" s="289">
        <f>IF(B205="","",$B$5+IF($B$7=0,0,H205/$B$7))</f>
        <v/>
      </c>
    </row>
    <row r="206">
      <c r="A206" s="288">
        <f>IF(B206="","",A205+1)</f>
        <v/>
      </c>
      <c r="B206" s="288">
        <f>IF(ROW()-15&lt;=$B$11,INDEX(Routing!$A:$A,ROW()-14),"")</f>
        <v/>
      </c>
      <c r="C206" s="289">
        <f>IF(B206="","",INDEX(Routing!$M:$M,ROW()-14))</f>
        <v/>
      </c>
      <c r="D206" s="289">
        <f>IF(B206="","",H205)</f>
        <v/>
      </c>
      <c r="E206" s="289">
        <f>IF(B206="","",$B$5+IF($B$7=0,0,D206/$B$7))</f>
        <v/>
      </c>
      <c r="F206" s="289">
        <f>IF(B206="","",IF(E206&lt;=J6,K6,IF(E206&gt;=J11,K11,INDEX(K6:K11,MATCH(E206,J6:J11,1))+(E206-INDEX(J6:J11,MATCH(E206,J6:J11,1)))*(INDEX(K6:K11,MATCH(E206,J6:J11,1)+1)-INDEX(K6:K11,MATCH(E206,J6:J11,1)))/(INDEX(J6:J11,MATCH(E206,J6:J11,1)+1)-INDEX(J6:J11,MATCH(E206,J6:J11,1))))))</f>
        <v/>
      </c>
      <c r="G206" s="289">
        <f>IF(B206="","",(C206-F206)*$B$10)</f>
        <v/>
      </c>
      <c r="H206" s="289">
        <f>IF(B206="","",MAX(0,D206+G206))</f>
        <v/>
      </c>
      <c r="I206" s="289">
        <f>IF(B206="","",$B$5+IF($B$7=0,0,H206/$B$7))</f>
        <v/>
      </c>
    </row>
    <row r="207">
      <c r="A207" s="288">
        <f>IF(B207="","",A206+1)</f>
        <v/>
      </c>
      <c r="B207" s="288">
        <f>IF(ROW()-15&lt;=$B$11,INDEX(Routing!$A:$A,ROW()-14),"")</f>
        <v/>
      </c>
      <c r="C207" s="289">
        <f>IF(B207="","",INDEX(Routing!$M:$M,ROW()-14))</f>
        <v/>
      </c>
      <c r="D207" s="289">
        <f>IF(B207="","",H206)</f>
        <v/>
      </c>
      <c r="E207" s="289">
        <f>IF(B207="","",$B$5+IF($B$7=0,0,D207/$B$7))</f>
        <v/>
      </c>
      <c r="F207" s="289">
        <f>IF(B207="","",IF(E207&lt;=J6,K6,IF(E207&gt;=J11,K11,INDEX(K6:K11,MATCH(E207,J6:J11,1))+(E207-INDEX(J6:J11,MATCH(E207,J6:J11,1)))*(INDEX(K6:K11,MATCH(E207,J6:J11,1)+1)-INDEX(K6:K11,MATCH(E207,J6:J11,1)))/(INDEX(J6:J11,MATCH(E207,J6:J11,1)+1)-INDEX(J6:J11,MATCH(E207,J6:J11,1))))))</f>
        <v/>
      </c>
      <c r="G207" s="289">
        <f>IF(B207="","",(C207-F207)*$B$10)</f>
        <v/>
      </c>
      <c r="H207" s="289">
        <f>IF(B207="","",MAX(0,D207+G207))</f>
        <v/>
      </c>
      <c r="I207" s="289">
        <f>IF(B207="","",$B$5+IF($B$7=0,0,H207/$B$7))</f>
        <v/>
      </c>
    </row>
    <row r="208">
      <c r="A208" s="288">
        <f>IF(B208="","",A207+1)</f>
        <v/>
      </c>
      <c r="B208" s="288">
        <f>IF(ROW()-15&lt;=$B$11,INDEX(Routing!$A:$A,ROW()-14),"")</f>
        <v/>
      </c>
      <c r="C208" s="289">
        <f>IF(B208="","",INDEX(Routing!$M:$M,ROW()-14))</f>
        <v/>
      </c>
      <c r="D208" s="289">
        <f>IF(B208="","",H207)</f>
        <v/>
      </c>
      <c r="E208" s="289">
        <f>IF(B208="","",$B$5+IF($B$7=0,0,D208/$B$7))</f>
        <v/>
      </c>
      <c r="F208" s="289">
        <f>IF(B208="","",IF(E208&lt;=J6,K6,IF(E208&gt;=J11,K11,INDEX(K6:K11,MATCH(E208,J6:J11,1))+(E208-INDEX(J6:J11,MATCH(E208,J6:J11,1)))*(INDEX(K6:K11,MATCH(E208,J6:J11,1)+1)-INDEX(K6:K11,MATCH(E208,J6:J11,1)))/(INDEX(J6:J11,MATCH(E208,J6:J11,1)+1)-INDEX(J6:J11,MATCH(E208,J6:J11,1))))))</f>
        <v/>
      </c>
      <c r="G208" s="289">
        <f>IF(B208="","",(C208-F208)*$B$10)</f>
        <v/>
      </c>
      <c r="H208" s="289">
        <f>IF(B208="","",MAX(0,D208+G208))</f>
        <v/>
      </c>
      <c r="I208" s="289">
        <f>IF(B208="","",$B$5+IF($B$7=0,0,H208/$B$7))</f>
        <v/>
      </c>
    </row>
    <row r="209">
      <c r="A209" s="288">
        <f>IF(B209="","",A208+1)</f>
        <v/>
      </c>
      <c r="B209" s="288">
        <f>IF(ROW()-15&lt;=$B$11,INDEX(Routing!$A:$A,ROW()-14),"")</f>
        <v/>
      </c>
      <c r="C209" s="289">
        <f>IF(B209="","",INDEX(Routing!$M:$M,ROW()-14))</f>
        <v/>
      </c>
      <c r="D209" s="289">
        <f>IF(B209="","",H208)</f>
        <v/>
      </c>
      <c r="E209" s="289">
        <f>IF(B209="","",$B$5+IF($B$7=0,0,D209/$B$7))</f>
        <v/>
      </c>
      <c r="F209" s="289">
        <f>IF(B209="","",IF(E209&lt;=J6,K6,IF(E209&gt;=J11,K11,INDEX(K6:K11,MATCH(E209,J6:J11,1))+(E209-INDEX(J6:J11,MATCH(E209,J6:J11,1)))*(INDEX(K6:K11,MATCH(E209,J6:J11,1)+1)-INDEX(K6:K11,MATCH(E209,J6:J11,1)))/(INDEX(J6:J11,MATCH(E209,J6:J11,1)+1)-INDEX(J6:J11,MATCH(E209,J6:J11,1))))))</f>
        <v/>
      </c>
      <c r="G209" s="289">
        <f>IF(B209="","",(C209-F209)*$B$10)</f>
        <v/>
      </c>
      <c r="H209" s="289">
        <f>IF(B209="","",MAX(0,D209+G209))</f>
        <v/>
      </c>
      <c r="I209" s="289">
        <f>IF(B209="","",$B$5+IF($B$7=0,0,H209/$B$7))</f>
        <v/>
      </c>
    </row>
    <row r="210">
      <c r="A210" s="288">
        <f>IF(B210="","",A209+1)</f>
        <v/>
      </c>
      <c r="B210" s="288">
        <f>IF(ROW()-15&lt;=$B$11,INDEX(Routing!$A:$A,ROW()-14),"")</f>
        <v/>
      </c>
      <c r="C210" s="289">
        <f>IF(B210="","",INDEX(Routing!$M:$M,ROW()-14))</f>
        <v/>
      </c>
      <c r="D210" s="289">
        <f>IF(B210="","",H209)</f>
        <v/>
      </c>
      <c r="E210" s="289">
        <f>IF(B210="","",$B$5+IF($B$7=0,0,D210/$B$7))</f>
        <v/>
      </c>
      <c r="F210" s="289">
        <f>IF(B210="","",IF(E210&lt;=J6,K6,IF(E210&gt;=J11,K11,INDEX(K6:K11,MATCH(E210,J6:J11,1))+(E210-INDEX(J6:J11,MATCH(E210,J6:J11,1)))*(INDEX(K6:K11,MATCH(E210,J6:J11,1)+1)-INDEX(K6:K11,MATCH(E210,J6:J11,1)))/(INDEX(J6:J11,MATCH(E210,J6:J11,1)+1)-INDEX(J6:J11,MATCH(E210,J6:J11,1))))))</f>
        <v/>
      </c>
      <c r="G210" s="289">
        <f>IF(B210="","",(C210-F210)*$B$10)</f>
        <v/>
      </c>
      <c r="H210" s="289">
        <f>IF(B210="","",MAX(0,D210+G210))</f>
        <v/>
      </c>
      <c r="I210" s="289">
        <f>IF(B210="","",$B$5+IF($B$7=0,0,H210/$B$7))</f>
        <v/>
      </c>
    </row>
    <row r="211">
      <c r="A211" s="288">
        <f>IF(B211="","",A210+1)</f>
        <v/>
      </c>
      <c r="B211" s="288">
        <f>IF(ROW()-15&lt;=$B$11,INDEX(Routing!$A:$A,ROW()-14),"")</f>
        <v/>
      </c>
      <c r="C211" s="289">
        <f>IF(B211="","",INDEX(Routing!$M:$M,ROW()-14))</f>
        <v/>
      </c>
      <c r="D211" s="289">
        <f>IF(B211="","",H210)</f>
        <v/>
      </c>
      <c r="E211" s="289">
        <f>IF(B211="","",$B$5+IF($B$7=0,0,D211/$B$7))</f>
        <v/>
      </c>
      <c r="F211" s="289">
        <f>IF(B211="","",IF(E211&lt;=J6,K6,IF(E211&gt;=J11,K11,INDEX(K6:K11,MATCH(E211,J6:J11,1))+(E211-INDEX(J6:J11,MATCH(E211,J6:J11,1)))*(INDEX(K6:K11,MATCH(E211,J6:J11,1)+1)-INDEX(K6:K11,MATCH(E211,J6:J11,1)))/(INDEX(J6:J11,MATCH(E211,J6:J11,1)+1)-INDEX(J6:J11,MATCH(E211,J6:J11,1))))))</f>
        <v/>
      </c>
      <c r="G211" s="289">
        <f>IF(B211="","",(C211-F211)*$B$10)</f>
        <v/>
      </c>
      <c r="H211" s="289">
        <f>IF(B211="","",MAX(0,D211+G211))</f>
        <v/>
      </c>
      <c r="I211" s="289">
        <f>IF(B211="","",$B$5+IF($B$7=0,0,H211/$B$7))</f>
        <v/>
      </c>
    </row>
    <row r="212">
      <c r="A212" s="288">
        <f>IF(B212="","",A211+1)</f>
        <v/>
      </c>
      <c r="B212" s="288">
        <f>IF(ROW()-15&lt;=$B$11,INDEX(Routing!$A:$A,ROW()-14),"")</f>
        <v/>
      </c>
      <c r="C212" s="289">
        <f>IF(B212="","",INDEX(Routing!$M:$M,ROW()-14))</f>
        <v/>
      </c>
      <c r="D212" s="289">
        <f>IF(B212="","",H211)</f>
        <v/>
      </c>
      <c r="E212" s="289">
        <f>IF(B212="","",$B$5+IF($B$7=0,0,D212/$B$7))</f>
        <v/>
      </c>
      <c r="F212" s="289">
        <f>IF(B212="","",IF(E212&lt;=J6,K6,IF(E212&gt;=J11,K11,INDEX(K6:K11,MATCH(E212,J6:J11,1))+(E212-INDEX(J6:J11,MATCH(E212,J6:J11,1)))*(INDEX(K6:K11,MATCH(E212,J6:J11,1)+1)-INDEX(K6:K11,MATCH(E212,J6:J11,1)))/(INDEX(J6:J11,MATCH(E212,J6:J11,1)+1)-INDEX(J6:J11,MATCH(E212,J6:J11,1))))))</f>
        <v/>
      </c>
      <c r="G212" s="289">
        <f>IF(B212="","",(C212-F212)*$B$10)</f>
        <v/>
      </c>
      <c r="H212" s="289">
        <f>IF(B212="","",MAX(0,D212+G212))</f>
        <v/>
      </c>
      <c r="I212" s="289">
        <f>IF(B212="","",$B$5+IF($B$7=0,0,H212/$B$7))</f>
        <v/>
      </c>
    </row>
    <row r="213">
      <c r="A213" s="288">
        <f>IF(B213="","",A212+1)</f>
        <v/>
      </c>
      <c r="B213" s="288">
        <f>IF(ROW()-15&lt;=$B$11,INDEX(Routing!$A:$A,ROW()-14),"")</f>
        <v/>
      </c>
      <c r="C213" s="289">
        <f>IF(B213="","",INDEX(Routing!$M:$M,ROW()-14))</f>
        <v/>
      </c>
      <c r="D213" s="289">
        <f>IF(B213="","",H212)</f>
        <v/>
      </c>
      <c r="E213" s="289">
        <f>IF(B213="","",$B$5+IF($B$7=0,0,D213/$B$7))</f>
        <v/>
      </c>
      <c r="F213" s="289">
        <f>IF(B213="","",IF(E213&lt;=J6,K6,IF(E213&gt;=J11,K11,INDEX(K6:K11,MATCH(E213,J6:J11,1))+(E213-INDEX(J6:J11,MATCH(E213,J6:J11,1)))*(INDEX(K6:K11,MATCH(E213,J6:J11,1)+1)-INDEX(K6:K11,MATCH(E213,J6:J11,1)))/(INDEX(J6:J11,MATCH(E213,J6:J11,1)+1)-INDEX(J6:J11,MATCH(E213,J6:J11,1))))))</f>
        <v/>
      </c>
      <c r="G213" s="289">
        <f>IF(B213="","",(C213-F213)*$B$10)</f>
        <v/>
      </c>
      <c r="H213" s="289">
        <f>IF(B213="","",MAX(0,D213+G213))</f>
        <v/>
      </c>
      <c r="I213" s="289">
        <f>IF(B213="","",$B$5+IF($B$7=0,0,H213/$B$7))</f>
        <v/>
      </c>
    </row>
    <row r="214">
      <c r="A214" s="288">
        <f>IF(B214="","",A213+1)</f>
        <v/>
      </c>
      <c r="B214" s="288">
        <f>IF(ROW()-15&lt;=$B$11,INDEX(Routing!$A:$A,ROW()-14),"")</f>
        <v/>
      </c>
      <c r="C214" s="289">
        <f>IF(B214="","",INDEX(Routing!$M:$M,ROW()-14))</f>
        <v/>
      </c>
      <c r="D214" s="289">
        <f>IF(B214="","",H213)</f>
        <v/>
      </c>
      <c r="E214" s="289">
        <f>IF(B214="","",$B$5+IF($B$7=0,0,D214/$B$7))</f>
        <v/>
      </c>
      <c r="F214" s="289">
        <f>IF(B214="","",IF(E214&lt;=J6,K6,IF(E214&gt;=J11,K11,INDEX(K6:K11,MATCH(E214,J6:J11,1))+(E214-INDEX(J6:J11,MATCH(E214,J6:J11,1)))*(INDEX(K6:K11,MATCH(E214,J6:J11,1)+1)-INDEX(K6:K11,MATCH(E214,J6:J11,1)))/(INDEX(J6:J11,MATCH(E214,J6:J11,1)+1)-INDEX(J6:J11,MATCH(E214,J6:J11,1))))))</f>
        <v/>
      </c>
      <c r="G214" s="289">
        <f>IF(B214="","",(C214-F214)*$B$10)</f>
        <v/>
      </c>
      <c r="H214" s="289">
        <f>IF(B214="","",MAX(0,D214+G214))</f>
        <v/>
      </c>
      <c r="I214" s="289">
        <f>IF(B214="","",$B$5+IF($B$7=0,0,H214/$B$7))</f>
        <v/>
      </c>
    </row>
    <row r="215">
      <c r="A215" s="288">
        <f>IF(B215="","",A214+1)</f>
        <v/>
      </c>
      <c r="B215" s="288">
        <f>IF(ROW()-15&lt;=$B$11,INDEX(Routing!$A:$A,ROW()-14),"")</f>
        <v/>
      </c>
      <c r="C215" s="289">
        <f>IF(B215="","",INDEX(Routing!$M:$M,ROW()-14))</f>
        <v/>
      </c>
      <c r="D215" s="289">
        <f>IF(B215="","",H214)</f>
        <v/>
      </c>
      <c r="E215" s="289">
        <f>IF(B215="","",$B$5+IF($B$7=0,0,D215/$B$7))</f>
        <v/>
      </c>
      <c r="F215" s="289">
        <f>IF(B215="","",IF(E215&lt;=J6,K6,IF(E215&gt;=J11,K11,INDEX(K6:K11,MATCH(E215,J6:J11,1))+(E215-INDEX(J6:J11,MATCH(E215,J6:J11,1)))*(INDEX(K6:K11,MATCH(E215,J6:J11,1)+1)-INDEX(K6:K11,MATCH(E215,J6:J11,1)))/(INDEX(J6:J11,MATCH(E215,J6:J11,1)+1)-INDEX(J6:J11,MATCH(E215,J6:J11,1))))))</f>
        <v/>
      </c>
      <c r="G215" s="289">
        <f>IF(B215="","",(C215-F215)*$B$10)</f>
        <v/>
      </c>
      <c r="H215" s="289">
        <f>IF(B215="","",MAX(0,D215+G215))</f>
        <v/>
      </c>
      <c r="I215" s="289">
        <f>IF(B215="","",$B$5+IF($B$7=0,0,H215/$B$7))</f>
        <v/>
      </c>
    </row>
    <row r="216">
      <c r="A216" s="288">
        <f>IF(B216="","",A215+1)</f>
        <v/>
      </c>
      <c r="B216" s="288">
        <f>IF(ROW()-15&lt;=$B$11,INDEX(Routing!$A:$A,ROW()-14),"")</f>
        <v/>
      </c>
      <c r="C216" s="289">
        <f>IF(B216="","",INDEX(Routing!$M:$M,ROW()-14))</f>
        <v/>
      </c>
      <c r="D216" s="289">
        <f>IF(B216="","",H215)</f>
        <v/>
      </c>
      <c r="E216" s="289">
        <f>IF(B216="","",$B$5+IF($B$7=0,0,D216/$B$7))</f>
        <v/>
      </c>
      <c r="F216" s="289">
        <f>IF(B216="","",IF(E216&lt;=J6,K6,IF(E216&gt;=J11,K11,INDEX(K6:K11,MATCH(E216,J6:J11,1))+(E216-INDEX(J6:J11,MATCH(E216,J6:J11,1)))*(INDEX(K6:K11,MATCH(E216,J6:J11,1)+1)-INDEX(K6:K11,MATCH(E216,J6:J11,1)))/(INDEX(J6:J11,MATCH(E216,J6:J11,1)+1)-INDEX(J6:J11,MATCH(E216,J6:J11,1))))))</f>
        <v/>
      </c>
      <c r="G216" s="289">
        <f>IF(B216="","",(C216-F216)*$B$10)</f>
        <v/>
      </c>
      <c r="H216" s="289">
        <f>IF(B216="","",MAX(0,D216+G216))</f>
        <v/>
      </c>
      <c r="I216" s="289">
        <f>IF(B216="","",$B$5+IF($B$7=0,0,H216/$B$7))</f>
        <v/>
      </c>
    </row>
    <row r="217">
      <c r="A217" s="288">
        <f>IF(B217="","",A216+1)</f>
        <v/>
      </c>
      <c r="B217" s="288">
        <f>IF(ROW()-15&lt;=$B$11,INDEX(Routing!$A:$A,ROW()-14),"")</f>
        <v/>
      </c>
      <c r="C217" s="289">
        <f>IF(B217="","",INDEX(Routing!$M:$M,ROW()-14))</f>
        <v/>
      </c>
      <c r="D217" s="289">
        <f>IF(B217="","",H216)</f>
        <v/>
      </c>
      <c r="E217" s="289">
        <f>IF(B217="","",$B$5+IF($B$7=0,0,D217/$B$7))</f>
        <v/>
      </c>
      <c r="F217" s="289">
        <f>IF(B217="","",IF(E217&lt;=J6,K6,IF(E217&gt;=J11,K11,INDEX(K6:K11,MATCH(E217,J6:J11,1))+(E217-INDEX(J6:J11,MATCH(E217,J6:J11,1)))*(INDEX(K6:K11,MATCH(E217,J6:J11,1)+1)-INDEX(K6:K11,MATCH(E217,J6:J11,1)))/(INDEX(J6:J11,MATCH(E217,J6:J11,1)+1)-INDEX(J6:J11,MATCH(E217,J6:J11,1))))))</f>
        <v/>
      </c>
      <c r="G217" s="289">
        <f>IF(B217="","",(C217-F217)*$B$10)</f>
        <v/>
      </c>
      <c r="H217" s="289">
        <f>IF(B217="","",MAX(0,D217+G217))</f>
        <v/>
      </c>
      <c r="I217" s="289">
        <f>IF(B217="","",$B$5+IF($B$7=0,0,H217/$B$7))</f>
        <v/>
      </c>
    </row>
    <row r="218">
      <c r="A218" s="288">
        <f>IF(B218="","",A217+1)</f>
        <v/>
      </c>
      <c r="B218" s="288">
        <f>IF(ROW()-15&lt;=$B$11,INDEX(Routing!$A:$A,ROW()-14),"")</f>
        <v/>
      </c>
      <c r="C218" s="289">
        <f>IF(B218="","",INDEX(Routing!$M:$M,ROW()-14))</f>
        <v/>
      </c>
      <c r="D218" s="289">
        <f>IF(B218="","",H217)</f>
        <v/>
      </c>
      <c r="E218" s="289">
        <f>IF(B218="","",$B$5+IF($B$7=0,0,D218/$B$7))</f>
        <v/>
      </c>
      <c r="F218" s="289">
        <f>IF(B218="","",IF(E218&lt;=J6,K6,IF(E218&gt;=J11,K11,INDEX(K6:K11,MATCH(E218,J6:J11,1))+(E218-INDEX(J6:J11,MATCH(E218,J6:J11,1)))*(INDEX(K6:K11,MATCH(E218,J6:J11,1)+1)-INDEX(K6:K11,MATCH(E218,J6:J11,1)))/(INDEX(J6:J11,MATCH(E218,J6:J11,1)+1)-INDEX(J6:J11,MATCH(E218,J6:J11,1))))))</f>
        <v/>
      </c>
      <c r="G218" s="289">
        <f>IF(B218="","",(C218-F218)*$B$10)</f>
        <v/>
      </c>
      <c r="H218" s="289">
        <f>IF(B218="","",MAX(0,D218+G218))</f>
        <v/>
      </c>
      <c r="I218" s="289">
        <f>IF(B218="","",$B$5+IF($B$7=0,0,H218/$B$7))</f>
        <v/>
      </c>
    </row>
    <row r="219">
      <c r="A219" s="288">
        <f>IF(B219="","",A218+1)</f>
        <v/>
      </c>
      <c r="B219" s="288">
        <f>IF(ROW()-15&lt;=$B$11,INDEX(Routing!$A:$A,ROW()-14),"")</f>
        <v/>
      </c>
      <c r="C219" s="289">
        <f>IF(B219="","",INDEX(Routing!$M:$M,ROW()-14))</f>
        <v/>
      </c>
      <c r="D219" s="289">
        <f>IF(B219="","",H218)</f>
        <v/>
      </c>
      <c r="E219" s="289">
        <f>IF(B219="","",$B$5+IF($B$7=0,0,D219/$B$7))</f>
        <v/>
      </c>
      <c r="F219" s="289">
        <f>IF(B219="","",IF(E219&lt;=J6,K6,IF(E219&gt;=J11,K11,INDEX(K6:K11,MATCH(E219,J6:J11,1))+(E219-INDEX(J6:J11,MATCH(E219,J6:J11,1)))*(INDEX(K6:K11,MATCH(E219,J6:J11,1)+1)-INDEX(K6:K11,MATCH(E219,J6:J11,1)))/(INDEX(J6:J11,MATCH(E219,J6:J11,1)+1)-INDEX(J6:J11,MATCH(E219,J6:J11,1))))))</f>
        <v/>
      </c>
      <c r="G219" s="289">
        <f>IF(B219="","",(C219-F219)*$B$10)</f>
        <v/>
      </c>
      <c r="H219" s="289">
        <f>IF(B219="","",MAX(0,D219+G219))</f>
        <v/>
      </c>
      <c r="I219" s="289">
        <f>IF(B219="","",$B$5+IF($B$7=0,0,H219/$B$7))</f>
        <v/>
      </c>
    </row>
    <row r="220">
      <c r="A220" s="288">
        <f>IF(B220="","",A219+1)</f>
        <v/>
      </c>
      <c r="B220" s="288">
        <f>IF(ROW()-15&lt;=$B$11,INDEX(Routing!$A:$A,ROW()-14),"")</f>
        <v/>
      </c>
      <c r="C220" s="289">
        <f>IF(B220="","",INDEX(Routing!$M:$M,ROW()-14))</f>
        <v/>
      </c>
      <c r="D220" s="289">
        <f>IF(B220="","",H219)</f>
        <v/>
      </c>
      <c r="E220" s="289">
        <f>IF(B220="","",$B$5+IF($B$7=0,0,D220/$B$7))</f>
        <v/>
      </c>
      <c r="F220" s="289">
        <f>IF(B220="","",IF(E220&lt;=J6,K6,IF(E220&gt;=J11,K11,INDEX(K6:K11,MATCH(E220,J6:J11,1))+(E220-INDEX(J6:J11,MATCH(E220,J6:J11,1)))*(INDEX(K6:K11,MATCH(E220,J6:J11,1)+1)-INDEX(K6:K11,MATCH(E220,J6:J11,1)))/(INDEX(J6:J11,MATCH(E220,J6:J11,1)+1)-INDEX(J6:J11,MATCH(E220,J6:J11,1))))))</f>
        <v/>
      </c>
      <c r="G220" s="289">
        <f>IF(B220="","",(C220-F220)*$B$10)</f>
        <v/>
      </c>
      <c r="H220" s="289">
        <f>IF(B220="","",MAX(0,D220+G220))</f>
        <v/>
      </c>
      <c r="I220" s="289">
        <f>IF(B220="","",$B$5+IF($B$7=0,0,H220/$B$7))</f>
        <v/>
      </c>
    </row>
    <row r="221">
      <c r="A221" s="288">
        <f>IF(B221="","",A220+1)</f>
        <v/>
      </c>
      <c r="B221" s="288">
        <f>IF(ROW()-15&lt;=$B$11,INDEX(Routing!$A:$A,ROW()-14),"")</f>
        <v/>
      </c>
      <c r="C221" s="289">
        <f>IF(B221="","",INDEX(Routing!$M:$M,ROW()-14))</f>
        <v/>
      </c>
      <c r="D221" s="289">
        <f>IF(B221="","",H220)</f>
        <v/>
      </c>
      <c r="E221" s="289">
        <f>IF(B221="","",$B$5+IF($B$7=0,0,D221/$B$7))</f>
        <v/>
      </c>
      <c r="F221" s="289">
        <f>IF(B221="","",IF(E221&lt;=J6,K6,IF(E221&gt;=J11,K11,INDEX(K6:K11,MATCH(E221,J6:J11,1))+(E221-INDEX(J6:J11,MATCH(E221,J6:J11,1)))*(INDEX(K6:K11,MATCH(E221,J6:J11,1)+1)-INDEX(K6:K11,MATCH(E221,J6:J11,1)))/(INDEX(J6:J11,MATCH(E221,J6:J11,1)+1)-INDEX(J6:J11,MATCH(E221,J6:J11,1))))))</f>
        <v/>
      </c>
      <c r="G221" s="289">
        <f>IF(B221="","",(C221-F221)*$B$10)</f>
        <v/>
      </c>
      <c r="H221" s="289">
        <f>IF(B221="","",MAX(0,D221+G221))</f>
        <v/>
      </c>
      <c r="I221" s="289">
        <f>IF(B221="","",$B$5+IF($B$7=0,0,H221/$B$7))</f>
        <v/>
      </c>
    </row>
    <row r="222">
      <c r="A222" s="288">
        <f>IF(B222="","",A221+1)</f>
        <v/>
      </c>
      <c r="B222" s="288">
        <f>IF(ROW()-15&lt;=$B$11,INDEX(Routing!$A:$A,ROW()-14),"")</f>
        <v/>
      </c>
      <c r="C222" s="289">
        <f>IF(B222="","",INDEX(Routing!$M:$M,ROW()-14))</f>
        <v/>
      </c>
      <c r="D222" s="289">
        <f>IF(B222="","",H221)</f>
        <v/>
      </c>
      <c r="E222" s="289">
        <f>IF(B222="","",$B$5+IF($B$7=0,0,D222/$B$7))</f>
        <v/>
      </c>
      <c r="F222" s="289">
        <f>IF(B222="","",IF(E222&lt;=J6,K6,IF(E222&gt;=J11,K11,INDEX(K6:K11,MATCH(E222,J6:J11,1))+(E222-INDEX(J6:J11,MATCH(E222,J6:J11,1)))*(INDEX(K6:K11,MATCH(E222,J6:J11,1)+1)-INDEX(K6:K11,MATCH(E222,J6:J11,1)))/(INDEX(J6:J11,MATCH(E222,J6:J11,1)+1)-INDEX(J6:J11,MATCH(E222,J6:J11,1))))))</f>
        <v/>
      </c>
      <c r="G222" s="289">
        <f>IF(B222="","",(C222-F222)*$B$10)</f>
        <v/>
      </c>
      <c r="H222" s="289">
        <f>IF(B222="","",MAX(0,D222+G222))</f>
        <v/>
      </c>
      <c r="I222" s="289">
        <f>IF(B222="","",$B$5+IF($B$7=0,0,H222/$B$7))</f>
        <v/>
      </c>
    </row>
    <row r="223">
      <c r="A223" s="288">
        <f>IF(B223="","",A222+1)</f>
        <v/>
      </c>
      <c r="B223" s="288">
        <f>IF(ROW()-15&lt;=$B$11,INDEX(Routing!$A:$A,ROW()-14),"")</f>
        <v/>
      </c>
      <c r="C223" s="289">
        <f>IF(B223="","",INDEX(Routing!$M:$M,ROW()-14))</f>
        <v/>
      </c>
      <c r="D223" s="289">
        <f>IF(B223="","",H222)</f>
        <v/>
      </c>
      <c r="E223" s="289">
        <f>IF(B223="","",$B$5+IF($B$7=0,0,D223/$B$7))</f>
        <v/>
      </c>
      <c r="F223" s="289">
        <f>IF(B223="","",IF(E223&lt;=J6,K6,IF(E223&gt;=J11,K11,INDEX(K6:K11,MATCH(E223,J6:J11,1))+(E223-INDEX(J6:J11,MATCH(E223,J6:J11,1)))*(INDEX(K6:K11,MATCH(E223,J6:J11,1)+1)-INDEX(K6:K11,MATCH(E223,J6:J11,1)))/(INDEX(J6:J11,MATCH(E223,J6:J11,1)+1)-INDEX(J6:J11,MATCH(E223,J6:J11,1))))))</f>
        <v/>
      </c>
      <c r="G223" s="289">
        <f>IF(B223="","",(C223-F223)*$B$10)</f>
        <v/>
      </c>
      <c r="H223" s="289">
        <f>IF(B223="","",MAX(0,D223+G223))</f>
        <v/>
      </c>
      <c r="I223" s="289">
        <f>IF(B223="","",$B$5+IF($B$7=0,0,H223/$B$7))</f>
        <v/>
      </c>
    </row>
    <row r="224">
      <c r="A224" s="288">
        <f>IF(B224="","",A223+1)</f>
        <v/>
      </c>
      <c r="B224" s="288">
        <f>IF(ROW()-15&lt;=$B$11,INDEX(Routing!$A:$A,ROW()-14),"")</f>
        <v/>
      </c>
      <c r="C224" s="289">
        <f>IF(B224="","",INDEX(Routing!$M:$M,ROW()-14))</f>
        <v/>
      </c>
      <c r="D224" s="289">
        <f>IF(B224="","",H223)</f>
        <v/>
      </c>
      <c r="E224" s="289">
        <f>IF(B224="","",$B$5+IF($B$7=0,0,D224/$B$7))</f>
        <v/>
      </c>
      <c r="F224" s="289">
        <f>IF(B224="","",IF(E224&lt;=J6,K6,IF(E224&gt;=J11,K11,INDEX(K6:K11,MATCH(E224,J6:J11,1))+(E224-INDEX(J6:J11,MATCH(E224,J6:J11,1)))*(INDEX(K6:K11,MATCH(E224,J6:J11,1)+1)-INDEX(K6:K11,MATCH(E224,J6:J11,1)))/(INDEX(J6:J11,MATCH(E224,J6:J11,1)+1)-INDEX(J6:J11,MATCH(E224,J6:J11,1))))))</f>
        <v/>
      </c>
      <c r="G224" s="289">
        <f>IF(B224="","",(C224-F224)*$B$10)</f>
        <v/>
      </c>
      <c r="H224" s="289">
        <f>IF(B224="","",MAX(0,D224+G224))</f>
        <v/>
      </c>
      <c r="I224" s="289">
        <f>IF(B224="","",$B$5+IF($B$7=0,0,H224/$B$7))</f>
        <v/>
      </c>
    </row>
    <row r="225">
      <c r="A225" s="288">
        <f>IF(B225="","",A224+1)</f>
        <v/>
      </c>
      <c r="B225" s="288">
        <f>IF(ROW()-15&lt;=$B$11,INDEX(Routing!$A:$A,ROW()-14),"")</f>
        <v/>
      </c>
      <c r="C225" s="289">
        <f>IF(B225="","",INDEX(Routing!$M:$M,ROW()-14))</f>
        <v/>
      </c>
      <c r="D225" s="289">
        <f>IF(B225="","",H224)</f>
        <v/>
      </c>
      <c r="E225" s="289">
        <f>IF(B225="","",$B$5+IF($B$7=0,0,D225/$B$7))</f>
        <v/>
      </c>
      <c r="F225" s="289">
        <f>IF(B225="","",IF(E225&lt;=J6,K6,IF(E225&gt;=J11,K11,INDEX(K6:K11,MATCH(E225,J6:J11,1))+(E225-INDEX(J6:J11,MATCH(E225,J6:J11,1)))*(INDEX(K6:K11,MATCH(E225,J6:J11,1)+1)-INDEX(K6:K11,MATCH(E225,J6:J11,1)))/(INDEX(J6:J11,MATCH(E225,J6:J11,1)+1)-INDEX(J6:J11,MATCH(E225,J6:J11,1))))))</f>
        <v/>
      </c>
      <c r="G225" s="289">
        <f>IF(B225="","",(C225-F225)*$B$10)</f>
        <v/>
      </c>
      <c r="H225" s="289">
        <f>IF(B225="","",MAX(0,D225+G225))</f>
        <v/>
      </c>
      <c r="I225" s="289">
        <f>IF(B225="","",$B$5+IF($B$7=0,0,H225/$B$7))</f>
        <v/>
      </c>
    </row>
    <row r="226">
      <c r="A226" s="288">
        <f>IF(B226="","",A225+1)</f>
        <v/>
      </c>
      <c r="B226" s="288">
        <f>IF(ROW()-15&lt;=$B$11,INDEX(Routing!$A:$A,ROW()-14),"")</f>
        <v/>
      </c>
      <c r="C226" s="289">
        <f>IF(B226="","",INDEX(Routing!$M:$M,ROW()-14))</f>
        <v/>
      </c>
      <c r="D226" s="289">
        <f>IF(B226="","",H225)</f>
        <v/>
      </c>
      <c r="E226" s="289">
        <f>IF(B226="","",$B$5+IF($B$7=0,0,D226/$B$7))</f>
        <v/>
      </c>
      <c r="F226" s="289">
        <f>IF(B226="","",IF(E226&lt;=J6,K6,IF(E226&gt;=J11,K11,INDEX(K6:K11,MATCH(E226,J6:J11,1))+(E226-INDEX(J6:J11,MATCH(E226,J6:J11,1)))*(INDEX(K6:K11,MATCH(E226,J6:J11,1)+1)-INDEX(K6:K11,MATCH(E226,J6:J11,1)))/(INDEX(J6:J11,MATCH(E226,J6:J11,1)+1)-INDEX(J6:J11,MATCH(E226,J6:J11,1))))))</f>
        <v/>
      </c>
      <c r="G226" s="289">
        <f>IF(B226="","",(C226-F226)*$B$10)</f>
        <v/>
      </c>
      <c r="H226" s="289">
        <f>IF(B226="","",MAX(0,D226+G226))</f>
        <v/>
      </c>
      <c r="I226" s="289">
        <f>IF(B226="","",$B$5+IF($B$7=0,0,H226/$B$7))</f>
        <v/>
      </c>
    </row>
    <row r="227">
      <c r="A227" s="288">
        <f>IF(B227="","",A226+1)</f>
        <v/>
      </c>
      <c r="B227" s="288">
        <f>IF(ROW()-15&lt;=$B$11,INDEX(Routing!$A:$A,ROW()-14),"")</f>
        <v/>
      </c>
      <c r="C227" s="289">
        <f>IF(B227="","",INDEX(Routing!$M:$M,ROW()-14))</f>
        <v/>
      </c>
      <c r="D227" s="289">
        <f>IF(B227="","",H226)</f>
        <v/>
      </c>
      <c r="E227" s="289">
        <f>IF(B227="","",$B$5+IF($B$7=0,0,D227/$B$7))</f>
        <v/>
      </c>
      <c r="F227" s="289">
        <f>IF(B227="","",IF(E227&lt;=J6,K6,IF(E227&gt;=J11,K11,INDEX(K6:K11,MATCH(E227,J6:J11,1))+(E227-INDEX(J6:J11,MATCH(E227,J6:J11,1)))*(INDEX(K6:K11,MATCH(E227,J6:J11,1)+1)-INDEX(K6:K11,MATCH(E227,J6:J11,1)))/(INDEX(J6:J11,MATCH(E227,J6:J11,1)+1)-INDEX(J6:J11,MATCH(E227,J6:J11,1))))))</f>
        <v/>
      </c>
      <c r="G227" s="289">
        <f>IF(B227="","",(C227-F227)*$B$10)</f>
        <v/>
      </c>
      <c r="H227" s="289">
        <f>IF(B227="","",MAX(0,D227+G227))</f>
        <v/>
      </c>
      <c r="I227" s="289">
        <f>IF(B227="","",$B$5+IF($B$7=0,0,H227/$B$7))</f>
        <v/>
      </c>
    </row>
    <row r="228">
      <c r="A228" s="288">
        <f>IF(B228="","",A227+1)</f>
        <v/>
      </c>
      <c r="B228" s="288">
        <f>IF(ROW()-15&lt;=$B$11,INDEX(Routing!$A:$A,ROW()-14),"")</f>
        <v/>
      </c>
      <c r="C228" s="289">
        <f>IF(B228="","",INDEX(Routing!$M:$M,ROW()-14))</f>
        <v/>
      </c>
      <c r="D228" s="289">
        <f>IF(B228="","",H227)</f>
        <v/>
      </c>
      <c r="E228" s="289">
        <f>IF(B228="","",$B$5+IF($B$7=0,0,D228/$B$7))</f>
        <v/>
      </c>
      <c r="F228" s="289">
        <f>IF(B228="","",IF(E228&lt;=J6,K6,IF(E228&gt;=J11,K11,INDEX(K6:K11,MATCH(E228,J6:J11,1))+(E228-INDEX(J6:J11,MATCH(E228,J6:J11,1)))*(INDEX(K6:K11,MATCH(E228,J6:J11,1)+1)-INDEX(K6:K11,MATCH(E228,J6:J11,1)))/(INDEX(J6:J11,MATCH(E228,J6:J11,1)+1)-INDEX(J6:J11,MATCH(E228,J6:J11,1))))))</f>
        <v/>
      </c>
      <c r="G228" s="289">
        <f>IF(B228="","",(C228-F228)*$B$10)</f>
        <v/>
      </c>
      <c r="H228" s="289">
        <f>IF(B228="","",MAX(0,D228+G228))</f>
        <v/>
      </c>
      <c r="I228" s="289">
        <f>IF(B228="","",$B$5+IF($B$7=0,0,H228/$B$7))</f>
        <v/>
      </c>
    </row>
    <row r="229">
      <c r="A229" s="288">
        <f>IF(B229="","",A228+1)</f>
        <v/>
      </c>
      <c r="B229" s="288">
        <f>IF(ROW()-15&lt;=$B$11,INDEX(Routing!$A:$A,ROW()-14),"")</f>
        <v/>
      </c>
      <c r="C229" s="289">
        <f>IF(B229="","",INDEX(Routing!$M:$M,ROW()-14))</f>
        <v/>
      </c>
      <c r="D229" s="289">
        <f>IF(B229="","",H228)</f>
        <v/>
      </c>
      <c r="E229" s="289">
        <f>IF(B229="","",$B$5+IF($B$7=0,0,D229/$B$7))</f>
        <v/>
      </c>
      <c r="F229" s="289">
        <f>IF(B229="","",IF(E229&lt;=J6,K6,IF(E229&gt;=J11,K11,INDEX(K6:K11,MATCH(E229,J6:J11,1))+(E229-INDEX(J6:J11,MATCH(E229,J6:J11,1)))*(INDEX(K6:K11,MATCH(E229,J6:J11,1)+1)-INDEX(K6:K11,MATCH(E229,J6:J11,1)))/(INDEX(J6:J11,MATCH(E229,J6:J11,1)+1)-INDEX(J6:J11,MATCH(E229,J6:J11,1))))))</f>
        <v/>
      </c>
      <c r="G229" s="289">
        <f>IF(B229="","",(C229-F229)*$B$10)</f>
        <v/>
      </c>
      <c r="H229" s="289">
        <f>IF(B229="","",MAX(0,D229+G229))</f>
        <v/>
      </c>
      <c r="I229" s="289">
        <f>IF(B229="","",$B$5+IF($B$7=0,0,H229/$B$7))</f>
        <v/>
      </c>
    </row>
    <row r="230">
      <c r="A230" s="288">
        <f>IF(B230="","",A229+1)</f>
        <v/>
      </c>
      <c r="B230" s="288">
        <f>IF(ROW()-15&lt;=$B$11,INDEX(Routing!$A:$A,ROW()-14),"")</f>
        <v/>
      </c>
      <c r="C230" s="289">
        <f>IF(B230="","",INDEX(Routing!$M:$M,ROW()-14))</f>
        <v/>
      </c>
      <c r="D230" s="289">
        <f>IF(B230="","",H229)</f>
        <v/>
      </c>
      <c r="E230" s="289">
        <f>IF(B230="","",$B$5+IF($B$7=0,0,D230/$B$7))</f>
        <v/>
      </c>
      <c r="F230" s="289">
        <f>IF(B230="","",IF(E230&lt;=J6,K6,IF(E230&gt;=J11,K11,INDEX(K6:K11,MATCH(E230,J6:J11,1))+(E230-INDEX(J6:J11,MATCH(E230,J6:J11,1)))*(INDEX(K6:K11,MATCH(E230,J6:J11,1)+1)-INDEX(K6:K11,MATCH(E230,J6:J11,1)))/(INDEX(J6:J11,MATCH(E230,J6:J11,1)+1)-INDEX(J6:J11,MATCH(E230,J6:J11,1))))))</f>
        <v/>
      </c>
      <c r="G230" s="289">
        <f>IF(B230="","",(C230-F230)*$B$10)</f>
        <v/>
      </c>
      <c r="H230" s="289">
        <f>IF(B230="","",MAX(0,D230+G230))</f>
        <v/>
      </c>
      <c r="I230" s="289">
        <f>IF(B230="","",$B$5+IF($B$7=0,0,H230/$B$7))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2026-06-16T02:21:52Z</dcterms:modified>
  <cp:revision>77</cp:revision>
</cp:coreProperties>
</file>