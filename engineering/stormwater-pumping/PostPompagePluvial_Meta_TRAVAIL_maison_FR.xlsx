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Inputs" sheetId="1" state="visible" r:id="rId1"/>
    <sheet name="IDF_Hyetograph" sheetId="2" state="visible" r:id="rId2"/>
    <sheet name="Routing" sheetId="3" state="visible" r:id="rId3"/>
    <sheet name="Pump_Sizing" sheetId="4" state="visible" r:id="rId4"/>
    <sheet name="Quick checks" sheetId="5" state="visible" r:id="rId5"/>
    <sheet name="Pertes_singulieres_detail" sheetId="6" state="visible" r:id="rId6"/>
  </sheets>
  <definedNames>
    <definedName name="A_wetwell" hidden="0" function="0" vbProcedure="0">Pump_Sizing!$E$39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mm/dd/yy"/>
    <numFmt numFmtId="165" formatCode="#,##0.000"/>
    <numFmt numFmtId="166" formatCode="#,##0.0000"/>
    <numFmt numFmtId="167" formatCode="0.000"/>
  </numFmts>
  <fonts count="29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b val="1"/>
      <sz val="10"/>
    </font>
    <font>
      <name val="Arial"/>
      <charset val="1"/>
      <family val="2"/>
      <color rgb="FF492300"/>
      <sz val="10"/>
    </font>
    <font>
      <name val="Arial"/>
      <charset val="1"/>
      <family val="2"/>
      <b val="1"/>
      <color rgb="FF006100"/>
      <sz val="10"/>
    </font>
    <font>
      <name val="Arial"/>
      <charset val="1"/>
      <family val="2"/>
      <sz val="16"/>
    </font>
    <font>
      <name val="Arial"/>
      <charset val="1"/>
      <family val="2"/>
      <i val="1"/>
      <color rgb="FF1C1C1C"/>
      <sz val="10"/>
    </font>
    <font>
      <name val="Arial"/>
      <charset val="1"/>
      <family val="2"/>
      <b val="1"/>
      <color rgb="FFFF0000"/>
      <sz val="10"/>
    </font>
    <font>
      <name val="Times New Roman"/>
      <charset val="1"/>
      <family val="1"/>
      <sz val="10"/>
    </font>
    <font>
      <name val="Times New Roman"/>
      <charset val="1"/>
      <family val="1"/>
      <b val="1"/>
      <sz val="10"/>
    </font>
    <font>
      <name val="Times New Roman"/>
      <charset val="1"/>
      <family val="0"/>
      <sz val="10"/>
    </font>
    <font>
      <name val="Arial"/>
      <charset val="1"/>
      <family val="2"/>
      <color rgb="FFF2F2F2"/>
      <sz val="13"/>
    </font>
    <font>
      <name val="Arial"/>
      <charset val="1"/>
      <family val="2"/>
      <color rgb="FF1F4E78"/>
      <sz val="10"/>
    </font>
    <font>
      <name val="Arial"/>
      <charset val="1"/>
      <family val="2"/>
      <b val="1"/>
      <color rgb="FF000000"/>
      <sz val="10"/>
    </font>
    <font>
      <name val="Arial"/>
      <charset val="1"/>
      <family val="2"/>
      <b val="1"/>
      <color rgb="FF1C1C1C"/>
      <sz val="10"/>
    </font>
    <font>
      <name val="Times New Roman"/>
      <charset val="1"/>
      <family val="1"/>
      <sz val="11"/>
    </font>
    <font>
      <name val="Arial"/>
      <charset val="1"/>
      <family val="2"/>
      <sz val="11"/>
    </font>
    <font>
      <name val="Arial"/>
      <charset val="1"/>
      <family val="2"/>
      <sz val="14"/>
    </font>
    <font>
      <name val="Times New Roman"/>
      <charset val="1"/>
      <family val="1"/>
      <b val="1"/>
      <sz val="12"/>
    </font>
    <font>
      <name val="Times New Roman"/>
      <charset val="1"/>
      <family val="1"/>
      <b val="1"/>
      <sz val="16"/>
    </font>
    <font>
      <name val="Arial"/>
      <charset val="1"/>
      <family val="2"/>
      <b val="1"/>
      <sz val="12"/>
    </font>
    <font>
      <name val="Arial"/>
      <charset val="1"/>
      <family val="0"/>
      <sz val="10"/>
    </font>
    <font>
      <b val="1"/>
      <color rgb="00FFFFFF"/>
      <sz val="12"/>
    </font>
    <font>
      <i val="1"/>
    </font>
    <font>
      <i val="1"/>
      <color rgb="009C0006"/>
    </font>
    <font>
      <b val="1"/>
    </font>
    <font>
      <b val="1"/>
      <color rgb="00FFFFFF"/>
    </font>
  </fonts>
  <fills count="18">
    <fill>
      <patternFill/>
    </fill>
    <fill>
      <patternFill patternType="gray125"/>
    </fill>
    <fill>
      <patternFill patternType="solid">
        <fgColor rgb="FFFFC7CE"/>
        <bgColor rgb="FFFFE699"/>
      </patternFill>
    </fill>
    <fill>
      <patternFill patternType="solid">
        <fgColor rgb="FFFFE699"/>
        <bgColor rgb="FFE8F2A1"/>
      </patternFill>
    </fill>
    <fill>
      <patternFill patternType="solid">
        <fgColor rgb="FFC6EFCE"/>
        <bgColor rgb="FFE2F0D9"/>
      </patternFill>
    </fill>
    <fill>
      <patternFill patternType="solid">
        <fgColor rgb="FF1F4E78"/>
        <bgColor rgb="FF003366"/>
      </patternFill>
    </fill>
    <fill>
      <patternFill patternType="solid">
        <fgColor rgb="FFDCE6F1"/>
        <bgColor rgb="FFE2F0D9"/>
      </patternFill>
    </fill>
    <fill>
      <patternFill patternType="solid">
        <fgColor rgb="FFFFF2CC"/>
        <bgColor rgb="FFFFF5CE"/>
      </patternFill>
    </fill>
    <fill>
      <patternFill patternType="solid">
        <fgColor rgb="FFE2F0D9"/>
        <bgColor rgb="FFDCE6F1"/>
      </patternFill>
    </fill>
    <fill>
      <patternFill patternType="solid">
        <fgColor rgb="FFF2F2F2"/>
        <bgColor rgb="FFEAF1FB"/>
      </patternFill>
    </fill>
    <fill>
      <patternFill patternType="solid">
        <fgColor rgb="FFFFF5CE"/>
        <bgColor rgb="FFFFF2CC"/>
      </patternFill>
    </fill>
    <fill>
      <patternFill patternType="solid">
        <fgColor rgb="FFE8F2A1"/>
        <bgColor rgb="FFFFE699"/>
      </patternFill>
    </fill>
    <fill>
      <patternFill patternType="solid">
        <fgColor rgb="FFEAF1FB"/>
        <bgColor rgb="FFF2F2F2"/>
      </patternFill>
    </fill>
    <fill>
      <patternFill patternType="solid">
        <fgColor rgb="FF2F75B5"/>
        <bgColor rgb="FF0066CC"/>
      </patternFill>
    </fill>
    <fill>
      <patternFill patternType="solid">
        <fgColor rgb="001F4E78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2">
    <border>
      <left/>
      <right/>
      <top/>
      <bottom/>
      <diagonal/>
    </border>
    <border>
      <left style="thin"/>
      <right style="hair"/>
      <top style="thin"/>
      <bottom style="hair"/>
      <diagonal/>
    </border>
    <border>
      <left style="hair"/>
      <right style="thin"/>
      <top style="thin"/>
      <bottom style="hair"/>
      <diagonal/>
    </border>
    <border>
      <left style="thin"/>
      <right style="hair"/>
      <top style="hair"/>
      <bottom style="hair"/>
      <diagonal/>
    </border>
    <border>
      <left style="hair"/>
      <right style="thin"/>
      <top style="hair"/>
      <bottom style="hair"/>
      <diagonal/>
    </border>
    <border>
      <left style="thin"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  <border>
      <left/>
      <right style="dashed"/>
      <top/>
      <bottom/>
      <diagonal/>
    </border>
    <border>
      <left/>
      <right style="dashed"/>
      <top style="dotted"/>
      <bottom/>
      <diagonal/>
    </border>
    <border>
      <left style="dotted"/>
      <right style="dotted"/>
      <top style="dotted"/>
      <bottom/>
      <diagonal/>
    </border>
    <border>
      <left style="dotted"/>
      <right style="dotted"/>
      <top/>
      <bottom/>
      <diagonal/>
    </border>
    <border>
      <left/>
      <right style="dashed"/>
      <top/>
      <bottom style="thin"/>
      <diagonal/>
    </border>
    <border>
      <left style="dashed"/>
      <right style="dashed"/>
      <top/>
      <bottom style="thin"/>
      <diagonal/>
    </border>
    <border>
      <left style="thin"/>
      <right style="hair"/>
      <top style="hair"/>
      <bottom style="thin"/>
      <diagonal/>
    </border>
    <border>
      <left style="hair"/>
      <right style="thin"/>
      <top style="hair"/>
      <bottom style="thin"/>
      <diagonal/>
    </border>
    <border>
      <left/>
      <right/>
      <top/>
      <bottom style="thin"/>
      <diagonal/>
    </border>
    <border>
      <left/>
      <right/>
      <top style="thin"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2" borderId="0" applyAlignment="1">
      <alignment horizontal="general" vertical="bottom"/>
    </xf>
    <xf numFmtId="0" fontId="5" fillId="3" borderId="0" applyAlignment="1">
      <alignment horizontal="general" vertical="bottom"/>
    </xf>
    <xf numFmtId="0" fontId="6" fillId="4" borderId="0" applyAlignment="1">
      <alignment horizontal="general" vertical="bottom"/>
    </xf>
  </cellStyleXfs>
  <cellXfs count="24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general" vertical="bottom"/>
    </xf>
    <xf numFmtId="0" fontId="8" fillId="7" borderId="2" applyAlignment="1" pivotButton="0" quotePrefix="0" xfId="0">
      <alignment horizontal="general" vertical="bottom"/>
    </xf>
    <xf numFmtId="0" fontId="4" fillId="6" borderId="3" applyAlignment="1" pivotButton="0" quotePrefix="0" xfId="0">
      <alignment horizontal="general" vertical="bottom"/>
    </xf>
    <xf numFmtId="0" fontId="8" fillId="7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8" applyAlignment="1" pivotButton="0" quotePrefix="0" xfId="0">
      <alignment horizontal="general" vertical="bottom"/>
    </xf>
    <xf numFmtId="0" fontId="0" fillId="0" borderId="9" applyAlignment="1" pivotButton="0" quotePrefix="0" xfId="0">
      <alignment horizontal="general" vertical="bottom"/>
    </xf>
    <xf numFmtId="164" fontId="0" fillId="0" borderId="1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top"/>
    </xf>
    <xf numFmtId="0" fontId="4" fillId="5" borderId="0" applyAlignment="1" pivotButton="0" quotePrefix="0" xfId="0">
      <alignment horizontal="center" vertical="center"/>
    </xf>
    <xf numFmtId="0" fontId="4" fillId="5" borderId="11" applyAlignment="1" pivotButton="0" quotePrefix="0" xfId="0">
      <alignment horizontal="left" vertical="bottom"/>
    </xf>
    <xf numFmtId="0" fontId="4" fillId="5" borderId="0" applyAlignment="1" pivotButton="0" quotePrefix="0" xfId="0">
      <alignment horizontal="center" vertical="bottom"/>
    </xf>
    <xf numFmtId="0" fontId="0" fillId="6" borderId="5" applyAlignment="1" pivotButton="0" quotePrefix="0" xfId="0">
      <alignment horizontal="left" vertical="top" wrapText="1"/>
    </xf>
    <xf numFmtId="4" fontId="0" fillId="8" borderId="12" applyAlignment="1" pivotButton="0" quotePrefix="0" xfId="0">
      <alignment horizontal="general" vertical="bottom"/>
    </xf>
    <xf numFmtId="4" fontId="0" fillId="9" borderId="13" applyAlignment="1" pivotButton="0" quotePrefix="0" xfId="0">
      <alignment horizontal="general" vertical="bottom"/>
    </xf>
    <xf numFmtId="0" fontId="0" fillId="0" borderId="6" applyAlignment="1" pivotButton="0" quotePrefix="0" xfId="0">
      <alignment horizontal="center" vertical="bottom" wrapText="1"/>
    </xf>
    <xf numFmtId="0" fontId="0" fillId="6" borderId="7" applyAlignment="1" pivotButton="0" quotePrefix="0" xfId="0">
      <alignment horizontal="left" vertical="center"/>
    </xf>
    <xf numFmtId="4" fontId="0" fillId="8" borderId="11" applyAlignment="1" pivotButton="0" quotePrefix="0" xfId="0">
      <alignment horizontal="general" vertical="bottom"/>
    </xf>
    <xf numFmtId="4" fontId="0" fillId="9" borderId="14" applyAlignment="1" pivotButton="0" quotePrefix="0" xfId="0">
      <alignment horizontal="general" vertical="bottom"/>
    </xf>
    <xf numFmtId="0" fontId="0" fillId="0" borderId="8" applyAlignment="1" pivotButton="0" quotePrefix="0" xfId="0">
      <alignment horizontal="center" vertical="bottom" wrapText="1"/>
    </xf>
    <xf numFmtId="0" fontId="0" fillId="6" borderId="7" applyAlignment="1" pivotButton="0" quotePrefix="0" xfId="0">
      <alignment horizontal="left" vertical="top" wrapText="1"/>
    </xf>
    <xf numFmtId="0" fontId="0" fillId="6" borderId="7" applyAlignment="1" pivotButton="0" quotePrefix="0" xfId="0">
      <alignment horizontal="general" vertical="bottom"/>
    </xf>
    <xf numFmtId="4" fontId="0" fillId="9" borderId="14" applyAlignment="1" pivotButton="0" quotePrefix="0" xfId="0">
      <alignment horizontal="general" vertical="top" wrapText="1"/>
    </xf>
    <xf numFmtId="0" fontId="0" fillId="8" borderId="11" applyAlignment="1" pivotButton="0" quotePrefix="0" xfId="0">
      <alignment horizontal="general" vertical="bottom"/>
    </xf>
    <xf numFmtId="0" fontId="0" fillId="9" borderId="14" applyAlignment="1" pivotButton="0" quotePrefix="0" xfId="0">
      <alignment horizontal="general" vertical="bottom"/>
    </xf>
    <xf numFmtId="0" fontId="0" fillId="8" borderId="11" applyAlignment="1" pivotButton="0" quotePrefix="0" xfId="0">
      <alignment horizontal="general" vertical="bottom" wrapText="1"/>
    </xf>
    <xf numFmtId="165" fontId="0" fillId="8" borderId="11" applyAlignment="1" pivotButton="0" quotePrefix="0" xfId="0">
      <alignment horizontal="general" vertical="bottom"/>
    </xf>
    <xf numFmtId="0" fontId="0" fillId="6" borderId="7" applyAlignment="1" pivotButton="0" quotePrefix="0" xfId="0">
      <alignment horizontal="general" vertical="bottom"/>
    </xf>
    <xf numFmtId="0" fontId="0" fillId="6" borderId="9" applyAlignment="1" pivotButton="0" quotePrefix="0" xfId="0">
      <alignment horizontal="left" vertical="top" wrapText="1"/>
    </xf>
    <xf numFmtId="0" fontId="0" fillId="8" borderId="15" applyAlignment="1" pivotButton="0" quotePrefix="0" xfId="0">
      <alignment horizontal="general" vertical="bottom"/>
    </xf>
    <xf numFmtId="0" fontId="0" fillId="9" borderId="16" applyAlignment="1" pivotButton="0" quotePrefix="0" xfId="0">
      <alignment horizontal="general" vertical="bottom"/>
    </xf>
    <xf numFmtId="0" fontId="0" fillId="0" borderId="10" applyAlignment="1" pivotButton="0" quotePrefix="0" xfId="0">
      <alignment horizontal="center" vertical="bottom" wrapText="1"/>
    </xf>
    <xf numFmtId="0" fontId="9" fillId="6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center" vertical="bottom"/>
    </xf>
    <xf numFmtId="4" fontId="0" fillId="0" borderId="0" applyAlignment="1" pivotButton="0" quotePrefix="0" xfId="0">
      <alignment horizontal="general" vertical="bottom"/>
    </xf>
    <xf numFmtId="0" fontId="4" fillId="6" borderId="3" applyAlignment="1" pivotButton="0" quotePrefix="0" xfId="0">
      <alignment horizontal="general" vertical="bottom" wrapText="1"/>
    </xf>
    <xf numFmtId="0" fontId="4" fillId="6" borderId="3" applyAlignment="1" pivotButton="0" quotePrefix="0" xfId="0">
      <alignment horizontal="general" vertical="top" wrapText="1"/>
    </xf>
    <xf numFmtId="4" fontId="8" fillId="7" borderId="4" applyAlignment="1" pivotButton="0" quotePrefix="0" xfId="0">
      <alignment horizontal="general" vertical="bottom"/>
    </xf>
    <xf numFmtId="166" fontId="8" fillId="7" borderId="4" applyAlignment="1" pivotButton="0" quotePrefix="0" xfId="0">
      <alignment horizontal="general" vertical="bottom"/>
    </xf>
    <xf numFmtId="0" fontId="4" fillId="6" borderId="17" applyAlignment="1" pivotButton="0" quotePrefix="0" xfId="0">
      <alignment horizontal="general" vertical="top" wrapText="1"/>
    </xf>
    <xf numFmtId="0" fontId="8" fillId="7" borderId="18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 wrapText="1"/>
    </xf>
    <xf numFmtId="167" fontId="0" fillId="0" borderId="0" applyAlignment="1" pivotButton="0" quotePrefix="0" xfId="0">
      <alignment horizontal="general" vertical="bottom"/>
    </xf>
    <xf numFmtId="167" fontId="10" fillId="0" borderId="0" applyAlignment="1" pivotButton="0" quotePrefix="0" xfId="0">
      <alignment horizontal="general" vertical="bottom"/>
    </xf>
    <xf numFmtId="167" fontId="10" fillId="0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2" fontId="10" fillId="0" borderId="0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 wrapText="1"/>
    </xf>
    <xf numFmtId="3" fontId="10" fillId="0" borderId="0" applyAlignment="1" pivotButton="0" quotePrefix="0" xfId="0">
      <alignment horizontal="general" vertical="bottom" wrapText="1"/>
    </xf>
    <xf numFmtId="4" fontId="10" fillId="0" borderId="0" applyAlignment="1" pivotButton="0" quotePrefix="0" xfId="0">
      <alignment horizontal="general" vertical="bottom" wrapText="1"/>
    </xf>
    <xf numFmtId="167" fontId="0" fillId="0" borderId="0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horizontal="general" vertical="bottom" wrapText="1"/>
    </xf>
    <xf numFmtId="4" fontId="0" fillId="0" borderId="0" applyAlignment="1" pivotButton="0" quotePrefix="0" xfId="0">
      <alignment horizontal="general" vertical="bottom" wrapText="1"/>
    </xf>
    <xf numFmtId="0" fontId="12" fillId="0" borderId="0" applyAlignment="1" pivotButton="0" quotePrefix="0" xfId="0">
      <alignment horizontal="general" vertical="bottom"/>
    </xf>
    <xf numFmtId="4" fontId="0" fillId="10" borderId="0" applyAlignment="1" pivotButton="0" quotePrefix="0" xfId="0">
      <alignment horizontal="general" vertical="bottom" wrapText="1"/>
    </xf>
    <xf numFmtId="4" fontId="0" fillId="11" borderId="0" applyAlignment="1" pivotButton="0" quotePrefix="0" xfId="0">
      <alignment horizontal="general" vertical="bottom" wrapText="1"/>
    </xf>
    <xf numFmtId="4" fontId="0" fillId="11" borderId="0" applyAlignment="1" pivotButton="0" quotePrefix="0" xfId="0">
      <alignment horizontal="general" vertical="bottom"/>
    </xf>
    <xf numFmtId="4" fontId="0" fillId="10" borderId="0" applyAlignment="1" pivotButton="0" quotePrefix="0" xfId="0">
      <alignment horizontal="general" vertical="top" wrapText="1"/>
    </xf>
    <xf numFmtId="4" fontId="0" fillId="11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13" fillId="5" borderId="19" applyAlignment="1" pivotButton="0" quotePrefix="0" xfId="0">
      <alignment horizontal="center" vertical="center" wrapText="1"/>
    </xf>
    <xf numFmtId="0" fontId="14" fillId="6" borderId="0" applyAlignment="1" pivotButton="0" quotePrefix="0" xfId="0">
      <alignment horizontal="center" vertical="center" wrapText="1"/>
    </xf>
    <xf numFmtId="0" fontId="15" fillId="12" borderId="0" applyAlignment="1" pivotButton="0" quotePrefix="0" xfId="0">
      <alignment horizontal="general" vertical="bottom" wrapText="1"/>
    </xf>
    <xf numFmtId="165" fontId="0" fillId="7" borderId="0" applyAlignment="1" pivotButton="0" quotePrefix="0" xfId="0">
      <alignment horizontal="general" vertical="bottom"/>
    </xf>
    <xf numFmtId="0" fontId="4" fillId="7" borderId="0" applyAlignment="1" pivotButton="0" quotePrefix="0" xfId="0">
      <alignment horizontal="general" vertical="bottom"/>
    </xf>
    <xf numFmtId="0" fontId="15" fillId="12" borderId="0" applyAlignment="1" pivotButton="0" quotePrefix="0" xfId="0">
      <alignment horizontal="general" vertical="bottom"/>
    </xf>
    <xf numFmtId="2" fontId="4" fillId="7" borderId="0" applyAlignment="1" pivotButton="0" quotePrefix="0" xfId="0">
      <alignment horizontal="general" vertical="bottom"/>
    </xf>
    <xf numFmtId="0" fontId="4" fillId="13" borderId="5" applyAlignment="1" pivotButton="0" quotePrefix="0" xfId="0">
      <alignment horizontal="general" vertical="bottom"/>
    </xf>
    <xf numFmtId="0" fontId="0" fillId="13" borderId="20" applyAlignment="1" pivotButton="0" quotePrefix="0" xfId="0">
      <alignment horizontal="general" vertical="bottom"/>
    </xf>
    <xf numFmtId="0" fontId="0" fillId="13" borderId="6" applyAlignment="1" pivotButton="0" quotePrefix="0" xfId="0">
      <alignment horizontal="general" vertical="bottom"/>
    </xf>
    <xf numFmtId="165" fontId="0" fillId="8" borderId="0" applyAlignment="1" pivotButton="0" quotePrefix="0" xfId="0">
      <alignment horizontal="general" vertical="bottom"/>
    </xf>
    <xf numFmtId="0" fontId="16" fillId="7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165" fontId="0" fillId="8" borderId="0" applyAlignment="1" pivotButton="0" quotePrefix="0" xfId="0">
      <alignment horizontal="center" vertical="bottom"/>
    </xf>
    <xf numFmtId="165" fontId="17" fillId="7" borderId="0" applyAlignment="1" pivotButton="0" quotePrefix="0" xfId="0">
      <alignment horizontal="general" vertical="bottom" wrapText="1"/>
    </xf>
    <xf numFmtId="0" fontId="15" fillId="12" borderId="0" applyAlignment="1" pivotButton="0" quotePrefix="0" xfId="0">
      <alignment horizontal="general" vertical="top"/>
    </xf>
    <xf numFmtId="165" fontId="0" fillId="7" borderId="0" applyAlignment="1" pivotButton="0" quotePrefix="0" xfId="0">
      <alignment horizontal="general" vertical="bottom" wrapText="1"/>
    </xf>
    <xf numFmtId="3" fontId="0" fillId="8" borderId="0" applyAlignment="1" pivotButton="0" quotePrefix="0" xfId="0">
      <alignment horizontal="general" vertical="bottom"/>
    </xf>
    <xf numFmtId="0" fontId="18" fillId="7" borderId="0" applyAlignment="1" pivotButton="0" quotePrefix="0" xfId="0">
      <alignment horizontal="general" vertical="bottom"/>
    </xf>
    <xf numFmtId="4" fontId="0" fillId="8" borderId="0" applyAlignment="1" pivotButton="0" quotePrefix="0" xfId="0">
      <alignment horizontal="general" vertical="bottom"/>
    </xf>
    <xf numFmtId="0" fontId="18" fillId="7" borderId="0" applyAlignment="1" pivotButton="0" quotePrefix="0" xfId="0">
      <alignment horizontal="general" vertical="bottom" wrapText="1"/>
    </xf>
    <xf numFmtId="0" fontId="0" fillId="6" borderId="7" applyAlignment="1" pivotButton="0" quotePrefix="0" xfId="0">
      <alignment horizontal="general" vertical="bottom" wrapText="1"/>
    </xf>
    <xf numFmtId="165" fontId="0" fillId="8" borderId="0" applyAlignment="1" pivotButton="0" quotePrefix="0" xfId="0">
      <alignment horizontal="right" vertical="bottom"/>
    </xf>
    <xf numFmtId="167" fontId="18" fillId="7" borderId="0" applyAlignment="1" pivotButton="0" quotePrefix="0" xfId="0">
      <alignment horizontal="general" vertical="bottom" wrapText="1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 wrapText="1"/>
    </xf>
    <xf numFmtId="2" fontId="18" fillId="7" borderId="0" applyAlignment="1" pivotButton="0" quotePrefix="0" xfId="0">
      <alignment horizontal="general" vertical="bottom" wrapText="1"/>
    </xf>
    <xf numFmtId="0" fontId="20" fillId="0" borderId="0" applyAlignment="1" pivotButton="0" quotePrefix="0" xfId="0">
      <alignment horizontal="left" vertical="top" wrapText="1"/>
    </xf>
    <xf numFmtId="4" fontId="0" fillId="7" borderId="0" applyAlignment="1" pivotButton="0" quotePrefix="0" xfId="0">
      <alignment horizontal="general" vertical="bottom" wrapText="1"/>
    </xf>
    <xf numFmtId="4" fontId="10" fillId="7" borderId="0" applyAlignment="1" pivotButton="0" quotePrefix="0" xfId="0">
      <alignment horizontal="general" vertical="bottom" wrapText="1"/>
    </xf>
    <xf numFmtId="0" fontId="0" fillId="7" borderId="0" applyAlignment="1" pivotButton="0" quotePrefix="0" xfId="0">
      <alignment horizontal="general" vertical="bottom" wrapText="1"/>
    </xf>
    <xf numFmtId="0" fontId="21" fillId="0" borderId="0" applyAlignment="1" pivotButton="0" quotePrefix="0" xfId="0">
      <alignment horizontal="left" vertical="top"/>
    </xf>
    <xf numFmtId="0" fontId="10" fillId="0" borderId="0" applyAlignment="1" pivotButton="0" quotePrefix="0" xfId="0">
      <alignment horizontal="left" vertical="top"/>
    </xf>
    <xf numFmtId="0" fontId="0" fillId="7" borderId="0" applyAlignment="1" pivotButton="0" quotePrefix="0" xfId="0">
      <alignment horizontal="center" vertical="bottom" wrapText="1"/>
    </xf>
    <xf numFmtId="0" fontId="11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left" vertical="top"/>
    </xf>
    <xf numFmtId="0" fontId="10" fillId="0" borderId="0" applyAlignment="1" pivotButton="0" quotePrefix="0" xfId="0">
      <alignment horizontal="general" vertical="top" wrapText="1"/>
    </xf>
    <xf numFmtId="0" fontId="20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 wrapText="1"/>
    </xf>
    <xf numFmtId="0" fontId="22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top" wrapText="1"/>
    </xf>
    <xf numFmtId="0" fontId="22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center" wrapText="1"/>
    </xf>
    <xf numFmtId="0" fontId="23" fillId="0" borderId="0" applyAlignment="1" pivotButton="0" quotePrefix="0" xfId="0">
      <alignment horizontal="left" vertical="top" wrapText="1" inden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7" fillId="5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general" vertical="bottom"/>
    </xf>
    <xf numFmtId="0" fontId="8" fillId="7" borderId="2" applyAlignment="1" pivotButton="0" quotePrefix="0" xfId="0">
      <alignment horizontal="general" vertical="bottom"/>
    </xf>
    <xf numFmtId="0" fontId="4" fillId="6" borderId="3" applyAlignment="1" pivotButton="0" quotePrefix="0" xfId="0">
      <alignment horizontal="general" vertical="bottom"/>
    </xf>
    <xf numFmtId="0" fontId="8" fillId="7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8" applyAlignment="1" pivotButton="0" quotePrefix="0" xfId="0">
      <alignment horizontal="general" vertical="bottom"/>
    </xf>
    <xf numFmtId="0" fontId="0" fillId="0" borderId="9" applyAlignment="1" pivotButton="0" quotePrefix="0" xfId="0">
      <alignment horizontal="general" vertical="bottom"/>
    </xf>
    <xf numFmtId="164" fontId="0" fillId="0" borderId="1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top"/>
    </xf>
    <xf numFmtId="0" fontId="4" fillId="5" borderId="0" applyAlignment="1" pivotButton="0" quotePrefix="0" xfId="0">
      <alignment horizontal="center" vertical="center"/>
    </xf>
    <xf numFmtId="0" fontId="4" fillId="5" borderId="11" applyAlignment="1" pivotButton="0" quotePrefix="0" xfId="0">
      <alignment horizontal="left" vertical="bottom"/>
    </xf>
    <xf numFmtId="0" fontId="4" fillId="5" borderId="0" applyAlignment="1" pivotButton="0" quotePrefix="0" xfId="0">
      <alignment horizontal="center" vertical="bottom"/>
    </xf>
    <xf numFmtId="0" fontId="0" fillId="6" borderId="5" applyAlignment="1" pivotButton="0" quotePrefix="0" xfId="0">
      <alignment horizontal="left" vertical="top" wrapText="1"/>
    </xf>
    <xf numFmtId="4" fontId="0" fillId="8" borderId="12" applyAlignment="1" pivotButton="0" quotePrefix="0" xfId="0">
      <alignment horizontal="general" vertical="bottom"/>
    </xf>
    <xf numFmtId="4" fontId="0" fillId="9" borderId="13" applyAlignment="1" pivotButton="0" quotePrefix="0" xfId="0">
      <alignment horizontal="general" vertical="bottom"/>
    </xf>
    <xf numFmtId="0" fontId="0" fillId="0" borderId="6" applyAlignment="1" pivotButton="0" quotePrefix="0" xfId="0">
      <alignment horizontal="center" vertical="bottom" wrapText="1"/>
    </xf>
    <xf numFmtId="0" fontId="0" fillId="6" borderId="7" applyAlignment="1" pivotButton="0" quotePrefix="0" xfId="0">
      <alignment horizontal="left" vertical="center"/>
    </xf>
    <xf numFmtId="4" fontId="0" fillId="8" borderId="11" applyAlignment="1" pivotButton="0" quotePrefix="0" xfId="0">
      <alignment horizontal="general" vertical="bottom"/>
    </xf>
    <xf numFmtId="4" fontId="0" fillId="9" borderId="14" applyAlignment="1" pivotButton="0" quotePrefix="0" xfId="0">
      <alignment horizontal="general" vertical="bottom"/>
    </xf>
    <xf numFmtId="0" fontId="0" fillId="0" borderId="8" applyAlignment="1" pivotButton="0" quotePrefix="0" xfId="0">
      <alignment horizontal="center" vertical="bottom" wrapText="1"/>
    </xf>
    <xf numFmtId="0" fontId="0" fillId="6" borderId="7" applyAlignment="1" pivotButton="0" quotePrefix="0" xfId="0">
      <alignment horizontal="left" vertical="top" wrapText="1"/>
    </xf>
    <xf numFmtId="0" fontId="0" fillId="6" borderId="7" applyAlignment="1" pivotButton="0" quotePrefix="0" xfId="0">
      <alignment horizontal="general" vertical="bottom"/>
    </xf>
    <xf numFmtId="4" fontId="0" fillId="9" borderId="14" applyAlignment="1" pivotButton="0" quotePrefix="0" xfId="0">
      <alignment horizontal="general" vertical="top" wrapText="1"/>
    </xf>
    <xf numFmtId="0" fontId="0" fillId="8" borderId="11" applyAlignment="1" pivotButton="0" quotePrefix="0" xfId="0">
      <alignment horizontal="general" vertical="bottom"/>
    </xf>
    <xf numFmtId="0" fontId="0" fillId="9" borderId="14" applyAlignment="1" pivotButton="0" quotePrefix="0" xfId="0">
      <alignment horizontal="general" vertical="bottom"/>
    </xf>
    <xf numFmtId="0" fontId="0" fillId="8" borderId="11" applyAlignment="1" pivotButton="0" quotePrefix="0" xfId="0">
      <alignment horizontal="general" vertical="bottom" wrapText="1"/>
    </xf>
    <xf numFmtId="165" fontId="0" fillId="8" borderId="11" applyAlignment="1" pivotButton="0" quotePrefix="0" xfId="0">
      <alignment horizontal="general" vertical="bottom"/>
    </xf>
    <xf numFmtId="0" fontId="0" fillId="6" borderId="9" applyAlignment="1" pivotButton="0" quotePrefix="0" xfId="0">
      <alignment horizontal="left" vertical="top" wrapText="1"/>
    </xf>
    <xf numFmtId="0" fontId="0" fillId="8" borderId="15" applyAlignment="1" pivotButton="0" quotePrefix="0" xfId="0">
      <alignment horizontal="general" vertical="bottom"/>
    </xf>
    <xf numFmtId="0" fontId="0" fillId="9" borderId="16" applyAlignment="1" pivotButton="0" quotePrefix="0" xfId="0">
      <alignment horizontal="general" vertical="bottom"/>
    </xf>
    <xf numFmtId="0" fontId="0" fillId="0" borderId="10" applyAlignment="1" pivotButton="0" quotePrefix="0" xfId="0">
      <alignment horizontal="center" vertical="bottom" wrapText="1"/>
    </xf>
    <xf numFmtId="0" fontId="9" fillId="6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center" vertical="bottom"/>
    </xf>
    <xf numFmtId="4" fontId="0" fillId="0" borderId="0" applyAlignment="1" pivotButton="0" quotePrefix="0" xfId="0">
      <alignment horizontal="general" vertical="bottom"/>
    </xf>
    <xf numFmtId="0" fontId="4" fillId="6" borderId="3" applyAlignment="1" pivotButton="0" quotePrefix="0" xfId="0">
      <alignment horizontal="general" vertical="bottom" wrapText="1"/>
    </xf>
    <xf numFmtId="0" fontId="4" fillId="6" borderId="3" applyAlignment="1" pivotButton="0" quotePrefix="0" xfId="0">
      <alignment horizontal="general" vertical="top" wrapText="1"/>
    </xf>
    <xf numFmtId="4" fontId="8" fillId="7" borderId="4" applyAlignment="1" pivotButton="0" quotePrefix="0" xfId="0">
      <alignment horizontal="general" vertical="bottom"/>
    </xf>
    <xf numFmtId="166" fontId="8" fillId="7" borderId="4" applyAlignment="1" pivotButton="0" quotePrefix="0" xfId="0">
      <alignment horizontal="general" vertical="bottom"/>
    </xf>
    <xf numFmtId="0" fontId="4" fillId="6" borderId="17" applyAlignment="1" pivotButton="0" quotePrefix="0" xfId="0">
      <alignment horizontal="general" vertical="top" wrapText="1"/>
    </xf>
    <xf numFmtId="0" fontId="8" fillId="7" borderId="18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 wrapText="1"/>
    </xf>
    <xf numFmtId="167" fontId="0" fillId="0" borderId="0" applyAlignment="1" pivotButton="0" quotePrefix="0" xfId="0">
      <alignment horizontal="general" vertical="bottom"/>
    </xf>
    <xf numFmtId="167" fontId="10" fillId="0" borderId="0" applyAlignment="1" pivotButton="0" quotePrefix="0" xfId="0">
      <alignment horizontal="general" vertical="bottom"/>
    </xf>
    <xf numFmtId="167" fontId="10" fillId="0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2" fontId="10" fillId="0" borderId="0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 wrapText="1"/>
    </xf>
    <xf numFmtId="3" fontId="10" fillId="0" borderId="0" applyAlignment="1" pivotButton="0" quotePrefix="0" xfId="0">
      <alignment horizontal="general" vertical="bottom" wrapText="1"/>
    </xf>
    <xf numFmtId="4" fontId="10" fillId="0" borderId="0" applyAlignment="1" pivotButton="0" quotePrefix="0" xfId="0">
      <alignment horizontal="general" vertical="bottom" wrapText="1"/>
    </xf>
    <xf numFmtId="167" fontId="0" fillId="0" borderId="0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horizontal="general" vertical="bottom" wrapText="1"/>
    </xf>
    <xf numFmtId="4" fontId="0" fillId="0" borderId="0" applyAlignment="1" pivotButton="0" quotePrefix="0" xfId="0">
      <alignment horizontal="general" vertical="bottom" wrapText="1"/>
    </xf>
    <xf numFmtId="0" fontId="12" fillId="0" borderId="0" applyAlignment="1" pivotButton="0" quotePrefix="0" xfId="0">
      <alignment horizontal="general" vertical="bottom"/>
    </xf>
    <xf numFmtId="4" fontId="0" fillId="10" borderId="0" applyAlignment="1" pivotButton="0" quotePrefix="0" xfId="0">
      <alignment horizontal="general" vertical="bottom" wrapText="1"/>
    </xf>
    <xf numFmtId="4" fontId="0" fillId="11" borderId="0" applyAlignment="1" pivotButton="0" quotePrefix="0" xfId="0">
      <alignment horizontal="general" vertical="bottom" wrapText="1"/>
    </xf>
    <xf numFmtId="4" fontId="0" fillId="11" borderId="0" applyAlignment="1" pivotButton="0" quotePrefix="0" xfId="0">
      <alignment horizontal="general" vertical="bottom"/>
    </xf>
    <xf numFmtId="4" fontId="0" fillId="10" borderId="0" applyAlignment="1" pivotButton="0" quotePrefix="0" xfId="0">
      <alignment horizontal="general" vertical="top" wrapText="1"/>
    </xf>
    <xf numFmtId="4" fontId="0" fillId="11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13" fillId="5" borderId="19" applyAlignment="1" pivotButton="0" quotePrefix="0" xfId="0">
      <alignment horizontal="center" vertical="center" wrapText="1"/>
    </xf>
    <xf numFmtId="0" fontId="0" fillId="0" borderId="19" pivotButton="0" quotePrefix="0" xfId="0"/>
    <xf numFmtId="0" fontId="14" fillId="6" borderId="0" applyAlignment="1" pivotButton="0" quotePrefix="0" xfId="0">
      <alignment horizontal="center" vertical="center" wrapText="1"/>
    </xf>
    <xf numFmtId="0" fontId="15" fillId="12" borderId="0" applyAlignment="1" pivotButton="0" quotePrefix="0" xfId="0">
      <alignment horizontal="general" vertical="bottom" wrapText="1"/>
    </xf>
    <xf numFmtId="165" fontId="0" fillId="7" borderId="0" applyAlignment="1" pivotButton="0" quotePrefix="0" xfId="0">
      <alignment horizontal="general" vertical="bottom"/>
    </xf>
    <xf numFmtId="0" fontId="4" fillId="7" borderId="0" applyAlignment="1" pivotButton="0" quotePrefix="0" xfId="0">
      <alignment horizontal="general" vertical="bottom"/>
    </xf>
    <xf numFmtId="0" fontId="15" fillId="12" borderId="0" applyAlignment="1" pivotButton="0" quotePrefix="0" xfId="0">
      <alignment horizontal="general" vertical="bottom"/>
    </xf>
    <xf numFmtId="2" fontId="4" fillId="7" borderId="0" applyAlignment="1" pivotButton="0" quotePrefix="0" xfId="0">
      <alignment horizontal="general" vertical="bottom"/>
    </xf>
    <xf numFmtId="0" fontId="4" fillId="13" borderId="5" applyAlignment="1" pivotButton="0" quotePrefix="0" xfId="0">
      <alignment horizontal="general" vertical="bottom"/>
    </xf>
    <xf numFmtId="0" fontId="0" fillId="13" borderId="20" applyAlignment="1" pivotButton="0" quotePrefix="0" xfId="0">
      <alignment horizontal="general" vertical="bottom"/>
    </xf>
    <xf numFmtId="0" fontId="0" fillId="13" borderId="6" applyAlignment="1" pivotButton="0" quotePrefix="0" xfId="0">
      <alignment horizontal="general" vertical="bottom"/>
    </xf>
    <xf numFmtId="165" fontId="0" fillId="8" borderId="0" applyAlignment="1" pivotButton="0" quotePrefix="0" xfId="0">
      <alignment horizontal="general" vertical="bottom"/>
    </xf>
    <xf numFmtId="0" fontId="16" fillId="7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165" fontId="0" fillId="8" borderId="0" applyAlignment="1" pivotButton="0" quotePrefix="0" xfId="0">
      <alignment horizontal="center" vertical="bottom"/>
    </xf>
    <xf numFmtId="165" fontId="17" fillId="7" borderId="0" applyAlignment="1" pivotButton="0" quotePrefix="0" xfId="0">
      <alignment horizontal="general" vertical="bottom" wrapText="1"/>
    </xf>
    <xf numFmtId="0" fontId="15" fillId="12" borderId="0" applyAlignment="1" pivotButton="0" quotePrefix="0" xfId="0">
      <alignment horizontal="general" vertical="top"/>
    </xf>
    <xf numFmtId="165" fontId="0" fillId="7" borderId="0" applyAlignment="1" pivotButton="0" quotePrefix="0" xfId="0">
      <alignment horizontal="general" vertical="bottom" wrapText="1"/>
    </xf>
    <xf numFmtId="3" fontId="0" fillId="8" borderId="0" applyAlignment="1" pivotButton="0" quotePrefix="0" xfId="0">
      <alignment horizontal="general" vertical="bottom"/>
    </xf>
    <xf numFmtId="0" fontId="18" fillId="7" borderId="0" applyAlignment="1" pivotButton="0" quotePrefix="0" xfId="0">
      <alignment horizontal="general" vertical="bottom"/>
    </xf>
    <xf numFmtId="4" fontId="0" fillId="8" borderId="0" applyAlignment="1" pivotButton="0" quotePrefix="0" xfId="0">
      <alignment horizontal="general" vertical="bottom"/>
    </xf>
    <xf numFmtId="0" fontId="18" fillId="7" borderId="0" applyAlignment="1" pivotButton="0" quotePrefix="0" xfId="0">
      <alignment horizontal="general" vertical="bottom" wrapText="1"/>
    </xf>
    <xf numFmtId="0" fontId="0" fillId="6" borderId="7" applyAlignment="1" pivotButton="0" quotePrefix="0" xfId="0">
      <alignment horizontal="general" vertical="bottom" wrapText="1"/>
    </xf>
    <xf numFmtId="165" fontId="0" fillId="8" borderId="0" applyAlignment="1" pivotButton="0" quotePrefix="0" xfId="0">
      <alignment horizontal="right" vertical="bottom"/>
    </xf>
    <xf numFmtId="167" fontId="18" fillId="7" borderId="0" applyAlignment="1" pivotButton="0" quotePrefix="0" xfId="0">
      <alignment horizontal="general" vertical="bottom" wrapText="1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 wrapText="1"/>
    </xf>
    <xf numFmtId="2" fontId="18" fillId="7" borderId="0" applyAlignment="1" pivotButton="0" quotePrefix="0" xfId="0">
      <alignment horizontal="general" vertical="bottom" wrapText="1"/>
    </xf>
    <xf numFmtId="0" fontId="20" fillId="0" borderId="0" applyAlignment="1" pivotButton="0" quotePrefix="0" xfId="0">
      <alignment horizontal="left" vertical="top" wrapText="1"/>
    </xf>
    <xf numFmtId="4" fontId="0" fillId="7" borderId="0" applyAlignment="1" pivotButton="0" quotePrefix="0" xfId="0">
      <alignment horizontal="general" vertical="bottom" wrapText="1"/>
    </xf>
    <xf numFmtId="4" fontId="10" fillId="7" borderId="0" applyAlignment="1" pivotButton="0" quotePrefix="0" xfId="0">
      <alignment horizontal="general" vertical="bottom" wrapText="1"/>
    </xf>
    <xf numFmtId="0" fontId="0" fillId="7" borderId="0" applyAlignment="1" pivotButton="0" quotePrefix="0" xfId="0">
      <alignment horizontal="general" vertical="bottom" wrapText="1"/>
    </xf>
    <xf numFmtId="0" fontId="21" fillId="0" borderId="0" applyAlignment="1" pivotButton="0" quotePrefix="0" xfId="0">
      <alignment horizontal="left" vertical="top"/>
    </xf>
    <xf numFmtId="0" fontId="10" fillId="0" borderId="0" applyAlignment="1" pivotButton="0" quotePrefix="0" xfId="0">
      <alignment horizontal="left" vertical="top"/>
    </xf>
    <xf numFmtId="0" fontId="0" fillId="7" borderId="0" applyAlignment="1" pivotButton="0" quotePrefix="0" xfId="0">
      <alignment horizontal="center" vertical="bottom" wrapText="1"/>
    </xf>
    <xf numFmtId="0" fontId="11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top" wrapText="1"/>
    </xf>
    <xf numFmtId="0" fontId="20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 wrapText="1"/>
    </xf>
    <xf numFmtId="0" fontId="22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top" wrapText="1"/>
    </xf>
    <xf numFmtId="0" fontId="22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center" wrapText="1"/>
    </xf>
    <xf numFmtId="0" fontId="23" fillId="0" borderId="0" applyAlignment="1" pivotButton="0" quotePrefix="0" xfId="0">
      <alignment horizontal="left" vertical="top" wrapText="1" indent="1"/>
    </xf>
    <xf numFmtId="0" fontId="24" fillId="14" borderId="0" applyAlignment="1" pivotButton="0" quotePrefix="0" xfId="0">
      <alignment horizontal="center"/>
    </xf>
    <xf numFmtId="0" fontId="25" fillId="0" borderId="0" pivotButton="0" quotePrefix="0" xfId="0"/>
    <xf numFmtId="0" fontId="26" fillId="0" borderId="0" pivotButton="0" quotePrefix="0" xfId="0"/>
    <xf numFmtId="0" fontId="27" fillId="15" borderId="0" pivotButton="0" quotePrefix="0" xfId="0"/>
    <xf numFmtId="0" fontId="0" fillId="16" borderId="0" pivotButton="0" quotePrefix="0" xfId="0"/>
    <xf numFmtId="0" fontId="28" fillId="14" borderId="21" applyAlignment="1" pivotButton="0" quotePrefix="0" xfId="0">
      <alignment horizontal="center"/>
    </xf>
    <xf numFmtId="0" fontId="28" fillId="14" borderId="0" applyAlignment="1" pivotButton="0" quotePrefix="0" xfId="0">
      <alignment horizontal="center"/>
    </xf>
    <xf numFmtId="0" fontId="0" fillId="16" borderId="21" pivotButton="0" quotePrefix="0" xfId="0"/>
    <xf numFmtId="0" fontId="0" fillId="17" borderId="21" pivotButton="0" quotePrefix="0" xfId="0"/>
    <xf numFmtId="0" fontId="0" fillId="15" borderId="21" pivotButton="0" quotePrefix="0" xfId="0"/>
    <xf numFmtId="0" fontId="27" fillId="0" borderId="0" pivotButton="0" quotePrefix="0" xfId="0"/>
  </cellXfs>
  <cellStyles count="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F_FAIL" xfId="6"/>
    <cellStyle name="CF_INFO" xfId="7"/>
    <cellStyle name="CF_PASS" xfId="8"/>
  </cellStyles>
  <dxfs count="3">
    <dxf>
      <font>
        <name val="Arial"/>
        <charset val="1"/>
        <family val="2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2"/>
        <b val="1"/>
      </font>
      <fill>
        <patternFill>
          <bgColor rgb="FFFFC7CE"/>
        </patternFill>
      </fill>
    </dxf>
    <dxf>
      <font>
        <name val="Arial"/>
        <charset val="1"/>
        <family val="2"/>
        <color rgb="FF492300"/>
      </font>
      <fill>
        <patternFill>
          <bgColor rgb="FFFFE699"/>
        </patternFill>
      </fill>
    </dxf>
  </dxf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FFE699"/>
      <rgbColor rgb="FF808080"/>
      <rgbColor rgb="FF9999FF"/>
      <rgbColor rgb="FF993366"/>
      <rgbColor rgb="FFFFF5CE"/>
      <rgbColor rgb="FFEAF1FB"/>
      <rgbColor rgb="FF660066"/>
      <rgbColor rgb="FFFF8080"/>
      <rgbColor rgb="FF0066CC"/>
      <rgbColor rgb="FFDCE6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F0D9"/>
      <rgbColor rgb="FFC6EFCE"/>
      <rgbColor rgb="FFE8F2A1"/>
      <rgbColor rgb="FFFFF2CC"/>
      <rgbColor rgb="FFFF99CC"/>
      <rgbColor rgb="FFCC99FF"/>
      <rgbColor rgb="FFFFC7CE"/>
      <rgbColor rgb="FF2F75B5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492300"/>
      <rgbColor rgb="FF993300"/>
      <rgbColor rgb="FF993366"/>
      <rgbColor rgb="FF1F4E78"/>
      <rgbColor rgb="FF1C1C1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51"/>
  <sheetViews>
    <sheetView showFormulas="0" showGridLines="1" showRowColHeaders="1" showZeros="1" rightToLeft="0" tabSelected="0" showOutlineSymbols="1" defaultGridColor="1" view="normal" topLeftCell="A10" colorId="64" zoomScale="95" zoomScaleNormal="95" zoomScalePageLayoutView="100" workbookViewId="0">
      <selection pane="topLeft" activeCell="B44" activeCellId="0" sqref="B44"/>
    </sheetView>
  </sheetViews>
  <sheetFormatPr baseColWidth="8" defaultColWidth="11.5703125" defaultRowHeight="12.75" customHeight="1" zeroHeight="0" outlineLevelRow="0"/>
  <cols>
    <col width="23.48" customWidth="1" style="116" min="1" max="1"/>
    <col width="23.67" customWidth="1" style="116" min="5" max="5"/>
    <col width="19.69" customWidth="1" style="116" min="7" max="7"/>
    <col width="17.25" customWidth="1" style="116" min="8" max="8"/>
  </cols>
  <sheetData>
    <row r="1" ht="12.75" customHeight="1" s="117">
      <c r="A1" s="118" t="inlineStr">
        <is>
          <t>STORMWATER PUMP STATION SIZING (PRELIMINARY)</t>
        </is>
      </c>
    </row>
    <row r="2" ht="12.75" customHeight="1" s="117">
      <c r="A2" s="119" t="inlineStr">
        <is>
          <t>Surface_m2</t>
        </is>
      </c>
      <c r="B2" s="120" t="n">
        <v>7800</v>
      </c>
    </row>
    <row r="3" ht="12.75" customHeight="1" s="117">
      <c r="A3" s="121" t="inlineStr">
        <is>
          <t>Surface_ha</t>
        </is>
      </c>
      <c r="B3" s="122">
        <f>B2/10000</f>
        <v/>
      </c>
      <c r="J3" s="123" t="inlineStr">
        <is>
          <t>Projet: 1792</t>
        </is>
      </c>
      <c r="K3" s="124" t="n"/>
    </row>
    <row r="4" ht="12.75" customHeight="1" s="117">
      <c r="A4" s="121" t="inlineStr">
        <is>
          <t>Coeff_ruissellement_C</t>
        </is>
      </c>
      <c r="B4" s="122" t="n">
        <v>0.4</v>
      </c>
      <c r="J4" s="125" t="inlineStr">
        <is>
          <t>Location: Métabetchouan</t>
        </is>
      </c>
      <c r="K4" s="126" t="n"/>
    </row>
    <row r="5" ht="12.75" customHeight="1" s="117">
      <c r="A5" s="121" t="inlineStr">
        <is>
          <t>IDF_a</t>
        </is>
      </c>
      <c r="B5" s="122" t="n">
        <v>4156.21</v>
      </c>
      <c r="J5" s="127" t="inlineStr">
        <is>
          <t>Date:</t>
        </is>
      </c>
      <c r="K5" s="128">
        <f>TODAY()</f>
        <v/>
      </c>
    </row>
    <row r="6" ht="12.75" customHeight="1" s="117">
      <c r="A6" s="121" t="inlineStr">
        <is>
          <t>IDF_b</t>
        </is>
      </c>
      <c r="B6" s="122" t="n">
        <v>15.1</v>
      </c>
    </row>
    <row r="7" ht="12.75" customHeight="1" s="117">
      <c r="A7" s="121" t="inlineStr">
        <is>
          <t>IDF_c</t>
        </is>
      </c>
      <c r="B7" s="122" t="n">
        <v>1.026</v>
      </c>
      <c r="E7" s="129" t="inlineStr">
        <is>
          <t>VÉRIFICATIONS DE CONCEPTION (MODÈLE vs LIMITES)</t>
        </is>
      </c>
    </row>
    <row r="8" ht="12.75" customHeight="1" s="117">
      <c r="A8" s="121" t="inlineStr">
        <is>
          <t>Pas_temps_min</t>
        </is>
      </c>
      <c r="B8" s="122" t="n">
        <v>5</v>
      </c>
      <c r="E8" s="130" t="inlineStr">
        <is>
          <t xml:space="preserve"> Indicateur</t>
        </is>
      </c>
      <c r="F8" s="131" t="inlineStr">
        <is>
          <t>Valeur du modèle</t>
        </is>
      </c>
      <c r="G8" s="132" t="inlineStr">
        <is>
          <t>Limite de conception</t>
        </is>
      </c>
      <c r="H8" s="132" t="inlineStr">
        <is>
          <t xml:space="preserve"> Statut</t>
        </is>
      </c>
    </row>
    <row r="9" ht="12.75" customHeight="1" s="117">
      <c r="A9" s="121" t="inlineStr">
        <is>
          <t>Pas_temps_sec</t>
        </is>
      </c>
      <c r="B9" s="122">
        <f>B8*60</f>
        <v/>
      </c>
      <c r="E9" s="133" t="inlineStr">
        <is>
          <t>S1_Stormbrixx max (m³)</t>
        </is>
      </c>
      <c r="F9" s="134">
        <f>MAX(Routing!$D$2:$D$14)</f>
        <v/>
      </c>
      <c r="G9" s="135">
        <f>B30</f>
        <v/>
      </c>
      <c r="H9" s="136">
        <f>IF(F9&lt;=G9,"PASS","FAIL")</f>
        <v/>
      </c>
    </row>
    <row r="10" ht="12.75" customHeight="1" s="117">
      <c r="A10" s="121" t="inlineStr">
        <is>
          <t>Radier_bassin_m</t>
        </is>
      </c>
      <c r="B10" s="122" t="n">
        <v>102.7</v>
      </c>
      <c r="E10" s="137" t="inlineStr">
        <is>
          <t>Niveau WL1 max (WL1 = niveau d’eau)</t>
        </is>
      </c>
      <c r="F10" s="138">
        <f>MAX(Routing!$E$2:$E$14)</f>
        <v/>
      </c>
      <c r="G10" s="139" t="n">
        <v>104.2</v>
      </c>
      <c r="H10" s="140">
        <f>IF(F10&lt;=G10,"PASS","FAIL")</f>
        <v/>
      </c>
    </row>
    <row r="11" ht="12.75" customHeight="1" s="117">
      <c r="A11" s="121" t="inlineStr">
        <is>
          <t>Radier_exutoire_m</t>
        </is>
      </c>
      <c r="B11" s="122" t="n">
        <v>103.32</v>
      </c>
      <c r="E11" s="141" t="inlineStr">
        <is>
          <t>Volume total de surverse Q_overflow1</t>
        </is>
      </c>
      <c r="F11" s="138">
        <f>SUM(Routing!$G$2:$G$14)*Inputs!$B$9</f>
        <v/>
      </c>
      <c r="G11" s="139" t="n">
        <v>0</v>
      </c>
      <c r="H11" s="140">
        <f>IF(F11&lt;=G11,"PASS","FAIL")</f>
        <v/>
      </c>
    </row>
    <row r="12" ht="12.75" customHeight="1" s="117">
      <c r="A12" s="121" t="inlineStr">
        <is>
          <t>Niveau_eau_ruisseau_m</t>
        </is>
      </c>
      <c r="B12" s="122" t="n">
        <v>103.32</v>
      </c>
      <c r="E12" s="142" t="inlineStr">
        <is>
          <t>S2_puisard max (m³)</t>
        </is>
      </c>
      <c r="F12" s="138">
        <f>MAX(Routing!$H$2:$H$14)</f>
        <v/>
      </c>
      <c r="G12" s="143">
        <f>B44</f>
        <v/>
      </c>
      <c r="H12" s="140">
        <f>IF(F12&lt;=G12,"PASS","FAIL")</f>
        <v/>
      </c>
    </row>
    <row r="13" ht="12.75" customHeight="1" s="117">
      <c r="A13" s="121" t="inlineStr">
        <is>
          <t>Debit_unitaire_pompe_m3s</t>
        </is>
      </c>
      <c r="B13" s="122">
        <f>B49</f>
        <v/>
      </c>
      <c r="E13" s="142" t="inlineStr">
        <is>
          <t>Niveau WL2 max</t>
        </is>
      </c>
      <c r="F13" s="138">
        <f>MAX(Routing!$J$2:$J$14)</f>
        <v/>
      </c>
      <c r="G13" s="139" t="n">
        <v>104</v>
      </c>
      <c r="H13" s="140">
        <f>IF(F13&lt;=G13,"PASS","FAIL")</f>
        <v/>
      </c>
    </row>
    <row r="14" ht="12.75" customHeight="1" s="117">
      <c r="A14" s="121" t="inlineStr">
        <is>
          <t>Pompes_en_service</t>
        </is>
      </c>
      <c r="B14" s="122" t="n">
        <v>1</v>
      </c>
      <c r="E14" s="142" t="inlineStr">
        <is>
          <t>Volume total de surverse Q_overflow2</t>
        </is>
      </c>
      <c r="F14" s="138">
        <f>SUM(Routing!$I$2:$I$14)*Inputs!$B$9</f>
        <v/>
      </c>
      <c r="G14" s="139" t="n">
        <v>0</v>
      </c>
      <c r="H14" s="140">
        <f>IF(F14&lt;=G14,"PASS","FAIL")</f>
        <v/>
      </c>
    </row>
    <row r="15" ht="12.75" customHeight="1" s="117">
      <c r="A15" s="121" t="inlineStr">
        <is>
          <t>Longueur_conduite_refoulement_m</t>
        </is>
      </c>
      <c r="B15" s="122" t="n">
        <v>31.5</v>
      </c>
      <c r="E15" s="141" t="inlineStr">
        <is>
          <t>Nombre total de démarrages (CumStarts final)</t>
        </is>
      </c>
      <c r="F15" s="144">
        <f>LOOKUP(2,1/(Routing!$O$2:$O$14&lt;&gt;""),Routing!$O$2:$O$14)</f>
        <v/>
      </c>
      <c r="G15" s="145" t="n"/>
      <c r="H15" s="140">
        <f>IF(G15="","INFO",IF(F15&lt;=G15,"PASS","FAIL"))</f>
        <v/>
      </c>
    </row>
    <row r="16" ht="12.75" customHeight="1" s="117">
      <c r="A16" s="121" t="inlineStr">
        <is>
          <t>Diametre_conduite_refoulement_m</t>
        </is>
      </c>
      <c r="B16" s="122" t="n">
        <v>0.2</v>
      </c>
      <c r="E16" s="141" t="inlineStr">
        <is>
          <t xml:space="preserve"> Démarrages/heure</t>
        </is>
      </c>
      <c r="F16" s="146">
        <f>IF(Routing!$O$17=0,0,Routing!$O$16/Routing!$O$17)</f>
        <v/>
      </c>
      <c r="G16" s="145" t="n">
        <v>10</v>
      </c>
      <c r="H16" s="140">
        <f>IF(F16&lt;=G16,"PASS","FAIL")</f>
        <v/>
      </c>
    </row>
    <row r="17" ht="12.75" customHeight="1" s="117">
      <c r="A17" s="121" t="inlineStr">
        <is>
          <t>Coeff_HazenC</t>
        </is>
      </c>
      <c r="B17" s="122" t="n">
        <v>130</v>
      </c>
      <c r="E17" s="141" t="inlineStr">
        <is>
          <t>Débit maximal de pompage utilisé</t>
        </is>
      </c>
      <c r="F17" s="147">
        <f>MAX(Routing!$M$2:$M$14)</f>
        <v/>
      </c>
      <c r="G17" s="145">
        <f>B13*B14</f>
        <v/>
      </c>
      <c r="H17" s="140">
        <f>IF(F17&lt;=G17,"PASS","FAIL")</f>
        <v/>
      </c>
    </row>
    <row r="18" ht="12.75" customHeight="1" s="117">
      <c r="A18" s="121" t="inlineStr">
        <is>
          <t>Coeff_pertes_singulieres_K_total</t>
        </is>
      </c>
      <c r="B18" s="122" t="n">
        <v>8.65</v>
      </c>
      <c r="E18" s="142" t="n"/>
      <c r="F18" s="144" t="n"/>
      <c r="G18" s="145" t="n"/>
      <c r="H18" s="126" t="n"/>
    </row>
    <row r="19" ht="12.75" customHeight="1" s="117">
      <c r="A19" s="121" t="inlineStr">
        <is>
          <t>Niveau_marche_pompe_m</t>
        </is>
      </c>
      <c r="B19" s="122" t="n">
        <v>103.4</v>
      </c>
      <c r="C19" s="116" t="n">
        <v>102.8</v>
      </c>
      <c r="E19" s="148" t="inlineStr">
        <is>
          <t>Statut global</t>
        </is>
      </c>
      <c r="F19" s="149" t="n"/>
      <c r="G19" s="150" t="n"/>
      <c r="H19" s="151">
        <f>IF(COUNTIF(H9:H17,"FAIL")&gt;0,"FAIL","PASS")</f>
        <v/>
      </c>
    </row>
    <row r="20" ht="12.75" customHeight="1" s="117">
      <c r="A20" s="121" t="inlineStr">
        <is>
          <t>Niveau_arret_pompe_m</t>
        </is>
      </c>
      <c r="B20" s="122" t="n">
        <v>102.8</v>
      </c>
      <c r="C20" s="116" t="n">
        <v>103.4</v>
      </c>
    </row>
    <row r="21" ht="12.75" customHeight="1" s="117">
      <c r="A21" s="152" t="inlineStr">
        <is>
          <t>Surface_plan_bassin_m2</t>
        </is>
      </c>
      <c r="B21" s="122" t="n">
        <v>130</v>
      </c>
    </row>
    <row r="22" ht="12.75" customHeight="1" s="117">
      <c r="A22" s="121" t="inlineStr">
        <is>
          <t>Taux_vide_StormBrixx</t>
        </is>
      </c>
      <c r="B22" s="122" t="n">
        <v>0.9</v>
      </c>
      <c r="G22" s="153" t="inlineStr">
        <is>
          <t xml:space="preserve">V_reconstructed_from_area_depth_m3 </t>
        </is>
      </c>
      <c r="H22" s="116">
        <f>B30*B32</f>
        <v/>
      </c>
    </row>
    <row r="23" ht="13.55" customHeight="1" s="117">
      <c r="A23" s="121" t="n"/>
      <c r="B23" s="122" t="n"/>
      <c r="G23" s="116" t="inlineStr">
        <is>
          <t>DeltaV_m3</t>
        </is>
      </c>
      <c r="H23" s="116">
        <f>H22-B30</f>
        <v/>
      </c>
    </row>
    <row r="24" ht="12.75" customHeight="1" s="117">
      <c r="A24" s="121" t="n"/>
      <c r="B24" s="122" t="n"/>
      <c r="H24" s="154">
        <f>IF(ABS(H23)&lt;=0.01,"PASS","FAIL")</f>
        <v/>
      </c>
    </row>
    <row r="25" ht="12.75" customHeight="1" s="117">
      <c r="A25" s="121" t="n"/>
      <c r="B25" s="122" t="n"/>
    </row>
    <row r="26" ht="12.75" customHeight="1" s="117">
      <c r="A26" s="121" t="n"/>
      <c r="B26" s="122" t="n"/>
      <c r="G26" s="116" t="inlineStr">
        <is>
          <t>Effective volume per block</t>
        </is>
      </c>
      <c r="H26" s="116">
        <f>0.8*0.8*0.66*B22</f>
        <v/>
      </c>
    </row>
    <row r="27" ht="12.75" customHeight="1" s="117">
      <c r="A27" s="121" t="n"/>
      <c r="B27" s="122" t="n"/>
      <c r="H27" s="155">
        <f>B30/H26</f>
        <v/>
      </c>
    </row>
    <row r="28" ht="12.75" customHeight="1" s="117">
      <c r="A28" s="121" t="n"/>
      <c r="B28" s="122" t="n"/>
      <c r="H28" s="116">
        <f>ROUND(H27,0)</f>
        <v/>
      </c>
    </row>
    <row r="29" ht="12.75" customHeight="1" s="117">
      <c r="A29" s="121" t="n"/>
      <c r="B29" s="122" t="n"/>
      <c r="H29" s="155">
        <f>H28*H26</f>
        <v/>
      </c>
    </row>
    <row r="30" ht="12.75" customHeight="1" s="117">
      <c r="A30" s="156" t="inlineStr">
        <is>
          <t>Stormbrixx_Vmax_m3</t>
        </is>
      </c>
      <c r="B30" s="122" t="n">
        <v>139</v>
      </c>
      <c r="H30" s="155">
        <f>H29-B30</f>
        <v/>
      </c>
    </row>
    <row r="31" ht="12.75" customHeight="1" s="117">
      <c r="A31" s="156" t="inlineStr">
        <is>
          <t>Stormbrixx_invert_m</t>
        </is>
      </c>
      <c r="B31" s="122" t="n">
        <v>102.7</v>
      </c>
    </row>
    <row r="32" ht="12.75" customHeight="1" s="117">
      <c r="A32" s="157" t="inlineStr">
        <is>
          <t>Stormbrixx_effective_depth_m</t>
        </is>
      </c>
      <c r="B32" s="122" t="n">
        <v>1.32</v>
      </c>
    </row>
    <row r="33" ht="12.75" customHeight="1" s="117">
      <c r="A33" s="156" t="inlineStr">
        <is>
          <t>Stormbrixx_eq_area_m2</t>
        </is>
      </c>
      <c r="B33" s="158">
        <f>B30/B32</f>
        <v/>
      </c>
    </row>
    <row r="34" ht="12.75" customHeight="1" s="117">
      <c r="A34" s="156" t="inlineStr">
        <is>
          <t>Orifice_d_m</t>
        </is>
      </c>
      <c r="B34" s="122" t="n">
        <v>0.11</v>
      </c>
    </row>
    <row r="35" ht="12.75" customHeight="1" s="117">
      <c r="A35" s="156" t="inlineStr">
        <is>
          <t>Cd_orifice</t>
        </is>
      </c>
      <c r="B35" s="122" t="n">
        <v>0.62</v>
      </c>
    </row>
    <row r="36" ht="12.75" customHeight="1" s="117">
      <c r="A36" s="156" t="inlineStr">
        <is>
          <t>Orifice_area_m2</t>
        </is>
      </c>
      <c r="B36" s="159">
        <f>PI()*B34^2/4</f>
        <v/>
      </c>
    </row>
    <row r="37" ht="12.75" customHeight="1" s="117">
      <c r="A37" s="156" t="inlineStr">
        <is>
          <t>g</t>
        </is>
      </c>
      <c r="B37" s="122" t="n">
        <v>9.81</v>
      </c>
    </row>
    <row r="38" ht="12.75" customHeight="1" s="117">
      <c r="A38" s="121" t="n"/>
      <c r="B38" s="122" t="n"/>
    </row>
    <row r="39" ht="12.75" customHeight="1" s="117">
      <c r="A39" s="121" t="n"/>
      <c r="B39" s="122" t="n"/>
    </row>
    <row r="40" ht="12.75" customHeight="1" s="117">
      <c r="A40" s="156" t="inlineStr">
        <is>
          <t>Wetwell_invert_m</t>
        </is>
      </c>
      <c r="B40" s="122" t="n">
        <v>101.5</v>
      </c>
      <c r="C40" s="116" t="n">
        <v>102.5</v>
      </c>
      <c r="D40" s="116" t="n">
        <v>101</v>
      </c>
    </row>
    <row r="41" ht="12.75" customHeight="1" s="117">
      <c r="A41" s="156" t="inlineStr">
        <is>
          <t>Wetwell_diameter_m</t>
        </is>
      </c>
      <c r="B41" s="122" t="n">
        <v>2.8</v>
      </c>
      <c r="C41" s="116" t="n">
        <v>3</v>
      </c>
      <c r="D41" s="116" t="n">
        <v>2</v>
      </c>
    </row>
    <row r="42" ht="12.75" customHeight="1" s="117">
      <c r="A42" s="156" t="inlineStr">
        <is>
          <t>Wetwell_area_m2</t>
        </is>
      </c>
      <c r="B42" s="158">
        <f>PI()*B41^2/4</f>
        <v/>
      </c>
    </row>
    <row r="43" ht="12.75" customHeight="1" s="117">
      <c r="A43" s="121" t="inlineStr">
        <is>
          <t>Wetwell_total_depth_m</t>
        </is>
      </c>
      <c r="B43" s="122" t="n">
        <v>2.3</v>
      </c>
      <c r="C43" s="116" t="n">
        <v>3</v>
      </c>
      <c r="D43" s="116" t="n">
        <v>2</v>
      </c>
    </row>
    <row r="44" ht="12.75" customHeight="1" s="117">
      <c r="A44" s="121" t="inlineStr">
        <is>
          <t>S2_max_wetwell_m3</t>
        </is>
      </c>
      <c r="B44" s="158">
        <f>B42*B43</f>
        <v/>
      </c>
    </row>
    <row r="45" ht="12.75" customHeight="1" s="117">
      <c r="A45" s="157" t="inlineStr">
        <is>
          <t>Pump_ON_1_m</t>
        </is>
      </c>
      <c r="B45" s="122" t="n">
        <v>102</v>
      </c>
      <c r="E45" s="116" t="n">
        <v>103.1</v>
      </c>
    </row>
    <row r="46" ht="12.75" customHeight="1" s="117">
      <c r="A46" s="157" t="inlineStr">
        <is>
          <t>Pump_OFF_1_m</t>
        </is>
      </c>
      <c r="B46" s="122" t="n">
        <v>102.6</v>
      </c>
      <c r="E46" s="116" t="n">
        <v>102.74</v>
      </c>
    </row>
    <row r="47" ht="12.75" customHeight="1" s="117">
      <c r="A47" s="157" t="inlineStr">
        <is>
          <t>Pump_ON_2_m</t>
        </is>
      </c>
      <c r="B47" s="122" t="n">
        <v>999</v>
      </c>
    </row>
    <row r="48" ht="12.75" customHeight="1" s="117">
      <c r="A48" s="156" t="inlineStr">
        <is>
          <t>Pump_OFF_2_m</t>
        </is>
      </c>
      <c r="B48" s="122" t="n">
        <v>998</v>
      </c>
    </row>
    <row r="49" ht="12.75" customHeight="1" s="117">
      <c r="A49" s="160" t="inlineStr">
        <is>
          <t>Q_pump_each_m3s</t>
        </is>
      </c>
      <c r="B49" s="161" t="n">
        <v>0.039</v>
      </c>
    </row>
    <row r="50">
      <c r="A50" s="116" t="inlineStr">
        <is>
          <t>Q_jelly_cap_m3s</t>
        </is>
      </c>
      <c r="B50" s="116">
        <f>B49</f>
        <v/>
      </c>
    </row>
    <row r="51">
      <c r="A51" s="116" t="inlineStr">
        <is>
          <t>Rendement_retour_jelly</t>
        </is>
      </c>
      <c r="B51" s="116" t="n">
        <v>1</v>
      </c>
    </row>
  </sheetData>
  <mergeCells count="2">
    <mergeCell ref="E7:G7"/>
    <mergeCell ref="A1:L1"/>
  </mergeCells>
  <conditionalFormatting sqref="H9:H17 H19">
    <cfRule type="expression" rank="0" priority="2" equalAverage="0" aboveAverage="0" dxfId="0" text="" percent="0" bottom="0">
      <formula>UPPER(TRIM($H9))="PASS"</formula>
    </cfRule>
    <cfRule type="expression" rank="0" priority="3" equalAverage="0" aboveAverage="0" dxfId="1" text="" percent="0" bottom="0">
      <formula>UPPER(TRIM($H9))="FAIL"</formula>
    </cfRule>
    <cfRule type="expression" rank="0" priority="4" equalAverage="0" aboveAverage="0" dxfId="2" text="" percent="0" bottom="0">
      <formula>UPPER(TRIM($H9))="INFO"</formula>
    </cfRule>
  </conditionalFormatting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1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K15"/>
  <sheetViews>
    <sheetView showFormulas="0" showGridLines="1" showRowColHeaders="1" showZeros="1" rightToLeft="0" tabSelected="0" showOutlineSymbols="1" defaultGridColor="1" view="normal" topLeftCell="A1" colorId="64" zoomScale="95" zoomScaleNormal="95" zoomScalePageLayoutView="100" workbookViewId="0">
      <selection pane="topLeft" activeCell="C8" activeCellId="0" sqref="C8"/>
    </sheetView>
  </sheetViews>
  <sheetFormatPr baseColWidth="8" defaultColWidth="11.5703125" defaultRowHeight="12.75" customHeight="1" zeroHeight="0" outlineLevelRow="0"/>
  <cols>
    <col width="11.71" customWidth="1" style="116" min="10" max="10"/>
  </cols>
  <sheetData>
    <row r="1" ht="12.75" customHeight="1" s="117">
      <c r="A1" s="116" t="inlineStr">
        <is>
          <t xml:space="preserve"> Durée_min</t>
        </is>
      </c>
      <c r="B1" s="116" t="inlineStr">
        <is>
          <t>Intensité_mmh</t>
        </is>
      </c>
      <c r="C1" s="116" t="inlineStr">
        <is>
          <t>Lame_cumulée_mm</t>
        </is>
      </c>
      <c r="D1" s="116" t="inlineStr">
        <is>
          <t>Lame_incrementale_mm</t>
        </is>
      </c>
      <c r="E1" s="162" t="inlineStr">
        <is>
          <t xml:space="preserve">Rang </t>
        </is>
      </c>
      <c r="F1" s="162" t="inlineStr">
        <is>
          <t xml:space="preserve">Position </t>
        </is>
      </c>
      <c r="H1" s="116" t="inlineStr">
        <is>
          <t xml:space="preserve"> Indice_chronologique</t>
        </is>
      </c>
      <c r="I1" s="116" t="inlineStr">
        <is>
          <t>Lame_bloc_mm</t>
        </is>
      </c>
      <c r="J1" s="116" t="inlineStr">
        <is>
          <t>Intensité_bloc_mmh</t>
        </is>
      </c>
      <c r="K1" s="116" t="inlineStr">
        <is>
          <t>Temps_min</t>
        </is>
      </c>
    </row>
    <row r="2" ht="12.75" customHeight="1" s="117">
      <c r="A2" s="116" t="n">
        <v>5</v>
      </c>
      <c r="B2" s="163">
        <f>Inputs!$B$5/((A2+Inputs!$B$6)^Inputs!$B$7)</f>
        <v/>
      </c>
      <c r="C2" s="164">
        <f>B2*A2/60</f>
        <v/>
      </c>
      <c r="D2" s="165">
        <f>C2-IF(A2=5,0,C1)</f>
        <v/>
      </c>
      <c r="E2" s="166">
        <f>RANK(D2,$D$2:$D$13,0)</f>
        <v/>
      </c>
      <c r="F2" s="166">
        <f>IF(E2=1,6,IF(MOD(E2,2)=0,6+E2/2,6-(E2-1)/2))</f>
        <v/>
      </c>
      <c r="H2" s="116" t="n">
        <v>1</v>
      </c>
      <c r="I2" s="165">
        <f>INDEX($D$2:$D$13, MATCH(H2,$F$2:$F$13,0))</f>
        <v/>
      </c>
      <c r="J2" s="165">
        <f>I2*60/Inputs!$B$8</f>
        <v/>
      </c>
      <c r="K2" s="166">
        <f>H2*Inputs!$B$8</f>
        <v/>
      </c>
    </row>
    <row r="3" ht="12.75" customHeight="1" s="117">
      <c r="A3" s="116" t="n">
        <v>10</v>
      </c>
      <c r="B3" s="163">
        <f>Inputs!$B$5/((A3+Inputs!$B$6)^Inputs!$B$7)</f>
        <v/>
      </c>
      <c r="C3" s="164">
        <f>B3*A3/60</f>
        <v/>
      </c>
      <c r="D3" s="165">
        <f>C3-IF(A3=5,0,C2)</f>
        <v/>
      </c>
      <c r="E3" s="166">
        <f>RANK(D3,$D$2:$D$13,0)</f>
        <v/>
      </c>
      <c r="F3" s="166">
        <f>IF(E3=1,6,IF(MOD(E3,2)=0,6+E3/2,6-(E3-1)/2))</f>
        <v/>
      </c>
      <c r="H3" s="116" t="n">
        <v>2</v>
      </c>
      <c r="I3" s="165">
        <f>INDEX($D$2:$D$13, MATCH(H3,$F$2:$F$13,0))</f>
        <v/>
      </c>
      <c r="J3" s="165">
        <f>I3*60/Inputs!$B$8</f>
        <v/>
      </c>
      <c r="K3" s="166">
        <f>H3*Inputs!$B$8</f>
        <v/>
      </c>
    </row>
    <row r="4" ht="12.75" customHeight="1" s="117">
      <c r="A4" s="116" t="n">
        <v>15</v>
      </c>
      <c r="B4" s="163">
        <f>Inputs!$B$5/((A4+Inputs!$B$6)^Inputs!$B$7)</f>
        <v/>
      </c>
      <c r="C4" s="164">
        <f>B4*A4/60</f>
        <v/>
      </c>
      <c r="D4" s="165">
        <f>C4-IF(A4=5,0,C3)</f>
        <v/>
      </c>
      <c r="E4" s="166">
        <f>RANK(D4,$D$2:$D$13,0)</f>
        <v/>
      </c>
      <c r="F4" s="166">
        <f>IF(E4=1,6,IF(MOD(E4,2)=0,6+E4/2,6-(E4-1)/2))</f>
        <v/>
      </c>
      <c r="H4" s="116" t="n">
        <v>3</v>
      </c>
      <c r="I4" s="165">
        <f>INDEX($D$2:$D$13, MATCH(H4,$F$2:$F$13,0))</f>
        <v/>
      </c>
      <c r="J4" s="165">
        <f>I4*60/Inputs!$B$8</f>
        <v/>
      </c>
      <c r="K4" s="166">
        <f>H4*Inputs!$B$8</f>
        <v/>
      </c>
    </row>
    <row r="5" ht="12.75" customHeight="1" s="117">
      <c r="A5" s="116" t="n">
        <v>20</v>
      </c>
      <c r="B5" s="163">
        <f>Inputs!$B$5/((A5+Inputs!$B$6)^Inputs!$B$7)</f>
        <v/>
      </c>
      <c r="C5" s="164">
        <f>B5*A5/60</f>
        <v/>
      </c>
      <c r="D5" s="165">
        <f>C5-IF(A5=5,0,C4)</f>
        <v/>
      </c>
      <c r="E5" s="166">
        <f>RANK(D5,$D$2:$D$13,0)</f>
        <v/>
      </c>
      <c r="F5" s="166">
        <f>IF(E5=1,6,IF(MOD(E5,2)=0,6+E5/2,6-(E5-1)/2))</f>
        <v/>
      </c>
      <c r="H5" s="116" t="n">
        <v>4</v>
      </c>
      <c r="I5" s="165">
        <f>INDEX($D$2:$D$13, MATCH(H5,$F$2:$F$13,0))</f>
        <v/>
      </c>
      <c r="J5" s="165">
        <f>I5*60/Inputs!$B$8</f>
        <v/>
      </c>
      <c r="K5" s="166">
        <f>H5*Inputs!$B$8</f>
        <v/>
      </c>
    </row>
    <row r="6" ht="12.75" customHeight="1" s="117">
      <c r="A6" s="116" t="n">
        <v>25</v>
      </c>
      <c r="B6" s="163">
        <f>Inputs!$B$5/((A6+Inputs!$B$6)^Inputs!$B$7)</f>
        <v/>
      </c>
      <c r="C6" s="164">
        <f>B6*A6/60</f>
        <v/>
      </c>
      <c r="D6" s="165">
        <f>C6-IF(A6=5,0,C5)</f>
        <v/>
      </c>
      <c r="E6" s="166">
        <f>RANK(D6,$D$2:$D$13,0)</f>
        <v/>
      </c>
      <c r="F6" s="166">
        <f>IF(E6=1,6,IF(MOD(E6,2)=0,6+E6/2,6-(E6-1)/2))</f>
        <v/>
      </c>
      <c r="H6" s="116" t="n">
        <v>5</v>
      </c>
      <c r="I6" s="165">
        <f>INDEX($D$2:$D$13, MATCH(H6,$F$2:$F$13,0))</f>
        <v/>
      </c>
      <c r="J6" s="165">
        <f>I6*60/Inputs!$B$8</f>
        <v/>
      </c>
      <c r="K6" s="166">
        <f>H6*Inputs!$B$8</f>
        <v/>
      </c>
    </row>
    <row r="7" ht="12.75" customHeight="1" s="117">
      <c r="A7" s="116" t="n">
        <v>30</v>
      </c>
      <c r="B7" s="163">
        <f>Inputs!$B$5/((A7+Inputs!$B$6)^Inputs!$B$7)</f>
        <v/>
      </c>
      <c r="C7" s="164">
        <f>B7*A7/60</f>
        <v/>
      </c>
      <c r="D7" s="165">
        <f>C7-IF(A7=5,0,C6)</f>
        <v/>
      </c>
      <c r="E7" s="166">
        <f>RANK(D7,$D$2:$D$13,0)</f>
        <v/>
      </c>
      <c r="F7" s="166">
        <f>IF(E7=1,6,IF(MOD(E7,2)=0,6+E7/2,6-(E7-1)/2))</f>
        <v/>
      </c>
      <c r="H7" s="116" t="n">
        <v>6</v>
      </c>
      <c r="I7" s="165">
        <f>INDEX($D$2:$D$13, MATCH(H7,$F$2:$F$13,0))</f>
        <v/>
      </c>
      <c r="J7" s="165">
        <f>I7*60/Inputs!$B$8</f>
        <v/>
      </c>
      <c r="K7" s="166">
        <f>H7*Inputs!$B$8</f>
        <v/>
      </c>
    </row>
    <row r="8" ht="12.75" customHeight="1" s="117">
      <c r="A8" s="116" t="n">
        <v>35</v>
      </c>
      <c r="B8" s="163">
        <f>Inputs!$B$5/((A8+Inputs!$B$6)^Inputs!$B$7)</f>
        <v/>
      </c>
      <c r="C8" s="164">
        <f>B8*A8/60</f>
        <v/>
      </c>
      <c r="D8" s="165">
        <f>C8-IF(A8=5,0,C7)</f>
        <v/>
      </c>
      <c r="E8" s="166">
        <f>RANK(D8,$D$2:$D$13,0)</f>
        <v/>
      </c>
      <c r="F8" s="166">
        <f>IF(E8=1,6,IF(MOD(E8,2)=0,6+E8/2,6-(E8-1)/2))</f>
        <v/>
      </c>
      <c r="H8" s="116" t="n">
        <v>7</v>
      </c>
      <c r="I8" s="165">
        <f>INDEX($D$2:$D$13, MATCH(H8,$F$2:$F$13,0))</f>
        <v/>
      </c>
      <c r="J8" s="165">
        <f>I8*60/Inputs!$B$8</f>
        <v/>
      </c>
      <c r="K8" s="166">
        <f>H8*Inputs!$B$8</f>
        <v/>
      </c>
    </row>
    <row r="9" ht="12.75" customHeight="1" s="117">
      <c r="A9" s="116" t="n">
        <v>40</v>
      </c>
      <c r="B9" s="163">
        <f>Inputs!$B$5/((A9+Inputs!$B$6)^Inputs!$B$7)</f>
        <v/>
      </c>
      <c r="C9" s="164">
        <f>B9*A9/60</f>
        <v/>
      </c>
      <c r="D9" s="165">
        <f>C9-IF(A9=5,0,C8)</f>
        <v/>
      </c>
      <c r="E9" s="166">
        <f>RANK(D9,$D$2:$D$13,0)</f>
        <v/>
      </c>
      <c r="F9" s="166">
        <f>IF(E9=1,6,IF(MOD(E9,2)=0,6+E9/2,6-(E9-1)/2))</f>
        <v/>
      </c>
      <c r="H9" s="116" t="n">
        <v>8</v>
      </c>
      <c r="I9" s="165">
        <f>INDEX($D$2:$D$13, MATCH(H9,$F$2:$F$13,0))</f>
        <v/>
      </c>
      <c r="J9" s="165">
        <f>I9*60/Inputs!$B$8</f>
        <v/>
      </c>
      <c r="K9" s="166">
        <f>H9*Inputs!$B$8</f>
        <v/>
      </c>
    </row>
    <row r="10" ht="12.75" customHeight="1" s="117">
      <c r="A10" s="116" t="n">
        <v>45</v>
      </c>
      <c r="B10" s="163">
        <f>Inputs!$B$5/((A10+Inputs!$B$6)^Inputs!$B$7)</f>
        <v/>
      </c>
      <c r="C10" s="164">
        <f>B10*A10/60</f>
        <v/>
      </c>
      <c r="D10" s="165">
        <f>C10-IF(A10=5,0,C9)</f>
        <v/>
      </c>
      <c r="E10" s="166">
        <f>RANK(D10,$D$2:$D$13,0)</f>
        <v/>
      </c>
      <c r="F10" s="166">
        <f>IF(E10=1,6,IF(MOD(E10,2)=0,6+E10/2,6-(E10-1)/2))</f>
        <v/>
      </c>
      <c r="H10" s="116" t="n">
        <v>9</v>
      </c>
      <c r="I10" s="165">
        <f>INDEX($D$2:$D$13, MATCH(H10,$F$2:$F$13,0))</f>
        <v/>
      </c>
      <c r="J10" s="165">
        <f>I10*60/Inputs!$B$8</f>
        <v/>
      </c>
      <c r="K10" s="166">
        <f>H10*Inputs!$B$8</f>
        <v/>
      </c>
    </row>
    <row r="11" ht="12.75" customHeight="1" s="117">
      <c r="A11" s="116" t="n">
        <v>50</v>
      </c>
      <c r="B11" s="163">
        <f>Inputs!$B$5/((A11+Inputs!$B$6)^Inputs!$B$7)</f>
        <v/>
      </c>
      <c r="C11" s="164">
        <f>B11*A11/60</f>
        <v/>
      </c>
      <c r="D11" s="165">
        <f>C11-IF(A11=5,0,C10)</f>
        <v/>
      </c>
      <c r="E11" s="166">
        <f>RANK(D11,$D$2:$D$13,0)</f>
        <v/>
      </c>
      <c r="F11" s="166">
        <f>IF(E11=1,6,IF(MOD(E11,2)=0,6+E11/2,6-(E11-1)/2))</f>
        <v/>
      </c>
      <c r="H11" s="116" t="n">
        <v>10</v>
      </c>
      <c r="I11" s="165">
        <f>INDEX($D$2:$D$13, MATCH(H11,$F$2:$F$13,0))</f>
        <v/>
      </c>
      <c r="J11" s="165">
        <f>I11*60/Inputs!$B$8</f>
        <v/>
      </c>
      <c r="K11" s="166">
        <f>H11*Inputs!$B$8</f>
        <v/>
      </c>
    </row>
    <row r="12" ht="12.75" customHeight="1" s="117">
      <c r="A12" s="116" t="n">
        <v>55</v>
      </c>
      <c r="B12" s="163">
        <f>Inputs!$B$5/((A12+Inputs!$B$6)^Inputs!$B$7)</f>
        <v/>
      </c>
      <c r="C12" s="164">
        <f>B12*A12/60</f>
        <v/>
      </c>
      <c r="D12" s="165">
        <f>C12-IF(A12=5,0,C11)</f>
        <v/>
      </c>
      <c r="E12" s="166">
        <f>RANK(D12,$D$2:$D$13,0)</f>
        <v/>
      </c>
      <c r="F12" s="166">
        <f>IF(E12=1,6,IF(MOD(E12,2)=0,6+E12/2,6-(E12-1)/2))</f>
        <v/>
      </c>
      <c r="H12" s="116" t="n">
        <v>11</v>
      </c>
      <c r="I12" s="165">
        <f>INDEX($D$2:$D$13, MATCH(H12,$F$2:$F$13,0))</f>
        <v/>
      </c>
      <c r="J12" s="165">
        <f>I12*60/Inputs!$B$8</f>
        <v/>
      </c>
      <c r="K12" s="166">
        <f>H12*Inputs!$B$8</f>
        <v/>
      </c>
    </row>
    <row r="13" ht="12.75" customHeight="1" s="117">
      <c r="A13" s="116" t="n">
        <v>60</v>
      </c>
      <c r="B13" s="163">
        <f>Inputs!$B$5/((A13+Inputs!$B$6)^Inputs!$B$7)</f>
        <v/>
      </c>
      <c r="C13" s="164">
        <f>B13*A13/60</f>
        <v/>
      </c>
      <c r="D13" s="165">
        <f>C13-IF(A13=5,0,C12)</f>
        <v/>
      </c>
      <c r="E13" s="166">
        <f>RANK(D13,$D$2:$D$13,0)</f>
        <v/>
      </c>
      <c r="F13" s="166">
        <f>IF(E13=1,6,IF(MOD(E13,2)=0,6+E13/2,6-(E13-1)/2))</f>
        <v/>
      </c>
      <c r="H13" s="116" t="n">
        <v>12</v>
      </c>
      <c r="I13" s="165">
        <f>INDEX($D$2:$D$13, MATCH(H13,$F$2:$F$13,0))</f>
        <v/>
      </c>
      <c r="J13" s="165">
        <f>I13*60/Inputs!$B$8</f>
        <v/>
      </c>
      <c r="K13" s="166">
        <f>H13*Inputs!$B$8</f>
        <v/>
      </c>
    </row>
    <row r="14" ht="12.75" customHeight="1" s="117">
      <c r="C14" s="163" t="n"/>
      <c r="D14" s="163" t="n"/>
      <c r="E14" s="163" t="n"/>
      <c r="F14" s="163" t="n"/>
    </row>
    <row r="15" ht="12.75" customHeight="1" s="117">
      <c r="C15" s="163" t="n"/>
      <c r="D15" s="163" t="n"/>
      <c r="E15" s="163" t="n"/>
      <c r="F15" s="163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1" scale="100" fitToHeight="1" fitToWidth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V20"/>
  <sheetViews>
    <sheetView showFormulas="0" showGridLines="1" showRowColHeaders="1" showZeros="1" rightToLeft="0" tabSelected="1" showOutlineSymbols="1" defaultGridColor="1" view="normal" topLeftCell="A1" colorId="64" zoomScale="95" zoomScaleNormal="95" zoomScalePageLayoutView="100" workbookViewId="0">
      <selection pane="topLeft" activeCell="H1" activeCellId="0" sqref="H1"/>
    </sheetView>
  </sheetViews>
  <sheetFormatPr baseColWidth="8" defaultColWidth="11.5703125" defaultRowHeight="12.75" customHeight="1" zeroHeight="0" outlineLevelRow="0"/>
  <cols>
    <col width="12.29" customWidth="1" style="116" min="2" max="2"/>
    <col width="15.85" customWidth="1" style="116" min="4" max="4"/>
    <col width="12.67" customWidth="1" style="116" min="6" max="6"/>
    <col width="14.27" customWidth="1" style="116" min="7" max="7"/>
    <col width="12.65" customWidth="1" style="116" min="8" max="8"/>
    <col width="14.04" customWidth="1" style="116" min="9" max="9"/>
    <col width="13.1" customWidth="1" style="116" min="10" max="10"/>
    <col width="8.220000000000001" customWidth="1" style="116" min="14" max="14"/>
    <col width="9.48" customWidth="1" style="116" min="15" max="15"/>
    <col width="9.48" customWidth="1" style="117" min="16" max="16"/>
    <col width="9.48" customWidth="1" style="117" min="17" max="17"/>
    <col width="9.48" customWidth="1" style="117" min="18" max="18"/>
    <col width="9.48" customWidth="1" style="117" min="19" max="19"/>
  </cols>
  <sheetData>
    <row r="1" ht="26.6" customHeight="1" s="117">
      <c r="A1" s="116" t="inlineStr">
        <is>
          <t>Temps_min</t>
        </is>
      </c>
      <c r="B1" s="116" t="inlineStr">
        <is>
          <t>Pluie_mmh</t>
        </is>
      </c>
      <c r="C1" s="166" t="inlineStr">
        <is>
          <t>Debit_entrant_toiture_m3s</t>
        </is>
      </c>
      <c r="D1" s="167" t="inlineStr">
        <is>
          <t>Stockage_S1_Stormbrixx_m3</t>
        </is>
      </c>
      <c r="E1" s="168" t="inlineStr">
        <is>
          <t xml:space="preserve">Niveau_WL1_Stormbrixx_m </t>
        </is>
      </c>
      <c r="F1" s="167" t="inlineStr">
        <is>
          <t>Q_RP_total_m3s</t>
        </is>
      </c>
      <c r="G1" s="169" t="inlineStr">
        <is>
          <t xml:space="preserve">Debit_surverse1_m3s </t>
        </is>
      </c>
      <c r="H1" s="167" t="inlineStr">
        <is>
          <t>Stockage_S2_puisard_m3</t>
        </is>
      </c>
      <c r="I1" s="169" t="inlineStr">
        <is>
          <t>Debit_surverse2_m3s</t>
        </is>
      </c>
      <c r="J1" s="167" t="inlineStr">
        <is>
          <t>Niveau_WL2_puisard_m</t>
        </is>
      </c>
      <c r="K1" s="167" t="inlineStr">
        <is>
          <t>Pompes_en_marche</t>
        </is>
      </c>
      <c r="L1" s="167" t="inlineStr">
        <is>
          <t>Debit_pompe_commande_m3s</t>
        </is>
      </c>
      <c r="M1" s="167" t="inlineStr">
        <is>
          <t>Debit_pompe_effectif_m3s</t>
        </is>
      </c>
      <c r="N1" s="167" t="inlineStr">
        <is>
          <t>Indicateur_demarrage</t>
        </is>
      </c>
      <c r="O1" s="170" t="inlineStr">
        <is>
          <t>Cumul_demarrages</t>
        </is>
      </c>
      <c r="P1" s="170" t="inlineStr">
        <is>
          <t>Q_jelly_in_m3s</t>
        </is>
      </c>
      <c r="Q1" s="170" t="inlineStr">
        <is>
          <t>Q_bypass_m3s</t>
        </is>
      </c>
      <c r="R1" s="170" t="inlineStr">
        <is>
          <t>Q_jelly_out_m3s</t>
        </is>
      </c>
      <c r="S1" s="170" t="inlineStr">
        <is>
          <t>Q_in_poste_m3s</t>
        </is>
      </c>
      <c r="V1" s="116" t="inlineStr">
        <is>
          <t>BlockDepth_mm</t>
        </is>
      </c>
    </row>
    <row r="2" ht="12.75" customHeight="1" s="117">
      <c r="A2" s="116" t="n">
        <v>0</v>
      </c>
      <c r="B2" s="171">
        <f>IF(A2=0,0,_xlfn.XLOOKUP(A2,IDF_Hyetograph!$K$2:$K$13,IDF_Hyetograph!$J$2:$J$13,0))</f>
        <v/>
      </c>
      <c r="C2" s="166">
        <f>0.00278*Inputs!$B$4*Inputs!$B$3*B2</f>
        <v/>
      </c>
      <c r="D2" s="116" t="n">
        <v>0</v>
      </c>
      <c r="E2" s="172">
        <f>Inputs!$B$31</f>
        <v/>
      </c>
      <c r="F2" s="173" t="n">
        <v>0</v>
      </c>
      <c r="G2" s="173" t="n">
        <v>0</v>
      </c>
      <c r="H2" s="166" t="n">
        <v>0</v>
      </c>
      <c r="I2" s="166" t="n">
        <v>0</v>
      </c>
      <c r="J2" s="172">
        <f>Inputs!$B$40</f>
        <v/>
      </c>
      <c r="K2" s="174" t="n">
        <v>0</v>
      </c>
      <c r="L2" s="175" t="n">
        <v>0</v>
      </c>
      <c r="M2" s="175" t="n">
        <v>0</v>
      </c>
      <c r="N2" s="170" t="n">
        <v>0</v>
      </c>
      <c r="O2" s="116" t="n">
        <v>0</v>
      </c>
      <c r="P2" s="116" t="n">
        <v>0</v>
      </c>
      <c r="Q2" s="116" t="n">
        <v>0</v>
      </c>
      <c r="R2" s="116" t="n">
        <v>0</v>
      </c>
      <c r="S2" s="116" t="n">
        <v>0</v>
      </c>
      <c r="U2" s="116" t="n">
        <v>1</v>
      </c>
      <c r="V2" s="165">
        <f>INDEX(IDF_Hyetograph!$D$2:$D$13, MATCH(U2, IDF_Hyetograph!$F$2:$F$13, 0))</f>
        <v/>
      </c>
    </row>
    <row r="3" ht="12.75" customHeight="1" s="117">
      <c r="A3" s="166">
        <f>A2 + Inputs!$B$8</f>
        <v/>
      </c>
      <c r="B3" s="176">
        <f>IF(A3=0,0,_xlfn.IFNA(_xlfn.XLOOKUP(A3,IDF_Hyetograph!$K$2:$K$13,IDF_Hyetograph!$J$2:$J$13),0))</f>
        <v/>
      </c>
      <c r="C3" s="177">
        <f>0.00278*Inputs!$B$4*Inputs!$B$3*B3</f>
        <v/>
      </c>
      <c r="D3" s="177">
        <f>MIN( Inputs!$B$30, MAX(0, D2 + (C3-F3-G3)*Inputs!$B$9) )</f>
        <v/>
      </c>
      <c r="E3" s="177">
        <f>Inputs!$B$31 + D3/Inputs!$B$33</f>
        <v/>
      </c>
      <c r="F3" s="177">
        <f>MIN( D2/Inputs!$B$9, Inputs!$B$35*Inputs!$B$36*SQRT(2*Inputs!$B$37*MAX(E2-J2,0)) )</f>
        <v/>
      </c>
      <c r="G3" s="177">
        <f>MAX(0,(D2 + (C3-F3)*Inputs!$B$9 - Inputs!$B$30)/Inputs!$B$9)</f>
        <v/>
      </c>
      <c r="H3" s="178">
        <f>MAX(0,MIN(Inputs!$B$44,H2+(S3-M3-I3)*Inputs!$B$9))</f>
        <v/>
      </c>
      <c r="I3" s="178">
        <f>MAX(0,(H2+(S3-M3)*Inputs!$B$9-Inputs!$B$44)/Inputs!$B$9)</f>
        <v/>
      </c>
      <c r="J3" s="178">
        <f>Inputs!$B$40 + H3/Inputs!$B$42</f>
        <v/>
      </c>
      <c r="K3" s="170">
        <f>IF(J2&gt;=Inputs!$B$47,2, IF(J2&gt;=Inputs!$B$45,1, IF(J2&lt;=Inputs!$B$46,0,K2)))</f>
        <v/>
      </c>
      <c r="L3" s="177">
        <f>K3*Inputs!$B$49</f>
        <v/>
      </c>
      <c r="M3" s="177">
        <f>MIN(L3,H2/Inputs!$B$9+S3)</f>
        <v/>
      </c>
      <c r="N3" s="170">
        <f>IF(AND(K3&gt;0,K2=0),1,0)</f>
        <v/>
      </c>
      <c r="O3" s="170">
        <f>O2 + N3</f>
        <v/>
      </c>
      <c r="P3" s="116">
        <f>MIN(F3,Inputs!$B$50)</f>
        <v/>
      </c>
      <c r="Q3" s="116">
        <f>MAX(0,F3-P3)</f>
        <v/>
      </c>
      <c r="R3" s="116">
        <f>P3*Inputs!$B$51</f>
        <v/>
      </c>
      <c r="S3" s="116">
        <f>Q3+R3</f>
        <v/>
      </c>
      <c r="U3" s="116" t="n">
        <v>2</v>
      </c>
      <c r="V3" s="165">
        <f>INDEX(IDF_Hyetograph!$D$2:$D$13, MATCH(U3, IDF_Hyetograph!$F$2:$F$13, 0))</f>
        <v/>
      </c>
    </row>
    <row r="4" ht="12.75" customHeight="1" s="117">
      <c r="A4" s="166">
        <f>A3+Inputs!$B$8</f>
        <v/>
      </c>
      <c r="B4" s="176">
        <f>IF(A4=0,0,_xlfn.IFNA(_xlfn.XLOOKUP(A4,IDF_Hyetograph!$K$2:$K$13,IDF_Hyetograph!$J$2:$J$13),0))</f>
        <v/>
      </c>
      <c r="C4" s="177">
        <f>0.00278*Inputs!$B$4*Inputs!$B$3*B4</f>
        <v/>
      </c>
      <c r="D4" s="177">
        <f>MIN( Inputs!$B$30, MAX(0, D3 + (C4-F4-G4)*Inputs!$B$9) )</f>
        <v/>
      </c>
      <c r="E4" s="177">
        <f>Inputs!$B$31 + D4/Inputs!$B$33</f>
        <v/>
      </c>
      <c r="F4" s="177">
        <f>MIN( D3/Inputs!$B$9, Inputs!$B$35*Inputs!$B$36*SQRT(2*Inputs!$B$37*MAX(E3-J3,0)) )</f>
        <v/>
      </c>
      <c r="G4" s="177">
        <f>MAX(0,(D3 + (C4-F4)*Inputs!$B$9 - Inputs!$B$30)/Inputs!$B$9)</f>
        <v/>
      </c>
      <c r="H4" s="178">
        <f>MAX(0,MIN(Inputs!$B$44,H3+(S4-M4-I4)*Inputs!$B$9))</f>
        <v/>
      </c>
      <c r="I4" s="178">
        <f>MAX(0,(H3+(S4-M4)*Inputs!$B$9-Inputs!$B$44)/Inputs!$B$9)</f>
        <v/>
      </c>
      <c r="J4" s="178">
        <f>Inputs!$B$40 + H4/Inputs!$B$42</f>
        <v/>
      </c>
      <c r="K4" s="170">
        <f>IF(J3&gt;=Inputs!$B$47,2, IF(J3&gt;=Inputs!$B$45,1, IF(J3&lt;=Inputs!$B$46,0,K3)))</f>
        <v/>
      </c>
      <c r="L4" s="177">
        <f>K4*Inputs!$B$49</f>
        <v/>
      </c>
      <c r="M4" s="177">
        <f>MIN(L4,H3/Inputs!$B$9+S4)</f>
        <v/>
      </c>
      <c r="N4" s="170">
        <f>IF(AND(K4&gt;0,K3=0),1,0)</f>
        <v/>
      </c>
      <c r="O4" s="170">
        <f>O3 + N4</f>
        <v/>
      </c>
      <c r="P4" s="116">
        <f>MIN(F4,Inputs!$B$50)</f>
        <v/>
      </c>
      <c r="Q4" s="116">
        <f>MAX(0,F4-P4)</f>
        <v/>
      </c>
      <c r="R4" s="116">
        <f>P4*Inputs!$B$51</f>
        <v/>
      </c>
      <c r="S4" s="116">
        <f>Q4+R4</f>
        <v/>
      </c>
      <c r="U4" s="116" t="n">
        <v>3</v>
      </c>
      <c r="V4" s="165">
        <f>INDEX(IDF_Hyetograph!$D$2:$D$13, MATCH(U4, IDF_Hyetograph!$F$2:$F$13, 0))</f>
        <v/>
      </c>
    </row>
    <row r="5" ht="12.75" customHeight="1" s="117">
      <c r="A5" s="166">
        <f>A4+Inputs!$B$8</f>
        <v/>
      </c>
      <c r="B5" s="176">
        <f>IF(A5=0,0,_xlfn.IFNA(_xlfn.XLOOKUP(A5,IDF_Hyetograph!$K$2:$K$13,IDF_Hyetograph!$J$2:$J$13),0))</f>
        <v/>
      </c>
      <c r="C5" s="177">
        <f>0.00278*Inputs!$B$4*Inputs!$B$3*B5</f>
        <v/>
      </c>
      <c r="D5" s="177">
        <f>MIN( Inputs!$B$30, MAX(0, D4 + (C5-F5-G5)*Inputs!$B$9) )</f>
        <v/>
      </c>
      <c r="E5" s="177">
        <f>Inputs!$B$31 + D5/Inputs!$B$33</f>
        <v/>
      </c>
      <c r="F5" s="177">
        <f>MIN( D4/Inputs!$B$9, Inputs!$B$35*Inputs!$B$36*SQRT(2*Inputs!$B$37*MAX(E4-J4,0)) )</f>
        <v/>
      </c>
      <c r="G5" s="177">
        <f>MAX(0,(D4 + (C5-F5)*Inputs!$B$9 - Inputs!$B$30)/Inputs!$B$9)</f>
        <v/>
      </c>
      <c r="H5" s="178">
        <f>MAX(0,MIN(Inputs!$B$44,H4+(S5-M5-I5)*Inputs!$B$9))</f>
        <v/>
      </c>
      <c r="I5" s="178">
        <f>MAX(0,(H4+(S5-M5)*Inputs!$B$9-Inputs!$B$44)/Inputs!$B$9)</f>
        <v/>
      </c>
      <c r="J5" s="178">
        <f>Inputs!$B$40 + H5/Inputs!$B$42</f>
        <v/>
      </c>
      <c r="K5" s="170">
        <f>IF(J4&gt;=Inputs!$B$47,2, IF(J4&gt;=Inputs!$B$45,1, IF(J4&lt;=Inputs!$B$46,0,K4)))</f>
        <v/>
      </c>
      <c r="L5" s="177">
        <f>K5*Inputs!$B$49</f>
        <v/>
      </c>
      <c r="M5" s="177">
        <f>MIN(L5,H4/Inputs!$B$9+S5)</f>
        <v/>
      </c>
      <c r="N5" s="170">
        <f>IF(AND(K5&gt;0,K4=0),1,0)</f>
        <v/>
      </c>
      <c r="O5" s="170">
        <f>O4 + N5</f>
        <v/>
      </c>
      <c r="P5" s="116">
        <f>MIN(F5,Inputs!$B$50)</f>
        <v/>
      </c>
      <c r="Q5" s="116">
        <f>MAX(0,F5-P5)</f>
        <v/>
      </c>
      <c r="R5" s="116">
        <f>P5*Inputs!$B$51</f>
        <v/>
      </c>
      <c r="S5" s="116">
        <f>Q5+R5</f>
        <v/>
      </c>
      <c r="U5" s="116" t="n">
        <v>4</v>
      </c>
      <c r="V5" s="165">
        <f>INDEX(IDF_Hyetograph!$D$2:$D$13, MATCH(U5, IDF_Hyetograph!$F$2:$F$13, 0))</f>
        <v/>
      </c>
    </row>
    <row r="6" ht="12.75" customHeight="1" s="117">
      <c r="A6" s="166">
        <f>A5+Inputs!$B$8</f>
        <v/>
      </c>
      <c r="B6" s="176">
        <f>IF(A6=0,0,_xlfn.IFNA(_xlfn.XLOOKUP(A6,IDF_Hyetograph!$K$2:$K$13,IDF_Hyetograph!$J$2:$J$13),0))</f>
        <v/>
      </c>
      <c r="C6" s="177">
        <f>0.00278*Inputs!$B$4*Inputs!$B$3*B6</f>
        <v/>
      </c>
      <c r="D6" s="177">
        <f>MIN( Inputs!$B$30, MAX(0, D5 + (C6-F6-G6)*Inputs!$B$9) )</f>
        <v/>
      </c>
      <c r="E6" s="177">
        <f>Inputs!$B$31 + D6/Inputs!$B$33</f>
        <v/>
      </c>
      <c r="F6" s="177">
        <f>MIN( D5/Inputs!$B$9, Inputs!$B$35*Inputs!$B$36*SQRT(2*Inputs!$B$37*MAX(E5-J5,0)) )</f>
        <v/>
      </c>
      <c r="G6" s="177">
        <f>MAX(0,(D5 + (C6-F6)*Inputs!$B$9 - Inputs!$B$30)/Inputs!$B$9)</f>
        <v/>
      </c>
      <c r="H6" s="178">
        <f>MAX(0,MIN(Inputs!$B$44,H5+(S6-M6-I6)*Inputs!$B$9))</f>
        <v/>
      </c>
      <c r="I6" s="178">
        <f>MAX(0,(H5+(S6-M6)*Inputs!$B$9-Inputs!$B$44)/Inputs!$B$9)</f>
        <v/>
      </c>
      <c r="J6" s="178">
        <f>Inputs!$B$40 + H6/Inputs!$B$42</f>
        <v/>
      </c>
      <c r="K6" s="170">
        <f>IF(J5&gt;=Inputs!$B$47,2, IF(J5&gt;=Inputs!$B$45,1, IF(J5&lt;=Inputs!$B$46,0,K5)))</f>
        <v/>
      </c>
      <c r="L6" s="177">
        <f>K6*Inputs!$B$49</f>
        <v/>
      </c>
      <c r="M6" s="177">
        <f>MIN(L6,H5/Inputs!$B$9+S6)</f>
        <v/>
      </c>
      <c r="N6" s="170">
        <f>IF(AND(K6&gt;0,K5=0),1,0)</f>
        <v/>
      </c>
      <c r="O6" s="170">
        <f>O5 + N6</f>
        <v/>
      </c>
      <c r="P6" s="116">
        <f>MIN(F6,Inputs!$B$50)</f>
        <v/>
      </c>
      <c r="Q6" s="116">
        <f>MAX(0,F6-P6)</f>
        <v/>
      </c>
      <c r="R6" s="116">
        <f>P6*Inputs!$B$51</f>
        <v/>
      </c>
      <c r="S6" s="116">
        <f>Q6+R6</f>
        <v/>
      </c>
      <c r="U6" s="116" t="n">
        <v>5</v>
      </c>
      <c r="V6" s="165">
        <f>INDEX(IDF_Hyetograph!$D$2:$D$13, MATCH(U6, IDF_Hyetograph!$F$2:$F$13, 0))</f>
        <v/>
      </c>
    </row>
    <row r="7" ht="12.75" customHeight="1" s="117">
      <c r="A7" s="166">
        <f>A6+Inputs!$B$8</f>
        <v/>
      </c>
      <c r="B7" s="176">
        <f>IF(A7=0,0,_xlfn.IFNA(_xlfn.XLOOKUP(A7,IDF_Hyetograph!$K$2:$K$13,IDF_Hyetograph!$J$2:$J$13),0))</f>
        <v/>
      </c>
      <c r="C7" s="177">
        <f>0.00278*Inputs!$B$4*Inputs!$B$3*B7</f>
        <v/>
      </c>
      <c r="D7" s="177">
        <f>MIN( Inputs!$B$30, MAX(0, D6 + (C7-F7-G7)*Inputs!$B$9) )</f>
        <v/>
      </c>
      <c r="E7" s="177">
        <f>Inputs!$B$31 + D7/Inputs!$B$33</f>
        <v/>
      </c>
      <c r="F7" s="177">
        <f>MIN( D6/Inputs!$B$9, Inputs!$B$35*Inputs!$B$36*SQRT(2*Inputs!$B$37*MAX(E6-J6,0)) )</f>
        <v/>
      </c>
      <c r="G7" s="177">
        <f>MAX(0,(D6 + (C7-F7)*Inputs!$B$9 - Inputs!$B$30)/Inputs!$B$9)</f>
        <v/>
      </c>
      <c r="H7" s="178">
        <f>MAX(0,MIN(Inputs!$B$44,H6+(S7-M7-I7)*Inputs!$B$9))</f>
        <v/>
      </c>
      <c r="I7" s="178">
        <f>MAX(0,(H6+(S7-M7)*Inputs!$B$9-Inputs!$B$44)/Inputs!$B$9)</f>
        <v/>
      </c>
      <c r="J7" s="178">
        <f>Inputs!$B$40 + H7/Inputs!$B$42</f>
        <v/>
      </c>
      <c r="K7" s="170">
        <f>IF(J6&gt;=Inputs!$B$47,2, IF(J6&gt;=Inputs!$B$45,1, IF(J6&lt;=Inputs!$B$46,0,K6)))</f>
        <v/>
      </c>
      <c r="L7" s="177">
        <f>K7*Inputs!$B$49</f>
        <v/>
      </c>
      <c r="M7" s="177">
        <f>MIN(L7,H6/Inputs!$B$9+S7)</f>
        <v/>
      </c>
      <c r="N7" s="170">
        <f>IF(AND(K7&gt;0,K6=0),1,0)</f>
        <v/>
      </c>
      <c r="O7" s="170">
        <f>O6 + N7</f>
        <v/>
      </c>
      <c r="P7" s="116">
        <f>MIN(F7,Inputs!$B$50)</f>
        <v/>
      </c>
      <c r="Q7" s="116">
        <f>MAX(0,F7-P7)</f>
        <v/>
      </c>
      <c r="R7" s="116">
        <f>P7*Inputs!$B$51</f>
        <v/>
      </c>
      <c r="S7" s="116">
        <f>Q7+R7</f>
        <v/>
      </c>
      <c r="U7" s="116" t="n">
        <v>6</v>
      </c>
      <c r="V7" s="165">
        <f>INDEX(IDF_Hyetograph!$D$2:$D$13, MATCH(U7, IDF_Hyetograph!$F$2:$F$13, 0))</f>
        <v/>
      </c>
    </row>
    <row r="8" ht="12.75" customHeight="1" s="117">
      <c r="A8" s="166">
        <f>A7+Inputs!$B$8</f>
        <v/>
      </c>
      <c r="B8" s="176">
        <f>IF(A8=0,0,_xlfn.IFNA(_xlfn.XLOOKUP(A8,IDF_Hyetograph!$K$2:$K$13,IDF_Hyetograph!$J$2:$J$13),0))</f>
        <v/>
      </c>
      <c r="C8" s="177">
        <f>0.00278*Inputs!$B$4*Inputs!$B$3*B8</f>
        <v/>
      </c>
      <c r="D8" s="177">
        <f>MIN( Inputs!$B$30, MAX(0, D7 + (C8-F8-G8)*Inputs!$B$9) )</f>
        <v/>
      </c>
      <c r="E8" s="177">
        <f>Inputs!$B$31 + D8/Inputs!$B$33</f>
        <v/>
      </c>
      <c r="F8" s="177">
        <f>MIN( D7/Inputs!$B$9, Inputs!$B$35*Inputs!$B$36*SQRT(2*Inputs!$B$37*MAX(E7-J7,0)) )</f>
        <v/>
      </c>
      <c r="G8" s="177">
        <f>MAX(0,(D7 + (C8-F8)*Inputs!$B$9 - Inputs!$B$30)/Inputs!$B$9)</f>
        <v/>
      </c>
      <c r="H8" s="178">
        <f>MAX(0,MIN(Inputs!$B$44,H7+(S8-M8-I8)*Inputs!$B$9))</f>
        <v/>
      </c>
      <c r="I8" s="178">
        <f>MAX(0,(H7+(S8-M8)*Inputs!$B$9-Inputs!$B$44)/Inputs!$B$9)</f>
        <v/>
      </c>
      <c r="J8" s="178">
        <f>Inputs!$B$40 + H8/Inputs!$B$42</f>
        <v/>
      </c>
      <c r="K8" s="170">
        <f>IF(J7&gt;=Inputs!$B$47,2, IF(J7&gt;=Inputs!$B$45,1, IF(J7&lt;=Inputs!$B$46,0,K7)))</f>
        <v/>
      </c>
      <c r="L8" s="177">
        <f>K8*Inputs!$B$49</f>
        <v/>
      </c>
      <c r="M8" s="177">
        <f>MIN(L8,H7/Inputs!$B$9+S8)</f>
        <v/>
      </c>
      <c r="N8" s="170">
        <f>IF(AND(K8&gt;0,K7=0),1,0)</f>
        <v/>
      </c>
      <c r="O8" s="170">
        <f>O7 + N8</f>
        <v/>
      </c>
      <c r="P8" s="116">
        <f>MIN(F8,Inputs!$B$50)</f>
        <v/>
      </c>
      <c r="Q8" s="116">
        <f>MAX(0,F8-P8)</f>
        <v/>
      </c>
      <c r="R8" s="116">
        <f>P8*Inputs!$B$51</f>
        <v/>
      </c>
      <c r="S8" s="116">
        <f>Q8+R8</f>
        <v/>
      </c>
      <c r="U8" s="116" t="n">
        <v>7</v>
      </c>
      <c r="V8" s="165">
        <f>INDEX(IDF_Hyetograph!$D$2:$D$13, MATCH(U8, IDF_Hyetograph!$F$2:$F$13, 0))</f>
        <v/>
      </c>
    </row>
    <row r="9" ht="12.75" customHeight="1" s="117">
      <c r="A9" s="166">
        <f>A8+Inputs!$B$8</f>
        <v/>
      </c>
      <c r="B9" s="176">
        <f>IF(A9=0,0,_xlfn.IFNA(_xlfn.XLOOKUP(A9,IDF_Hyetograph!$K$2:$K$13,IDF_Hyetograph!$J$2:$J$13),0))</f>
        <v/>
      </c>
      <c r="C9" s="177">
        <f>0.00278*Inputs!$B$4*Inputs!$B$3*B9</f>
        <v/>
      </c>
      <c r="D9" s="177">
        <f>MIN( Inputs!$B$30, MAX(0, D8 + (C9-F9-G9)*Inputs!$B$9) )</f>
        <v/>
      </c>
      <c r="E9" s="177">
        <f>Inputs!$B$31 + D9/Inputs!$B$33</f>
        <v/>
      </c>
      <c r="F9" s="177">
        <f>MIN( D8/Inputs!$B$9, Inputs!$B$35*Inputs!$B$36*SQRT(2*Inputs!$B$37*MAX(E8-J8,0)) )</f>
        <v/>
      </c>
      <c r="G9" s="177">
        <f>MAX(0,(D8 + (C9-F9)*Inputs!$B$9 - Inputs!$B$30)/Inputs!$B$9)</f>
        <v/>
      </c>
      <c r="H9" s="178">
        <f>MAX(0,MIN(Inputs!$B$44,H8+(S9-M9-I9)*Inputs!$B$9))</f>
        <v/>
      </c>
      <c r="I9" s="178">
        <f>MAX(0,(H8+(S9-M9)*Inputs!$B$9-Inputs!$B$44)/Inputs!$B$9)</f>
        <v/>
      </c>
      <c r="J9" s="178">
        <f>Inputs!$B$40 + H9/Inputs!$B$42</f>
        <v/>
      </c>
      <c r="K9" s="170">
        <f>IF(J8&gt;=Inputs!$B$47,2, IF(J8&gt;=Inputs!$B$45,1, IF(J8&lt;=Inputs!$B$46,0,K8)))</f>
        <v/>
      </c>
      <c r="L9" s="177">
        <f>K9*Inputs!$B$49</f>
        <v/>
      </c>
      <c r="M9" s="177">
        <f>MIN(L9,H8/Inputs!$B$9+S9)</f>
        <v/>
      </c>
      <c r="N9" s="170">
        <f>IF(AND(K9&gt;0,K8=0),1,0)</f>
        <v/>
      </c>
      <c r="O9" s="170">
        <f>O8 + N9</f>
        <v/>
      </c>
      <c r="P9" s="116">
        <f>MIN(F9,Inputs!$B$50)</f>
        <v/>
      </c>
      <c r="Q9" s="116">
        <f>MAX(0,F9-P9)</f>
        <v/>
      </c>
      <c r="R9" s="116">
        <f>P9*Inputs!$B$51</f>
        <v/>
      </c>
      <c r="S9" s="116">
        <f>Q9+R9</f>
        <v/>
      </c>
      <c r="U9" s="116" t="n">
        <v>8</v>
      </c>
      <c r="V9" s="165">
        <f>INDEX(IDF_Hyetograph!$D$2:$D$13, MATCH(U9, IDF_Hyetograph!$F$2:$F$13, 0))</f>
        <v/>
      </c>
    </row>
    <row r="10" ht="12.75" customHeight="1" s="117">
      <c r="A10" s="166">
        <f>A9+Inputs!$B$8</f>
        <v/>
      </c>
      <c r="B10" s="176">
        <f>IF(A10=0,0,_xlfn.IFNA(_xlfn.XLOOKUP(A10,IDF_Hyetograph!$K$2:$K$13,IDF_Hyetograph!$J$2:$J$13),0))</f>
        <v/>
      </c>
      <c r="C10" s="177">
        <f>0.00278*Inputs!$B$4*Inputs!$B$3*B10</f>
        <v/>
      </c>
      <c r="D10" s="177">
        <f>MIN( Inputs!$B$30, MAX(0, D9 + (C10-F10-G10)*Inputs!$B$9) )</f>
        <v/>
      </c>
      <c r="E10" s="177">
        <f>Inputs!$B$31 + D10/Inputs!$B$33</f>
        <v/>
      </c>
      <c r="F10" s="177">
        <f>MIN( D9/Inputs!$B$9, Inputs!$B$35*Inputs!$B$36*SQRT(2*Inputs!$B$37*MAX(E9-J9,0)) )</f>
        <v/>
      </c>
      <c r="G10" s="177">
        <f>MAX(0,(D9 + (C10-F10)*Inputs!$B$9 - Inputs!$B$30)/Inputs!$B$9)</f>
        <v/>
      </c>
      <c r="H10" s="178">
        <f>MAX(0,MIN(Inputs!$B$44,H9+(S10-M10-I10)*Inputs!$B$9))</f>
        <v/>
      </c>
      <c r="I10" s="178">
        <f>MAX(0,(H9+(S10-M10)*Inputs!$B$9-Inputs!$B$44)/Inputs!$B$9)</f>
        <v/>
      </c>
      <c r="J10" s="178">
        <f>Inputs!$B$40 + H10/Inputs!$B$42</f>
        <v/>
      </c>
      <c r="K10" s="170">
        <f>IF(J9&gt;=Inputs!$B$47,2, IF(J9&gt;=Inputs!$B$45,1, IF(J9&lt;=Inputs!$B$46,0,K9)))</f>
        <v/>
      </c>
      <c r="L10" s="177">
        <f>K10*Inputs!$B$49</f>
        <v/>
      </c>
      <c r="M10" s="177">
        <f>MIN(L10,H9/Inputs!$B$9+S10)</f>
        <v/>
      </c>
      <c r="N10" s="170">
        <f>IF(AND(K10&gt;0,K9=0),1,0)</f>
        <v/>
      </c>
      <c r="O10" s="170">
        <f>O9 + N10</f>
        <v/>
      </c>
      <c r="P10" s="116">
        <f>MIN(F10,Inputs!$B$50)</f>
        <v/>
      </c>
      <c r="Q10" s="116">
        <f>MAX(0,F10-P10)</f>
        <v/>
      </c>
      <c r="R10" s="116">
        <f>P10*Inputs!$B$51</f>
        <v/>
      </c>
      <c r="S10" s="116">
        <f>Q10+R10</f>
        <v/>
      </c>
      <c r="U10" s="116" t="n">
        <v>9</v>
      </c>
      <c r="V10" s="165">
        <f>INDEX(IDF_Hyetograph!$D$2:$D$13, MATCH(U10, IDF_Hyetograph!$F$2:$F$13, 0))</f>
        <v/>
      </c>
    </row>
    <row r="11" ht="12.75" customHeight="1" s="117">
      <c r="A11" s="166">
        <f>A10+Inputs!$B$8</f>
        <v/>
      </c>
      <c r="B11" s="176">
        <f>IF(A11=0,0,_xlfn.IFNA(_xlfn.XLOOKUP(A11,IDF_Hyetograph!$K$2:$K$13,IDF_Hyetograph!$J$2:$J$13),0))</f>
        <v/>
      </c>
      <c r="C11" s="177">
        <f>0.00278*Inputs!$B$4*Inputs!$B$3*B11</f>
        <v/>
      </c>
      <c r="D11" s="177">
        <f>MIN( Inputs!$B$30, MAX(0, D10 + (C11-F11-G11)*Inputs!$B$9) )</f>
        <v/>
      </c>
      <c r="E11" s="177">
        <f>Inputs!$B$31 + D11/Inputs!$B$33</f>
        <v/>
      </c>
      <c r="F11" s="177">
        <f>MIN( D10/Inputs!$B$9, Inputs!$B$35*Inputs!$B$36*SQRT(2*Inputs!$B$37*MAX(E10-J10,0)) )</f>
        <v/>
      </c>
      <c r="G11" s="177">
        <f>MAX(0,(D10 + (C11-F11)*Inputs!$B$9 - Inputs!$B$30)/Inputs!$B$9)</f>
        <v/>
      </c>
      <c r="H11" s="178">
        <f>MAX(0,MIN(Inputs!$B$44,H10+(S11-M11-I11)*Inputs!$B$9))</f>
        <v/>
      </c>
      <c r="I11" s="178">
        <f>MAX(0,(H10+(S11-M11)*Inputs!$B$9-Inputs!$B$44)/Inputs!$B$9)</f>
        <v/>
      </c>
      <c r="J11" s="178">
        <f>Inputs!$B$40 + H11/Inputs!$B$42</f>
        <v/>
      </c>
      <c r="K11" s="170">
        <f>IF(J10&gt;=Inputs!$B$47,2, IF(J10&gt;=Inputs!$B$45,1, IF(J10&lt;=Inputs!$B$46,0,K10)))</f>
        <v/>
      </c>
      <c r="L11" s="177">
        <f>K11*Inputs!$B$49</f>
        <v/>
      </c>
      <c r="M11" s="177">
        <f>MIN(L11,H10/Inputs!$B$9+S11)</f>
        <v/>
      </c>
      <c r="N11" s="170">
        <f>IF(AND(K11&gt;0,K10=0),1,0)</f>
        <v/>
      </c>
      <c r="O11" s="170">
        <f>O10 + N11</f>
        <v/>
      </c>
      <c r="P11" s="116">
        <f>MIN(F11,Inputs!$B$50)</f>
        <v/>
      </c>
      <c r="Q11" s="116">
        <f>MAX(0,F11-P11)</f>
        <v/>
      </c>
      <c r="R11" s="116">
        <f>P11*Inputs!$B$51</f>
        <v/>
      </c>
      <c r="S11" s="116">
        <f>Q11+R11</f>
        <v/>
      </c>
      <c r="U11" s="116" t="n">
        <v>10</v>
      </c>
      <c r="V11" s="165">
        <f>INDEX(IDF_Hyetograph!$D$2:$D$13, MATCH(U11, IDF_Hyetograph!$F$2:$F$13, 0))</f>
        <v/>
      </c>
    </row>
    <row r="12" ht="12.75" customHeight="1" s="117">
      <c r="A12" s="166">
        <f>A11+Inputs!$B$8</f>
        <v/>
      </c>
      <c r="B12" s="176">
        <f>IF(A12=0,0,_xlfn.IFNA(_xlfn.XLOOKUP(A12,IDF_Hyetograph!$K$2:$K$13,IDF_Hyetograph!$J$2:$J$13),0))</f>
        <v/>
      </c>
      <c r="C12" s="177">
        <f>0.00278*Inputs!$B$4*Inputs!$B$3*B12</f>
        <v/>
      </c>
      <c r="D12" s="177">
        <f>MIN( Inputs!$B$30, MAX(0, D11 + (C12-F12-G12)*Inputs!$B$9) )</f>
        <v/>
      </c>
      <c r="E12" s="177">
        <f>Inputs!$B$31 + D12/Inputs!$B$33</f>
        <v/>
      </c>
      <c r="F12" s="177">
        <f>MIN( D11/Inputs!$B$9, Inputs!$B$35*Inputs!$B$36*SQRT(2*Inputs!$B$37*MAX(E11-J11,0)) )</f>
        <v/>
      </c>
      <c r="G12" s="177">
        <f>MAX(0,(D11 + (C12-F12)*Inputs!$B$9 - Inputs!$B$30)/Inputs!$B$9)</f>
        <v/>
      </c>
      <c r="H12" s="178">
        <f>MAX(0,MIN(Inputs!$B$44,H11+(S12-M12-I12)*Inputs!$B$9))</f>
        <v/>
      </c>
      <c r="I12" s="178">
        <f>MAX(0,(H11+(S12-M12)*Inputs!$B$9-Inputs!$B$44)/Inputs!$B$9)</f>
        <v/>
      </c>
      <c r="J12" s="178">
        <f>Inputs!$B$40 + H12/Inputs!$B$42</f>
        <v/>
      </c>
      <c r="K12" s="170">
        <f>IF(J11&gt;=Inputs!$B$47,2, IF(J11&gt;=Inputs!$B$45,1, IF(J11&lt;=Inputs!$B$46,0,K11)))</f>
        <v/>
      </c>
      <c r="L12" s="177">
        <f>K12*Inputs!$B$49</f>
        <v/>
      </c>
      <c r="M12" s="177">
        <f>MIN(L12,H11/Inputs!$B$9+S12)</f>
        <v/>
      </c>
      <c r="N12" s="170">
        <f>IF(AND(K12&gt;0,K11=0),1,0)</f>
        <v/>
      </c>
      <c r="O12" s="170">
        <f>O11 + N12</f>
        <v/>
      </c>
      <c r="P12" s="116">
        <f>MIN(F12,Inputs!$B$50)</f>
        <v/>
      </c>
      <c r="Q12" s="116">
        <f>MAX(0,F12-P12)</f>
        <v/>
      </c>
      <c r="R12" s="116">
        <f>P12*Inputs!$B$51</f>
        <v/>
      </c>
      <c r="S12" s="116">
        <f>Q12+R12</f>
        <v/>
      </c>
      <c r="U12" s="116" t="n">
        <v>11</v>
      </c>
      <c r="V12" s="165">
        <f>INDEX(IDF_Hyetograph!$D$2:$D$13, MATCH(U12, IDF_Hyetograph!$F$2:$F$13, 0))</f>
        <v/>
      </c>
    </row>
    <row r="13" ht="12.75" customHeight="1" s="117">
      <c r="A13" s="166">
        <f>A12+Inputs!$B$8</f>
        <v/>
      </c>
      <c r="B13" s="176">
        <f>IF(A13=0,0,_xlfn.IFNA(_xlfn.XLOOKUP(A13,IDF_Hyetograph!$K$2:$K$13,IDF_Hyetograph!$J$2:$J$13),0))</f>
        <v/>
      </c>
      <c r="C13" s="177">
        <f>0.00278*Inputs!$B$4*Inputs!$B$3*B13</f>
        <v/>
      </c>
      <c r="D13" s="177">
        <f>MIN( Inputs!$B$30, MAX(0, D12 + (C13-F13-G13)*Inputs!$B$9) )</f>
        <v/>
      </c>
      <c r="E13" s="177">
        <f>Inputs!$B$31 + D13/Inputs!$B$33</f>
        <v/>
      </c>
      <c r="F13" s="177">
        <f>MIN( D12/Inputs!$B$9, Inputs!$B$35*Inputs!$B$36*SQRT(2*Inputs!$B$37*MAX(E12-J12,0)) )</f>
        <v/>
      </c>
      <c r="G13" s="177">
        <f>MAX(0,(D12 + (C13-F13)*Inputs!$B$9 - Inputs!$B$30)/Inputs!$B$9)</f>
        <v/>
      </c>
      <c r="H13" s="178">
        <f>MAX(0,MIN(Inputs!$B$44,H12+(S13-M13-I13)*Inputs!$B$9))</f>
        <v/>
      </c>
      <c r="I13" s="178">
        <f>MAX(0,(H12+(S13-M13)*Inputs!$B$9-Inputs!$B$44)/Inputs!$B$9)</f>
        <v/>
      </c>
      <c r="J13" s="178">
        <f>Inputs!$B$40 + H13/Inputs!$B$42</f>
        <v/>
      </c>
      <c r="K13" s="170">
        <f>IF(J12&gt;=Inputs!$B$47,2, IF(J12&gt;=Inputs!$B$45,1, IF(J12&lt;=Inputs!$B$46,0,K12)))</f>
        <v/>
      </c>
      <c r="L13" s="177">
        <f>K13*Inputs!$B$49</f>
        <v/>
      </c>
      <c r="M13" s="177">
        <f>MIN(L13,H12/Inputs!$B$9+S13)</f>
        <v/>
      </c>
      <c r="N13" s="170">
        <f>IF(AND(K13&gt;0,K12=0),1,0)</f>
        <v/>
      </c>
      <c r="O13" s="170">
        <f>O12 + N13</f>
        <v/>
      </c>
      <c r="P13" s="116">
        <f>MIN(F13,Inputs!$B$50)</f>
        <v/>
      </c>
      <c r="Q13" s="116">
        <f>MAX(0,F13-P13)</f>
        <v/>
      </c>
      <c r="R13" s="116">
        <f>P13*Inputs!$B$51</f>
        <v/>
      </c>
      <c r="S13" s="116">
        <f>Q13+R13</f>
        <v/>
      </c>
      <c r="U13" s="116" t="n">
        <v>12</v>
      </c>
      <c r="V13" s="165">
        <f>INDEX(IDF_Hyetograph!$D$2:$D$13, MATCH(U13, IDF_Hyetograph!$F$2:$F$13, 0))</f>
        <v/>
      </c>
    </row>
    <row r="14" ht="12.75" customHeight="1" s="117">
      <c r="A14" s="166">
        <f>A13+Inputs!$B$8</f>
        <v/>
      </c>
      <c r="B14" s="176">
        <f>IF(A14=0,0,_xlfn.IFNA(_xlfn.XLOOKUP(A14,IDF_Hyetograph!$K$2:$K$13,IDF_Hyetograph!$J$2:$J$13),0))</f>
        <v/>
      </c>
      <c r="C14" s="177">
        <f>0.00278*Inputs!$B$4*Inputs!$B$3*B14</f>
        <v/>
      </c>
      <c r="D14" s="177">
        <f>MIN( Inputs!$B$30, MAX(0, D13 + (C14-F14-G14)*Inputs!$B$9) )</f>
        <v/>
      </c>
      <c r="E14" s="177">
        <f>Inputs!$B$31 + D14/Inputs!$B$33</f>
        <v/>
      </c>
      <c r="F14" s="177">
        <f>MIN( D13/Inputs!$B$9, Inputs!$B$35*Inputs!$B$36*SQRT(2*Inputs!$B$37*MAX(E13-J13,0)) )</f>
        <v/>
      </c>
      <c r="G14" s="177">
        <f>MAX(0,(D13 + (C14-F14)*Inputs!$B$9 - Inputs!$B$30)/Inputs!$B$9)</f>
        <v/>
      </c>
      <c r="H14" s="178">
        <f>MAX(0,MIN(Inputs!$B$44,H13+(S14-M14-I14)*Inputs!$B$9))</f>
        <v/>
      </c>
      <c r="I14" s="178">
        <f>MAX(0,(H13+(S14-M14)*Inputs!$B$9-Inputs!$B$44)/Inputs!$B$9)</f>
        <v/>
      </c>
      <c r="J14" s="178">
        <f>Inputs!$B$40 + H14/Inputs!$B$42</f>
        <v/>
      </c>
      <c r="K14" s="170">
        <f>IF(J13&gt;=Inputs!$B$47,2, IF(J13&gt;=Inputs!$B$45,1, IF(J13&lt;=Inputs!$B$46,0,K13)))</f>
        <v/>
      </c>
      <c r="L14" s="177">
        <f>K14*Inputs!$B$49</f>
        <v/>
      </c>
      <c r="M14" s="177">
        <f>MIN(L14,H13/Inputs!$B$9+S14)</f>
        <v/>
      </c>
      <c r="N14" s="170">
        <f>IF(AND(K14&gt;0,K13=0),1,0)</f>
        <v/>
      </c>
      <c r="O14" s="170">
        <f>O13 + N14</f>
        <v/>
      </c>
      <c r="P14" s="116">
        <f>MIN(F14,Inputs!$B$50)</f>
        <v/>
      </c>
      <c r="Q14" s="116">
        <f>MAX(0,F14-P14)</f>
        <v/>
      </c>
      <c r="R14" s="116">
        <f>P14*Inputs!$B$51</f>
        <v/>
      </c>
      <c r="S14" s="116">
        <f>Q14+R14</f>
        <v/>
      </c>
    </row>
    <row r="15" ht="12.75" customHeight="1" s="117">
      <c r="H15" s="155" t="n"/>
      <c r="K15" s="166" t="n"/>
    </row>
    <row r="16" ht="12.75" customHeight="1" s="117">
      <c r="H16" s="179" t="n"/>
      <c r="N16" s="116" t="inlineStr">
        <is>
          <t>Total_starts</t>
        </is>
      </c>
      <c r="O16" s="116">
        <f>O14</f>
        <v/>
      </c>
    </row>
    <row r="17" ht="12.75" customHeight="1" s="117">
      <c r="C17" s="180">
        <f>SUM(C2:C14)*Inputs!$B9</f>
        <v/>
      </c>
      <c r="D17" s="181">
        <f>D14</f>
        <v/>
      </c>
      <c r="E17" s="182">
        <f>D17+H17-D2-H2</f>
        <v/>
      </c>
      <c r="G17" s="183">
        <f>SUM(G2:G14)*Inputs!$B9</f>
        <v/>
      </c>
      <c r="H17" s="184">
        <f>H14</f>
        <v/>
      </c>
      <c r="I17" s="183">
        <f>SUM(I2:I14)*Inputs!$B9</f>
        <v/>
      </c>
      <c r="M17" s="183">
        <f>SUM(M2:M14)*Inputs!$B9</f>
        <v/>
      </c>
      <c r="N17" s="116" t="inlineStr">
        <is>
          <t>Event_hours</t>
        </is>
      </c>
      <c r="O17" s="185">
        <f>(A14-A2)/60</f>
        <v/>
      </c>
    </row>
    <row r="18" ht="12.75" customHeight="1" s="117">
      <c r="N18" s="116" t="inlineStr">
        <is>
          <t>Starts_per_hr</t>
        </is>
      </c>
      <c r="O18" s="170">
        <f>IF(O17=0,"",O16/O17)</f>
        <v/>
      </c>
    </row>
    <row r="19" ht="12.75" customHeight="1" s="117">
      <c r="B19" s="116" t="inlineStr">
        <is>
          <t>MassError_m3</t>
        </is>
      </c>
      <c r="C19" s="155">
        <f>C17-G17-I17-M17-E17</f>
        <v/>
      </c>
    </row>
    <row r="20" ht="12.75" customHeight="1" s="117">
      <c r="H20" s="155" t="n"/>
      <c r="I20" s="155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1" scale="100" fitToHeight="1" fitToWidth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95" zoomScaleNormal="95" zoomScalePageLayoutView="100" workbookViewId="0">
      <selection pane="topLeft" activeCell="B5" activeCellId="0" sqref="B5"/>
    </sheetView>
  </sheetViews>
  <sheetFormatPr baseColWidth="8" defaultColWidth="11.5703125" defaultRowHeight="12.75" customHeight="1" zeroHeight="0" outlineLevelRow="0"/>
  <cols>
    <col width="34.13" customWidth="1" style="116" min="1" max="1"/>
    <col width="20.08" customWidth="1" style="116" min="5" max="5"/>
    <col width="13.69" customWidth="1" style="116" min="6" max="6"/>
    <col width="15.85" customWidth="1" style="116" min="9" max="9"/>
  </cols>
  <sheetData>
    <row r="1" ht="31.05" customHeight="1" s="117">
      <c r="A1" s="186" t="inlineStr">
        <is>
          <t xml:space="preserve">POSTE DE POMPAGE – POINT DE FONCTIONNEMENT ET PUISSANCE (PRÉLIMINAIRE – PLUIE DE RÉCURRENCE 100 ANS) </t>
        </is>
      </c>
      <c r="B1" s="187" t="n"/>
      <c r="C1" s="187" t="n"/>
      <c r="D1" s="187" t="n"/>
      <c r="E1" s="187" t="n"/>
      <c r="F1" s="187" t="n"/>
      <c r="G1" s="187" t="n"/>
      <c r="I1" s="170" t="n"/>
    </row>
    <row r="2" ht="20.9" customHeight="1" s="117">
      <c r="A2" s="188" t="inlineStr">
        <is>
          <t>Base : Ruissellement toiture -&gt; StormBrixx -&gt; Puisard -&gt; Rejet pompé au ruisseau</t>
        </is>
      </c>
    </row>
    <row r="3" ht="24.05" customHeight="1" s="117">
      <c r="A3" s="189" t="inlineStr">
        <is>
          <t>Débit de conception vers le puisard, Q_design (m³/s)</t>
        </is>
      </c>
      <c r="B3" s="190">
        <f>MAX(Routing!F2:F100)</f>
        <v/>
      </c>
    </row>
    <row r="4" ht="16.45" customHeight="1" s="117">
      <c r="A4" s="189" t="inlineStr">
        <is>
          <t>Débit de pointe toiture, Q_peak (m³/s)</t>
        </is>
      </c>
      <c r="B4" s="190">
        <f>MAX(Routing!C2:C16)</f>
        <v/>
      </c>
    </row>
    <row r="5" ht="24.05" customHeight="1" s="117">
      <c r="A5" s="189" t="inlineStr">
        <is>
          <t>Niveau d’eau de conception du ruisseau (m)</t>
        </is>
      </c>
      <c r="B5" s="191">
        <f>Inputs!$B$12</f>
        <v/>
      </c>
    </row>
    <row r="6" ht="12.75" customHeight="1" s="117">
      <c r="A6" s="192" t="inlineStr">
        <is>
          <t xml:space="preserve">Niveau d’exploitation du puisard (m)  </t>
        </is>
      </c>
      <c r="B6" s="193">
        <f>AVERAGE(Inputs!B19,Inputs!B20)</f>
        <v/>
      </c>
      <c r="E6" s="194" t="inlineStr">
        <is>
          <t>Point de fonctionnement de conception</t>
        </is>
      </c>
      <c r="F6" s="195" t="n"/>
      <c r="G6" s="196" t="n"/>
    </row>
    <row r="7" ht="24.05" customHeight="1" s="117">
      <c r="A7" s="189" t="inlineStr">
        <is>
          <t>Longueur de la conduite de refoulement (m)</t>
        </is>
      </c>
      <c r="B7" s="191">
        <f>Inputs!$B$15</f>
        <v/>
      </c>
      <c r="E7" s="142" t="inlineStr">
        <is>
          <t>Débit total requis</t>
        </is>
      </c>
      <c r="F7" s="197">
        <f>B16</f>
        <v/>
      </c>
      <c r="G7" s="197" t="inlineStr">
        <is>
          <t xml:space="preserve">(m³/s) </t>
        </is>
      </c>
    </row>
    <row r="8" ht="24.05" customHeight="1" s="117">
      <c r="A8" s="189" t="inlineStr">
        <is>
          <t>Diamètre intérieur de la conduite de refoulement (m)</t>
        </is>
      </c>
      <c r="B8" s="198" t="n">
        <v>0.15</v>
      </c>
      <c r="E8" s="142" t="inlineStr">
        <is>
          <t>Débit par pompe en service</t>
        </is>
      </c>
      <c r="F8" s="197">
        <f>B17</f>
        <v/>
      </c>
      <c r="G8" s="197" t="inlineStr">
        <is>
          <t xml:space="preserve">(m³/s) </t>
        </is>
      </c>
    </row>
    <row r="9" ht="12.75" customHeight="1" s="117">
      <c r="A9" s="189" t="inlineStr">
        <is>
          <t>Coefficient C de Hazen-Williams (-)</t>
        </is>
      </c>
      <c r="B9" s="199" t="n">
        <v>120</v>
      </c>
      <c r="E9" s="142" t="inlineStr">
        <is>
          <t>HMT (hauteur manométrique totale)</t>
        </is>
      </c>
      <c r="F9" s="197">
        <f>B23</f>
        <v/>
      </c>
      <c r="G9" s="197" t="inlineStr">
        <is>
          <t>m</t>
        </is>
      </c>
    </row>
    <row r="10" ht="24.05" customHeight="1" s="117">
      <c r="A10" s="189" t="inlineStr">
        <is>
          <t xml:space="preserve">Coefficient de pertes singulières, K_total (-) </t>
        </is>
      </c>
      <c r="B10" s="199">
        <f>Inputs!B18</f>
        <v/>
      </c>
    </row>
    <row r="11" ht="12.75" customHeight="1" s="117">
      <c r="A11" s="189" t="inlineStr">
        <is>
          <t>Rendement pompe, η_pompe (-)</t>
        </is>
      </c>
      <c r="B11" s="199" t="n">
        <v>0.72</v>
      </c>
      <c r="E11" s="194" t="inlineStr">
        <is>
          <t>Critères de sélection des pompes</t>
        </is>
      </c>
      <c r="F11" s="195" t="n"/>
      <c r="G11" s="196" t="n"/>
    </row>
    <row r="12" ht="12.75" customHeight="1" s="117">
      <c r="A12" s="189" t="inlineStr">
        <is>
          <t xml:space="preserve">Rendement moteur, η_moteur (-)  </t>
        </is>
      </c>
      <c r="B12" s="199" t="n">
        <v>0.92</v>
      </c>
      <c r="E12" s="142" t="inlineStr">
        <is>
          <t>1 en service + 1 en secours</t>
        </is>
      </c>
      <c r="F12" s="200" t="inlineStr">
        <is>
          <t>Oui</t>
        </is>
      </c>
      <c r="G12" s="197" t="n"/>
    </row>
    <row r="13" ht="12.75" customHeight="1" s="117">
      <c r="A13" s="189" t="inlineStr">
        <is>
          <t>Nombre de pompes en service (-)</t>
        </is>
      </c>
      <c r="B13" s="199" t="n">
        <v>1</v>
      </c>
      <c r="E13" s="142" t="inlineStr">
        <is>
          <t>Point nominal minimal</t>
        </is>
      </c>
      <c r="F13" s="197">
        <f>"≥ "&amp;TEXT(B17,"0.000")&amp;" m³/s @ "&amp;TEXT(B23,"0.00")&amp;" m TDH"</f>
        <v/>
      </c>
      <c r="G13" s="197" t="n"/>
    </row>
    <row r="14" ht="12.75" customHeight="1" s="117">
      <c r="A14" s="189" t="inlineStr">
        <is>
          <t>Facteur de sécurité (-)</t>
        </is>
      </c>
      <c r="B14" s="199" t="n">
        <v>1.1</v>
      </c>
      <c r="E14" s="142" t="inlineStr">
        <is>
          <t>Puissance moteur retenue</t>
        </is>
      </c>
      <c r="F14" s="197" t="inlineStr">
        <is>
          <t xml:space="preserve">2.1 kW per pump) </t>
        </is>
      </c>
      <c r="G14" s="197" t="n"/>
    </row>
    <row r="15" ht="12.75" customHeight="1" s="117">
      <c r="A15" s="192" t="n"/>
      <c r="B15" s="199" t="n"/>
    </row>
    <row r="16" ht="13.8" customHeight="1" s="117">
      <c r="A16" s="189" t="inlineStr">
        <is>
          <t>Débit total requis de pompage (m³/s)</t>
        </is>
      </c>
      <c r="B16" s="201">
        <f>B3*B14</f>
        <v/>
      </c>
      <c r="E16" s="194" t="inlineStr">
        <is>
          <t>Vérification</t>
        </is>
      </c>
      <c r="F16" s="195" t="n"/>
      <c r="G16" s="196" t="n"/>
    </row>
    <row r="17" ht="17.75" customHeight="1" s="117">
      <c r="A17" s="202" t="inlineStr">
        <is>
          <t>Débit requis par pompe en service (m³/s)</t>
        </is>
      </c>
      <c r="B17" s="203">
        <f>IF(B13=0,"",B16/B13)</f>
        <v/>
      </c>
      <c r="E17" s="142" t="inlineStr">
        <is>
          <t>Démarrages/heure</t>
        </is>
      </c>
      <c r="F17" s="204">
        <f>B31</f>
        <v/>
      </c>
      <c r="G17" s="197" t="n"/>
    </row>
    <row r="18" ht="12.75" customHeight="1" s="117">
      <c r="A18" s="189" t="inlineStr">
        <is>
          <t xml:space="preserve">COMPOSANTES DE CHARGE  </t>
        </is>
      </c>
      <c r="B18" s="205" t="n"/>
      <c r="E18" s="142" t="inlineStr">
        <is>
          <t>Temps de vidange</t>
        </is>
      </c>
      <c r="F18" s="206">
        <f>B30</f>
        <v/>
      </c>
      <c r="G18" s="197" t="n"/>
    </row>
    <row r="19" ht="24.05" customHeight="1" s="117">
      <c r="A19" s="189" t="inlineStr">
        <is>
          <t>Charge statique (m)</t>
        </is>
      </c>
      <c r="B19" s="207">
        <f>MAX(0,B5-B6)</f>
        <v/>
      </c>
      <c r="E19" s="208" t="inlineStr">
        <is>
          <t>Vérification niveaux MARCHE/ARRÊT</t>
        </is>
      </c>
      <c r="F19" s="209">
        <f>B37</f>
        <v/>
      </c>
      <c r="G19" s="197">
        <f>Inputs!B19</f>
        <v/>
      </c>
    </row>
    <row r="20" ht="24.05" customHeight="1" s="117">
      <c r="A20" s="189" t="inlineStr">
        <is>
          <t>Vitesse dans la conduite de refoulement (m/s)</t>
        </is>
      </c>
      <c r="B20" s="210">
        <f>IF(B16&lt;=0,0,4*B16/(PI()*B8^2))</f>
        <v/>
      </c>
      <c r="E20" s="142" t="inlineStr">
        <is>
          <t xml:space="preserve">Note : le modèle final de pompe doit être confirmé par la courbe du fabricant </t>
        </is>
      </c>
      <c r="F20" s="197" t="n"/>
      <c r="G20" s="197" t="n"/>
    </row>
    <row r="21" ht="17.1" customHeight="1" s="117">
      <c r="A21" s="189" t="inlineStr">
        <is>
          <t xml:space="preserve">Perte de charge linéaire (m) </t>
        </is>
      </c>
      <c r="B21" s="210">
        <f>IF(B16&lt;=0,0,10.67*B7*B16^1.852/(B9^1.852*B8^4.87))</f>
        <v/>
      </c>
      <c r="C21" s="211" t="n"/>
    </row>
    <row r="22" ht="13.8" customHeight="1" s="117">
      <c r="A22" s="189" t="inlineStr">
        <is>
          <t>Pertes singulières (m)</t>
        </is>
      </c>
      <c r="B22" s="210">
        <f>B10*B20^2/(2*9.81)</f>
        <v/>
      </c>
    </row>
    <row r="23" ht="24.05" customHeight="1" s="117">
      <c r="A23" s="189" t="inlineStr">
        <is>
          <t>Hauteur Manométrique Totale, HMT (m)</t>
        </is>
      </c>
      <c r="B23" s="210">
        <f>B19+B21+B22</f>
        <v/>
      </c>
    </row>
    <row r="24" ht="12.75" customHeight="1" s="117">
      <c r="A24" s="189" t="inlineStr">
        <is>
          <t>BESOINS EN PUISSANCE</t>
        </is>
      </c>
      <c r="B24" s="205" t="n"/>
    </row>
    <row r="25" ht="15" customHeight="1" s="117">
      <c r="A25" s="189" t="inlineStr">
        <is>
          <t>Puissance hydraulique (kW)</t>
        </is>
      </c>
      <c r="B25" s="210">
        <f>1000*9.81*B16*B23/1000</f>
        <v/>
      </c>
      <c r="D25" s="212" t="n"/>
    </row>
    <row r="26" ht="24.05" customHeight="1" s="117">
      <c r="A26" s="189" t="inlineStr">
        <is>
          <t>Puissance absorbée aux bornes moteur (kW)</t>
        </is>
      </c>
      <c r="B26" s="213">
        <f>IF(B11*B12=0,"",B25/(B11*B12))</f>
        <v/>
      </c>
      <c r="C26" s="166" t="n"/>
      <c r="D26" s="166" t="n"/>
    </row>
    <row r="27" ht="24.05" customHeight="1" s="117">
      <c r="A27" s="189" t="inlineStr">
        <is>
          <t>Puissance absorbée par pompe en service (kW)</t>
        </is>
      </c>
      <c r="B27" s="213">
        <f>IF(B13=0,"",B26/B13)</f>
        <v/>
      </c>
      <c r="D27" s="166" t="n"/>
    </row>
    <row r="28" ht="34.5" customHeight="1" s="117">
      <c r="A28" s="189" t="n"/>
      <c r="B28" s="199" t="n"/>
      <c r="D28" s="214" t="n"/>
    </row>
    <row r="29" ht="25.5" customHeight="1" s="117">
      <c r="A29" s="189" t="inlineStr">
        <is>
          <t>Volume utile du puisard entre MARCHE/ARRÊT (m³)</t>
        </is>
      </c>
      <c r="B29" s="215">
        <f>IF(Inputs!$B$19&lt;=Inputs!$B$20,"",Inputs!$B$42*(Inputs!$B$19-Inputs!$B$20))</f>
        <v/>
      </c>
    </row>
    <row r="30" ht="12.75" customHeight="1" s="117">
      <c r="A30" s="189" t="inlineStr">
        <is>
          <t>Temps estimé de vidange (min)</t>
        </is>
      </c>
      <c r="B30" s="216">
        <f>IF(OR(B17&lt;=0,B29&lt;=0),"",B29/B17/60)</f>
        <v/>
      </c>
    </row>
    <row r="31" ht="24.05" customHeight="1" s="117">
      <c r="A31" s="189" t="inlineStr">
        <is>
          <t>Nombre total de démarrages pendant l’événement (-)</t>
        </is>
      </c>
      <c r="B31" s="217">
        <f>MAX(Routing!$O$2:$O$2000)</f>
        <v/>
      </c>
    </row>
    <row r="32" ht="25.5" customHeight="1" s="117">
      <c r="A32" s="189" t="inlineStr">
        <is>
          <t>Durée de l’événement (h)</t>
        </is>
      </c>
      <c r="B32" s="217">
        <f>(MAX(Routing!$A$2:$A$2000)-MIN(Routing!$A$2:$A$2000))/60</f>
        <v/>
      </c>
      <c r="F32" s="218" t="n"/>
      <c r="H32" s="218" t="n"/>
      <c r="I32" s="218" t="n"/>
    </row>
    <row r="33" ht="23.25" customHeight="1" s="117">
      <c r="A33" s="189" t="inlineStr">
        <is>
          <t>Démarrages moyens par heure (1/h)</t>
        </is>
      </c>
      <c r="B33" s="217">
        <f>IF(B32=0,"",B31/B32)</f>
        <v/>
      </c>
      <c r="F33" s="167" t="n"/>
      <c r="H33" s="219" t="n"/>
    </row>
    <row r="34" ht="18.75" customHeight="1" s="117">
      <c r="A34" s="189" t="inlineStr">
        <is>
          <t>Vérification des démarrages/heure</t>
        </is>
      </c>
      <c r="B34" s="220">
        <f>IF(B33="","INFO",IF(B33&gt;10,"Too many starts","OK"))</f>
        <v/>
      </c>
      <c r="F34" s="167" t="n"/>
      <c r="H34" s="221" t="n"/>
    </row>
    <row r="35" ht="14.25" customHeight="1" s="117">
      <c r="A35" s="192" t="n"/>
      <c r="B35" s="190" t="n"/>
      <c r="F35" s="185" t="n"/>
      <c r="H35" s="166" t="n"/>
    </row>
    <row r="36" ht="10.1" customHeight="1" s="117">
      <c r="A36" s="192" t="n"/>
      <c r="B36" s="199" t="n"/>
      <c r="F36" s="166" t="n"/>
      <c r="H36" s="222" t="n"/>
    </row>
    <row r="37" ht="12" customHeight="1" s="117">
      <c r="A37" s="192" t="inlineStr">
        <is>
          <t>Warning on pump levels</t>
        </is>
      </c>
      <c r="B37" s="220">
        <f>IF(Inputs!$B$19&lt;=Inputs!$B$20,"ERROR: ON level must be &gt; OFF level","OK")</f>
        <v/>
      </c>
      <c r="F37" s="167" t="n"/>
      <c r="H37" s="222" t="n"/>
    </row>
    <row r="38" ht="18" customHeight="1" s="117">
      <c r="F38" s="219" t="n"/>
      <c r="H38" s="166" t="n"/>
    </row>
    <row r="39" ht="27" customHeight="1" s="117">
      <c r="E39" s="172" t="n"/>
      <c r="F39" s="167" t="n"/>
      <c r="H39" s="222" t="n"/>
    </row>
    <row r="40" ht="12.75" customHeight="1" s="117">
      <c r="C40" s="172" t="n"/>
      <c r="D40" s="185" t="n"/>
    </row>
    <row r="41" ht="40.5" customHeight="1" s="117">
      <c r="H41" s="223" t="n"/>
    </row>
    <row r="42" ht="19.5" customHeight="1" s="117">
      <c r="H42" s="222" t="n"/>
    </row>
    <row r="43" ht="24.75" customHeight="1" s="117">
      <c r="H43" s="224" t="n"/>
    </row>
    <row r="44" ht="36" customHeight="1" s="117">
      <c r="H44" s="222" t="n"/>
    </row>
    <row r="45" ht="26.25" customHeight="1" s="117">
      <c r="H45" s="222" t="n"/>
    </row>
    <row r="46" ht="24.75" customHeight="1" s="117">
      <c r="H46" s="222" t="n"/>
    </row>
    <row r="47" ht="30" customHeight="1" s="117">
      <c r="H47" s="222" t="n"/>
    </row>
  </sheetData>
  <mergeCells count="16">
    <mergeCell ref="H34:I34"/>
    <mergeCell ref="H46:J46"/>
    <mergeCell ref="F39:G39"/>
    <mergeCell ref="H42:J42"/>
    <mergeCell ref="A1:G1"/>
    <mergeCell ref="A2:E2"/>
    <mergeCell ref="H36:J36"/>
    <mergeCell ref="H45:I45"/>
    <mergeCell ref="H37:J37"/>
    <mergeCell ref="H43:I43"/>
    <mergeCell ref="H33:I33"/>
    <mergeCell ref="H47:J47"/>
    <mergeCell ref="D28:E28"/>
    <mergeCell ref="H41:I41"/>
    <mergeCell ref="H44:I44"/>
    <mergeCell ref="H39:J39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1" scale="100" fitToHeight="1" fitToWidth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2:G39"/>
  <sheetViews>
    <sheetView showFormulas="0" showGridLines="1" showRowColHeaders="1" showZeros="1" rightToLeft="0" tabSelected="0" showOutlineSymbols="1" defaultGridColor="1" view="normal" topLeftCell="A19" colorId="64" zoomScale="95" zoomScaleNormal="95" zoomScalePageLayoutView="100" workbookViewId="0">
      <selection pane="topLeft" activeCell="B41" activeCellId="0" sqref="B41"/>
    </sheetView>
  </sheetViews>
  <sheetFormatPr baseColWidth="8" defaultColWidth="11.53515625" defaultRowHeight="12.8" customHeight="1" zeroHeight="0" outlineLevelRow="0"/>
  <sheetData>
    <row r="2" ht="12.8" customHeight="1" s="117">
      <c r="B2" s="116" t="inlineStr">
        <is>
          <t>V_block_eff = 0.8 * 0.8 * 0.66 * 0.9 = 0.38016 m3/block</t>
        </is>
      </c>
    </row>
    <row r="3" ht="15" customHeight="1" s="117">
      <c r="B3" s="225" t="inlineStr">
        <is>
          <t>Blocks needed for 130 m3</t>
        </is>
      </c>
    </row>
    <row r="4" ht="12.8" customHeight="1" s="117">
      <c r="B4" s="116" t="inlineStr">
        <is>
          <t>N_blocks_130 = 130 / 0.38016 = 341.96 -&gt; 342 blocks</t>
        </is>
      </c>
    </row>
    <row r="5" ht="28.1" customHeight="1" s="117">
      <c r="B5" s="225" t="inlineStr">
        <is>
          <t>2) Why 95 mm is causing too much upstream storage</t>
        </is>
      </c>
    </row>
    <row r="6" ht="23.05" customHeight="1" s="117">
      <c r="B6" s="226" t="inlineStr">
        <is>
          <t>Your peak roof inflow (from your routing) is around 0.389 m3/s (389 L/s).</t>
        </is>
      </c>
    </row>
    <row r="7" ht="23.05" customHeight="1" s="117">
      <c r="B7" s="226" t="inlineStr">
        <is>
          <t>A 95 mm orifice typically passes only a small fraction of that (depending on head).</t>
        </is>
      </c>
    </row>
    <row r="8" ht="23.05" customHeight="1" s="117">
      <c r="B8" s="226" t="inlineStr">
        <is>
          <t xml:space="preserve">So StormBrixx accumulates too much water, hence ~301 m3 required. </t>
        </is>
      </c>
    </row>
    <row r="9" ht="28.1" customHeight="1" s="117">
      <c r="B9" s="227" t="inlineStr">
        <is>
          <t>3) Pump duty point target (preliminary)</t>
        </is>
      </c>
    </row>
    <row r="10" ht="12.8" customHeight="1" s="117">
      <c r="B10" s="226" t="inlineStr">
        <is>
          <t>H_static = 1.282 m</t>
        </is>
      </c>
    </row>
    <row r="11" ht="23.05" customHeight="1" s="117">
      <c r="B11" s="226" t="inlineStr">
        <is>
          <t>at Q = 0.04 m3/s, you had hf + hm = 0.310 + 0.715 = 1.025 m</t>
        </is>
      </c>
    </row>
    <row r="12" ht="12.8" customHeight="1" s="117">
      <c r="B12" s="226" t="inlineStr">
        <is>
          <t xml:space="preserve">So system curve coefficient: </t>
        </is>
      </c>
    </row>
    <row r="13" ht="12.8" customHeight="1" s="117">
      <c r="B13" s="226" t="inlineStr">
        <is>
          <t>k_sys = (hf+hm)/Q^2 = 1.025 / (0.04^2) = 640.6</t>
        </is>
      </c>
    </row>
    <row r="14" ht="12.8" customHeight="1" s="117">
      <c r="B14" s="116" t="inlineStr">
        <is>
          <t>H_sys(Q) = 1.282 + 640.6*Q^2</t>
        </is>
      </c>
    </row>
    <row r="15" ht="45.15" customHeight="1" s="117">
      <c r="B15" s="228" t="inlineStr">
        <is>
          <t xml:space="preserve">To keep 130 m3 realistic, you need total pumped/released flow around 0.07 m3/s order of magnitude during event (not 0.04). </t>
        </is>
      </c>
    </row>
    <row r="16" ht="12.8" customHeight="1" s="117">
      <c r="B16" s="170" t="inlineStr">
        <is>
          <t>At Q = 0.07:</t>
        </is>
      </c>
    </row>
    <row r="17" ht="12.8" customHeight="1" s="117">
      <c r="B17" s="226" t="inlineStr">
        <is>
          <t xml:space="preserve">H_sys = 1.282 + 640.6*(0.07^2) = 4.42 m </t>
        </is>
      </c>
    </row>
    <row r="18" ht="23.05" customHeight="1" s="117">
      <c r="B18" s="226" t="inlineStr">
        <is>
          <t xml:space="preserve">So your pump station should target roughly: </t>
        </is>
      </c>
    </row>
    <row r="19" ht="12.8" customHeight="1" s="117">
      <c r="B19" s="116" t="inlineStr">
        <is>
          <t>Q_total</t>
        </is>
      </c>
      <c r="C19" s="116" t="inlineStr">
        <is>
          <t>≈</t>
        </is>
      </c>
      <c r="D19" s="116" t="n">
        <v>0.07000000000000001</v>
      </c>
      <c r="E19" s="116" t="inlineStr">
        <is>
          <t>to</t>
        </is>
      </c>
      <c r="F19" s="116" t="n">
        <v>0.08</v>
      </c>
      <c r="G19" s="116" t="inlineStr">
        <is>
          <t>m3/s</t>
        </is>
      </c>
    </row>
    <row r="20" ht="12.8" customHeight="1" s="117">
      <c r="B20" s="116" t="inlineStr">
        <is>
          <t>TDH</t>
        </is>
      </c>
      <c r="C20" s="116" t="inlineStr">
        <is>
          <t>≈</t>
        </is>
      </c>
      <c r="D20" s="116" t="n">
        <v>4.5</v>
      </c>
      <c r="E20" s="116" t="inlineStr">
        <is>
          <t>to</t>
        </is>
      </c>
      <c r="F20" s="116" t="n">
        <v>5.5</v>
      </c>
      <c r="G20" s="116" t="inlineStr">
        <is>
          <t>m</t>
        </is>
      </c>
    </row>
    <row r="21" ht="28.1" customHeight="1" s="117">
      <c r="B21" s="227" t="inlineStr">
        <is>
          <t>4) Temporary pump curve to use now (since no vendor curve yet)</t>
        </is>
      </c>
    </row>
    <row r="22" ht="12.8" customHeight="1" s="117">
      <c r="B22" s="226" t="inlineStr">
        <is>
          <t>Use one-pump placeholder curve:</t>
        </is>
      </c>
    </row>
    <row r="23" ht="12.8" customHeight="1" s="117">
      <c r="B23" s="226" t="inlineStr">
        <is>
          <t xml:space="preserve">H_pump_single(Q) = 7.5 - 2040*Q^2 </t>
        </is>
      </c>
    </row>
    <row r="24" ht="12.8" customHeight="1" s="117">
      <c r="B24" s="226" t="inlineStr">
        <is>
          <t>(Q in m3/s, H in m)</t>
        </is>
      </c>
    </row>
    <row r="25" ht="12.8" customHeight="1" s="117">
      <c r="B25" s="226" t="inlineStr">
        <is>
          <t>This gives approx:</t>
        </is>
      </c>
    </row>
    <row r="26" ht="12.8" customHeight="1" s="117">
      <c r="B26" s="226" t="inlineStr">
        <is>
          <t>shutoff head ~7.5 m</t>
        </is>
      </c>
    </row>
    <row r="27" ht="12.8" customHeight="1" s="117">
      <c r="B27" s="226" t="inlineStr">
        <is>
          <t>~5 m at Q ~0.035 m3/s (35 L/s)</t>
        </is>
      </c>
    </row>
    <row r="28" ht="23.05" customHeight="1" s="117">
      <c r="B28" s="226" t="inlineStr">
        <is>
          <t>Intersection with your system curve gives about:</t>
        </is>
      </c>
    </row>
    <row r="29" ht="12.8" customHeight="1" s="117">
      <c r="B29" s="226" t="inlineStr">
        <is>
          <t xml:space="preserve">Q_total ≈ 0.0735 m3/sH ≈ 4.74 m </t>
        </is>
      </c>
    </row>
    <row r="30" ht="15" customHeight="1" s="117">
      <c r="B30" s="227" t="inlineStr">
        <is>
          <t>5) Important design conclusion</t>
        </is>
      </c>
    </row>
    <row r="31" ht="34.1" customHeight="1" s="117">
      <c r="B31" s="226" t="inlineStr">
        <is>
          <t>If transfer from StormBrixx to wetwell is still through 95 mm Q-brake, the pumps may be starved and upstream storage will remain too high.</t>
        </is>
      </c>
    </row>
    <row r="32" ht="34.1" customHeight="1" s="117">
      <c r="B32" s="226" t="inlineStr">
        <is>
          <t>You likely need to increase transfer/orifice size (first-pass likely around 150–180 mm depending head), then rerun routing.</t>
        </is>
      </c>
    </row>
    <row r="33" ht="28.1" customHeight="1" s="117">
      <c r="B33" s="227" t="inlineStr">
        <is>
          <t>6) What I still need to finalize real pump selection</t>
        </is>
      </c>
    </row>
    <row r="34" ht="12.8" customHeight="1" s="117">
      <c r="B34" s="226" t="inlineStr">
        <is>
          <t>To pick an actual catalog pump model/curve:</t>
        </is>
      </c>
    </row>
    <row r="35" ht="12.8" customHeight="1" s="117">
      <c r="B35" s="229" t="inlineStr">
        <is>
          <t>Force main length + diameter + fittings (final values)</t>
        </is>
      </c>
    </row>
    <row r="36" ht="12.8" customHeight="1" s="117">
      <c r="B36" s="229" t="inlineStr">
        <is>
          <t>Creek design water level for 100-year event</t>
        </is>
      </c>
    </row>
    <row r="37" ht="23.05" customHeight="1" s="117">
      <c r="B37" s="229" t="inlineStr">
        <is>
          <t>Whether you want 2 duty + 1 standby or 1 duty + 1 standby</t>
        </is>
      </c>
    </row>
    <row r="38" ht="12.8" customHeight="1" s="117">
      <c r="B38" s="229" t="inlineStr">
        <is>
          <t>Max allowed drawdown time after storm</t>
        </is>
      </c>
    </row>
    <row r="39" ht="12.8" customHeight="1" s="117">
      <c r="B39" s="229" t="inlineStr">
        <is>
          <t>Any max discharge constraint to creek</t>
        </is>
      </c>
    </row>
  </sheetData>
  <mergeCells count="32">
    <mergeCell ref="B11:D11"/>
    <mergeCell ref="B25:C25"/>
    <mergeCell ref="B8:D8"/>
    <mergeCell ref="B17:D17"/>
    <mergeCell ref="B29:D29"/>
    <mergeCell ref="B36:E36"/>
    <mergeCell ref="B32:E32"/>
    <mergeCell ref="B10:D10"/>
    <mergeCell ref="B28:D28"/>
    <mergeCell ref="B12:C12"/>
    <mergeCell ref="B35:E35"/>
    <mergeCell ref="B9:D9"/>
    <mergeCell ref="B30:D30"/>
    <mergeCell ref="B15:D15"/>
    <mergeCell ref="B6:D6"/>
    <mergeCell ref="B24:D24"/>
    <mergeCell ref="B33:D33"/>
    <mergeCell ref="B31:E31"/>
    <mergeCell ref="B5:D5"/>
    <mergeCell ref="B26:D26"/>
    <mergeCell ref="B39:E39"/>
    <mergeCell ref="B7:D7"/>
    <mergeCell ref="B23:E23"/>
    <mergeCell ref="B3:D3"/>
    <mergeCell ref="B13:E13"/>
    <mergeCell ref="B22:D22"/>
    <mergeCell ref="B38:E38"/>
    <mergeCell ref="B18:D18"/>
    <mergeCell ref="B27:D27"/>
    <mergeCell ref="B21:D21"/>
    <mergeCell ref="B37:E37"/>
    <mergeCell ref="B34:E34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1" scale="100" fitToHeight="1" fitToWidth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2"/>
  <sheetViews>
    <sheetView workbookViewId="0">
      <selection activeCell="A1" sqref="A1"/>
    </sheetView>
  </sheetViews>
  <sheetFormatPr baseColWidth="8" defaultRowHeight="15"/>
  <cols>
    <col width="12" customWidth="1" style="117" min="1" max="1"/>
    <col width="42" customWidth="1" style="117" min="2" max="2"/>
    <col width="8" customWidth="1" style="117" min="3" max="3"/>
    <col width="8" customWidth="1" style="117" min="4" max="4"/>
    <col width="10" customWidth="1" style="117" min="5" max="5"/>
    <col width="12" customWidth="1" style="117" min="6" max="6"/>
    <col width="10" customWidth="1" style="117" min="7" max="7"/>
    <col width="10" customWidth="1" style="117" min="8" max="8"/>
    <col width="10" customWidth="1" style="117" min="9" max="9"/>
    <col width="10" customWidth="1" style="117" min="10" max="10"/>
    <col width="10" customWidth="1" style="117" min="11" max="11"/>
    <col width="10" customWidth="1" style="117" min="12" max="12"/>
    <col width="11" customWidth="1" style="117" min="13" max="13"/>
    <col width="34" customWidth="1" style="117" min="14" max="14"/>
    <col width="36" customWidth="1" style="117" min="16" max="16"/>
    <col width="22" customWidth="1" style="117" min="17" max="17"/>
  </cols>
  <sheetData>
    <row r="1">
      <c r="A1" s="230" t="inlineStr">
        <is>
          <t>DETAIL DES PERTES SINGULIERES ET LINEAIRES - JUSTIFICATION HYDRAULIQUE</t>
        </is>
      </c>
    </row>
    <row r="3">
      <c r="A3" s="231" t="inlineStr">
        <is>
          <t>Configuration consideree: StormBrixx -&gt; regard RP-01 (regulateur) -&gt; split vers poste direct et vers DP-01, puis retour DP-01 au poste.</t>
        </is>
      </c>
    </row>
    <row r="4">
      <c r="A4" s="232" t="inlineStr">
        <is>
          <t>IMPORTANT: Les K du regulateur et du separateur dynamique sont provisoires. Remplacer par les pertes constructeur pour le dimensionnement final.</t>
        </is>
      </c>
    </row>
    <row r="6">
      <c r="A6" s="233" t="inlineStr">
        <is>
          <t>nu_eau_m2_s</t>
        </is>
      </c>
      <c r="B6" s="234" t="n">
        <v>1e-06</v>
      </c>
    </row>
    <row r="7">
      <c r="A7" s="233" t="inlineStr">
        <is>
          <t>g_m_s2</t>
        </is>
      </c>
      <c r="B7" s="234" t="n">
        <v>9.81</v>
      </c>
    </row>
    <row r="9" ht="22" customHeight="1" s="117">
      <c r="A9" s="235" t="inlineStr">
        <is>
          <t>ID_segment</t>
        </is>
      </c>
      <c r="B9" s="235" t="inlineStr">
        <is>
          <t>Troncon</t>
        </is>
      </c>
      <c r="C9" s="235" t="inlineStr">
        <is>
          <t>L_m</t>
        </is>
      </c>
      <c r="D9" s="235" t="inlineStr">
        <is>
          <t>D_m</t>
        </is>
      </c>
      <c r="E9" s="235" t="inlineStr">
        <is>
          <t>Q_m3_s</t>
        </is>
      </c>
      <c r="F9" s="235" t="inlineStr">
        <is>
          <t>Aire_m2</t>
        </is>
      </c>
      <c r="G9" s="235" t="inlineStr">
        <is>
          <t>v_m_s</t>
        </is>
      </c>
      <c r="H9" s="235" t="inlineStr">
        <is>
          <t>epsilon_m</t>
        </is>
      </c>
      <c r="I9" s="235" t="inlineStr">
        <is>
          <t>f_Darcy</t>
        </is>
      </c>
      <c r="J9" s="235" t="inlineStr">
        <is>
          <t>hf_m</t>
        </is>
      </c>
      <c r="K9" s="235" t="inlineStr">
        <is>
          <t>K_total</t>
        </is>
      </c>
      <c r="L9" s="235" t="inlineStr">
        <is>
          <t>hm_m</t>
        </is>
      </c>
      <c r="M9" s="235" t="inlineStr">
        <is>
          <t>h_total_m</t>
        </is>
      </c>
      <c r="N9" s="235" t="inlineStr">
        <is>
          <t>Commentaire</t>
        </is>
      </c>
      <c r="P9" s="236" t="inlineStr">
        <is>
          <t>SYNTHESE PAR BRANCHE</t>
        </is>
      </c>
    </row>
    <row r="10" ht="22" customHeight="1" s="117">
      <c r="A10" s="237" t="inlineStr">
        <is>
          <t>S1</t>
        </is>
      </c>
      <c r="B10" s="237" t="inlineStr">
        <is>
          <t>StormBrixx vers regard RP-01 regulateur</t>
        </is>
      </c>
      <c r="C10" s="237" t="n">
        <v>2</v>
      </c>
      <c r="D10" s="237" t="n">
        <v>0.3</v>
      </c>
      <c r="E10" s="237">
        <f>MAX(Routing!$F$2:$F$2000)</f>
        <v/>
      </c>
      <c r="F10" s="238">
        <f>IF(D10&gt;0,PI()*(D10^2)/4,0)</f>
        <v/>
      </c>
      <c r="G10" s="238">
        <f>IF(F10&gt;0,E10/F10,0)</f>
        <v/>
      </c>
      <c r="H10" s="237" t="n">
        <v>1.5e-06</v>
      </c>
      <c r="I10" s="238">
        <f>IF(AND(G10&gt;0,D10&gt;0),0.25/(LOG10((H10/(3.7*D10))+5.74/((G10*D10/$B$6)^0.9))^2),0)</f>
        <v/>
      </c>
      <c r="J10" s="238">
        <f>IF(D10&gt;0,I10*(C10/D10)*(G10^2/(2*$B$7)),0)</f>
        <v/>
      </c>
      <c r="K10" s="238">
        <f>SUMIFS($E$21:$E$40,$A$21:$A$40,A10)</f>
        <v/>
      </c>
      <c r="L10" s="238">
        <f>K10*(G10^2/(2*$B$7))</f>
        <v/>
      </c>
      <c r="M10" s="238">
        <f>J10+L10</f>
        <v/>
      </c>
      <c r="N10" s="237" t="inlineStr">
        <is>
          <t>Troncon commun amont</t>
        </is>
      </c>
      <c r="P10" s="235" t="inlineStr">
        <is>
          <t>Branche / scenario</t>
        </is>
      </c>
      <c r="Q10" s="235" t="inlineStr">
        <is>
          <t>Perte totale (m)</t>
        </is>
      </c>
    </row>
    <row r="11" ht="22" customHeight="1" s="117">
      <c r="A11" s="237" t="inlineStr">
        <is>
          <t>S2</t>
        </is>
      </c>
      <c r="B11" s="237" t="inlineStr">
        <is>
          <t>RP-01 vers poste de pompage (branche directe)</t>
        </is>
      </c>
      <c r="C11" s="237" t="n">
        <v>7</v>
      </c>
      <c r="D11" s="237" t="n">
        <v>0.3</v>
      </c>
      <c r="E11" s="237">
        <f>MAX(Routing!$Q$2:$Q$2000)</f>
        <v/>
      </c>
      <c r="F11" s="238">
        <f>IF(D11&gt;0,PI()*(D11^2)/4,0)</f>
        <v/>
      </c>
      <c r="G11" s="238">
        <f>IF(F11&gt;0,E11/F11,0)</f>
        <v/>
      </c>
      <c r="H11" s="237" t="n">
        <v>1.5e-06</v>
      </c>
      <c r="I11" s="238">
        <f>IF(AND(G11&gt;0,D11&gt;0),0.25/(LOG10((H11/(3.7*D11))+5.74/((G11*D11/$B$6)^0.9))^2),0)</f>
        <v/>
      </c>
      <c r="J11" s="238">
        <f>IF(D11&gt;0,I11*(C11/D11)*(G11^2/(2*$B$7)),0)</f>
        <v/>
      </c>
      <c r="K11" s="238">
        <f>SUMIFS($E$21:$E$40,$A$21:$A$40,A11)</f>
        <v/>
      </c>
      <c r="L11" s="238">
        <f>K11*(G11^2/(2*$B$7))</f>
        <v/>
      </c>
      <c r="M11" s="238">
        <f>J11+L11</f>
        <v/>
      </c>
      <c r="N11" s="237" t="inlineStr">
        <is>
          <t>Branche directe vers poste</t>
        </is>
      </c>
      <c r="P11" s="239" t="inlineStr">
        <is>
          <t>Chemin direct vers poste (S1+S2)</t>
        </is>
      </c>
      <c r="Q11" s="238">
        <f>M10+M11</f>
        <v/>
      </c>
    </row>
    <row r="12" ht="22" customHeight="1" s="117">
      <c r="A12" s="237" t="inlineStr">
        <is>
          <t>S3</t>
        </is>
      </c>
      <c r="B12" s="237" t="inlineStr">
        <is>
          <t>RP-01 vers DP-01 separateur dynamique</t>
        </is>
      </c>
      <c r="C12" s="237" t="n">
        <v>4.5</v>
      </c>
      <c r="D12" s="237" t="n">
        <v>0.3</v>
      </c>
      <c r="E12" s="237">
        <f>MAX(Routing!$P$2:$P$2000)</f>
        <v/>
      </c>
      <c r="F12" s="238">
        <f>IF(D12&gt;0,PI()*(D12^2)/4,0)</f>
        <v/>
      </c>
      <c r="G12" s="238">
        <f>IF(F12&gt;0,E12/F12,0)</f>
        <v/>
      </c>
      <c r="H12" s="237" t="n">
        <v>1.5e-06</v>
      </c>
      <c r="I12" s="238">
        <f>IF(AND(G12&gt;0,D12&gt;0),0.25/(LOG10((H12/(3.7*D12))+5.74/((G12*D12/$B$6)^0.9))^2),0)</f>
        <v/>
      </c>
      <c r="J12" s="238">
        <f>IF(D12&gt;0,I12*(C12/D12)*(G12^2/(2*$B$7)),0)</f>
        <v/>
      </c>
      <c r="K12" s="238">
        <f>SUMIFS($E$21:$E$40,$A$21:$A$40,A12)</f>
        <v/>
      </c>
      <c r="L12" s="238">
        <f>K12*(G12^2/(2*$B$7))</f>
        <v/>
      </c>
      <c r="M12" s="238">
        <f>J12+L12</f>
        <v/>
      </c>
      <c r="N12" s="237" t="inlineStr">
        <is>
          <t>Branche derivee vers separateur</t>
        </is>
      </c>
      <c r="P12" s="239" t="inlineStr">
        <is>
          <t>Chemin via separateur (S1+S3+S4)</t>
        </is>
      </c>
      <c r="Q12" s="238">
        <f>M10+M12+M13</f>
        <v/>
      </c>
    </row>
    <row r="13" ht="22" customHeight="1" s="117">
      <c r="A13" s="237" t="inlineStr">
        <is>
          <t>S4</t>
        </is>
      </c>
      <c r="B13" s="237" t="inlineStr">
        <is>
          <t>DP-01 vers poste de pompage (retour)</t>
        </is>
      </c>
      <c r="C13" s="237" t="n">
        <v>4.5</v>
      </c>
      <c r="D13" s="237" t="n">
        <v>0.3</v>
      </c>
      <c r="E13" s="237">
        <f>MAX(Routing!$R$2:$R$2000)</f>
        <v/>
      </c>
      <c r="F13" s="238">
        <f>IF(D13&gt;0,PI()*(D13^2)/4,0)</f>
        <v/>
      </c>
      <c r="G13" s="238">
        <f>IF(F13&gt;0,E13/F13,0)</f>
        <v/>
      </c>
      <c r="H13" s="237" t="n">
        <v>1.5e-06</v>
      </c>
      <c r="I13" s="238">
        <f>IF(AND(G13&gt;0,D13&gt;0),0.25/(LOG10((H13/(3.7*D13))+5.74/((G13*D13/$B$6)^0.9))^2),0)</f>
        <v/>
      </c>
      <c r="J13" s="238">
        <f>IF(D13&gt;0,I13*(C13/D13)*(G13^2/(2*$B$7)),0)</f>
        <v/>
      </c>
      <c r="K13" s="238">
        <f>SUMIFS($E$21:$E$40,$A$21:$A$40,A13)</f>
        <v/>
      </c>
      <c r="L13" s="238">
        <f>K13*(G13^2/(2*$B$7))</f>
        <v/>
      </c>
      <c r="M13" s="238">
        <f>J13+L13</f>
        <v/>
      </c>
      <c r="N13" s="237" t="inlineStr">
        <is>
          <t>Retour du separateur vers poste</t>
        </is>
      </c>
      <c r="P13" s="239" t="inlineStr">
        <is>
          <t>Troncon poste vers RP-02 (S5)</t>
        </is>
      </c>
      <c r="Q13" s="238">
        <f>M14</f>
        <v/>
      </c>
    </row>
    <row r="14" ht="22" customHeight="1" s="117">
      <c r="A14" s="237" t="inlineStr">
        <is>
          <t>S5</t>
        </is>
      </c>
      <c r="B14" s="237" t="inlineStr">
        <is>
          <t>Poste de pompage vers RP-02 avec clapet</t>
        </is>
      </c>
      <c r="C14" s="237" t="n">
        <v>4</v>
      </c>
      <c r="D14" s="237" t="n">
        <v>0.3</v>
      </c>
      <c r="E14" s="237">
        <f>MAX(Routing!$M$2:$M$2000)</f>
        <v/>
      </c>
      <c r="F14" s="238">
        <f>IF(D14&gt;0,PI()*(D14^2)/4,0)</f>
        <v/>
      </c>
      <c r="G14" s="238">
        <f>IF(F14&gt;0,E14/F14,0)</f>
        <v/>
      </c>
      <c r="H14" s="237" t="n">
        <v>1.5e-06</v>
      </c>
      <c r="I14" s="238">
        <f>IF(AND(G14&gt;0,D14&gt;0),0.25/(LOG10((H14/(3.7*D14))+5.74/((G14*D14/$B$6)^0.9))^2),0)</f>
        <v/>
      </c>
      <c r="J14" s="238">
        <f>IF(D14&gt;0,I14*(C14/D14)*(G14^2/(2*$B$7)),0)</f>
        <v/>
      </c>
      <c r="K14" s="238">
        <f>SUMIFS($E$21:$E$40,$A$21:$A$40,A14)</f>
        <v/>
      </c>
      <c r="L14" s="238">
        <f>K14*(G14^2/(2*$B$7))</f>
        <v/>
      </c>
      <c r="M14" s="238">
        <f>J14+L14</f>
        <v/>
      </c>
      <c r="N14" s="237" t="inlineStr">
        <is>
          <t>Aval poste vers RP-02</t>
        </is>
      </c>
      <c r="P14" s="239" t="inlineStr">
        <is>
          <t>Troncon aval gravitaire (S6)</t>
        </is>
      </c>
      <c r="Q14" s="238">
        <f>M15</f>
        <v/>
      </c>
    </row>
    <row r="15" ht="22" customHeight="1" s="117">
      <c r="A15" s="237" t="inlineStr">
        <is>
          <t>S6</t>
        </is>
      </c>
      <c r="B15" s="237" t="inlineStr">
        <is>
          <t>RP-02 vers exutoire gravitaire</t>
        </is>
      </c>
      <c r="C15" s="237" t="n">
        <v>14.5</v>
      </c>
      <c r="D15" s="237" t="n">
        <v>0.3</v>
      </c>
      <c r="E15" s="237">
        <f>E14</f>
        <v/>
      </c>
      <c r="F15" s="238">
        <f>IF(D15&gt;0,PI()*(D15^2)/4,0)</f>
        <v/>
      </c>
      <c r="G15" s="238">
        <f>IF(F15&gt;0,E15/F15,0)</f>
        <v/>
      </c>
      <c r="H15" s="237" t="n">
        <v>1.5e-06</v>
      </c>
      <c r="I15" s="238">
        <f>IF(AND(G15&gt;0,D15&gt;0),0.25/(LOG10((H15/(3.7*D15))+5.74/((G15*D15/$B$6)^0.9))^2),0)</f>
        <v/>
      </c>
      <c r="J15" s="238">
        <f>IF(D15&gt;0,I15*(C15/D15)*(G15^2/(2*$B$7)),0)</f>
        <v/>
      </c>
      <c r="K15" s="238">
        <f>SUMIFS($E$21:$E$40,$A$21:$A$40,A15)</f>
        <v/>
      </c>
      <c r="L15" s="238">
        <f>K15*(G15^2/(2*$B$7))</f>
        <v/>
      </c>
      <c r="M15" s="238">
        <f>J15+L15</f>
        <v/>
      </c>
      <c r="N15" s="237" t="inlineStr">
        <is>
          <t>Troncon final a gravite</t>
        </is>
      </c>
    </row>
    <row r="17">
      <c r="P17" s="240" t="inlineStr">
        <is>
          <t>NOTE</t>
        </is>
      </c>
      <c r="Q17" s="116" t="inlineStr">
        <is>
          <t>Valider K regulateur, K separateur et K clapet RP-02 sur fiches fabricants.</t>
        </is>
      </c>
    </row>
    <row r="18">
      <c r="A18" s="236" t="inlineStr">
        <is>
          <t>DETAIL DES ACCESSOIRES ET K SUGGERES (A AJUSTER SELON FICHE FABRICANT)</t>
        </is>
      </c>
    </row>
    <row r="20">
      <c r="A20" s="235" t="inlineStr">
        <is>
          <t>ID_segment</t>
        </is>
      </c>
      <c r="B20" s="235" t="inlineStr">
        <is>
          <t>Appareil / singularite</t>
        </is>
      </c>
      <c r="C20" s="235" t="inlineStr">
        <is>
          <t>Quantite</t>
        </is>
      </c>
      <c r="D20" s="235" t="inlineStr">
        <is>
          <t>K_unitaire</t>
        </is>
      </c>
      <c r="E20" s="235" t="inlineStr">
        <is>
          <t>K_ligne</t>
        </is>
      </c>
    </row>
    <row r="21">
      <c r="A21" s="237" t="inlineStr">
        <is>
          <t>S1</t>
        </is>
      </c>
      <c r="B21" s="237" t="inlineStr">
        <is>
          <t>Entree depuis StormBrixx</t>
        </is>
      </c>
      <c r="C21" s="237" t="n">
        <v>1</v>
      </c>
      <c r="D21" s="237" t="n">
        <v>0.5</v>
      </c>
      <c r="E21" s="238">
        <f>C21*D21</f>
        <v/>
      </c>
    </row>
    <row r="22">
      <c r="A22" s="237" t="inlineStr">
        <is>
          <t>S1</t>
        </is>
      </c>
      <c r="B22" s="237" t="inlineStr">
        <is>
          <t>Regard RP-01 (passage)</t>
        </is>
      </c>
      <c r="C22" s="237" t="n">
        <v>1</v>
      </c>
      <c r="D22" s="237" t="n">
        <v>0.5</v>
      </c>
      <c r="E22" s="238">
        <f>C22*D22</f>
        <v/>
      </c>
    </row>
    <row r="23">
      <c r="A23" s="237" t="inlineStr">
        <is>
          <t>S1</t>
        </is>
      </c>
      <c r="B23" s="237" t="inlineStr">
        <is>
          <t>Regulateur RP-01 (provisoire)</t>
        </is>
      </c>
      <c r="C23" s="237" t="n">
        <v>1</v>
      </c>
      <c r="D23" s="237" t="n">
        <v>2.5</v>
      </c>
      <c r="E23" s="238">
        <f>C23*D23</f>
        <v/>
      </c>
    </row>
    <row r="24">
      <c r="A24" s="237" t="inlineStr">
        <is>
          <t>S2</t>
        </is>
      </c>
      <c r="B24" s="237" t="inlineStr">
        <is>
          <t>Te passage droit (vers branche directe)</t>
        </is>
      </c>
      <c r="C24" s="237" t="n">
        <v>1</v>
      </c>
      <c r="D24" s="237" t="n">
        <v>0.6</v>
      </c>
      <c r="E24" s="238">
        <f>C24*D24</f>
        <v/>
      </c>
    </row>
    <row r="25">
      <c r="A25" s="237" t="inlineStr">
        <is>
          <t>S2</t>
        </is>
      </c>
      <c r="B25" s="237" t="inlineStr">
        <is>
          <t>Coude de raccordement vers poste</t>
        </is>
      </c>
      <c r="C25" s="237" t="n">
        <v>1</v>
      </c>
      <c r="D25" s="237" t="n">
        <v>0.4</v>
      </c>
      <c r="E25" s="238">
        <f>C25*D25</f>
        <v/>
      </c>
    </row>
    <row r="26">
      <c r="A26" s="237" t="inlineStr">
        <is>
          <t>S3</t>
        </is>
      </c>
      <c r="B26" s="237" t="inlineStr">
        <is>
          <t>Te derivation vers DP-01</t>
        </is>
      </c>
      <c r="C26" s="237" t="n">
        <v>1</v>
      </c>
      <c r="D26" s="237" t="n">
        <v>1.8</v>
      </c>
      <c r="E26" s="238">
        <f>C26*D26</f>
        <v/>
      </c>
    </row>
    <row r="27">
      <c r="A27" s="237" t="inlineStr">
        <is>
          <t>S3</t>
        </is>
      </c>
      <c r="B27" s="237" t="inlineStr">
        <is>
          <t>Entree separateur dynamique</t>
        </is>
      </c>
      <c r="C27" s="237" t="n">
        <v>1</v>
      </c>
      <c r="D27" s="237" t="n">
        <v>0.5</v>
      </c>
      <c r="E27" s="238">
        <f>C27*D27</f>
        <v/>
      </c>
    </row>
    <row r="28">
      <c r="A28" s="237" t="inlineStr">
        <is>
          <t>S4</t>
        </is>
      </c>
      <c r="B28" s="237" t="inlineStr">
        <is>
          <t>Sortie separateur dynamique (provisoire)</t>
        </is>
      </c>
      <c r="C28" s="237" t="n">
        <v>1</v>
      </c>
      <c r="D28" s="237" t="n">
        <v>1.5</v>
      </c>
      <c r="E28" s="238">
        <f>C28*D28</f>
        <v/>
      </c>
    </row>
    <row r="29">
      <c r="A29" s="237" t="inlineStr">
        <is>
          <t>S4</t>
        </is>
      </c>
      <c r="B29" s="237" t="inlineStr">
        <is>
          <t>Raccord retour vers poste</t>
        </is>
      </c>
      <c r="C29" s="237" t="n">
        <v>1</v>
      </c>
      <c r="D29" s="237" t="n">
        <v>0.4</v>
      </c>
      <c r="E29" s="238">
        <f>C29*D29</f>
        <v/>
      </c>
    </row>
    <row r="30">
      <c r="A30" s="237" t="inlineStr">
        <is>
          <t>S5</t>
        </is>
      </c>
      <c r="B30" s="237" t="inlineStr">
        <is>
          <t>Clapet anti-retour RP-02</t>
        </is>
      </c>
      <c r="C30" s="237" t="n">
        <v>1</v>
      </c>
      <c r="D30" s="237" t="n">
        <v>2.5</v>
      </c>
      <c r="E30" s="238">
        <f>C30*D30</f>
        <v/>
      </c>
    </row>
    <row r="31">
      <c r="A31" s="237" t="inlineStr">
        <is>
          <t>S5</t>
        </is>
      </c>
      <c r="B31" s="237" t="inlineStr">
        <is>
          <t>Coude 90</t>
        </is>
      </c>
      <c r="C31" s="237" t="n">
        <v>1</v>
      </c>
      <c r="D31" s="237" t="n">
        <v>0.9</v>
      </c>
      <c r="E31" s="238">
        <f>C31*D31</f>
        <v/>
      </c>
    </row>
    <row r="32">
      <c r="A32" s="237" t="inlineStr">
        <is>
          <t>S6</t>
        </is>
      </c>
      <c r="B32" s="237" t="inlineStr">
        <is>
          <t>Sortie libre a l'exutoire</t>
        </is>
      </c>
      <c r="C32" s="237" t="n">
        <v>1</v>
      </c>
      <c r="D32" s="237" t="n">
        <v>1</v>
      </c>
      <c r="E32" s="238">
        <f>C32*D32</f>
        <v/>
      </c>
    </row>
  </sheetData>
  <mergeCells count="3">
    <mergeCell ref="P9:Q9"/>
    <mergeCell ref="A18:E18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2026-05-28T20:09:14Z</dcterms:created>
  <dcterms:modified xsi:type="dcterms:W3CDTF">2026-06-05T09:44:01Z</dcterms:modified>
  <cp:revision>77</cp:revision>
</cp:coreProperties>
</file>