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mm/dd/yy"/>
    <numFmt numFmtId="165" formatCode="#,##0.000"/>
    <numFmt numFmtId="166" formatCode="#,##0.0000"/>
    <numFmt numFmtId="167" formatCode="0.000"/>
  </numFmts>
  <fonts count="29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2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1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120" t="n">
        <v>7800</v>
      </c>
    </row>
    <row r="3" ht="12.75" customHeight="1" s="117">
      <c r="A3" s="121" t="inlineStr">
        <is>
          <t>Surface_ha</t>
        </is>
      </c>
      <c r="B3" s="12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12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12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122" t="n">
        <v>15.1</v>
      </c>
    </row>
    <row r="7" ht="12.75" customHeight="1" s="117">
      <c r="A7" s="121" t="inlineStr">
        <is>
          <t>IDF_c</t>
        </is>
      </c>
      <c r="B7" s="12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12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122">
        <f>B8*60</f>
        <v/>
      </c>
      <c r="E9" s="133" t="inlineStr">
        <is>
          <t>S1_Stormbrixx max (m³)</t>
        </is>
      </c>
      <c r="F9" s="134">
        <f>MAX(Routing!$D$2:$D$14)</f>
        <v/>
      </c>
      <c r="G9" s="135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122" t="n">
        <v>102.7</v>
      </c>
      <c r="E10" s="137" t="inlineStr">
        <is>
          <t>Niveau WL1 max (WL1 = niveau d’eau)</t>
        </is>
      </c>
      <c r="F10" s="138">
        <f>MAX(Routing!$E$2:$E$14)</f>
        <v/>
      </c>
      <c r="G10" s="139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122" t="n">
        <v>103.32</v>
      </c>
      <c r="E11" s="141" t="inlineStr">
        <is>
          <t>Volume total de surverse Q_overflow1</t>
        </is>
      </c>
      <c r="F11" s="138">
        <f>SUM(Routing!$G$2:$G$14)*Inputs!$B$9</f>
        <v/>
      </c>
      <c r="G11" s="139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122" t="n">
        <v>103.32</v>
      </c>
      <c r="E12" s="142" t="inlineStr">
        <is>
          <t>S2_puisard max (m³)</t>
        </is>
      </c>
      <c r="F12" s="138">
        <f>MAX(Routing!$H$2:$H$14)</f>
        <v/>
      </c>
      <c r="G12" s="143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122">
        <f>B49</f>
        <v/>
      </c>
      <c r="E13" s="142" t="inlineStr">
        <is>
          <t>Niveau WL2 max</t>
        </is>
      </c>
      <c r="F13" s="138">
        <f>MAX(Routing!$J$2:$J$14)</f>
        <v/>
      </c>
      <c r="G13" s="139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122" t="n">
        <v>1</v>
      </c>
      <c r="E14" s="142" t="inlineStr">
        <is>
          <t>Volume total de surverse Q_overflow2</t>
        </is>
      </c>
      <c r="F14" s="138">
        <f>SUM(Routing!$I$2:$I$14)*Inputs!$B$9</f>
        <v/>
      </c>
      <c r="G14" s="139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122" t="n">
        <v>31.5</v>
      </c>
      <c r="E15" s="141" t="inlineStr">
        <is>
          <t>Nombre total de démarrages (CumStarts final)</t>
        </is>
      </c>
      <c r="F15" s="144">
        <f>LOOKUP(2,1/(Routing!$O$2:$O$14&lt;&gt;""),Routing!$O$2:$O$14)</f>
        <v/>
      </c>
      <c r="G15" s="145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122" t="n">
        <v>0.2</v>
      </c>
      <c r="E16" s="141" t="inlineStr">
        <is>
          <t xml:space="preserve"> Démarrages/heure</t>
        </is>
      </c>
      <c r="F16" s="146">
        <f>IF(Routing!$O$17=0,0,Routing!$O$16/Routing!$O$17)</f>
        <v/>
      </c>
      <c r="G16" s="145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122" t="n">
        <v>130</v>
      </c>
      <c r="E17" s="141" t="inlineStr">
        <is>
          <t>Débit maximal de pompage utilisé</t>
        </is>
      </c>
      <c r="F17" s="147">
        <f>MAX(Routing!$M$2:$M$14)</f>
        <v/>
      </c>
      <c r="G17" s="145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122" t="n">
        <v>8.65</v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12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12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122" t="n">
        <v>130</v>
      </c>
    </row>
    <row r="22" ht="12.75" customHeight="1" s="117">
      <c r="A22" s="121" t="inlineStr">
        <is>
          <t>Taux_vide_StormBrixx</t>
        </is>
      </c>
      <c r="B22" s="12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12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122" t="n">
        <v>102.7</v>
      </c>
    </row>
    <row r="32" ht="12.75" customHeight="1" s="117">
      <c r="A32" s="157" t="inlineStr">
        <is>
          <t>Stormbrixx_effective_depth_m</t>
        </is>
      </c>
      <c r="B32" s="122" t="n">
        <v>1.32</v>
      </c>
    </row>
    <row r="33" ht="12.75" customHeight="1" s="117">
      <c r="A33" s="156" t="inlineStr">
        <is>
          <t>Stormbrixx_eq_area_m2</t>
        </is>
      </c>
      <c r="B33" s="158">
        <f>B30/B32</f>
        <v/>
      </c>
    </row>
    <row r="34" ht="12.75" customHeight="1" s="117">
      <c r="A34" s="156" t="inlineStr">
        <is>
          <t>Orifice_d_m</t>
        </is>
      </c>
      <c r="B34" s="122" t="n">
        <v>0.11</v>
      </c>
    </row>
    <row r="35" ht="12.75" customHeight="1" s="117">
      <c r="A35" s="156" t="inlineStr">
        <is>
          <t>Cd_orifice</t>
        </is>
      </c>
      <c r="B35" s="122" t="n">
        <v>0.62</v>
      </c>
    </row>
    <row r="36" ht="12.75" customHeight="1" s="117">
      <c r="A36" s="156" t="inlineStr">
        <is>
          <t>Orifice_area_m2</t>
        </is>
      </c>
      <c r="B36" s="159">
        <f>PI()*B34^2/4</f>
        <v/>
      </c>
    </row>
    <row r="37" ht="12.75" customHeight="1" s="117">
      <c r="A37" s="156" t="inlineStr">
        <is>
          <t>g</t>
        </is>
      </c>
      <c r="B37" s="122" t="n">
        <v>9.81</v>
      </c>
    </row>
    <row r="38" ht="12.75" customHeight="1" s="117">
      <c r="A38" s="121" t="n"/>
      <c r="B38" s="122" t="n"/>
    </row>
    <row r="39" ht="12.75" customHeight="1" s="117">
      <c r="A39" s="121" t="n"/>
      <c r="B39" s="122" t="n"/>
    </row>
    <row r="40" ht="12.75" customHeight="1" s="117">
      <c r="A40" s="156" t="inlineStr">
        <is>
          <t>Wetwell_invert_m</t>
        </is>
      </c>
      <c r="B40" s="12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12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158">
        <f>PI()*B41^2/4</f>
        <v/>
      </c>
    </row>
    <row r="43" ht="12.75" customHeight="1" s="117">
      <c r="A43" s="121" t="inlineStr">
        <is>
          <t>Wetwell_total_depth_m</t>
        </is>
      </c>
      <c r="B43" s="122" t="n">
        <v>2.3</v>
      </c>
      <c r="C43" s="116" t="n">
        <v>3</v>
      </c>
      <c r="D43" s="116" t="n">
        <v>2</v>
      </c>
    </row>
    <row r="44" ht="12.75" customHeight="1" s="117">
      <c r="A44" s="121" t="inlineStr">
        <is>
          <t>S2_max_wetwell_m3</t>
        </is>
      </c>
      <c r="B44" s="158">
        <f>B42*B43</f>
        <v/>
      </c>
    </row>
    <row r="45" ht="12.75" customHeight="1" s="117">
      <c r="A45" s="157" t="inlineStr">
        <is>
          <t>Pump_ON_1_m</t>
        </is>
      </c>
      <c r="B45" s="12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12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122" t="n">
        <v>999</v>
      </c>
    </row>
    <row r="48" ht="12.75" customHeight="1" s="117">
      <c r="A48" s="156" t="inlineStr">
        <is>
          <t>Pump_OFF_2_m</t>
        </is>
      </c>
      <c r="B48" s="122" t="n">
        <v>998</v>
      </c>
    </row>
    <row r="49" ht="12.75" customHeight="1" s="117">
      <c r="A49" s="160" t="inlineStr">
        <is>
          <t>Q_pump_each_m3s</t>
        </is>
      </c>
      <c r="B49" s="161" t="n">
        <v>0.039</v>
      </c>
    </row>
    <row r="50">
      <c r="A50" s="116" t="inlineStr">
        <is>
          <t>Q_jelly_cap_m3s</t>
        </is>
      </c>
      <c r="B50" s="116">
        <f>B49</f>
        <v/>
      </c>
    </row>
    <row r="51">
      <c r="A51" s="116" t="inlineStr">
        <is>
          <t>Rendement_retour_jelly</t>
        </is>
      </c>
      <c r="B51" s="116" t="n">
        <v>1</v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 t="n">
        <v>5</v>
      </c>
      <c r="B2" s="163">
        <f>Inputs!$B$5/((A2+Inputs!$B$6)^Inputs!$B$7)</f>
        <v/>
      </c>
      <c r="C2" s="164">
        <f>B2*A2/60</f>
        <v/>
      </c>
      <c r="D2" s="165">
        <f>C2-IF(A2=5,0,C1)</f>
        <v/>
      </c>
      <c r="E2" s="166">
        <f>RANK(D2,$D$2:$D$13,0)</f>
        <v/>
      </c>
      <c r="F2" s="166">
        <f>IF(E2=1,6,IF(MOD(E2,2)=0,6+E2/2,6-(E2-1)/2))</f>
        <v/>
      </c>
      <c r="H2" s="116" t="n">
        <v>1</v>
      </c>
      <c r="I2" s="165">
        <f>INDEX($D$2:$D$13, MATCH(H2,$F$2:$F$13,0))</f>
        <v/>
      </c>
      <c r="J2" s="165">
        <f>I2*60/Inputs!$B$8</f>
        <v/>
      </c>
      <c r="K2" s="166">
        <f>H2*Inputs!$B$8</f>
        <v/>
      </c>
    </row>
    <row r="3" ht="12.75" customHeight="1" s="117">
      <c r="A3" s="116" t="n">
        <v>10</v>
      </c>
      <c r="B3" s="163">
        <f>Inputs!$B$5/((A3+Inputs!$B$6)^Inputs!$B$7)</f>
        <v/>
      </c>
      <c r="C3" s="164">
        <f>B3*A3/60</f>
        <v/>
      </c>
      <c r="D3" s="165">
        <f>C3-IF(A3=5,0,C2)</f>
        <v/>
      </c>
      <c r="E3" s="166">
        <f>RANK(D3,$D$2:$D$13,0)</f>
        <v/>
      </c>
      <c r="F3" s="166">
        <f>IF(E3=1,6,IF(MOD(E3,2)=0,6+E3/2,6-(E3-1)/2))</f>
        <v/>
      </c>
      <c r="H3" s="116" t="n">
        <v>2</v>
      </c>
      <c r="I3" s="165">
        <f>INDEX($D$2:$D$13, MATCH(H3,$F$2:$F$13,0))</f>
        <v/>
      </c>
      <c r="J3" s="165">
        <f>I3*60/Inputs!$B$8</f>
        <v/>
      </c>
      <c r="K3" s="166">
        <f>H3*Inputs!$B$8</f>
        <v/>
      </c>
    </row>
    <row r="4" ht="12.75" customHeight="1" s="117">
      <c r="A4" s="116" t="n">
        <v>15</v>
      </c>
      <c r="B4" s="163">
        <f>Inputs!$B$5/((A4+Inputs!$B$6)^Inputs!$B$7)</f>
        <v/>
      </c>
      <c r="C4" s="164">
        <f>B4*A4/60</f>
        <v/>
      </c>
      <c r="D4" s="165">
        <f>C4-IF(A4=5,0,C3)</f>
        <v/>
      </c>
      <c r="E4" s="166">
        <f>RANK(D4,$D$2:$D$13,0)</f>
        <v/>
      </c>
      <c r="F4" s="166">
        <f>IF(E4=1,6,IF(MOD(E4,2)=0,6+E4/2,6-(E4-1)/2))</f>
        <v/>
      </c>
      <c r="H4" s="116" t="n">
        <v>3</v>
      </c>
      <c r="I4" s="165">
        <f>INDEX($D$2:$D$13, MATCH(H4,$F$2:$F$13,0))</f>
        <v/>
      </c>
      <c r="J4" s="165">
        <f>I4*60/Inputs!$B$8</f>
        <v/>
      </c>
      <c r="K4" s="166">
        <f>H4*Inputs!$B$8</f>
        <v/>
      </c>
    </row>
    <row r="5" ht="12.75" customHeight="1" s="117">
      <c r="A5" s="116" t="n">
        <v>20</v>
      </c>
      <c r="B5" s="163">
        <f>Inputs!$B$5/((A5+Inputs!$B$6)^Inputs!$B$7)</f>
        <v/>
      </c>
      <c r="C5" s="164">
        <f>B5*A5/60</f>
        <v/>
      </c>
      <c r="D5" s="165">
        <f>C5-IF(A5=5,0,C4)</f>
        <v/>
      </c>
      <c r="E5" s="166">
        <f>RANK(D5,$D$2:$D$13,0)</f>
        <v/>
      </c>
      <c r="F5" s="166">
        <f>IF(E5=1,6,IF(MOD(E5,2)=0,6+E5/2,6-(E5-1)/2))</f>
        <v/>
      </c>
      <c r="H5" s="116" t="n">
        <v>4</v>
      </c>
      <c r="I5" s="165">
        <f>INDEX($D$2:$D$13, MATCH(H5,$F$2:$F$13,0))</f>
        <v/>
      </c>
      <c r="J5" s="165">
        <f>I5*60/Inputs!$B$8</f>
        <v/>
      </c>
      <c r="K5" s="166">
        <f>H5*Inputs!$B$8</f>
        <v/>
      </c>
    </row>
    <row r="6" ht="12.75" customHeight="1" s="117">
      <c r="A6" s="116" t="n">
        <v>25</v>
      </c>
      <c r="B6" s="163">
        <f>Inputs!$B$5/((A6+Inputs!$B$6)^Inputs!$B$7)</f>
        <v/>
      </c>
      <c r="C6" s="164">
        <f>B6*A6/60</f>
        <v/>
      </c>
      <c r="D6" s="165">
        <f>C6-IF(A6=5,0,C5)</f>
        <v/>
      </c>
      <c r="E6" s="166">
        <f>RANK(D6,$D$2:$D$13,0)</f>
        <v/>
      </c>
      <c r="F6" s="166">
        <f>IF(E6=1,6,IF(MOD(E6,2)=0,6+E6/2,6-(E6-1)/2))</f>
        <v/>
      </c>
      <c r="H6" s="116" t="n">
        <v>5</v>
      </c>
      <c r="I6" s="165">
        <f>INDEX($D$2:$D$13, MATCH(H6,$F$2:$F$13,0))</f>
        <v/>
      </c>
      <c r="J6" s="165">
        <f>I6*60/Inputs!$B$8</f>
        <v/>
      </c>
      <c r="K6" s="166">
        <f>H6*Inputs!$B$8</f>
        <v/>
      </c>
    </row>
    <row r="7" ht="12.75" customHeight="1" s="117">
      <c r="A7" s="116" t="n">
        <v>30</v>
      </c>
      <c r="B7" s="163">
        <f>Inputs!$B$5/((A7+Inputs!$B$6)^Inputs!$B$7)</f>
        <v/>
      </c>
      <c r="C7" s="164">
        <f>B7*A7/60</f>
        <v/>
      </c>
      <c r="D7" s="165">
        <f>C7-IF(A7=5,0,C6)</f>
        <v/>
      </c>
      <c r="E7" s="166">
        <f>RANK(D7,$D$2:$D$13,0)</f>
        <v/>
      </c>
      <c r="F7" s="166">
        <f>IF(E7=1,6,IF(MOD(E7,2)=0,6+E7/2,6-(E7-1)/2))</f>
        <v/>
      </c>
      <c r="H7" s="116" t="n">
        <v>6</v>
      </c>
      <c r="I7" s="165">
        <f>INDEX($D$2:$D$13, MATCH(H7,$F$2:$F$13,0))</f>
        <v/>
      </c>
      <c r="J7" s="165">
        <f>I7*60/Inputs!$B$8</f>
        <v/>
      </c>
      <c r="K7" s="166">
        <f>H7*Inputs!$B$8</f>
        <v/>
      </c>
    </row>
    <row r="8" ht="12.75" customHeight="1" s="117">
      <c r="A8" s="116" t="n">
        <v>35</v>
      </c>
      <c r="B8" s="163">
        <f>Inputs!$B$5/((A8+Inputs!$B$6)^Inputs!$B$7)</f>
        <v/>
      </c>
      <c r="C8" s="164">
        <f>B8*A8/60</f>
        <v/>
      </c>
      <c r="D8" s="165">
        <f>C8-IF(A8=5,0,C7)</f>
        <v/>
      </c>
      <c r="E8" s="166">
        <f>RANK(D8,$D$2:$D$13,0)</f>
        <v/>
      </c>
      <c r="F8" s="166">
        <f>IF(E8=1,6,IF(MOD(E8,2)=0,6+E8/2,6-(E8-1)/2))</f>
        <v/>
      </c>
      <c r="H8" s="116" t="n">
        <v>7</v>
      </c>
      <c r="I8" s="165">
        <f>INDEX($D$2:$D$13, MATCH(H8,$F$2:$F$13,0))</f>
        <v/>
      </c>
      <c r="J8" s="165">
        <f>I8*60/Inputs!$B$8</f>
        <v/>
      </c>
      <c r="K8" s="166">
        <f>H8*Inputs!$B$8</f>
        <v/>
      </c>
    </row>
    <row r="9" ht="12.75" customHeight="1" s="117">
      <c r="A9" s="116" t="n">
        <v>40</v>
      </c>
      <c r="B9" s="163">
        <f>Inputs!$B$5/((A9+Inputs!$B$6)^Inputs!$B$7)</f>
        <v/>
      </c>
      <c r="C9" s="164">
        <f>B9*A9/60</f>
        <v/>
      </c>
      <c r="D9" s="165">
        <f>C9-IF(A9=5,0,C8)</f>
        <v/>
      </c>
      <c r="E9" s="166">
        <f>RANK(D9,$D$2:$D$13,0)</f>
        <v/>
      </c>
      <c r="F9" s="166">
        <f>IF(E9=1,6,IF(MOD(E9,2)=0,6+E9/2,6-(E9-1)/2))</f>
        <v/>
      </c>
      <c r="H9" s="116" t="n">
        <v>8</v>
      </c>
      <c r="I9" s="165">
        <f>INDEX($D$2:$D$13, MATCH(H9,$F$2:$F$13,0))</f>
        <v/>
      </c>
      <c r="J9" s="165">
        <f>I9*60/Inputs!$B$8</f>
        <v/>
      </c>
      <c r="K9" s="166">
        <f>H9*Inputs!$B$8</f>
        <v/>
      </c>
    </row>
    <row r="10" ht="12.75" customHeight="1" s="117">
      <c r="A10" s="116" t="n">
        <v>45</v>
      </c>
      <c r="B10" s="163">
        <f>Inputs!$B$5/((A10+Inputs!$B$6)^Inputs!$B$7)</f>
        <v/>
      </c>
      <c r="C10" s="164">
        <f>B10*A10/60</f>
        <v/>
      </c>
      <c r="D10" s="165">
        <f>C10-IF(A10=5,0,C9)</f>
        <v/>
      </c>
      <c r="E10" s="166">
        <f>RANK(D10,$D$2:$D$13,0)</f>
        <v/>
      </c>
      <c r="F10" s="166">
        <f>IF(E10=1,6,IF(MOD(E10,2)=0,6+E10/2,6-(E10-1)/2))</f>
        <v/>
      </c>
      <c r="H10" s="116" t="n">
        <v>9</v>
      </c>
      <c r="I10" s="165">
        <f>INDEX($D$2:$D$13, MATCH(H10,$F$2:$F$13,0))</f>
        <v/>
      </c>
      <c r="J10" s="165">
        <f>I10*60/Inputs!$B$8</f>
        <v/>
      </c>
      <c r="K10" s="166">
        <f>H10*Inputs!$B$8</f>
        <v/>
      </c>
    </row>
    <row r="11" ht="12.75" customHeight="1" s="117">
      <c r="A11" s="116" t="n">
        <v>50</v>
      </c>
      <c r="B11" s="163">
        <f>Inputs!$B$5/((A11+Inputs!$B$6)^Inputs!$B$7)</f>
        <v/>
      </c>
      <c r="C11" s="164">
        <f>B11*A11/60</f>
        <v/>
      </c>
      <c r="D11" s="165">
        <f>C11-IF(A11=5,0,C10)</f>
        <v/>
      </c>
      <c r="E11" s="166">
        <f>RANK(D11,$D$2:$D$13,0)</f>
        <v/>
      </c>
      <c r="F11" s="166">
        <f>IF(E11=1,6,IF(MOD(E11,2)=0,6+E11/2,6-(E11-1)/2))</f>
        <v/>
      </c>
      <c r="H11" s="116" t="n">
        <v>10</v>
      </c>
      <c r="I11" s="165">
        <f>INDEX($D$2:$D$13, MATCH(H11,$F$2:$F$13,0))</f>
        <v/>
      </c>
      <c r="J11" s="165">
        <f>I11*60/Inputs!$B$8</f>
        <v/>
      </c>
      <c r="K11" s="166">
        <f>H11*Inputs!$B$8</f>
        <v/>
      </c>
    </row>
    <row r="12" ht="12.75" customHeight="1" s="117">
      <c r="A12" s="116" t="n">
        <v>55</v>
      </c>
      <c r="B12" s="163">
        <f>Inputs!$B$5/((A12+Inputs!$B$6)^Inputs!$B$7)</f>
        <v/>
      </c>
      <c r="C12" s="164">
        <f>B12*A12/60</f>
        <v/>
      </c>
      <c r="D12" s="165">
        <f>C12-IF(A12=5,0,C11)</f>
        <v/>
      </c>
      <c r="E12" s="166">
        <f>RANK(D12,$D$2:$D$13,0)</f>
        <v/>
      </c>
      <c r="F12" s="166">
        <f>IF(E12=1,6,IF(MOD(E12,2)=0,6+E12/2,6-(E12-1)/2))</f>
        <v/>
      </c>
      <c r="H12" s="116" t="n">
        <v>11</v>
      </c>
      <c r="I12" s="165">
        <f>INDEX($D$2:$D$13, MATCH(H12,$F$2:$F$13,0))</f>
        <v/>
      </c>
      <c r="J12" s="165">
        <f>I12*60/Inputs!$B$8</f>
        <v/>
      </c>
      <c r="K12" s="166">
        <f>H12*Inputs!$B$8</f>
        <v/>
      </c>
    </row>
    <row r="13" ht="12.75" customHeight="1" s="117">
      <c r="A13" s="116" t="n">
        <v>60</v>
      </c>
      <c r="B13" s="163">
        <f>Inputs!$B$5/((A13+Inputs!$B$6)^Inputs!$B$7)</f>
        <v/>
      </c>
      <c r="C13" s="164">
        <f>B13*A13/60</f>
        <v/>
      </c>
      <c r="D13" s="165">
        <f>C13-IF(A13=5,0,C12)</f>
        <v/>
      </c>
      <c r="E13" s="166">
        <f>RANK(D13,$D$2:$D$13,0)</f>
        <v/>
      </c>
      <c r="F13" s="166">
        <f>IF(E13=1,6,IF(MOD(E13,2)=0,6+E13/2,6-(E13-1)/2))</f>
        <v/>
      </c>
      <c r="H13" s="116" t="n">
        <v>12</v>
      </c>
      <c r="I13" s="165">
        <f>INDEX($D$2:$D$13, MATCH(H13,$F$2:$F$13,0))</f>
        <v/>
      </c>
      <c r="J13" s="165">
        <f>I13*60/Inputs!$B$8</f>
        <v/>
      </c>
      <c r="K13" s="166">
        <f>H13*Inputs!$B$8</f>
        <v/>
      </c>
    </row>
    <row r="14" ht="12.75" customHeight="1" s="117">
      <c r="C14" s="163" t="n"/>
      <c r="D14" s="163" t="n"/>
      <c r="E14" s="163" t="n"/>
      <c r="F14" s="163" t="n"/>
    </row>
    <row r="15" ht="12.75" customHeight="1" s="117">
      <c r="C15" s="163" t="n"/>
      <c r="D15" s="163" t="n"/>
      <c r="E15" s="163" t="n"/>
      <c r="F15" s="163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171">
        <f>IF(A2=0,0,_xlfn.XLOOKUP(A2,IDF_Hyetograph!$K$2:$K$13,IDF_Hyetograph!$J$2:$J$13,0))</f>
        <v/>
      </c>
      <c r="C2" s="166">
        <f>0.00278*Inputs!$B$4*Inputs!$B$3*B2</f>
        <v/>
      </c>
      <c r="D2" s="116" t="n">
        <v>0</v>
      </c>
      <c r="E2" s="172">
        <f>Inputs!$B$31</f>
        <v/>
      </c>
      <c r="F2" s="173" t="n">
        <v>0</v>
      </c>
      <c r="G2" s="173" t="n">
        <v>0</v>
      </c>
      <c r="H2" s="166" t="n">
        <v>0</v>
      </c>
      <c r="I2" s="166" t="n">
        <v>0</v>
      </c>
      <c r="J2" s="172">
        <f>Inputs!$B$40</f>
        <v/>
      </c>
      <c r="K2" s="174" t="n">
        <v>0</v>
      </c>
      <c r="L2" s="175" t="n">
        <v>0</v>
      </c>
      <c r="M2" s="175" t="n">
        <v>0</v>
      </c>
      <c r="N2" s="170" t="n">
        <v>0</v>
      </c>
      <c r="O2" s="116" t="n">
        <v>0</v>
      </c>
      <c r="P2" s="116" t="n">
        <v>0</v>
      </c>
      <c r="Q2" s="116" t="n">
        <v>0</v>
      </c>
      <c r="R2" s="116" t="n">
        <v>0</v>
      </c>
      <c r="S2" s="116" t="n">
        <v>0</v>
      </c>
      <c r="U2" s="116" t="n">
        <v>1</v>
      </c>
      <c r="V2" s="165">
        <f>INDEX(IDF_Hyetograph!$D$2:$D$13, MATCH(U2, IDF_Hyetograph!$F$2:$F$13, 0))</f>
        <v/>
      </c>
    </row>
    <row r="3" ht="12.75" customHeight="1" s="117">
      <c r="A3" s="166">
        <f>A2 + Inputs!$B$8</f>
        <v/>
      </c>
      <c r="B3" s="176">
        <f>IF(A3=0,0,_xlfn.IFNA(_xlfn.XLOOKUP(A3,IDF_Hyetograph!$K$2:$K$13,IDF_Hyetograph!$J$2:$J$13),0))</f>
        <v/>
      </c>
      <c r="C3" s="177">
        <f>0.00278*Inputs!$B$4*Inputs!$B$3*B3</f>
        <v/>
      </c>
      <c r="D3" s="177">
        <f>MIN( Inputs!$B$30, MAX(0, D2 + (C3-F3-G3)*Inputs!$B$9) )</f>
        <v/>
      </c>
      <c r="E3" s="177">
        <f>Inputs!$B$31 + D3/Inputs!$B$33</f>
        <v/>
      </c>
      <c r="F3" s="177">
        <f>MIN( D2/Inputs!$B$9, Inputs!$B$35*Inputs!$B$36*SQRT(2*Inputs!$B$37*MAX(E2-J2,0)) )</f>
        <v/>
      </c>
      <c r="G3" s="177">
        <f>MAX(0,(D2 + (C3-F3)*Inputs!$B$9 - Inputs!$B$30)/Inputs!$B$9)</f>
        <v/>
      </c>
      <c r="H3" s="178">
        <f>MAX(0,MIN(Inputs!$B$44,H2+(S3-M3-I3)*Inputs!$B$9))</f>
        <v/>
      </c>
      <c r="I3" s="178">
        <f>MAX(0,(H2+(S3-M3)*Inputs!$B$9-Inputs!$B$44)/Inputs!$B$9)</f>
        <v/>
      </c>
      <c r="J3" s="178">
        <f>Inputs!$B$40 + H3/Inputs!$B$42</f>
        <v/>
      </c>
      <c r="K3" s="170">
        <f>IF(J2&gt;=Inputs!$B$47,2, IF(J2&gt;=Inputs!$B$45,1, IF(J2&lt;=Inputs!$B$46,0,K2)))</f>
        <v/>
      </c>
      <c r="L3" s="177">
        <f>K3*Inputs!$B$49</f>
        <v/>
      </c>
      <c r="M3" s="177">
        <f>MIN(L3,H2/Inputs!$B$9+S3)</f>
        <v/>
      </c>
      <c r="N3" s="170">
        <f>IF(AND(K3&gt;0,K2=0),1,0)</f>
        <v/>
      </c>
      <c r="O3" s="170">
        <f>O2 + N3</f>
        <v/>
      </c>
      <c r="P3" s="116">
        <f>MIN(F3,Inputs!$B$50)</f>
        <v/>
      </c>
      <c r="Q3" s="116">
        <f>MAX(0,F3-P3)</f>
        <v/>
      </c>
      <c r="R3" s="116">
        <f>P3*Inputs!$B$51</f>
        <v/>
      </c>
      <c r="S3" s="116">
        <f>Q3+R3</f>
        <v/>
      </c>
      <c r="U3" s="116" t="n">
        <v>2</v>
      </c>
      <c r="V3" s="165">
        <f>INDEX(IDF_Hyetograph!$D$2:$D$13, MATCH(U3, IDF_Hyetograph!$F$2:$F$13, 0))</f>
        <v/>
      </c>
    </row>
    <row r="4" ht="12.75" customHeight="1" s="117">
      <c r="A4" s="166">
        <f>A3+Inputs!$B$8</f>
        <v/>
      </c>
      <c r="B4" s="176">
        <f>IF(A4=0,0,_xlfn.IFNA(_xlfn.XLOOKUP(A4,IDF_Hyetograph!$K$2:$K$13,IDF_Hyetograph!$J$2:$J$13),0))</f>
        <v/>
      </c>
      <c r="C4" s="177">
        <f>0.00278*Inputs!$B$4*Inputs!$B$3*B4</f>
        <v/>
      </c>
      <c r="D4" s="177">
        <f>MIN( Inputs!$B$30, MAX(0, D3 + (C4-F4-G4)*Inputs!$B$9) )</f>
        <v/>
      </c>
      <c r="E4" s="177">
        <f>Inputs!$B$31 + D4/Inputs!$B$33</f>
        <v/>
      </c>
      <c r="F4" s="177">
        <f>MIN( D3/Inputs!$B$9, Inputs!$B$35*Inputs!$B$36*SQRT(2*Inputs!$B$37*MAX(E3-J3,0)) )</f>
        <v/>
      </c>
      <c r="G4" s="177">
        <f>MAX(0,(D3 + (C4-F4)*Inputs!$B$9 - Inputs!$B$30)/Inputs!$B$9)</f>
        <v/>
      </c>
      <c r="H4" s="178">
        <f>MAX(0,MIN(Inputs!$B$44,H3+(S4-M4-I4)*Inputs!$B$9))</f>
        <v/>
      </c>
      <c r="I4" s="178">
        <f>MAX(0,(H3+(S4-M4)*Inputs!$B$9-Inputs!$B$44)/Inputs!$B$9)</f>
        <v/>
      </c>
      <c r="J4" s="178">
        <f>Inputs!$B$40 + H4/Inputs!$B$42</f>
        <v/>
      </c>
      <c r="K4" s="170">
        <f>IF(J3&gt;=Inputs!$B$47,2, IF(J3&gt;=Inputs!$B$45,1, IF(J3&lt;=Inputs!$B$46,0,K3)))</f>
        <v/>
      </c>
      <c r="L4" s="177">
        <f>K4*Inputs!$B$49</f>
        <v/>
      </c>
      <c r="M4" s="177">
        <f>MIN(L4,H3/Inputs!$B$9+S4)</f>
        <v/>
      </c>
      <c r="N4" s="170">
        <f>IF(AND(K4&gt;0,K3=0),1,0)</f>
        <v/>
      </c>
      <c r="O4" s="170">
        <f>O3 + N4</f>
        <v/>
      </c>
      <c r="P4" s="116">
        <f>MIN(F4,Inputs!$B$50)</f>
        <v/>
      </c>
      <c r="Q4" s="116">
        <f>MAX(0,F4-P4)</f>
        <v/>
      </c>
      <c r="R4" s="116">
        <f>P4*Inputs!$B$51</f>
        <v/>
      </c>
      <c r="S4" s="116">
        <f>Q4+R4</f>
        <v/>
      </c>
      <c r="U4" s="116" t="n">
        <v>3</v>
      </c>
      <c r="V4" s="165">
        <f>INDEX(IDF_Hyetograph!$D$2:$D$13, MATCH(U4, IDF_Hyetograph!$F$2:$F$13, 0))</f>
        <v/>
      </c>
    </row>
    <row r="5" ht="12.75" customHeight="1" s="117">
      <c r="A5" s="166">
        <f>A4+Inputs!$B$8</f>
        <v/>
      </c>
      <c r="B5" s="176">
        <f>IF(A5=0,0,_xlfn.IFNA(_xlfn.XLOOKUP(A5,IDF_Hyetograph!$K$2:$K$13,IDF_Hyetograph!$J$2:$J$13),0))</f>
        <v/>
      </c>
      <c r="C5" s="177">
        <f>0.00278*Inputs!$B$4*Inputs!$B$3*B5</f>
        <v/>
      </c>
      <c r="D5" s="177">
        <f>MIN( Inputs!$B$30, MAX(0, D4 + (C5-F5-G5)*Inputs!$B$9) )</f>
        <v/>
      </c>
      <c r="E5" s="177">
        <f>Inputs!$B$31 + D5/Inputs!$B$33</f>
        <v/>
      </c>
      <c r="F5" s="177">
        <f>MIN( D4/Inputs!$B$9, Inputs!$B$35*Inputs!$B$36*SQRT(2*Inputs!$B$37*MAX(E4-J4,0)) )</f>
        <v/>
      </c>
      <c r="G5" s="177">
        <f>MAX(0,(D4 + (C5-F5)*Inputs!$B$9 - Inputs!$B$30)/Inputs!$B$9)</f>
        <v/>
      </c>
      <c r="H5" s="178">
        <f>MAX(0,MIN(Inputs!$B$44,H4+(S5-M5-I5)*Inputs!$B$9))</f>
        <v/>
      </c>
      <c r="I5" s="178">
        <f>MAX(0,(H4+(S5-M5)*Inputs!$B$9-Inputs!$B$44)/Inputs!$B$9)</f>
        <v/>
      </c>
      <c r="J5" s="178">
        <f>Inputs!$B$40 + H5/Inputs!$B$42</f>
        <v/>
      </c>
      <c r="K5" s="170">
        <f>IF(J4&gt;=Inputs!$B$47,2, IF(J4&gt;=Inputs!$B$45,1, IF(J4&lt;=Inputs!$B$46,0,K4)))</f>
        <v/>
      </c>
      <c r="L5" s="177">
        <f>K5*Inputs!$B$49</f>
        <v/>
      </c>
      <c r="M5" s="177">
        <f>MIN(L5,H4/Inputs!$B$9+S5)</f>
        <v/>
      </c>
      <c r="N5" s="170">
        <f>IF(AND(K5&gt;0,K4=0),1,0)</f>
        <v/>
      </c>
      <c r="O5" s="170">
        <f>O4 + N5</f>
        <v/>
      </c>
      <c r="P5" s="116">
        <f>MIN(F5,Inputs!$B$50)</f>
        <v/>
      </c>
      <c r="Q5" s="116">
        <f>MAX(0,F5-P5)</f>
        <v/>
      </c>
      <c r="R5" s="116">
        <f>P5*Inputs!$B$51</f>
        <v/>
      </c>
      <c r="S5" s="116">
        <f>Q5+R5</f>
        <v/>
      </c>
      <c r="U5" s="116" t="n">
        <v>4</v>
      </c>
      <c r="V5" s="165">
        <f>INDEX(IDF_Hyetograph!$D$2:$D$13, MATCH(U5, IDF_Hyetograph!$F$2:$F$13, 0))</f>
        <v/>
      </c>
    </row>
    <row r="6" ht="12.75" customHeight="1" s="117">
      <c r="A6" s="166">
        <f>A5+Inputs!$B$8</f>
        <v/>
      </c>
      <c r="B6" s="176">
        <f>IF(A6=0,0,_xlfn.IFNA(_xlfn.XLOOKUP(A6,IDF_Hyetograph!$K$2:$K$13,IDF_Hyetograph!$J$2:$J$13),0))</f>
        <v/>
      </c>
      <c r="C6" s="177">
        <f>0.00278*Inputs!$B$4*Inputs!$B$3*B6</f>
        <v/>
      </c>
      <c r="D6" s="177">
        <f>MIN( Inputs!$B$30, MAX(0, D5 + (C6-F6-G6)*Inputs!$B$9) )</f>
        <v/>
      </c>
      <c r="E6" s="177">
        <f>Inputs!$B$31 + D6/Inputs!$B$33</f>
        <v/>
      </c>
      <c r="F6" s="177">
        <f>MIN( D5/Inputs!$B$9, Inputs!$B$35*Inputs!$B$36*SQRT(2*Inputs!$B$37*MAX(E5-J5,0)) )</f>
        <v/>
      </c>
      <c r="G6" s="177">
        <f>MAX(0,(D5 + (C6-F6)*Inputs!$B$9 - Inputs!$B$30)/Inputs!$B$9)</f>
        <v/>
      </c>
      <c r="H6" s="178">
        <f>MAX(0,MIN(Inputs!$B$44,H5+(S6-M6-I6)*Inputs!$B$9))</f>
        <v/>
      </c>
      <c r="I6" s="178">
        <f>MAX(0,(H5+(S6-M6)*Inputs!$B$9-Inputs!$B$44)/Inputs!$B$9)</f>
        <v/>
      </c>
      <c r="J6" s="178">
        <f>Inputs!$B$40 + H6/Inputs!$B$42</f>
        <v/>
      </c>
      <c r="K6" s="170">
        <f>IF(J5&gt;=Inputs!$B$47,2, IF(J5&gt;=Inputs!$B$45,1, IF(J5&lt;=Inputs!$B$46,0,K5)))</f>
        <v/>
      </c>
      <c r="L6" s="177">
        <f>K6*Inputs!$B$49</f>
        <v/>
      </c>
      <c r="M6" s="177">
        <f>MIN(L6,H5/Inputs!$B$9+S6)</f>
        <v/>
      </c>
      <c r="N6" s="170">
        <f>IF(AND(K6&gt;0,K5=0),1,0)</f>
        <v/>
      </c>
      <c r="O6" s="170">
        <f>O5 + N6</f>
        <v/>
      </c>
      <c r="P6" s="116">
        <f>MIN(F6,Inputs!$B$50)</f>
        <v/>
      </c>
      <c r="Q6" s="116">
        <f>MAX(0,F6-P6)</f>
        <v/>
      </c>
      <c r="R6" s="116">
        <f>P6*Inputs!$B$51</f>
        <v/>
      </c>
      <c r="S6" s="116">
        <f>Q6+R6</f>
        <v/>
      </c>
      <c r="U6" s="116" t="n">
        <v>5</v>
      </c>
      <c r="V6" s="165">
        <f>INDEX(IDF_Hyetograph!$D$2:$D$13, MATCH(U6, IDF_Hyetograph!$F$2:$F$13, 0))</f>
        <v/>
      </c>
    </row>
    <row r="7" ht="12.75" customHeight="1" s="117">
      <c r="A7" s="166">
        <f>A6+Inputs!$B$8</f>
        <v/>
      </c>
      <c r="B7" s="176">
        <f>IF(A7=0,0,_xlfn.IFNA(_xlfn.XLOOKUP(A7,IDF_Hyetograph!$K$2:$K$13,IDF_Hyetograph!$J$2:$J$13),0))</f>
        <v/>
      </c>
      <c r="C7" s="177">
        <f>0.00278*Inputs!$B$4*Inputs!$B$3*B7</f>
        <v/>
      </c>
      <c r="D7" s="177">
        <f>MIN( Inputs!$B$30, MAX(0, D6 + (C7-F7-G7)*Inputs!$B$9) )</f>
        <v/>
      </c>
      <c r="E7" s="177">
        <f>Inputs!$B$31 + D7/Inputs!$B$33</f>
        <v/>
      </c>
      <c r="F7" s="177">
        <f>MIN( D6/Inputs!$B$9, Inputs!$B$35*Inputs!$B$36*SQRT(2*Inputs!$B$37*MAX(E6-J6,0)) )</f>
        <v/>
      </c>
      <c r="G7" s="177">
        <f>MAX(0,(D6 + (C7-F7)*Inputs!$B$9 - Inputs!$B$30)/Inputs!$B$9)</f>
        <v/>
      </c>
      <c r="H7" s="178">
        <f>MAX(0,MIN(Inputs!$B$44,H6+(S7-M7-I7)*Inputs!$B$9))</f>
        <v/>
      </c>
      <c r="I7" s="178">
        <f>MAX(0,(H6+(S7-M7)*Inputs!$B$9-Inputs!$B$44)/Inputs!$B$9)</f>
        <v/>
      </c>
      <c r="J7" s="178">
        <f>Inputs!$B$40 + H7/Inputs!$B$42</f>
        <v/>
      </c>
      <c r="K7" s="170">
        <f>IF(J6&gt;=Inputs!$B$47,2, IF(J6&gt;=Inputs!$B$45,1, IF(J6&lt;=Inputs!$B$46,0,K6)))</f>
        <v/>
      </c>
      <c r="L7" s="177">
        <f>K7*Inputs!$B$49</f>
        <v/>
      </c>
      <c r="M7" s="177">
        <f>MIN(L7,H6/Inputs!$B$9+S7)</f>
        <v/>
      </c>
      <c r="N7" s="170">
        <f>IF(AND(K7&gt;0,K6=0),1,0)</f>
        <v/>
      </c>
      <c r="O7" s="170">
        <f>O6 + N7</f>
        <v/>
      </c>
      <c r="P7" s="116">
        <f>MIN(F7,Inputs!$B$50)</f>
        <v/>
      </c>
      <c r="Q7" s="116">
        <f>MAX(0,F7-P7)</f>
        <v/>
      </c>
      <c r="R7" s="116">
        <f>P7*Inputs!$B$51</f>
        <v/>
      </c>
      <c r="S7" s="116">
        <f>Q7+R7</f>
        <v/>
      </c>
      <c r="U7" s="116" t="n">
        <v>6</v>
      </c>
      <c r="V7" s="165">
        <f>INDEX(IDF_Hyetograph!$D$2:$D$13, MATCH(U7, IDF_Hyetograph!$F$2:$F$13, 0))</f>
        <v/>
      </c>
    </row>
    <row r="8" ht="12.75" customHeight="1" s="117">
      <c r="A8" s="166">
        <f>A7+Inputs!$B$8</f>
        <v/>
      </c>
      <c r="B8" s="176">
        <f>IF(A8=0,0,_xlfn.IFNA(_xlfn.XLOOKUP(A8,IDF_Hyetograph!$K$2:$K$13,IDF_Hyetograph!$J$2:$J$13),0))</f>
        <v/>
      </c>
      <c r="C8" s="177">
        <f>0.00278*Inputs!$B$4*Inputs!$B$3*B8</f>
        <v/>
      </c>
      <c r="D8" s="177">
        <f>MIN( Inputs!$B$30, MAX(0, D7 + (C8-F8-G8)*Inputs!$B$9) )</f>
        <v/>
      </c>
      <c r="E8" s="177">
        <f>Inputs!$B$31 + D8/Inputs!$B$33</f>
        <v/>
      </c>
      <c r="F8" s="177">
        <f>MIN( D7/Inputs!$B$9, Inputs!$B$35*Inputs!$B$36*SQRT(2*Inputs!$B$37*MAX(E7-J7,0)) )</f>
        <v/>
      </c>
      <c r="G8" s="177">
        <f>MAX(0,(D7 + (C8-F8)*Inputs!$B$9 - Inputs!$B$30)/Inputs!$B$9)</f>
        <v/>
      </c>
      <c r="H8" s="178">
        <f>MAX(0,MIN(Inputs!$B$44,H7+(S8-M8-I8)*Inputs!$B$9))</f>
        <v/>
      </c>
      <c r="I8" s="178">
        <f>MAX(0,(H7+(S8-M8)*Inputs!$B$9-Inputs!$B$44)/Inputs!$B$9)</f>
        <v/>
      </c>
      <c r="J8" s="178">
        <f>Inputs!$B$40 + H8/Inputs!$B$42</f>
        <v/>
      </c>
      <c r="K8" s="170">
        <f>IF(J7&gt;=Inputs!$B$47,2, IF(J7&gt;=Inputs!$B$45,1, IF(J7&lt;=Inputs!$B$46,0,K7)))</f>
        <v/>
      </c>
      <c r="L8" s="177">
        <f>K8*Inputs!$B$49</f>
        <v/>
      </c>
      <c r="M8" s="177">
        <f>MIN(L8,H7/Inputs!$B$9+S8)</f>
        <v/>
      </c>
      <c r="N8" s="170">
        <f>IF(AND(K8&gt;0,K7=0),1,0)</f>
        <v/>
      </c>
      <c r="O8" s="170">
        <f>O7 + N8</f>
        <v/>
      </c>
      <c r="P8" s="116">
        <f>MIN(F8,Inputs!$B$50)</f>
        <v/>
      </c>
      <c r="Q8" s="116">
        <f>MAX(0,F8-P8)</f>
        <v/>
      </c>
      <c r="R8" s="116">
        <f>P8*Inputs!$B$51</f>
        <v/>
      </c>
      <c r="S8" s="116">
        <f>Q8+R8</f>
        <v/>
      </c>
      <c r="U8" s="116" t="n">
        <v>7</v>
      </c>
      <c r="V8" s="165">
        <f>INDEX(IDF_Hyetograph!$D$2:$D$13, MATCH(U8, IDF_Hyetograph!$F$2:$F$13, 0))</f>
        <v/>
      </c>
    </row>
    <row r="9" ht="12.75" customHeight="1" s="117">
      <c r="A9" s="166">
        <f>A8+Inputs!$B$8</f>
        <v/>
      </c>
      <c r="B9" s="176">
        <f>IF(A9=0,0,_xlfn.IFNA(_xlfn.XLOOKUP(A9,IDF_Hyetograph!$K$2:$K$13,IDF_Hyetograph!$J$2:$J$13),0))</f>
        <v/>
      </c>
      <c r="C9" s="177">
        <f>0.00278*Inputs!$B$4*Inputs!$B$3*B9</f>
        <v/>
      </c>
      <c r="D9" s="177">
        <f>MIN( Inputs!$B$30, MAX(0, D8 + (C9-F9-G9)*Inputs!$B$9) )</f>
        <v/>
      </c>
      <c r="E9" s="177">
        <f>Inputs!$B$31 + D9/Inputs!$B$33</f>
        <v/>
      </c>
      <c r="F9" s="177">
        <f>MIN( D8/Inputs!$B$9, Inputs!$B$35*Inputs!$B$36*SQRT(2*Inputs!$B$37*MAX(E8-J8,0)) )</f>
        <v/>
      </c>
      <c r="G9" s="177">
        <f>MAX(0,(D8 + (C9-F9)*Inputs!$B$9 - Inputs!$B$30)/Inputs!$B$9)</f>
        <v/>
      </c>
      <c r="H9" s="178">
        <f>MAX(0,MIN(Inputs!$B$44,H8+(S9-M9-I9)*Inputs!$B$9))</f>
        <v/>
      </c>
      <c r="I9" s="178">
        <f>MAX(0,(H8+(S9-M9)*Inputs!$B$9-Inputs!$B$44)/Inputs!$B$9)</f>
        <v/>
      </c>
      <c r="J9" s="178">
        <f>Inputs!$B$40 + H9/Inputs!$B$42</f>
        <v/>
      </c>
      <c r="K9" s="170">
        <f>IF(J8&gt;=Inputs!$B$47,2, IF(J8&gt;=Inputs!$B$45,1, IF(J8&lt;=Inputs!$B$46,0,K8)))</f>
        <v/>
      </c>
      <c r="L9" s="177">
        <f>K9*Inputs!$B$49</f>
        <v/>
      </c>
      <c r="M9" s="177">
        <f>MIN(L9,H8/Inputs!$B$9+S9)</f>
        <v/>
      </c>
      <c r="N9" s="170">
        <f>IF(AND(K9&gt;0,K8=0),1,0)</f>
        <v/>
      </c>
      <c r="O9" s="170">
        <f>O8 + N9</f>
        <v/>
      </c>
      <c r="P9" s="116">
        <f>MIN(F9,Inputs!$B$50)</f>
        <v/>
      </c>
      <c r="Q9" s="116">
        <f>MAX(0,F9-P9)</f>
        <v/>
      </c>
      <c r="R9" s="116">
        <f>P9*Inputs!$B$51</f>
        <v/>
      </c>
      <c r="S9" s="116">
        <f>Q9+R9</f>
        <v/>
      </c>
      <c r="U9" s="116" t="n">
        <v>8</v>
      </c>
      <c r="V9" s="165">
        <f>INDEX(IDF_Hyetograph!$D$2:$D$13, MATCH(U9, IDF_Hyetograph!$F$2:$F$13, 0))</f>
        <v/>
      </c>
    </row>
    <row r="10" ht="12.75" customHeight="1" s="117">
      <c r="A10" s="166">
        <f>A9+Inputs!$B$8</f>
        <v/>
      </c>
      <c r="B10" s="176">
        <f>IF(A10=0,0,_xlfn.IFNA(_xlfn.XLOOKUP(A10,IDF_Hyetograph!$K$2:$K$13,IDF_Hyetograph!$J$2:$J$13),0))</f>
        <v/>
      </c>
      <c r="C10" s="177">
        <f>0.00278*Inputs!$B$4*Inputs!$B$3*B10</f>
        <v/>
      </c>
      <c r="D10" s="177">
        <f>MIN( Inputs!$B$30, MAX(0, D9 + (C10-F10-G10)*Inputs!$B$9) )</f>
        <v/>
      </c>
      <c r="E10" s="177">
        <f>Inputs!$B$31 + D10/Inputs!$B$33</f>
        <v/>
      </c>
      <c r="F10" s="177">
        <f>MIN( D9/Inputs!$B$9, Inputs!$B$35*Inputs!$B$36*SQRT(2*Inputs!$B$37*MAX(E9-J9,0)) )</f>
        <v/>
      </c>
      <c r="G10" s="177">
        <f>MAX(0,(D9 + (C10-F10)*Inputs!$B$9 - Inputs!$B$30)/Inputs!$B$9)</f>
        <v/>
      </c>
      <c r="H10" s="178">
        <f>MAX(0,MIN(Inputs!$B$44,H9+(S10-M10-I10)*Inputs!$B$9))</f>
        <v/>
      </c>
      <c r="I10" s="178">
        <f>MAX(0,(H9+(S10-M10)*Inputs!$B$9-Inputs!$B$44)/Inputs!$B$9)</f>
        <v/>
      </c>
      <c r="J10" s="178">
        <f>Inputs!$B$40 + H10/Inputs!$B$42</f>
        <v/>
      </c>
      <c r="K10" s="170">
        <f>IF(J9&gt;=Inputs!$B$47,2, IF(J9&gt;=Inputs!$B$45,1, IF(J9&lt;=Inputs!$B$46,0,K9)))</f>
        <v/>
      </c>
      <c r="L10" s="177">
        <f>K10*Inputs!$B$49</f>
        <v/>
      </c>
      <c r="M10" s="177">
        <f>MIN(L10,H9/Inputs!$B$9+S10)</f>
        <v/>
      </c>
      <c r="N10" s="170">
        <f>IF(AND(K10&gt;0,K9=0),1,0)</f>
        <v/>
      </c>
      <c r="O10" s="170">
        <f>O9 + N10</f>
        <v/>
      </c>
      <c r="P10" s="116">
        <f>MIN(F10,Inputs!$B$50)</f>
        <v/>
      </c>
      <c r="Q10" s="116">
        <f>MAX(0,F10-P10)</f>
        <v/>
      </c>
      <c r="R10" s="116">
        <f>P10*Inputs!$B$51</f>
        <v/>
      </c>
      <c r="S10" s="116">
        <f>Q10+R10</f>
        <v/>
      </c>
      <c r="U10" s="116" t="n">
        <v>9</v>
      </c>
      <c r="V10" s="165">
        <f>INDEX(IDF_Hyetograph!$D$2:$D$13, MATCH(U10, IDF_Hyetograph!$F$2:$F$13, 0))</f>
        <v/>
      </c>
    </row>
    <row r="11" ht="12.75" customHeight="1" s="117">
      <c r="A11" s="166">
        <f>A10+Inputs!$B$8</f>
        <v/>
      </c>
      <c r="B11" s="176">
        <f>IF(A11=0,0,_xlfn.IFNA(_xlfn.XLOOKUP(A11,IDF_Hyetograph!$K$2:$K$13,IDF_Hyetograph!$J$2:$J$13),0))</f>
        <v/>
      </c>
      <c r="C11" s="177">
        <f>0.00278*Inputs!$B$4*Inputs!$B$3*B11</f>
        <v/>
      </c>
      <c r="D11" s="177">
        <f>MIN( Inputs!$B$30, MAX(0, D10 + (C11-F11-G11)*Inputs!$B$9) )</f>
        <v/>
      </c>
      <c r="E11" s="177">
        <f>Inputs!$B$31 + D11/Inputs!$B$33</f>
        <v/>
      </c>
      <c r="F11" s="177">
        <f>MIN( D10/Inputs!$B$9, Inputs!$B$35*Inputs!$B$36*SQRT(2*Inputs!$B$37*MAX(E10-J10,0)) )</f>
        <v/>
      </c>
      <c r="G11" s="177">
        <f>MAX(0,(D10 + (C11-F11)*Inputs!$B$9 - Inputs!$B$30)/Inputs!$B$9)</f>
        <v/>
      </c>
      <c r="H11" s="178">
        <f>MAX(0,MIN(Inputs!$B$44,H10+(S11-M11-I11)*Inputs!$B$9))</f>
        <v/>
      </c>
      <c r="I11" s="178">
        <f>MAX(0,(H10+(S11-M11)*Inputs!$B$9-Inputs!$B$44)/Inputs!$B$9)</f>
        <v/>
      </c>
      <c r="J11" s="178">
        <f>Inputs!$B$40 + H11/Inputs!$B$42</f>
        <v/>
      </c>
      <c r="K11" s="170">
        <f>IF(J10&gt;=Inputs!$B$47,2, IF(J10&gt;=Inputs!$B$45,1, IF(J10&lt;=Inputs!$B$46,0,K10)))</f>
        <v/>
      </c>
      <c r="L11" s="177">
        <f>K11*Inputs!$B$49</f>
        <v/>
      </c>
      <c r="M11" s="177">
        <f>MIN(L11,H10/Inputs!$B$9+S11)</f>
        <v/>
      </c>
      <c r="N11" s="170">
        <f>IF(AND(K11&gt;0,K10=0),1,0)</f>
        <v/>
      </c>
      <c r="O11" s="170">
        <f>O10 + N11</f>
        <v/>
      </c>
      <c r="P11" s="116">
        <f>MIN(F11,Inputs!$B$50)</f>
        <v/>
      </c>
      <c r="Q11" s="116">
        <f>MAX(0,F11-P11)</f>
        <v/>
      </c>
      <c r="R11" s="116">
        <f>P11*Inputs!$B$51</f>
        <v/>
      </c>
      <c r="S11" s="116">
        <f>Q11+R11</f>
        <v/>
      </c>
      <c r="U11" s="116" t="n">
        <v>10</v>
      </c>
      <c r="V11" s="165">
        <f>INDEX(IDF_Hyetograph!$D$2:$D$13, MATCH(U11, IDF_Hyetograph!$F$2:$F$13, 0))</f>
        <v/>
      </c>
    </row>
    <row r="12" ht="12.75" customHeight="1" s="117">
      <c r="A12" s="166">
        <f>A11+Inputs!$B$8</f>
        <v/>
      </c>
      <c r="B12" s="176">
        <f>IF(A12=0,0,_xlfn.IFNA(_xlfn.XLOOKUP(A12,IDF_Hyetograph!$K$2:$K$13,IDF_Hyetograph!$J$2:$J$13),0))</f>
        <v/>
      </c>
      <c r="C12" s="177">
        <f>0.00278*Inputs!$B$4*Inputs!$B$3*B12</f>
        <v/>
      </c>
      <c r="D12" s="177">
        <f>MIN( Inputs!$B$30, MAX(0, D11 + (C12-F12-G12)*Inputs!$B$9) )</f>
        <v/>
      </c>
      <c r="E12" s="177">
        <f>Inputs!$B$31 + D12/Inputs!$B$33</f>
        <v/>
      </c>
      <c r="F12" s="177">
        <f>MIN( D11/Inputs!$B$9, Inputs!$B$35*Inputs!$B$36*SQRT(2*Inputs!$B$37*MAX(E11-J11,0)) )</f>
        <v/>
      </c>
      <c r="G12" s="177">
        <f>MAX(0,(D11 + (C12-F12)*Inputs!$B$9 - Inputs!$B$30)/Inputs!$B$9)</f>
        <v/>
      </c>
      <c r="H12" s="178">
        <f>MAX(0,MIN(Inputs!$B$44,H11+(S12-M12-I12)*Inputs!$B$9))</f>
        <v/>
      </c>
      <c r="I12" s="178">
        <f>MAX(0,(H11+(S12-M12)*Inputs!$B$9-Inputs!$B$44)/Inputs!$B$9)</f>
        <v/>
      </c>
      <c r="J12" s="178">
        <f>Inputs!$B$40 + H12/Inputs!$B$42</f>
        <v/>
      </c>
      <c r="K12" s="170">
        <f>IF(J11&gt;=Inputs!$B$47,2, IF(J11&gt;=Inputs!$B$45,1, IF(J11&lt;=Inputs!$B$46,0,K11)))</f>
        <v/>
      </c>
      <c r="L12" s="177">
        <f>K12*Inputs!$B$49</f>
        <v/>
      </c>
      <c r="M12" s="177">
        <f>MIN(L12,H11/Inputs!$B$9+S12)</f>
        <v/>
      </c>
      <c r="N12" s="170">
        <f>IF(AND(K12&gt;0,K11=0),1,0)</f>
        <v/>
      </c>
      <c r="O12" s="170">
        <f>O11 + N12</f>
        <v/>
      </c>
      <c r="P12" s="116">
        <f>MIN(F12,Inputs!$B$50)</f>
        <v/>
      </c>
      <c r="Q12" s="116">
        <f>MAX(0,F12-P12)</f>
        <v/>
      </c>
      <c r="R12" s="116">
        <f>P12*Inputs!$B$51</f>
        <v/>
      </c>
      <c r="S12" s="116">
        <f>Q12+R12</f>
        <v/>
      </c>
      <c r="U12" s="116" t="n">
        <v>11</v>
      </c>
      <c r="V12" s="165">
        <f>INDEX(IDF_Hyetograph!$D$2:$D$13, MATCH(U12, IDF_Hyetograph!$F$2:$F$13, 0))</f>
        <v/>
      </c>
    </row>
    <row r="13" ht="12.75" customHeight="1" s="117">
      <c r="A13" s="166">
        <f>A12+Inputs!$B$8</f>
        <v/>
      </c>
      <c r="B13" s="176">
        <f>IF(A13=0,0,_xlfn.IFNA(_xlfn.XLOOKUP(A13,IDF_Hyetograph!$K$2:$K$13,IDF_Hyetograph!$J$2:$J$13),0))</f>
        <v/>
      </c>
      <c r="C13" s="177">
        <f>0.00278*Inputs!$B$4*Inputs!$B$3*B13</f>
        <v/>
      </c>
      <c r="D13" s="177">
        <f>MIN( Inputs!$B$30, MAX(0, D12 + (C13-F13-G13)*Inputs!$B$9) )</f>
        <v/>
      </c>
      <c r="E13" s="177">
        <f>Inputs!$B$31 + D13/Inputs!$B$33</f>
        <v/>
      </c>
      <c r="F13" s="177">
        <f>MIN( D12/Inputs!$B$9, Inputs!$B$35*Inputs!$B$36*SQRT(2*Inputs!$B$37*MAX(E12-J12,0)) )</f>
        <v/>
      </c>
      <c r="G13" s="177">
        <f>MAX(0,(D12 + (C13-F13)*Inputs!$B$9 - Inputs!$B$30)/Inputs!$B$9)</f>
        <v/>
      </c>
      <c r="H13" s="178">
        <f>MAX(0,MIN(Inputs!$B$44,H12+(S13-M13-I13)*Inputs!$B$9))</f>
        <v/>
      </c>
      <c r="I13" s="178">
        <f>MAX(0,(H12+(S13-M13)*Inputs!$B$9-Inputs!$B$44)/Inputs!$B$9)</f>
        <v/>
      </c>
      <c r="J13" s="178">
        <f>Inputs!$B$40 + H13/Inputs!$B$42</f>
        <v/>
      </c>
      <c r="K13" s="170">
        <f>IF(J12&gt;=Inputs!$B$47,2, IF(J12&gt;=Inputs!$B$45,1, IF(J12&lt;=Inputs!$B$46,0,K12)))</f>
        <v/>
      </c>
      <c r="L13" s="177">
        <f>K13*Inputs!$B$49</f>
        <v/>
      </c>
      <c r="M13" s="177">
        <f>MIN(L13,H12/Inputs!$B$9+S13)</f>
        <v/>
      </c>
      <c r="N13" s="170">
        <f>IF(AND(K13&gt;0,K12=0),1,0)</f>
        <v/>
      </c>
      <c r="O13" s="170">
        <f>O12 + N13</f>
        <v/>
      </c>
      <c r="P13" s="116">
        <f>MIN(F13,Inputs!$B$50)</f>
        <v/>
      </c>
      <c r="Q13" s="116">
        <f>MAX(0,F13-P13)</f>
        <v/>
      </c>
      <c r="R13" s="116">
        <f>P13*Inputs!$B$51</f>
        <v/>
      </c>
      <c r="S13" s="116">
        <f>Q13+R13</f>
        <v/>
      </c>
      <c r="U13" s="116" t="n">
        <v>12</v>
      </c>
      <c r="V13" s="165">
        <f>INDEX(IDF_Hyetograph!$D$2:$D$13, MATCH(U13, IDF_Hyetograph!$F$2:$F$13, 0))</f>
        <v/>
      </c>
    </row>
    <row r="14" ht="12.75" customHeight="1" s="117">
      <c r="A14" s="166">
        <f>A13+Inputs!$B$8</f>
        <v/>
      </c>
      <c r="B14" s="176">
        <f>IF(A14=0,0,_xlfn.IFNA(_xlfn.XLOOKUP(A14,IDF_Hyetograph!$K$2:$K$13,IDF_Hyetograph!$J$2:$J$13),0))</f>
        <v/>
      </c>
      <c r="C14" s="177">
        <f>0.00278*Inputs!$B$4*Inputs!$B$3*B14</f>
        <v/>
      </c>
      <c r="D14" s="177">
        <f>MIN( Inputs!$B$30, MAX(0, D13 + (C14-F14-G14)*Inputs!$B$9) )</f>
        <v/>
      </c>
      <c r="E14" s="177">
        <f>Inputs!$B$31 + D14/Inputs!$B$33</f>
        <v/>
      </c>
      <c r="F14" s="177">
        <f>MIN( D13/Inputs!$B$9, Inputs!$B$35*Inputs!$B$36*SQRT(2*Inputs!$B$37*MAX(E13-J13,0)) )</f>
        <v/>
      </c>
      <c r="G14" s="177">
        <f>MAX(0,(D13 + (C14-F14)*Inputs!$B$9 - Inputs!$B$30)/Inputs!$B$9)</f>
        <v/>
      </c>
      <c r="H14" s="178">
        <f>MAX(0,MIN(Inputs!$B$44,H13+(S14-M14-I14)*Inputs!$B$9))</f>
        <v/>
      </c>
      <c r="I14" s="178">
        <f>MAX(0,(H13+(S14-M14)*Inputs!$B$9-Inputs!$B$44)/Inputs!$B$9)</f>
        <v/>
      </c>
      <c r="J14" s="178">
        <f>Inputs!$B$40 + H14/Inputs!$B$42</f>
        <v/>
      </c>
      <c r="K14" s="170">
        <f>IF(J13&gt;=Inputs!$B$47,2, IF(J13&gt;=Inputs!$B$45,1, IF(J13&lt;=Inputs!$B$46,0,K13)))</f>
        <v/>
      </c>
      <c r="L14" s="177">
        <f>K14*Inputs!$B$49</f>
        <v/>
      </c>
      <c r="M14" s="177">
        <f>MIN(L14,H13/Inputs!$B$9+S14)</f>
        <v/>
      </c>
      <c r="N14" s="170">
        <f>IF(AND(K14&gt;0,K13=0),1,0)</f>
        <v/>
      </c>
      <c r="O14" s="170">
        <f>O13 + N14</f>
        <v/>
      </c>
      <c r="P14" s="116">
        <f>MIN(F14,Inputs!$B$50)</f>
        <v/>
      </c>
      <c r="Q14" s="116">
        <f>MAX(0,F14-P14)</f>
        <v/>
      </c>
      <c r="R14" s="116">
        <f>P14*Inputs!$B$51</f>
        <v/>
      </c>
      <c r="S14" s="116">
        <f>Q14+R14</f>
        <v/>
      </c>
    </row>
    <row r="15" ht="12.75" customHeight="1" s="117">
      <c r="H15" s="155" t="n"/>
      <c r="K15" s="166" t="n"/>
    </row>
    <row r="16" ht="12.75" customHeight="1" s="117">
      <c r="H16" s="179" t="n"/>
      <c r="N16" s="116" t="inlineStr">
        <is>
          <t>Total_starts</t>
        </is>
      </c>
      <c r="O16" s="116">
        <f>O14</f>
        <v/>
      </c>
    </row>
    <row r="17" ht="12.75" customHeight="1" s="117">
      <c r="C17" s="180">
        <f>SUM(C2:C14)*Inputs!$B9</f>
        <v/>
      </c>
      <c r="D17" s="181">
        <f>D14</f>
        <v/>
      </c>
      <c r="E17" s="182">
        <f>D17+H17-D2-H2</f>
        <v/>
      </c>
      <c r="G17" s="183">
        <f>SUM(G2:G14)*Inputs!$B9</f>
        <v/>
      </c>
      <c r="H17" s="184">
        <f>H14</f>
        <v/>
      </c>
      <c r="I17" s="183">
        <f>SUM(I2:I14)*Inputs!$B9</f>
        <v/>
      </c>
      <c r="M17" s="183">
        <f>SUM(M2:M14)*Inputs!$B9</f>
        <v/>
      </c>
      <c r="N17" s="116" t="inlineStr">
        <is>
          <t>Event_hours</t>
        </is>
      </c>
      <c r="O17" s="185">
        <f>(A14-A2)/60</f>
        <v/>
      </c>
    </row>
    <row r="18" ht="12.75" customHeight="1" s="117">
      <c r="N18" s="116" t="inlineStr">
        <is>
          <t>Starts_per_hr</t>
        </is>
      </c>
      <c r="O18" s="170">
        <f>IF(O17=0,"",O16/O17)</f>
        <v/>
      </c>
    </row>
    <row r="19" ht="12.75" customHeight="1" s="117">
      <c r="B19" s="116" t="inlineStr">
        <is>
          <t>MassError_m3</t>
        </is>
      </c>
      <c r="C19" s="155">
        <f>C17-G17-I17-M17-E17</f>
        <v/>
      </c>
    </row>
    <row r="20" ht="12.75" customHeight="1" s="117">
      <c r="H20" s="155" t="n"/>
      <c r="I20" s="155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190">
        <f>MAX(Routing!F2:F100)</f>
        <v/>
      </c>
    </row>
    <row r="4" ht="16.45" customHeight="1" s="117">
      <c r="A4" s="189" t="inlineStr">
        <is>
          <t>Débit de pointe toiture, Q_peak (m³/s)</t>
        </is>
      </c>
      <c r="B4" s="190">
        <f>MAX(Routing!C2:C16)</f>
        <v/>
      </c>
    </row>
    <row r="5" ht="24.05" customHeight="1" s="117">
      <c r="A5" s="189" t="inlineStr">
        <is>
          <t>Niveau d’eau de conception du ruisseau (m)</t>
        </is>
      </c>
      <c r="B5" s="191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193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191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198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199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199">
        <f>Inputs!B18</f>
        <v/>
      </c>
    </row>
    <row r="11" ht="12.75" customHeight="1" s="117">
      <c r="A11" s="189" t="inlineStr">
        <is>
          <t>Rendement pompe, η_pompe (-)</t>
        </is>
      </c>
      <c r="B11" s="199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199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199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199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199" t="n"/>
    </row>
    <row r="16" ht="13.8" customHeight="1" s="117">
      <c r="A16" s="189" t="inlineStr">
        <is>
          <t>Débit total requis de pompage (m³/s)</t>
        </is>
      </c>
      <c r="B16" s="201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03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05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0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10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10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10">
        <f>B10*B20^2/(2*9.81)</f>
        <v/>
      </c>
    </row>
    <row r="23" ht="24.05" customHeight="1" s="117">
      <c r="A23" s="189" t="inlineStr">
        <is>
          <t>Hauteur Manométrique Totale, HMT (m)</t>
        </is>
      </c>
      <c r="B23" s="210">
        <f>B19+B21+B22</f>
        <v/>
      </c>
    </row>
    <row r="24" ht="12.75" customHeight="1" s="117">
      <c r="A24" s="189" t="inlineStr">
        <is>
          <t>BESOINS EN PUISSANCE</t>
        </is>
      </c>
      <c r="B24" s="205" t="n"/>
    </row>
    <row r="25" ht="15" customHeight="1" s="117">
      <c r="A25" s="189" t="inlineStr">
        <is>
          <t>Puissance hydraulique (kW)</t>
        </is>
      </c>
      <c r="B25" s="210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13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13">
        <f>IF(B13=0,"",B26/B13)</f>
        <v/>
      </c>
      <c r="D27" s="166" t="n"/>
    </row>
    <row r="28" ht="34.5" customHeight="1" s="117">
      <c r="A28" s="189" t="n"/>
      <c r="B28" s="199" t="n"/>
      <c r="D28" s="214" t="n"/>
    </row>
    <row r="29" ht="25.5" customHeight="1" s="117">
      <c r="A29" s="189" t="inlineStr">
        <is>
          <t>Volume utile du puisard entre MARCHE/ARRÊT (m³)</t>
        </is>
      </c>
      <c r="B29" s="21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16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17">
        <f>MAX(Routing!$O$2:$O$2000)</f>
        <v/>
      </c>
    </row>
    <row r="32" ht="25.5" customHeight="1" s="117">
      <c r="A32" s="189" t="inlineStr">
        <is>
          <t>Durée de l’événement (h)</t>
        </is>
      </c>
      <c r="B32" s="217">
        <f>(MAX(Routing!$A$2:$A$2000)-MIN(Routing!$A$2:$A$2000))/60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17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20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Toiture -&gt; StormBrixx -&gt; regard regulateur -&gt; branche Jellyfish / branche poste pompage.</t>
        </is>
      </c>
    </row>
    <row r="4">
      <c r="A4" s="232" t="inlineStr">
        <is>
          <t>IMPORTANT: Les K du regulateur et Jellyfish sont provisoires. Remplacer par les pertes de charge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Bassin retention vers RP-01</t>
        </is>
      </c>
      <c r="C10" s="237" t="n">
        <v>1</v>
      </c>
      <c r="D10" s="237" t="n">
        <v>0.3</v>
      </c>
      <c r="E10" s="237" t="n">
        <v>0.029</v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Conduite entree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regard regulateur</t>
        </is>
      </c>
      <c r="C11" s="237" t="n">
        <v>7</v>
      </c>
      <c r="D11" s="237" t="n">
        <v>0.3</v>
      </c>
      <c r="E11" s="237" t="n">
        <v>0.029</v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Collecteur principal</t>
        </is>
      </c>
      <c r="P11" s="239" t="inlineStr">
        <is>
          <t>Vers Jellyfish (S1+S2+S3)</t>
        </is>
      </c>
      <c r="Q11" s="238">
        <f>M10+M11+M12</f>
        <v/>
      </c>
    </row>
    <row r="12" ht="22" customHeight="1" s="117">
      <c r="A12" s="237" t="inlineStr">
        <is>
          <t>S3</t>
        </is>
      </c>
      <c r="B12" s="237" t="inlineStr">
        <is>
          <t>Regard regulateur vers DP-01 (Jellyfish)</t>
        </is>
      </c>
      <c r="C12" s="237" t="n">
        <v>4.5</v>
      </c>
      <c r="D12" s="237" t="n">
        <v>0.3</v>
      </c>
      <c r="E12" s="237" t="n">
        <v>0.029</v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traitement</t>
        </is>
      </c>
      <c r="P12" s="239" t="inlineStr">
        <is>
          <t>Vers poste pompage (S1+S2+S4)</t>
        </is>
      </c>
      <c r="Q12" s="238">
        <f>M10+M11+M13</f>
        <v/>
      </c>
    </row>
    <row r="13" ht="22" customHeight="1" s="117">
      <c r="A13" s="237" t="inlineStr">
        <is>
          <t>S4</t>
        </is>
      </c>
      <c r="B13" s="237" t="inlineStr">
        <is>
          <t>Regard regulateur vers poste pompage</t>
        </is>
      </c>
      <c r="C13" s="237" t="n">
        <v>4</v>
      </c>
      <c r="D13" s="237" t="n">
        <v>0.3</v>
      </c>
      <c r="E13" s="237" t="n">
        <v>0.164</v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Branche surverse (Q=163.8 L/s)</t>
        </is>
      </c>
      <c r="P13" s="239" t="inlineStr">
        <is>
          <t>Refoulement pompe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Ligne de refoulement poste pompage</t>
        </is>
      </c>
      <c r="C14" s="237" t="n">
        <v>31.5</v>
      </c>
      <c r="D14" s="237" t="n">
        <v>0.15</v>
      </c>
      <c r="E14" s="237" t="n">
        <v>0.039</v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Refoulement pompe (Q unitaire)</t>
        </is>
      </c>
      <c r="P14" s="239" t="inlineStr">
        <is>
          <t>Exutoire gravitaire aval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 avec clapet vers exutoire gravite</t>
        </is>
      </c>
      <c r="C15" s="237" t="n">
        <v>8</v>
      </c>
      <c r="D15" s="237" t="n">
        <v>0.3</v>
      </c>
      <c r="E15" s="237" t="n">
        <v>0.039</v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aval gravitaire</t>
        </is>
      </c>
    </row>
    <row r="17">
      <c r="P17" s="240" t="inlineStr">
        <is>
          <t>NOTE</t>
        </is>
      </c>
      <c r="Q17" s="116" t="inlineStr">
        <is>
          <t>Valider K Jellyfish et K regulateur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brusque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Coude 90 rayon court</t>
        </is>
      </c>
      <c r="C22" s="237" t="n">
        <v>1</v>
      </c>
      <c r="D22" s="237" t="n">
        <v>0.9</v>
      </c>
      <c r="E22" s="238">
        <f>C22*D22</f>
        <v/>
      </c>
    </row>
    <row r="23">
      <c r="A23" s="237" t="inlineStr">
        <is>
          <t>S2</t>
        </is>
      </c>
      <c r="B23" s="237" t="inlineStr">
        <is>
          <t>Regard traversant</t>
        </is>
      </c>
      <c r="C23" s="237" t="n">
        <v>1</v>
      </c>
      <c r="D23" s="237" t="n">
        <v>0.5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Coude 45</t>
        </is>
      </c>
      <c r="C24" s="237" t="n">
        <v>1</v>
      </c>
      <c r="D24" s="237" t="n">
        <v>0.4</v>
      </c>
      <c r="E24" s="238">
        <f>C24*D24</f>
        <v/>
      </c>
    </row>
    <row r="25">
      <c r="A25" s="237" t="inlineStr">
        <is>
          <t>S3</t>
        </is>
      </c>
      <c r="B25" s="237" t="inlineStr">
        <is>
          <t>Te derivation</t>
        </is>
      </c>
      <c r="C25" s="237" t="n">
        <v>1</v>
      </c>
      <c r="D25" s="237" t="n">
        <v>1.8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Equipement Jellyfish (provisoire)</t>
        </is>
      </c>
      <c r="C26" s="237" t="n">
        <v>1</v>
      </c>
      <c r="D26" s="237" t="n">
        <v>2</v>
      </c>
      <c r="E26" s="238">
        <f>C26*D26</f>
        <v/>
      </c>
    </row>
    <row r="27">
      <c r="A27" s="237" t="inlineStr">
        <is>
          <t>S4</t>
        </is>
      </c>
      <c r="B27" s="237" t="inlineStr">
        <is>
          <t>Te passage droit</t>
        </is>
      </c>
      <c r="C27" s="237" t="n">
        <v>1</v>
      </c>
      <c r="D27" s="237" t="n">
        <v>0.6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Regulateur Q-brake (provisoire)</t>
        </is>
      </c>
      <c r="C28" s="237" t="n">
        <v>1</v>
      </c>
      <c r="D28" s="237" t="n">
        <v>2.5</v>
      </c>
      <c r="E28" s="238">
        <f>C28*D28</f>
        <v/>
      </c>
    </row>
    <row r="29">
      <c r="A29" s="237" t="inlineStr">
        <is>
          <t>S5</t>
        </is>
      </c>
      <c r="B29" s="237" t="inlineStr">
        <is>
          <t>Clapet anti-retour</t>
        </is>
      </c>
      <c r="C29" s="237" t="n">
        <v>1</v>
      </c>
      <c r="D29" s="237" t="n">
        <v>2.5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Vanne d'isolement ouverte</t>
        </is>
      </c>
      <c r="C30" s="237" t="n">
        <v>1</v>
      </c>
      <c r="D30" s="237" t="n">
        <v>0.2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 (x2)</t>
        </is>
      </c>
      <c r="C31" s="237" t="n">
        <v>2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2026-06-04T12:07:15Z</dcterms:modified>
  <cp:revision>77</cp:revision>
</cp:coreProperties>
</file>