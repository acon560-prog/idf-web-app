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3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INDEX(Routing!$O:$O,Inputs!$B$53+2)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Routing!$O$18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MAX(Routing!$M$2:INDEX(Routing!$M:$M,Inputs!$B$53+2))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t="inlineStr">
        <is>
          <t>Duree_hyetographe_min</t>
        </is>
      </c>
      <c r="B52" s="251">
        <f>IFERROR(Analyse_duree!$B$2,60)</f>
        <v/>
      </c>
    </row>
    <row r="53">
      <c r="A53" t="inlineStr">
        <is>
          <t>Nb_pas_hyetographe</t>
        </is>
      </c>
      <c r="B53" s="251">
        <f>ROUNDUP(B52/B8,0)</f>
        <v/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IF(E2="","",IF(E2=1,Inputs!$B$53/2,IF(MOD(E2,2)=0,Inputs!$B$53/2+E2/2,Inputs!$B$53/2-(E2-1)/2)))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IF(E3="","",IF(E3=1,Inputs!$B$53/2,IF(MOD(E3,2)=0,Inputs!$B$53/2+E3/2,Inputs!$B$53/2-(E3-1)/2)))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IF(E4="","",IF(E4=1,Inputs!$B$53/2,IF(MOD(E4,2)=0,Inputs!$B$53/2+E4/2,Inputs!$B$53/2-(E4-1)/2)))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IF(E5="","",IF(E5=1,Inputs!$B$53/2,IF(MOD(E5,2)=0,Inputs!$B$53/2+E5/2,Inputs!$B$53/2-(E5-1)/2)))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IF(E6="","",IF(E6=1,Inputs!$B$53/2,IF(MOD(E6,2)=0,Inputs!$B$53/2+E6/2,Inputs!$B$53/2-(E6-1)/2)))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IF(E7="","",IF(E7=1,Inputs!$B$53/2,IF(MOD(E7,2)=0,Inputs!$B$53/2+E7/2,Inputs!$B$53/2-(E7-1)/2)))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IF(E8="","",IF(E8=1,Inputs!$B$53/2,IF(MOD(E8,2)=0,Inputs!$B$53/2+E8/2,Inputs!$B$53/2-(E8-1)/2)))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IF(E9="","",IF(E9=1,Inputs!$B$53/2,IF(MOD(E9,2)=0,Inputs!$B$53/2+E9/2,Inputs!$B$53/2-(E9-1)/2)))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IF(E10="","",IF(E10=1,Inputs!$B$53/2,IF(MOD(E10,2)=0,Inputs!$B$53/2+E10/2,Inputs!$B$53/2-(E10-1)/2)))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IF(E11="","",IF(E11=1,Inputs!$B$53/2,IF(MOD(E11,2)=0,Inputs!$B$53/2+E11/2,Inputs!$B$53/2-(E11-1)/2)))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IF(E12="","",IF(E12=1,Inputs!$B$53/2,IF(MOD(E12,2)=0,Inputs!$B$53/2+E12/2,Inputs!$B$53/2-(E12-1)/2)))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IF(E13="","",IF(E13=1,Inputs!$B$53/2,IF(MOD(E13,2)=0,Inputs!$B$53/2+E13/2,Inputs!$B$53/2-(E13-1)/2)))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IF(E14="","",IF(E14=1,Inputs!$B$53/2,IF(MOD(E14,2)=0,Inputs!$B$53/2+E14/2,Inputs!$B$53/2-(E14-1)/2)))</f>
        <v/>
      </c>
      <c r="H14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>
        <f>H14*Inputs!$B$8</f>
        <v/>
      </c>
    </row>
    <row r="15" ht="12.75" customHeight="1" s="117">
      <c r="A15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IF(E15="","",IF(E15=1,Inputs!$B$53/2,IF(MOD(E15,2)=0,Inputs!$B$53/2+E15/2,Inputs!$B$53/2-(E15-1)/2)))</f>
        <v/>
      </c>
      <c r="H15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>
        <f>H15*Inputs!$B$8</f>
        <v/>
      </c>
    </row>
    <row r="16">
      <c r="A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>
        <f>IF(D16="","",COUNTIF($D$2:$D$37,"&gt;"&amp;D16)+COUNTIF($D$2:D16,D16))</f>
        <v/>
      </c>
      <c r="F16">
        <f>IF(E16="","",IF(E16=1,Inputs!$B$53/2,IF(MOD(E16,2)=0,Inputs!$B$53/2+E16/2,Inputs!$B$53/2-(E16-1)/2)))</f>
        <v/>
      </c>
      <c r="H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>
        <f>H16*Inputs!$B$8</f>
        <v/>
      </c>
    </row>
    <row r="17">
      <c r="A17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>
        <f>IF(D17="","",COUNTIF($D$2:$D$37,"&gt;"&amp;D17)+COUNTIF($D$2:D17,D17))</f>
        <v/>
      </c>
      <c r="F17">
        <f>IF(E17="","",IF(E17=1,Inputs!$B$53/2,IF(MOD(E17,2)=0,Inputs!$B$53/2+E17/2,Inputs!$B$53/2-(E17-1)/2)))</f>
        <v/>
      </c>
      <c r="H17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>
        <f>H17*Inputs!$B$8</f>
        <v/>
      </c>
    </row>
    <row r="18">
      <c r="A18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>
        <f>IF(D18="","",COUNTIF($D$2:$D$37,"&gt;"&amp;D18)+COUNTIF($D$2:D18,D18))</f>
        <v/>
      </c>
      <c r="F18">
        <f>IF(E18="","",IF(E18=1,Inputs!$B$53/2,IF(MOD(E18,2)=0,Inputs!$B$53/2+E18/2,Inputs!$B$53/2-(E18-1)/2)))</f>
        <v/>
      </c>
      <c r="H18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>
        <f>H18*Inputs!$B$8</f>
        <v/>
      </c>
    </row>
    <row r="19">
      <c r="A19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>
        <f>IF(D19="","",COUNTIF($D$2:$D$37,"&gt;"&amp;D19)+COUNTIF($D$2:D19,D19))</f>
        <v/>
      </c>
      <c r="F19">
        <f>IF(E19="","",IF(E19=1,Inputs!$B$53/2,IF(MOD(E19,2)=0,Inputs!$B$53/2+E19/2,Inputs!$B$53/2-(E19-1)/2)))</f>
        <v/>
      </c>
      <c r="H19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>
        <f>H19*Inputs!$B$8</f>
        <v/>
      </c>
    </row>
    <row r="20">
      <c r="A20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>
        <f>IF(D20="","",COUNTIF($D$2:$D$37,"&gt;"&amp;D20)+COUNTIF($D$2:D20,D20))</f>
        <v/>
      </c>
      <c r="F20">
        <f>IF(E20="","",IF(E20=1,Inputs!$B$53/2,IF(MOD(E20,2)=0,Inputs!$B$53/2+E20/2,Inputs!$B$53/2-(E20-1)/2)))</f>
        <v/>
      </c>
      <c r="H20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>
        <f>H20*Inputs!$B$8</f>
        <v/>
      </c>
    </row>
    <row r="21">
      <c r="A21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>
        <f>IF(D21="","",COUNTIF($D$2:$D$37,"&gt;"&amp;D21)+COUNTIF($D$2:D21,D21))</f>
        <v/>
      </c>
      <c r="F21">
        <f>IF(E21="","",IF(E21=1,Inputs!$B$53/2,IF(MOD(E21,2)=0,Inputs!$B$53/2+E21/2,Inputs!$B$53/2-(E21-1)/2)))</f>
        <v/>
      </c>
      <c r="H21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>
        <f>H21*Inputs!$B$8</f>
        <v/>
      </c>
    </row>
    <row r="22">
      <c r="A22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>
        <f>IF(D22="","",COUNTIF($D$2:$D$37,"&gt;"&amp;D22)+COUNTIF($D$2:D22,D22))</f>
        <v/>
      </c>
      <c r="F22">
        <f>IF(E22="","",IF(E22=1,Inputs!$B$53/2,IF(MOD(E22,2)=0,Inputs!$B$53/2+E22/2,Inputs!$B$53/2-(E22-1)/2)))</f>
        <v/>
      </c>
      <c r="H22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>
        <f>H22*Inputs!$B$8</f>
        <v/>
      </c>
    </row>
    <row r="23">
      <c r="A23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>
        <f>IF(D23="","",COUNTIF($D$2:$D$37,"&gt;"&amp;D23)+COUNTIF($D$2:D23,D23))</f>
        <v/>
      </c>
      <c r="F23">
        <f>IF(E23="","",IF(E23=1,Inputs!$B$53/2,IF(MOD(E23,2)=0,Inputs!$B$53/2+E23/2,Inputs!$B$53/2-(E23-1)/2)))</f>
        <v/>
      </c>
      <c r="H23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>
        <f>H23*Inputs!$B$8</f>
        <v/>
      </c>
    </row>
    <row r="24">
      <c r="A24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>
        <f>IF(D24="","",COUNTIF($D$2:$D$37,"&gt;"&amp;D24)+COUNTIF($D$2:D24,D24))</f>
        <v/>
      </c>
      <c r="F24">
        <f>IF(E24="","",IF(E24=1,Inputs!$B$53/2,IF(MOD(E24,2)=0,Inputs!$B$53/2+E24/2,Inputs!$B$53/2-(E24-1)/2)))</f>
        <v/>
      </c>
      <c r="H24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>
        <f>H24*Inputs!$B$8</f>
        <v/>
      </c>
    </row>
    <row r="25">
      <c r="A25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>
        <f>IF(D25="","",COUNTIF($D$2:$D$37,"&gt;"&amp;D25)+COUNTIF($D$2:D25,D25))</f>
        <v/>
      </c>
      <c r="F25">
        <f>IF(E25="","",IF(E25=1,Inputs!$B$53/2,IF(MOD(E25,2)=0,Inputs!$B$53/2+E25/2,Inputs!$B$53/2-(E25-1)/2)))</f>
        <v/>
      </c>
      <c r="H25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>
        <f>H25*Inputs!$B$8</f>
        <v/>
      </c>
    </row>
    <row r="26">
      <c r="A2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>
        <f>IF(D26="","",COUNTIF($D$2:$D$37,"&gt;"&amp;D26)+COUNTIF($D$2:D26,D26))</f>
        <v/>
      </c>
      <c r="F26">
        <f>IF(E26="","",IF(E26=1,Inputs!$B$53/2,IF(MOD(E26,2)=0,Inputs!$B$53/2+E26/2,Inputs!$B$53/2-(E26-1)/2)))</f>
        <v/>
      </c>
      <c r="H2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>
        <f>H26*Inputs!$B$8</f>
        <v/>
      </c>
    </row>
    <row r="27">
      <c r="A27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>
        <f>IF(D27="","",COUNTIF($D$2:$D$37,"&gt;"&amp;D27)+COUNTIF($D$2:D27,D27))</f>
        <v/>
      </c>
      <c r="F27">
        <f>IF(E27="","",IF(E27=1,Inputs!$B$53/2,IF(MOD(E27,2)=0,Inputs!$B$53/2+E27/2,Inputs!$B$53/2-(E27-1)/2)))</f>
        <v/>
      </c>
      <c r="H27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>
        <f>H27*Inputs!$B$8</f>
        <v/>
      </c>
    </row>
    <row r="28">
      <c r="A28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>
        <f>IF(D28="","",COUNTIF($D$2:$D$37,"&gt;"&amp;D28)+COUNTIF($D$2:D28,D28))</f>
        <v/>
      </c>
      <c r="F28">
        <f>IF(E28="","",IF(E28=1,Inputs!$B$53/2,IF(MOD(E28,2)=0,Inputs!$B$53/2+E28/2,Inputs!$B$53/2-(E28-1)/2)))</f>
        <v/>
      </c>
      <c r="H28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>
        <f>H28*Inputs!$B$8</f>
        <v/>
      </c>
    </row>
    <row r="29">
      <c r="A29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>
        <f>IF(D29="","",COUNTIF($D$2:$D$37,"&gt;"&amp;D29)+COUNTIF($D$2:D29,D29))</f>
        <v/>
      </c>
      <c r="F29">
        <f>IF(E29="","",IF(E29=1,Inputs!$B$53/2,IF(MOD(E29,2)=0,Inputs!$B$53/2+E29/2,Inputs!$B$53/2-(E29-1)/2)))</f>
        <v/>
      </c>
      <c r="H29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>
        <f>H29*Inputs!$B$8</f>
        <v/>
      </c>
    </row>
    <row r="30">
      <c r="A30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>
        <f>IF(D30="","",COUNTIF($D$2:$D$37,"&gt;"&amp;D30)+COUNTIF($D$2:D30,D30))</f>
        <v/>
      </c>
      <c r="F30">
        <f>IF(E30="","",IF(E30=1,Inputs!$B$53/2,IF(MOD(E30,2)=0,Inputs!$B$53/2+E30/2,Inputs!$B$53/2-(E30-1)/2)))</f>
        <v/>
      </c>
      <c r="H30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>
        <f>H30*Inputs!$B$8</f>
        <v/>
      </c>
    </row>
    <row r="31">
      <c r="A31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>
        <f>IF(D31="","",COUNTIF($D$2:$D$37,"&gt;"&amp;D31)+COUNTIF($D$2:D31,D31))</f>
        <v/>
      </c>
      <c r="F31">
        <f>IF(E31="","",IF(E31=1,Inputs!$B$53/2,IF(MOD(E31,2)=0,Inputs!$B$53/2+E31/2,Inputs!$B$53/2-(E31-1)/2)))</f>
        <v/>
      </c>
      <c r="H31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>
        <f>H31*Inputs!$B$8</f>
        <v/>
      </c>
    </row>
    <row r="32">
      <c r="A32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>
        <f>IF(D32="","",COUNTIF($D$2:$D$37,"&gt;"&amp;D32)+COUNTIF($D$2:D32,D32))</f>
        <v/>
      </c>
      <c r="F32">
        <f>IF(E32="","",IF(E32=1,Inputs!$B$53/2,IF(MOD(E32,2)=0,Inputs!$B$53/2+E32/2,Inputs!$B$53/2-(E32-1)/2)))</f>
        <v/>
      </c>
      <c r="H32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>
        <f>H32*Inputs!$B$8</f>
        <v/>
      </c>
    </row>
    <row r="33">
      <c r="A33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>
        <f>IF(D33="","",COUNTIF($D$2:$D$37,"&gt;"&amp;D33)+COUNTIF($D$2:D33,D33))</f>
        <v/>
      </c>
      <c r="F33">
        <f>IF(E33="","",IF(E33=1,Inputs!$B$53/2,IF(MOD(E33,2)=0,Inputs!$B$53/2+E33/2,Inputs!$B$53/2-(E33-1)/2)))</f>
        <v/>
      </c>
      <c r="H33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>
        <f>H33*Inputs!$B$8</f>
        <v/>
      </c>
    </row>
    <row r="34">
      <c r="A34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>
        <f>IF(D34="","",COUNTIF($D$2:$D$37,"&gt;"&amp;D34)+COUNTIF($D$2:D34,D34))</f>
        <v/>
      </c>
      <c r="F34">
        <f>IF(E34="","",IF(E34=1,Inputs!$B$53/2,IF(MOD(E34,2)=0,Inputs!$B$53/2+E34/2,Inputs!$B$53/2-(E34-1)/2)))</f>
        <v/>
      </c>
      <c r="H34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>
        <f>H34*Inputs!$B$8</f>
        <v/>
      </c>
    </row>
    <row r="35">
      <c r="A35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>
        <f>IF(D35="","",COUNTIF($D$2:$D$37,"&gt;"&amp;D35)+COUNTIF($D$2:D35,D35))</f>
        <v/>
      </c>
      <c r="F35">
        <f>IF(E35="","",IF(E35=1,Inputs!$B$53/2,IF(MOD(E35,2)=0,Inputs!$B$53/2+E35/2,Inputs!$B$53/2-(E35-1)/2)))</f>
        <v/>
      </c>
      <c r="H35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>
        <f>H35*Inputs!$B$8</f>
        <v/>
      </c>
    </row>
    <row r="36">
      <c r="A3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>
        <f>IF(D36="","",COUNTIF($D$2:$D$37,"&gt;"&amp;D36)+COUNTIF($D$2:D36,D36))</f>
        <v/>
      </c>
      <c r="F36">
        <f>IF(E36="","",IF(E36=1,Inputs!$B$53/2,IF(MOD(E36,2)=0,Inputs!$B$53/2+E36/2,Inputs!$B$53/2-(E36-1)/2)))</f>
        <v/>
      </c>
      <c r="H3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>
        <f>H36*Inputs!$B$8</f>
        <v/>
      </c>
    </row>
    <row r="37">
      <c r="A37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>
        <f>IF(D37="","",COUNTIF($D$2:$D$37,"&gt;"&amp;D37)+COUNTIF($D$2:D37,D37))</f>
        <v/>
      </c>
      <c r="F37">
        <f>IF(E37="","",IF(E37=1,Inputs!$B$53/2,IF(MOD(E37,2)=0,Inputs!$B$53/2+E37/2,Inputs!$B$53/2-(E37-1)/2)))</f>
        <v/>
      </c>
      <c r="H37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0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INDEX(IDF_Hyetograph!$D$2:$D$13, MATCH(U2, IDF_Hyetograph!$F$2:$F$13, 0))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INDEX(IDF_Hyetograph!$D$2:$D$13, MATCH(U3, IDF_Hyetograph!$F$2:$F$13, 0))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INDEX(IDF_Hyetograph!$D$2:$D$13, MATCH(U4, IDF_Hyetograph!$F$2:$F$13, 0))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INDEX(IDF_Hyetograph!$D$2:$D$13, MATCH(U5, IDF_Hyetograph!$F$2:$F$13, 0))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INDEX(IDF_Hyetograph!$D$2:$D$13, MATCH(U6, IDF_Hyetograph!$F$2:$F$13, 0))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INDEX(IDF_Hyetograph!$D$2:$D$13, MATCH(U7, IDF_Hyetograph!$F$2:$F$13, 0))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INDEX(IDF_Hyetograph!$D$2:$D$13, MATCH(U8, IDF_Hyetograph!$F$2:$F$13, 0))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INDEX(IDF_Hyetograph!$D$2:$D$13, MATCH(U9, IDF_Hyetograph!$F$2:$F$13, 0))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INDEX(IDF_Hyetograph!$D$2:$D$13, MATCH(U10, IDF_Hyetograph!$F$2:$F$13, 0))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INDEX(IDF_Hyetograph!$D$2:$D$13, MATCH(U11, IDF_Hyetograph!$F$2:$F$13, 0))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INDEX(IDF_Hyetograph!$D$2:$D$13, MATCH(U12, IDF_Hyetograph!$F$2:$F$13, 0))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INDEX(IDF_Hyetograph!$D$2:$D$13, MATCH(U13, IDF_Hyetograph!$F$2:$F$13, 0))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>
        <f>IF(A15="","",IF(AND(K15&gt;0,K14=0),1,0))</f>
        <v/>
      </c>
      <c r="O15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 t="inlineStr">
        <is>
          <t>Total_starts</t>
        </is>
      </c>
      <c r="O16" s="116">
        <f>INDEX(O:O,Inputs!$B$53+2)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SUM(C2:INDEX(C:C,Inputs!$B$53+2))*Inputs!$B$9</f>
        <v/>
      </c>
      <c r="D17" s="257">
        <f>INDEX(D:D,Inputs!$B$53+2)</f>
        <v/>
      </c>
      <c r="E17" s="258">
        <f>D17+H17-D2-H2</f>
        <v/>
      </c>
      <c r="F17" s="251">
        <f>IF(A17="","",MIN( D16/Inputs!$B$9, Inputs!$B$35*Inputs!$B$36*SQRT(2*Inputs!$B$37*MAX(E16-J16,0)) ))</f>
        <v/>
      </c>
      <c r="G17" s="259">
        <f>SUM(G2:INDEX(G:G,Inputs!$B$53+2))*Inputs!$B$9</f>
        <v/>
      </c>
      <c r="H17" s="260">
        <f>INDEX(H:H,Inputs!$B$53+2)</f>
        <v/>
      </c>
      <c r="I17" s="259">
        <f>SUM(I2:INDEX(I:I,Inputs!$B$53+2))*Inputs!$B$9</f>
        <v/>
      </c>
      <c r="J17" s="251">
        <f>IF(A17="","",Inputs!$B$40 + H17/Inputs!$B$42)</f>
        <v/>
      </c>
      <c r="K17">
        <f>IF(A17="","",IF(J16&gt;=Inputs!$B$47,2, IF(J16&gt;=Inputs!$B$45,1, IF(J16&lt;=Inputs!$B$46,0,K16))))</f>
        <v/>
      </c>
      <c r="L17" s="251">
        <f>IF(A17="","",K17*Inputs!$B$49)</f>
        <v/>
      </c>
      <c r="M17" s="259">
        <f>SUM(M2:INDEX(M:M,Inputs!$B$53+2))*Inputs!$B$9</f>
        <v/>
      </c>
      <c r="N17" s="116" t="inlineStr">
        <is>
          <t>Event_hours</t>
        </is>
      </c>
      <c r="O17" s="252">
        <f>Inputs!$B$52/60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 t="inlineStr">
        <is>
          <t>Starts_per_hr</t>
        </is>
      </c>
      <c r="O18" s="254">
        <f>IF(O17=0,"",O16/O17)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>
        <f>IF(ROW()&lt;=Inputs!$B$53+2,A18+Inputs!$B$8,"")</f>
        <v/>
      </c>
      <c r="B19" s="250" t="inlineStr">
        <is>
          <t>MassError_m3</t>
        </is>
      </c>
      <c r="C19" s="250">
        <f>C17-G17-I17-M17-E17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>
        <f>IF(A19="","",IF(AND(K19&gt;0,K18=0),1,0))</f>
        <v/>
      </c>
      <c r="O19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>
        <f>IF(A20="","",IF(AND(K20&gt;0,K19=0),1,0))</f>
        <v/>
      </c>
      <c r="O20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>
        <f>IF(A21="","",IF(AND(K21&gt;0,K20=0),1,0))</f>
        <v/>
      </c>
      <c r="O21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>
        <f>IF(A22="","",IF(AND(K22&gt;0,K21=0),1,0))</f>
        <v/>
      </c>
      <c r="O22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>
        <f>IF(A23="","",IF(AND(K23&gt;0,K22=0),1,0))</f>
        <v/>
      </c>
      <c r="O23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>
        <f>IF(A24="","",IF(AND(K24&gt;0,K23=0),1,0))</f>
        <v/>
      </c>
      <c r="O24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>
        <f>IF(A25="","",IF(AND(K25&gt;0,K24=0),1,0))</f>
        <v/>
      </c>
      <c r="O25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>
        <f>IF(A26="","",IF(AND(K26&gt;0,K25=0),1,0))</f>
        <v/>
      </c>
      <c r="O2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>
        <f>IF(A27="","",IF(AND(K27&gt;0,K26=0),1,0))</f>
        <v/>
      </c>
      <c r="O27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>
        <f>IF(A28="","",IF(AND(K28&gt;0,K27=0),1,0))</f>
        <v/>
      </c>
      <c r="O28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>
        <f>IF(A29="","",IF(AND(K29&gt;0,K28=0),1,0))</f>
        <v/>
      </c>
      <c r="O29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>
        <f>IF(A30="","",IF(AND(K30&gt;0,K29=0),1,0))</f>
        <v/>
      </c>
      <c r="O30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>
        <f>IF(A31="","",IF(AND(K31&gt;0,K30=0),1,0))</f>
        <v/>
      </c>
      <c r="O31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>
        <f>IF(A32="","",IF(AND(K32&gt;0,K31=0),1,0))</f>
        <v/>
      </c>
      <c r="O32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>
        <f>IF(A33="","",IF(AND(K33&gt;0,K32=0),1,0))</f>
        <v/>
      </c>
      <c r="O33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>
        <f>IF(A34="","",IF(AND(K34&gt;0,K33=0),1,0))</f>
        <v/>
      </c>
      <c r="O34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>
        <f>IF(A35="","",IF(AND(K35&gt;0,K34=0),1,0))</f>
        <v/>
      </c>
      <c r="O35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>
        <f>IF(A36="","",IF(AND(K36&gt;0,K35=0),1,0))</f>
        <v/>
      </c>
      <c r="O3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>
        <f>IF(A37="","",IF(AND(K37&gt;0,K36=0),1,0))</f>
        <v/>
      </c>
      <c r="O37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>
        <f>IF(A38="","",IF(AND(K38&gt;0,K37=0),1,0))</f>
        <v/>
      </c>
      <c r="O38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>
        <f>IF(A39="","",IF(AND(K39&gt;0,K38=0),1,0))</f>
        <v/>
      </c>
      <c r="O39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>
        <f>IF(A40="","",IF(AND(K40&gt;0,K39=0),1,0))</f>
        <v/>
      </c>
      <c r="O40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>
        <f>IF(A41="","",IF(AND(K41&gt;0,K40=0),1,0))</f>
        <v/>
      </c>
      <c r="O41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>
        <f>IF(A42="","",IF(AND(K42&gt;0,K41=0),1,0))</f>
        <v/>
      </c>
      <c r="O42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>
        <f>IF(A43="","",IF(AND(K43&gt;0,K42=0),1,0))</f>
        <v/>
      </c>
      <c r="O43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>
        <f>IF(A44="","",IF(AND(K44&gt;0,K43=0),1,0))</f>
        <v/>
      </c>
      <c r="O44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>
        <f>IF(A45="","",IF(AND(K45&gt;0,K44=0),1,0))</f>
        <v/>
      </c>
      <c r="O45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>
        <f>IF(A46="","",IF(AND(K46&gt;0,K45=0),1,0))</f>
        <v/>
      </c>
      <c r="O4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>
        <f>IF(A47="","",IF(AND(K47&gt;0,K46=0),1,0))</f>
        <v/>
      </c>
      <c r="O47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>
        <f>IF(A48="","",IF(AND(K48&gt;0,K47=0),1,0))</f>
        <v/>
      </c>
      <c r="O48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>
        <f>IF(A49="","",IF(AND(K49&gt;0,K48=0),1,0))</f>
        <v/>
      </c>
      <c r="O49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>
        <f>IF(A50="","",IF(AND(K50&gt;0,K49=0),1,0))</f>
        <v/>
      </c>
      <c r="O50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>
        <f>IF(A51="","",IF(AND(K51&gt;0,K50=0),1,0))</f>
        <v/>
      </c>
      <c r="O51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>
        <f>IF(A52="","",IF(AND(K52&gt;0,K51=0),1,0))</f>
        <v/>
      </c>
      <c r="O52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>
        <f>IF(A53="","",IF(AND(K53&gt;0,K52=0),1,0))</f>
        <v/>
      </c>
      <c r="O53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>
        <f>IF(A54="","",IF(AND(K54&gt;0,K53=0),1,0))</f>
        <v/>
      </c>
      <c r="O54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>
        <f>IF(A55="","",IF(AND(K55&gt;0,K54=0),1,0))</f>
        <v/>
      </c>
      <c r="O55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>
        <f>IF(A56="","",IF(AND(K56&gt;0,K55=0),1,0))</f>
        <v/>
      </c>
      <c r="O5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>
        <f>IF(A57="","",IF(AND(K57&gt;0,K56=0),1,0))</f>
        <v/>
      </c>
      <c r="O57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>
        <f>IF(A58="","",IF(AND(K58&gt;0,K57=0),1,0))</f>
        <v/>
      </c>
      <c r="O58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>
        <f>IF(A59="","",IF(AND(K59&gt;0,K58=0),1,0))</f>
        <v/>
      </c>
      <c r="O59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>
        <f>IF(A60="","",IF(AND(K60&gt;0,K59=0),1,0))</f>
        <v/>
      </c>
      <c r="O60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>
        <f>IF(A61="","",IF(AND(K61&gt;0,K60=0),1,0))</f>
        <v/>
      </c>
      <c r="O61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>
        <f>IF(A62="","",IF(AND(K62&gt;0,K61=0),1,0))</f>
        <v/>
      </c>
      <c r="O62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>
        <f>IF(A63="","",IF(AND(K63&gt;0,K62=0),1,0))</f>
        <v/>
      </c>
      <c r="O63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>
        <f>IF(A64="","",IF(AND(K64&gt;0,K63=0),1,0))</f>
        <v/>
      </c>
      <c r="O64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>
        <f>IF(A65="","",IF(AND(K65&gt;0,K64=0),1,0))</f>
        <v/>
      </c>
      <c r="O65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>
        <f>IF(A66="","",IF(AND(K66&gt;0,K65=0),1,0))</f>
        <v/>
      </c>
      <c r="O6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>
        <f>IF(A67="","",IF(AND(K67&gt;0,K66=0),1,0))</f>
        <v/>
      </c>
      <c r="O67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>
        <f>IF(A68="","",IF(AND(K68&gt;0,K67=0),1,0))</f>
        <v/>
      </c>
      <c r="O68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>
        <f>IF(A69="","",IF(AND(K69&gt;0,K68=0),1,0))</f>
        <v/>
      </c>
      <c r="O69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>
        <f>IF(A70="","",IF(AND(K70&gt;0,K69=0),1,0))</f>
        <v/>
      </c>
      <c r="O70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>
        <f>IF(A71="","",IF(AND(K71&gt;0,K70=0),1,0))</f>
        <v/>
      </c>
      <c r="O71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>
        <f>IF(A72="","",IF(AND(K72&gt;0,K71=0),1,0))</f>
        <v/>
      </c>
      <c r="O72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>
        <f>IF(A73="","",IF(AND(K73&gt;0,K72=0),1,0))</f>
        <v/>
      </c>
      <c r="O73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>
        <f>IF(A74="","",IF(AND(K74&gt;0,K73=0),1,0))</f>
        <v/>
      </c>
      <c r="O74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>
        <f>IF(A75="","",IF(AND(K75&gt;0,K74=0),1,0))</f>
        <v/>
      </c>
      <c r="O75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>
        <f>IF(A76="","",IF(AND(K76&gt;0,K75=0),1,0))</f>
        <v/>
      </c>
      <c r="O7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>
        <f>IF(A77="","",IF(AND(K77&gt;0,K76=0),1,0))</f>
        <v/>
      </c>
      <c r="O77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>
        <f>IF(A78="","",IF(AND(K78&gt;0,K77=0),1,0))</f>
        <v/>
      </c>
      <c r="O78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>
        <f>IF(A79="","",IF(AND(K79&gt;0,K78=0),1,0))</f>
        <v/>
      </c>
      <c r="O79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>
        <f>IF(A80="","",IF(AND(K80&gt;0,K79=0),1,0))</f>
        <v/>
      </c>
      <c r="O80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>
        <f>IF(A81="","",IF(AND(K81&gt;0,K80=0),1,0))</f>
        <v/>
      </c>
      <c r="O81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>
        <f>IF(A82="","",IF(AND(K82&gt;0,K81=0),1,0))</f>
        <v/>
      </c>
      <c r="O82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>
        <f>IF(A83="","",IF(AND(K83&gt;0,K82=0),1,0))</f>
        <v/>
      </c>
      <c r="O83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>
        <f>IF(A84="","",IF(AND(K84&gt;0,K83=0),1,0))</f>
        <v/>
      </c>
      <c r="O84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>
        <f>IF(A85="","",IF(AND(K85&gt;0,K84=0),1,0))</f>
        <v/>
      </c>
      <c r="O85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>
        <f>IF(A86="","",IF(AND(K86&gt;0,K85=0),1,0))</f>
        <v/>
      </c>
      <c r="O8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>
        <f>IF(A87="","",IF(AND(K87&gt;0,K86=0),1,0))</f>
        <v/>
      </c>
      <c r="O87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>
        <f>IF(A88="","",IF(AND(K88&gt;0,K87=0),1,0))</f>
        <v/>
      </c>
      <c r="O88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>
        <f>IF(A89="","",IF(AND(K89&gt;0,K88=0),1,0))</f>
        <v/>
      </c>
      <c r="O89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>
        <f>IF(A90="","",IF(AND(K90&gt;0,K89=0),1,0))</f>
        <v/>
      </c>
      <c r="O90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>
        <f>IF(A91="","",IF(AND(K91&gt;0,K90=0),1,0))</f>
        <v/>
      </c>
      <c r="O91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>
        <f>IF(A92="","",IF(AND(K92&gt;0,K91=0),1,0))</f>
        <v/>
      </c>
      <c r="O92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>
        <f>IF(A93="","",IF(AND(K93&gt;0,K92=0),1,0))</f>
        <v/>
      </c>
      <c r="O93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>
        <f>IF(A94="","",IF(AND(K94&gt;0,K93=0),1,0))</f>
        <v/>
      </c>
      <c r="O94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>
        <f>IF(A95="","",IF(AND(K95&gt;0,K94=0),1,0))</f>
        <v/>
      </c>
      <c r="O95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>
        <f>IF(A96="","",IF(AND(K96&gt;0,K95=0),1,0))</f>
        <v/>
      </c>
      <c r="O9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>
        <f>IF(A97="","",IF(AND(K97&gt;0,K96=0),1,0))</f>
        <v/>
      </c>
      <c r="O97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>
        <f>IF(A98="","",IF(AND(K98&gt;0,K97=0),1,0))</f>
        <v/>
      </c>
      <c r="O98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>
        <f>IF(A99="","",IF(AND(K99&gt;0,K98=0),1,0))</f>
        <v/>
      </c>
      <c r="O99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>
        <f>IF(A100="","",IF(AND(K100&gt;0,K99=0),1,0))</f>
        <v/>
      </c>
      <c r="O100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>
        <f>IF(A101="","",IF(AND(K101&gt;0,K100=0),1,0))</f>
        <v/>
      </c>
      <c r="O101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>
        <f>IF(A102="","",IF(AND(K102&gt;0,K101=0),1,0))</f>
        <v/>
      </c>
      <c r="O102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>
        <f>IF(A103="","",IF(AND(K103&gt;0,K102=0),1,0))</f>
        <v/>
      </c>
      <c r="O103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>
        <f>IF(A104="","",IF(AND(K104&gt;0,K103=0),1,0))</f>
        <v/>
      </c>
      <c r="O104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>
        <f>IF(A105="","",IF(AND(K105&gt;0,K104=0),1,0))</f>
        <v/>
      </c>
      <c r="O105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>
        <f>IF(A106="","",IF(AND(K106&gt;0,K105=0),1,0))</f>
        <v/>
      </c>
      <c r="O10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>
        <f>IF(A107="","",IF(AND(K107&gt;0,K106=0),1,0))</f>
        <v/>
      </c>
      <c r="O107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>
        <f>IF(A108="","",IF(AND(K108&gt;0,K107=0),1,0))</f>
        <v/>
      </c>
      <c r="O108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>
        <f>IF(A109="","",IF(AND(K109&gt;0,K108=0),1,0))</f>
        <v/>
      </c>
      <c r="O109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>
        <f>IF(A110="","",IF(AND(K110&gt;0,K109=0),1,0))</f>
        <v/>
      </c>
      <c r="O110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>
        <f>IF(A111="","",IF(AND(K111&gt;0,K110=0),1,0))</f>
        <v/>
      </c>
      <c r="O111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>
        <f>IF(A112="","",IF(AND(K112&gt;0,K111=0),1,0))</f>
        <v/>
      </c>
      <c r="O112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>
        <f>IF(A113="","",IF(AND(K113&gt;0,K112=0),1,0))</f>
        <v/>
      </c>
      <c r="O113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>
        <f>IF(A114="","",IF(AND(K114&gt;0,K113=0),1,0))</f>
        <v/>
      </c>
      <c r="O114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>
        <f>IF(A115="","",IF(AND(K115&gt;0,K114=0),1,0))</f>
        <v/>
      </c>
      <c r="O115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>
        <f>IF(A116="","",IF(AND(K116&gt;0,K115=0),1,0))</f>
        <v/>
      </c>
      <c r="O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>
        <f>IF(A117="","",IF(AND(K117&gt;0,K116=0),1,0))</f>
        <v/>
      </c>
      <c r="O117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>
        <f>IF(A118="","",IF(AND(K118&gt;0,K117=0),1,0))</f>
        <v/>
      </c>
      <c r="O118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>
        <f>IF(A119="","",IF(AND(K119&gt;0,K118=0),1,0))</f>
        <v/>
      </c>
      <c r="O119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>
        <f>IF(A120="","",IF(AND(K120&gt;0,K119=0),1,0))</f>
        <v/>
      </c>
      <c r="O120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>
        <f>IF(A121="","",IF(AND(K121&gt;0,K120=0),1,0))</f>
        <v/>
      </c>
      <c r="O121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>
        <f>IF(A122="","",IF(AND(K122&gt;0,K121=0),1,0))</f>
        <v/>
      </c>
      <c r="O122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>
        <f>IF(A123="","",IF(AND(K123&gt;0,K122=0),1,0))</f>
        <v/>
      </c>
      <c r="O123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>
        <f>IF(A124="","",IF(AND(K124&gt;0,K123=0),1,0))</f>
        <v/>
      </c>
      <c r="O124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>
        <f>IF(A125="","",IF(AND(K125&gt;0,K124=0),1,0))</f>
        <v/>
      </c>
      <c r="O125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>
        <f>IF(A126="","",IF(AND(K126&gt;0,K125=0),1,0))</f>
        <v/>
      </c>
      <c r="O12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>
        <f>IF(A127="","",IF(AND(K127&gt;0,K126=0),1,0))</f>
        <v/>
      </c>
      <c r="O127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>
        <f>IF(A128="","",IF(AND(K128&gt;0,K127=0),1,0))</f>
        <v/>
      </c>
      <c r="O128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>
        <f>IF(A129="","",IF(AND(K129&gt;0,K128=0),1,0))</f>
        <v/>
      </c>
      <c r="O129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>
        <f>IF(A130="","",IF(AND(K130&gt;0,K129=0),1,0))</f>
        <v/>
      </c>
      <c r="O130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>
        <f>IF(A131="","",IF(AND(K131&gt;0,K130=0),1,0))</f>
        <v/>
      </c>
      <c r="O131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>
        <f>IF(A132="","",IF(AND(K132&gt;0,K131=0),1,0))</f>
        <v/>
      </c>
      <c r="O132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>
        <f>IF(A133="","",IF(AND(K133&gt;0,K132=0),1,0))</f>
        <v/>
      </c>
      <c r="O133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>
        <f>IF(A134="","",IF(AND(K134&gt;0,K133=0),1,0))</f>
        <v/>
      </c>
      <c r="O134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>
        <f>IF(A135="","",IF(AND(K135&gt;0,K134=0),1,0))</f>
        <v/>
      </c>
      <c r="O135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>
        <f>IF(A136="","",IF(AND(K136&gt;0,K135=0),1,0))</f>
        <v/>
      </c>
      <c r="O13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>
        <f>IF(A137="","",IF(AND(K137&gt;0,K136=0),1,0))</f>
        <v/>
      </c>
      <c r="O137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>
        <f>IF(A138="","",IF(AND(K138&gt;0,K137=0),1,0))</f>
        <v/>
      </c>
      <c r="O138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>
        <f>IF(A139="","",IF(AND(K139&gt;0,K138=0),1,0))</f>
        <v/>
      </c>
      <c r="O139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>
        <f>IF(A140="","",IF(AND(K140&gt;0,K139=0),1,0))</f>
        <v/>
      </c>
      <c r="O140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>
        <f>IF(A141="","",IF(AND(K141&gt;0,K140=0),1,0))</f>
        <v/>
      </c>
      <c r="O141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>
        <f>IF(A142="","",IF(AND(K142&gt;0,K141=0),1,0))</f>
        <v/>
      </c>
      <c r="O142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>
        <f>IF(A143="","",IF(AND(K143&gt;0,K142=0),1,0))</f>
        <v/>
      </c>
      <c r="O143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>
        <f>IF(A144="","",IF(AND(K144&gt;0,K143=0),1,0))</f>
        <v/>
      </c>
      <c r="O144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>
        <f>IF(A145="","",IF(AND(K145&gt;0,K144=0),1,0))</f>
        <v/>
      </c>
      <c r="O145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>
        <f>IF(A146="","",IF(AND(K146&gt;0,K145=0),1,0))</f>
        <v/>
      </c>
      <c r="O14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>
        <f>IF(A147="","",IF(AND(K147&gt;0,K146=0),1,0))</f>
        <v/>
      </c>
      <c r="O147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>
        <f>IF(A148="","",IF(AND(K148&gt;0,K147=0),1,0))</f>
        <v/>
      </c>
      <c r="O148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>
        <f>IF(A149="","",IF(AND(K149&gt;0,K148=0),1,0))</f>
        <v/>
      </c>
      <c r="O149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>
        <f>IF(A150="","",IF(AND(K150&gt;0,K149=0),1,0))</f>
        <v/>
      </c>
      <c r="O150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>
        <f>IF(A151="","",IF(AND(K151&gt;0,K150=0),1,0))</f>
        <v/>
      </c>
      <c r="O151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>
        <f>IF(A152="","",IF(AND(K152&gt;0,K151=0),1,0))</f>
        <v/>
      </c>
      <c r="O152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>
        <f>IF(A153="","",IF(AND(K153&gt;0,K152=0),1,0))</f>
        <v/>
      </c>
      <c r="O153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>
        <f>IF(A154="","",IF(AND(K154&gt;0,K153=0),1,0))</f>
        <v/>
      </c>
      <c r="O154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>
        <f>IF(A155="","",IF(AND(K155&gt;0,K154=0),1,0))</f>
        <v/>
      </c>
      <c r="O155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>
        <f>IF(A156="","",IF(AND(K156&gt;0,K155=0),1,0))</f>
        <v/>
      </c>
      <c r="O15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>
        <f>IF(A157="","",IF(AND(K157&gt;0,K156=0),1,0))</f>
        <v/>
      </c>
      <c r="O157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>
        <f>IF(A158="","",IF(AND(K158&gt;0,K157=0),1,0))</f>
        <v/>
      </c>
      <c r="O158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>
        <f>IF(A159="","",IF(AND(K159&gt;0,K158=0),1,0))</f>
        <v/>
      </c>
      <c r="O159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>
        <f>IF(A160="","",IF(AND(K160&gt;0,K159=0),1,0))</f>
        <v/>
      </c>
      <c r="O160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>
        <f>IF(A161="","",IF(AND(K161&gt;0,K160=0),1,0))</f>
        <v/>
      </c>
      <c r="O161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>
        <f>IF(A162="","",IF(AND(K162&gt;0,K161=0),1,0))</f>
        <v/>
      </c>
      <c r="O162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>
        <f>IF(A163="","",IF(AND(K163&gt;0,K162=0),1,0))</f>
        <v/>
      </c>
      <c r="O163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>
        <f>IF(A164="","",IF(AND(K164&gt;0,K163=0),1,0))</f>
        <v/>
      </c>
      <c r="O164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>
        <f>IF(A165="","",IF(AND(K165&gt;0,K164=0),1,0))</f>
        <v/>
      </c>
      <c r="O165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>
        <f>IF(A166="","",IF(AND(K166&gt;0,K165=0),1,0))</f>
        <v/>
      </c>
      <c r="O16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>
        <f>IF(A167="","",IF(AND(K167&gt;0,K166=0),1,0))</f>
        <v/>
      </c>
      <c r="O167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>
        <f>IF(A168="","",IF(AND(K168&gt;0,K167=0),1,0))</f>
        <v/>
      </c>
      <c r="O168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>
        <f>IF(A169="","",IF(AND(K169&gt;0,K168=0),1,0))</f>
        <v/>
      </c>
      <c r="O169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>
        <f>IF(A170="","",IF(AND(K170&gt;0,K169=0),1,0))</f>
        <v/>
      </c>
      <c r="O170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>
        <f>IF(A171="","",IF(AND(K171&gt;0,K170=0),1,0))</f>
        <v/>
      </c>
      <c r="O171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>
        <f>IF(A172="","",IF(AND(K172&gt;0,K171=0),1,0))</f>
        <v/>
      </c>
      <c r="O172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>
        <f>IF(A173="","",IF(AND(K173&gt;0,K172=0),1,0))</f>
        <v/>
      </c>
      <c r="O173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>
        <f>IF(A174="","",IF(AND(K174&gt;0,K173=0),1,0))</f>
        <v/>
      </c>
      <c r="O174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>
        <f>IF(A175="","",IF(AND(K175&gt;0,K174=0),1,0))</f>
        <v/>
      </c>
      <c r="O175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>
        <f>IF(A176="","",IF(AND(K176&gt;0,K175=0),1,0))</f>
        <v/>
      </c>
      <c r="O17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>
        <f>IF(A177="","",IF(AND(K177&gt;0,K176=0),1,0))</f>
        <v/>
      </c>
      <c r="O177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>
        <f>IF(A178="","",IF(AND(K178&gt;0,K177=0),1,0))</f>
        <v/>
      </c>
      <c r="O178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>
        <f>IF(A179="","",IF(AND(K179&gt;0,K178=0),1,0))</f>
        <v/>
      </c>
      <c r="O179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>
        <f>IF(A180="","",IF(AND(K180&gt;0,K179=0),1,0))</f>
        <v/>
      </c>
      <c r="O180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>
        <f>IF(A181="","",IF(AND(K181&gt;0,K180=0),1,0))</f>
        <v/>
      </c>
      <c r="O181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>
        <f>IF(A182="","",IF(AND(K182&gt;0,K181=0),1,0))</f>
        <v/>
      </c>
      <c r="O182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>
        <f>IF(A183="","",IF(AND(K183&gt;0,K182=0),1,0))</f>
        <v/>
      </c>
      <c r="O183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>
        <f>IF(A184="","",IF(AND(K184&gt;0,K183=0),1,0))</f>
        <v/>
      </c>
      <c r="O184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>
        <f>IF(A185="","",IF(AND(K185&gt;0,K184=0),1,0))</f>
        <v/>
      </c>
      <c r="O185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>
        <f>IF(A186="","",IF(AND(K186&gt;0,K185=0),1,0))</f>
        <v/>
      </c>
      <c r="O18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>
        <f>IF(A187="","",IF(AND(K187&gt;0,K186=0),1,0))</f>
        <v/>
      </c>
      <c r="O187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>
        <f>IF(A188="","",IF(AND(K188&gt;0,K187=0),1,0))</f>
        <v/>
      </c>
      <c r="O188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>
        <f>IF(A189="","",IF(AND(K189&gt;0,K188=0),1,0))</f>
        <v/>
      </c>
      <c r="O189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>
        <f>IF(A190="","",IF(AND(K190&gt;0,K189=0),1,0))</f>
        <v/>
      </c>
      <c r="O190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>
        <f>IF(A191="","",IF(AND(K191&gt;0,K190=0),1,0))</f>
        <v/>
      </c>
      <c r="O191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>
        <f>IF(A192="","",IF(AND(K192&gt;0,K191=0),1,0))</f>
        <v/>
      </c>
      <c r="O192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>
        <f>IF(A193="","",IF(AND(K193&gt;0,K192=0),1,0))</f>
        <v/>
      </c>
      <c r="O193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>
        <f>IF(A194="","",IF(AND(K194&gt;0,K193=0),1,0))</f>
        <v/>
      </c>
      <c r="O194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>
        <f>IF(A195="","",IF(AND(K195&gt;0,K194=0),1,0))</f>
        <v/>
      </c>
      <c r="O195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>
        <f>IF(A196="","",IF(AND(K196&gt;0,K195=0),1,0))</f>
        <v/>
      </c>
      <c r="O19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>
        <f>IF(A197="","",IF(AND(K197&gt;0,K196=0),1,0))</f>
        <v/>
      </c>
      <c r="O197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>
        <f>IF(A198="","",IF(AND(K198&gt;0,K197=0),1,0))</f>
        <v/>
      </c>
      <c r="O198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>
        <f>IF(A199="","",IF(AND(K199&gt;0,K198=0),1,0))</f>
        <v/>
      </c>
      <c r="O199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>
        <f>IF(A200="","",IF(AND(K200&gt;0,K199=0),1,0))</f>
        <v/>
      </c>
      <c r="O200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INDEX(Routing!$O:$O,Inputs!$B$53+2)</f>
        <v/>
      </c>
    </row>
    <row r="32" ht="25.5" customHeight="1" s="117">
      <c r="A32" s="189" t="inlineStr">
        <is>
          <t>Durée de l’événement (h)</t>
        </is>
      </c>
      <c r="B32" s="265">
        <f>Inputs!$B$52/60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2026-06-08T01:12:45Z</dcterms:modified>
  <cp:revision>77</cp:revision>
</cp:coreProperties>
</file>