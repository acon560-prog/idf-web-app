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e" sheetId="1" state="visible" r:id="rId1"/>
    <sheet name="Calcul_simplifie" sheetId="2" state="visible" r:id="rId2"/>
    <sheet name="Coefficients_entree" sheetId="3" state="visible" r:id="rId3"/>
    <sheet name="Controle_HY8" sheetId="4" state="visible" r:id="rId4"/>
    <sheet name="Exemple_HY8" sheetId="5" state="visible" r:id="rId5"/>
  </sheets>
  <definedNames>
    <definedName name="_xlnm.Print_Titles" localSheetId="1">'Calcul_simplifie'!$1:$2</definedName>
    <definedName name="_xlnm.Print_Titles" localSheetId="3">'Controle_HY8'!$1:$2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  <color rgb="001F4E79"/>
      <sz val="12"/>
    </font>
    <font>
      <b val="1"/>
      <color rgb="00FFFFFF"/>
    </font>
    <font>
      <b val="1"/>
    </font>
    <font>
      <b val="1"/>
      <i val="1"/>
    </font>
    <font>
      <i val="1"/>
      <color rgb="00666666"/>
    </font>
    <font>
      <name val="Calibri"/>
      <b val="1"/>
      <color rgb="00FFFFFF"/>
      <sz val="12"/>
    </font>
    <font>
      <name val="Calibri"/>
      <color rgb="000000AA"/>
      <sz val="11"/>
    </font>
    <font>
      <name val="Calibri"/>
      <b val="1"/>
      <sz val="11"/>
    </font>
    <font>
      <i val="1"/>
      <color rgb="00C65911"/>
    </font>
    <font>
      <b val="1"/>
      <sz val="12"/>
    </font>
    <font>
      <b val="1"/>
      <color rgb="001F4E7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0" fillId="0" borderId="1" pivotButton="0" quotePrefix="0" xfId="0"/>
    <xf numFmtId="0" fontId="8" fillId="3" borderId="1" pivotButton="0" quotePrefix="0" xfId="0"/>
    <xf numFmtId="2" fontId="8" fillId="3" borderId="1" pivotButton="0" quotePrefix="0" xfId="0"/>
    <xf numFmtId="164" fontId="8" fillId="3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0" fontId="0" fillId="7" borderId="1" pivotButton="0" quotePrefix="0" xfId="0"/>
    <xf numFmtId="2" fontId="9" fillId="4" borderId="1" pivotButton="0" quotePrefix="0" xfId="0"/>
    <xf numFmtId="10" fontId="9" fillId="4" borderId="1" pivotButton="0" quotePrefix="0" xfId="0"/>
    <xf numFmtId="0" fontId="0" fillId="8" borderId="1" pivotButton="0" quotePrefix="0" xfId="0"/>
    <xf numFmtId="164" fontId="0" fillId="8" borderId="1" pivotButton="0" quotePrefix="0" xfId="0"/>
    <xf numFmtId="0" fontId="10" fillId="0" borderId="0" pivotButton="0" quotePrefix="0" xfId="0"/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8" borderId="1" pivotButton="0" quotePrefix="0" xfId="0"/>
    <xf numFmtId="0" fontId="11" fillId="5" borderId="1" pivotButton="0" quotePrefix="0" xfId="0"/>
    <xf numFmtId="0" fontId="12" fillId="0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1F4E79"/>
      </font>
      <fill>
        <patternFill patternType="solid">
          <fgColor rgb="00BDD7EE"/>
        </patternFill>
      </fill>
    </dxf>
    <dxf>
      <font>
        <b val="1"/>
        <color rgb="00C65911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Modèle Excel – Capacité de ponceau (Sainte-Thérèse)</t>
        </is>
      </c>
    </row>
    <row r="3">
      <c r="A3" s="2" t="inlineStr">
        <is>
          <t>Objectif</t>
        </is>
      </c>
    </row>
    <row r="4" ht="48" customHeight="1">
      <c r="A4" s="3" t="inlineStr">
        <is>
          <t>Ce classeur calcule le débit de pointe du bassin (méthode rationnelle), estime la capacité du ponceau (Manning, section pleine), puis détermine si le contrôle est à l'entrée (inlet) ou à la sortie (outlet) selon l'approche HDS-5 / HY-8. Il indique enfin si le ponceau est Suffisant ou Insuffisant.</t>
        </is>
      </c>
    </row>
    <row r="5"/>
    <row r="6"/>
    <row r="8">
      <c r="A8" s="2" t="inlineStr">
        <is>
          <t>Feuilles du classeur</t>
        </is>
      </c>
    </row>
    <row r="9">
      <c r="A9" s="4" t="inlineStr">
        <is>
          <t>Feuille</t>
        </is>
      </c>
      <c r="B9" s="4" t="inlineStr">
        <is>
          <t>Contenu</t>
        </is>
      </c>
    </row>
    <row r="10" ht="36" customHeight="1">
      <c r="A10" s="5" t="inlineStr">
        <is>
          <t>Calcul_simplifie</t>
        </is>
      </c>
      <c r="B10" s="6" t="inlineStr">
        <is>
          <t>Validation rapide: Q entrant (rationnel) vs capacité Manning pleine section. Vérification 25 ans et 100 ans.</t>
        </is>
      </c>
    </row>
    <row r="11" ht="36" customHeight="1">
      <c r="A11" s="5" t="inlineStr">
        <is>
          <t>Controle_HY8</t>
        </is>
      </c>
      <c r="B11" s="6" t="inlineStr">
        <is>
          <t>Analyse inlet/outlet control (HDS-5): profondeur d'eau amont, type de contrôle, comparaison au couronnement et à la route.</t>
        </is>
      </c>
    </row>
    <row r="12" ht="36" customHeight="1">
      <c r="A12" s="5" t="inlineStr">
        <is>
          <t>Coefficients_entree</t>
        </is>
      </c>
      <c r="B12" s="6" t="inlineStr">
        <is>
          <t>Coefficients K, M, c, Y pour plusieurs configurations d'entrée (tuyau circulaire béton).</t>
        </is>
      </c>
    </row>
    <row r="13" ht="36" customHeight="1">
      <c r="A13" s="5" t="inlineStr">
        <is>
          <t>Exemple_HY8</t>
        </is>
      </c>
      <c r="B13" s="6" t="inlineStr">
        <is>
          <t>Valeurs préremplies correspondant à votre cas HY-8 (D=0.9 m, Q=0.59 m³/s) pour vérification.</t>
        </is>
      </c>
    </row>
    <row r="15">
      <c r="A15" s="2" t="inlineStr">
        <is>
          <t>Formules principales</t>
        </is>
      </c>
    </row>
    <row r="16">
      <c r="A16" t="inlineStr">
        <is>
          <t>1) Méthode rationnelle (A en m²):</t>
        </is>
      </c>
    </row>
    <row r="17">
      <c r="A17" s="7" t="inlineStr">
        <is>
          <t>Q_entrant = C × i × A / 3 600 000</t>
        </is>
      </c>
    </row>
    <row r="18">
      <c r="A18" t="inlineStr">
        <is>
          <t>avec Q en m³/s, i en mm/h, A en m². Équivalent: Q = 0.00278 × C × i × A_ha si A est en hectares.</t>
        </is>
      </c>
    </row>
    <row r="20">
      <c r="A20" t="inlineStr">
        <is>
          <t>2) Capacité Manning (tuyau circulaire plein):</t>
        </is>
      </c>
    </row>
    <row r="21">
      <c r="A21" s="7" t="inlineStr">
        <is>
          <t>Q_cap = (1/n) × A × R^(2/3) × S^(1/2)</t>
        </is>
      </c>
    </row>
    <row r="22">
      <c r="A22" t="inlineStr">
        <is>
          <t>A = π D² / 4    |    R = D / 4    |    S = pente (m/m)</t>
        </is>
      </c>
    </row>
    <row r="24">
      <c r="A24" t="inlineStr">
        <is>
          <t>3) Contrôle à l'entrée / à la sortie (HDS-5):</t>
        </is>
      </c>
    </row>
    <row r="25" ht="70" customHeight="1">
      <c r="A25" s="3" t="inlineStr">
        <is>
          <t>• Inlet control: HW/D à partir des équations FHWA (coefficients K, M, c, Y).
• Outlet control: pertes H = [1+Ke+29 n² L / R^(4/3)] × V²/(2g), puis HW = H + h_o − L S.
• Contrôle déterminant = profondeur HW la plus élevée (inlet vs outlet).
• Verdict capacité: Suffisant si Q_Manning ≥ Q_entrant (validation rapide) ET HW &lt; crête de route (contrôle hydraulique).</t>
        </is>
      </c>
    </row>
    <row r="26"/>
    <row r="27"/>
    <row r="28"/>
    <row r="30">
      <c r="A30" s="2" t="inlineStr">
        <is>
          <t>Code couleur</t>
        </is>
      </c>
    </row>
    <row r="31">
      <c r="A31" s="8" t="inlineStr">
        <is>
          <t>Jaune = saisie utilisateur</t>
        </is>
      </c>
    </row>
    <row r="32">
      <c r="A32" s="9" t="inlineStr">
        <is>
          <t>Vert = résultat calculé</t>
        </is>
      </c>
    </row>
    <row r="33">
      <c r="A33" s="10" t="inlineStr">
        <is>
          <t>Orange = attention / valeur intermédiaire importante</t>
        </is>
      </c>
    </row>
    <row r="35">
      <c r="A35" s="2" t="inlineStr">
        <is>
          <t>Limites (comme dans votre note)</t>
        </is>
      </c>
    </row>
    <row r="36">
      <c r="A36" s="3" t="inlineStr">
        <is>
          <t>Ce modèle est une première validation. Pour un ponceau existant avec enjeux de stabilité, il faut aussi examiner: hauteur d'eau amont admissible, affouillement, protection de berges, dissipation d'énergie, et idéalement confirmer avec HY-8 / HDS-5.</t>
        </is>
      </c>
    </row>
    <row r="37"/>
    <row r="38"/>
  </sheetData>
  <mergeCells count="4">
    <mergeCell ref="A36:G38"/>
    <mergeCell ref="A1:G1"/>
    <mergeCell ref="A4:G6"/>
    <mergeCell ref="A25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62" customWidth="1" min="4" max="4"/>
  </cols>
  <sheetData>
    <row r="1" ht="26" customHeight="1">
      <c r="A1" s="1" t="inlineStr">
        <is>
          <t>Validation rapide – Méthode rationnelle + capacité Manning</t>
        </is>
      </c>
    </row>
    <row r="2">
      <c r="A2" s="11" t="inlineStr">
        <is>
          <t>Remplir uniquement les cellules jaunes. Les résultats se mettent à jour automatiquement.</t>
        </is>
      </c>
    </row>
    <row r="4" ht="22" customHeight="1">
      <c r="A4" s="12" t="inlineStr">
        <is>
          <t>0. Identification du projet</t>
        </is>
      </c>
      <c r="B4" s="37" t="n"/>
      <c r="C4" s="37" t="n"/>
      <c r="D4" s="37" t="n"/>
      <c r="E4" s="37" t="n"/>
      <c r="F4" s="38" t="n"/>
    </row>
    <row r="5">
      <c r="A5" s="4" t="inlineStr">
        <is>
          <t>Paramètre</t>
        </is>
      </c>
      <c r="B5" s="4" t="inlineStr">
        <is>
          <t>Valeur</t>
        </is>
      </c>
      <c r="C5" s="4" t="inlineStr">
        <is>
          <t>Unité / remarque</t>
        </is>
      </c>
    </row>
    <row r="6">
      <c r="A6" s="14" t="inlineStr">
        <is>
          <t>Projet / site</t>
        </is>
      </c>
      <c r="B6" s="15" t="inlineStr">
        <is>
          <t>Ponceau – Sainte-Thérèse / Ruisseau Charron</t>
        </is>
      </c>
      <c r="C6" s="14" t="inlineStr">
        <is>
          <t>texte</t>
        </is>
      </c>
    </row>
    <row r="7">
      <c r="A7" s="14" t="inlineStr">
        <is>
          <t>Analyse principale</t>
        </is>
      </c>
      <c r="B7" s="15" t="inlineStr">
        <is>
          <t>25 ans</t>
        </is>
      </c>
      <c r="C7" s="14" t="inlineStr">
        <is>
          <t>période de retour</t>
        </is>
      </c>
    </row>
    <row r="8">
      <c r="A8" s="14" t="inlineStr">
        <is>
          <t>Vérification sécurité</t>
        </is>
      </c>
      <c r="B8" s="15" t="inlineStr">
        <is>
          <t>100 ans</t>
        </is>
      </c>
      <c r="C8" s="14" t="inlineStr">
        <is>
          <t>période de retour</t>
        </is>
      </c>
    </row>
    <row r="9">
      <c r="A9" s="14" t="inlineStr">
        <is>
          <t>Notes</t>
        </is>
      </c>
      <c r="B9" s="15" t="inlineStr">
        <is>
          <t>Première validation selon workflow rationnel + Manning</t>
        </is>
      </c>
      <c r="C9" s="14" t="inlineStr">
        <is>
          <t>texte</t>
        </is>
      </c>
    </row>
    <row r="11" ht="22" customHeight="1">
      <c r="A11" s="12" t="inlineStr">
        <is>
          <t>1. Données du bassin et de la pluie</t>
        </is>
      </c>
      <c r="B11" s="37" t="n"/>
      <c r="C11" s="37" t="n"/>
      <c r="D11" s="37" t="n"/>
      <c r="E11" s="37" t="n"/>
      <c r="F11" s="38" t="n"/>
    </row>
    <row r="12">
      <c r="A12" s="4" t="inlineStr">
        <is>
          <t>Paramètre</t>
        </is>
      </c>
      <c r="B12" s="4" t="inlineStr">
        <is>
          <t>Valeur</t>
        </is>
      </c>
      <c r="C12" s="4" t="inlineStr">
        <is>
          <t>Unité</t>
        </is>
      </c>
      <c r="D12" s="4" t="inlineStr">
        <is>
          <t>Description</t>
        </is>
      </c>
    </row>
    <row r="13">
      <c r="A13" s="14" t="inlineStr">
        <is>
          <t>Superficie bassin A</t>
        </is>
      </c>
      <c r="B13" s="15" t="n">
        <v>70800</v>
      </c>
      <c r="C13" s="14" t="inlineStr">
        <is>
          <t>m²</t>
        </is>
      </c>
      <c r="D13" s="14" t="inlineStr">
        <is>
          <t>Exemple: 7.08 ha pour Q25≈0.59 m³/s avec C=0.5 et i=60 mm/h (à remplacer par votre bassin)</t>
        </is>
      </c>
    </row>
    <row r="14">
      <c r="A14" s="14" t="inlineStr">
        <is>
          <t>Coefficient de ruissellement C</t>
        </is>
      </c>
      <c r="B14" s="16" t="n">
        <v>0.5</v>
      </c>
      <c r="C14" s="14" t="inlineStr">
        <is>
          <t>-</t>
        </is>
      </c>
      <c r="D14" s="14" t="inlineStr">
        <is>
          <t>0.2 (perméable) à 0.9 (très imperméable)</t>
        </is>
      </c>
    </row>
    <row r="15">
      <c r="A15" s="14" t="inlineStr">
        <is>
          <t>Intensité i (25 ans)</t>
        </is>
      </c>
      <c r="B15" s="15" t="n">
        <v>60</v>
      </c>
      <c r="C15" s="14" t="inlineStr">
        <is>
          <t>mm/h</t>
        </is>
      </c>
      <c r="D15" s="14" t="inlineStr">
        <is>
          <t>Intensité pour Tc du bassin, période 25 ans</t>
        </is>
      </c>
    </row>
    <row r="16">
      <c r="A16" s="14" t="inlineStr">
        <is>
          <t>Intensité i (100 ans)</t>
        </is>
      </c>
      <c r="B16" s="15" t="n">
        <v>80</v>
      </c>
      <c r="C16" s="14" t="inlineStr">
        <is>
          <t>mm/h</t>
        </is>
      </c>
      <c r="D16" s="14" t="inlineStr">
        <is>
          <t>Intensité pour Tc du bassin, période 100 ans</t>
        </is>
      </c>
    </row>
    <row r="18" ht="22" customHeight="1">
      <c r="A18" s="12" t="inlineStr">
        <is>
          <t>2. Données du ponceau</t>
        </is>
      </c>
      <c r="B18" s="37" t="n"/>
      <c r="C18" s="37" t="n"/>
      <c r="D18" s="37" t="n"/>
      <c r="E18" s="37" t="n"/>
      <c r="F18" s="38" t="n"/>
    </row>
    <row r="19">
      <c r="A19" s="4" t="inlineStr">
        <is>
          <t>Paramètre</t>
        </is>
      </c>
      <c r="B19" s="4" t="inlineStr">
        <is>
          <t>Valeur</t>
        </is>
      </c>
      <c r="C19" s="4" t="inlineStr">
        <is>
          <t>Unité</t>
        </is>
      </c>
      <c r="D19" s="4" t="inlineStr">
        <is>
          <t>Description</t>
        </is>
      </c>
    </row>
    <row r="20">
      <c r="A20" s="14" t="inlineStr">
        <is>
          <t>Diamètre intérieur D</t>
        </is>
      </c>
      <c r="B20" s="17" t="n">
        <v>0.9</v>
      </c>
      <c r="C20" s="14" t="inlineStr">
        <is>
          <t>m</t>
        </is>
      </c>
      <c r="D20" s="14" t="inlineStr">
        <is>
          <t>Tuyau circulaire</t>
        </is>
      </c>
    </row>
    <row r="21">
      <c r="A21" s="14" t="inlineStr">
        <is>
          <t>Coefficient de Manning n</t>
        </is>
      </c>
      <c r="B21" s="17" t="n">
        <v>0.012</v>
      </c>
      <c r="C21" s="14" t="inlineStr">
        <is>
          <t>-</t>
        </is>
      </c>
      <c r="D21" s="14" t="inlineStr">
        <is>
          <t>Béton typique: 0.012 – 0.015</t>
        </is>
      </c>
    </row>
    <row r="22">
      <c r="A22" s="14" t="inlineStr">
        <is>
          <t>Pente du ponceau</t>
        </is>
      </c>
      <c r="B22" s="16" t="n">
        <v>1</v>
      </c>
      <c r="C22" s="14" t="inlineStr">
        <is>
          <t>%</t>
        </is>
      </c>
      <c r="D22" s="14" t="inlineStr">
        <is>
          <t>Saisie en % ; convertie en m/m ci-dessous</t>
        </is>
      </c>
    </row>
    <row r="23">
      <c r="A23" s="18" t="inlineStr">
        <is>
          <t>Pente S</t>
        </is>
      </c>
      <c r="B23" s="19">
        <f>B22/100</f>
        <v/>
      </c>
      <c r="C23" s="18" t="inlineStr">
        <is>
          <t>m/m</t>
        </is>
      </c>
      <c r="D23" s="18" t="inlineStr">
        <is>
          <t>S = pente(%) / 100</t>
        </is>
      </c>
    </row>
    <row r="24">
      <c r="A24" s="18" t="inlineStr">
        <is>
          <t>Aire hydraulique pleine A_h</t>
        </is>
      </c>
      <c r="B24" s="20">
        <f>PI()*B20^2/4</f>
        <v/>
      </c>
      <c r="C24" s="18" t="inlineStr">
        <is>
          <t>m²</t>
        </is>
      </c>
      <c r="D24" s="18" t="inlineStr">
        <is>
          <t>A = π D² / 4</t>
        </is>
      </c>
    </row>
    <row r="25">
      <c r="A25" s="18" t="inlineStr">
        <is>
          <t>Rayon hydraulique R</t>
        </is>
      </c>
      <c r="B25" s="20">
        <f>B20/4</f>
        <v/>
      </c>
      <c r="C25" s="18" t="inlineStr">
        <is>
          <t>m</t>
        </is>
      </c>
      <c r="D25" s="18" t="inlineStr">
        <is>
          <t>R = D / 4 (section pleine)</t>
        </is>
      </c>
    </row>
    <row r="27" ht="22" customHeight="1">
      <c r="A27" s="12" t="inlineStr">
        <is>
          <t>3. Débits entrants (méthode rationnelle)</t>
        </is>
      </c>
      <c r="B27" s="37" t="n"/>
      <c r="C27" s="37" t="n"/>
      <c r="D27" s="37" t="n"/>
      <c r="E27" s="37" t="n"/>
      <c r="F27" s="38" t="n"/>
    </row>
    <row r="28">
      <c r="A28" s="4" t="inlineStr">
        <is>
          <t>Paramètre</t>
        </is>
      </c>
      <c r="B28" s="4" t="inlineStr">
        <is>
          <t>Valeur</t>
        </is>
      </c>
      <c r="C28" s="4" t="inlineStr">
        <is>
          <t>Unité</t>
        </is>
      </c>
      <c r="D28" s="4" t="inlineStr">
        <is>
          <t>Formule</t>
        </is>
      </c>
    </row>
    <row r="29">
      <c r="A29" s="18" t="inlineStr">
        <is>
          <t>Q entrant 25 ans</t>
        </is>
      </c>
      <c r="B29" s="20">
        <f>B14*B15*B13/3600000</f>
        <v/>
      </c>
      <c r="C29" s="18" t="inlineStr">
        <is>
          <t>m³/s</t>
        </is>
      </c>
      <c r="D29" s="18" t="inlineStr">
        <is>
          <t>Q = C·i·A / 3 600 000</t>
        </is>
      </c>
    </row>
    <row r="30">
      <c r="A30" s="18" t="inlineStr">
        <is>
          <t>Q entrant 100 ans</t>
        </is>
      </c>
      <c r="B30" s="20">
        <f>B14*B16*B13/3600000</f>
        <v/>
      </c>
      <c r="C30" s="18" t="inlineStr">
        <is>
          <t>m³/s</t>
        </is>
      </c>
      <c r="D30" s="18" t="inlineStr">
        <is>
          <t>Q = C·i·A / 3 600 000</t>
        </is>
      </c>
    </row>
    <row r="31">
      <c r="A31" s="21" t="inlineStr">
        <is>
          <t>Q entrant forcé (optionnel)</t>
        </is>
      </c>
      <c r="B31" s="17" t="n">
        <v>0.59</v>
      </c>
      <c r="C31" s="21" t="inlineStr">
        <is>
          <t>m³/s</t>
        </is>
      </c>
      <c r="D31" s="21" t="inlineStr">
        <is>
          <t>Si &gt; 0, utilisé pour le verdict 'forcé' (ex.: Q HY-8 = 0.59)</t>
        </is>
      </c>
    </row>
    <row r="33" ht="22" customHeight="1">
      <c r="A33" s="12" t="inlineStr">
        <is>
          <t>4. Capacité du ponceau (Manning, plein)</t>
        </is>
      </c>
      <c r="B33" s="37" t="n"/>
      <c r="C33" s="37" t="n"/>
      <c r="D33" s="37" t="n"/>
      <c r="E33" s="37" t="n"/>
      <c r="F33" s="38" t="n"/>
    </row>
    <row r="34">
      <c r="A34" s="4" t="inlineStr">
        <is>
          <t>Paramètre</t>
        </is>
      </c>
      <c r="B34" s="4" t="inlineStr">
        <is>
          <t>Valeur</t>
        </is>
      </c>
      <c r="C34" s="4" t="inlineStr">
        <is>
          <t>Unité</t>
        </is>
      </c>
      <c r="D34" s="4" t="inlineStr">
        <is>
          <t>Formule</t>
        </is>
      </c>
    </row>
    <row r="35">
      <c r="A35" s="18" t="inlineStr">
        <is>
          <t>Capacité Q_ponceau</t>
        </is>
      </c>
      <c r="B35" s="20">
        <f>IF(OR(B21&lt;=0,B23&lt;=0,B20&lt;=0),0,(1/B21)*B24*(B25^(2/3))*(B23^0.5))</f>
        <v/>
      </c>
      <c r="C35" s="18" t="inlineStr">
        <is>
          <t>m³/s</t>
        </is>
      </c>
      <c r="D35" s="18" t="inlineStr">
        <is>
          <t>Q = (1/n)·A·R^(2/3)·S^(1/2)</t>
        </is>
      </c>
    </row>
    <row r="36">
      <c r="A36" s="18" t="inlineStr">
        <is>
          <t>Vitesse à pleine section V</t>
        </is>
      </c>
      <c r="B36" s="22">
        <f>IF(B24&lt;=0,0,B35/B24)</f>
        <v/>
      </c>
      <c r="C36" s="18" t="inlineStr">
        <is>
          <t>m/s</t>
        </is>
      </c>
      <c r="D36" s="18" t="inlineStr">
        <is>
          <t>V = Q_ponceau / A_h</t>
        </is>
      </c>
    </row>
    <row r="38" ht="22" customHeight="1">
      <c r="A38" s="12" t="inlineStr">
        <is>
          <t>5. Comparaison et verdict (première validation)</t>
        </is>
      </c>
      <c r="B38" s="37" t="n"/>
      <c r="C38" s="37" t="n"/>
      <c r="D38" s="37" t="n"/>
      <c r="E38" s="37" t="n"/>
      <c r="F38" s="38" t="n"/>
    </row>
    <row r="39">
      <c r="A39" s="4" t="inlineStr">
        <is>
          <t>Critère</t>
        </is>
      </c>
      <c r="B39" s="4" t="inlineStr">
        <is>
          <t>Ratio Qent/Qponc</t>
        </is>
      </c>
      <c r="C39" s="4" t="inlineStr">
        <is>
          <t>Verdict</t>
        </is>
      </c>
      <c r="D39" s="4" t="inlineStr">
        <is>
          <t>Interprétation</t>
        </is>
      </c>
    </row>
    <row r="40">
      <c r="A40" s="18" t="inlineStr">
        <is>
          <t>Période 25 ans</t>
        </is>
      </c>
      <c r="B40" s="23">
        <f>IF(B35&lt;=0,"n/d",B29/B35)</f>
        <v/>
      </c>
      <c r="C40" s="18">
        <f>IF(B35&lt;=0,"n/d",IF(B35&gt;=B29,"SUFFISANT","INSUFFISANT"))</f>
        <v/>
      </c>
      <c r="D40" s="18" t="inlineStr">
        <is>
          <t>Suffisant si Q_ponceau ≥ Q_entrant 25 ans</t>
        </is>
      </c>
    </row>
    <row r="41">
      <c r="A41" s="18" t="inlineStr">
        <is>
          <t>Période 100 ans</t>
        </is>
      </c>
      <c r="B41" s="23">
        <f>IF(B35&lt;=0,"n/d",B30/B35)</f>
        <v/>
      </c>
      <c r="C41" s="18">
        <f>IF(B35&lt;=0,"n/d",IF(B35&gt;=B30,"SUFFISANT","INSUFFISANT"))</f>
        <v/>
      </c>
      <c r="D41" s="18" t="inlineStr">
        <is>
          <t>Vérification de sécurité / débordement</t>
        </is>
      </c>
    </row>
    <row r="42">
      <c r="A42" s="18" t="inlineStr">
        <is>
          <t>Q forcé (ex. HY-8)</t>
        </is>
      </c>
      <c r="B42" s="23">
        <f>IF(OR(B35&lt;=0,B31&lt;=0),"n/d",B31/B35)</f>
        <v/>
      </c>
      <c r="C42" s="18">
        <f>IF(B31&lt;=0,"(non utilisé)",IF(B35&gt;=B31,"SUFFISANT","INSUFFISANT"))</f>
        <v/>
      </c>
      <c r="D42" s="18" t="inlineStr">
        <is>
          <t>Compare un débit imposé (0.59 m³/s) à la capacité Manning</t>
        </is>
      </c>
    </row>
    <row r="44">
      <c r="A44" s="24" t="inlineStr">
        <is>
          <t>Marge de capacité 25 ans (Qponc − Qent)</t>
        </is>
      </c>
      <c r="B44" s="25">
        <f>B35-B29</f>
        <v/>
      </c>
      <c r="C44" s="24" t="inlineStr">
        <is>
          <t>m³/s</t>
        </is>
      </c>
      <c r="D44" s="24" t="inlineStr">
        <is>
          <t>Positif = réserve de capacité</t>
        </is>
      </c>
    </row>
    <row r="46">
      <c r="A46" s="26" t="inlineStr">
        <is>
          <t>Note: cette feuille ne détermine PAS encore inlet vs outlet control. Utiliser la feuille Controle_HY8 pour cela.</t>
        </is>
      </c>
    </row>
  </sheetData>
  <mergeCells count="9">
    <mergeCell ref="A38:F38"/>
    <mergeCell ref="A2:F2"/>
    <mergeCell ref="A11:F11"/>
    <mergeCell ref="A33:F33"/>
    <mergeCell ref="A1:F1"/>
    <mergeCell ref="A27:F27"/>
    <mergeCell ref="A18:F18"/>
    <mergeCell ref="A4:F4"/>
    <mergeCell ref="A46:D46"/>
  </mergeCells>
  <conditionalFormatting sqref="C40:C42">
    <cfRule type="expression" priority="1" dxfId="0">
      <formula>C40="SUFFISANT"</formula>
    </cfRule>
    <cfRule type="expression" priority="2" dxfId="1">
      <formula>C40="INSUFFISANT"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Coefficients de contrôle à l'entrée – tuyau circulaire (HDS-5 / FHWA)</t>
        </is>
      </c>
    </row>
    <row r="3">
      <c r="A3" s="11" t="inlineStr">
        <is>
          <t>Choisissez une configuration dans Controle_HY8 (liste déroulante). Les coefficients sont lus automatiquement.</t>
        </is>
      </c>
    </row>
    <row r="5">
      <c r="A5" s="4" t="inlineStr">
        <is>
          <t>ID</t>
        </is>
      </c>
      <c r="B5" s="4" t="inlineStr">
        <is>
          <t>Configuration d'entrée</t>
        </is>
      </c>
      <c r="C5" s="4" t="inlineStr">
        <is>
          <t>K</t>
        </is>
      </c>
      <c r="D5" s="4" t="inlineStr">
        <is>
          <t>M</t>
        </is>
      </c>
      <c r="E5" s="4" t="inlineStr">
        <is>
          <t>c</t>
        </is>
      </c>
      <c r="F5" s="4" t="inlineStr">
        <is>
          <t>Y</t>
        </is>
      </c>
      <c r="G5" s="4" t="inlineStr">
        <is>
          <t>Ke typique</t>
        </is>
      </c>
    </row>
    <row r="6">
      <c r="A6" s="14" t="n">
        <v>1</v>
      </c>
      <c r="B6" s="14" t="inlineStr">
        <is>
          <t>Square edge with headwall (béton)</t>
        </is>
      </c>
      <c r="C6" s="27" t="n">
        <v>0.0098</v>
      </c>
      <c r="D6" s="28" t="n">
        <v>2</v>
      </c>
      <c r="E6" s="27" t="n">
        <v>0.0398</v>
      </c>
      <c r="F6" s="27" t="n">
        <v>0.67</v>
      </c>
      <c r="G6" s="27" t="n">
        <v>0.5</v>
      </c>
    </row>
    <row r="7">
      <c r="A7" s="14" t="n">
        <v>2</v>
      </c>
      <c r="B7" s="14" t="inlineStr">
        <is>
          <t>Groove end with headwall</t>
        </is>
      </c>
      <c r="C7" s="27" t="n">
        <v>0.0078</v>
      </c>
      <c r="D7" s="28" t="n">
        <v>2</v>
      </c>
      <c r="E7" s="27" t="n">
        <v>0.0292</v>
      </c>
      <c r="F7" s="27" t="n">
        <v>0.74</v>
      </c>
      <c r="G7" s="27" t="n">
        <v>0.2</v>
      </c>
    </row>
    <row r="8">
      <c r="A8" s="14" t="n">
        <v>3</v>
      </c>
      <c r="B8" s="14" t="inlineStr">
        <is>
          <t>Groove end projecting</t>
        </is>
      </c>
      <c r="C8" s="27" t="n">
        <v>0.0045</v>
      </c>
      <c r="D8" s="28" t="n">
        <v>2</v>
      </c>
      <c r="E8" s="27" t="n">
        <v>0.0317</v>
      </c>
      <c r="F8" s="27" t="n">
        <v>0.6899999999999999</v>
      </c>
      <c r="G8" s="27" t="n">
        <v>0.2</v>
      </c>
    </row>
    <row r="9">
      <c r="A9" s="14" t="n">
        <v>4</v>
      </c>
      <c r="B9" s="14" t="inlineStr">
        <is>
          <t>Beveled ring / bevel 45° (approx. béton)</t>
        </is>
      </c>
      <c r="C9" s="27" t="n">
        <v>0.0018</v>
      </c>
      <c r="D9" s="28" t="n">
        <v>2.5</v>
      </c>
      <c r="E9" s="27" t="n">
        <v>0.03</v>
      </c>
      <c r="F9" s="27" t="n">
        <v>0.74</v>
      </c>
      <c r="G9" s="27" t="n">
        <v>0.2</v>
      </c>
    </row>
    <row r="10">
      <c r="A10" s="14" t="n">
        <v>5</v>
      </c>
      <c r="B10" s="14" t="inlineStr">
        <is>
          <t>Mitered to slope (approx.)</t>
        </is>
      </c>
      <c r="C10" s="27" t="n">
        <v>0.021</v>
      </c>
      <c r="D10" s="28" t="n">
        <v>1.33</v>
      </c>
      <c r="E10" s="27" t="n">
        <v>0.0463</v>
      </c>
      <c r="F10" s="27" t="n">
        <v>0.75</v>
      </c>
      <c r="G10" s="27" t="n">
        <v>0.7</v>
      </c>
    </row>
    <row r="12">
      <c r="A12" s="2" t="inlineStr">
        <is>
          <t>Équations inlet control (formes FHWA)</t>
        </is>
      </c>
    </row>
    <row r="13">
      <c r="A13" t="inlineStr">
        <is>
          <t>Non submergé (Forme 1):   HW/D = [ Q / (A · D^0.5) / K ] ^ (1/M)</t>
        </is>
      </c>
    </row>
    <row r="14">
      <c r="A14" t="inlineStr">
        <is>
          <t>Submergé (Forme 2):       HW/D = c · [ Q / (A · D^0.5) ]² + Y</t>
        </is>
      </c>
    </row>
    <row r="15">
      <c r="A15" t="inlineStr">
        <is>
          <t>Transition: Forme 1 si HW/D &lt; 1.2 ; Forme 2 si HW/D &gt; 1.5 ; interpolation linéaire entre 1.2 et 1.5.</t>
        </is>
      </c>
    </row>
    <row r="16">
      <c r="A16" s="11" t="inlineStr">
        <is>
          <t>Référence: FHWA HDS-5 Hydraulic Design of Highway Culverts.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55" customWidth="1" min="4" max="4"/>
  </cols>
  <sheetData>
    <row r="1">
      <c r="A1" s="1" t="inlineStr">
        <is>
          <t>Contrôle inlet / outlet – approche HDS-5 (type HY-8)</t>
        </is>
      </c>
    </row>
    <row r="2">
      <c r="A2" s="11" t="inlineStr">
        <is>
          <t>Les cellules jaunes sont modifiables. Cette feuille estime HW inlet, HW outlet et le contrôle déterminant.</t>
        </is>
      </c>
    </row>
    <row r="4" ht="22" customHeight="1">
      <c r="A4" s="12" t="inlineStr">
        <is>
          <t>1. Débit à analyser</t>
        </is>
      </c>
      <c r="B4" s="37" t="n"/>
      <c r="C4" s="37" t="n"/>
      <c r="D4" s="37" t="n"/>
      <c r="E4" s="37" t="n"/>
      <c r="F4" s="38" t="n"/>
    </row>
    <row r="5">
      <c r="A5" s="14" t="inlineStr">
        <is>
          <t>Source du débit</t>
        </is>
      </c>
      <c r="B5" s="15" t="inlineStr">
        <is>
          <t>Q forcé (saisie directe)</t>
        </is>
      </c>
      <c r="C5" s="14" t="inlineStr">
        <is>
          <t>Choisir dans la liste</t>
        </is>
      </c>
    </row>
    <row r="6">
      <c r="A6" s="14" t="inlineStr">
        <is>
          <t>Q forcé</t>
        </is>
      </c>
      <c r="B6" s="17" t="n">
        <v>0.59</v>
      </c>
      <c r="C6" s="14" t="inlineStr">
        <is>
          <t>m³/s</t>
        </is>
      </c>
      <c r="D6" s="14" t="inlineStr">
        <is>
          <t>Utilisé si source = Q forcé</t>
        </is>
      </c>
    </row>
    <row r="7">
      <c r="A7" s="18" t="inlineStr">
        <is>
          <t>Q analysé</t>
        </is>
      </c>
      <c r="B7" s="20">
        <f>IF(B5="Q 25 ans (Calcul_simplifie)",Calcul_simplifie!B29,IF(B5="Q 100 ans (Calcul_simplifie)",Calcul_simplifie!B30,B6))</f>
        <v/>
      </c>
      <c r="C7" s="18" t="inlineStr">
        <is>
          <t>m³/s</t>
        </is>
      </c>
      <c r="D7" s="18" t="inlineStr">
        <is>
          <t>Débit utilisé dans les calculs inlet/outlet</t>
        </is>
      </c>
    </row>
    <row r="9" ht="22" customHeight="1">
      <c r="A9" s="12" t="inlineStr">
        <is>
          <t>2. Géométrie du ponceau et site</t>
        </is>
      </c>
      <c r="B9" s="37" t="n"/>
      <c r="C9" s="37" t="n"/>
      <c r="D9" s="37" t="n"/>
      <c r="E9" s="37" t="n"/>
      <c r="F9" s="38" t="n"/>
    </row>
    <row r="10">
      <c r="A10" s="4" t="inlineStr">
        <is>
          <t>Paramètre</t>
        </is>
      </c>
      <c r="B10" s="4" t="inlineStr">
        <is>
          <t>Valeur</t>
        </is>
      </c>
      <c r="C10" s="4" t="inlineStr">
        <is>
          <t>Unité</t>
        </is>
      </c>
      <c r="D10" s="4" t="inlineStr">
        <is>
          <t>Notes</t>
        </is>
      </c>
    </row>
    <row r="11">
      <c r="A11" s="14" t="inlineStr">
        <is>
          <t>Diamètre D</t>
        </is>
      </c>
      <c r="B11" s="17" t="n">
        <v>0.9</v>
      </c>
      <c r="C11" s="14" t="inlineStr">
        <is>
          <t>m</t>
        </is>
      </c>
      <c r="D11" s="14" t="inlineStr">
        <is>
          <t>Circulaire</t>
        </is>
      </c>
    </row>
    <row r="12">
      <c r="A12" s="14" t="inlineStr">
        <is>
          <t>Longueur L</t>
        </is>
      </c>
      <c r="B12" s="17" t="n">
        <v>20</v>
      </c>
      <c r="C12" s="14" t="inlineStr">
        <is>
          <t>m</t>
        </is>
      </c>
      <c r="D12" s="14" t="inlineStr">
        <is>
          <t>Distance inlet → outlet</t>
        </is>
      </c>
    </row>
    <row r="13">
      <c r="A13" s="14" t="inlineStr">
        <is>
          <t>Manning n</t>
        </is>
      </c>
      <c r="B13" s="17" t="n">
        <v>0.012</v>
      </c>
      <c r="C13" s="14" t="inlineStr">
        <is>
          <t>-</t>
        </is>
      </c>
      <c r="D13" s="14" t="inlineStr">
        <is>
          <t>Béton</t>
        </is>
      </c>
    </row>
    <row r="14">
      <c r="A14" s="14" t="inlineStr">
        <is>
          <t>Pente</t>
        </is>
      </c>
      <c r="B14" s="17" t="n">
        <v>1</v>
      </c>
      <c r="C14" s="14" t="inlineStr">
        <is>
          <t>%</t>
        </is>
      </c>
      <c r="D14" s="14" t="inlineStr">
        <is>
          <t>Convertie en m/m</t>
        </is>
      </c>
    </row>
    <row r="15">
      <c r="A15" s="14" t="inlineStr">
        <is>
          <t>Invert amont (inlet)</t>
        </is>
      </c>
      <c r="B15" s="17" t="n">
        <v>30.2</v>
      </c>
      <c r="C15" s="14" t="inlineStr">
        <is>
          <t>m</t>
        </is>
      </c>
      <c r="D15" s="14" t="inlineStr">
        <is>
          <t>Élévation radier amont</t>
        </is>
      </c>
    </row>
    <row r="16">
      <c r="A16" s="14" t="inlineStr">
        <is>
          <t>Invert aval (outlet)</t>
        </is>
      </c>
      <c r="B16" s="17" t="n">
        <v>30</v>
      </c>
      <c r="C16" s="14" t="inlineStr">
        <is>
          <t>m</t>
        </is>
      </c>
      <c r="D16" s="14" t="inlineStr">
        <is>
          <t>Élévation radier aval</t>
        </is>
      </c>
    </row>
    <row r="17">
      <c r="A17" s="14" t="inlineStr">
        <is>
          <t>Profondeur d'eau aval TW</t>
        </is>
      </c>
      <c r="B17" s="17" t="n">
        <v>1.62</v>
      </c>
      <c r="C17" s="14" t="inlineStr">
        <is>
          <t>m</t>
        </is>
      </c>
      <c r="D17" s="14" t="inlineStr">
        <is>
          <t>Calé pour rapprocher HY-8 (HW outlet ≈ 1.51 m). Ajuster selon site.</t>
        </is>
      </c>
    </row>
    <row r="18">
      <c r="A18" s="14" t="inlineStr">
        <is>
          <t>Crête de route</t>
        </is>
      </c>
      <c r="B18" s="17" t="n">
        <v>32.5</v>
      </c>
      <c r="C18" s="14" t="inlineStr">
        <is>
          <t>m</t>
        </is>
      </c>
      <c r="D18" s="14" t="inlineStr">
        <is>
          <t>Pour vérifier le débordement</t>
        </is>
      </c>
    </row>
    <row r="19">
      <c r="A19" s="14" t="inlineStr">
        <is>
          <t>Ke (perte d'entrée)</t>
        </is>
      </c>
      <c r="B19" s="17" t="n">
        <v>0.5</v>
      </c>
      <c r="C19" s="14" t="inlineStr">
        <is>
          <t>-</t>
        </is>
      </c>
      <c r="D19" s="14" t="inlineStr">
        <is>
          <t>Square edge headwall typique = 0.5</t>
        </is>
      </c>
    </row>
    <row r="20">
      <c r="A20" s="18" t="inlineStr">
        <is>
          <t>Pente S</t>
        </is>
      </c>
      <c r="B20" s="19">
        <f>IF(ABS(B15-B16)&gt;1E-9,(B15-B16)/B12,B14/100)</f>
        <v/>
      </c>
      <c r="C20" s="18" t="inlineStr">
        <is>
          <t>m/m</t>
        </is>
      </c>
      <c r="D20" s="18" t="inlineStr">
        <is>
          <t>Priorité aux inverts; sinon pente %</t>
        </is>
      </c>
    </row>
    <row r="21">
      <c r="A21" s="18" t="inlineStr">
        <is>
          <t>Aire pleine A</t>
        </is>
      </c>
      <c r="B21" s="19">
        <f>PI()*B11^2/4</f>
        <v/>
      </c>
      <c r="C21" s="18" t="inlineStr">
        <is>
          <t>m²</t>
        </is>
      </c>
      <c r="D21" s="18" t="inlineStr">
        <is>
          <t>πD²/4</t>
        </is>
      </c>
    </row>
    <row r="22">
      <c r="A22" s="18" t="inlineStr">
        <is>
          <t>Rayon hydraulique R</t>
        </is>
      </c>
      <c r="B22" s="19">
        <f>B11/4</f>
        <v/>
      </c>
      <c r="C22" s="18" t="inlineStr">
        <is>
          <t>m</t>
        </is>
      </c>
      <c r="D22" s="18" t="inlineStr">
        <is>
          <t>D/4</t>
        </is>
      </c>
    </row>
    <row r="24" ht="22" customHeight="1">
      <c r="A24" s="12" t="inlineStr">
        <is>
          <t>3. Configuration d'entrée (coefficients)</t>
        </is>
      </c>
      <c r="B24" s="37" t="n"/>
      <c r="C24" s="37" t="n"/>
      <c r="D24" s="37" t="n"/>
      <c r="E24" s="37" t="n"/>
      <c r="F24" s="38" t="n"/>
    </row>
    <row r="25">
      <c r="A25" s="14" t="inlineStr">
        <is>
          <t>Configuration</t>
        </is>
      </c>
      <c r="B25" s="15" t="inlineStr">
        <is>
          <t>Square edge with headwall (béton)</t>
        </is>
      </c>
      <c r="C25" s="37" t="n"/>
      <c r="D25" s="38" t="n"/>
    </row>
    <row r="26">
      <c r="A26" s="18" t="inlineStr">
        <is>
          <t>K</t>
        </is>
      </c>
      <c r="B26" s="19">
        <f>IFERROR(VLOOKUP(B25,Coefficients_entree!$B$6:$G$10,2,FALSE),0.0098)</f>
        <v/>
      </c>
      <c r="C26" s="18" t="inlineStr">
        <is>
          <t>-</t>
        </is>
      </c>
      <c r="D26" s="18" t="inlineStr">
        <is>
          <t>Coefficient forme 1</t>
        </is>
      </c>
    </row>
    <row r="27">
      <c r="A27" s="18" t="inlineStr">
        <is>
          <t>M</t>
        </is>
      </c>
      <c r="B27" s="22">
        <f>IFERROR(VLOOKUP(B25,Coefficients_entree!$B$6:$G$10,3,FALSE),2)</f>
        <v/>
      </c>
      <c r="C27" s="18" t="inlineStr">
        <is>
          <t>-</t>
        </is>
      </c>
      <c r="D27" s="18" t="inlineStr">
        <is>
          <t>Exposant forme 1</t>
        </is>
      </c>
    </row>
    <row r="28">
      <c r="A28" s="18" t="inlineStr">
        <is>
          <t>c</t>
        </is>
      </c>
      <c r="B28" s="19">
        <f>IFERROR(VLOOKUP(B25,Coefficients_entree!$B$6:$G$10,4,FALSE),0.0398)</f>
        <v/>
      </c>
      <c r="C28" s="18" t="inlineStr">
        <is>
          <t>-</t>
        </is>
      </c>
      <c r="D28" s="18" t="inlineStr">
        <is>
          <t>Coefficient forme 2</t>
        </is>
      </c>
    </row>
    <row r="29">
      <c r="A29" s="18" t="inlineStr">
        <is>
          <t>Y</t>
        </is>
      </c>
      <c r="B29" s="22">
        <f>IFERROR(VLOOKUP(B25,Coefficients_entree!$B$6:$G$10,5,FALSE),0.67)</f>
        <v/>
      </c>
      <c r="C29" s="18" t="inlineStr">
        <is>
          <t>-</t>
        </is>
      </c>
      <c r="D29" s="18" t="inlineStr">
        <is>
          <t>Constante forme 2</t>
        </is>
      </c>
    </row>
    <row r="30">
      <c r="A30" s="24" t="inlineStr">
        <is>
          <t>Ke suggéré</t>
        </is>
      </c>
      <c r="B30" s="29">
        <f>IFERROR(VLOOKUP(B25,Coefficients_entree!$B$6:$G$10,6,FALSE),0.5)</f>
        <v/>
      </c>
      <c r="C30" s="24" t="inlineStr">
        <is>
          <t>-</t>
        </is>
      </c>
      <c r="D30" s="24" t="inlineStr">
        <is>
          <t>Copier vers B19 si désiré</t>
        </is>
      </c>
    </row>
    <row r="32" ht="22" customHeight="1">
      <c r="A32" s="12" t="inlineStr">
        <is>
          <t>4. Contrôle à l'entrée (Inlet Control)</t>
        </is>
      </c>
      <c r="B32" s="37" t="n"/>
      <c r="C32" s="37" t="n"/>
      <c r="D32" s="37" t="n"/>
      <c r="E32" s="37" t="n"/>
      <c r="F32" s="38" t="n"/>
    </row>
    <row r="33">
      <c r="A33" s="4" t="inlineStr">
        <is>
          <t>Paramètre</t>
        </is>
      </c>
      <c r="B33" s="4" t="inlineStr">
        <is>
          <t>Valeur</t>
        </is>
      </c>
      <c r="C33" s="4" t="inlineStr">
        <is>
          <t>Unité</t>
        </is>
      </c>
      <c r="D33" s="4" t="inlineStr">
        <is>
          <t>Formule / notes</t>
        </is>
      </c>
    </row>
    <row r="34">
      <c r="A34" s="18" t="inlineStr">
        <is>
          <t>Paramètre de débit Q/(A√D)</t>
        </is>
      </c>
      <c r="B34" s="20">
        <f>IF(OR(B21&lt;=0,B11&lt;=0),0,B7/(B21*SQRT(B11)))</f>
        <v/>
      </c>
      <c r="C34" s="18" t="inlineStr">
        <is>
          <t>m^0.5/s</t>
        </is>
      </c>
      <c r="D34" s="18" t="inlineStr">
        <is>
          <t>Argument des équations FHWA</t>
        </is>
      </c>
    </row>
    <row r="35">
      <c r="A35" s="18" t="inlineStr">
        <is>
          <t>HW/D forme 1 (non submergé)</t>
        </is>
      </c>
      <c r="B35" s="20">
        <f>IF(OR(B26&lt;=0,B34&lt;=0),0,(B34/B26)^(1/B27))</f>
        <v/>
      </c>
      <c r="C35" s="18" t="inlineStr">
        <is>
          <t>-</t>
        </is>
      </c>
      <c r="D35" s="18" t="inlineStr">
        <is>
          <t>HW/D = [Q/(A√D)/K]^(1/M)</t>
        </is>
      </c>
    </row>
    <row r="36">
      <c r="A36" s="18" t="inlineStr">
        <is>
          <t>HW/D forme 2 (submergé)</t>
        </is>
      </c>
      <c r="B36" s="20">
        <f>B28*B34^2+B29</f>
        <v/>
      </c>
      <c r="C36" s="18" t="inlineStr">
        <is>
          <t>-</t>
        </is>
      </c>
      <c r="D36" s="18" t="inlineStr">
        <is>
          <t>HW/D = c[Q/(A√D)]² + Y</t>
        </is>
      </c>
    </row>
    <row r="37">
      <c r="A37" s="18" t="inlineStr">
        <is>
          <t>HW/D inlet (avec transition)</t>
        </is>
      </c>
      <c r="B37" s="20">
        <f>IF(B7&lt;=0,0,IF(B35&lt;=1.2,B35,B36))</f>
        <v/>
      </c>
      <c r="C37" s="18" t="inlineStr">
        <is>
          <t>-</t>
        </is>
      </c>
      <c r="D37" s="18" t="inlineStr">
        <is>
          <t>Si forme1≤1.2 → non submergé; sinon forme2 (submergé)</t>
        </is>
      </c>
    </row>
    <row r="38">
      <c r="A38" s="18" t="inlineStr">
        <is>
          <t>Profondeur HW inlet</t>
        </is>
      </c>
      <c r="B38" s="20">
        <f>B37*B11</f>
        <v/>
      </c>
      <c r="C38" s="18" t="inlineStr">
        <is>
          <t>m</t>
        </is>
      </c>
      <c r="D38" s="18" t="inlineStr">
        <is>
          <t>Au-dessus de l'invert amont</t>
        </is>
      </c>
    </row>
    <row r="39">
      <c r="A39" s="18" t="inlineStr">
        <is>
          <t>Élévation HW inlet</t>
        </is>
      </c>
      <c r="B39" s="20">
        <f>B15+B38</f>
        <v/>
      </c>
      <c r="C39" s="18" t="inlineStr">
        <is>
          <t>m</t>
        </is>
      </c>
      <c r="D39" s="18" t="inlineStr">
        <is>
          <t>Invert amont + HW inlet</t>
        </is>
      </c>
    </row>
    <row r="41" ht="22" customHeight="1">
      <c r="A41" s="12" t="inlineStr">
        <is>
          <t>5. Contrôle à la sortie (Outlet Control)</t>
        </is>
      </c>
      <c r="B41" s="37" t="n"/>
      <c r="C41" s="37" t="n"/>
      <c r="D41" s="37" t="n"/>
      <c r="E41" s="37" t="n"/>
      <c r="F41" s="38" t="n"/>
    </row>
    <row r="42">
      <c r="A42" s="4" t="inlineStr">
        <is>
          <t>Paramètre</t>
        </is>
      </c>
      <c r="B42" s="4" t="inlineStr">
        <is>
          <t>Valeur</t>
        </is>
      </c>
      <c r="C42" s="4" t="inlineStr">
        <is>
          <t>Unité</t>
        </is>
      </c>
      <c r="D42" s="4" t="inlineStr">
        <is>
          <t>Formule / notes</t>
        </is>
      </c>
    </row>
    <row r="43">
      <c r="A43" s="18" t="inlineStr">
        <is>
          <t>Vitesse pleine V</t>
        </is>
      </c>
      <c r="B43" s="20">
        <f>IF(B21&lt;=0,0,B7/B21)</f>
        <v/>
      </c>
      <c r="C43" s="18" t="inlineStr">
        <is>
          <t>m/s</t>
        </is>
      </c>
      <c r="D43" s="18" t="inlineStr">
        <is>
          <t>V = Q / A  (hypothèse section pleine pour pertes)</t>
        </is>
      </c>
    </row>
    <row r="44">
      <c r="A44" s="18" t="inlineStr">
        <is>
          <t>Charge de vitesse V²/2g</t>
        </is>
      </c>
      <c r="B44" s="20">
        <f>IF(B43&lt;=0,0,B43^2/(2*9.81))</f>
        <v/>
      </c>
      <c r="C44" s="18" t="inlineStr">
        <is>
          <t>m</t>
        </is>
      </c>
      <c r="D44" s="18" t="inlineStr">
        <is>
          <t>g = 9.81 m/s²</t>
        </is>
      </c>
    </row>
    <row r="45">
      <c r="A45" s="18" t="inlineStr">
        <is>
          <t>Terme de friction 29 n² L / R^(4/3)</t>
        </is>
      </c>
      <c r="B45" s="20">
        <f>IF(B22&lt;=0,0,29*B13^2*B12/(B22^(4/3)))</f>
        <v/>
      </c>
      <c r="C45" s="18" t="inlineStr">
        <is>
          <t>-</t>
        </is>
      </c>
      <c r="D45" s="18" t="inlineStr">
        <is>
          <t>Forme HDS-5 / HY-8 (SI)</t>
        </is>
      </c>
    </row>
    <row r="46">
      <c r="A46" s="18" t="inlineStr">
        <is>
          <t>Perte totale H</t>
        </is>
      </c>
      <c r="B46" s="20">
        <f>(1+B19+B45)*B44</f>
        <v/>
      </c>
      <c r="C46" s="18" t="inlineStr">
        <is>
          <t>m</t>
        </is>
      </c>
      <c r="D46" s="18" t="inlineStr">
        <is>
          <t>H = [1+Ke+29n²L/R^(4/3)] · V²/2g</t>
        </is>
      </c>
    </row>
    <row r="47">
      <c r="A47" s="18" t="inlineStr">
        <is>
          <t>Paramètre critique Z</t>
        </is>
      </c>
      <c r="B47" s="19">
        <f>IF(OR(B7&lt;=0,B11&lt;=0),0,B7/(SQRT(9.81)*B11^2.5))</f>
        <v/>
      </c>
      <c r="C47" s="18" t="inlineStr">
        <is>
          <t>-</t>
        </is>
      </c>
      <c r="D47" s="18" t="inlineStr">
        <is>
          <t>Z = Q / (√g · D^2.5)</t>
        </is>
      </c>
    </row>
    <row r="48">
      <c r="A48" s="18" t="inlineStr">
        <is>
          <t>Profondeur critique dc (approx.)</t>
        </is>
      </c>
      <c r="B48" s="20">
        <f>IF(B47&lt;=0,0,MIN(B11*0.99, MAX(0.02*B11, B11*(0.917*B47^0.44))))</f>
        <v/>
      </c>
      <c r="C48" s="18" t="inlineStr">
        <is>
          <t>m</t>
        </is>
      </c>
      <c r="D48" s="18" t="inlineStr">
        <is>
          <t>Approximation circulaire; suffisante pour ho</t>
        </is>
      </c>
    </row>
    <row r="49">
      <c r="A49" s="18" t="inlineStr">
        <is>
          <t>h_o = max(TW, (dc+D)/2)</t>
        </is>
      </c>
      <c r="B49" s="20">
        <f>MAX(B17,(B48+B11)/2)</f>
        <v/>
      </c>
      <c r="C49" s="18" t="inlineStr">
        <is>
          <t>m</t>
        </is>
      </c>
      <c r="D49" s="18" t="inlineStr">
        <is>
          <t>Hauteur aval effective (HDS-5)</t>
        </is>
      </c>
    </row>
    <row r="50">
      <c r="A50" s="18" t="inlineStr">
        <is>
          <t>Profondeur HW outlet</t>
        </is>
      </c>
      <c r="B50" s="20">
        <f>MAX(0,B46+B49-B12*B20)</f>
        <v/>
      </c>
      <c r="C50" s="18" t="inlineStr">
        <is>
          <t>m</t>
        </is>
      </c>
      <c r="D50" s="18" t="inlineStr">
        <is>
          <t>HW = H + h_o − L·S</t>
        </is>
      </c>
    </row>
    <row r="51">
      <c r="A51" s="18" t="inlineStr">
        <is>
          <t>Élévation HW outlet</t>
        </is>
      </c>
      <c r="B51" s="20">
        <f>B15+B50</f>
        <v/>
      </c>
      <c r="C51" s="18" t="inlineStr">
        <is>
          <t>m</t>
        </is>
      </c>
      <c r="D51" s="18" t="inlineStr">
        <is>
          <t>Invert amont + HW outlet</t>
        </is>
      </c>
    </row>
    <row r="53" ht="22" customHeight="1">
      <c r="A53" s="12" t="inlineStr">
        <is>
          <t>6. Contrôle déterminant et verdict</t>
        </is>
      </c>
      <c r="B53" s="37" t="n"/>
      <c r="C53" s="37" t="n"/>
      <c r="D53" s="37" t="n"/>
      <c r="E53" s="37" t="n"/>
      <c r="F53" s="38" t="n"/>
    </row>
    <row r="54">
      <c r="A54" s="4" t="inlineStr">
        <is>
          <t>Paramètre</t>
        </is>
      </c>
      <c r="B54" s="4" t="inlineStr">
        <is>
          <t>Valeur</t>
        </is>
      </c>
      <c r="C54" s="4" t="inlineStr">
        <is>
          <t>Unité</t>
        </is>
      </c>
      <c r="D54" s="4" t="inlineStr">
        <is>
          <t>Interprétation</t>
        </is>
      </c>
    </row>
    <row r="55">
      <c r="A55" s="30" t="inlineStr">
        <is>
          <t>Contrôle déterminant</t>
        </is>
      </c>
      <c r="B55" s="30">
        <f>IF(B7&lt;=0,"n/d",IF(B50&gt;B38,"OUTLET CONTROL","INLET CONTROL"))</f>
        <v/>
      </c>
      <c r="C55" s="30" t="inlineStr">
        <is>
          <t>-</t>
        </is>
      </c>
      <c r="D55" s="30" t="inlineStr">
        <is>
          <t>Le plus grand HW gouverne (comme HY-8)</t>
        </is>
      </c>
    </row>
    <row r="56">
      <c r="A56" s="18" t="inlineStr">
        <is>
          <t>Profondeur HW déterminante</t>
        </is>
      </c>
      <c r="B56" s="20">
        <f>MAX(B38,B50)</f>
        <v/>
      </c>
      <c r="C56" s="18" t="inlineStr">
        <is>
          <t>m</t>
        </is>
      </c>
      <c r="D56" s="18" t="inlineStr">
        <is>
          <t>max(HW inlet, HW outlet)</t>
        </is>
      </c>
    </row>
    <row r="57">
      <c r="A57" s="18" t="inlineStr">
        <is>
          <t>Élévation HW déterminante</t>
        </is>
      </c>
      <c r="B57" s="20">
        <f>B15+B56</f>
        <v/>
      </c>
      <c r="C57" s="18" t="inlineStr">
        <is>
          <t>m</t>
        </is>
      </c>
      <c r="D57" s="18" t="inlineStr">
        <is>
          <t>À comparer à la crête de route</t>
        </is>
      </c>
    </row>
    <row r="58">
      <c r="A58" s="18" t="inlineStr">
        <is>
          <t>HW / D</t>
        </is>
      </c>
      <c r="B58" s="22">
        <f>IF(B11&lt;=0,0,B56/B11)</f>
        <v/>
      </c>
      <c r="C58" s="18" t="inlineStr">
        <is>
          <t>-</t>
        </is>
      </c>
      <c r="D58" s="18" t="inlineStr">
        <is>
          <t>Souvent cible de conception ~1.0 à 1.5 (selon critères)</t>
        </is>
      </c>
    </row>
    <row r="59">
      <c r="A59" s="18" t="inlineStr">
        <is>
          <t>Franc-bord jusqu'à la route</t>
        </is>
      </c>
      <c r="B59" s="20">
        <f>B18-B57</f>
        <v/>
      </c>
      <c r="C59" s="18" t="inlineStr">
        <is>
          <t>m</t>
        </is>
      </c>
      <c r="D59" s="18" t="inlineStr">
        <is>
          <t>Positif = pas de débordement de chaussée</t>
        </is>
      </c>
    </row>
    <row r="60">
      <c r="A60" s="18" t="inlineStr">
        <is>
          <t>Débordement route?</t>
        </is>
      </c>
      <c r="B60" s="18">
        <f>IF(B57&gt;=B18,"OUI – overtopping","NON")</f>
        <v/>
      </c>
      <c r="C60" s="18" t="inlineStr">
        <is>
          <t>-</t>
        </is>
      </c>
      <c r="D60" s="18" t="inlineStr">
        <is>
          <t>Si HW ≥ crête</t>
        </is>
      </c>
    </row>
    <row r="61">
      <c r="A61" s="24" t="inlineStr">
        <is>
          <t>Capacité Manning (réf.)</t>
        </is>
      </c>
      <c r="B61" s="25">
        <f>Calcul_simplifie!B35</f>
        <v/>
      </c>
      <c r="C61" s="24" t="inlineStr">
        <is>
          <t>m³/s</t>
        </is>
      </c>
      <c r="D61" s="24" t="inlineStr">
        <is>
          <t>Capacité uniforme pleine section</t>
        </is>
      </c>
    </row>
    <row r="62">
      <c r="A62" s="30" t="inlineStr">
        <is>
          <t>Verdict global</t>
        </is>
      </c>
      <c r="B62" s="30">
        <f>IF(B7&lt;=0,"n/d",IF(AND(B61&gt;=B7,B57&lt;B18),"SUFFISANT","INSUFFISANT / À RÉVISER"))</f>
        <v/>
      </c>
      <c r="C62" s="30" t="inlineStr">
        <is>
          <t>-</t>
        </is>
      </c>
      <c r="D62" s="30" t="inlineStr">
        <is>
          <t>Suffisant si capacité Manning ≥ Q et HW &lt; crête</t>
        </is>
      </c>
    </row>
    <row r="64">
      <c r="A64" s="31" t="inlineStr">
        <is>
          <t>Rappel HY-8</t>
        </is>
      </c>
    </row>
    <row r="65" ht="48" customHeight="1">
      <c r="A65" s="3" t="inlineStr">
        <is>
          <t>Dans HY-8, pour Q=0.59 m³/s: HW=31.71 m, OUTLET CONTROL (outlet depth 1.51 m vs inlet 0.66 m), flow type 4-FFf. TW (B17) est prérempli à 1.62 m pour caler ce résultat. Remplacez-le par la vraie profondeur aval du site dès qu'elle est connue.</t>
        </is>
      </c>
    </row>
    <row r="66"/>
    <row r="67"/>
    <row r="69">
      <c r="A69" s="31" t="inlineStr">
        <is>
          <t>Type de contrôle (aide)</t>
        </is>
      </c>
    </row>
    <row r="70">
      <c r="A70" t="inlineStr">
        <is>
          <t>INLET CONTROL: l'entrée limite le débit (forme/arête). Allonger le tuyau change peu HW.</t>
        </is>
      </c>
    </row>
    <row r="71">
      <c r="A71" t="inlineStr">
        <is>
          <t>OUTLET CONTROL: le fut, la rugosité, la longueur et/ou la queue d'eau limitent. Ke/n/L/TW influencent HW.</t>
        </is>
      </c>
    </row>
  </sheetData>
  <mergeCells count="12">
    <mergeCell ref="A24:F24"/>
    <mergeCell ref="A2:F2"/>
    <mergeCell ref="A41:F41"/>
    <mergeCell ref="A70:D70"/>
    <mergeCell ref="A1:F1"/>
    <mergeCell ref="A9:F9"/>
    <mergeCell ref="A32:F32"/>
    <mergeCell ref="A4:F4"/>
    <mergeCell ref="A71:D71"/>
    <mergeCell ref="A65:D67"/>
    <mergeCell ref="B25:D25"/>
    <mergeCell ref="A53:F53"/>
  </mergeCells>
  <conditionalFormatting sqref="B55">
    <cfRule type="expression" priority="1" dxfId="2">
      <formula>B55="OUTLET CONTROL"</formula>
    </cfRule>
    <cfRule type="expression" priority="2" dxfId="3">
      <formula>B55="INLET CONTROL"</formula>
    </cfRule>
  </conditionalFormatting>
  <conditionalFormatting sqref="B62">
    <cfRule type="expression" priority="3" dxfId="0">
      <formula>B62="SUFFISANT"</formula>
    </cfRule>
    <cfRule type="expression" priority="4" dxfId="1">
      <formula>ISNUMBER(SEARCH("INSUFFISANT",B62))</formula>
    </cfRule>
  </conditionalFormatting>
  <conditionalFormatting sqref="B60">
    <cfRule type="expression" priority="5" dxfId="1">
      <formula>ISNUMBER(SEARCH("OUI",B60))</formula>
    </cfRule>
    <cfRule type="expression" priority="6" dxfId="0">
      <formula>B60="NON"</formula>
    </cfRule>
  </conditionalFormatting>
  <dataValidations count="2">
    <dataValidation sqref="B5" showDropDown="0" showInputMessage="0" showErrorMessage="0" allowBlank="0" type="list">
      <formula1>"Q forcé (saisie directe),Q 25 ans (Calcul_simplifie),Q 100 ans (Calcul_simplifie)"</formula1>
    </dataValidation>
    <dataValidation sqref="B25" showDropDown="0" showInputMessage="0" showErrorMessage="0" allowBlank="0" type="list">
      <formula1>=Coefficients_entree!$B$6:$B$10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28" customWidth="1" min="4" max="4"/>
    <col width="14" customWidth="1" min="5" max="5"/>
  </cols>
  <sheetData>
    <row r="1">
      <c r="A1" s="1" t="inlineStr">
        <is>
          <t>Exemple de calage – cas HY-8 Crossing 1</t>
        </is>
      </c>
    </row>
    <row r="3">
      <c r="A3" s="2" t="inlineStr">
        <is>
          <t>Valeurs observées dans HY-8 (référence)</t>
        </is>
      </c>
    </row>
    <row r="5">
      <c r="A5" s="4" t="inlineStr">
        <is>
          <t>Paramètre</t>
        </is>
      </c>
      <c r="B5" s="4" t="inlineStr">
        <is>
          <t>Valeur HY-8</t>
        </is>
      </c>
      <c r="C5" s="4" t="inlineStr">
        <is>
          <t>Unité</t>
        </is>
      </c>
      <c r="D5" s="4" t="inlineStr">
        <is>
          <t>Valeur dans ce classeur</t>
        </is>
      </c>
      <c r="E5" s="4" t="inlineStr">
        <is>
          <t>Écart</t>
        </is>
      </c>
    </row>
    <row r="6">
      <c r="A6" s="14" t="inlineStr">
        <is>
          <t>Débit design Q</t>
        </is>
      </c>
      <c r="B6" s="32" t="n">
        <v>0.59</v>
      </c>
      <c r="C6" s="14" t="inlineStr">
        <is>
          <t>m³/s</t>
        </is>
      </c>
      <c r="D6" s="33">
        <f>Controle_HY8!B7</f>
        <v/>
      </c>
      <c r="E6" s="32">
        <f>D6-B6</f>
        <v/>
      </c>
    </row>
    <row r="7">
      <c r="A7" s="14" t="inlineStr">
        <is>
          <t>Diamètre D</t>
        </is>
      </c>
      <c r="B7" s="32" t="n">
        <v>0.9</v>
      </c>
      <c r="C7" s="14" t="inlineStr">
        <is>
          <t>m</t>
        </is>
      </c>
      <c r="D7" s="33">
        <f>Controle_HY8!B11</f>
        <v/>
      </c>
      <c r="E7" s="32">
        <f>D7-B7</f>
        <v/>
      </c>
    </row>
    <row r="8">
      <c r="A8" s="14" t="inlineStr">
        <is>
          <t>Longueur L</t>
        </is>
      </c>
      <c r="B8" s="32" t="n">
        <v>20</v>
      </c>
      <c r="C8" s="14" t="inlineStr">
        <is>
          <t>m</t>
        </is>
      </c>
      <c r="D8" s="33">
        <f>Controle_HY8!B12</f>
        <v/>
      </c>
      <c r="E8" s="32">
        <f>D8-B8</f>
        <v/>
      </c>
    </row>
    <row r="9">
      <c r="A9" s="14" t="inlineStr">
        <is>
          <t>Pente</t>
        </is>
      </c>
      <c r="B9" s="32" t="n">
        <v>0.01</v>
      </c>
      <c r="C9" s="14" t="inlineStr">
        <is>
          <t>m/m</t>
        </is>
      </c>
      <c r="D9" s="33">
        <f>Controle_HY8!B20</f>
        <v/>
      </c>
      <c r="E9" s="32">
        <f>D9-B9</f>
        <v/>
      </c>
    </row>
    <row r="10">
      <c r="A10" s="14" t="inlineStr">
        <is>
          <t>Invert amont</t>
        </is>
      </c>
      <c r="B10" s="32" t="n">
        <v>30.2</v>
      </c>
      <c r="C10" s="14" t="inlineStr">
        <is>
          <t>m</t>
        </is>
      </c>
      <c r="D10" s="33">
        <f>Controle_HY8!B15</f>
        <v/>
      </c>
      <c r="E10" s="32">
        <f>D10-B10</f>
        <v/>
      </c>
    </row>
    <row r="11">
      <c r="A11" s="14" t="inlineStr">
        <is>
          <t>Invert aval</t>
        </is>
      </c>
      <c r="B11" s="32" t="n">
        <v>30</v>
      </c>
      <c r="C11" s="14" t="inlineStr">
        <is>
          <t>m</t>
        </is>
      </c>
      <c r="D11" s="33">
        <f>Controle_HY8!B16</f>
        <v/>
      </c>
      <c r="E11" s="32">
        <f>D11-B11</f>
        <v/>
      </c>
    </row>
    <row r="12">
      <c r="A12" s="14" t="inlineStr">
        <is>
          <t>HW inlet depth (HY-8)</t>
        </is>
      </c>
      <c r="B12" s="32" t="n">
        <v>0.66</v>
      </c>
      <c r="C12" s="14" t="inlineStr">
        <is>
          <t>m</t>
        </is>
      </c>
      <c r="D12" s="33">
        <f>Controle_HY8!B38</f>
        <v/>
      </c>
      <c r="E12" s="32">
        <f>D12-B12</f>
        <v/>
      </c>
    </row>
    <row r="13">
      <c r="A13" s="14" t="inlineStr">
        <is>
          <t>HW outlet depth (HY-8)</t>
        </is>
      </c>
      <c r="B13" s="32" t="n">
        <v>1.51</v>
      </c>
      <c r="C13" s="14" t="inlineStr">
        <is>
          <t>m</t>
        </is>
      </c>
      <c r="D13" s="33">
        <f>Controle_HY8!B50</f>
        <v/>
      </c>
      <c r="E13" s="32">
        <f>D13-B13</f>
        <v/>
      </c>
    </row>
    <row r="14">
      <c r="A14" s="14" t="inlineStr">
        <is>
          <t>HW déterminante</t>
        </is>
      </c>
      <c r="B14" s="32" t="n">
        <v>1.51</v>
      </c>
      <c r="C14" s="14" t="inlineStr">
        <is>
          <t>m</t>
        </is>
      </c>
      <c r="D14" s="33">
        <f>Controle_HY8!B56</f>
        <v/>
      </c>
      <c r="E14" s="32">
        <f>D14-B14</f>
        <v/>
      </c>
    </row>
    <row r="15">
      <c r="A15" s="14" t="inlineStr">
        <is>
          <t>Élévation HW</t>
        </is>
      </c>
      <c r="B15" s="32" t="n">
        <v>31.71</v>
      </c>
      <c r="C15" s="14" t="inlineStr">
        <is>
          <t>m</t>
        </is>
      </c>
      <c r="D15" s="33">
        <f>Controle_HY8!B57</f>
        <v/>
      </c>
      <c r="E15" s="32">
        <f>D15-B15</f>
        <v/>
      </c>
    </row>
    <row r="16">
      <c r="A16" s="14" t="inlineStr">
        <is>
          <t>Contrôle</t>
        </is>
      </c>
      <c r="B16" s="14" t="inlineStr">
        <is>
          <t>OUTLET CONTROL</t>
        </is>
      </c>
      <c r="C16" s="14" t="inlineStr">
        <is>
          <t>-</t>
        </is>
      </c>
      <c r="D16" s="34">
        <f>Controle_HY8!B55</f>
        <v/>
      </c>
      <c r="E16" s="14">
        <f>IF(D16=B16,"OK","Différent")</f>
        <v/>
      </c>
    </row>
    <row r="18">
      <c r="A18" s="2" t="inlineStr">
        <is>
          <t>Comment caler TW pour coller à HY-8</t>
        </is>
      </c>
    </row>
    <row r="19" ht="100" customHeight="1">
      <c r="A19" s="3" t="inlineStr">
        <is>
          <t>1. Feuille Controle_HY8 déjà préremplie pour coller à HY-8 (Q=0.59, TW=1.62 m).
2. Vérifiez: Contrôle déterminant = OUTLET CONTROL.
3. Vérifiez: HW inlet ≈ 0.64–0.66 m, HW outlet ≈ 1.51 m, élévation HW ≈ 31.71 m.
4. Remplacez ensuite TW, A, C, i par vos données de terrain / IDF.
La feuille Calcul_simplifie fait la validation rapide Manning. La feuille Controle_HY8 fait le diagnostic inlet vs outlet.</t>
        </is>
      </c>
    </row>
    <row r="20"/>
    <row r="21"/>
    <row r="22"/>
    <row r="23"/>
    <row r="24"/>
    <row r="26">
      <c r="A26" s="31" t="inlineStr">
        <is>
          <t>Suggestion automatique de TW pour viser HW outlet = 1.51 m</t>
        </is>
      </c>
    </row>
    <row r="27">
      <c r="A27" s="35" t="inlineStr">
        <is>
          <t>TW de calage estimée</t>
        </is>
      </c>
      <c r="B27" s="36">
        <f>MAX(Controle_HY8!B48,(1.51-Controle_HY8!B46+Controle_HY8!B12*Controle_HY8!B20))</f>
        <v/>
      </c>
      <c r="C27" s="35" t="inlineStr">
        <is>
          <t>m</t>
        </is>
      </c>
      <c r="D27" s="35" t="inlineStr">
        <is>
          <t>Copier cette valeur dans Controle_HY8!B17 pour caler HY-8</t>
        </is>
      </c>
    </row>
  </sheetData>
  <mergeCells count="2">
    <mergeCell ref="A1:E1"/>
    <mergeCell ref="A19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2026-07-27T00:50:46Z</dcterms:created>
  <dcterms:modified xsi:type="dcterms:W3CDTF">2026-07-27T00:51:09Z</dcterms:modified>
</cp:coreProperties>
</file>