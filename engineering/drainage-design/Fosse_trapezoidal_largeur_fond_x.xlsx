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s" sheetId="1" state="visible" r:id="rId1"/>
    <sheet name="Figure_section" sheetId="2" state="visible" r:id="rId2"/>
    <sheet name="Guide" sheetId="3" state="visible" r:id="rId3"/>
    <sheet name="Inputs" sheetId="4" state="visible" r:id="rId4"/>
    <sheet name="Exemple_pas_a_pas" sheetId="5" state="visible" r:id="rId5"/>
    <sheet name="Comparaison_n" sheetId="6" state="visible" r:id="rId6"/>
    <sheet name="Solveur_optionn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b val="1"/>
      <color rgb="001F4E79"/>
      <sz val="14"/>
    </font>
    <font>
      <b val="1"/>
      <color rgb="001F4E7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2" fontId="0" fillId="6" borderId="1" pivotButton="0" quotePrefix="0" xfId="0"/>
    <xf numFmtId="164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165" fontId="0" fillId="5" borderId="1" pivotButton="0" quotePrefix="0" xfId="0"/>
    <xf numFmtId="2" fontId="0" fillId="5" borderId="1" pivotButton="0" quotePrefix="0" xfId="0"/>
    <xf numFmtId="164" fontId="0" fillId="5" borderId="1" pivotButton="0" quotePrefix="0" xfId="0"/>
    <xf numFmtId="165" fontId="0" fillId="3" borderId="1" pivotButton="0" quotePrefix="0" xfId="0"/>
    <xf numFmtId="0" fontId="0" fillId="6" borderId="1" pivotButton="0" quotePrefix="0" xfId="0"/>
    <xf numFmtId="164" fontId="0" fillId="6" borderId="1" pivotButton="0" quotePrefix="0" xfId="0"/>
    <xf numFmtId="164" fontId="0" fillId="3" borderId="0" pivotButton="0" quotePrefix="0" xfId="0"/>
    <xf numFmtId="165" fontId="0" fillId="3" borderId="0" pivotButton="0" quotePrefix="0" xfId="0"/>
    <xf numFmtId="164" fontId="0" fillId="5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/>
    </xf>
    <xf numFmtId="2" fontId="0" fillId="3" borderId="1" pivotButton="0" quotePrefix="0" xfId="0"/>
    <xf numFmtId="165" fontId="0" fillId="5" borderId="1" pivotButton="0" quotePrefix="0" xfId="0"/>
    <xf numFmtId="164" fontId="0" fillId="5" borderId="1" pivotButton="0" quotePrefix="0" xfId="0"/>
    <xf numFmtId="165" fontId="0" fillId="3" borderId="1" pivotButton="0" quotePrefix="0" xfId="0"/>
    <xf numFmtId="164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Guide</author>
  </authors>
  <commentList>
    <comment ref="B6" authorId="0" shapeId="0">
      <text>
        <t>x trouvé pour que Q calc ≈ Q design.
Méthode: Valeur cible Excel, ou onglet Solveur.
Pas de longue formule à expliquer ici.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6572250" cy="3000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RÉSULTATS — fossé trapézoïdal (formules courtes)</t>
        </is>
      </c>
    </row>
    <row r="2">
      <c r="A2" t="inlineStr">
        <is>
          <t>Jaune = y choisi et x trouvé (Valeur cible). Vert = formules simples A, P, R, Tw, Q, V.</t>
        </is>
      </c>
    </row>
    <row r="3">
      <c r="A3" t="inlineStr">
        <is>
          <t>Paramètres:</t>
        </is>
      </c>
      <c r="B3" t="inlineStr">
        <is>
          <t>Q=</t>
        </is>
      </c>
      <c r="C3" s="23">
        <f>Inputs!B4</f>
        <v/>
      </c>
      <c r="D3" t="inlineStr">
        <is>
          <t>S=</t>
        </is>
      </c>
      <c r="E3" s="24">
        <f>Inputs!B5</f>
        <v/>
      </c>
      <c r="F3" t="inlineStr">
        <is>
          <t>n=</t>
        </is>
      </c>
      <c r="G3" s="23">
        <f>Inputs!B6</f>
        <v/>
      </c>
      <c r="H3" t="inlineStr">
        <is>
          <t>z=</t>
        </is>
      </c>
      <c r="I3" s="4">
        <f>Inputs!B7</f>
        <v/>
      </c>
    </row>
    <row r="5" ht="36" customHeight="1">
      <c r="A5" s="5" t="inlineStr">
        <is>
          <t>y eau
(m)</t>
        </is>
      </c>
      <c r="B5" s="5" t="inlineStr">
        <is>
          <t>x fond
(m)</t>
        </is>
      </c>
      <c r="C5" s="5" t="inlineStr">
        <is>
          <t>A
(m²)</t>
        </is>
      </c>
      <c r="D5" s="5" t="inlineStr">
        <is>
          <t>P
(m)</t>
        </is>
      </c>
      <c r="E5" s="5" t="inlineStr">
        <is>
          <t>R
(m)</t>
        </is>
      </c>
      <c r="F5" s="5" t="inlineStr">
        <is>
          <t>Tw
(m)</t>
        </is>
      </c>
      <c r="G5" s="5" t="inlineStr">
        <is>
          <t>Q calc
(m³/s)</t>
        </is>
      </c>
      <c r="H5" s="5" t="inlineStr">
        <is>
          <t>V
(m/s)</t>
        </is>
      </c>
      <c r="I5" s="5" t="inlineStr">
        <is>
          <t>Écart
Q</t>
        </is>
      </c>
      <c r="J5" s="5" t="inlineStr">
        <is>
          <t>OK?</t>
        </is>
      </c>
    </row>
    <row r="6">
      <c r="A6" s="6" t="n">
        <v>0.2</v>
      </c>
      <c r="B6" s="25" t="n">
        <v>11.917</v>
      </c>
      <c r="C6" s="26">
        <f>($B6+$I$3*$A6)*$A6</f>
        <v/>
      </c>
      <c r="D6" s="26">
        <f>$B6+2*$A6*SQRT(1+$I$3^2)</f>
        <v/>
      </c>
      <c r="E6" s="26">
        <f>C6/D6</f>
        <v/>
      </c>
      <c r="F6" s="26">
        <f>$B6+2*$I$3*$A6</f>
        <v/>
      </c>
      <c r="G6" s="26">
        <f>(1/$G$3)*C6*E6^(2/3)*SQRT($E$3)</f>
        <v/>
      </c>
      <c r="H6" s="26">
        <f>G6/C6</f>
        <v/>
      </c>
      <c r="I6" s="9">
        <f>(G6-$C$3)/$C$3</f>
        <v/>
      </c>
      <c r="J6" s="10">
        <f>IF(ABS(I6)&lt;0.001,"OK","revoir x")</f>
        <v/>
      </c>
    </row>
    <row r="7">
      <c r="A7" s="6" t="n">
        <v>0.25</v>
      </c>
      <c r="B7" s="25" t="n">
        <v>8.161</v>
      </c>
      <c r="C7" s="26">
        <f>($B7+$I$3*$A7)*$A7</f>
        <v/>
      </c>
      <c r="D7" s="26">
        <f>$B7+2*$A7*SQRT(1+$I$3^2)</f>
        <v/>
      </c>
      <c r="E7" s="26">
        <f>C7/D7</f>
        <v/>
      </c>
      <c r="F7" s="26">
        <f>$B7+2*$I$3*$A7</f>
        <v/>
      </c>
      <c r="G7" s="26">
        <f>(1/$G$3)*C7*E7^(2/3)*SQRT($E$3)</f>
        <v/>
      </c>
      <c r="H7" s="26">
        <f>G7/C7</f>
        <v/>
      </c>
      <c r="I7" s="9">
        <f>(G7-$C$3)/$C$3</f>
        <v/>
      </c>
      <c r="J7" s="10">
        <f>IF(ABS(I7)&lt;0.001,"OK","revoir x")</f>
        <v/>
      </c>
    </row>
    <row r="8">
      <c r="A8" s="6" t="n">
        <v>0.3</v>
      </c>
      <c r="B8" s="25" t="n">
        <v>5.956</v>
      </c>
      <c r="C8" s="26">
        <f>($B8+$I$3*$A8)*$A8</f>
        <v/>
      </c>
      <c r="D8" s="26">
        <f>$B8+2*$A8*SQRT(1+$I$3^2)</f>
        <v/>
      </c>
      <c r="E8" s="26">
        <f>C8/D8</f>
        <v/>
      </c>
      <c r="F8" s="26">
        <f>$B8+2*$I$3*$A8</f>
        <v/>
      </c>
      <c r="G8" s="26">
        <f>(1/$G$3)*C8*E8^(2/3)*SQRT($E$3)</f>
        <v/>
      </c>
      <c r="H8" s="26">
        <f>G8/C8</f>
        <v/>
      </c>
      <c r="I8" s="9">
        <f>(G8-$C$3)/$C$3</f>
        <v/>
      </c>
      <c r="J8" s="10">
        <f>IF(ABS(I8)&lt;0.001,"OK","revoir x")</f>
        <v/>
      </c>
    </row>
    <row r="9">
      <c r="A9" s="6" t="n">
        <v>0.35</v>
      </c>
      <c r="B9" s="25" t="n">
        <v>4.529</v>
      </c>
      <c r="C9" s="26">
        <f>($B9+$I$3*$A9)*$A9</f>
        <v/>
      </c>
      <c r="D9" s="26">
        <f>$B9+2*$A9*SQRT(1+$I$3^2)</f>
        <v/>
      </c>
      <c r="E9" s="26">
        <f>C9/D9</f>
        <v/>
      </c>
      <c r="F9" s="26">
        <f>$B9+2*$I$3*$A9</f>
        <v/>
      </c>
      <c r="G9" s="26">
        <f>(1/$G$3)*C9*E9^(2/3)*SQRT($E$3)</f>
        <v/>
      </c>
      <c r="H9" s="26">
        <f>G9/C9</f>
        <v/>
      </c>
      <c r="I9" s="9">
        <f>(G9-$C$3)/$C$3</f>
        <v/>
      </c>
      <c r="J9" s="10">
        <f>IF(ABS(I9)&lt;0.001,"OK","revoir x")</f>
        <v/>
      </c>
    </row>
    <row r="10">
      <c r="A10" s="6" t="n">
        <v>0.4</v>
      </c>
      <c r="B10" s="25" t="n">
        <v>3.534</v>
      </c>
      <c r="C10" s="26">
        <f>($B10+$I$3*$A10)*$A10</f>
        <v/>
      </c>
      <c r="D10" s="26">
        <f>$B10+2*$A10*SQRT(1+$I$3^2)</f>
        <v/>
      </c>
      <c r="E10" s="26">
        <f>C10/D10</f>
        <v/>
      </c>
      <c r="F10" s="26">
        <f>$B10+2*$I$3*$A10</f>
        <v/>
      </c>
      <c r="G10" s="26">
        <f>(1/$G$3)*C10*E10^(2/3)*SQRT($E$3)</f>
        <v/>
      </c>
      <c r="H10" s="26">
        <f>G10/C10</f>
        <v/>
      </c>
      <c r="I10" s="9">
        <f>(G10-$C$3)/$C$3</f>
        <v/>
      </c>
      <c r="J10" s="10">
        <f>IF(ABS(I10)&lt;0.001,"OK","revoir x")</f>
        <v/>
      </c>
    </row>
    <row r="11">
      <c r="A11" s="6" t="n">
        <v>0.5</v>
      </c>
      <c r="B11" s="25" t="n">
        <v>2.233</v>
      </c>
      <c r="C11" s="26">
        <f>($B11+$I$3*$A11)*$A11</f>
        <v/>
      </c>
      <c r="D11" s="26">
        <f>$B11+2*$A11*SQRT(1+$I$3^2)</f>
        <v/>
      </c>
      <c r="E11" s="26">
        <f>C11/D11</f>
        <v/>
      </c>
      <c r="F11" s="26">
        <f>$B11+2*$I$3*$A11</f>
        <v/>
      </c>
      <c r="G11" s="26">
        <f>(1/$G$3)*C11*E11^(2/3)*SQRT($E$3)</f>
        <v/>
      </c>
      <c r="H11" s="26">
        <f>G11/C11</f>
        <v/>
      </c>
      <c r="I11" s="9">
        <f>(G11-$C$3)/$C$3</f>
        <v/>
      </c>
      <c r="J11" s="10">
        <f>IF(ABS(I11)&lt;0.001,"OK","revoir x")</f>
        <v/>
      </c>
    </row>
    <row r="12">
      <c r="A12" s="6" t="n">
        <v>0.6</v>
      </c>
      <c r="B12" s="25" t="n">
        <v>1.398</v>
      </c>
      <c r="C12" s="26">
        <f>($B12+$I$3*$A12)*$A12</f>
        <v/>
      </c>
      <c r="D12" s="26">
        <f>$B12+2*$A12*SQRT(1+$I$3^2)</f>
        <v/>
      </c>
      <c r="E12" s="26">
        <f>C12/D12</f>
        <v/>
      </c>
      <c r="F12" s="26">
        <f>$B12+2*$I$3*$A12</f>
        <v/>
      </c>
      <c r="G12" s="26">
        <f>(1/$G$3)*C12*E12^(2/3)*SQRT($E$3)</f>
        <v/>
      </c>
      <c r="H12" s="26">
        <f>G12/C12</f>
        <v/>
      </c>
      <c r="I12" s="9">
        <f>(G12-$C$3)/$C$3</f>
        <v/>
      </c>
      <c r="J12" s="10">
        <f>IF(ABS(I12)&lt;0.001,"OK","revoir x")</f>
        <v/>
      </c>
    </row>
    <row r="13">
      <c r="A13" s="6" t="n">
        <v>0.7</v>
      </c>
      <c r="B13" s="25" t="n">
        <v>0.792</v>
      </c>
      <c r="C13" s="26">
        <f>($B13+$I$3*$A13)*$A13</f>
        <v/>
      </c>
      <c r="D13" s="26">
        <f>$B13+2*$A13*SQRT(1+$I$3^2)</f>
        <v/>
      </c>
      <c r="E13" s="26">
        <f>C13/D13</f>
        <v/>
      </c>
      <c r="F13" s="26">
        <f>$B13+2*$I$3*$A13</f>
        <v/>
      </c>
      <c r="G13" s="26">
        <f>(1/$G$3)*C13*E13^(2/3)*SQRT($E$3)</f>
        <v/>
      </c>
      <c r="H13" s="26">
        <f>G13/C13</f>
        <v/>
      </c>
      <c r="I13" s="9">
        <f>(G13-$C$3)/$C$3</f>
        <v/>
      </c>
      <c r="J13" s="10">
        <f>IF(ABS(I13)&lt;0.001,"OK","revoir x")</f>
        <v/>
      </c>
    </row>
    <row r="14">
      <c r="A14" s="6" t="n">
        <v>0.76</v>
      </c>
      <c r="B14" s="25" t="n">
        <v>0.492</v>
      </c>
      <c r="C14" s="26">
        <f>($B14+$I$3*$A14)*$A14</f>
        <v/>
      </c>
      <c r="D14" s="26">
        <f>$B14+2*$A14*SQRT(1+$I$3^2)</f>
        <v/>
      </c>
      <c r="E14" s="26">
        <f>C14/D14</f>
        <v/>
      </c>
      <c r="F14" s="26">
        <f>$B14+2*$I$3*$A14</f>
        <v/>
      </c>
      <c r="G14" s="26">
        <f>(1/$G$3)*C14*E14^(2/3)*SQRT($E$3)</f>
        <v/>
      </c>
      <c r="H14" s="26">
        <f>G14/C14</f>
        <v/>
      </c>
      <c r="I14" s="9">
        <f>(G14-$C$3)/$C$3</f>
        <v/>
      </c>
      <c r="J14" s="10">
        <f>IF(ABS(I14)&lt;0.001,"OK","revoir x")</f>
        <v/>
      </c>
    </row>
    <row r="15">
      <c r="A15" s="6" t="n">
        <v>0.8</v>
      </c>
      <c r="B15" s="25" t="n">
        <v>0.311</v>
      </c>
      <c r="C15" s="26">
        <f>($B15+$I$3*$A15)*$A15</f>
        <v/>
      </c>
      <c r="D15" s="26">
        <f>$B15+2*$A15*SQRT(1+$I$3^2)</f>
        <v/>
      </c>
      <c r="E15" s="26">
        <f>C15/D15</f>
        <v/>
      </c>
      <c r="F15" s="26">
        <f>$B15+2*$I$3*$A15</f>
        <v/>
      </c>
      <c r="G15" s="26">
        <f>(1/$G$3)*C15*E15^(2/3)*SQRT($E$3)</f>
        <v/>
      </c>
      <c r="H15" s="26">
        <f>G15/C15</f>
        <v/>
      </c>
      <c r="I15" s="9">
        <f>(G15-$C$3)/$C$3</f>
        <v/>
      </c>
      <c r="J15" s="10">
        <f>IF(ABS(I15)&lt;0.001,"OK","revoir x")</f>
        <v/>
      </c>
    </row>
    <row r="16">
      <c r="A16" s="6" t="n">
        <v>0.9</v>
      </c>
      <c r="B16" s="25" t="n">
        <v>0</v>
      </c>
      <c r="C16" s="26">
        <f>($B16+$I$3*$A16)*$A16</f>
        <v/>
      </c>
      <c r="D16" s="26">
        <f>$B16+2*$A16*SQRT(1+$I$3^2)</f>
        <v/>
      </c>
      <c r="E16" s="26">
        <f>C16/D16</f>
        <v/>
      </c>
      <c r="F16" s="26">
        <f>$B16+2*$I$3*$A16</f>
        <v/>
      </c>
      <c r="G16" s="26">
        <f>(1/$G$3)*C16*E16^(2/3)*SQRT($E$3)</f>
        <v/>
      </c>
      <c r="H16" s="26">
        <f>G16/C16</f>
        <v/>
      </c>
      <c r="I16" s="9">
        <f>(G16-$C$3)/$C$3</f>
        <v/>
      </c>
      <c r="J16" s="10">
        <f>IF(ABS(I16)&lt;0.001,"OK","revoir x")</f>
        <v/>
      </c>
    </row>
    <row r="17">
      <c r="A17" s="6" t="n">
        <v>1</v>
      </c>
      <c r="B17" s="25" t="n">
        <v>0</v>
      </c>
      <c r="C17" s="26">
        <f>($B17+$I$3*$A17)*$A17</f>
        <v/>
      </c>
      <c r="D17" s="26">
        <f>$B17+2*$A17*SQRT(1+$I$3^2)</f>
        <v/>
      </c>
      <c r="E17" s="26">
        <f>C17/D17</f>
        <v/>
      </c>
      <c r="F17" s="26">
        <f>$B17+2*$I$3*$A17</f>
        <v/>
      </c>
      <c r="G17" s="26">
        <f>(1/$G$3)*C17*E17^(2/3)*SQRT($E$3)</f>
        <v/>
      </c>
      <c r="H17" s="26">
        <f>G17/C17</f>
        <v/>
      </c>
      <c r="I17" s="9">
        <f>(G17-$C$3)/$C$3</f>
        <v/>
      </c>
      <c r="J17" s="10">
        <f>IF(ABS(I17)&lt;0.001,"OK","revoir x")</f>
        <v/>
      </c>
    </row>
    <row r="20">
      <c r="A20" s="11" t="inlineStr">
        <is>
          <t>FOCUS 0.20 / 0.30 / 0.40 m (mêmes lignes que le tableau)</t>
        </is>
      </c>
    </row>
    <row r="21">
      <c r="A21" s="5" t="inlineStr">
        <is>
          <t>y (m)</t>
        </is>
      </c>
      <c r="B21" s="5" t="inlineStr">
        <is>
          <t>x (m)</t>
        </is>
      </c>
      <c r="C21" s="5" t="inlineStr">
        <is>
          <t>A (m²)</t>
        </is>
      </c>
      <c r="D21" s="5" t="inlineStr">
        <is>
          <t>P (m)</t>
        </is>
      </c>
      <c r="E21" s="5" t="inlineStr">
        <is>
          <t>R (m)</t>
        </is>
      </c>
      <c r="F21" s="5" t="inlineStr">
        <is>
          <t>Tw (m)</t>
        </is>
      </c>
      <c r="G21" s="5" t="inlineStr">
        <is>
          <t>Q (m³/s)</t>
        </is>
      </c>
      <c r="H21" s="5" t="inlineStr">
        <is>
          <t>V (m/s)</t>
        </is>
      </c>
    </row>
    <row r="22">
      <c r="A22" s="12" t="n">
        <v>0.2</v>
      </c>
      <c r="B22" s="27">
        <f>IFERROR(INDEX(B$6:B$17,MATCH(A22,$A$6:$A$17,0)),"")</f>
        <v/>
      </c>
      <c r="C22" s="27">
        <f>IFERROR(INDEX(C$6:C$17,MATCH(A22,$A$6:$A$17,0)),"")</f>
        <v/>
      </c>
      <c r="D22" s="27">
        <f>IFERROR(INDEX(D$6:D$17,MATCH(A22,$A$6:$A$17,0)),"")</f>
        <v/>
      </c>
      <c r="E22" s="27">
        <f>IFERROR(INDEX(E$6:E$17,MATCH(A22,$A$6:$A$17,0)),"")</f>
        <v/>
      </c>
      <c r="F22" s="27">
        <f>IFERROR(INDEX(F$6:F$17,MATCH(A22,$A$6:$A$17,0)),"")</f>
        <v/>
      </c>
      <c r="G22" s="27">
        <f>IFERROR(INDEX(G$6:G$17,MATCH(A22,$A$6:$A$17,0)),"")</f>
        <v/>
      </c>
      <c r="H22" s="27">
        <f>IFERROR(INDEX(H$6:H$17,MATCH(A22,$A$6:$A$17,0)),"")</f>
        <v/>
      </c>
    </row>
    <row r="23">
      <c r="A23" s="12" t="n">
        <v>0.3</v>
      </c>
      <c r="B23" s="27">
        <f>IFERROR(INDEX(B$6:B$17,MATCH(A23,$A$6:$A$17,0)),"")</f>
        <v/>
      </c>
      <c r="C23" s="27">
        <f>IFERROR(INDEX(C$6:C$17,MATCH(A23,$A$6:$A$17,0)),"")</f>
        <v/>
      </c>
      <c r="D23" s="27">
        <f>IFERROR(INDEX(D$6:D$17,MATCH(A23,$A$6:$A$17,0)),"")</f>
        <v/>
      </c>
      <c r="E23" s="27">
        <f>IFERROR(INDEX(E$6:E$17,MATCH(A23,$A$6:$A$17,0)),"")</f>
        <v/>
      </c>
      <c r="F23" s="27">
        <f>IFERROR(INDEX(F$6:F$17,MATCH(A23,$A$6:$A$17,0)),"")</f>
        <v/>
      </c>
      <c r="G23" s="27">
        <f>IFERROR(INDEX(G$6:G$17,MATCH(A23,$A$6:$A$17,0)),"")</f>
        <v/>
      </c>
      <c r="H23" s="27">
        <f>IFERROR(INDEX(H$6:H$17,MATCH(A23,$A$6:$A$17,0)),"")</f>
        <v/>
      </c>
    </row>
    <row r="24">
      <c r="A24" s="12" t="n">
        <v>0.4</v>
      </c>
      <c r="B24" s="27">
        <f>IFERROR(INDEX(B$6:B$17,MATCH(A24,$A$6:$A$17,0)),"")</f>
        <v/>
      </c>
      <c r="C24" s="27">
        <f>IFERROR(INDEX(C$6:C$17,MATCH(A24,$A$6:$A$17,0)),"")</f>
        <v/>
      </c>
      <c r="D24" s="27">
        <f>IFERROR(INDEX(D$6:D$17,MATCH(A24,$A$6:$A$17,0)),"")</f>
        <v/>
      </c>
      <c r="E24" s="27">
        <f>IFERROR(INDEX(E$6:E$17,MATCH(A24,$A$6:$A$17,0)),"")</f>
        <v/>
      </c>
      <c r="F24" s="27">
        <f>IFERROR(INDEX(F$6:F$17,MATCH(A24,$A$6:$A$17,0)),"")</f>
        <v/>
      </c>
      <c r="G24" s="27">
        <f>IFERROR(INDEX(G$6:G$17,MATCH(A24,$A$6:$A$17,0)),"")</f>
        <v/>
      </c>
      <c r="H24" s="27">
        <f>IFERROR(INDEX(H$6:H$17,MATCH(A24,$A$6:$A$17,0)),"")</f>
        <v/>
      </c>
    </row>
    <row r="26">
      <c r="A26" t="inlineStr">
        <is>
          <t>Pour expliquer une ligne au bureau: montrer y et x (jaune), puis ouvrir A, P, R, Tw, Q, V une formule à la fois.</t>
        </is>
      </c>
    </row>
    <row r="27">
      <c r="A27" t="inlineStr">
        <is>
          <t>Exemple oral: « A = (x + 2·y)·y ; P = x + 2·y·√5 ; R = A/P ; Q = (1/0.03)·A·R^(2/3)·√0.0173 ».</t>
        </is>
      </c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28" t="inlineStr">
        <is>
          <t>Figure — section trapezoïdale et x pour y = 0.25 / 0.30 / 0.35 m</t>
        </is>
      </c>
    </row>
    <row r="2">
      <c r="A2" t="inlineStr">
        <is>
          <t>Q = 3.598 m3/s ; S = 0.0173 ; n = 0.030 ; talus 2H:1V</t>
        </is>
      </c>
    </row>
    <row r="3">
      <c r="A3" t="inlineStr">
        <is>
          <t>Schema simple pour presentation. Tw = largeur au miroir = x + 4y.</t>
        </is>
      </c>
    </row>
    <row r="20">
      <c r="A20" s="29" t="inlineStr">
        <is>
          <t>Tableau (memes valeurs que la figure)</t>
        </is>
      </c>
    </row>
    <row r="21">
      <c r="A21" s="30" t="inlineStr">
        <is>
          <t>y (m)</t>
        </is>
      </c>
      <c r="B21" s="30" t="inlineStr">
        <is>
          <t>x (m)</t>
        </is>
      </c>
      <c r="C21" s="30" t="inlineStr">
        <is>
          <t>Tw (m)</t>
        </is>
      </c>
    </row>
    <row r="22">
      <c r="A22" s="18" t="n">
        <v>0.25</v>
      </c>
      <c r="B22" s="31" t="n">
        <v>8.16</v>
      </c>
      <c r="C22" s="31" t="n">
        <v>9.16</v>
      </c>
    </row>
    <row r="23">
      <c r="A23" s="18" t="n">
        <v>0.3</v>
      </c>
      <c r="B23" s="31" t="n">
        <v>5.96</v>
      </c>
      <c r="C23" s="31" t="n">
        <v>7.16</v>
      </c>
    </row>
    <row r="24">
      <c r="A24" s="18" t="n">
        <v>0.35</v>
      </c>
      <c r="B24" s="31" t="n">
        <v>4.53</v>
      </c>
      <c r="C24" s="31" t="n">
        <v>5.93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Fossé trapézoïdal — version SIMPLE (présentation bureau)</t>
        </is>
      </c>
    </row>
    <row r="3">
      <c r="A3" s="11" t="inlineStr">
        <is>
          <t>But</t>
        </is>
      </c>
    </row>
    <row r="4">
      <c r="A4" t="inlineStr">
        <is>
          <t>Pour un débit Q et une profondeur d’eau cible y, trouver la largeur de fond x du fossé.</t>
        </is>
      </c>
    </row>
    <row r="5">
      <c r="A5" t="inlineStr">
        <is>
          <t>Ensuite calculer A, P, R, Tw, V et vérifier Q avec Manning.</t>
        </is>
      </c>
    </row>
    <row r="7">
      <c r="A7" s="11" t="inlineStr">
        <is>
          <t>Formules (les seules à expliquer)</t>
        </is>
      </c>
    </row>
    <row r="8">
      <c r="A8" s="14" t="inlineStr">
        <is>
          <t>1) Aire mouillée</t>
        </is>
      </c>
      <c r="B8" s="15" t="inlineStr">
        <is>
          <t>A = (x + z·y) · y</t>
        </is>
      </c>
    </row>
    <row r="9">
      <c r="A9" s="14" t="inlineStr">
        <is>
          <t>2) Périmètre mouillé</t>
        </is>
      </c>
      <c r="B9" s="15" t="inlineStr">
        <is>
          <t>P = x + 2·y·√(1+z²)</t>
        </is>
      </c>
    </row>
    <row r="10">
      <c r="A10" s="14" t="inlineStr">
        <is>
          <t>3) Rayon hydraulique</t>
        </is>
      </c>
      <c r="B10" s="15" t="inlineStr">
        <is>
          <t>R = A / P</t>
        </is>
      </c>
    </row>
    <row r="11">
      <c r="A11" s="14" t="inlineStr">
        <is>
          <t>4) Largeur au miroir</t>
        </is>
      </c>
      <c r="B11" s="15" t="inlineStr">
        <is>
          <t>Tw = x + 2·z·y</t>
        </is>
      </c>
    </row>
    <row r="12">
      <c r="A12" s="14" t="inlineStr">
        <is>
          <t>5) Débit (Manning)</t>
        </is>
      </c>
      <c r="B12" s="15" t="inlineStr">
        <is>
          <t>Q = (1/n) · A · R^(2/3) · √S</t>
        </is>
      </c>
    </row>
    <row r="13">
      <c r="A13" s="14" t="inlineStr">
        <is>
          <t>6) Vitesse</t>
        </is>
      </c>
      <c r="B13" s="15" t="inlineStr">
        <is>
          <t>V = Q / A</t>
        </is>
      </c>
    </row>
    <row r="15">
      <c r="A15" s="11" t="inlineStr">
        <is>
          <t>Comment on obtient x ?</t>
        </is>
      </c>
    </row>
    <row r="16">
      <c r="A16" t="inlineStr">
        <is>
          <t>x n’a pas de formule courte. On le cherche pour que Q calculé = Q design.</t>
        </is>
      </c>
    </row>
    <row r="17">
      <c r="A17" t="inlineStr">
        <is>
          <t>C’est exactement la « Valeur cible » d’Excel (Données → Analyse de scénarios → Valeur cible).</t>
        </is>
      </c>
    </row>
    <row r="18">
      <c r="A18" t="inlineStr">
        <is>
          <t>Dans ce classeur: les x jaunes sont déjà trouvés pour vos Q, S, n. Les autres colonnes sont des formules courtes.</t>
        </is>
      </c>
    </row>
    <row r="19">
      <c r="A19" t="inlineStr">
        <is>
          <t>Si vous changez Q, S ou n: refaire une Valeur cible sur Qcalc (cible = Q) en variant x, ou utiliser l’onglet optionnel Solveur.</t>
        </is>
      </c>
    </row>
    <row r="21">
      <c r="A21" s="11" t="inlineStr">
        <is>
          <t>Couleurs</t>
        </is>
      </c>
    </row>
    <row r="22">
      <c r="A22" t="inlineStr">
        <is>
          <t>Jaune = saisie (ou x déjà résolu)</t>
        </is>
      </c>
    </row>
    <row r="23">
      <c r="A23" t="inlineStr">
        <is>
          <t>Vert = formule courte (facile à montrer)</t>
        </is>
      </c>
    </row>
    <row r="25">
      <c r="A25" s="11" t="inlineStr">
        <is>
          <t>Données projet</t>
        </is>
      </c>
    </row>
    <row r="26">
      <c r="A26" t="inlineStr">
        <is>
          <t>Q = 3.598 m³/s ; S = 0.0173 ; n = 0.030 (fossé) ; z = 2 (talus 2H:1V)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8" customWidth="1" min="4" max="4"/>
  </cols>
  <sheetData>
    <row r="1">
      <c r="A1" s="1" t="inlineStr">
        <is>
          <t>INPUTS</t>
        </is>
      </c>
    </row>
    <row r="3">
      <c r="A3" s="5" t="inlineStr">
        <is>
          <t>Paramètre</t>
        </is>
      </c>
      <c r="B3" s="5" t="inlineStr">
        <is>
          <t>Valeur</t>
        </is>
      </c>
      <c r="C3" s="5" t="inlineStr">
        <is>
          <t>Unité</t>
        </is>
      </c>
      <c r="D3" s="5" t="inlineStr">
        <is>
          <t>Note</t>
        </is>
      </c>
    </row>
    <row r="4">
      <c r="A4" s="16" t="inlineStr">
        <is>
          <t>Q design</t>
        </is>
      </c>
      <c r="B4" s="32" t="n">
        <v>3.598</v>
      </c>
      <c r="C4" s="16" t="inlineStr">
        <is>
          <t>m³/s</t>
        </is>
      </c>
      <c r="D4" s="16" t="inlineStr">
        <is>
          <t>Débit à passer</t>
        </is>
      </c>
    </row>
    <row r="5">
      <c r="A5" s="16" t="inlineStr">
        <is>
          <t>S</t>
        </is>
      </c>
      <c r="B5" s="32" t="n">
        <v>0.0173</v>
      </c>
      <c r="C5" s="16" t="inlineStr">
        <is>
          <t>m/m</t>
        </is>
      </c>
      <c r="D5" s="16" t="inlineStr">
        <is>
          <t>Pente longitudinale</t>
        </is>
      </c>
    </row>
    <row r="6">
      <c r="A6" s="16" t="inlineStr">
        <is>
          <t>n Manning</t>
        </is>
      </c>
      <c r="B6" s="32" t="n">
        <v>0.03</v>
      </c>
      <c r="C6" s="16" t="inlineStr">
        <is>
          <t>-</t>
        </is>
      </c>
      <c r="D6" s="16" t="inlineStr">
        <is>
          <t>Fossé typique 0.030</t>
        </is>
      </c>
    </row>
    <row r="7">
      <c r="A7" s="16" t="inlineStr">
        <is>
          <t>z talus</t>
        </is>
      </c>
      <c r="B7" s="32" t="n">
        <v>2</v>
      </c>
      <c r="C7" s="16" t="inlineStr">
        <is>
          <t>-</t>
        </is>
      </c>
      <c r="D7" s="16" t="inlineStr">
        <is>
          <t>2 = 2H:1V</t>
        </is>
      </c>
    </row>
    <row r="9">
      <c r="A9" t="inlineStr">
        <is>
          <t>Ces 4 valeurs sont utilisées par Resultats (références).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42" customWidth="1" min="3" max="3"/>
    <col width="10" customWidth="1" min="4" max="4"/>
  </cols>
  <sheetData>
    <row r="1">
      <c r="A1" s="1" t="inlineStr">
        <is>
          <t>EXEMPLE PAS À PAS — une seule profondeur (facile à projeter)</t>
        </is>
      </c>
    </row>
    <row r="3">
      <c r="A3" s="11" t="inlineStr">
        <is>
          <t>Données</t>
        </is>
      </c>
    </row>
    <row r="4">
      <c r="A4" s="5" t="inlineStr">
        <is>
          <t>Item</t>
        </is>
      </c>
      <c r="B4" s="5" t="inlineStr">
        <is>
          <t>Symbole</t>
        </is>
      </c>
      <c r="C4" s="5" t="inlineStr">
        <is>
          <t>Valeur</t>
        </is>
      </c>
      <c r="D4" s="5" t="inlineStr">
        <is>
          <t>Unité</t>
        </is>
      </c>
    </row>
    <row r="5">
      <c r="A5" s="16" t="inlineStr">
        <is>
          <t>Débit design</t>
        </is>
      </c>
      <c r="B5" s="16" t="inlineStr">
        <is>
          <t>Q</t>
        </is>
      </c>
      <c r="C5" s="32" t="n">
        <v>3.598</v>
      </c>
      <c r="D5" s="16" t="inlineStr">
        <is>
          <t>m³/s</t>
        </is>
      </c>
    </row>
    <row r="6">
      <c r="A6" s="16" t="inlineStr">
        <is>
          <t>Pente</t>
        </is>
      </c>
      <c r="B6" s="16" t="inlineStr">
        <is>
          <t>S</t>
        </is>
      </c>
      <c r="C6" s="32" t="n">
        <v>0.0173</v>
      </c>
      <c r="D6" s="16" t="inlineStr">
        <is>
          <t>m/m</t>
        </is>
      </c>
    </row>
    <row r="7">
      <c r="A7" s="16" t="inlineStr">
        <is>
          <t>Manning</t>
        </is>
      </c>
      <c r="B7" s="16" t="inlineStr">
        <is>
          <t>n</t>
        </is>
      </c>
      <c r="C7" s="32" t="n">
        <v>0.03</v>
      </c>
      <c r="D7" s="16" t="inlineStr">
        <is>
          <t>-</t>
        </is>
      </c>
    </row>
    <row r="8">
      <c r="A8" s="16" t="inlineStr">
        <is>
          <t>Talus</t>
        </is>
      </c>
      <c r="B8" s="16" t="inlineStr">
        <is>
          <t>z</t>
        </is>
      </c>
      <c r="C8" s="32" t="n">
        <v>2</v>
      </c>
      <c r="D8" s="16" t="inlineStr">
        <is>
          <t>-</t>
        </is>
      </c>
    </row>
    <row r="9">
      <c r="A9" s="16" t="inlineStr">
        <is>
          <t>Profondeur cible</t>
        </is>
      </c>
      <c r="B9" s="16" t="inlineStr">
        <is>
          <t>y</t>
        </is>
      </c>
      <c r="C9" s="18" t="n">
        <v>0.4</v>
      </c>
      <c r="D9" s="16" t="inlineStr">
        <is>
          <t>m</t>
        </is>
      </c>
    </row>
    <row r="10">
      <c r="A10" s="16" t="inlineStr">
        <is>
          <t>Largeur de fond (trouvée)</t>
        </is>
      </c>
      <c r="B10" s="16" t="inlineStr">
        <is>
          <t>x</t>
        </is>
      </c>
      <c r="C10" s="33" t="n">
        <v>3.534</v>
      </c>
      <c r="D10" s="16" t="inlineStr">
        <is>
          <t>m</t>
        </is>
      </c>
    </row>
    <row r="12">
      <c r="A12" s="11" t="inlineStr">
        <is>
          <t>Calculs (une cellule = une étape)</t>
        </is>
      </c>
    </row>
    <row r="13">
      <c r="A13" s="5" t="inlineStr">
        <is>
          <t>Étape</t>
        </is>
      </c>
      <c r="B13" s="5" t="inlineStr">
        <is>
          <t>Formule courte</t>
        </is>
      </c>
      <c r="C13" s="5" t="inlineStr">
        <is>
          <t>Cellule Excel</t>
        </is>
      </c>
      <c r="D13" s="5" t="inlineStr">
        <is>
          <t>Résultat</t>
        </is>
      </c>
    </row>
    <row r="14">
      <c r="A14" s="14" t="inlineStr">
        <is>
          <t>1. Aire A</t>
        </is>
      </c>
      <c r="B14" s="16" t="inlineStr">
        <is>
          <t>A = (x + z*y)*y</t>
        </is>
      </c>
      <c r="C14" s="27">
        <f>($C$10+$C$8*$C$9)*$C$9</f>
        <v/>
      </c>
      <c r="D14" s="16" t="inlineStr">
        <is>
          <t>m²</t>
        </is>
      </c>
    </row>
    <row r="15">
      <c r="A15" s="14" t="inlineStr">
        <is>
          <t>2. Périmètre P</t>
        </is>
      </c>
      <c r="B15" s="16" t="inlineStr">
        <is>
          <t>P = x + 2*y*SQRT(1+z^2)</t>
        </is>
      </c>
      <c r="C15" s="27">
        <f>$C$10+2*$C$9*SQRT(1+$C$8^2)</f>
        <v/>
      </c>
      <c r="D15" s="16" t="inlineStr">
        <is>
          <t>m</t>
        </is>
      </c>
    </row>
    <row r="16">
      <c r="A16" s="14" t="inlineStr">
        <is>
          <t>3. Rayon R</t>
        </is>
      </c>
      <c r="B16" s="16" t="inlineStr">
        <is>
          <t>R = A/P</t>
        </is>
      </c>
      <c r="C16" s="27">
        <f>C14/C15</f>
        <v/>
      </c>
      <c r="D16" s="16" t="inlineStr">
        <is>
          <t>m</t>
        </is>
      </c>
    </row>
    <row r="17">
      <c r="A17" s="14" t="inlineStr">
        <is>
          <t>4. Miroir Tw</t>
        </is>
      </c>
      <c r="B17" s="16" t="inlineStr">
        <is>
          <t>Tw = x + 2*z*y</t>
        </is>
      </c>
      <c r="C17" s="27">
        <f>$C$10+2*$C$8*$C$9</f>
        <v/>
      </c>
      <c r="D17" s="16" t="inlineStr">
        <is>
          <t>m</t>
        </is>
      </c>
    </row>
    <row r="18">
      <c r="A18" s="14" t="inlineStr">
        <is>
          <t>5. Débit Q</t>
        </is>
      </c>
      <c r="B18" s="16" t="inlineStr">
        <is>
          <t>Q = (1/n)*A*R^(2/3)*SQRT(S)</t>
        </is>
      </c>
      <c r="C18" s="27">
        <f>(1/$C$7)*C14*C16^(2/3)*SQRT($C$6)</f>
        <v/>
      </c>
      <c r="D18" s="16" t="inlineStr">
        <is>
          <t>m³/s</t>
        </is>
      </c>
    </row>
    <row r="19">
      <c r="A19" s="14" t="inlineStr">
        <is>
          <t>6. Vitesse V</t>
        </is>
      </c>
      <c r="B19" s="16" t="inlineStr">
        <is>
          <t>V = Q/A</t>
        </is>
      </c>
      <c r="C19" s="27">
        <f>C18/C14</f>
        <v/>
      </c>
      <c r="D19" s="16" t="inlineStr">
        <is>
          <t>m/s</t>
        </is>
      </c>
    </row>
    <row r="20">
      <c r="A20" s="14" t="inlineStr">
        <is>
          <t>7. Contrôle</t>
        </is>
      </c>
      <c r="B20" s="16" t="inlineStr">
        <is>
          <t>Q ≈ Q design ?</t>
        </is>
      </c>
      <c r="C20" s="27">
        <f>C18-$C$5</f>
        <v/>
      </c>
      <c r="D20" s="16" t="inlineStr">
        <is>
          <t>m³/s</t>
        </is>
      </c>
    </row>
    <row r="22">
      <c r="A22" s="11" t="inlineStr">
        <is>
          <t>Phrase pour le bureau:</t>
        </is>
      </c>
    </row>
    <row r="23">
      <c r="A23" t="inlineStr">
        <is>
          <t>« On fixe y = 0.40 m. On cherche x pour que Q = 3.598. Ici x = 3.534 m. Puis A, P, R, Tw, V se calculent avec les 6 formules ci-dessus. »</t>
        </is>
      </c>
    </row>
    <row r="24">
      <c r="A24" t="inlineStr">
        <is>
          <t>Pour une autre profondeur: changez y (C9) et mettez le nouvel x (C10) depuis l’onglet Resultats; les étapes se recalculent.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COMPARAISON n (valeurs de x seulement)</t>
        </is>
      </c>
    </row>
    <row r="2">
      <c r="A2" t="inlineStr">
        <is>
          <t>Tableau prêt à montrer si on hésite sur n. Pas de formules longues — valeurs déjà calculées.</t>
        </is>
      </c>
    </row>
    <row r="4">
      <c r="A4" s="5" t="inlineStr">
        <is>
          <t>y (m)</t>
        </is>
      </c>
      <c r="B4" s="5" t="inlineStr">
        <is>
          <t>x si n=0.025</t>
        </is>
      </c>
      <c r="C4" s="5" t="inlineStr">
        <is>
          <t>x si n=0.030</t>
        </is>
      </c>
      <c r="D4" s="5" t="inlineStr">
        <is>
          <t>x si n=0.035</t>
        </is>
      </c>
      <c r="E4" s="5" t="inlineStr">
        <is>
          <t>Tw (n=0.030)</t>
        </is>
      </c>
      <c r="F4" s="5" t="inlineStr">
        <is>
          <t>V (n=0.030)</t>
        </is>
      </c>
    </row>
    <row r="5">
      <c r="A5" s="18" t="n">
        <v>0.2</v>
      </c>
      <c r="B5" s="27" t="n">
        <v>9.914999999999999</v>
      </c>
      <c r="C5" s="27" t="n">
        <v>11.917</v>
      </c>
      <c r="D5" s="27" t="n">
        <v>13.918</v>
      </c>
      <c r="E5" s="27" t="n">
        <v>12.717</v>
      </c>
      <c r="F5" s="27" t="n">
        <v>1.461</v>
      </c>
    </row>
    <row r="6">
      <c r="A6" s="18" t="n">
        <v>0.25</v>
      </c>
      <c r="B6" s="27" t="n">
        <v>6.778</v>
      </c>
      <c r="C6" s="27" t="n">
        <v>8.161</v>
      </c>
      <c r="D6" s="27" t="n">
        <v>9.542</v>
      </c>
      <c r="E6" s="27" t="n">
        <v>9.161</v>
      </c>
      <c r="F6" s="27" t="n">
        <v>1.662</v>
      </c>
    </row>
    <row r="7">
      <c r="A7" s="18" t="n">
        <v>0.3</v>
      </c>
      <c r="B7" s="27" t="n">
        <v>4.932</v>
      </c>
      <c r="C7" s="27" t="n">
        <v>5.956</v>
      </c>
      <c r="D7" s="27" t="n">
        <v>6.979</v>
      </c>
      <c r="E7" s="27" t="n">
        <v>7.156</v>
      </c>
      <c r="F7" s="27" t="n">
        <v>1.829</v>
      </c>
    </row>
    <row r="8">
      <c r="A8" s="18" t="n">
        <v>0.35</v>
      </c>
      <c r="B8" s="27" t="n">
        <v>3.731</v>
      </c>
      <c r="C8" s="27" t="n">
        <v>4.529</v>
      </c>
      <c r="D8" s="27" t="n">
        <v>5.324</v>
      </c>
      <c r="E8" s="27" t="n">
        <v>5.929</v>
      </c>
      <c r="F8" s="27" t="n">
        <v>1.966</v>
      </c>
    </row>
    <row r="9">
      <c r="A9" s="18" t="n">
        <v>0.4</v>
      </c>
      <c r="B9" s="27" t="n">
        <v>2.889</v>
      </c>
      <c r="C9" s="27" t="n">
        <v>3.534</v>
      </c>
      <c r="D9" s="27" t="n">
        <v>4.175</v>
      </c>
      <c r="E9" s="27" t="n">
        <v>5.134</v>
      </c>
      <c r="F9" s="27" t="n">
        <v>2.075</v>
      </c>
    </row>
    <row r="10">
      <c r="A10" s="18" t="n">
        <v>0.5</v>
      </c>
      <c r="B10" s="27" t="n">
        <v>1.776</v>
      </c>
      <c r="C10" s="27" t="n">
        <v>2.233</v>
      </c>
      <c r="D10" s="27" t="n">
        <v>2.686</v>
      </c>
      <c r="E10" s="27" t="n">
        <v>4.233</v>
      </c>
      <c r="F10" s="27" t="n">
        <v>2.226</v>
      </c>
    </row>
    <row r="11">
      <c r="A11" s="18" t="n">
        <v>0.6</v>
      </c>
      <c r="B11" s="27" t="n">
        <v>1.047</v>
      </c>
      <c r="C11" s="27" t="n">
        <v>1.398</v>
      </c>
      <c r="D11" s="27" t="n">
        <v>1.744</v>
      </c>
      <c r="E11" s="27" t="n">
        <v>3.798</v>
      </c>
      <c r="F11" s="27" t="n">
        <v>2.308</v>
      </c>
    </row>
    <row r="12">
      <c r="A12" s="18" t="n">
        <v>0.7</v>
      </c>
      <c r="B12" s="27" t="n">
        <v>0.506</v>
      </c>
      <c r="C12" s="27" t="n">
        <v>0.792</v>
      </c>
      <c r="D12" s="27" t="n">
        <v>1.071</v>
      </c>
      <c r="E12" s="27" t="n">
        <v>3.592</v>
      </c>
      <c r="F12" s="27" t="n">
        <v>2.345</v>
      </c>
    </row>
    <row r="13">
      <c r="A13" s="18" t="n">
        <v>0.76</v>
      </c>
      <c r="B13" s="27" t="n">
        <v>0.235</v>
      </c>
      <c r="C13" s="27" t="n">
        <v>0.492</v>
      </c>
      <c r="D13" s="27" t="n">
        <v>0.743</v>
      </c>
      <c r="E13" s="27" t="n">
        <v>3.532</v>
      </c>
      <c r="F13" s="27" t="n">
        <v>2.353</v>
      </c>
    </row>
    <row r="14">
      <c r="A14" s="18" t="n">
        <v>0.8</v>
      </c>
      <c r="B14" s="27" t="n">
        <v>0.07000000000000001</v>
      </c>
      <c r="C14" s="27" t="n">
        <v>0.311</v>
      </c>
      <c r="D14" s="27" t="n">
        <v>0.546</v>
      </c>
      <c r="E14" s="27" t="n">
        <v>3.511</v>
      </c>
      <c r="F14" s="27" t="n">
        <v>2.353</v>
      </c>
    </row>
    <row r="15">
      <c r="A15" s="18" t="n">
        <v>0.9</v>
      </c>
      <c r="B15" s="27" t="n">
        <v>0</v>
      </c>
      <c r="C15" s="27" t="n">
        <v>0</v>
      </c>
      <c r="D15" s="27" t="n">
        <v>0.11</v>
      </c>
      <c r="E15" s="27" t="n">
        <v>3.6</v>
      </c>
      <c r="F15" s="27" t="n">
        <v>2.221</v>
      </c>
    </row>
    <row r="16">
      <c r="A16" s="18" t="n">
        <v>1</v>
      </c>
      <c r="B16" s="27" t="n">
        <v>0</v>
      </c>
      <c r="C16" s="27" t="n">
        <v>0</v>
      </c>
      <c r="D16" s="27" t="n">
        <v>0</v>
      </c>
      <c r="E16" s="27" t="n">
        <v>4</v>
      </c>
      <c r="F16" s="27" t="n">
        <v>1.799</v>
      </c>
    </row>
    <row r="19">
      <c r="A19" t="inlineStr">
        <is>
          <t>Si n augmente (fossé plus rugueux), il faut un x plus grand pour le même 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5" customWidth="1" min="3" max="3"/>
  </cols>
  <sheetData>
    <row r="1">
      <c r="A1" s="1" t="inlineStr">
        <is>
          <t>SOLVEUR OPTIONNEL — si vous changez Q, S ou n</t>
        </is>
      </c>
    </row>
    <row r="3">
      <c r="A3" s="11" t="inlineStr">
        <is>
          <t>Méthode recommandée au bureau (officielle Excel, facile à expliquer):</t>
        </is>
      </c>
    </row>
    <row r="4">
      <c r="A4" t="inlineStr">
        <is>
          <t>1. Écrire y et un essai de x (jaune)</t>
        </is>
      </c>
    </row>
    <row r="5">
      <c r="A5" t="inlineStr">
        <is>
          <t>2. Les formules vertes calculent Q</t>
        </is>
      </c>
    </row>
    <row r="6">
      <c r="A6" t="inlineStr">
        <is>
          <t>3. Menu: Données → Analyse de scénarios → Valeur cible</t>
        </is>
      </c>
    </row>
    <row r="7">
      <c r="A7" t="inlineStr">
        <is>
          <t xml:space="preserve">   Cellule à définir: Q calc  |  Valeur à atteindre: Q design  |  Cellule à modifier: x</t>
        </is>
      </c>
    </row>
    <row r="8">
      <c r="A8" t="inlineStr">
        <is>
          <t>4. Excel ajuste x. Copier ce x dans Resultats.</t>
        </is>
      </c>
    </row>
    <row r="10">
      <c r="A10" s="11" t="inlineStr">
        <is>
          <t>Zone de travail Valeur cible</t>
        </is>
      </c>
    </row>
    <row r="11">
      <c r="A11" s="5" t="inlineStr">
        <is>
          <t>Item</t>
        </is>
      </c>
      <c r="B11" s="5" t="inlineStr">
        <is>
          <t>Valeur</t>
        </is>
      </c>
      <c r="C11" s="5" t="inlineStr">
        <is>
          <t>Unité</t>
        </is>
      </c>
    </row>
    <row r="12">
      <c r="A12" s="16" t="inlineStr">
        <is>
          <t>Q design (cible)</t>
        </is>
      </c>
      <c r="B12" s="34">
        <f>Inputs!B4</f>
        <v/>
      </c>
      <c r="C12" s="16" t="inlineStr">
        <is>
          <t>← valeur à atteindre</t>
        </is>
      </c>
    </row>
    <row r="13">
      <c r="A13" s="16" t="inlineStr">
        <is>
          <t>S</t>
        </is>
      </c>
      <c r="B13" s="34">
        <f>Inputs!B5</f>
        <v/>
      </c>
      <c r="C13" s="16" t="inlineStr">
        <is>
          <t>m/m</t>
        </is>
      </c>
    </row>
    <row r="14">
      <c r="A14" s="16" t="inlineStr">
        <is>
          <t>n</t>
        </is>
      </c>
      <c r="B14" s="34">
        <f>Inputs!B6</f>
        <v/>
      </c>
      <c r="C14" s="16" t="inlineStr">
        <is>
          <t>-</t>
        </is>
      </c>
    </row>
    <row r="15">
      <c r="A15" s="16" t="inlineStr">
        <is>
          <t>z</t>
        </is>
      </c>
      <c r="B15" s="34">
        <f>Inputs!B7</f>
        <v/>
      </c>
      <c r="C15" s="16" t="inlineStr">
        <is>
          <t>-</t>
        </is>
      </c>
    </row>
    <row r="16">
      <c r="A16" s="16" t="inlineStr">
        <is>
          <t>y (choix)</t>
        </is>
      </c>
      <c r="B16" s="32" t="n">
        <v>0.4</v>
      </c>
      <c r="C16" s="16" t="inlineStr">
        <is>
          <t>m</t>
        </is>
      </c>
    </row>
    <row r="17">
      <c r="A17" s="16" t="inlineStr">
        <is>
          <t>x (essai / résultat)</t>
        </is>
      </c>
      <c r="B17" s="32" t="n">
        <v>3.534</v>
      </c>
      <c r="C17" s="16" t="inlineStr">
        <is>
          <t>← cellule à modifier dans Valeur cible</t>
        </is>
      </c>
    </row>
    <row r="19">
      <c r="A19" s="14" t="inlineStr">
        <is>
          <t>A</t>
        </is>
      </c>
      <c r="B19" s="27">
        <f>($B$17+$B$15*$B$16)*$B$16</f>
        <v/>
      </c>
    </row>
    <row r="20">
      <c r="A20" s="14" t="inlineStr">
        <is>
          <t>P</t>
        </is>
      </c>
      <c r="B20" s="27">
        <f>$B$17+2*$B$16*SQRT(1+$B$15^2)</f>
        <v/>
      </c>
    </row>
    <row r="21">
      <c r="A21" s="14" t="inlineStr">
        <is>
          <t>R</t>
        </is>
      </c>
      <c r="B21" s="27">
        <f>B19/B20</f>
        <v/>
      </c>
    </row>
    <row r="22">
      <c r="A22" s="14" t="inlineStr">
        <is>
          <t>Tw</t>
        </is>
      </c>
      <c r="B22" s="27">
        <f>$B$17+2*$B$15*$B$16</f>
        <v/>
      </c>
    </row>
    <row r="23">
      <c r="A23" s="21" t="inlineStr">
        <is>
          <t>Q calc</t>
        </is>
      </c>
      <c r="B23" s="35">
        <f>(1/$B$14)*B19*B21^(2/3)*SQRT($B$13)</f>
        <v/>
      </c>
      <c r="C23" t="inlineStr">
        <is>
          <t>← cellule à définir dans Valeur cible</t>
        </is>
      </c>
    </row>
    <row r="24">
      <c r="A24" s="14" t="inlineStr">
        <is>
          <t>V</t>
        </is>
      </c>
      <c r="B24" s="27">
        <f>B23/B19</f>
        <v/>
      </c>
    </row>
    <row r="26">
      <c r="A26" t="inlineStr">
        <is>
          <t>Pas besoin de montrer de longues formules d’itération: la Valeur cible d’Excel suffit et est standard au bureau.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2026-08-01T14:29:07Z</dcterms:created>
  <dcterms:modified xsi:type="dcterms:W3CDTF">2026-08-01T15:15:46Z</dcterms:modified>
</cp:coreProperties>
</file>