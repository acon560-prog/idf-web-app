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Resultats" sheetId="2" state="visible" r:id="rId2"/>
    <sheet name="Inputs" sheetId="3" state="visible" r:id="rId3"/>
    <sheet name="Comparaison_n" sheetId="4" state="visible" r:id="rId4"/>
    <sheet name="Moteu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sz val="11"/>
    </font>
    <font>
      <b val="1"/>
      <color rgb="001F4E7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4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2" fontId="0" fillId="7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4" fillId="3" borderId="1" pivotButton="0" quotePrefix="0" xfId="0"/>
    <xf numFmtId="0" fontId="3" fillId="2" borderId="1" pivotButton="0" quotePrefix="0" xfId="0"/>
    <xf numFmtId="0" fontId="3" fillId="2" borderId="0" pivotButton="0" quotePrefix="0" xfId="0"/>
    <xf numFmtId="2" fontId="0" fillId="3" borderId="1" applyAlignment="1" pivotButton="0" quotePrefix="0" xfId="0">
      <alignment horizontal="center" vertical="center" wrapText="1"/>
    </xf>
    <xf numFmtId="165" fontId="0" fillId="3" borderId="1" pivotButton="0" quotePrefix="0" xfId="0"/>
    <xf numFmtId="2" fontId="0" fillId="3" borderId="1" pivotButton="0" quotePrefix="0" xfId="0"/>
    <xf numFmtId="0" fontId="0" fillId="3" borderId="1" pivotButton="0" quotePrefix="0" xfId="0"/>
    <xf numFmtId="2" fontId="0" fillId="4" borderId="1" pivotButton="0" quotePrefix="0" xfId="0"/>
    <xf numFmtId="10" fontId="0" fillId="4" borderId="1" pivotButton="0" quotePrefix="0" xfId="0"/>
    <xf numFmtId="164" fontId="0" fillId="4" borderId="1" pivotButton="0" quotePrefix="0" xfId="0"/>
    <xf numFmtId="165" fontId="0" fillId="4" borderId="1" applyAlignment="1" pivotButton="0" quotePrefix="0" xfId="0">
      <alignment horizontal="center" vertical="center" wrapText="1"/>
    </xf>
    <xf numFmtId="165" fontId="0" fillId="4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Fossé trapézoïdal — calcul automatique de la largeur de radier x</t>
        </is>
      </c>
    </row>
    <row r="3">
      <c r="A3" t="inlineStr">
        <is>
          <t>Remplace la « Valeur cible » (Excel: Données → Analyse de scénarios → Valeur cible / Goal Seek).</t>
        </is>
      </c>
    </row>
    <row r="4">
      <c r="A4" t="inlineStr">
        <is>
          <t>Ici, pour chaque profondeur d’eau cible y, la largeur de fond x est calculée pour obtenir Q design.</t>
        </is>
      </c>
    </row>
    <row r="5">
      <c r="A5" t="inlineStr">
        <is>
          <t>Section: trapèze, talus z H : 1 V (défaut z=2). Formules Manning SI.</t>
        </is>
      </c>
    </row>
    <row r="7">
      <c r="A7" s="2" t="inlineStr">
        <is>
          <t>Formules</t>
        </is>
      </c>
    </row>
    <row r="8">
      <c r="A8" t="inlineStr">
        <is>
          <t>A = (x + z·y)·y</t>
        </is>
      </c>
    </row>
    <row r="9">
      <c r="A9" t="inlineStr">
        <is>
          <t>P = x + 2·y·√(1+z²)</t>
        </is>
      </c>
    </row>
    <row r="10">
      <c r="A10" t="inlineStr">
        <is>
          <t>R = A/P</t>
        </is>
      </c>
    </row>
    <row r="11">
      <c r="A11" t="inlineStr">
        <is>
          <t>Q = (1/n)·A·R^(2/3)·√S</t>
        </is>
      </c>
    </row>
    <row r="12">
      <c r="A12" t="inlineStr">
        <is>
          <t>Largeur au miroir Tw = x + 2·z·y</t>
        </is>
      </c>
    </row>
    <row r="13">
      <c r="A13" t="inlineStr">
        <is>
          <t>V = Q/A</t>
        </is>
      </c>
    </row>
    <row r="15">
      <c r="A15" s="2" t="inlineStr">
        <is>
          <t>Onglets</t>
        </is>
      </c>
    </row>
    <row r="16">
      <c r="A16" t="inlineStr">
        <is>
          <t>Inputs — Q, S, n, z, liste des profondeurs cibles y</t>
        </is>
      </c>
    </row>
    <row r="17">
      <c r="A17" t="inlineStr">
        <is>
          <t>Resultats — tableau x(y), A, P, R, V, Tw, contrôle Q pour le n choisi</t>
        </is>
      </c>
    </row>
    <row r="18">
      <c r="A18" t="inlineStr">
        <is>
          <t>Comparaison_n — mêmes y pour n = 0.025 / 0.030 / 0.035 (herbe/terre typiques)</t>
        </is>
      </c>
    </row>
    <row r="19">
      <c r="A19" t="inlineStr">
        <is>
          <t>Moteur — itérations (bissection) qui recalculent x si vous changez Inputs (sans Valeur cible)</t>
        </is>
      </c>
    </row>
    <row r="21">
      <c r="A21" s="2" t="inlineStr">
        <is>
          <t>Valeurs actuelles du projet</t>
        </is>
      </c>
    </row>
    <row r="22">
      <c r="A22" t="inlineStr">
        <is>
          <t>Q = 3.598 m³/s ; S = 0.0173 m/m ; fossé (n typ. 0.030) ; talus 2H:1V</t>
        </is>
      </c>
    </row>
    <row r="23">
      <c r="A23" t="inlineStr">
        <is>
          <t>Jaune = saisie. Vert = calculé. Si x = 0, la section sans radier (triangle/trapèze à fond nul) suffit déjà pour Q.</t>
        </is>
      </c>
    </row>
    <row r="24">
      <c r="A24" t="inlineStr">
        <is>
          <t>Si la cellule x affiche « Trop profond/peu profond — hors plage », élargir la plage de recherche ou changer y/n.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0" customWidth="1" min="10" max="10"/>
    <col width="28" customWidth="1" min="11" max="11"/>
  </cols>
  <sheetData>
    <row r="1">
      <c r="A1" s="1" t="inlineStr">
        <is>
          <t>RÉSULTATS — largeur de fond x pour chaque profondeur d’eau cible y</t>
        </is>
      </c>
    </row>
    <row r="2">
      <c r="A2" t="inlineStr">
        <is>
          <t>Fossé trapézoïdal · talus z H:1V · Manning. Changez Inputs!B4:B7 ou la liste y — le tableau se met à jour.</t>
        </is>
      </c>
    </row>
    <row r="3">
      <c r="A3" t="inlineStr">
        <is>
          <t>Équivalent automatique de plusieurs « Valeur cible » (une par profondeur).</t>
        </is>
      </c>
    </row>
    <row r="5">
      <c r="A5" s="3" t="inlineStr">
        <is>
          <t>Paramètres utilisés</t>
        </is>
      </c>
    </row>
    <row r="6">
      <c r="A6" s="4" t="inlineStr">
        <is>
          <t>Q (m³/s)</t>
        </is>
      </c>
      <c r="B6" s="23">
        <f>Inputs!B4</f>
        <v/>
      </c>
    </row>
    <row r="7">
      <c r="A7" s="4" t="inlineStr">
        <is>
          <t>S (m/m)</t>
        </is>
      </c>
      <c r="B7" s="23">
        <f>Inputs!B5</f>
        <v/>
      </c>
    </row>
    <row r="8">
      <c r="A8" s="4" t="inlineStr">
        <is>
          <t>n</t>
        </is>
      </c>
      <c r="B8" s="23">
        <f>Inputs!B6</f>
        <v/>
      </c>
    </row>
    <row r="9">
      <c r="A9" s="4" t="inlineStr">
        <is>
          <t>z (H:V)</t>
        </is>
      </c>
      <c r="B9" s="23">
        <f>Inputs!B7</f>
        <v/>
      </c>
    </row>
    <row r="11" ht="32" customHeight="1">
      <c r="A11" s="6" t="inlineStr">
        <is>
          <t>y eau (m)</t>
        </is>
      </c>
      <c r="B11" s="6" t="inlineStr">
        <is>
          <t>x fond (m)</t>
        </is>
      </c>
      <c r="C11" s="6" t="inlineStr">
        <is>
          <t>Statut</t>
        </is>
      </c>
      <c r="D11" s="6" t="inlineStr">
        <is>
          <t>A (m²)</t>
        </is>
      </c>
      <c r="E11" s="6" t="inlineStr">
        <is>
          <t>P (m)</t>
        </is>
      </c>
      <c r="F11" s="6" t="inlineStr">
        <is>
          <t>R (m)</t>
        </is>
      </c>
      <c r="G11" s="6" t="inlineStr">
        <is>
          <t>Tw miroir (m)</t>
        </is>
      </c>
      <c r="H11" s="6" t="inlineStr">
        <is>
          <t>V (m/s)</t>
        </is>
      </c>
      <c r="I11" s="6" t="inlineStr">
        <is>
          <t>Q calc (m³/s)</t>
        </is>
      </c>
      <c r="J11" s="6" t="inlineStr">
        <is>
          <t>Écart Q</t>
        </is>
      </c>
      <c r="K11" s="6" t="inlineStr">
        <is>
          <t>Remarque</t>
        </is>
      </c>
    </row>
    <row r="12">
      <c r="A12" s="24">
        <f>Moteur!A12</f>
        <v/>
      </c>
      <c r="B12" s="24">
        <f>Moteur!B12</f>
        <v/>
      </c>
      <c r="C12" s="8">
        <f>Moteur!C12</f>
        <v/>
      </c>
      <c r="D12" s="24">
        <f>Moteur!D12</f>
        <v/>
      </c>
      <c r="E12" s="24">
        <f>Moteur!E12</f>
        <v/>
      </c>
      <c r="F12" s="24">
        <f>Moteur!F12</f>
        <v/>
      </c>
      <c r="G12" s="24">
        <f>Moteur!G12</f>
        <v/>
      </c>
      <c r="H12" s="24">
        <f>Moteur!H12</f>
        <v/>
      </c>
      <c r="I12" s="24">
        <f>Moteur!I12</f>
        <v/>
      </c>
      <c r="J12" s="9">
        <f>Moteur!K12</f>
        <v/>
      </c>
      <c r="K12" s="8">
        <f>IF(A12="","",IF(B12=0,"Section à fond nul OK",IF(C12="OK","Valeur cible atteinte","Vérifier n/y/S")))</f>
        <v/>
      </c>
    </row>
    <row r="13">
      <c r="A13" s="24">
        <f>Moteur!A13</f>
        <v/>
      </c>
      <c r="B13" s="24">
        <f>Moteur!B13</f>
        <v/>
      </c>
      <c r="C13" s="8">
        <f>Moteur!C13</f>
        <v/>
      </c>
      <c r="D13" s="24">
        <f>Moteur!D13</f>
        <v/>
      </c>
      <c r="E13" s="24">
        <f>Moteur!E13</f>
        <v/>
      </c>
      <c r="F13" s="24">
        <f>Moteur!F13</f>
        <v/>
      </c>
      <c r="G13" s="24">
        <f>Moteur!G13</f>
        <v/>
      </c>
      <c r="H13" s="24">
        <f>Moteur!H13</f>
        <v/>
      </c>
      <c r="I13" s="24">
        <f>Moteur!I13</f>
        <v/>
      </c>
      <c r="J13" s="9">
        <f>Moteur!K13</f>
        <v/>
      </c>
      <c r="K13" s="8">
        <f>IF(A13="","",IF(B13=0,"Section à fond nul OK",IF(C13="OK","Valeur cible atteinte","Vérifier n/y/S")))</f>
        <v/>
      </c>
    </row>
    <row r="14">
      <c r="A14" s="24">
        <f>Moteur!A14</f>
        <v/>
      </c>
      <c r="B14" s="24">
        <f>Moteur!B14</f>
        <v/>
      </c>
      <c r="C14" s="8">
        <f>Moteur!C14</f>
        <v/>
      </c>
      <c r="D14" s="24">
        <f>Moteur!D14</f>
        <v/>
      </c>
      <c r="E14" s="24">
        <f>Moteur!E14</f>
        <v/>
      </c>
      <c r="F14" s="24">
        <f>Moteur!F14</f>
        <v/>
      </c>
      <c r="G14" s="24">
        <f>Moteur!G14</f>
        <v/>
      </c>
      <c r="H14" s="24">
        <f>Moteur!H14</f>
        <v/>
      </c>
      <c r="I14" s="24">
        <f>Moteur!I14</f>
        <v/>
      </c>
      <c r="J14" s="9">
        <f>Moteur!K14</f>
        <v/>
      </c>
      <c r="K14" s="8">
        <f>IF(A14="","",IF(B14=0,"Section à fond nul OK",IF(C14="OK","Valeur cible atteinte","Vérifier n/y/S")))</f>
        <v/>
      </c>
    </row>
    <row r="15">
      <c r="A15" s="24">
        <f>Moteur!A15</f>
        <v/>
      </c>
      <c r="B15" s="24">
        <f>Moteur!B15</f>
        <v/>
      </c>
      <c r="C15" s="8">
        <f>Moteur!C15</f>
        <v/>
      </c>
      <c r="D15" s="24">
        <f>Moteur!D15</f>
        <v/>
      </c>
      <c r="E15" s="24">
        <f>Moteur!E15</f>
        <v/>
      </c>
      <c r="F15" s="24">
        <f>Moteur!F15</f>
        <v/>
      </c>
      <c r="G15" s="24">
        <f>Moteur!G15</f>
        <v/>
      </c>
      <c r="H15" s="24">
        <f>Moteur!H15</f>
        <v/>
      </c>
      <c r="I15" s="24">
        <f>Moteur!I15</f>
        <v/>
      </c>
      <c r="J15" s="9">
        <f>Moteur!K15</f>
        <v/>
      </c>
      <c r="K15" s="8">
        <f>IF(A15="","",IF(B15=0,"Section à fond nul OK",IF(C15="OK","Valeur cible atteinte","Vérifier n/y/S")))</f>
        <v/>
      </c>
    </row>
    <row r="16">
      <c r="A16" s="24">
        <f>Moteur!A16</f>
        <v/>
      </c>
      <c r="B16" s="24">
        <f>Moteur!B16</f>
        <v/>
      </c>
      <c r="C16" s="8">
        <f>Moteur!C16</f>
        <v/>
      </c>
      <c r="D16" s="24">
        <f>Moteur!D16</f>
        <v/>
      </c>
      <c r="E16" s="24">
        <f>Moteur!E16</f>
        <v/>
      </c>
      <c r="F16" s="24">
        <f>Moteur!F16</f>
        <v/>
      </c>
      <c r="G16" s="24">
        <f>Moteur!G16</f>
        <v/>
      </c>
      <c r="H16" s="24">
        <f>Moteur!H16</f>
        <v/>
      </c>
      <c r="I16" s="24">
        <f>Moteur!I16</f>
        <v/>
      </c>
      <c r="J16" s="9">
        <f>Moteur!K16</f>
        <v/>
      </c>
      <c r="K16" s="8">
        <f>IF(A16="","",IF(B16=0,"Section à fond nul OK",IF(C16="OK","Valeur cible atteinte","Vérifier n/y/S")))</f>
        <v/>
      </c>
    </row>
    <row r="17">
      <c r="A17" s="24">
        <f>Moteur!A17</f>
        <v/>
      </c>
      <c r="B17" s="24">
        <f>Moteur!B17</f>
        <v/>
      </c>
      <c r="C17" s="8">
        <f>Moteur!C17</f>
        <v/>
      </c>
      <c r="D17" s="24">
        <f>Moteur!D17</f>
        <v/>
      </c>
      <c r="E17" s="24">
        <f>Moteur!E17</f>
        <v/>
      </c>
      <c r="F17" s="24">
        <f>Moteur!F17</f>
        <v/>
      </c>
      <c r="G17" s="24">
        <f>Moteur!G17</f>
        <v/>
      </c>
      <c r="H17" s="24">
        <f>Moteur!H17</f>
        <v/>
      </c>
      <c r="I17" s="24">
        <f>Moteur!I17</f>
        <v/>
      </c>
      <c r="J17" s="9">
        <f>Moteur!K17</f>
        <v/>
      </c>
      <c r="K17" s="8">
        <f>IF(A17="","",IF(B17=0,"Section à fond nul OK",IF(C17="OK","Valeur cible atteinte","Vérifier n/y/S")))</f>
        <v/>
      </c>
    </row>
    <row r="18">
      <c r="A18" s="24">
        <f>Moteur!A18</f>
        <v/>
      </c>
      <c r="B18" s="24">
        <f>Moteur!B18</f>
        <v/>
      </c>
      <c r="C18" s="8">
        <f>Moteur!C18</f>
        <v/>
      </c>
      <c r="D18" s="24">
        <f>Moteur!D18</f>
        <v/>
      </c>
      <c r="E18" s="24">
        <f>Moteur!E18</f>
        <v/>
      </c>
      <c r="F18" s="24">
        <f>Moteur!F18</f>
        <v/>
      </c>
      <c r="G18" s="24">
        <f>Moteur!G18</f>
        <v/>
      </c>
      <c r="H18" s="24">
        <f>Moteur!H18</f>
        <v/>
      </c>
      <c r="I18" s="24">
        <f>Moteur!I18</f>
        <v/>
      </c>
      <c r="J18" s="9">
        <f>Moteur!K18</f>
        <v/>
      </c>
      <c r="K18" s="8">
        <f>IF(A18="","",IF(B18=0,"Section à fond nul OK",IF(C18="OK","Valeur cible atteinte","Vérifier n/y/S")))</f>
        <v/>
      </c>
    </row>
    <row r="19">
      <c r="A19" s="24">
        <f>Moteur!A19</f>
        <v/>
      </c>
      <c r="B19" s="24">
        <f>Moteur!B19</f>
        <v/>
      </c>
      <c r="C19" s="8">
        <f>Moteur!C19</f>
        <v/>
      </c>
      <c r="D19" s="24">
        <f>Moteur!D19</f>
        <v/>
      </c>
      <c r="E19" s="24">
        <f>Moteur!E19</f>
        <v/>
      </c>
      <c r="F19" s="24">
        <f>Moteur!F19</f>
        <v/>
      </c>
      <c r="G19" s="24">
        <f>Moteur!G19</f>
        <v/>
      </c>
      <c r="H19" s="24">
        <f>Moteur!H19</f>
        <v/>
      </c>
      <c r="I19" s="24">
        <f>Moteur!I19</f>
        <v/>
      </c>
      <c r="J19" s="9">
        <f>Moteur!K19</f>
        <v/>
      </c>
      <c r="K19" s="8">
        <f>IF(A19="","",IF(B19=0,"Section à fond nul OK",IF(C19="OK","Valeur cible atteinte","Vérifier n/y/S")))</f>
        <v/>
      </c>
    </row>
    <row r="20">
      <c r="A20" s="24">
        <f>Moteur!A20</f>
        <v/>
      </c>
      <c r="B20" s="24">
        <f>Moteur!B20</f>
        <v/>
      </c>
      <c r="C20" s="8">
        <f>Moteur!C20</f>
        <v/>
      </c>
      <c r="D20" s="24">
        <f>Moteur!D20</f>
        <v/>
      </c>
      <c r="E20" s="24">
        <f>Moteur!E20</f>
        <v/>
      </c>
      <c r="F20" s="24">
        <f>Moteur!F20</f>
        <v/>
      </c>
      <c r="G20" s="24">
        <f>Moteur!G20</f>
        <v/>
      </c>
      <c r="H20" s="24">
        <f>Moteur!H20</f>
        <v/>
      </c>
      <c r="I20" s="24">
        <f>Moteur!I20</f>
        <v/>
      </c>
      <c r="J20" s="9">
        <f>Moteur!K20</f>
        <v/>
      </c>
      <c r="K20" s="8">
        <f>IF(A20="","",IF(B20=0,"Section à fond nul OK",IF(C20="OK","Valeur cible atteinte","Vérifier n/y/S")))</f>
        <v/>
      </c>
    </row>
    <row r="21">
      <c r="A21" s="24">
        <f>Moteur!A21</f>
        <v/>
      </c>
      <c r="B21" s="24">
        <f>Moteur!B21</f>
        <v/>
      </c>
      <c r="C21" s="8">
        <f>Moteur!C21</f>
        <v/>
      </c>
      <c r="D21" s="24">
        <f>Moteur!D21</f>
        <v/>
      </c>
      <c r="E21" s="24">
        <f>Moteur!E21</f>
        <v/>
      </c>
      <c r="F21" s="24">
        <f>Moteur!F21</f>
        <v/>
      </c>
      <c r="G21" s="24">
        <f>Moteur!G21</f>
        <v/>
      </c>
      <c r="H21" s="24">
        <f>Moteur!H21</f>
        <v/>
      </c>
      <c r="I21" s="24">
        <f>Moteur!I21</f>
        <v/>
      </c>
      <c r="J21" s="9">
        <f>Moteur!K21</f>
        <v/>
      </c>
      <c r="K21" s="8">
        <f>IF(A21="","",IF(B21=0,"Section à fond nul OK",IF(C21="OK","Valeur cible atteinte","Vérifier n/y/S")))</f>
        <v/>
      </c>
    </row>
    <row r="22">
      <c r="A22" s="24">
        <f>Moteur!A22</f>
        <v/>
      </c>
      <c r="B22" s="24">
        <f>Moteur!B22</f>
        <v/>
      </c>
      <c r="C22" s="8">
        <f>Moteur!C22</f>
        <v/>
      </c>
      <c r="D22" s="24">
        <f>Moteur!D22</f>
        <v/>
      </c>
      <c r="E22" s="24">
        <f>Moteur!E22</f>
        <v/>
      </c>
      <c r="F22" s="24">
        <f>Moteur!F22</f>
        <v/>
      </c>
      <c r="G22" s="24">
        <f>Moteur!G22</f>
        <v/>
      </c>
      <c r="H22" s="24">
        <f>Moteur!H22</f>
        <v/>
      </c>
      <c r="I22" s="24">
        <f>Moteur!I22</f>
        <v/>
      </c>
      <c r="J22" s="9">
        <f>Moteur!K22</f>
        <v/>
      </c>
      <c r="K22" s="8">
        <f>IF(A22="","",IF(B22=0,"Section à fond nul OK",IF(C22="OK","Valeur cible atteinte","Vérifier n/y/S")))</f>
        <v/>
      </c>
    </row>
    <row r="25">
      <c r="A25" s="3" t="inlineStr">
        <is>
          <t>Focus demandé (0.2 / 0.3 / 0.4 m) — mêmes résultats filtrés</t>
        </is>
      </c>
    </row>
    <row r="26">
      <c r="A26" s="10" t="inlineStr">
        <is>
          <t>y eau (m)</t>
        </is>
      </c>
      <c r="B26" s="10" t="inlineStr">
        <is>
          <t>x fond (m)</t>
        </is>
      </c>
      <c r="C26" s="10" t="inlineStr">
        <is>
          <t>Statut</t>
        </is>
      </c>
      <c r="D26" s="10" t="inlineStr">
        <is>
          <t>A (m²)</t>
        </is>
      </c>
      <c r="E26" s="10" t="inlineStr">
        <is>
          <t>P (m)</t>
        </is>
      </c>
      <c r="F26" s="10" t="inlineStr">
        <is>
          <t>R (m)</t>
        </is>
      </c>
      <c r="G26" s="10" t="inlineStr">
        <is>
          <t>Tw miroir (m)</t>
        </is>
      </c>
      <c r="H26" s="10" t="inlineStr">
        <is>
          <t>V (m/s)</t>
        </is>
      </c>
      <c r="I26" s="10" t="inlineStr">
        <is>
          <t>Q calc (m³/s)</t>
        </is>
      </c>
    </row>
    <row r="27">
      <c r="A27" s="11" t="n">
        <v>0.2</v>
      </c>
      <c r="B27" s="25">
        <f>IFERROR(INDEX($B$12:$B$30,MATCH(A27,$A$12:$A$30,0)),"")</f>
        <v/>
      </c>
      <c r="C27" s="13">
        <f>IFERROR(INDEX($C$12:$C$30,MATCH(A27,$A$12:$A$30,0)),"")</f>
        <v/>
      </c>
      <c r="D27" s="25">
        <f>IFERROR(INDEX($D$12:$D$30,MATCH(A27,$A$12:$A$30,0)),"")</f>
        <v/>
      </c>
      <c r="E27" s="25">
        <f>IFERROR(INDEX($E$12:$E$30,MATCH(A27,$A$12:$A$30,0)),"")</f>
        <v/>
      </c>
      <c r="F27" s="25">
        <f>IFERROR(INDEX($F$12:$F$30,MATCH(A27,$A$12:$A$30,0)),"")</f>
        <v/>
      </c>
      <c r="G27" s="25">
        <f>IFERROR(INDEX($G$12:$G$30,MATCH(A27,$A$12:$A$30,0)),"")</f>
        <v/>
      </c>
      <c r="H27" s="25">
        <f>IFERROR(INDEX($H$12:$H$30,MATCH(A27,$A$12:$A$30,0)),"")</f>
        <v/>
      </c>
      <c r="I27" s="25">
        <f>IFERROR(INDEX($I$12:$I$30,MATCH(A27,$A$12:$A$30,0)),"")</f>
        <v/>
      </c>
    </row>
    <row r="28">
      <c r="A28" s="11" t="n">
        <v>0.3</v>
      </c>
      <c r="B28" s="25">
        <f>IFERROR(INDEX($B$12:$B$30,MATCH(A28,$A$12:$A$30,0)),"")</f>
        <v/>
      </c>
      <c r="C28" s="13">
        <f>IFERROR(INDEX($C$12:$C$30,MATCH(A28,$A$12:$A$30,0)),"")</f>
        <v/>
      </c>
      <c r="D28" s="25">
        <f>IFERROR(INDEX($D$12:$D$30,MATCH(A28,$A$12:$A$30,0)),"")</f>
        <v/>
      </c>
      <c r="E28" s="25">
        <f>IFERROR(INDEX($E$12:$E$30,MATCH(A28,$A$12:$A$30,0)),"")</f>
        <v/>
      </c>
      <c r="F28" s="25">
        <f>IFERROR(INDEX($F$12:$F$30,MATCH(A28,$A$12:$A$30,0)),"")</f>
        <v/>
      </c>
      <c r="G28" s="25">
        <f>IFERROR(INDEX($G$12:$G$30,MATCH(A28,$A$12:$A$30,0)),"")</f>
        <v/>
      </c>
      <c r="H28" s="25">
        <f>IFERROR(INDEX($H$12:$H$30,MATCH(A28,$A$12:$A$30,0)),"")</f>
        <v/>
      </c>
      <c r="I28" s="25">
        <f>IFERROR(INDEX($I$12:$I$30,MATCH(A28,$A$12:$A$30,0)),"")</f>
        <v/>
      </c>
    </row>
    <row r="29">
      <c r="A29" s="11" t="n">
        <v>0.4</v>
      </c>
      <c r="B29" s="25">
        <f>IFERROR(INDEX($B$12:$B$30,MATCH(A29,$A$12:$A$30,0)),"")</f>
        <v/>
      </c>
      <c r="C29" s="13">
        <f>IFERROR(INDEX($C$12:$C$30,MATCH(A29,$A$12:$A$30,0)),"")</f>
        <v/>
      </c>
      <c r="D29" s="25">
        <f>IFERROR(INDEX($D$12:$D$30,MATCH(A29,$A$12:$A$30,0)),"")</f>
        <v/>
      </c>
      <c r="E29" s="25">
        <f>IFERROR(INDEX($E$12:$E$30,MATCH(A29,$A$12:$A$30,0)),"")</f>
        <v/>
      </c>
      <c r="F29" s="25">
        <f>IFERROR(INDEX($F$12:$F$30,MATCH(A29,$A$12:$A$30,0)),"")</f>
        <v/>
      </c>
      <c r="G29" s="25">
        <f>IFERROR(INDEX($G$12:$G$30,MATCH(A29,$A$12:$A$30,0)),"")</f>
        <v/>
      </c>
      <c r="H29" s="25">
        <f>IFERROR(INDEX($H$12:$H$30,MATCH(A29,$A$12:$A$30,0)),"")</f>
        <v/>
      </c>
      <c r="I29" s="25">
        <f>IFERROR(INDEX($I$12:$I$30,MATCH(A29,$A$12:$A$30,0)),"")</f>
        <v/>
      </c>
    </row>
    <row r="31">
      <c r="A31" t="inlineStr">
        <is>
          <t>Lecture rapide: pour une profondeur d’eau imposée y, lisez x (largeur de radier) sur la même ligne.</t>
        </is>
      </c>
    </row>
    <row r="32">
      <c r="A32" t="inlineStr">
        <is>
          <t>Exemple: y=0.40 m → x dans B (ou tableau focus). Si V &gt; ~1.5–2 m/s en fossé enherbé, prévoir protection.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0" customWidth="1" min="3" max="3"/>
    <col width="55" customWidth="1" min="4" max="4"/>
    <col width="14" customWidth="1" min="6" max="6"/>
    <col width="14" customWidth="1" min="8" max="8"/>
  </cols>
  <sheetData>
    <row r="1">
      <c r="A1" s="1" t="inlineStr">
        <is>
          <t>INPUTS — Fossé trapézoïdal (Manning)</t>
        </is>
      </c>
    </row>
    <row r="3">
      <c r="A3" s="6" t="inlineStr">
        <is>
          <t>Paramètre</t>
        </is>
      </c>
      <c r="B3" s="6" t="inlineStr">
        <is>
          <t>Valeur</t>
        </is>
      </c>
      <c r="C3" s="6" t="inlineStr">
        <is>
          <t>Unité</t>
        </is>
      </c>
      <c r="D3" s="6" t="inlineStr">
        <is>
          <t>Note</t>
        </is>
      </c>
    </row>
    <row r="4">
      <c r="A4" s="4" t="inlineStr">
        <is>
          <t>Q design</t>
        </is>
      </c>
      <c r="B4" s="14" t="n">
        <v>3.598</v>
      </c>
      <c r="C4" s="4" t="inlineStr">
        <is>
          <t>m³/s</t>
        </is>
      </c>
      <c r="D4" s="4" t="inlineStr">
        <is>
          <t>Débit à évacuer</t>
        </is>
      </c>
    </row>
    <row r="5">
      <c r="A5" s="4" t="inlineStr">
        <is>
          <t>S pente longitudinale</t>
        </is>
      </c>
      <c r="B5" s="14" t="n">
        <v>0.0173</v>
      </c>
      <c r="C5" s="4" t="inlineStr">
        <is>
          <t>m/m</t>
        </is>
      </c>
      <c r="D5" s="4" t="inlineStr">
        <is>
          <t>Donnée terrain / profil</t>
        </is>
      </c>
    </row>
    <row r="6">
      <c r="A6" s="4" t="inlineStr">
        <is>
          <t>n Manning</t>
        </is>
      </c>
      <c r="B6" s="14" t="n">
        <v>0.03</v>
      </c>
      <c r="C6" s="4" t="inlineStr">
        <is>
          <t>-</t>
        </is>
      </c>
      <c r="D6" s="4" t="inlineStr">
        <is>
          <t>0.025 herbe lisse; 0.030 typique; 0.035 végétation</t>
        </is>
      </c>
    </row>
    <row r="7">
      <c r="A7" s="4" t="inlineStr">
        <is>
          <t>z talus (H:V)</t>
        </is>
      </c>
      <c r="B7" s="14" t="n">
        <v>2</v>
      </c>
      <c r="C7" s="4" t="inlineStr">
        <is>
          <t>-</t>
        </is>
      </c>
      <c r="D7" s="4" t="inlineStr">
        <is>
          <t>2 = 2H:1V</t>
        </is>
      </c>
    </row>
    <row r="8">
      <c r="A8" s="4" t="inlineStr">
        <is>
          <t>y_min tableau</t>
        </is>
      </c>
      <c r="B8" s="14" t="n">
        <v>0.2</v>
      </c>
      <c r="C8" s="4" t="inlineStr">
        <is>
          <t>m</t>
        </is>
      </c>
      <c r="D8" s="4" t="inlineStr">
        <is>
          <t>Profondeur d’eau cible minimale</t>
        </is>
      </c>
    </row>
    <row r="9">
      <c r="A9" s="4" t="inlineStr">
        <is>
          <t>y_max tableau</t>
        </is>
      </c>
      <c r="B9" s="14" t="n">
        <v>1</v>
      </c>
      <c r="C9" s="4" t="inlineStr">
        <is>
          <t>m</t>
        </is>
      </c>
      <c r="D9" s="4" t="inlineStr">
        <is>
          <t>Profondeur d’eau cible maximale</t>
        </is>
      </c>
    </row>
    <row r="10">
      <c r="A10" s="4" t="inlineStr">
        <is>
          <t>Pas Δy</t>
        </is>
      </c>
      <c r="B10" s="14" t="n">
        <v>0.1</v>
      </c>
      <c r="C10" s="4" t="inlineStr">
        <is>
          <t>m</t>
        </is>
      </c>
      <c r="D10" s="4" t="inlineStr">
        <is>
          <t>Pas du tableau (ex. 0.1 → 0.2,0.3,0.4…)</t>
        </is>
      </c>
    </row>
    <row r="11">
      <c r="A11" s="4" t="inlineStr">
        <is>
          <t>y extras (option)</t>
        </is>
      </c>
      <c r="B11" s="14" t="inlineStr">
        <is>
          <t>0.25,0.35</t>
        </is>
      </c>
      <c r="C11" s="4" t="inlineStr">
        <is>
          <t>-</t>
        </is>
      </c>
      <c r="D11" s="4" t="inlineStr">
        <is>
          <t>Profondeurs additionnelles séparées par virgule</t>
        </is>
      </c>
    </row>
    <row r="13">
      <c r="A13" s="3" t="inlineStr">
        <is>
          <t>Profondeurs cibles générées (aperçu)</t>
        </is>
      </c>
    </row>
    <row r="14">
      <c r="A14" t="inlineStr">
        <is>
          <t>La feuille Resultats lit B4:B7 et la liste y ci-dessous (colonne F).</t>
        </is>
      </c>
    </row>
    <row r="15">
      <c r="A15" t="inlineStr">
        <is>
          <t>Vous pouvez éditer/ajouter des y directement dans F17:F40 (jaune).</t>
        </is>
      </c>
    </row>
    <row r="16">
      <c r="F16" s="15" t="inlineStr">
        <is>
          <t>y cible (m)</t>
        </is>
      </c>
      <c r="H16" s="16" t="inlineStr">
        <is>
          <t>n comparaison</t>
        </is>
      </c>
    </row>
    <row r="17">
      <c r="F17" s="17" t="n">
        <v>0.2</v>
      </c>
      <c r="H17" s="26" t="n">
        <v>0.025</v>
      </c>
    </row>
    <row r="18">
      <c r="F18" s="17" t="n">
        <v>0.25</v>
      </c>
      <c r="H18" s="26" t="n">
        <v>0.03</v>
      </c>
    </row>
    <row r="19">
      <c r="F19" s="17" t="n">
        <v>0.3</v>
      </c>
      <c r="H19" s="26" t="n">
        <v>0.035</v>
      </c>
    </row>
    <row r="20">
      <c r="F20" s="17" t="n">
        <v>0.35</v>
      </c>
    </row>
    <row r="21">
      <c r="F21" s="17" t="n">
        <v>0.4</v>
      </c>
    </row>
    <row r="22">
      <c r="F22" s="17" t="n">
        <v>0.5</v>
      </c>
    </row>
    <row r="23">
      <c r="F23" s="17" t="n">
        <v>0.6</v>
      </c>
    </row>
    <row r="24">
      <c r="F24" s="17" t="n">
        <v>0.7</v>
      </c>
    </row>
    <row r="25">
      <c r="F25" s="17" t="n">
        <v>0.8</v>
      </c>
    </row>
    <row r="26">
      <c r="F26" s="17" t="n">
        <v>0.9</v>
      </c>
    </row>
    <row r="27">
      <c r="F27" s="17" t="n">
        <v>1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COMPARAISON — x(y) pour plusieurs n (fossé)</t>
        </is>
      </c>
    </row>
    <row r="2">
      <c r="A2" t="inlineStr">
        <is>
          <t>Q et S depuis Inputs. Utile si n n’est pas encore figé (0.025 / 0.030 / 0.035).</t>
        </is>
      </c>
    </row>
    <row r="3">
      <c r="A3" t="inlineStr">
        <is>
          <t>Valeurs calculées en Python au moment de la création; le n de design reste Inputs!B6 → feuille Resultats (live).</t>
        </is>
      </c>
    </row>
    <row r="5">
      <c r="A5" s="6" t="inlineStr">
        <is>
          <t>y (m)</t>
        </is>
      </c>
      <c r="B5" s="6" t="inlineStr">
        <is>
          <t>x (n=0.025)</t>
        </is>
      </c>
      <c r="C5" s="6" t="inlineStr">
        <is>
          <t>x (n=0.030)</t>
        </is>
      </c>
      <c r="D5" s="6" t="inlineStr">
        <is>
          <t>x (n=0.035)</t>
        </is>
      </c>
      <c r="E5" s="6" t="inlineStr">
        <is>
          <t>V (n=0.030)</t>
        </is>
      </c>
      <c r="F5" s="6" t="inlineStr">
        <is>
          <t>Tw (n=0.030)</t>
        </is>
      </c>
    </row>
    <row r="6">
      <c r="A6" s="19" t="n">
        <v>0.2</v>
      </c>
      <c r="B6" s="25" t="n">
        <v>9.914999999999999</v>
      </c>
      <c r="C6" s="25" t="n">
        <v>11.917</v>
      </c>
      <c r="D6" s="25" t="n">
        <v>13.918</v>
      </c>
      <c r="E6" s="25" t="n">
        <v>1.461</v>
      </c>
      <c r="F6" s="25" t="n">
        <v>12.717</v>
      </c>
    </row>
    <row r="7">
      <c r="A7" s="19" t="n">
        <v>0.25</v>
      </c>
      <c r="B7" s="25" t="n">
        <v>6.778</v>
      </c>
      <c r="C7" s="25" t="n">
        <v>8.161</v>
      </c>
      <c r="D7" s="25" t="n">
        <v>9.542</v>
      </c>
      <c r="E7" s="25" t="n">
        <v>1.662</v>
      </c>
      <c r="F7" s="25" t="n">
        <v>9.161</v>
      </c>
    </row>
    <row r="8">
      <c r="A8" s="19" t="n">
        <v>0.3</v>
      </c>
      <c r="B8" s="25" t="n">
        <v>4.932</v>
      </c>
      <c r="C8" s="25" t="n">
        <v>5.956</v>
      </c>
      <c r="D8" s="25" t="n">
        <v>6.979</v>
      </c>
      <c r="E8" s="25" t="n">
        <v>1.829</v>
      </c>
      <c r="F8" s="25" t="n">
        <v>7.156</v>
      </c>
    </row>
    <row r="9">
      <c r="A9" s="19" t="n">
        <v>0.35</v>
      </c>
      <c r="B9" s="25" t="n">
        <v>3.731</v>
      </c>
      <c r="C9" s="25" t="n">
        <v>4.529</v>
      </c>
      <c r="D9" s="25" t="n">
        <v>5.324</v>
      </c>
      <c r="E9" s="25" t="n">
        <v>1.966</v>
      </c>
      <c r="F9" s="25" t="n">
        <v>5.929</v>
      </c>
    </row>
    <row r="10">
      <c r="A10" s="19" t="n">
        <v>0.4</v>
      </c>
      <c r="B10" s="25" t="n">
        <v>2.889</v>
      </c>
      <c r="C10" s="25" t="n">
        <v>3.534</v>
      </c>
      <c r="D10" s="25" t="n">
        <v>4.175</v>
      </c>
      <c r="E10" s="25" t="n">
        <v>2.075</v>
      </c>
      <c r="F10" s="25" t="n">
        <v>5.134</v>
      </c>
    </row>
    <row r="11">
      <c r="A11" s="19" t="n">
        <v>0.5</v>
      </c>
      <c r="B11" s="25" t="n">
        <v>1.776</v>
      </c>
      <c r="C11" s="25" t="n">
        <v>2.233</v>
      </c>
      <c r="D11" s="25" t="n">
        <v>2.686</v>
      </c>
      <c r="E11" s="25" t="n">
        <v>2.226</v>
      </c>
      <c r="F11" s="25" t="n">
        <v>4.233</v>
      </c>
    </row>
    <row r="12">
      <c r="A12" s="19" t="n">
        <v>0.6</v>
      </c>
      <c r="B12" s="25" t="n">
        <v>1.047</v>
      </c>
      <c r="C12" s="25" t="n">
        <v>1.398</v>
      </c>
      <c r="D12" s="25" t="n">
        <v>1.744</v>
      </c>
      <c r="E12" s="25" t="n">
        <v>2.308</v>
      </c>
      <c r="F12" s="25" t="n">
        <v>3.798</v>
      </c>
    </row>
    <row r="13">
      <c r="A13" s="19" t="n">
        <v>0.7</v>
      </c>
      <c r="B13" s="25" t="n">
        <v>0.506</v>
      </c>
      <c r="C13" s="25" t="n">
        <v>0.792</v>
      </c>
      <c r="D13" s="25" t="n">
        <v>1.071</v>
      </c>
      <c r="E13" s="25" t="n">
        <v>2.345</v>
      </c>
      <c r="F13" s="25" t="n">
        <v>3.592</v>
      </c>
    </row>
    <row r="14">
      <c r="A14" s="19" t="n">
        <v>0.8</v>
      </c>
      <c r="B14" s="25" t="n">
        <v>0.07000000000000001</v>
      </c>
      <c r="C14" s="25" t="n">
        <v>0.311</v>
      </c>
      <c r="D14" s="25" t="n">
        <v>0.546</v>
      </c>
      <c r="E14" s="25" t="n">
        <v>2.353</v>
      </c>
      <c r="F14" s="25" t="n">
        <v>3.511</v>
      </c>
    </row>
    <row r="15">
      <c r="A15" s="19" t="n">
        <v>0.9</v>
      </c>
      <c r="B15" s="25" t="n">
        <v>0</v>
      </c>
      <c r="C15" s="25" t="n">
        <v>0</v>
      </c>
      <c r="D15" s="25" t="n">
        <v>0.11</v>
      </c>
      <c r="E15" s="25" t="n">
        <v>2.221</v>
      </c>
      <c r="F15" s="25" t="n">
        <v>3.6</v>
      </c>
    </row>
    <row r="16">
      <c r="A16" s="19" t="n">
        <v>1</v>
      </c>
      <c r="B16" s="25" t="n">
        <v>0</v>
      </c>
      <c r="C16" s="25" t="n">
        <v>0</v>
      </c>
      <c r="D16" s="25" t="n">
        <v>0</v>
      </c>
      <c r="E16" s="25" t="n">
        <v>1.799</v>
      </c>
      <c r="F16" s="25" t="n">
        <v>4</v>
      </c>
    </row>
    <row r="20">
      <c r="A20" t="inlineStr">
        <is>
          <t>Note: pour y faible, x devient grand (il faut beaucoup de largeur pour passer 3.598 m³/s).</t>
        </is>
      </c>
    </row>
    <row r="21">
      <c r="A21" t="inlineStr">
        <is>
          <t>Pour y élevé, x diminue; au-delà d’un certain y, x=0 (la section sans radier suffit).</t>
        </is>
      </c>
    </row>
    <row r="22">
      <c r="A22" t="inlineStr">
        <is>
          <t>Recommandation pratique antérieure (n=0.03): y≈0.76 m → x≈0.50 m (avec franc-bord jusqu’à ~1.0 m).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Y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MOTEUR — bissection pour x (ne pas effacer les colonnes d’itération)</t>
        </is>
      </c>
    </row>
    <row r="2">
      <c r="A2" t="inlineStr">
        <is>
          <t>Q,S,n,z lus depuis Inputs. Pour chaque y: trouver x tel que Qmanning(x,y)=Q.</t>
        </is>
      </c>
    </row>
    <row r="3">
      <c r="A3" t="inlineStr">
        <is>
          <t>Si Q(x=0) ≥ Q → x=0. Si Q(x=x_max) &lt; Q → « insuffisant ».</t>
        </is>
      </c>
    </row>
    <row r="5">
      <c r="A5" t="inlineStr">
        <is>
          <t>Q</t>
        </is>
      </c>
      <c r="B5" s="13">
        <f>Inputs!B4</f>
        <v/>
      </c>
    </row>
    <row r="6">
      <c r="A6" t="inlineStr">
        <is>
          <t>S</t>
        </is>
      </c>
      <c r="B6" s="13">
        <f>Inputs!B5</f>
        <v/>
      </c>
    </row>
    <row r="7">
      <c r="A7" t="inlineStr">
        <is>
          <t>n</t>
        </is>
      </c>
      <c r="B7" s="13">
        <f>Inputs!B6</f>
        <v/>
      </c>
    </row>
    <row r="8">
      <c r="A8" t="inlineStr">
        <is>
          <t>z</t>
        </is>
      </c>
      <c r="B8" s="13">
        <f>Inputs!B7</f>
        <v/>
      </c>
    </row>
    <row r="9">
      <c r="A9" t="inlineStr">
        <is>
          <t>x_max recherche</t>
        </is>
      </c>
      <c r="B9" s="20" t="n">
        <v>20</v>
      </c>
    </row>
    <row r="10">
      <c r="AA10" t="inlineStr">
        <is>
          <t>Q(x=0)</t>
        </is>
      </c>
      <c r="AB10" t="inlineStr">
        <is>
          <t>lo</t>
        </is>
      </c>
      <c r="AC10" t="inlineStr">
        <is>
          <t>hi</t>
        </is>
      </c>
    </row>
    <row r="11">
      <c r="A11" s="6" t="inlineStr">
        <is>
          <t>y (m)</t>
        </is>
      </c>
      <c r="B11" s="6" t="inlineStr">
        <is>
          <t>x (m)</t>
        </is>
      </c>
      <c r="C11" s="6" t="inlineStr">
        <is>
          <t>Statut</t>
        </is>
      </c>
      <c r="D11" s="6" t="inlineStr">
        <is>
          <t>A (m²)</t>
        </is>
      </c>
      <c r="E11" s="6" t="inlineStr">
        <is>
          <t>P (m)</t>
        </is>
      </c>
      <c r="F11" s="6" t="inlineStr">
        <is>
          <t>R (m)</t>
        </is>
      </c>
      <c r="G11" s="6" t="inlineStr">
        <is>
          <t>Tw (m)</t>
        </is>
      </c>
      <c r="H11" s="6" t="inlineStr">
        <is>
          <t>V (m/s)</t>
        </is>
      </c>
      <c r="I11" s="6" t="inlineStr">
        <is>
          <t>Q calc (m³/s)</t>
        </is>
      </c>
      <c r="J11" s="6" t="inlineStr">
        <is>
          <t>Q−Qdes</t>
        </is>
      </c>
      <c r="K11" s="6" t="inlineStr">
        <is>
          <t>Écart %</t>
        </is>
      </c>
    </row>
    <row r="12">
      <c r="A12" s="21">
        <f>Inputs!F17</f>
        <v/>
      </c>
      <c r="B12" s="25">
        <f>IF(A12="","",IF(AA12&gt;=$B$5,0,IF((1/$B$7)*(($B$9+$B$8*A12)*A12)*(((($B$9+$B$8*A12)*A12)/($B$9+2*A12*SQRT(1+$B$8^2))))^(2/3)*SQRT($B$6)&lt;$B$5,"",((BX12+BY12)/2))))</f>
        <v/>
      </c>
      <c r="C12" s="13">
        <f>IF(A12="","",IF(AA12&gt;=$B$5,"x=0 suffit",IF((1/$B$7)*(($B$9+$B$8*A12)*A12)*(((($B$9+$B$8*A12)*A12)/($B$9+2*A12*SQRT(1+$B$8^2))))^(2/3)*SQRT($B$6)&lt;$B$5,"Insuffisant à x_max","OK")))</f>
        <v/>
      </c>
      <c r="D12" s="25">
        <f>IF(OR(A12="",B12=""),"",((B12+$B$8*A12)*A12))</f>
        <v/>
      </c>
      <c r="E12" s="25">
        <f>IF(OR(A12="",B12=""),"",(B12+2*A12*SQRT(1+$B$8^2)))</f>
        <v/>
      </c>
      <c r="F12" s="25">
        <f>IF(OR(A12="",B12=""),"",(((B12+$B$8*A12)*A12)/(B12+2*A12*SQRT(1+$B$8^2))))</f>
        <v/>
      </c>
      <c r="G12" s="25">
        <f>IF(OR(A12="",B12=""),"",(B12+2*$B$8*A12))</f>
        <v/>
      </c>
      <c r="H12" s="25">
        <f>IF(OR(A12="",B12="",D12=0),"",I12/D12)</f>
        <v/>
      </c>
      <c r="I12" s="25">
        <f>IF(OR(A12="",B12=""),"",(1/$B$7)*((B12+$B$8*A12)*A12)*((((B12+$B$8*A12)*A12)/(B12+2*A12*SQRT(1+$B$8^2))))^(2/3)*SQRT($B$6))</f>
        <v/>
      </c>
      <c r="J12" s="25">
        <f>IF(I12="","",I12-$B$5)</f>
        <v/>
      </c>
      <c r="K12" s="22">
        <f>IF(I12="","", (I12-$B$5)/$B$5)</f>
        <v/>
      </c>
      <c r="AA12">
        <f>IF(OR(A12="",A12&lt;=0),"" ,(1/$B$7)*((0+$B$8*A12)*A12)*((((0+$B$8*A12)*A12)/(0+2*A12*SQRT(1+$B$8^2))))^(2/3)*SQRT($B$6))</f>
        <v/>
      </c>
      <c r="AB12" t="n">
        <v>0</v>
      </c>
      <c r="AC12">
        <f>$B$9</f>
        <v/>
      </c>
      <c r="AD12">
        <f>IF((1/$B$7)*((((AB12+AC12)/2)+$B$8*A12)*A12)*((((((AB12+AC12)/2)+$B$8*A12)*A12)/(((AB12+AC12)/2)+2*A12*SQRT(1+$B$8^2))))^(2/3)*SQRT($B$6)&lt;$B$5,((AB12+AC12)/2),AB12)</f>
        <v/>
      </c>
      <c r="AE12">
        <f>IF((1/$B$7)*((((AB12+AC12)/2)+$B$8*A12)*A12)*((((((AB12+AC12)/2)+$B$8*A12)*A12)/(((AB12+AC12)/2)+2*A12*SQRT(1+$B$8^2))))^(2/3)*SQRT($B$6)&lt;$B$5,AC12,((AB12+AC12)/2))</f>
        <v/>
      </c>
      <c r="AF12">
        <f>IF((1/$B$7)*((((AD12+AE12)/2)+$B$8*A12)*A12)*((((((AD12+AE12)/2)+$B$8*A12)*A12)/(((AD12+AE12)/2)+2*A12*SQRT(1+$B$8^2))))^(2/3)*SQRT($B$6)&lt;$B$5,((AD12+AE12)/2),AD12)</f>
        <v/>
      </c>
      <c r="AG12">
        <f>IF((1/$B$7)*((((AD12+AE12)/2)+$B$8*A12)*A12)*((((((AD12+AE12)/2)+$B$8*A12)*A12)/(((AD12+AE12)/2)+2*A12*SQRT(1+$B$8^2))))^(2/3)*SQRT($B$6)&lt;$B$5,AE12,((AD12+AE12)/2))</f>
        <v/>
      </c>
      <c r="AH12">
        <f>IF((1/$B$7)*((((AF12+AG12)/2)+$B$8*A12)*A12)*((((((AF12+AG12)/2)+$B$8*A12)*A12)/(((AF12+AG12)/2)+2*A12*SQRT(1+$B$8^2))))^(2/3)*SQRT($B$6)&lt;$B$5,((AF12+AG12)/2),AF12)</f>
        <v/>
      </c>
      <c r="AI12">
        <f>IF((1/$B$7)*((((AF12+AG12)/2)+$B$8*A12)*A12)*((((((AF12+AG12)/2)+$B$8*A12)*A12)/(((AF12+AG12)/2)+2*A12*SQRT(1+$B$8^2))))^(2/3)*SQRT($B$6)&lt;$B$5,AG12,((AF12+AG12)/2))</f>
        <v/>
      </c>
      <c r="AJ12">
        <f>IF((1/$B$7)*((((AH12+AI12)/2)+$B$8*A12)*A12)*((((((AH12+AI12)/2)+$B$8*A12)*A12)/(((AH12+AI12)/2)+2*A12*SQRT(1+$B$8^2))))^(2/3)*SQRT($B$6)&lt;$B$5,((AH12+AI12)/2),AH12)</f>
        <v/>
      </c>
      <c r="AK12">
        <f>IF((1/$B$7)*((((AH12+AI12)/2)+$B$8*A12)*A12)*((((((AH12+AI12)/2)+$B$8*A12)*A12)/(((AH12+AI12)/2)+2*A12*SQRT(1+$B$8^2))))^(2/3)*SQRT($B$6)&lt;$B$5,AI12,((AH12+AI12)/2))</f>
        <v/>
      </c>
      <c r="AL12">
        <f>IF((1/$B$7)*((((AJ12+AK12)/2)+$B$8*A12)*A12)*((((((AJ12+AK12)/2)+$B$8*A12)*A12)/(((AJ12+AK12)/2)+2*A12*SQRT(1+$B$8^2))))^(2/3)*SQRT($B$6)&lt;$B$5,((AJ12+AK12)/2),AJ12)</f>
        <v/>
      </c>
      <c r="AM12">
        <f>IF((1/$B$7)*((((AJ12+AK12)/2)+$B$8*A12)*A12)*((((((AJ12+AK12)/2)+$B$8*A12)*A12)/(((AJ12+AK12)/2)+2*A12*SQRT(1+$B$8^2))))^(2/3)*SQRT($B$6)&lt;$B$5,AK12,((AJ12+AK12)/2))</f>
        <v/>
      </c>
      <c r="AN12">
        <f>IF((1/$B$7)*((((AL12+AM12)/2)+$B$8*A12)*A12)*((((((AL12+AM12)/2)+$B$8*A12)*A12)/(((AL12+AM12)/2)+2*A12*SQRT(1+$B$8^2))))^(2/3)*SQRT($B$6)&lt;$B$5,((AL12+AM12)/2),AL12)</f>
        <v/>
      </c>
      <c r="AO12">
        <f>IF((1/$B$7)*((((AL12+AM12)/2)+$B$8*A12)*A12)*((((((AL12+AM12)/2)+$B$8*A12)*A12)/(((AL12+AM12)/2)+2*A12*SQRT(1+$B$8^2))))^(2/3)*SQRT($B$6)&lt;$B$5,AM12,((AL12+AM12)/2))</f>
        <v/>
      </c>
      <c r="AP12">
        <f>IF((1/$B$7)*((((AN12+AO12)/2)+$B$8*A12)*A12)*((((((AN12+AO12)/2)+$B$8*A12)*A12)/(((AN12+AO12)/2)+2*A12*SQRT(1+$B$8^2))))^(2/3)*SQRT($B$6)&lt;$B$5,((AN12+AO12)/2),AN12)</f>
        <v/>
      </c>
      <c r="AQ12">
        <f>IF((1/$B$7)*((((AN12+AO12)/2)+$B$8*A12)*A12)*((((((AN12+AO12)/2)+$B$8*A12)*A12)/(((AN12+AO12)/2)+2*A12*SQRT(1+$B$8^2))))^(2/3)*SQRT($B$6)&lt;$B$5,AO12,((AN12+AO12)/2))</f>
        <v/>
      </c>
      <c r="AR12">
        <f>IF((1/$B$7)*((((AP12+AQ12)/2)+$B$8*A12)*A12)*((((((AP12+AQ12)/2)+$B$8*A12)*A12)/(((AP12+AQ12)/2)+2*A12*SQRT(1+$B$8^2))))^(2/3)*SQRT($B$6)&lt;$B$5,((AP12+AQ12)/2),AP12)</f>
        <v/>
      </c>
      <c r="AS12">
        <f>IF((1/$B$7)*((((AP12+AQ12)/2)+$B$8*A12)*A12)*((((((AP12+AQ12)/2)+$B$8*A12)*A12)/(((AP12+AQ12)/2)+2*A12*SQRT(1+$B$8^2))))^(2/3)*SQRT($B$6)&lt;$B$5,AQ12,((AP12+AQ12)/2))</f>
        <v/>
      </c>
      <c r="AT12">
        <f>IF((1/$B$7)*((((AR12+AS12)/2)+$B$8*A12)*A12)*((((((AR12+AS12)/2)+$B$8*A12)*A12)/(((AR12+AS12)/2)+2*A12*SQRT(1+$B$8^2))))^(2/3)*SQRT($B$6)&lt;$B$5,((AR12+AS12)/2),AR12)</f>
        <v/>
      </c>
      <c r="AU12">
        <f>IF((1/$B$7)*((((AR12+AS12)/2)+$B$8*A12)*A12)*((((((AR12+AS12)/2)+$B$8*A12)*A12)/(((AR12+AS12)/2)+2*A12*SQRT(1+$B$8^2))))^(2/3)*SQRT($B$6)&lt;$B$5,AS12,((AR12+AS12)/2))</f>
        <v/>
      </c>
      <c r="AV12">
        <f>IF((1/$B$7)*((((AT12+AU12)/2)+$B$8*A12)*A12)*((((((AT12+AU12)/2)+$B$8*A12)*A12)/(((AT12+AU12)/2)+2*A12*SQRT(1+$B$8^2))))^(2/3)*SQRT($B$6)&lt;$B$5,((AT12+AU12)/2),AT12)</f>
        <v/>
      </c>
      <c r="AW12">
        <f>IF((1/$B$7)*((((AT12+AU12)/2)+$B$8*A12)*A12)*((((((AT12+AU12)/2)+$B$8*A12)*A12)/(((AT12+AU12)/2)+2*A12*SQRT(1+$B$8^2))))^(2/3)*SQRT($B$6)&lt;$B$5,AU12,((AT12+AU12)/2))</f>
        <v/>
      </c>
      <c r="AX12">
        <f>IF((1/$B$7)*((((AV12+AW12)/2)+$B$8*A12)*A12)*((((((AV12+AW12)/2)+$B$8*A12)*A12)/(((AV12+AW12)/2)+2*A12*SQRT(1+$B$8^2))))^(2/3)*SQRT($B$6)&lt;$B$5,((AV12+AW12)/2),AV12)</f>
        <v/>
      </c>
      <c r="AY12">
        <f>IF((1/$B$7)*((((AV12+AW12)/2)+$B$8*A12)*A12)*((((((AV12+AW12)/2)+$B$8*A12)*A12)/(((AV12+AW12)/2)+2*A12*SQRT(1+$B$8^2))))^(2/3)*SQRT($B$6)&lt;$B$5,AW12,((AV12+AW12)/2))</f>
        <v/>
      </c>
      <c r="AZ12">
        <f>IF((1/$B$7)*((((AX12+AY12)/2)+$B$8*A12)*A12)*((((((AX12+AY12)/2)+$B$8*A12)*A12)/(((AX12+AY12)/2)+2*A12*SQRT(1+$B$8^2))))^(2/3)*SQRT($B$6)&lt;$B$5,((AX12+AY12)/2),AX12)</f>
        <v/>
      </c>
      <c r="BA12">
        <f>IF((1/$B$7)*((((AX12+AY12)/2)+$B$8*A12)*A12)*((((((AX12+AY12)/2)+$B$8*A12)*A12)/(((AX12+AY12)/2)+2*A12*SQRT(1+$B$8^2))))^(2/3)*SQRT($B$6)&lt;$B$5,AY12,((AX12+AY12)/2))</f>
        <v/>
      </c>
      <c r="BB12">
        <f>IF((1/$B$7)*((((AZ12+BA12)/2)+$B$8*A12)*A12)*((((((AZ12+BA12)/2)+$B$8*A12)*A12)/(((AZ12+BA12)/2)+2*A12*SQRT(1+$B$8^2))))^(2/3)*SQRT($B$6)&lt;$B$5,((AZ12+BA12)/2),AZ12)</f>
        <v/>
      </c>
      <c r="BC12">
        <f>IF((1/$B$7)*((((AZ12+BA12)/2)+$B$8*A12)*A12)*((((((AZ12+BA12)/2)+$B$8*A12)*A12)/(((AZ12+BA12)/2)+2*A12*SQRT(1+$B$8^2))))^(2/3)*SQRT($B$6)&lt;$B$5,BA12,((AZ12+BA12)/2))</f>
        <v/>
      </c>
      <c r="BD12">
        <f>IF((1/$B$7)*((((BB12+BC12)/2)+$B$8*A12)*A12)*((((((BB12+BC12)/2)+$B$8*A12)*A12)/(((BB12+BC12)/2)+2*A12*SQRT(1+$B$8^2))))^(2/3)*SQRT($B$6)&lt;$B$5,((BB12+BC12)/2),BB12)</f>
        <v/>
      </c>
      <c r="BE12">
        <f>IF((1/$B$7)*((((BB12+BC12)/2)+$B$8*A12)*A12)*((((((BB12+BC12)/2)+$B$8*A12)*A12)/(((BB12+BC12)/2)+2*A12*SQRT(1+$B$8^2))))^(2/3)*SQRT($B$6)&lt;$B$5,BC12,((BB12+BC12)/2))</f>
        <v/>
      </c>
      <c r="BF12">
        <f>IF((1/$B$7)*((((BD12+BE12)/2)+$B$8*A12)*A12)*((((((BD12+BE12)/2)+$B$8*A12)*A12)/(((BD12+BE12)/2)+2*A12*SQRT(1+$B$8^2))))^(2/3)*SQRT($B$6)&lt;$B$5,((BD12+BE12)/2),BD12)</f>
        <v/>
      </c>
      <c r="BG12">
        <f>IF((1/$B$7)*((((BD12+BE12)/2)+$B$8*A12)*A12)*((((((BD12+BE12)/2)+$B$8*A12)*A12)/(((BD12+BE12)/2)+2*A12*SQRT(1+$B$8^2))))^(2/3)*SQRT($B$6)&lt;$B$5,BE12,((BD12+BE12)/2))</f>
        <v/>
      </c>
      <c r="BH12">
        <f>IF((1/$B$7)*((((BF12+BG12)/2)+$B$8*A12)*A12)*((((((BF12+BG12)/2)+$B$8*A12)*A12)/(((BF12+BG12)/2)+2*A12*SQRT(1+$B$8^2))))^(2/3)*SQRT($B$6)&lt;$B$5,((BF12+BG12)/2),BF12)</f>
        <v/>
      </c>
      <c r="BI12">
        <f>IF((1/$B$7)*((((BF12+BG12)/2)+$B$8*A12)*A12)*((((((BF12+BG12)/2)+$B$8*A12)*A12)/(((BF12+BG12)/2)+2*A12*SQRT(1+$B$8^2))))^(2/3)*SQRT($B$6)&lt;$B$5,BG12,((BF12+BG12)/2))</f>
        <v/>
      </c>
      <c r="BJ12">
        <f>IF((1/$B$7)*((((BH12+BI12)/2)+$B$8*A12)*A12)*((((((BH12+BI12)/2)+$B$8*A12)*A12)/(((BH12+BI12)/2)+2*A12*SQRT(1+$B$8^2))))^(2/3)*SQRT($B$6)&lt;$B$5,((BH12+BI12)/2),BH12)</f>
        <v/>
      </c>
      <c r="BK12">
        <f>IF((1/$B$7)*((((BH12+BI12)/2)+$B$8*A12)*A12)*((((((BH12+BI12)/2)+$B$8*A12)*A12)/(((BH12+BI12)/2)+2*A12*SQRT(1+$B$8^2))))^(2/3)*SQRT($B$6)&lt;$B$5,BI12,((BH12+BI12)/2))</f>
        <v/>
      </c>
      <c r="BL12">
        <f>IF((1/$B$7)*((((BJ12+BK12)/2)+$B$8*A12)*A12)*((((((BJ12+BK12)/2)+$B$8*A12)*A12)/(((BJ12+BK12)/2)+2*A12*SQRT(1+$B$8^2))))^(2/3)*SQRT($B$6)&lt;$B$5,((BJ12+BK12)/2),BJ12)</f>
        <v/>
      </c>
      <c r="BM12">
        <f>IF((1/$B$7)*((((BJ12+BK12)/2)+$B$8*A12)*A12)*((((((BJ12+BK12)/2)+$B$8*A12)*A12)/(((BJ12+BK12)/2)+2*A12*SQRT(1+$B$8^2))))^(2/3)*SQRT($B$6)&lt;$B$5,BK12,((BJ12+BK12)/2))</f>
        <v/>
      </c>
      <c r="BN12">
        <f>IF((1/$B$7)*((((BL12+BM12)/2)+$B$8*A12)*A12)*((((((BL12+BM12)/2)+$B$8*A12)*A12)/(((BL12+BM12)/2)+2*A12*SQRT(1+$B$8^2))))^(2/3)*SQRT($B$6)&lt;$B$5,((BL12+BM12)/2),BL12)</f>
        <v/>
      </c>
      <c r="BO12">
        <f>IF((1/$B$7)*((((BL12+BM12)/2)+$B$8*A12)*A12)*((((((BL12+BM12)/2)+$B$8*A12)*A12)/(((BL12+BM12)/2)+2*A12*SQRT(1+$B$8^2))))^(2/3)*SQRT($B$6)&lt;$B$5,BM12,((BL12+BM12)/2))</f>
        <v/>
      </c>
      <c r="BP12">
        <f>IF((1/$B$7)*((((BN12+BO12)/2)+$B$8*A12)*A12)*((((((BN12+BO12)/2)+$B$8*A12)*A12)/(((BN12+BO12)/2)+2*A12*SQRT(1+$B$8^2))))^(2/3)*SQRT($B$6)&lt;$B$5,((BN12+BO12)/2),BN12)</f>
        <v/>
      </c>
      <c r="BQ12">
        <f>IF((1/$B$7)*((((BN12+BO12)/2)+$B$8*A12)*A12)*((((((BN12+BO12)/2)+$B$8*A12)*A12)/(((BN12+BO12)/2)+2*A12*SQRT(1+$B$8^2))))^(2/3)*SQRT($B$6)&lt;$B$5,BO12,((BN12+BO12)/2))</f>
        <v/>
      </c>
      <c r="BR12">
        <f>IF((1/$B$7)*((((BP12+BQ12)/2)+$B$8*A12)*A12)*((((((BP12+BQ12)/2)+$B$8*A12)*A12)/(((BP12+BQ12)/2)+2*A12*SQRT(1+$B$8^2))))^(2/3)*SQRT($B$6)&lt;$B$5,((BP12+BQ12)/2),BP12)</f>
        <v/>
      </c>
      <c r="BS12">
        <f>IF((1/$B$7)*((((BP12+BQ12)/2)+$B$8*A12)*A12)*((((((BP12+BQ12)/2)+$B$8*A12)*A12)/(((BP12+BQ12)/2)+2*A12*SQRT(1+$B$8^2))))^(2/3)*SQRT($B$6)&lt;$B$5,BQ12,((BP12+BQ12)/2))</f>
        <v/>
      </c>
      <c r="BT12">
        <f>IF((1/$B$7)*((((BR12+BS12)/2)+$B$8*A12)*A12)*((((((BR12+BS12)/2)+$B$8*A12)*A12)/(((BR12+BS12)/2)+2*A12*SQRT(1+$B$8^2))))^(2/3)*SQRT($B$6)&lt;$B$5,((BR12+BS12)/2),BR12)</f>
        <v/>
      </c>
      <c r="BU12">
        <f>IF((1/$B$7)*((((BR12+BS12)/2)+$B$8*A12)*A12)*((((((BR12+BS12)/2)+$B$8*A12)*A12)/(((BR12+BS12)/2)+2*A12*SQRT(1+$B$8^2))))^(2/3)*SQRT($B$6)&lt;$B$5,BS12,((BR12+BS12)/2))</f>
        <v/>
      </c>
      <c r="BV12">
        <f>IF((1/$B$7)*((((BT12+BU12)/2)+$B$8*A12)*A12)*((((((BT12+BU12)/2)+$B$8*A12)*A12)/(((BT12+BU12)/2)+2*A12*SQRT(1+$B$8^2))))^(2/3)*SQRT($B$6)&lt;$B$5,((BT12+BU12)/2),BT12)</f>
        <v/>
      </c>
      <c r="BW12">
        <f>IF((1/$B$7)*((((BT12+BU12)/2)+$B$8*A12)*A12)*((((((BT12+BU12)/2)+$B$8*A12)*A12)/(((BT12+BU12)/2)+2*A12*SQRT(1+$B$8^2))))^(2/3)*SQRT($B$6)&lt;$B$5,BU12,((BT12+BU12)/2))</f>
        <v/>
      </c>
      <c r="BX12">
        <f>IF((1/$B$7)*((((BV12+BW12)/2)+$B$8*A12)*A12)*((((((BV12+BW12)/2)+$B$8*A12)*A12)/(((BV12+BW12)/2)+2*A12*SQRT(1+$B$8^2))))^(2/3)*SQRT($B$6)&lt;$B$5,((BV12+BW12)/2),BV12)</f>
        <v/>
      </c>
      <c r="BY12">
        <f>IF((1/$B$7)*((((BV12+BW12)/2)+$B$8*A12)*A12)*((((((BV12+BW12)/2)+$B$8*A12)*A12)/(((BV12+BW12)/2)+2*A12*SQRT(1+$B$8^2))))^(2/3)*SQRT($B$6)&lt;$B$5,BW12,((BV12+BW12)/2))</f>
        <v/>
      </c>
    </row>
    <row r="13">
      <c r="A13" s="21">
        <f>Inputs!F18</f>
        <v/>
      </c>
      <c r="B13" s="25">
        <f>IF(A13="","",IF(AA13&gt;=$B$5,0,IF((1/$B$7)*(($B$9+$B$8*A13)*A13)*(((($B$9+$B$8*A13)*A13)/($B$9+2*A13*SQRT(1+$B$8^2))))^(2/3)*SQRT($B$6)&lt;$B$5,"",((BX13+BY13)/2))))</f>
        <v/>
      </c>
      <c r="C13" s="13">
        <f>IF(A13="","",IF(AA13&gt;=$B$5,"x=0 suffit",IF((1/$B$7)*(($B$9+$B$8*A13)*A13)*(((($B$9+$B$8*A13)*A13)/($B$9+2*A13*SQRT(1+$B$8^2))))^(2/3)*SQRT($B$6)&lt;$B$5,"Insuffisant à x_max","OK")))</f>
        <v/>
      </c>
      <c r="D13" s="25">
        <f>IF(OR(A13="",B13=""),"",((B13+$B$8*A13)*A13))</f>
        <v/>
      </c>
      <c r="E13" s="25">
        <f>IF(OR(A13="",B13=""),"",(B13+2*A13*SQRT(1+$B$8^2)))</f>
        <v/>
      </c>
      <c r="F13" s="25">
        <f>IF(OR(A13="",B13=""),"",(((B13+$B$8*A13)*A13)/(B13+2*A13*SQRT(1+$B$8^2))))</f>
        <v/>
      </c>
      <c r="G13" s="25">
        <f>IF(OR(A13="",B13=""),"",(B13+2*$B$8*A13))</f>
        <v/>
      </c>
      <c r="H13" s="25">
        <f>IF(OR(A13="",B13="",D13=0),"",I13/D13)</f>
        <v/>
      </c>
      <c r="I13" s="25">
        <f>IF(OR(A13="",B13=""),"",(1/$B$7)*((B13+$B$8*A13)*A13)*((((B13+$B$8*A13)*A13)/(B13+2*A13*SQRT(1+$B$8^2))))^(2/3)*SQRT($B$6))</f>
        <v/>
      </c>
      <c r="J13" s="25">
        <f>IF(I13="","",I13-$B$5)</f>
        <v/>
      </c>
      <c r="K13" s="22">
        <f>IF(I13="","", (I13-$B$5)/$B$5)</f>
        <v/>
      </c>
      <c r="AA13">
        <f>IF(OR(A13="",A13&lt;=0),"" ,(1/$B$7)*((0+$B$8*A13)*A13)*((((0+$B$8*A13)*A13)/(0+2*A13*SQRT(1+$B$8^2))))^(2/3)*SQRT($B$6))</f>
        <v/>
      </c>
      <c r="AB13" t="n">
        <v>0</v>
      </c>
      <c r="AC13">
        <f>$B$9</f>
        <v/>
      </c>
      <c r="AD13">
        <f>IF((1/$B$7)*((((AB13+AC13)/2)+$B$8*A13)*A13)*((((((AB13+AC13)/2)+$B$8*A13)*A13)/(((AB13+AC13)/2)+2*A13*SQRT(1+$B$8^2))))^(2/3)*SQRT($B$6)&lt;$B$5,((AB13+AC13)/2),AB13)</f>
        <v/>
      </c>
      <c r="AE13">
        <f>IF((1/$B$7)*((((AB13+AC13)/2)+$B$8*A13)*A13)*((((((AB13+AC13)/2)+$B$8*A13)*A13)/(((AB13+AC13)/2)+2*A13*SQRT(1+$B$8^2))))^(2/3)*SQRT($B$6)&lt;$B$5,AC13,((AB13+AC13)/2))</f>
        <v/>
      </c>
      <c r="AF13">
        <f>IF((1/$B$7)*((((AD13+AE13)/2)+$B$8*A13)*A13)*((((((AD13+AE13)/2)+$B$8*A13)*A13)/(((AD13+AE13)/2)+2*A13*SQRT(1+$B$8^2))))^(2/3)*SQRT($B$6)&lt;$B$5,((AD13+AE13)/2),AD13)</f>
        <v/>
      </c>
      <c r="AG13">
        <f>IF((1/$B$7)*((((AD13+AE13)/2)+$B$8*A13)*A13)*((((((AD13+AE13)/2)+$B$8*A13)*A13)/(((AD13+AE13)/2)+2*A13*SQRT(1+$B$8^2))))^(2/3)*SQRT($B$6)&lt;$B$5,AE13,((AD13+AE13)/2))</f>
        <v/>
      </c>
      <c r="AH13">
        <f>IF((1/$B$7)*((((AF13+AG13)/2)+$B$8*A13)*A13)*((((((AF13+AG13)/2)+$B$8*A13)*A13)/(((AF13+AG13)/2)+2*A13*SQRT(1+$B$8^2))))^(2/3)*SQRT($B$6)&lt;$B$5,((AF13+AG13)/2),AF13)</f>
        <v/>
      </c>
      <c r="AI13">
        <f>IF((1/$B$7)*((((AF13+AG13)/2)+$B$8*A13)*A13)*((((((AF13+AG13)/2)+$B$8*A13)*A13)/(((AF13+AG13)/2)+2*A13*SQRT(1+$B$8^2))))^(2/3)*SQRT($B$6)&lt;$B$5,AG13,((AF13+AG13)/2))</f>
        <v/>
      </c>
      <c r="AJ13">
        <f>IF((1/$B$7)*((((AH13+AI13)/2)+$B$8*A13)*A13)*((((((AH13+AI13)/2)+$B$8*A13)*A13)/(((AH13+AI13)/2)+2*A13*SQRT(1+$B$8^2))))^(2/3)*SQRT($B$6)&lt;$B$5,((AH13+AI13)/2),AH13)</f>
        <v/>
      </c>
      <c r="AK13">
        <f>IF((1/$B$7)*((((AH13+AI13)/2)+$B$8*A13)*A13)*((((((AH13+AI13)/2)+$B$8*A13)*A13)/(((AH13+AI13)/2)+2*A13*SQRT(1+$B$8^2))))^(2/3)*SQRT($B$6)&lt;$B$5,AI13,((AH13+AI13)/2))</f>
        <v/>
      </c>
      <c r="AL13">
        <f>IF((1/$B$7)*((((AJ13+AK13)/2)+$B$8*A13)*A13)*((((((AJ13+AK13)/2)+$B$8*A13)*A13)/(((AJ13+AK13)/2)+2*A13*SQRT(1+$B$8^2))))^(2/3)*SQRT($B$6)&lt;$B$5,((AJ13+AK13)/2),AJ13)</f>
        <v/>
      </c>
      <c r="AM13">
        <f>IF((1/$B$7)*((((AJ13+AK13)/2)+$B$8*A13)*A13)*((((((AJ13+AK13)/2)+$B$8*A13)*A13)/(((AJ13+AK13)/2)+2*A13*SQRT(1+$B$8^2))))^(2/3)*SQRT($B$6)&lt;$B$5,AK13,((AJ13+AK13)/2))</f>
        <v/>
      </c>
      <c r="AN13">
        <f>IF((1/$B$7)*((((AL13+AM13)/2)+$B$8*A13)*A13)*((((((AL13+AM13)/2)+$B$8*A13)*A13)/(((AL13+AM13)/2)+2*A13*SQRT(1+$B$8^2))))^(2/3)*SQRT($B$6)&lt;$B$5,((AL13+AM13)/2),AL13)</f>
        <v/>
      </c>
      <c r="AO13">
        <f>IF((1/$B$7)*((((AL13+AM13)/2)+$B$8*A13)*A13)*((((((AL13+AM13)/2)+$B$8*A13)*A13)/(((AL13+AM13)/2)+2*A13*SQRT(1+$B$8^2))))^(2/3)*SQRT($B$6)&lt;$B$5,AM13,((AL13+AM13)/2))</f>
        <v/>
      </c>
      <c r="AP13">
        <f>IF((1/$B$7)*((((AN13+AO13)/2)+$B$8*A13)*A13)*((((((AN13+AO13)/2)+$B$8*A13)*A13)/(((AN13+AO13)/2)+2*A13*SQRT(1+$B$8^2))))^(2/3)*SQRT($B$6)&lt;$B$5,((AN13+AO13)/2),AN13)</f>
        <v/>
      </c>
      <c r="AQ13">
        <f>IF((1/$B$7)*((((AN13+AO13)/2)+$B$8*A13)*A13)*((((((AN13+AO13)/2)+$B$8*A13)*A13)/(((AN13+AO13)/2)+2*A13*SQRT(1+$B$8^2))))^(2/3)*SQRT($B$6)&lt;$B$5,AO13,((AN13+AO13)/2))</f>
        <v/>
      </c>
      <c r="AR13">
        <f>IF((1/$B$7)*((((AP13+AQ13)/2)+$B$8*A13)*A13)*((((((AP13+AQ13)/2)+$B$8*A13)*A13)/(((AP13+AQ13)/2)+2*A13*SQRT(1+$B$8^2))))^(2/3)*SQRT($B$6)&lt;$B$5,((AP13+AQ13)/2),AP13)</f>
        <v/>
      </c>
      <c r="AS13">
        <f>IF((1/$B$7)*((((AP13+AQ13)/2)+$B$8*A13)*A13)*((((((AP13+AQ13)/2)+$B$8*A13)*A13)/(((AP13+AQ13)/2)+2*A13*SQRT(1+$B$8^2))))^(2/3)*SQRT($B$6)&lt;$B$5,AQ13,((AP13+AQ13)/2))</f>
        <v/>
      </c>
      <c r="AT13">
        <f>IF((1/$B$7)*((((AR13+AS13)/2)+$B$8*A13)*A13)*((((((AR13+AS13)/2)+$B$8*A13)*A13)/(((AR13+AS13)/2)+2*A13*SQRT(1+$B$8^2))))^(2/3)*SQRT($B$6)&lt;$B$5,((AR13+AS13)/2),AR13)</f>
        <v/>
      </c>
      <c r="AU13">
        <f>IF((1/$B$7)*((((AR13+AS13)/2)+$B$8*A13)*A13)*((((((AR13+AS13)/2)+$B$8*A13)*A13)/(((AR13+AS13)/2)+2*A13*SQRT(1+$B$8^2))))^(2/3)*SQRT($B$6)&lt;$B$5,AS13,((AR13+AS13)/2))</f>
        <v/>
      </c>
      <c r="AV13">
        <f>IF((1/$B$7)*((((AT13+AU13)/2)+$B$8*A13)*A13)*((((((AT13+AU13)/2)+$B$8*A13)*A13)/(((AT13+AU13)/2)+2*A13*SQRT(1+$B$8^2))))^(2/3)*SQRT($B$6)&lt;$B$5,((AT13+AU13)/2),AT13)</f>
        <v/>
      </c>
      <c r="AW13">
        <f>IF((1/$B$7)*((((AT13+AU13)/2)+$B$8*A13)*A13)*((((((AT13+AU13)/2)+$B$8*A13)*A13)/(((AT13+AU13)/2)+2*A13*SQRT(1+$B$8^2))))^(2/3)*SQRT($B$6)&lt;$B$5,AU13,((AT13+AU13)/2))</f>
        <v/>
      </c>
      <c r="AX13">
        <f>IF((1/$B$7)*((((AV13+AW13)/2)+$B$8*A13)*A13)*((((((AV13+AW13)/2)+$B$8*A13)*A13)/(((AV13+AW13)/2)+2*A13*SQRT(1+$B$8^2))))^(2/3)*SQRT($B$6)&lt;$B$5,((AV13+AW13)/2),AV13)</f>
        <v/>
      </c>
      <c r="AY13">
        <f>IF((1/$B$7)*((((AV13+AW13)/2)+$B$8*A13)*A13)*((((((AV13+AW13)/2)+$B$8*A13)*A13)/(((AV13+AW13)/2)+2*A13*SQRT(1+$B$8^2))))^(2/3)*SQRT($B$6)&lt;$B$5,AW13,((AV13+AW13)/2))</f>
        <v/>
      </c>
      <c r="AZ13">
        <f>IF((1/$B$7)*((((AX13+AY13)/2)+$B$8*A13)*A13)*((((((AX13+AY13)/2)+$B$8*A13)*A13)/(((AX13+AY13)/2)+2*A13*SQRT(1+$B$8^2))))^(2/3)*SQRT($B$6)&lt;$B$5,((AX13+AY13)/2),AX13)</f>
        <v/>
      </c>
      <c r="BA13">
        <f>IF((1/$B$7)*((((AX13+AY13)/2)+$B$8*A13)*A13)*((((((AX13+AY13)/2)+$B$8*A13)*A13)/(((AX13+AY13)/2)+2*A13*SQRT(1+$B$8^2))))^(2/3)*SQRT($B$6)&lt;$B$5,AY13,((AX13+AY13)/2))</f>
        <v/>
      </c>
      <c r="BB13">
        <f>IF((1/$B$7)*((((AZ13+BA13)/2)+$B$8*A13)*A13)*((((((AZ13+BA13)/2)+$B$8*A13)*A13)/(((AZ13+BA13)/2)+2*A13*SQRT(1+$B$8^2))))^(2/3)*SQRT($B$6)&lt;$B$5,((AZ13+BA13)/2),AZ13)</f>
        <v/>
      </c>
      <c r="BC13">
        <f>IF((1/$B$7)*((((AZ13+BA13)/2)+$B$8*A13)*A13)*((((((AZ13+BA13)/2)+$B$8*A13)*A13)/(((AZ13+BA13)/2)+2*A13*SQRT(1+$B$8^2))))^(2/3)*SQRT($B$6)&lt;$B$5,BA13,((AZ13+BA13)/2))</f>
        <v/>
      </c>
      <c r="BD13">
        <f>IF((1/$B$7)*((((BB13+BC13)/2)+$B$8*A13)*A13)*((((((BB13+BC13)/2)+$B$8*A13)*A13)/(((BB13+BC13)/2)+2*A13*SQRT(1+$B$8^2))))^(2/3)*SQRT($B$6)&lt;$B$5,((BB13+BC13)/2),BB13)</f>
        <v/>
      </c>
      <c r="BE13">
        <f>IF((1/$B$7)*((((BB13+BC13)/2)+$B$8*A13)*A13)*((((((BB13+BC13)/2)+$B$8*A13)*A13)/(((BB13+BC13)/2)+2*A13*SQRT(1+$B$8^2))))^(2/3)*SQRT($B$6)&lt;$B$5,BC13,((BB13+BC13)/2))</f>
        <v/>
      </c>
      <c r="BF13">
        <f>IF((1/$B$7)*((((BD13+BE13)/2)+$B$8*A13)*A13)*((((((BD13+BE13)/2)+$B$8*A13)*A13)/(((BD13+BE13)/2)+2*A13*SQRT(1+$B$8^2))))^(2/3)*SQRT($B$6)&lt;$B$5,((BD13+BE13)/2),BD13)</f>
        <v/>
      </c>
      <c r="BG13">
        <f>IF((1/$B$7)*((((BD13+BE13)/2)+$B$8*A13)*A13)*((((((BD13+BE13)/2)+$B$8*A13)*A13)/(((BD13+BE13)/2)+2*A13*SQRT(1+$B$8^2))))^(2/3)*SQRT($B$6)&lt;$B$5,BE13,((BD13+BE13)/2))</f>
        <v/>
      </c>
      <c r="BH13">
        <f>IF((1/$B$7)*((((BF13+BG13)/2)+$B$8*A13)*A13)*((((((BF13+BG13)/2)+$B$8*A13)*A13)/(((BF13+BG13)/2)+2*A13*SQRT(1+$B$8^2))))^(2/3)*SQRT($B$6)&lt;$B$5,((BF13+BG13)/2),BF13)</f>
        <v/>
      </c>
      <c r="BI13">
        <f>IF((1/$B$7)*((((BF13+BG13)/2)+$B$8*A13)*A13)*((((((BF13+BG13)/2)+$B$8*A13)*A13)/(((BF13+BG13)/2)+2*A13*SQRT(1+$B$8^2))))^(2/3)*SQRT($B$6)&lt;$B$5,BG13,((BF13+BG13)/2))</f>
        <v/>
      </c>
      <c r="BJ13">
        <f>IF((1/$B$7)*((((BH13+BI13)/2)+$B$8*A13)*A13)*((((((BH13+BI13)/2)+$B$8*A13)*A13)/(((BH13+BI13)/2)+2*A13*SQRT(1+$B$8^2))))^(2/3)*SQRT($B$6)&lt;$B$5,((BH13+BI13)/2),BH13)</f>
        <v/>
      </c>
      <c r="BK13">
        <f>IF((1/$B$7)*((((BH13+BI13)/2)+$B$8*A13)*A13)*((((((BH13+BI13)/2)+$B$8*A13)*A13)/(((BH13+BI13)/2)+2*A13*SQRT(1+$B$8^2))))^(2/3)*SQRT($B$6)&lt;$B$5,BI13,((BH13+BI13)/2))</f>
        <v/>
      </c>
      <c r="BL13">
        <f>IF((1/$B$7)*((((BJ13+BK13)/2)+$B$8*A13)*A13)*((((((BJ13+BK13)/2)+$B$8*A13)*A13)/(((BJ13+BK13)/2)+2*A13*SQRT(1+$B$8^2))))^(2/3)*SQRT($B$6)&lt;$B$5,((BJ13+BK13)/2),BJ13)</f>
        <v/>
      </c>
      <c r="BM13">
        <f>IF((1/$B$7)*((((BJ13+BK13)/2)+$B$8*A13)*A13)*((((((BJ13+BK13)/2)+$B$8*A13)*A13)/(((BJ13+BK13)/2)+2*A13*SQRT(1+$B$8^2))))^(2/3)*SQRT($B$6)&lt;$B$5,BK13,((BJ13+BK13)/2))</f>
        <v/>
      </c>
      <c r="BN13">
        <f>IF((1/$B$7)*((((BL13+BM13)/2)+$B$8*A13)*A13)*((((((BL13+BM13)/2)+$B$8*A13)*A13)/(((BL13+BM13)/2)+2*A13*SQRT(1+$B$8^2))))^(2/3)*SQRT($B$6)&lt;$B$5,((BL13+BM13)/2),BL13)</f>
        <v/>
      </c>
      <c r="BO13">
        <f>IF((1/$B$7)*((((BL13+BM13)/2)+$B$8*A13)*A13)*((((((BL13+BM13)/2)+$B$8*A13)*A13)/(((BL13+BM13)/2)+2*A13*SQRT(1+$B$8^2))))^(2/3)*SQRT($B$6)&lt;$B$5,BM13,((BL13+BM13)/2))</f>
        <v/>
      </c>
      <c r="BP13">
        <f>IF((1/$B$7)*((((BN13+BO13)/2)+$B$8*A13)*A13)*((((((BN13+BO13)/2)+$B$8*A13)*A13)/(((BN13+BO13)/2)+2*A13*SQRT(1+$B$8^2))))^(2/3)*SQRT($B$6)&lt;$B$5,((BN13+BO13)/2),BN13)</f>
        <v/>
      </c>
      <c r="BQ13">
        <f>IF((1/$B$7)*((((BN13+BO13)/2)+$B$8*A13)*A13)*((((((BN13+BO13)/2)+$B$8*A13)*A13)/(((BN13+BO13)/2)+2*A13*SQRT(1+$B$8^2))))^(2/3)*SQRT($B$6)&lt;$B$5,BO13,((BN13+BO13)/2))</f>
        <v/>
      </c>
      <c r="BR13">
        <f>IF((1/$B$7)*((((BP13+BQ13)/2)+$B$8*A13)*A13)*((((((BP13+BQ13)/2)+$B$8*A13)*A13)/(((BP13+BQ13)/2)+2*A13*SQRT(1+$B$8^2))))^(2/3)*SQRT($B$6)&lt;$B$5,((BP13+BQ13)/2),BP13)</f>
        <v/>
      </c>
      <c r="BS13">
        <f>IF((1/$B$7)*((((BP13+BQ13)/2)+$B$8*A13)*A13)*((((((BP13+BQ13)/2)+$B$8*A13)*A13)/(((BP13+BQ13)/2)+2*A13*SQRT(1+$B$8^2))))^(2/3)*SQRT($B$6)&lt;$B$5,BQ13,((BP13+BQ13)/2))</f>
        <v/>
      </c>
      <c r="BT13">
        <f>IF((1/$B$7)*((((BR13+BS13)/2)+$B$8*A13)*A13)*((((((BR13+BS13)/2)+$B$8*A13)*A13)/(((BR13+BS13)/2)+2*A13*SQRT(1+$B$8^2))))^(2/3)*SQRT($B$6)&lt;$B$5,((BR13+BS13)/2),BR13)</f>
        <v/>
      </c>
      <c r="BU13">
        <f>IF((1/$B$7)*((((BR13+BS13)/2)+$B$8*A13)*A13)*((((((BR13+BS13)/2)+$B$8*A13)*A13)/(((BR13+BS13)/2)+2*A13*SQRT(1+$B$8^2))))^(2/3)*SQRT($B$6)&lt;$B$5,BS13,((BR13+BS13)/2))</f>
        <v/>
      </c>
      <c r="BV13">
        <f>IF((1/$B$7)*((((BT13+BU13)/2)+$B$8*A13)*A13)*((((((BT13+BU13)/2)+$B$8*A13)*A13)/(((BT13+BU13)/2)+2*A13*SQRT(1+$B$8^2))))^(2/3)*SQRT($B$6)&lt;$B$5,((BT13+BU13)/2),BT13)</f>
        <v/>
      </c>
      <c r="BW13">
        <f>IF((1/$B$7)*((((BT13+BU13)/2)+$B$8*A13)*A13)*((((((BT13+BU13)/2)+$B$8*A13)*A13)/(((BT13+BU13)/2)+2*A13*SQRT(1+$B$8^2))))^(2/3)*SQRT($B$6)&lt;$B$5,BU13,((BT13+BU13)/2))</f>
        <v/>
      </c>
      <c r="BX13">
        <f>IF((1/$B$7)*((((BV13+BW13)/2)+$B$8*A13)*A13)*((((((BV13+BW13)/2)+$B$8*A13)*A13)/(((BV13+BW13)/2)+2*A13*SQRT(1+$B$8^2))))^(2/3)*SQRT($B$6)&lt;$B$5,((BV13+BW13)/2),BV13)</f>
        <v/>
      </c>
      <c r="BY13">
        <f>IF((1/$B$7)*((((BV13+BW13)/2)+$B$8*A13)*A13)*((((((BV13+BW13)/2)+$B$8*A13)*A13)/(((BV13+BW13)/2)+2*A13*SQRT(1+$B$8^2))))^(2/3)*SQRT($B$6)&lt;$B$5,BW13,((BV13+BW13)/2))</f>
        <v/>
      </c>
    </row>
    <row r="14">
      <c r="A14" s="21">
        <f>Inputs!F19</f>
        <v/>
      </c>
      <c r="B14" s="25">
        <f>IF(A14="","",IF(AA14&gt;=$B$5,0,IF((1/$B$7)*(($B$9+$B$8*A14)*A14)*(((($B$9+$B$8*A14)*A14)/($B$9+2*A14*SQRT(1+$B$8^2))))^(2/3)*SQRT($B$6)&lt;$B$5,"",((BX14+BY14)/2))))</f>
        <v/>
      </c>
      <c r="C14" s="13">
        <f>IF(A14="","",IF(AA14&gt;=$B$5,"x=0 suffit",IF((1/$B$7)*(($B$9+$B$8*A14)*A14)*(((($B$9+$B$8*A14)*A14)/($B$9+2*A14*SQRT(1+$B$8^2))))^(2/3)*SQRT($B$6)&lt;$B$5,"Insuffisant à x_max","OK")))</f>
        <v/>
      </c>
      <c r="D14" s="25">
        <f>IF(OR(A14="",B14=""),"",((B14+$B$8*A14)*A14))</f>
        <v/>
      </c>
      <c r="E14" s="25">
        <f>IF(OR(A14="",B14=""),"",(B14+2*A14*SQRT(1+$B$8^2)))</f>
        <v/>
      </c>
      <c r="F14" s="25">
        <f>IF(OR(A14="",B14=""),"",(((B14+$B$8*A14)*A14)/(B14+2*A14*SQRT(1+$B$8^2))))</f>
        <v/>
      </c>
      <c r="G14" s="25">
        <f>IF(OR(A14="",B14=""),"",(B14+2*$B$8*A14))</f>
        <v/>
      </c>
      <c r="H14" s="25">
        <f>IF(OR(A14="",B14="",D14=0),"",I14/D14)</f>
        <v/>
      </c>
      <c r="I14" s="25">
        <f>IF(OR(A14="",B14=""),"",(1/$B$7)*((B14+$B$8*A14)*A14)*((((B14+$B$8*A14)*A14)/(B14+2*A14*SQRT(1+$B$8^2))))^(2/3)*SQRT($B$6))</f>
        <v/>
      </c>
      <c r="J14" s="25">
        <f>IF(I14="","",I14-$B$5)</f>
        <v/>
      </c>
      <c r="K14" s="22">
        <f>IF(I14="","", (I14-$B$5)/$B$5)</f>
        <v/>
      </c>
      <c r="AA14">
        <f>IF(OR(A14="",A14&lt;=0),"" ,(1/$B$7)*((0+$B$8*A14)*A14)*((((0+$B$8*A14)*A14)/(0+2*A14*SQRT(1+$B$8^2))))^(2/3)*SQRT($B$6))</f>
        <v/>
      </c>
      <c r="AB14" t="n">
        <v>0</v>
      </c>
      <c r="AC14">
        <f>$B$9</f>
        <v/>
      </c>
      <c r="AD14">
        <f>IF((1/$B$7)*((((AB14+AC14)/2)+$B$8*A14)*A14)*((((((AB14+AC14)/2)+$B$8*A14)*A14)/(((AB14+AC14)/2)+2*A14*SQRT(1+$B$8^2))))^(2/3)*SQRT($B$6)&lt;$B$5,((AB14+AC14)/2),AB14)</f>
        <v/>
      </c>
      <c r="AE14">
        <f>IF((1/$B$7)*((((AB14+AC14)/2)+$B$8*A14)*A14)*((((((AB14+AC14)/2)+$B$8*A14)*A14)/(((AB14+AC14)/2)+2*A14*SQRT(1+$B$8^2))))^(2/3)*SQRT($B$6)&lt;$B$5,AC14,((AB14+AC14)/2))</f>
        <v/>
      </c>
      <c r="AF14">
        <f>IF((1/$B$7)*((((AD14+AE14)/2)+$B$8*A14)*A14)*((((((AD14+AE14)/2)+$B$8*A14)*A14)/(((AD14+AE14)/2)+2*A14*SQRT(1+$B$8^2))))^(2/3)*SQRT($B$6)&lt;$B$5,((AD14+AE14)/2),AD14)</f>
        <v/>
      </c>
      <c r="AG14">
        <f>IF((1/$B$7)*((((AD14+AE14)/2)+$B$8*A14)*A14)*((((((AD14+AE14)/2)+$B$8*A14)*A14)/(((AD14+AE14)/2)+2*A14*SQRT(1+$B$8^2))))^(2/3)*SQRT($B$6)&lt;$B$5,AE14,((AD14+AE14)/2))</f>
        <v/>
      </c>
      <c r="AH14">
        <f>IF((1/$B$7)*((((AF14+AG14)/2)+$B$8*A14)*A14)*((((((AF14+AG14)/2)+$B$8*A14)*A14)/(((AF14+AG14)/2)+2*A14*SQRT(1+$B$8^2))))^(2/3)*SQRT($B$6)&lt;$B$5,((AF14+AG14)/2),AF14)</f>
        <v/>
      </c>
      <c r="AI14">
        <f>IF((1/$B$7)*((((AF14+AG14)/2)+$B$8*A14)*A14)*((((((AF14+AG14)/2)+$B$8*A14)*A14)/(((AF14+AG14)/2)+2*A14*SQRT(1+$B$8^2))))^(2/3)*SQRT($B$6)&lt;$B$5,AG14,((AF14+AG14)/2))</f>
        <v/>
      </c>
      <c r="AJ14">
        <f>IF((1/$B$7)*((((AH14+AI14)/2)+$B$8*A14)*A14)*((((((AH14+AI14)/2)+$B$8*A14)*A14)/(((AH14+AI14)/2)+2*A14*SQRT(1+$B$8^2))))^(2/3)*SQRT($B$6)&lt;$B$5,((AH14+AI14)/2),AH14)</f>
        <v/>
      </c>
      <c r="AK14">
        <f>IF((1/$B$7)*((((AH14+AI14)/2)+$B$8*A14)*A14)*((((((AH14+AI14)/2)+$B$8*A14)*A14)/(((AH14+AI14)/2)+2*A14*SQRT(1+$B$8^2))))^(2/3)*SQRT($B$6)&lt;$B$5,AI14,((AH14+AI14)/2))</f>
        <v/>
      </c>
      <c r="AL14">
        <f>IF((1/$B$7)*((((AJ14+AK14)/2)+$B$8*A14)*A14)*((((((AJ14+AK14)/2)+$B$8*A14)*A14)/(((AJ14+AK14)/2)+2*A14*SQRT(1+$B$8^2))))^(2/3)*SQRT($B$6)&lt;$B$5,((AJ14+AK14)/2),AJ14)</f>
        <v/>
      </c>
      <c r="AM14">
        <f>IF((1/$B$7)*((((AJ14+AK14)/2)+$B$8*A14)*A14)*((((((AJ14+AK14)/2)+$B$8*A14)*A14)/(((AJ14+AK14)/2)+2*A14*SQRT(1+$B$8^2))))^(2/3)*SQRT($B$6)&lt;$B$5,AK14,((AJ14+AK14)/2))</f>
        <v/>
      </c>
      <c r="AN14">
        <f>IF((1/$B$7)*((((AL14+AM14)/2)+$B$8*A14)*A14)*((((((AL14+AM14)/2)+$B$8*A14)*A14)/(((AL14+AM14)/2)+2*A14*SQRT(1+$B$8^2))))^(2/3)*SQRT($B$6)&lt;$B$5,((AL14+AM14)/2),AL14)</f>
        <v/>
      </c>
      <c r="AO14">
        <f>IF((1/$B$7)*((((AL14+AM14)/2)+$B$8*A14)*A14)*((((((AL14+AM14)/2)+$B$8*A14)*A14)/(((AL14+AM14)/2)+2*A14*SQRT(1+$B$8^2))))^(2/3)*SQRT($B$6)&lt;$B$5,AM14,((AL14+AM14)/2))</f>
        <v/>
      </c>
      <c r="AP14">
        <f>IF((1/$B$7)*((((AN14+AO14)/2)+$B$8*A14)*A14)*((((((AN14+AO14)/2)+$B$8*A14)*A14)/(((AN14+AO14)/2)+2*A14*SQRT(1+$B$8^2))))^(2/3)*SQRT($B$6)&lt;$B$5,((AN14+AO14)/2),AN14)</f>
        <v/>
      </c>
      <c r="AQ14">
        <f>IF((1/$B$7)*((((AN14+AO14)/2)+$B$8*A14)*A14)*((((((AN14+AO14)/2)+$B$8*A14)*A14)/(((AN14+AO14)/2)+2*A14*SQRT(1+$B$8^2))))^(2/3)*SQRT($B$6)&lt;$B$5,AO14,((AN14+AO14)/2))</f>
        <v/>
      </c>
      <c r="AR14">
        <f>IF((1/$B$7)*((((AP14+AQ14)/2)+$B$8*A14)*A14)*((((((AP14+AQ14)/2)+$B$8*A14)*A14)/(((AP14+AQ14)/2)+2*A14*SQRT(1+$B$8^2))))^(2/3)*SQRT($B$6)&lt;$B$5,((AP14+AQ14)/2),AP14)</f>
        <v/>
      </c>
      <c r="AS14">
        <f>IF((1/$B$7)*((((AP14+AQ14)/2)+$B$8*A14)*A14)*((((((AP14+AQ14)/2)+$B$8*A14)*A14)/(((AP14+AQ14)/2)+2*A14*SQRT(1+$B$8^2))))^(2/3)*SQRT($B$6)&lt;$B$5,AQ14,((AP14+AQ14)/2))</f>
        <v/>
      </c>
      <c r="AT14">
        <f>IF((1/$B$7)*((((AR14+AS14)/2)+$B$8*A14)*A14)*((((((AR14+AS14)/2)+$B$8*A14)*A14)/(((AR14+AS14)/2)+2*A14*SQRT(1+$B$8^2))))^(2/3)*SQRT($B$6)&lt;$B$5,((AR14+AS14)/2),AR14)</f>
        <v/>
      </c>
      <c r="AU14">
        <f>IF((1/$B$7)*((((AR14+AS14)/2)+$B$8*A14)*A14)*((((((AR14+AS14)/2)+$B$8*A14)*A14)/(((AR14+AS14)/2)+2*A14*SQRT(1+$B$8^2))))^(2/3)*SQRT($B$6)&lt;$B$5,AS14,((AR14+AS14)/2))</f>
        <v/>
      </c>
      <c r="AV14">
        <f>IF((1/$B$7)*((((AT14+AU14)/2)+$B$8*A14)*A14)*((((((AT14+AU14)/2)+$B$8*A14)*A14)/(((AT14+AU14)/2)+2*A14*SQRT(1+$B$8^2))))^(2/3)*SQRT($B$6)&lt;$B$5,((AT14+AU14)/2),AT14)</f>
        <v/>
      </c>
      <c r="AW14">
        <f>IF((1/$B$7)*((((AT14+AU14)/2)+$B$8*A14)*A14)*((((((AT14+AU14)/2)+$B$8*A14)*A14)/(((AT14+AU14)/2)+2*A14*SQRT(1+$B$8^2))))^(2/3)*SQRT($B$6)&lt;$B$5,AU14,((AT14+AU14)/2))</f>
        <v/>
      </c>
      <c r="AX14">
        <f>IF((1/$B$7)*((((AV14+AW14)/2)+$B$8*A14)*A14)*((((((AV14+AW14)/2)+$B$8*A14)*A14)/(((AV14+AW14)/2)+2*A14*SQRT(1+$B$8^2))))^(2/3)*SQRT($B$6)&lt;$B$5,((AV14+AW14)/2),AV14)</f>
        <v/>
      </c>
      <c r="AY14">
        <f>IF((1/$B$7)*((((AV14+AW14)/2)+$B$8*A14)*A14)*((((((AV14+AW14)/2)+$B$8*A14)*A14)/(((AV14+AW14)/2)+2*A14*SQRT(1+$B$8^2))))^(2/3)*SQRT($B$6)&lt;$B$5,AW14,((AV14+AW14)/2))</f>
        <v/>
      </c>
      <c r="AZ14">
        <f>IF((1/$B$7)*((((AX14+AY14)/2)+$B$8*A14)*A14)*((((((AX14+AY14)/2)+$B$8*A14)*A14)/(((AX14+AY14)/2)+2*A14*SQRT(1+$B$8^2))))^(2/3)*SQRT($B$6)&lt;$B$5,((AX14+AY14)/2),AX14)</f>
        <v/>
      </c>
      <c r="BA14">
        <f>IF((1/$B$7)*((((AX14+AY14)/2)+$B$8*A14)*A14)*((((((AX14+AY14)/2)+$B$8*A14)*A14)/(((AX14+AY14)/2)+2*A14*SQRT(1+$B$8^2))))^(2/3)*SQRT($B$6)&lt;$B$5,AY14,((AX14+AY14)/2))</f>
        <v/>
      </c>
      <c r="BB14">
        <f>IF((1/$B$7)*((((AZ14+BA14)/2)+$B$8*A14)*A14)*((((((AZ14+BA14)/2)+$B$8*A14)*A14)/(((AZ14+BA14)/2)+2*A14*SQRT(1+$B$8^2))))^(2/3)*SQRT($B$6)&lt;$B$5,((AZ14+BA14)/2),AZ14)</f>
        <v/>
      </c>
      <c r="BC14">
        <f>IF((1/$B$7)*((((AZ14+BA14)/2)+$B$8*A14)*A14)*((((((AZ14+BA14)/2)+$B$8*A14)*A14)/(((AZ14+BA14)/2)+2*A14*SQRT(1+$B$8^2))))^(2/3)*SQRT($B$6)&lt;$B$5,BA14,((AZ14+BA14)/2))</f>
        <v/>
      </c>
      <c r="BD14">
        <f>IF((1/$B$7)*((((BB14+BC14)/2)+$B$8*A14)*A14)*((((((BB14+BC14)/2)+$B$8*A14)*A14)/(((BB14+BC14)/2)+2*A14*SQRT(1+$B$8^2))))^(2/3)*SQRT($B$6)&lt;$B$5,((BB14+BC14)/2),BB14)</f>
        <v/>
      </c>
      <c r="BE14">
        <f>IF((1/$B$7)*((((BB14+BC14)/2)+$B$8*A14)*A14)*((((((BB14+BC14)/2)+$B$8*A14)*A14)/(((BB14+BC14)/2)+2*A14*SQRT(1+$B$8^2))))^(2/3)*SQRT($B$6)&lt;$B$5,BC14,((BB14+BC14)/2))</f>
        <v/>
      </c>
      <c r="BF14">
        <f>IF((1/$B$7)*((((BD14+BE14)/2)+$B$8*A14)*A14)*((((((BD14+BE14)/2)+$B$8*A14)*A14)/(((BD14+BE14)/2)+2*A14*SQRT(1+$B$8^2))))^(2/3)*SQRT($B$6)&lt;$B$5,((BD14+BE14)/2),BD14)</f>
        <v/>
      </c>
      <c r="BG14">
        <f>IF((1/$B$7)*((((BD14+BE14)/2)+$B$8*A14)*A14)*((((((BD14+BE14)/2)+$B$8*A14)*A14)/(((BD14+BE14)/2)+2*A14*SQRT(1+$B$8^2))))^(2/3)*SQRT($B$6)&lt;$B$5,BE14,((BD14+BE14)/2))</f>
        <v/>
      </c>
      <c r="BH14">
        <f>IF((1/$B$7)*((((BF14+BG14)/2)+$B$8*A14)*A14)*((((((BF14+BG14)/2)+$B$8*A14)*A14)/(((BF14+BG14)/2)+2*A14*SQRT(1+$B$8^2))))^(2/3)*SQRT($B$6)&lt;$B$5,((BF14+BG14)/2),BF14)</f>
        <v/>
      </c>
      <c r="BI14">
        <f>IF((1/$B$7)*((((BF14+BG14)/2)+$B$8*A14)*A14)*((((((BF14+BG14)/2)+$B$8*A14)*A14)/(((BF14+BG14)/2)+2*A14*SQRT(1+$B$8^2))))^(2/3)*SQRT($B$6)&lt;$B$5,BG14,((BF14+BG14)/2))</f>
        <v/>
      </c>
      <c r="BJ14">
        <f>IF((1/$B$7)*((((BH14+BI14)/2)+$B$8*A14)*A14)*((((((BH14+BI14)/2)+$B$8*A14)*A14)/(((BH14+BI14)/2)+2*A14*SQRT(1+$B$8^2))))^(2/3)*SQRT($B$6)&lt;$B$5,((BH14+BI14)/2),BH14)</f>
        <v/>
      </c>
      <c r="BK14">
        <f>IF((1/$B$7)*((((BH14+BI14)/2)+$B$8*A14)*A14)*((((((BH14+BI14)/2)+$B$8*A14)*A14)/(((BH14+BI14)/2)+2*A14*SQRT(1+$B$8^2))))^(2/3)*SQRT($B$6)&lt;$B$5,BI14,((BH14+BI14)/2))</f>
        <v/>
      </c>
      <c r="BL14">
        <f>IF((1/$B$7)*((((BJ14+BK14)/2)+$B$8*A14)*A14)*((((((BJ14+BK14)/2)+$B$8*A14)*A14)/(((BJ14+BK14)/2)+2*A14*SQRT(1+$B$8^2))))^(2/3)*SQRT($B$6)&lt;$B$5,((BJ14+BK14)/2),BJ14)</f>
        <v/>
      </c>
      <c r="BM14">
        <f>IF((1/$B$7)*((((BJ14+BK14)/2)+$B$8*A14)*A14)*((((((BJ14+BK14)/2)+$B$8*A14)*A14)/(((BJ14+BK14)/2)+2*A14*SQRT(1+$B$8^2))))^(2/3)*SQRT($B$6)&lt;$B$5,BK14,((BJ14+BK14)/2))</f>
        <v/>
      </c>
      <c r="BN14">
        <f>IF((1/$B$7)*((((BL14+BM14)/2)+$B$8*A14)*A14)*((((((BL14+BM14)/2)+$B$8*A14)*A14)/(((BL14+BM14)/2)+2*A14*SQRT(1+$B$8^2))))^(2/3)*SQRT($B$6)&lt;$B$5,((BL14+BM14)/2),BL14)</f>
        <v/>
      </c>
      <c r="BO14">
        <f>IF((1/$B$7)*((((BL14+BM14)/2)+$B$8*A14)*A14)*((((((BL14+BM14)/2)+$B$8*A14)*A14)/(((BL14+BM14)/2)+2*A14*SQRT(1+$B$8^2))))^(2/3)*SQRT($B$6)&lt;$B$5,BM14,((BL14+BM14)/2))</f>
        <v/>
      </c>
      <c r="BP14">
        <f>IF((1/$B$7)*((((BN14+BO14)/2)+$B$8*A14)*A14)*((((((BN14+BO14)/2)+$B$8*A14)*A14)/(((BN14+BO14)/2)+2*A14*SQRT(1+$B$8^2))))^(2/3)*SQRT($B$6)&lt;$B$5,((BN14+BO14)/2),BN14)</f>
        <v/>
      </c>
      <c r="BQ14">
        <f>IF((1/$B$7)*((((BN14+BO14)/2)+$B$8*A14)*A14)*((((((BN14+BO14)/2)+$B$8*A14)*A14)/(((BN14+BO14)/2)+2*A14*SQRT(1+$B$8^2))))^(2/3)*SQRT($B$6)&lt;$B$5,BO14,((BN14+BO14)/2))</f>
        <v/>
      </c>
      <c r="BR14">
        <f>IF((1/$B$7)*((((BP14+BQ14)/2)+$B$8*A14)*A14)*((((((BP14+BQ14)/2)+$B$8*A14)*A14)/(((BP14+BQ14)/2)+2*A14*SQRT(1+$B$8^2))))^(2/3)*SQRT($B$6)&lt;$B$5,((BP14+BQ14)/2),BP14)</f>
        <v/>
      </c>
      <c r="BS14">
        <f>IF((1/$B$7)*((((BP14+BQ14)/2)+$B$8*A14)*A14)*((((((BP14+BQ14)/2)+$B$8*A14)*A14)/(((BP14+BQ14)/2)+2*A14*SQRT(1+$B$8^2))))^(2/3)*SQRT($B$6)&lt;$B$5,BQ14,((BP14+BQ14)/2))</f>
        <v/>
      </c>
      <c r="BT14">
        <f>IF((1/$B$7)*((((BR14+BS14)/2)+$B$8*A14)*A14)*((((((BR14+BS14)/2)+$B$8*A14)*A14)/(((BR14+BS14)/2)+2*A14*SQRT(1+$B$8^2))))^(2/3)*SQRT($B$6)&lt;$B$5,((BR14+BS14)/2),BR14)</f>
        <v/>
      </c>
      <c r="BU14">
        <f>IF((1/$B$7)*((((BR14+BS14)/2)+$B$8*A14)*A14)*((((((BR14+BS14)/2)+$B$8*A14)*A14)/(((BR14+BS14)/2)+2*A14*SQRT(1+$B$8^2))))^(2/3)*SQRT($B$6)&lt;$B$5,BS14,((BR14+BS14)/2))</f>
        <v/>
      </c>
      <c r="BV14">
        <f>IF((1/$B$7)*((((BT14+BU14)/2)+$B$8*A14)*A14)*((((((BT14+BU14)/2)+$B$8*A14)*A14)/(((BT14+BU14)/2)+2*A14*SQRT(1+$B$8^2))))^(2/3)*SQRT($B$6)&lt;$B$5,((BT14+BU14)/2),BT14)</f>
        <v/>
      </c>
      <c r="BW14">
        <f>IF((1/$B$7)*((((BT14+BU14)/2)+$B$8*A14)*A14)*((((((BT14+BU14)/2)+$B$8*A14)*A14)/(((BT14+BU14)/2)+2*A14*SQRT(1+$B$8^2))))^(2/3)*SQRT($B$6)&lt;$B$5,BU14,((BT14+BU14)/2))</f>
        <v/>
      </c>
      <c r="BX14">
        <f>IF((1/$B$7)*((((BV14+BW14)/2)+$B$8*A14)*A14)*((((((BV14+BW14)/2)+$B$8*A14)*A14)/(((BV14+BW14)/2)+2*A14*SQRT(1+$B$8^2))))^(2/3)*SQRT($B$6)&lt;$B$5,((BV14+BW14)/2),BV14)</f>
        <v/>
      </c>
      <c r="BY14">
        <f>IF((1/$B$7)*((((BV14+BW14)/2)+$B$8*A14)*A14)*((((((BV14+BW14)/2)+$B$8*A14)*A14)/(((BV14+BW14)/2)+2*A14*SQRT(1+$B$8^2))))^(2/3)*SQRT($B$6)&lt;$B$5,BW14,((BV14+BW14)/2))</f>
        <v/>
      </c>
    </row>
    <row r="15">
      <c r="A15" s="21">
        <f>Inputs!F20</f>
        <v/>
      </c>
      <c r="B15" s="25">
        <f>IF(A15="","",IF(AA15&gt;=$B$5,0,IF((1/$B$7)*(($B$9+$B$8*A15)*A15)*(((($B$9+$B$8*A15)*A15)/($B$9+2*A15*SQRT(1+$B$8^2))))^(2/3)*SQRT($B$6)&lt;$B$5,"",((BX15+BY15)/2))))</f>
        <v/>
      </c>
      <c r="C15" s="13">
        <f>IF(A15="","",IF(AA15&gt;=$B$5,"x=0 suffit",IF((1/$B$7)*(($B$9+$B$8*A15)*A15)*(((($B$9+$B$8*A15)*A15)/($B$9+2*A15*SQRT(1+$B$8^2))))^(2/3)*SQRT($B$6)&lt;$B$5,"Insuffisant à x_max","OK")))</f>
        <v/>
      </c>
      <c r="D15" s="25">
        <f>IF(OR(A15="",B15=""),"",((B15+$B$8*A15)*A15))</f>
        <v/>
      </c>
      <c r="E15" s="25">
        <f>IF(OR(A15="",B15=""),"",(B15+2*A15*SQRT(1+$B$8^2)))</f>
        <v/>
      </c>
      <c r="F15" s="25">
        <f>IF(OR(A15="",B15=""),"",(((B15+$B$8*A15)*A15)/(B15+2*A15*SQRT(1+$B$8^2))))</f>
        <v/>
      </c>
      <c r="G15" s="25">
        <f>IF(OR(A15="",B15=""),"",(B15+2*$B$8*A15))</f>
        <v/>
      </c>
      <c r="H15" s="25">
        <f>IF(OR(A15="",B15="",D15=0),"",I15/D15)</f>
        <v/>
      </c>
      <c r="I15" s="25">
        <f>IF(OR(A15="",B15=""),"",(1/$B$7)*((B15+$B$8*A15)*A15)*((((B15+$B$8*A15)*A15)/(B15+2*A15*SQRT(1+$B$8^2))))^(2/3)*SQRT($B$6))</f>
        <v/>
      </c>
      <c r="J15" s="25">
        <f>IF(I15="","",I15-$B$5)</f>
        <v/>
      </c>
      <c r="K15" s="22">
        <f>IF(I15="","", (I15-$B$5)/$B$5)</f>
        <v/>
      </c>
      <c r="AA15">
        <f>IF(OR(A15="",A15&lt;=0),"" ,(1/$B$7)*((0+$B$8*A15)*A15)*((((0+$B$8*A15)*A15)/(0+2*A15*SQRT(1+$B$8^2))))^(2/3)*SQRT($B$6))</f>
        <v/>
      </c>
      <c r="AB15" t="n">
        <v>0</v>
      </c>
      <c r="AC15">
        <f>$B$9</f>
        <v/>
      </c>
      <c r="AD15">
        <f>IF((1/$B$7)*((((AB15+AC15)/2)+$B$8*A15)*A15)*((((((AB15+AC15)/2)+$B$8*A15)*A15)/(((AB15+AC15)/2)+2*A15*SQRT(1+$B$8^2))))^(2/3)*SQRT($B$6)&lt;$B$5,((AB15+AC15)/2),AB15)</f>
        <v/>
      </c>
      <c r="AE15">
        <f>IF((1/$B$7)*((((AB15+AC15)/2)+$B$8*A15)*A15)*((((((AB15+AC15)/2)+$B$8*A15)*A15)/(((AB15+AC15)/2)+2*A15*SQRT(1+$B$8^2))))^(2/3)*SQRT($B$6)&lt;$B$5,AC15,((AB15+AC15)/2))</f>
        <v/>
      </c>
      <c r="AF15">
        <f>IF((1/$B$7)*((((AD15+AE15)/2)+$B$8*A15)*A15)*((((((AD15+AE15)/2)+$B$8*A15)*A15)/(((AD15+AE15)/2)+2*A15*SQRT(1+$B$8^2))))^(2/3)*SQRT($B$6)&lt;$B$5,((AD15+AE15)/2),AD15)</f>
        <v/>
      </c>
      <c r="AG15">
        <f>IF((1/$B$7)*((((AD15+AE15)/2)+$B$8*A15)*A15)*((((((AD15+AE15)/2)+$B$8*A15)*A15)/(((AD15+AE15)/2)+2*A15*SQRT(1+$B$8^2))))^(2/3)*SQRT($B$6)&lt;$B$5,AE15,((AD15+AE15)/2))</f>
        <v/>
      </c>
      <c r="AH15">
        <f>IF((1/$B$7)*((((AF15+AG15)/2)+$B$8*A15)*A15)*((((((AF15+AG15)/2)+$B$8*A15)*A15)/(((AF15+AG15)/2)+2*A15*SQRT(1+$B$8^2))))^(2/3)*SQRT($B$6)&lt;$B$5,((AF15+AG15)/2),AF15)</f>
        <v/>
      </c>
      <c r="AI15">
        <f>IF((1/$B$7)*((((AF15+AG15)/2)+$B$8*A15)*A15)*((((((AF15+AG15)/2)+$B$8*A15)*A15)/(((AF15+AG15)/2)+2*A15*SQRT(1+$B$8^2))))^(2/3)*SQRT($B$6)&lt;$B$5,AG15,((AF15+AG15)/2))</f>
        <v/>
      </c>
      <c r="AJ15">
        <f>IF((1/$B$7)*((((AH15+AI15)/2)+$B$8*A15)*A15)*((((((AH15+AI15)/2)+$B$8*A15)*A15)/(((AH15+AI15)/2)+2*A15*SQRT(1+$B$8^2))))^(2/3)*SQRT($B$6)&lt;$B$5,((AH15+AI15)/2),AH15)</f>
        <v/>
      </c>
      <c r="AK15">
        <f>IF((1/$B$7)*((((AH15+AI15)/2)+$B$8*A15)*A15)*((((((AH15+AI15)/2)+$B$8*A15)*A15)/(((AH15+AI15)/2)+2*A15*SQRT(1+$B$8^2))))^(2/3)*SQRT($B$6)&lt;$B$5,AI15,((AH15+AI15)/2))</f>
        <v/>
      </c>
      <c r="AL15">
        <f>IF((1/$B$7)*((((AJ15+AK15)/2)+$B$8*A15)*A15)*((((((AJ15+AK15)/2)+$B$8*A15)*A15)/(((AJ15+AK15)/2)+2*A15*SQRT(1+$B$8^2))))^(2/3)*SQRT($B$6)&lt;$B$5,((AJ15+AK15)/2),AJ15)</f>
        <v/>
      </c>
      <c r="AM15">
        <f>IF((1/$B$7)*((((AJ15+AK15)/2)+$B$8*A15)*A15)*((((((AJ15+AK15)/2)+$B$8*A15)*A15)/(((AJ15+AK15)/2)+2*A15*SQRT(1+$B$8^2))))^(2/3)*SQRT($B$6)&lt;$B$5,AK15,((AJ15+AK15)/2))</f>
        <v/>
      </c>
      <c r="AN15">
        <f>IF((1/$B$7)*((((AL15+AM15)/2)+$B$8*A15)*A15)*((((((AL15+AM15)/2)+$B$8*A15)*A15)/(((AL15+AM15)/2)+2*A15*SQRT(1+$B$8^2))))^(2/3)*SQRT($B$6)&lt;$B$5,((AL15+AM15)/2),AL15)</f>
        <v/>
      </c>
      <c r="AO15">
        <f>IF((1/$B$7)*((((AL15+AM15)/2)+$B$8*A15)*A15)*((((((AL15+AM15)/2)+$B$8*A15)*A15)/(((AL15+AM15)/2)+2*A15*SQRT(1+$B$8^2))))^(2/3)*SQRT($B$6)&lt;$B$5,AM15,((AL15+AM15)/2))</f>
        <v/>
      </c>
      <c r="AP15">
        <f>IF((1/$B$7)*((((AN15+AO15)/2)+$B$8*A15)*A15)*((((((AN15+AO15)/2)+$B$8*A15)*A15)/(((AN15+AO15)/2)+2*A15*SQRT(1+$B$8^2))))^(2/3)*SQRT($B$6)&lt;$B$5,((AN15+AO15)/2),AN15)</f>
        <v/>
      </c>
      <c r="AQ15">
        <f>IF((1/$B$7)*((((AN15+AO15)/2)+$B$8*A15)*A15)*((((((AN15+AO15)/2)+$B$8*A15)*A15)/(((AN15+AO15)/2)+2*A15*SQRT(1+$B$8^2))))^(2/3)*SQRT($B$6)&lt;$B$5,AO15,((AN15+AO15)/2))</f>
        <v/>
      </c>
      <c r="AR15">
        <f>IF((1/$B$7)*((((AP15+AQ15)/2)+$B$8*A15)*A15)*((((((AP15+AQ15)/2)+$B$8*A15)*A15)/(((AP15+AQ15)/2)+2*A15*SQRT(1+$B$8^2))))^(2/3)*SQRT($B$6)&lt;$B$5,((AP15+AQ15)/2),AP15)</f>
        <v/>
      </c>
      <c r="AS15">
        <f>IF((1/$B$7)*((((AP15+AQ15)/2)+$B$8*A15)*A15)*((((((AP15+AQ15)/2)+$B$8*A15)*A15)/(((AP15+AQ15)/2)+2*A15*SQRT(1+$B$8^2))))^(2/3)*SQRT($B$6)&lt;$B$5,AQ15,((AP15+AQ15)/2))</f>
        <v/>
      </c>
      <c r="AT15">
        <f>IF((1/$B$7)*((((AR15+AS15)/2)+$B$8*A15)*A15)*((((((AR15+AS15)/2)+$B$8*A15)*A15)/(((AR15+AS15)/2)+2*A15*SQRT(1+$B$8^2))))^(2/3)*SQRT($B$6)&lt;$B$5,((AR15+AS15)/2),AR15)</f>
        <v/>
      </c>
      <c r="AU15">
        <f>IF((1/$B$7)*((((AR15+AS15)/2)+$B$8*A15)*A15)*((((((AR15+AS15)/2)+$B$8*A15)*A15)/(((AR15+AS15)/2)+2*A15*SQRT(1+$B$8^2))))^(2/3)*SQRT($B$6)&lt;$B$5,AS15,((AR15+AS15)/2))</f>
        <v/>
      </c>
      <c r="AV15">
        <f>IF((1/$B$7)*((((AT15+AU15)/2)+$B$8*A15)*A15)*((((((AT15+AU15)/2)+$B$8*A15)*A15)/(((AT15+AU15)/2)+2*A15*SQRT(1+$B$8^2))))^(2/3)*SQRT($B$6)&lt;$B$5,((AT15+AU15)/2),AT15)</f>
        <v/>
      </c>
      <c r="AW15">
        <f>IF((1/$B$7)*((((AT15+AU15)/2)+$B$8*A15)*A15)*((((((AT15+AU15)/2)+$B$8*A15)*A15)/(((AT15+AU15)/2)+2*A15*SQRT(1+$B$8^2))))^(2/3)*SQRT($B$6)&lt;$B$5,AU15,((AT15+AU15)/2))</f>
        <v/>
      </c>
      <c r="AX15">
        <f>IF((1/$B$7)*((((AV15+AW15)/2)+$B$8*A15)*A15)*((((((AV15+AW15)/2)+$B$8*A15)*A15)/(((AV15+AW15)/2)+2*A15*SQRT(1+$B$8^2))))^(2/3)*SQRT($B$6)&lt;$B$5,((AV15+AW15)/2),AV15)</f>
        <v/>
      </c>
      <c r="AY15">
        <f>IF((1/$B$7)*((((AV15+AW15)/2)+$B$8*A15)*A15)*((((((AV15+AW15)/2)+$B$8*A15)*A15)/(((AV15+AW15)/2)+2*A15*SQRT(1+$B$8^2))))^(2/3)*SQRT($B$6)&lt;$B$5,AW15,((AV15+AW15)/2))</f>
        <v/>
      </c>
      <c r="AZ15">
        <f>IF((1/$B$7)*((((AX15+AY15)/2)+$B$8*A15)*A15)*((((((AX15+AY15)/2)+$B$8*A15)*A15)/(((AX15+AY15)/2)+2*A15*SQRT(1+$B$8^2))))^(2/3)*SQRT($B$6)&lt;$B$5,((AX15+AY15)/2),AX15)</f>
        <v/>
      </c>
      <c r="BA15">
        <f>IF((1/$B$7)*((((AX15+AY15)/2)+$B$8*A15)*A15)*((((((AX15+AY15)/2)+$B$8*A15)*A15)/(((AX15+AY15)/2)+2*A15*SQRT(1+$B$8^2))))^(2/3)*SQRT($B$6)&lt;$B$5,AY15,((AX15+AY15)/2))</f>
        <v/>
      </c>
      <c r="BB15">
        <f>IF((1/$B$7)*((((AZ15+BA15)/2)+$B$8*A15)*A15)*((((((AZ15+BA15)/2)+$B$8*A15)*A15)/(((AZ15+BA15)/2)+2*A15*SQRT(1+$B$8^2))))^(2/3)*SQRT($B$6)&lt;$B$5,((AZ15+BA15)/2),AZ15)</f>
        <v/>
      </c>
      <c r="BC15">
        <f>IF((1/$B$7)*((((AZ15+BA15)/2)+$B$8*A15)*A15)*((((((AZ15+BA15)/2)+$B$8*A15)*A15)/(((AZ15+BA15)/2)+2*A15*SQRT(1+$B$8^2))))^(2/3)*SQRT($B$6)&lt;$B$5,BA15,((AZ15+BA15)/2))</f>
        <v/>
      </c>
      <c r="BD15">
        <f>IF((1/$B$7)*((((BB15+BC15)/2)+$B$8*A15)*A15)*((((((BB15+BC15)/2)+$B$8*A15)*A15)/(((BB15+BC15)/2)+2*A15*SQRT(1+$B$8^2))))^(2/3)*SQRT($B$6)&lt;$B$5,((BB15+BC15)/2),BB15)</f>
        <v/>
      </c>
      <c r="BE15">
        <f>IF((1/$B$7)*((((BB15+BC15)/2)+$B$8*A15)*A15)*((((((BB15+BC15)/2)+$B$8*A15)*A15)/(((BB15+BC15)/2)+2*A15*SQRT(1+$B$8^2))))^(2/3)*SQRT($B$6)&lt;$B$5,BC15,((BB15+BC15)/2))</f>
        <v/>
      </c>
      <c r="BF15">
        <f>IF((1/$B$7)*((((BD15+BE15)/2)+$B$8*A15)*A15)*((((((BD15+BE15)/2)+$B$8*A15)*A15)/(((BD15+BE15)/2)+2*A15*SQRT(1+$B$8^2))))^(2/3)*SQRT($B$6)&lt;$B$5,((BD15+BE15)/2),BD15)</f>
        <v/>
      </c>
      <c r="BG15">
        <f>IF((1/$B$7)*((((BD15+BE15)/2)+$B$8*A15)*A15)*((((((BD15+BE15)/2)+$B$8*A15)*A15)/(((BD15+BE15)/2)+2*A15*SQRT(1+$B$8^2))))^(2/3)*SQRT($B$6)&lt;$B$5,BE15,((BD15+BE15)/2))</f>
        <v/>
      </c>
      <c r="BH15">
        <f>IF((1/$B$7)*((((BF15+BG15)/2)+$B$8*A15)*A15)*((((((BF15+BG15)/2)+$B$8*A15)*A15)/(((BF15+BG15)/2)+2*A15*SQRT(1+$B$8^2))))^(2/3)*SQRT($B$6)&lt;$B$5,((BF15+BG15)/2),BF15)</f>
        <v/>
      </c>
      <c r="BI15">
        <f>IF((1/$B$7)*((((BF15+BG15)/2)+$B$8*A15)*A15)*((((((BF15+BG15)/2)+$B$8*A15)*A15)/(((BF15+BG15)/2)+2*A15*SQRT(1+$B$8^2))))^(2/3)*SQRT($B$6)&lt;$B$5,BG15,((BF15+BG15)/2))</f>
        <v/>
      </c>
      <c r="BJ15">
        <f>IF((1/$B$7)*((((BH15+BI15)/2)+$B$8*A15)*A15)*((((((BH15+BI15)/2)+$B$8*A15)*A15)/(((BH15+BI15)/2)+2*A15*SQRT(1+$B$8^2))))^(2/3)*SQRT($B$6)&lt;$B$5,((BH15+BI15)/2),BH15)</f>
        <v/>
      </c>
      <c r="BK15">
        <f>IF((1/$B$7)*((((BH15+BI15)/2)+$B$8*A15)*A15)*((((((BH15+BI15)/2)+$B$8*A15)*A15)/(((BH15+BI15)/2)+2*A15*SQRT(1+$B$8^2))))^(2/3)*SQRT($B$6)&lt;$B$5,BI15,((BH15+BI15)/2))</f>
        <v/>
      </c>
      <c r="BL15">
        <f>IF((1/$B$7)*((((BJ15+BK15)/2)+$B$8*A15)*A15)*((((((BJ15+BK15)/2)+$B$8*A15)*A15)/(((BJ15+BK15)/2)+2*A15*SQRT(1+$B$8^2))))^(2/3)*SQRT($B$6)&lt;$B$5,((BJ15+BK15)/2),BJ15)</f>
        <v/>
      </c>
      <c r="BM15">
        <f>IF((1/$B$7)*((((BJ15+BK15)/2)+$B$8*A15)*A15)*((((((BJ15+BK15)/2)+$B$8*A15)*A15)/(((BJ15+BK15)/2)+2*A15*SQRT(1+$B$8^2))))^(2/3)*SQRT($B$6)&lt;$B$5,BK15,((BJ15+BK15)/2))</f>
        <v/>
      </c>
      <c r="BN15">
        <f>IF((1/$B$7)*((((BL15+BM15)/2)+$B$8*A15)*A15)*((((((BL15+BM15)/2)+$B$8*A15)*A15)/(((BL15+BM15)/2)+2*A15*SQRT(1+$B$8^2))))^(2/3)*SQRT($B$6)&lt;$B$5,((BL15+BM15)/2),BL15)</f>
        <v/>
      </c>
      <c r="BO15">
        <f>IF((1/$B$7)*((((BL15+BM15)/2)+$B$8*A15)*A15)*((((((BL15+BM15)/2)+$B$8*A15)*A15)/(((BL15+BM15)/2)+2*A15*SQRT(1+$B$8^2))))^(2/3)*SQRT($B$6)&lt;$B$5,BM15,((BL15+BM15)/2))</f>
        <v/>
      </c>
      <c r="BP15">
        <f>IF((1/$B$7)*((((BN15+BO15)/2)+$B$8*A15)*A15)*((((((BN15+BO15)/2)+$B$8*A15)*A15)/(((BN15+BO15)/2)+2*A15*SQRT(1+$B$8^2))))^(2/3)*SQRT($B$6)&lt;$B$5,((BN15+BO15)/2),BN15)</f>
        <v/>
      </c>
      <c r="BQ15">
        <f>IF((1/$B$7)*((((BN15+BO15)/2)+$B$8*A15)*A15)*((((((BN15+BO15)/2)+$B$8*A15)*A15)/(((BN15+BO15)/2)+2*A15*SQRT(1+$B$8^2))))^(2/3)*SQRT($B$6)&lt;$B$5,BO15,((BN15+BO15)/2))</f>
        <v/>
      </c>
      <c r="BR15">
        <f>IF((1/$B$7)*((((BP15+BQ15)/2)+$B$8*A15)*A15)*((((((BP15+BQ15)/2)+$B$8*A15)*A15)/(((BP15+BQ15)/2)+2*A15*SQRT(1+$B$8^2))))^(2/3)*SQRT($B$6)&lt;$B$5,((BP15+BQ15)/2),BP15)</f>
        <v/>
      </c>
      <c r="BS15">
        <f>IF((1/$B$7)*((((BP15+BQ15)/2)+$B$8*A15)*A15)*((((((BP15+BQ15)/2)+$B$8*A15)*A15)/(((BP15+BQ15)/2)+2*A15*SQRT(1+$B$8^2))))^(2/3)*SQRT($B$6)&lt;$B$5,BQ15,((BP15+BQ15)/2))</f>
        <v/>
      </c>
      <c r="BT15">
        <f>IF((1/$B$7)*((((BR15+BS15)/2)+$B$8*A15)*A15)*((((((BR15+BS15)/2)+$B$8*A15)*A15)/(((BR15+BS15)/2)+2*A15*SQRT(1+$B$8^2))))^(2/3)*SQRT($B$6)&lt;$B$5,((BR15+BS15)/2),BR15)</f>
        <v/>
      </c>
      <c r="BU15">
        <f>IF((1/$B$7)*((((BR15+BS15)/2)+$B$8*A15)*A15)*((((((BR15+BS15)/2)+$B$8*A15)*A15)/(((BR15+BS15)/2)+2*A15*SQRT(1+$B$8^2))))^(2/3)*SQRT($B$6)&lt;$B$5,BS15,((BR15+BS15)/2))</f>
        <v/>
      </c>
      <c r="BV15">
        <f>IF((1/$B$7)*((((BT15+BU15)/2)+$B$8*A15)*A15)*((((((BT15+BU15)/2)+$B$8*A15)*A15)/(((BT15+BU15)/2)+2*A15*SQRT(1+$B$8^2))))^(2/3)*SQRT($B$6)&lt;$B$5,((BT15+BU15)/2),BT15)</f>
        <v/>
      </c>
      <c r="BW15">
        <f>IF((1/$B$7)*((((BT15+BU15)/2)+$B$8*A15)*A15)*((((((BT15+BU15)/2)+$B$8*A15)*A15)/(((BT15+BU15)/2)+2*A15*SQRT(1+$B$8^2))))^(2/3)*SQRT($B$6)&lt;$B$5,BU15,((BT15+BU15)/2))</f>
        <v/>
      </c>
      <c r="BX15">
        <f>IF((1/$B$7)*((((BV15+BW15)/2)+$B$8*A15)*A15)*((((((BV15+BW15)/2)+$B$8*A15)*A15)/(((BV15+BW15)/2)+2*A15*SQRT(1+$B$8^2))))^(2/3)*SQRT($B$6)&lt;$B$5,((BV15+BW15)/2),BV15)</f>
        <v/>
      </c>
      <c r="BY15">
        <f>IF((1/$B$7)*((((BV15+BW15)/2)+$B$8*A15)*A15)*((((((BV15+BW15)/2)+$B$8*A15)*A15)/(((BV15+BW15)/2)+2*A15*SQRT(1+$B$8^2))))^(2/3)*SQRT($B$6)&lt;$B$5,BW15,((BV15+BW15)/2))</f>
        <v/>
      </c>
    </row>
    <row r="16">
      <c r="A16" s="21">
        <f>Inputs!F21</f>
        <v/>
      </c>
      <c r="B16" s="25">
        <f>IF(A16="","",IF(AA16&gt;=$B$5,0,IF((1/$B$7)*(($B$9+$B$8*A16)*A16)*(((($B$9+$B$8*A16)*A16)/($B$9+2*A16*SQRT(1+$B$8^2))))^(2/3)*SQRT($B$6)&lt;$B$5,"",((BX16+BY16)/2))))</f>
        <v/>
      </c>
      <c r="C16" s="13">
        <f>IF(A16="","",IF(AA16&gt;=$B$5,"x=0 suffit",IF((1/$B$7)*(($B$9+$B$8*A16)*A16)*(((($B$9+$B$8*A16)*A16)/($B$9+2*A16*SQRT(1+$B$8^2))))^(2/3)*SQRT($B$6)&lt;$B$5,"Insuffisant à x_max","OK")))</f>
        <v/>
      </c>
      <c r="D16" s="25">
        <f>IF(OR(A16="",B16=""),"",((B16+$B$8*A16)*A16))</f>
        <v/>
      </c>
      <c r="E16" s="25">
        <f>IF(OR(A16="",B16=""),"",(B16+2*A16*SQRT(1+$B$8^2)))</f>
        <v/>
      </c>
      <c r="F16" s="25">
        <f>IF(OR(A16="",B16=""),"",(((B16+$B$8*A16)*A16)/(B16+2*A16*SQRT(1+$B$8^2))))</f>
        <v/>
      </c>
      <c r="G16" s="25">
        <f>IF(OR(A16="",B16=""),"",(B16+2*$B$8*A16))</f>
        <v/>
      </c>
      <c r="H16" s="25">
        <f>IF(OR(A16="",B16="",D16=0),"",I16/D16)</f>
        <v/>
      </c>
      <c r="I16" s="25">
        <f>IF(OR(A16="",B16=""),"",(1/$B$7)*((B16+$B$8*A16)*A16)*((((B16+$B$8*A16)*A16)/(B16+2*A16*SQRT(1+$B$8^2))))^(2/3)*SQRT($B$6))</f>
        <v/>
      </c>
      <c r="J16" s="25">
        <f>IF(I16="","",I16-$B$5)</f>
        <v/>
      </c>
      <c r="K16" s="22">
        <f>IF(I16="","", (I16-$B$5)/$B$5)</f>
        <v/>
      </c>
      <c r="AA16">
        <f>IF(OR(A16="",A16&lt;=0),"" ,(1/$B$7)*((0+$B$8*A16)*A16)*((((0+$B$8*A16)*A16)/(0+2*A16*SQRT(1+$B$8^2))))^(2/3)*SQRT($B$6))</f>
        <v/>
      </c>
      <c r="AB16" t="n">
        <v>0</v>
      </c>
      <c r="AC16">
        <f>$B$9</f>
        <v/>
      </c>
      <c r="AD16">
        <f>IF((1/$B$7)*((((AB16+AC16)/2)+$B$8*A16)*A16)*((((((AB16+AC16)/2)+$B$8*A16)*A16)/(((AB16+AC16)/2)+2*A16*SQRT(1+$B$8^2))))^(2/3)*SQRT($B$6)&lt;$B$5,((AB16+AC16)/2),AB16)</f>
        <v/>
      </c>
      <c r="AE16">
        <f>IF((1/$B$7)*((((AB16+AC16)/2)+$B$8*A16)*A16)*((((((AB16+AC16)/2)+$B$8*A16)*A16)/(((AB16+AC16)/2)+2*A16*SQRT(1+$B$8^2))))^(2/3)*SQRT($B$6)&lt;$B$5,AC16,((AB16+AC16)/2))</f>
        <v/>
      </c>
      <c r="AF16">
        <f>IF((1/$B$7)*((((AD16+AE16)/2)+$B$8*A16)*A16)*((((((AD16+AE16)/2)+$B$8*A16)*A16)/(((AD16+AE16)/2)+2*A16*SQRT(1+$B$8^2))))^(2/3)*SQRT($B$6)&lt;$B$5,((AD16+AE16)/2),AD16)</f>
        <v/>
      </c>
      <c r="AG16">
        <f>IF((1/$B$7)*((((AD16+AE16)/2)+$B$8*A16)*A16)*((((((AD16+AE16)/2)+$B$8*A16)*A16)/(((AD16+AE16)/2)+2*A16*SQRT(1+$B$8^2))))^(2/3)*SQRT($B$6)&lt;$B$5,AE16,((AD16+AE16)/2))</f>
        <v/>
      </c>
      <c r="AH16">
        <f>IF((1/$B$7)*((((AF16+AG16)/2)+$B$8*A16)*A16)*((((((AF16+AG16)/2)+$B$8*A16)*A16)/(((AF16+AG16)/2)+2*A16*SQRT(1+$B$8^2))))^(2/3)*SQRT($B$6)&lt;$B$5,((AF16+AG16)/2),AF16)</f>
        <v/>
      </c>
      <c r="AI16">
        <f>IF((1/$B$7)*((((AF16+AG16)/2)+$B$8*A16)*A16)*((((((AF16+AG16)/2)+$B$8*A16)*A16)/(((AF16+AG16)/2)+2*A16*SQRT(1+$B$8^2))))^(2/3)*SQRT($B$6)&lt;$B$5,AG16,((AF16+AG16)/2))</f>
        <v/>
      </c>
      <c r="AJ16">
        <f>IF((1/$B$7)*((((AH16+AI16)/2)+$B$8*A16)*A16)*((((((AH16+AI16)/2)+$B$8*A16)*A16)/(((AH16+AI16)/2)+2*A16*SQRT(1+$B$8^2))))^(2/3)*SQRT($B$6)&lt;$B$5,((AH16+AI16)/2),AH16)</f>
        <v/>
      </c>
      <c r="AK16">
        <f>IF((1/$B$7)*((((AH16+AI16)/2)+$B$8*A16)*A16)*((((((AH16+AI16)/2)+$B$8*A16)*A16)/(((AH16+AI16)/2)+2*A16*SQRT(1+$B$8^2))))^(2/3)*SQRT($B$6)&lt;$B$5,AI16,((AH16+AI16)/2))</f>
        <v/>
      </c>
      <c r="AL16">
        <f>IF((1/$B$7)*((((AJ16+AK16)/2)+$B$8*A16)*A16)*((((((AJ16+AK16)/2)+$B$8*A16)*A16)/(((AJ16+AK16)/2)+2*A16*SQRT(1+$B$8^2))))^(2/3)*SQRT($B$6)&lt;$B$5,((AJ16+AK16)/2),AJ16)</f>
        <v/>
      </c>
      <c r="AM16">
        <f>IF((1/$B$7)*((((AJ16+AK16)/2)+$B$8*A16)*A16)*((((((AJ16+AK16)/2)+$B$8*A16)*A16)/(((AJ16+AK16)/2)+2*A16*SQRT(1+$B$8^2))))^(2/3)*SQRT($B$6)&lt;$B$5,AK16,((AJ16+AK16)/2))</f>
        <v/>
      </c>
      <c r="AN16">
        <f>IF((1/$B$7)*((((AL16+AM16)/2)+$B$8*A16)*A16)*((((((AL16+AM16)/2)+$B$8*A16)*A16)/(((AL16+AM16)/2)+2*A16*SQRT(1+$B$8^2))))^(2/3)*SQRT($B$6)&lt;$B$5,((AL16+AM16)/2),AL16)</f>
        <v/>
      </c>
      <c r="AO16">
        <f>IF((1/$B$7)*((((AL16+AM16)/2)+$B$8*A16)*A16)*((((((AL16+AM16)/2)+$B$8*A16)*A16)/(((AL16+AM16)/2)+2*A16*SQRT(1+$B$8^2))))^(2/3)*SQRT($B$6)&lt;$B$5,AM16,((AL16+AM16)/2))</f>
        <v/>
      </c>
      <c r="AP16">
        <f>IF((1/$B$7)*((((AN16+AO16)/2)+$B$8*A16)*A16)*((((((AN16+AO16)/2)+$B$8*A16)*A16)/(((AN16+AO16)/2)+2*A16*SQRT(1+$B$8^2))))^(2/3)*SQRT($B$6)&lt;$B$5,((AN16+AO16)/2),AN16)</f>
        <v/>
      </c>
      <c r="AQ16">
        <f>IF((1/$B$7)*((((AN16+AO16)/2)+$B$8*A16)*A16)*((((((AN16+AO16)/2)+$B$8*A16)*A16)/(((AN16+AO16)/2)+2*A16*SQRT(1+$B$8^2))))^(2/3)*SQRT($B$6)&lt;$B$5,AO16,((AN16+AO16)/2))</f>
        <v/>
      </c>
      <c r="AR16">
        <f>IF((1/$B$7)*((((AP16+AQ16)/2)+$B$8*A16)*A16)*((((((AP16+AQ16)/2)+$B$8*A16)*A16)/(((AP16+AQ16)/2)+2*A16*SQRT(1+$B$8^2))))^(2/3)*SQRT($B$6)&lt;$B$5,((AP16+AQ16)/2),AP16)</f>
        <v/>
      </c>
      <c r="AS16">
        <f>IF((1/$B$7)*((((AP16+AQ16)/2)+$B$8*A16)*A16)*((((((AP16+AQ16)/2)+$B$8*A16)*A16)/(((AP16+AQ16)/2)+2*A16*SQRT(1+$B$8^2))))^(2/3)*SQRT($B$6)&lt;$B$5,AQ16,((AP16+AQ16)/2))</f>
        <v/>
      </c>
      <c r="AT16">
        <f>IF((1/$B$7)*((((AR16+AS16)/2)+$B$8*A16)*A16)*((((((AR16+AS16)/2)+$B$8*A16)*A16)/(((AR16+AS16)/2)+2*A16*SQRT(1+$B$8^2))))^(2/3)*SQRT($B$6)&lt;$B$5,((AR16+AS16)/2),AR16)</f>
        <v/>
      </c>
      <c r="AU16">
        <f>IF((1/$B$7)*((((AR16+AS16)/2)+$B$8*A16)*A16)*((((((AR16+AS16)/2)+$B$8*A16)*A16)/(((AR16+AS16)/2)+2*A16*SQRT(1+$B$8^2))))^(2/3)*SQRT($B$6)&lt;$B$5,AS16,((AR16+AS16)/2))</f>
        <v/>
      </c>
      <c r="AV16">
        <f>IF((1/$B$7)*((((AT16+AU16)/2)+$B$8*A16)*A16)*((((((AT16+AU16)/2)+$B$8*A16)*A16)/(((AT16+AU16)/2)+2*A16*SQRT(1+$B$8^2))))^(2/3)*SQRT($B$6)&lt;$B$5,((AT16+AU16)/2),AT16)</f>
        <v/>
      </c>
      <c r="AW16">
        <f>IF((1/$B$7)*((((AT16+AU16)/2)+$B$8*A16)*A16)*((((((AT16+AU16)/2)+$B$8*A16)*A16)/(((AT16+AU16)/2)+2*A16*SQRT(1+$B$8^2))))^(2/3)*SQRT($B$6)&lt;$B$5,AU16,((AT16+AU16)/2))</f>
        <v/>
      </c>
      <c r="AX16">
        <f>IF((1/$B$7)*((((AV16+AW16)/2)+$B$8*A16)*A16)*((((((AV16+AW16)/2)+$B$8*A16)*A16)/(((AV16+AW16)/2)+2*A16*SQRT(1+$B$8^2))))^(2/3)*SQRT($B$6)&lt;$B$5,((AV16+AW16)/2),AV16)</f>
        <v/>
      </c>
      <c r="AY16">
        <f>IF((1/$B$7)*((((AV16+AW16)/2)+$B$8*A16)*A16)*((((((AV16+AW16)/2)+$B$8*A16)*A16)/(((AV16+AW16)/2)+2*A16*SQRT(1+$B$8^2))))^(2/3)*SQRT($B$6)&lt;$B$5,AW16,((AV16+AW16)/2))</f>
        <v/>
      </c>
      <c r="AZ16">
        <f>IF((1/$B$7)*((((AX16+AY16)/2)+$B$8*A16)*A16)*((((((AX16+AY16)/2)+$B$8*A16)*A16)/(((AX16+AY16)/2)+2*A16*SQRT(1+$B$8^2))))^(2/3)*SQRT($B$6)&lt;$B$5,((AX16+AY16)/2),AX16)</f>
        <v/>
      </c>
      <c r="BA16">
        <f>IF((1/$B$7)*((((AX16+AY16)/2)+$B$8*A16)*A16)*((((((AX16+AY16)/2)+$B$8*A16)*A16)/(((AX16+AY16)/2)+2*A16*SQRT(1+$B$8^2))))^(2/3)*SQRT($B$6)&lt;$B$5,AY16,((AX16+AY16)/2))</f>
        <v/>
      </c>
      <c r="BB16">
        <f>IF((1/$B$7)*((((AZ16+BA16)/2)+$B$8*A16)*A16)*((((((AZ16+BA16)/2)+$B$8*A16)*A16)/(((AZ16+BA16)/2)+2*A16*SQRT(1+$B$8^2))))^(2/3)*SQRT($B$6)&lt;$B$5,((AZ16+BA16)/2),AZ16)</f>
        <v/>
      </c>
      <c r="BC16">
        <f>IF((1/$B$7)*((((AZ16+BA16)/2)+$B$8*A16)*A16)*((((((AZ16+BA16)/2)+$B$8*A16)*A16)/(((AZ16+BA16)/2)+2*A16*SQRT(1+$B$8^2))))^(2/3)*SQRT($B$6)&lt;$B$5,BA16,((AZ16+BA16)/2))</f>
        <v/>
      </c>
      <c r="BD16">
        <f>IF((1/$B$7)*((((BB16+BC16)/2)+$B$8*A16)*A16)*((((((BB16+BC16)/2)+$B$8*A16)*A16)/(((BB16+BC16)/2)+2*A16*SQRT(1+$B$8^2))))^(2/3)*SQRT($B$6)&lt;$B$5,((BB16+BC16)/2),BB16)</f>
        <v/>
      </c>
      <c r="BE16">
        <f>IF((1/$B$7)*((((BB16+BC16)/2)+$B$8*A16)*A16)*((((((BB16+BC16)/2)+$B$8*A16)*A16)/(((BB16+BC16)/2)+2*A16*SQRT(1+$B$8^2))))^(2/3)*SQRT($B$6)&lt;$B$5,BC16,((BB16+BC16)/2))</f>
        <v/>
      </c>
      <c r="BF16">
        <f>IF((1/$B$7)*((((BD16+BE16)/2)+$B$8*A16)*A16)*((((((BD16+BE16)/2)+$B$8*A16)*A16)/(((BD16+BE16)/2)+2*A16*SQRT(1+$B$8^2))))^(2/3)*SQRT($B$6)&lt;$B$5,((BD16+BE16)/2),BD16)</f>
        <v/>
      </c>
      <c r="BG16">
        <f>IF((1/$B$7)*((((BD16+BE16)/2)+$B$8*A16)*A16)*((((((BD16+BE16)/2)+$B$8*A16)*A16)/(((BD16+BE16)/2)+2*A16*SQRT(1+$B$8^2))))^(2/3)*SQRT($B$6)&lt;$B$5,BE16,((BD16+BE16)/2))</f>
        <v/>
      </c>
      <c r="BH16">
        <f>IF((1/$B$7)*((((BF16+BG16)/2)+$B$8*A16)*A16)*((((((BF16+BG16)/2)+$B$8*A16)*A16)/(((BF16+BG16)/2)+2*A16*SQRT(1+$B$8^2))))^(2/3)*SQRT($B$6)&lt;$B$5,((BF16+BG16)/2),BF16)</f>
        <v/>
      </c>
      <c r="BI16">
        <f>IF((1/$B$7)*((((BF16+BG16)/2)+$B$8*A16)*A16)*((((((BF16+BG16)/2)+$B$8*A16)*A16)/(((BF16+BG16)/2)+2*A16*SQRT(1+$B$8^2))))^(2/3)*SQRT($B$6)&lt;$B$5,BG16,((BF16+BG16)/2))</f>
        <v/>
      </c>
      <c r="BJ16">
        <f>IF((1/$B$7)*((((BH16+BI16)/2)+$B$8*A16)*A16)*((((((BH16+BI16)/2)+$B$8*A16)*A16)/(((BH16+BI16)/2)+2*A16*SQRT(1+$B$8^2))))^(2/3)*SQRT($B$6)&lt;$B$5,((BH16+BI16)/2),BH16)</f>
        <v/>
      </c>
      <c r="BK16">
        <f>IF((1/$B$7)*((((BH16+BI16)/2)+$B$8*A16)*A16)*((((((BH16+BI16)/2)+$B$8*A16)*A16)/(((BH16+BI16)/2)+2*A16*SQRT(1+$B$8^2))))^(2/3)*SQRT($B$6)&lt;$B$5,BI16,((BH16+BI16)/2))</f>
        <v/>
      </c>
      <c r="BL16">
        <f>IF((1/$B$7)*((((BJ16+BK16)/2)+$B$8*A16)*A16)*((((((BJ16+BK16)/2)+$B$8*A16)*A16)/(((BJ16+BK16)/2)+2*A16*SQRT(1+$B$8^2))))^(2/3)*SQRT($B$6)&lt;$B$5,((BJ16+BK16)/2),BJ16)</f>
        <v/>
      </c>
      <c r="BM16">
        <f>IF((1/$B$7)*((((BJ16+BK16)/2)+$B$8*A16)*A16)*((((((BJ16+BK16)/2)+$B$8*A16)*A16)/(((BJ16+BK16)/2)+2*A16*SQRT(1+$B$8^2))))^(2/3)*SQRT($B$6)&lt;$B$5,BK16,((BJ16+BK16)/2))</f>
        <v/>
      </c>
      <c r="BN16">
        <f>IF((1/$B$7)*((((BL16+BM16)/2)+$B$8*A16)*A16)*((((((BL16+BM16)/2)+$B$8*A16)*A16)/(((BL16+BM16)/2)+2*A16*SQRT(1+$B$8^2))))^(2/3)*SQRT($B$6)&lt;$B$5,((BL16+BM16)/2),BL16)</f>
        <v/>
      </c>
      <c r="BO16">
        <f>IF((1/$B$7)*((((BL16+BM16)/2)+$B$8*A16)*A16)*((((((BL16+BM16)/2)+$B$8*A16)*A16)/(((BL16+BM16)/2)+2*A16*SQRT(1+$B$8^2))))^(2/3)*SQRT($B$6)&lt;$B$5,BM16,((BL16+BM16)/2))</f>
        <v/>
      </c>
      <c r="BP16">
        <f>IF((1/$B$7)*((((BN16+BO16)/2)+$B$8*A16)*A16)*((((((BN16+BO16)/2)+$B$8*A16)*A16)/(((BN16+BO16)/2)+2*A16*SQRT(1+$B$8^2))))^(2/3)*SQRT($B$6)&lt;$B$5,((BN16+BO16)/2),BN16)</f>
        <v/>
      </c>
      <c r="BQ16">
        <f>IF((1/$B$7)*((((BN16+BO16)/2)+$B$8*A16)*A16)*((((((BN16+BO16)/2)+$B$8*A16)*A16)/(((BN16+BO16)/2)+2*A16*SQRT(1+$B$8^2))))^(2/3)*SQRT($B$6)&lt;$B$5,BO16,((BN16+BO16)/2))</f>
        <v/>
      </c>
      <c r="BR16">
        <f>IF((1/$B$7)*((((BP16+BQ16)/2)+$B$8*A16)*A16)*((((((BP16+BQ16)/2)+$B$8*A16)*A16)/(((BP16+BQ16)/2)+2*A16*SQRT(1+$B$8^2))))^(2/3)*SQRT($B$6)&lt;$B$5,((BP16+BQ16)/2),BP16)</f>
        <v/>
      </c>
      <c r="BS16">
        <f>IF((1/$B$7)*((((BP16+BQ16)/2)+$B$8*A16)*A16)*((((((BP16+BQ16)/2)+$B$8*A16)*A16)/(((BP16+BQ16)/2)+2*A16*SQRT(1+$B$8^2))))^(2/3)*SQRT($B$6)&lt;$B$5,BQ16,((BP16+BQ16)/2))</f>
        <v/>
      </c>
      <c r="BT16">
        <f>IF((1/$B$7)*((((BR16+BS16)/2)+$B$8*A16)*A16)*((((((BR16+BS16)/2)+$B$8*A16)*A16)/(((BR16+BS16)/2)+2*A16*SQRT(1+$B$8^2))))^(2/3)*SQRT($B$6)&lt;$B$5,((BR16+BS16)/2),BR16)</f>
        <v/>
      </c>
      <c r="BU16">
        <f>IF((1/$B$7)*((((BR16+BS16)/2)+$B$8*A16)*A16)*((((((BR16+BS16)/2)+$B$8*A16)*A16)/(((BR16+BS16)/2)+2*A16*SQRT(1+$B$8^2))))^(2/3)*SQRT($B$6)&lt;$B$5,BS16,((BR16+BS16)/2))</f>
        <v/>
      </c>
      <c r="BV16">
        <f>IF((1/$B$7)*((((BT16+BU16)/2)+$B$8*A16)*A16)*((((((BT16+BU16)/2)+$B$8*A16)*A16)/(((BT16+BU16)/2)+2*A16*SQRT(1+$B$8^2))))^(2/3)*SQRT($B$6)&lt;$B$5,((BT16+BU16)/2),BT16)</f>
        <v/>
      </c>
      <c r="BW16">
        <f>IF((1/$B$7)*((((BT16+BU16)/2)+$B$8*A16)*A16)*((((((BT16+BU16)/2)+$B$8*A16)*A16)/(((BT16+BU16)/2)+2*A16*SQRT(1+$B$8^2))))^(2/3)*SQRT($B$6)&lt;$B$5,BU16,((BT16+BU16)/2))</f>
        <v/>
      </c>
      <c r="BX16">
        <f>IF((1/$B$7)*((((BV16+BW16)/2)+$B$8*A16)*A16)*((((((BV16+BW16)/2)+$B$8*A16)*A16)/(((BV16+BW16)/2)+2*A16*SQRT(1+$B$8^2))))^(2/3)*SQRT($B$6)&lt;$B$5,((BV16+BW16)/2),BV16)</f>
        <v/>
      </c>
      <c r="BY16">
        <f>IF((1/$B$7)*((((BV16+BW16)/2)+$B$8*A16)*A16)*((((((BV16+BW16)/2)+$B$8*A16)*A16)/(((BV16+BW16)/2)+2*A16*SQRT(1+$B$8^2))))^(2/3)*SQRT($B$6)&lt;$B$5,BW16,((BV16+BW16)/2))</f>
        <v/>
      </c>
    </row>
    <row r="17">
      <c r="A17" s="21">
        <f>Inputs!F22</f>
        <v/>
      </c>
      <c r="B17" s="25">
        <f>IF(A17="","",IF(AA17&gt;=$B$5,0,IF((1/$B$7)*(($B$9+$B$8*A17)*A17)*(((($B$9+$B$8*A17)*A17)/($B$9+2*A17*SQRT(1+$B$8^2))))^(2/3)*SQRT($B$6)&lt;$B$5,"",((BX17+BY17)/2))))</f>
        <v/>
      </c>
      <c r="C17" s="13">
        <f>IF(A17="","",IF(AA17&gt;=$B$5,"x=0 suffit",IF((1/$B$7)*(($B$9+$B$8*A17)*A17)*(((($B$9+$B$8*A17)*A17)/($B$9+2*A17*SQRT(1+$B$8^2))))^(2/3)*SQRT($B$6)&lt;$B$5,"Insuffisant à x_max","OK")))</f>
        <v/>
      </c>
      <c r="D17" s="25">
        <f>IF(OR(A17="",B17=""),"",((B17+$B$8*A17)*A17))</f>
        <v/>
      </c>
      <c r="E17" s="25">
        <f>IF(OR(A17="",B17=""),"",(B17+2*A17*SQRT(1+$B$8^2)))</f>
        <v/>
      </c>
      <c r="F17" s="25">
        <f>IF(OR(A17="",B17=""),"",(((B17+$B$8*A17)*A17)/(B17+2*A17*SQRT(1+$B$8^2))))</f>
        <v/>
      </c>
      <c r="G17" s="25">
        <f>IF(OR(A17="",B17=""),"",(B17+2*$B$8*A17))</f>
        <v/>
      </c>
      <c r="H17" s="25">
        <f>IF(OR(A17="",B17="",D17=0),"",I17/D17)</f>
        <v/>
      </c>
      <c r="I17" s="25">
        <f>IF(OR(A17="",B17=""),"",(1/$B$7)*((B17+$B$8*A17)*A17)*((((B17+$B$8*A17)*A17)/(B17+2*A17*SQRT(1+$B$8^2))))^(2/3)*SQRT($B$6))</f>
        <v/>
      </c>
      <c r="J17" s="25">
        <f>IF(I17="","",I17-$B$5)</f>
        <v/>
      </c>
      <c r="K17" s="22">
        <f>IF(I17="","", (I17-$B$5)/$B$5)</f>
        <v/>
      </c>
      <c r="AA17">
        <f>IF(OR(A17="",A17&lt;=0),"" ,(1/$B$7)*((0+$B$8*A17)*A17)*((((0+$B$8*A17)*A17)/(0+2*A17*SQRT(1+$B$8^2))))^(2/3)*SQRT($B$6))</f>
        <v/>
      </c>
      <c r="AB17" t="n">
        <v>0</v>
      </c>
      <c r="AC17">
        <f>$B$9</f>
        <v/>
      </c>
      <c r="AD17">
        <f>IF((1/$B$7)*((((AB17+AC17)/2)+$B$8*A17)*A17)*((((((AB17+AC17)/2)+$B$8*A17)*A17)/(((AB17+AC17)/2)+2*A17*SQRT(1+$B$8^2))))^(2/3)*SQRT($B$6)&lt;$B$5,((AB17+AC17)/2),AB17)</f>
        <v/>
      </c>
      <c r="AE17">
        <f>IF((1/$B$7)*((((AB17+AC17)/2)+$B$8*A17)*A17)*((((((AB17+AC17)/2)+$B$8*A17)*A17)/(((AB17+AC17)/2)+2*A17*SQRT(1+$B$8^2))))^(2/3)*SQRT($B$6)&lt;$B$5,AC17,((AB17+AC17)/2))</f>
        <v/>
      </c>
      <c r="AF17">
        <f>IF((1/$B$7)*((((AD17+AE17)/2)+$B$8*A17)*A17)*((((((AD17+AE17)/2)+$B$8*A17)*A17)/(((AD17+AE17)/2)+2*A17*SQRT(1+$B$8^2))))^(2/3)*SQRT($B$6)&lt;$B$5,((AD17+AE17)/2),AD17)</f>
        <v/>
      </c>
      <c r="AG17">
        <f>IF((1/$B$7)*((((AD17+AE17)/2)+$B$8*A17)*A17)*((((((AD17+AE17)/2)+$B$8*A17)*A17)/(((AD17+AE17)/2)+2*A17*SQRT(1+$B$8^2))))^(2/3)*SQRT($B$6)&lt;$B$5,AE17,((AD17+AE17)/2))</f>
        <v/>
      </c>
      <c r="AH17">
        <f>IF((1/$B$7)*((((AF17+AG17)/2)+$B$8*A17)*A17)*((((((AF17+AG17)/2)+$B$8*A17)*A17)/(((AF17+AG17)/2)+2*A17*SQRT(1+$B$8^2))))^(2/3)*SQRT($B$6)&lt;$B$5,((AF17+AG17)/2),AF17)</f>
        <v/>
      </c>
      <c r="AI17">
        <f>IF((1/$B$7)*((((AF17+AG17)/2)+$B$8*A17)*A17)*((((((AF17+AG17)/2)+$B$8*A17)*A17)/(((AF17+AG17)/2)+2*A17*SQRT(1+$B$8^2))))^(2/3)*SQRT($B$6)&lt;$B$5,AG17,((AF17+AG17)/2))</f>
        <v/>
      </c>
      <c r="AJ17">
        <f>IF((1/$B$7)*((((AH17+AI17)/2)+$B$8*A17)*A17)*((((((AH17+AI17)/2)+$B$8*A17)*A17)/(((AH17+AI17)/2)+2*A17*SQRT(1+$B$8^2))))^(2/3)*SQRT($B$6)&lt;$B$5,((AH17+AI17)/2),AH17)</f>
        <v/>
      </c>
      <c r="AK17">
        <f>IF((1/$B$7)*((((AH17+AI17)/2)+$B$8*A17)*A17)*((((((AH17+AI17)/2)+$B$8*A17)*A17)/(((AH17+AI17)/2)+2*A17*SQRT(1+$B$8^2))))^(2/3)*SQRT($B$6)&lt;$B$5,AI17,((AH17+AI17)/2))</f>
        <v/>
      </c>
      <c r="AL17">
        <f>IF((1/$B$7)*((((AJ17+AK17)/2)+$B$8*A17)*A17)*((((((AJ17+AK17)/2)+$B$8*A17)*A17)/(((AJ17+AK17)/2)+2*A17*SQRT(1+$B$8^2))))^(2/3)*SQRT($B$6)&lt;$B$5,((AJ17+AK17)/2),AJ17)</f>
        <v/>
      </c>
      <c r="AM17">
        <f>IF((1/$B$7)*((((AJ17+AK17)/2)+$B$8*A17)*A17)*((((((AJ17+AK17)/2)+$B$8*A17)*A17)/(((AJ17+AK17)/2)+2*A17*SQRT(1+$B$8^2))))^(2/3)*SQRT($B$6)&lt;$B$5,AK17,((AJ17+AK17)/2))</f>
        <v/>
      </c>
      <c r="AN17">
        <f>IF((1/$B$7)*((((AL17+AM17)/2)+$B$8*A17)*A17)*((((((AL17+AM17)/2)+$B$8*A17)*A17)/(((AL17+AM17)/2)+2*A17*SQRT(1+$B$8^2))))^(2/3)*SQRT($B$6)&lt;$B$5,((AL17+AM17)/2),AL17)</f>
        <v/>
      </c>
      <c r="AO17">
        <f>IF((1/$B$7)*((((AL17+AM17)/2)+$B$8*A17)*A17)*((((((AL17+AM17)/2)+$B$8*A17)*A17)/(((AL17+AM17)/2)+2*A17*SQRT(1+$B$8^2))))^(2/3)*SQRT($B$6)&lt;$B$5,AM17,((AL17+AM17)/2))</f>
        <v/>
      </c>
      <c r="AP17">
        <f>IF((1/$B$7)*((((AN17+AO17)/2)+$B$8*A17)*A17)*((((((AN17+AO17)/2)+$B$8*A17)*A17)/(((AN17+AO17)/2)+2*A17*SQRT(1+$B$8^2))))^(2/3)*SQRT($B$6)&lt;$B$5,((AN17+AO17)/2),AN17)</f>
        <v/>
      </c>
      <c r="AQ17">
        <f>IF((1/$B$7)*((((AN17+AO17)/2)+$B$8*A17)*A17)*((((((AN17+AO17)/2)+$B$8*A17)*A17)/(((AN17+AO17)/2)+2*A17*SQRT(1+$B$8^2))))^(2/3)*SQRT($B$6)&lt;$B$5,AO17,((AN17+AO17)/2))</f>
        <v/>
      </c>
      <c r="AR17">
        <f>IF((1/$B$7)*((((AP17+AQ17)/2)+$B$8*A17)*A17)*((((((AP17+AQ17)/2)+$B$8*A17)*A17)/(((AP17+AQ17)/2)+2*A17*SQRT(1+$B$8^2))))^(2/3)*SQRT($B$6)&lt;$B$5,((AP17+AQ17)/2),AP17)</f>
        <v/>
      </c>
      <c r="AS17">
        <f>IF((1/$B$7)*((((AP17+AQ17)/2)+$B$8*A17)*A17)*((((((AP17+AQ17)/2)+$B$8*A17)*A17)/(((AP17+AQ17)/2)+2*A17*SQRT(1+$B$8^2))))^(2/3)*SQRT($B$6)&lt;$B$5,AQ17,((AP17+AQ17)/2))</f>
        <v/>
      </c>
      <c r="AT17">
        <f>IF((1/$B$7)*((((AR17+AS17)/2)+$B$8*A17)*A17)*((((((AR17+AS17)/2)+$B$8*A17)*A17)/(((AR17+AS17)/2)+2*A17*SQRT(1+$B$8^2))))^(2/3)*SQRT($B$6)&lt;$B$5,((AR17+AS17)/2),AR17)</f>
        <v/>
      </c>
      <c r="AU17">
        <f>IF((1/$B$7)*((((AR17+AS17)/2)+$B$8*A17)*A17)*((((((AR17+AS17)/2)+$B$8*A17)*A17)/(((AR17+AS17)/2)+2*A17*SQRT(1+$B$8^2))))^(2/3)*SQRT($B$6)&lt;$B$5,AS17,((AR17+AS17)/2))</f>
        <v/>
      </c>
      <c r="AV17">
        <f>IF((1/$B$7)*((((AT17+AU17)/2)+$B$8*A17)*A17)*((((((AT17+AU17)/2)+$B$8*A17)*A17)/(((AT17+AU17)/2)+2*A17*SQRT(1+$B$8^2))))^(2/3)*SQRT($B$6)&lt;$B$5,((AT17+AU17)/2),AT17)</f>
        <v/>
      </c>
      <c r="AW17">
        <f>IF((1/$B$7)*((((AT17+AU17)/2)+$B$8*A17)*A17)*((((((AT17+AU17)/2)+$B$8*A17)*A17)/(((AT17+AU17)/2)+2*A17*SQRT(1+$B$8^2))))^(2/3)*SQRT($B$6)&lt;$B$5,AU17,((AT17+AU17)/2))</f>
        <v/>
      </c>
      <c r="AX17">
        <f>IF((1/$B$7)*((((AV17+AW17)/2)+$B$8*A17)*A17)*((((((AV17+AW17)/2)+$B$8*A17)*A17)/(((AV17+AW17)/2)+2*A17*SQRT(1+$B$8^2))))^(2/3)*SQRT($B$6)&lt;$B$5,((AV17+AW17)/2),AV17)</f>
        <v/>
      </c>
      <c r="AY17">
        <f>IF((1/$B$7)*((((AV17+AW17)/2)+$B$8*A17)*A17)*((((((AV17+AW17)/2)+$B$8*A17)*A17)/(((AV17+AW17)/2)+2*A17*SQRT(1+$B$8^2))))^(2/3)*SQRT($B$6)&lt;$B$5,AW17,((AV17+AW17)/2))</f>
        <v/>
      </c>
      <c r="AZ17">
        <f>IF((1/$B$7)*((((AX17+AY17)/2)+$B$8*A17)*A17)*((((((AX17+AY17)/2)+$B$8*A17)*A17)/(((AX17+AY17)/2)+2*A17*SQRT(1+$B$8^2))))^(2/3)*SQRT($B$6)&lt;$B$5,((AX17+AY17)/2),AX17)</f>
        <v/>
      </c>
      <c r="BA17">
        <f>IF((1/$B$7)*((((AX17+AY17)/2)+$B$8*A17)*A17)*((((((AX17+AY17)/2)+$B$8*A17)*A17)/(((AX17+AY17)/2)+2*A17*SQRT(1+$B$8^2))))^(2/3)*SQRT($B$6)&lt;$B$5,AY17,((AX17+AY17)/2))</f>
        <v/>
      </c>
      <c r="BB17">
        <f>IF((1/$B$7)*((((AZ17+BA17)/2)+$B$8*A17)*A17)*((((((AZ17+BA17)/2)+$B$8*A17)*A17)/(((AZ17+BA17)/2)+2*A17*SQRT(1+$B$8^2))))^(2/3)*SQRT($B$6)&lt;$B$5,((AZ17+BA17)/2),AZ17)</f>
        <v/>
      </c>
      <c r="BC17">
        <f>IF((1/$B$7)*((((AZ17+BA17)/2)+$B$8*A17)*A17)*((((((AZ17+BA17)/2)+$B$8*A17)*A17)/(((AZ17+BA17)/2)+2*A17*SQRT(1+$B$8^2))))^(2/3)*SQRT($B$6)&lt;$B$5,BA17,((AZ17+BA17)/2))</f>
        <v/>
      </c>
      <c r="BD17">
        <f>IF((1/$B$7)*((((BB17+BC17)/2)+$B$8*A17)*A17)*((((((BB17+BC17)/2)+$B$8*A17)*A17)/(((BB17+BC17)/2)+2*A17*SQRT(1+$B$8^2))))^(2/3)*SQRT($B$6)&lt;$B$5,((BB17+BC17)/2),BB17)</f>
        <v/>
      </c>
      <c r="BE17">
        <f>IF((1/$B$7)*((((BB17+BC17)/2)+$B$8*A17)*A17)*((((((BB17+BC17)/2)+$B$8*A17)*A17)/(((BB17+BC17)/2)+2*A17*SQRT(1+$B$8^2))))^(2/3)*SQRT($B$6)&lt;$B$5,BC17,((BB17+BC17)/2))</f>
        <v/>
      </c>
      <c r="BF17">
        <f>IF((1/$B$7)*((((BD17+BE17)/2)+$B$8*A17)*A17)*((((((BD17+BE17)/2)+$B$8*A17)*A17)/(((BD17+BE17)/2)+2*A17*SQRT(1+$B$8^2))))^(2/3)*SQRT($B$6)&lt;$B$5,((BD17+BE17)/2),BD17)</f>
        <v/>
      </c>
      <c r="BG17">
        <f>IF((1/$B$7)*((((BD17+BE17)/2)+$B$8*A17)*A17)*((((((BD17+BE17)/2)+$B$8*A17)*A17)/(((BD17+BE17)/2)+2*A17*SQRT(1+$B$8^2))))^(2/3)*SQRT($B$6)&lt;$B$5,BE17,((BD17+BE17)/2))</f>
        <v/>
      </c>
      <c r="BH17">
        <f>IF((1/$B$7)*((((BF17+BG17)/2)+$B$8*A17)*A17)*((((((BF17+BG17)/2)+$B$8*A17)*A17)/(((BF17+BG17)/2)+2*A17*SQRT(1+$B$8^2))))^(2/3)*SQRT($B$6)&lt;$B$5,((BF17+BG17)/2),BF17)</f>
        <v/>
      </c>
      <c r="BI17">
        <f>IF((1/$B$7)*((((BF17+BG17)/2)+$B$8*A17)*A17)*((((((BF17+BG17)/2)+$B$8*A17)*A17)/(((BF17+BG17)/2)+2*A17*SQRT(1+$B$8^2))))^(2/3)*SQRT($B$6)&lt;$B$5,BG17,((BF17+BG17)/2))</f>
        <v/>
      </c>
      <c r="BJ17">
        <f>IF((1/$B$7)*((((BH17+BI17)/2)+$B$8*A17)*A17)*((((((BH17+BI17)/2)+$B$8*A17)*A17)/(((BH17+BI17)/2)+2*A17*SQRT(1+$B$8^2))))^(2/3)*SQRT($B$6)&lt;$B$5,((BH17+BI17)/2),BH17)</f>
        <v/>
      </c>
      <c r="BK17">
        <f>IF((1/$B$7)*((((BH17+BI17)/2)+$B$8*A17)*A17)*((((((BH17+BI17)/2)+$B$8*A17)*A17)/(((BH17+BI17)/2)+2*A17*SQRT(1+$B$8^2))))^(2/3)*SQRT($B$6)&lt;$B$5,BI17,((BH17+BI17)/2))</f>
        <v/>
      </c>
      <c r="BL17">
        <f>IF((1/$B$7)*((((BJ17+BK17)/2)+$B$8*A17)*A17)*((((((BJ17+BK17)/2)+$B$8*A17)*A17)/(((BJ17+BK17)/2)+2*A17*SQRT(1+$B$8^2))))^(2/3)*SQRT($B$6)&lt;$B$5,((BJ17+BK17)/2),BJ17)</f>
        <v/>
      </c>
      <c r="BM17">
        <f>IF((1/$B$7)*((((BJ17+BK17)/2)+$B$8*A17)*A17)*((((((BJ17+BK17)/2)+$B$8*A17)*A17)/(((BJ17+BK17)/2)+2*A17*SQRT(1+$B$8^2))))^(2/3)*SQRT($B$6)&lt;$B$5,BK17,((BJ17+BK17)/2))</f>
        <v/>
      </c>
      <c r="BN17">
        <f>IF((1/$B$7)*((((BL17+BM17)/2)+$B$8*A17)*A17)*((((((BL17+BM17)/2)+$B$8*A17)*A17)/(((BL17+BM17)/2)+2*A17*SQRT(1+$B$8^2))))^(2/3)*SQRT($B$6)&lt;$B$5,((BL17+BM17)/2),BL17)</f>
        <v/>
      </c>
      <c r="BO17">
        <f>IF((1/$B$7)*((((BL17+BM17)/2)+$B$8*A17)*A17)*((((((BL17+BM17)/2)+$B$8*A17)*A17)/(((BL17+BM17)/2)+2*A17*SQRT(1+$B$8^2))))^(2/3)*SQRT($B$6)&lt;$B$5,BM17,((BL17+BM17)/2))</f>
        <v/>
      </c>
      <c r="BP17">
        <f>IF((1/$B$7)*((((BN17+BO17)/2)+$B$8*A17)*A17)*((((((BN17+BO17)/2)+$B$8*A17)*A17)/(((BN17+BO17)/2)+2*A17*SQRT(1+$B$8^2))))^(2/3)*SQRT($B$6)&lt;$B$5,((BN17+BO17)/2),BN17)</f>
        <v/>
      </c>
      <c r="BQ17">
        <f>IF((1/$B$7)*((((BN17+BO17)/2)+$B$8*A17)*A17)*((((((BN17+BO17)/2)+$B$8*A17)*A17)/(((BN17+BO17)/2)+2*A17*SQRT(1+$B$8^2))))^(2/3)*SQRT($B$6)&lt;$B$5,BO17,((BN17+BO17)/2))</f>
        <v/>
      </c>
      <c r="BR17">
        <f>IF((1/$B$7)*((((BP17+BQ17)/2)+$B$8*A17)*A17)*((((((BP17+BQ17)/2)+$B$8*A17)*A17)/(((BP17+BQ17)/2)+2*A17*SQRT(1+$B$8^2))))^(2/3)*SQRT($B$6)&lt;$B$5,((BP17+BQ17)/2),BP17)</f>
        <v/>
      </c>
      <c r="BS17">
        <f>IF((1/$B$7)*((((BP17+BQ17)/2)+$B$8*A17)*A17)*((((((BP17+BQ17)/2)+$B$8*A17)*A17)/(((BP17+BQ17)/2)+2*A17*SQRT(1+$B$8^2))))^(2/3)*SQRT($B$6)&lt;$B$5,BQ17,((BP17+BQ17)/2))</f>
        <v/>
      </c>
      <c r="BT17">
        <f>IF((1/$B$7)*((((BR17+BS17)/2)+$B$8*A17)*A17)*((((((BR17+BS17)/2)+$B$8*A17)*A17)/(((BR17+BS17)/2)+2*A17*SQRT(1+$B$8^2))))^(2/3)*SQRT($B$6)&lt;$B$5,((BR17+BS17)/2),BR17)</f>
        <v/>
      </c>
      <c r="BU17">
        <f>IF((1/$B$7)*((((BR17+BS17)/2)+$B$8*A17)*A17)*((((((BR17+BS17)/2)+$B$8*A17)*A17)/(((BR17+BS17)/2)+2*A17*SQRT(1+$B$8^2))))^(2/3)*SQRT($B$6)&lt;$B$5,BS17,((BR17+BS17)/2))</f>
        <v/>
      </c>
      <c r="BV17">
        <f>IF((1/$B$7)*((((BT17+BU17)/2)+$B$8*A17)*A17)*((((((BT17+BU17)/2)+$B$8*A17)*A17)/(((BT17+BU17)/2)+2*A17*SQRT(1+$B$8^2))))^(2/3)*SQRT($B$6)&lt;$B$5,((BT17+BU17)/2),BT17)</f>
        <v/>
      </c>
      <c r="BW17">
        <f>IF((1/$B$7)*((((BT17+BU17)/2)+$B$8*A17)*A17)*((((((BT17+BU17)/2)+$B$8*A17)*A17)/(((BT17+BU17)/2)+2*A17*SQRT(1+$B$8^2))))^(2/3)*SQRT($B$6)&lt;$B$5,BU17,((BT17+BU17)/2))</f>
        <v/>
      </c>
      <c r="BX17">
        <f>IF((1/$B$7)*((((BV17+BW17)/2)+$B$8*A17)*A17)*((((((BV17+BW17)/2)+$B$8*A17)*A17)/(((BV17+BW17)/2)+2*A17*SQRT(1+$B$8^2))))^(2/3)*SQRT($B$6)&lt;$B$5,((BV17+BW17)/2),BV17)</f>
        <v/>
      </c>
      <c r="BY17">
        <f>IF((1/$B$7)*((((BV17+BW17)/2)+$B$8*A17)*A17)*((((((BV17+BW17)/2)+$B$8*A17)*A17)/(((BV17+BW17)/2)+2*A17*SQRT(1+$B$8^2))))^(2/3)*SQRT($B$6)&lt;$B$5,BW17,((BV17+BW17)/2))</f>
        <v/>
      </c>
    </row>
    <row r="18">
      <c r="A18" s="21">
        <f>Inputs!F23</f>
        <v/>
      </c>
      <c r="B18" s="25">
        <f>IF(A18="","",IF(AA18&gt;=$B$5,0,IF((1/$B$7)*(($B$9+$B$8*A18)*A18)*(((($B$9+$B$8*A18)*A18)/($B$9+2*A18*SQRT(1+$B$8^2))))^(2/3)*SQRT($B$6)&lt;$B$5,"",((BX18+BY18)/2))))</f>
        <v/>
      </c>
      <c r="C18" s="13">
        <f>IF(A18="","",IF(AA18&gt;=$B$5,"x=0 suffit",IF((1/$B$7)*(($B$9+$B$8*A18)*A18)*(((($B$9+$B$8*A18)*A18)/($B$9+2*A18*SQRT(1+$B$8^2))))^(2/3)*SQRT($B$6)&lt;$B$5,"Insuffisant à x_max","OK")))</f>
        <v/>
      </c>
      <c r="D18" s="25">
        <f>IF(OR(A18="",B18=""),"",((B18+$B$8*A18)*A18))</f>
        <v/>
      </c>
      <c r="E18" s="25">
        <f>IF(OR(A18="",B18=""),"",(B18+2*A18*SQRT(1+$B$8^2)))</f>
        <v/>
      </c>
      <c r="F18" s="25">
        <f>IF(OR(A18="",B18=""),"",(((B18+$B$8*A18)*A18)/(B18+2*A18*SQRT(1+$B$8^2))))</f>
        <v/>
      </c>
      <c r="G18" s="25">
        <f>IF(OR(A18="",B18=""),"",(B18+2*$B$8*A18))</f>
        <v/>
      </c>
      <c r="H18" s="25">
        <f>IF(OR(A18="",B18="",D18=0),"",I18/D18)</f>
        <v/>
      </c>
      <c r="I18" s="25">
        <f>IF(OR(A18="",B18=""),"",(1/$B$7)*((B18+$B$8*A18)*A18)*((((B18+$B$8*A18)*A18)/(B18+2*A18*SQRT(1+$B$8^2))))^(2/3)*SQRT($B$6))</f>
        <v/>
      </c>
      <c r="J18" s="25">
        <f>IF(I18="","",I18-$B$5)</f>
        <v/>
      </c>
      <c r="K18" s="22">
        <f>IF(I18="","", (I18-$B$5)/$B$5)</f>
        <v/>
      </c>
      <c r="AA18">
        <f>IF(OR(A18="",A18&lt;=0),"" ,(1/$B$7)*((0+$B$8*A18)*A18)*((((0+$B$8*A18)*A18)/(0+2*A18*SQRT(1+$B$8^2))))^(2/3)*SQRT($B$6))</f>
        <v/>
      </c>
      <c r="AB18" t="n">
        <v>0</v>
      </c>
      <c r="AC18">
        <f>$B$9</f>
        <v/>
      </c>
      <c r="AD18">
        <f>IF((1/$B$7)*((((AB18+AC18)/2)+$B$8*A18)*A18)*((((((AB18+AC18)/2)+$B$8*A18)*A18)/(((AB18+AC18)/2)+2*A18*SQRT(1+$B$8^2))))^(2/3)*SQRT($B$6)&lt;$B$5,((AB18+AC18)/2),AB18)</f>
        <v/>
      </c>
      <c r="AE18">
        <f>IF((1/$B$7)*((((AB18+AC18)/2)+$B$8*A18)*A18)*((((((AB18+AC18)/2)+$B$8*A18)*A18)/(((AB18+AC18)/2)+2*A18*SQRT(1+$B$8^2))))^(2/3)*SQRT($B$6)&lt;$B$5,AC18,((AB18+AC18)/2))</f>
        <v/>
      </c>
      <c r="AF18">
        <f>IF((1/$B$7)*((((AD18+AE18)/2)+$B$8*A18)*A18)*((((((AD18+AE18)/2)+$B$8*A18)*A18)/(((AD18+AE18)/2)+2*A18*SQRT(1+$B$8^2))))^(2/3)*SQRT($B$6)&lt;$B$5,((AD18+AE18)/2),AD18)</f>
        <v/>
      </c>
      <c r="AG18">
        <f>IF((1/$B$7)*((((AD18+AE18)/2)+$B$8*A18)*A18)*((((((AD18+AE18)/2)+$B$8*A18)*A18)/(((AD18+AE18)/2)+2*A18*SQRT(1+$B$8^2))))^(2/3)*SQRT($B$6)&lt;$B$5,AE18,((AD18+AE18)/2))</f>
        <v/>
      </c>
      <c r="AH18">
        <f>IF((1/$B$7)*((((AF18+AG18)/2)+$B$8*A18)*A18)*((((((AF18+AG18)/2)+$B$8*A18)*A18)/(((AF18+AG18)/2)+2*A18*SQRT(1+$B$8^2))))^(2/3)*SQRT($B$6)&lt;$B$5,((AF18+AG18)/2),AF18)</f>
        <v/>
      </c>
      <c r="AI18">
        <f>IF((1/$B$7)*((((AF18+AG18)/2)+$B$8*A18)*A18)*((((((AF18+AG18)/2)+$B$8*A18)*A18)/(((AF18+AG18)/2)+2*A18*SQRT(1+$B$8^2))))^(2/3)*SQRT($B$6)&lt;$B$5,AG18,((AF18+AG18)/2))</f>
        <v/>
      </c>
      <c r="AJ18">
        <f>IF((1/$B$7)*((((AH18+AI18)/2)+$B$8*A18)*A18)*((((((AH18+AI18)/2)+$B$8*A18)*A18)/(((AH18+AI18)/2)+2*A18*SQRT(1+$B$8^2))))^(2/3)*SQRT($B$6)&lt;$B$5,((AH18+AI18)/2),AH18)</f>
        <v/>
      </c>
      <c r="AK18">
        <f>IF((1/$B$7)*((((AH18+AI18)/2)+$B$8*A18)*A18)*((((((AH18+AI18)/2)+$B$8*A18)*A18)/(((AH18+AI18)/2)+2*A18*SQRT(1+$B$8^2))))^(2/3)*SQRT($B$6)&lt;$B$5,AI18,((AH18+AI18)/2))</f>
        <v/>
      </c>
      <c r="AL18">
        <f>IF((1/$B$7)*((((AJ18+AK18)/2)+$B$8*A18)*A18)*((((((AJ18+AK18)/2)+$B$8*A18)*A18)/(((AJ18+AK18)/2)+2*A18*SQRT(1+$B$8^2))))^(2/3)*SQRT($B$6)&lt;$B$5,((AJ18+AK18)/2),AJ18)</f>
        <v/>
      </c>
      <c r="AM18">
        <f>IF((1/$B$7)*((((AJ18+AK18)/2)+$B$8*A18)*A18)*((((((AJ18+AK18)/2)+$B$8*A18)*A18)/(((AJ18+AK18)/2)+2*A18*SQRT(1+$B$8^2))))^(2/3)*SQRT($B$6)&lt;$B$5,AK18,((AJ18+AK18)/2))</f>
        <v/>
      </c>
      <c r="AN18">
        <f>IF((1/$B$7)*((((AL18+AM18)/2)+$B$8*A18)*A18)*((((((AL18+AM18)/2)+$B$8*A18)*A18)/(((AL18+AM18)/2)+2*A18*SQRT(1+$B$8^2))))^(2/3)*SQRT($B$6)&lt;$B$5,((AL18+AM18)/2),AL18)</f>
        <v/>
      </c>
      <c r="AO18">
        <f>IF((1/$B$7)*((((AL18+AM18)/2)+$B$8*A18)*A18)*((((((AL18+AM18)/2)+$B$8*A18)*A18)/(((AL18+AM18)/2)+2*A18*SQRT(1+$B$8^2))))^(2/3)*SQRT($B$6)&lt;$B$5,AM18,((AL18+AM18)/2))</f>
        <v/>
      </c>
      <c r="AP18">
        <f>IF((1/$B$7)*((((AN18+AO18)/2)+$B$8*A18)*A18)*((((((AN18+AO18)/2)+$B$8*A18)*A18)/(((AN18+AO18)/2)+2*A18*SQRT(1+$B$8^2))))^(2/3)*SQRT($B$6)&lt;$B$5,((AN18+AO18)/2),AN18)</f>
        <v/>
      </c>
      <c r="AQ18">
        <f>IF((1/$B$7)*((((AN18+AO18)/2)+$B$8*A18)*A18)*((((((AN18+AO18)/2)+$B$8*A18)*A18)/(((AN18+AO18)/2)+2*A18*SQRT(1+$B$8^2))))^(2/3)*SQRT($B$6)&lt;$B$5,AO18,((AN18+AO18)/2))</f>
        <v/>
      </c>
      <c r="AR18">
        <f>IF((1/$B$7)*((((AP18+AQ18)/2)+$B$8*A18)*A18)*((((((AP18+AQ18)/2)+$B$8*A18)*A18)/(((AP18+AQ18)/2)+2*A18*SQRT(1+$B$8^2))))^(2/3)*SQRT($B$6)&lt;$B$5,((AP18+AQ18)/2),AP18)</f>
        <v/>
      </c>
      <c r="AS18">
        <f>IF((1/$B$7)*((((AP18+AQ18)/2)+$B$8*A18)*A18)*((((((AP18+AQ18)/2)+$B$8*A18)*A18)/(((AP18+AQ18)/2)+2*A18*SQRT(1+$B$8^2))))^(2/3)*SQRT($B$6)&lt;$B$5,AQ18,((AP18+AQ18)/2))</f>
        <v/>
      </c>
      <c r="AT18">
        <f>IF((1/$B$7)*((((AR18+AS18)/2)+$B$8*A18)*A18)*((((((AR18+AS18)/2)+$B$8*A18)*A18)/(((AR18+AS18)/2)+2*A18*SQRT(1+$B$8^2))))^(2/3)*SQRT($B$6)&lt;$B$5,((AR18+AS18)/2),AR18)</f>
        <v/>
      </c>
      <c r="AU18">
        <f>IF((1/$B$7)*((((AR18+AS18)/2)+$B$8*A18)*A18)*((((((AR18+AS18)/2)+$B$8*A18)*A18)/(((AR18+AS18)/2)+2*A18*SQRT(1+$B$8^2))))^(2/3)*SQRT($B$6)&lt;$B$5,AS18,((AR18+AS18)/2))</f>
        <v/>
      </c>
      <c r="AV18">
        <f>IF((1/$B$7)*((((AT18+AU18)/2)+$B$8*A18)*A18)*((((((AT18+AU18)/2)+$B$8*A18)*A18)/(((AT18+AU18)/2)+2*A18*SQRT(1+$B$8^2))))^(2/3)*SQRT($B$6)&lt;$B$5,((AT18+AU18)/2),AT18)</f>
        <v/>
      </c>
      <c r="AW18">
        <f>IF((1/$B$7)*((((AT18+AU18)/2)+$B$8*A18)*A18)*((((((AT18+AU18)/2)+$B$8*A18)*A18)/(((AT18+AU18)/2)+2*A18*SQRT(1+$B$8^2))))^(2/3)*SQRT($B$6)&lt;$B$5,AU18,((AT18+AU18)/2))</f>
        <v/>
      </c>
      <c r="AX18">
        <f>IF((1/$B$7)*((((AV18+AW18)/2)+$B$8*A18)*A18)*((((((AV18+AW18)/2)+$B$8*A18)*A18)/(((AV18+AW18)/2)+2*A18*SQRT(1+$B$8^2))))^(2/3)*SQRT($B$6)&lt;$B$5,((AV18+AW18)/2),AV18)</f>
        <v/>
      </c>
      <c r="AY18">
        <f>IF((1/$B$7)*((((AV18+AW18)/2)+$B$8*A18)*A18)*((((((AV18+AW18)/2)+$B$8*A18)*A18)/(((AV18+AW18)/2)+2*A18*SQRT(1+$B$8^2))))^(2/3)*SQRT($B$6)&lt;$B$5,AW18,((AV18+AW18)/2))</f>
        <v/>
      </c>
      <c r="AZ18">
        <f>IF((1/$B$7)*((((AX18+AY18)/2)+$B$8*A18)*A18)*((((((AX18+AY18)/2)+$B$8*A18)*A18)/(((AX18+AY18)/2)+2*A18*SQRT(1+$B$8^2))))^(2/3)*SQRT($B$6)&lt;$B$5,((AX18+AY18)/2),AX18)</f>
        <v/>
      </c>
      <c r="BA18">
        <f>IF((1/$B$7)*((((AX18+AY18)/2)+$B$8*A18)*A18)*((((((AX18+AY18)/2)+$B$8*A18)*A18)/(((AX18+AY18)/2)+2*A18*SQRT(1+$B$8^2))))^(2/3)*SQRT($B$6)&lt;$B$5,AY18,((AX18+AY18)/2))</f>
        <v/>
      </c>
      <c r="BB18">
        <f>IF((1/$B$7)*((((AZ18+BA18)/2)+$B$8*A18)*A18)*((((((AZ18+BA18)/2)+$B$8*A18)*A18)/(((AZ18+BA18)/2)+2*A18*SQRT(1+$B$8^2))))^(2/3)*SQRT($B$6)&lt;$B$5,((AZ18+BA18)/2),AZ18)</f>
        <v/>
      </c>
      <c r="BC18">
        <f>IF((1/$B$7)*((((AZ18+BA18)/2)+$B$8*A18)*A18)*((((((AZ18+BA18)/2)+$B$8*A18)*A18)/(((AZ18+BA18)/2)+2*A18*SQRT(1+$B$8^2))))^(2/3)*SQRT($B$6)&lt;$B$5,BA18,((AZ18+BA18)/2))</f>
        <v/>
      </c>
      <c r="BD18">
        <f>IF((1/$B$7)*((((BB18+BC18)/2)+$B$8*A18)*A18)*((((((BB18+BC18)/2)+$B$8*A18)*A18)/(((BB18+BC18)/2)+2*A18*SQRT(1+$B$8^2))))^(2/3)*SQRT($B$6)&lt;$B$5,((BB18+BC18)/2),BB18)</f>
        <v/>
      </c>
      <c r="BE18">
        <f>IF((1/$B$7)*((((BB18+BC18)/2)+$B$8*A18)*A18)*((((((BB18+BC18)/2)+$B$8*A18)*A18)/(((BB18+BC18)/2)+2*A18*SQRT(1+$B$8^2))))^(2/3)*SQRT($B$6)&lt;$B$5,BC18,((BB18+BC18)/2))</f>
        <v/>
      </c>
      <c r="BF18">
        <f>IF((1/$B$7)*((((BD18+BE18)/2)+$B$8*A18)*A18)*((((((BD18+BE18)/2)+$B$8*A18)*A18)/(((BD18+BE18)/2)+2*A18*SQRT(1+$B$8^2))))^(2/3)*SQRT($B$6)&lt;$B$5,((BD18+BE18)/2),BD18)</f>
        <v/>
      </c>
      <c r="BG18">
        <f>IF((1/$B$7)*((((BD18+BE18)/2)+$B$8*A18)*A18)*((((((BD18+BE18)/2)+$B$8*A18)*A18)/(((BD18+BE18)/2)+2*A18*SQRT(1+$B$8^2))))^(2/3)*SQRT($B$6)&lt;$B$5,BE18,((BD18+BE18)/2))</f>
        <v/>
      </c>
      <c r="BH18">
        <f>IF((1/$B$7)*((((BF18+BG18)/2)+$B$8*A18)*A18)*((((((BF18+BG18)/2)+$B$8*A18)*A18)/(((BF18+BG18)/2)+2*A18*SQRT(1+$B$8^2))))^(2/3)*SQRT($B$6)&lt;$B$5,((BF18+BG18)/2),BF18)</f>
        <v/>
      </c>
      <c r="BI18">
        <f>IF((1/$B$7)*((((BF18+BG18)/2)+$B$8*A18)*A18)*((((((BF18+BG18)/2)+$B$8*A18)*A18)/(((BF18+BG18)/2)+2*A18*SQRT(1+$B$8^2))))^(2/3)*SQRT($B$6)&lt;$B$5,BG18,((BF18+BG18)/2))</f>
        <v/>
      </c>
      <c r="BJ18">
        <f>IF((1/$B$7)*((((BH18+BI18)/2)+$B$8*A18)*A18)*((((((BH18+BI18)/2)+$B$8*A18)*A18)/(((BH18+BI18)/2)+2*A18*SQRT(1+$B$8^2))))^(2/3)*SQRT($B$6)&lt;$B$5,((BH18+BI18)/2),BH18)</f>
        <v/>
      </c>
      <c r="BK18">
        <f>IF((1/$B$7)*((((BH18+BI18)/2)+$B$8*A18)*A18)*((((((BH18+BI18)/2)+$B$8*A18)*A18)/(((BH18+BI18)/2)+2*A18*SQRT(1+$B$8^2))))^(2/3)*SQRT($B$6)&lt;$B$5,BI18,((BH18+BI18)/2))</f>
        <v/>
      </c>
      <c r="BL18">
        <f>IF((1/$B$7)*((((BJ18+BK18)/2)+$B$8*A18)*A18)*((((((BJ18+BK18)/2)+$B$8*A18)*A18)/(((BJ18+BK18)/2)+2*A18*SQRT(1+$B$8^2))))^(2/3)*SQRT($B$6)&lt;$B$5,((BJ18+BK18)/2),BJ18)</f>
        <v/>
      </c>
      <c r="BM18">
        <f>IF((1/$B$7)*((((BJ18+BK18)/2)+$B$8*A18)*A18)*((((((BJ18+BK18)/2)+$B$8*A18)*A18)/(((BJ18+BK18)/2)+2*A18*SQRT(1+$B$8^2))))^(2/3)*SQRT($B$6)&lt;$B$5,BK18,((BJ18+BK18)/2))</f>
        <v/>
      </c>
      <c r="BN18">
        <f>IF((1/$B$7)*((((BL18+BM18)/2)+$B$8*A18)*A18)*((((((BL18+BM18)/2)+$B$8*A18)*A18)/(((BL18+BM18)/2)+2*A18*SQRT(1+$B$8^2))))^(2/3)*SQRT($B$6)&lt;$B$5,((BL18+BM18)/2),BL18)</f>
        <v/>
      </c>
      <c r="BO18">
        <f>IF((1/$B$7)*((((BL18+BM18)/2)+$B$8*A18)*A18)*((((((BL18+BM18)/2)+$B$8*A18)*A18)/(((BL18+BM18)/2)+2*A18*SQRT(1+$B$8^2))))^(2/3)*SQRT($B$6)&lt;$B$5,BM18,((BL18+BM18)/2))</f>
        <v/>
      </c>
      <c r="BP18">
        <f>IF((1/$B$7)*((((BN18+BO18)/2)+$B$8*A18)*A18)*((((((BN18+BO18)/2)+$B$8*A18)*A18)/(((BN18+BO18)/2)+2*A18*SQRT(1+$B$8^2))))^(2/3)*SQRT($B$6)&lt;$B$5,((BN18+BO18)/2),BN18)</f>
        <v/>
      </c>
      <c r="BQ18">
        <f>IF((1/$B$7)*((((BN18+BO18)/2)+$B$8*A18)*A18)*((((((BN18+BO18)/2)+$B$8*A18)*A18)/(((BN18+BO18)/2)+2*A18*SQRT(1+$B$8^2))))^(2/3)*SQRT($B$6)&lt;$B$5,BO18,((BN18+BO18)/2))</f>
        <v/>
      </c>
      <c r="BR18">
        <f>IF((1/$B$7)*((((BP18+BQ18)/2)+$B$8*A18)*A18)*((((((BP18+BQ18)/2)+$B$8*A18)*A18)/(((BP18+BQ18)/2)+2*A18*SQRT(1+$B$8^2))))^(2/3)*SQRT($B$6)&lt;$B$5,((BP18+BQ18)/2),BP18)</f>
        <v/>
      </c>
      <c r="BS18">
        <f>IF((1/$B$7)*((((BP18+BQ18)/2)+$B$8*A18)*A18)*((((((BP18+BQ18)/2)+$B$8*A18)*A18)/(((BP18+BQ18)/2)+2*A18*SQRT(1+$B$8^2))))^(2/3)*SQRT($B$6)&lt;$B$5,BQ18,((BP18+BQ18)/2))</f>
        <v/>
      </c>
      <c r="BT18">
        <f>IF((1/$B$7)*((((BR18+BS18)/2)+$B$8*A18)*A18)*((((((BR18+BS18)/2)+$B$8*A18)*A18)/(((BR18+BS18)/2)+2*A18*SQRT(1+$B$8^2))))^(2/3)*SQRT($B$6)&lt;$B$5,((BR18+BS18)/2),BR18)</f>
        <v/>
      </c>
      <c r="BU18">
        <f>IF((1/$B$7)*((((BR18+BS18)/2)+$B$8*A18)*A18)*((((((BR18+BS18)/2)+$B$8*A18)*A18)/(((BR18+BS18)/2)+2*A18*SQRT(1+$B$8^2))))^(2/3)*SQRT($B$6)&lt;$B$5,BS18,((BR18+BS18)/2))</f>
        <v/>
      </c>
      <c r="BV18">
        <f>IF((1/$B$7)*((((BT18+BU18)/2)+$B$8*A18)*A18)*((((((BT18+BU18)/2)+$B$8*A18)*A18)/(((BT18+BU18)/2)+2*A18*SQRT(1+$B$8^2))))^(2/3)*SQRT($B$6)&lt;$B$5,((BT18+BU18)/2),BT18)</f>
        <v/>
      </c>
      <c r="BW18">
        <f>IF((1/$B$7)*((((BT18+BU18)/2)+$B$8*A18)*A18)*((((((BT18+BU18)/2)+$B$8*A18)*A18)/(((BT18+BU18)/2)+2*A18*SQRT(1+$B$8^2))))^(2/3)*SQRT($B$6)&lt;$B$5,BU18,((BT18+BU18)/2))</f>
        <v/>
      </c>
      <c r="BX18">
        <f>IF((1/$B$7)*((((BV18+BW18)/2)+$B$8*A18)*A18)*((((((BV18+BW18)/2)+$B$8*A18)*A18)/(((BV18+BW18)/2)+2*A18*SQRT(1+$B$8^2))))^(2/3)*SQRT($B$6)&lt;$B$5,((BV18+BW18)/2),BV18)</f>
        <v/>
      </c>
      <c r="BY18">
        <f>IF((1/$B$7)*((((BV18+BW18)/2)+$B$8*A18)*A18)*((((((BV18+BW18)/2)+$B$8*A18)*A18)/(((BV18+BW18)/2)+2*A18*SQRT(1+$B$8^2))))^(2/3)*SQRT($B$6)&lt;$B$5,BW18,((BV18+BW18)/2))</f>
        <v/>
      </c>
    </row>
    <row r="19">
      <c r="A19" s="21">
        <f>Inputs!F24</f>
        <v/>
      </c>
      <c r="B19" s="25">
        <f>IF(A19="","",IF(AA19&gt;=$B$5,0,IF((1/$B$7)*(($B$9+$B$8*A19)*A19)*(((($B$9+$B$8*A19)*A19)/($B$9+2*A19*SQRT(1+$B$8^2))))^(2/3)*SQRT($B$6)&lt;$B$5,"",((BX19+BY19)/2))))</f>
        <v/>
      </c>
      <c r="C19" s="13">
        <f>IF(A19="","",IF(AA19&gt;=$B$5,"x=0 suffit",IF((1/$B$7)*(($B$9+$B$8*A19)*A19)*(((($B$9+$B$8*A19)*A19)/($B$9+2*A19*SQRT(1+$B$8^2))))^(2/3)*SQRT($B$6)&lt;$B$5,"Insuffisant à x_max","OK")))</f>
        <v/>
      </c>
      <c r="D19" s="25">
        <f>IF(OR(A19="",B19=""),"",((B19+$B$8*A19)*A19))</f>
        <v/>
      </c>
      <c r="E19" s="25">
        <f>IF(OR(A19="",B19=""),"",(B19+2*A19*SQRT(1+$B$8^2)))</f>
        <v/>
      </c>
      <c r="F19" s="25">
        <f>IF(OR(A19="",B19=""),"",(((B19+$B$8*A19)*A19)/(B19+2*A19*SQRT(1+$B$8^2))))</f>
        <v/>
      </c>
      <c r="G19" s="25">
        <f>IF(OR(A19="",B19=""),"",(B19+2*$B$8*A19))</f>
        <v/>
      </c>
      <c r="H19" s="25">
        <f>IF(OR(A19="",B19="",D19=0),"",I19/D19)</f>
        <v/>
      </c>
      <c r="I19" s="25">
        <f>IF(OR(A19="",B19=""),"",(1/$B$7)*((B19+$B$8*A19)*A19)*((((B19+$B$8*A19)*A19)/(B19+2*A19*SQRT(1+$B$8^2))))^(2/3)*SQRT($B$6))</f>
        <v/>
      </c>
      <c r="J19" s="25">
        <f>IF(I19="","",I19-$B$5)</f>
        <v/>
      </c>
      <c r="K19" s="22">
        <f>IF(I19="","", (I19-$B$5)/$B$5)</f>
        <v/>
      </c>
      <c r="AA19">
        <f>IF(OR(A19="",A19&lt;=0),"" ,(1/$B$7)*((0+$B$8*A19)*A19)*((((0+$B$8*A19)*A19)/(0+2*A19*SQRT(1+$B$8^2))))^(2/3)*SQRT($B$6))</f>
        <v/>
      </c>
      <c r="AB19" t="n">
        <v>0</v>
      </c>
      <c r="AC19">
        <f>$B$9</f>
        <v/>
      </c>
      <c r="AD19">
        <f>IF((1/$B$7)*((((AB19+AC19)/2)+$B$8*A19)*A19)*((((((AB19+AC19)/2)+$B$8*A19)*A19)/(((AB19+AC19)/2)+2*A19*SQRT(1+$B$8^2))))^(2/3)*SQRT($B$6)&lt;$B$5,((AB19+AC19)/2),AB19)</f>
        <v/>
      </c>
      <c r="AE19">
        <f>IF((1/$B$7)*((((AB19+AC19)/2)+$B$8*A19)*A19)*((((((AB19+AC19)/2)+$B$8*A19)*A19)/(((AB19+AC19)/2)+2*A19*SQRT(1+$B$8^2))))^(2/3)*SQRT($B$6)&lt;$B$5,AC19,((AB19+AC19)/2))</f>
        <v/>
      </c>
      <c r="AF19">
        <f>IF((1/$B$7)*((((AD19+AE19)/2)+$B$8*A19)*A19)*((((((AD19+AE19)/2)+$B$8*A19)*A19)/(((AD19+AE19)/2)+2*A19*SQRT(1+$B$8^2))))^(2/3)*SQRT($B$6)&lt;$B$5,((AD19+AE19)/2),AD19)</f>
        <v/>
      </c>
      <c r="AG19">
        <f>IF((1/$B$7)*((((AD19+AE19)/2)+$B$8*A19)*A19)*((((((AD19+AE19)/2)+$B$8*A19)*A19)/(((AD19+AE19)/2)+2*A19*SQRT(1+$B$8^2))))^(2/3)*SQRT($B$6)&lt;$B$5,AE19,((AD19+AE19)/2))</f>
        <v/>
      </c>
      <c r="AH19">
        <f>IF((1/$B$7)*((((AF19+AG19)/2)+$B$8*A19)*A19)*((((((AF19+AG19)/2)+$B$8*A19)*A19)/(((AF19+AG19)/2)+2*A19*SQRT(1+$B$8^2))))^(2/3)*SQRT($B$6)&lt;$B$5,((AF19+AG19)/2),AF19)</f>
        <v/>
      </c>
      <c r="AI19">
        <f>IF((1/$B$7)*((((AF19+AG19)/2)+$B$8*A19)*A19)*((((((AF19+AG19)/2)+$B$8*A19)*A19)/(((AF19+AG19)/2)+2*A19*SQRT(1+$B$8^2))))^(2/3)*SQRT($B$6)&lt;$B$5,AG19,((AF19+AG19)/2))</f>
        <v/>
      </c>
      <c r="AJ19">
        <f>IF((1/$B$7)*((((AH19+AI19)/2)+$B$8*A19)*A19)*((((((AH19+AI19)/2)+$B$8*A19)*A19)/(((AH19+AI19)/2)+2*A19*SQRT(1+$B$8^2))))^(2/3)*SQRT($B$6)&lt;$B$5,((AH19+AI19)/2),AH19)</f>
        <v/>
      </c>
      <c r="AK19">
        <f>IF((1/$B$7)*((((AH19+AI19)/2)+$B$8*A19)*A19)*((((((AH19+AI19)/2)+$B$8*A19)*A19)/(((AH19+AI19)/2)+2*A19*SQRT(1+$B$8^2))))^(2/3)*SQRT($B$6)&lt;$B$5,AI19,((AH19+AI19)/2))</f>
        <v/>
      </c>
      <c r="AL19">
        <f>IF((1/$B$7)*((((AJ19+AK19)/2)+$B$8*A19)*A19)*((((((AJ19+AK19)/2)+$B$8*A19)*A19)/(((AJ19+AK19)/2)+2*A19*SQRT(1+$B$8^2))))^(2/3)*SQRT($B$6)&lt;$B$5,((AJ19+AK19)/2),AJ19)</f>
        <v/>
      </c>
      <c r="AM19">
        <f>IF((1/$B$7)*((((AJ19+AK19)/2)+$B$8*A19)*A19)*((((((AJ19+AK19)/2)+$B$8*A19)*A19)/(((AJ19+AK19)/2)+2*A19*SQRT(1+$B$8^2))))^(2/3)*SQRT($B$6)&lt;$B$5,AK19,((AJ19+AK19)/2))</f>
        <v/>
      </c>
      <c r="AN19">
        <f>IF((1/$B$7)*((((AL19+AM19)/2)+$B$8*A19)*A19)*((((((AL19+AM19)/2)+$B$8*A19)*A19)/(((AL19+AM19)/2)+2*A19*SQRT(1+$B$8^2))))^(2/3)*SQRT($B$6)&lt;$B$5,((AL19+AM19)/2),AL19)</f>
        <v/>
      </c>
      <c r="AO19">
        <f>IF((1/$B$7)*((((AL19+AM19)/2)+$B$8*A19)*A19)*((((((AL19+AM19)/2)+$B$8*A19)*A19)/(((AL19+AM19)/2)+2*A19*SQRT(1+$B$8^2))))^(2/3)*SQRT($B$6)&lt;$B$5,AM19,((AL19+AM19)/2))</f>
        <v/>
      </c>
      <c r="AP19">
        <f>IF((1/$B$7)*((((AN19+AO19)/2)+$B$8*A19)*A19)*((((((AN19+AO19)/2)+$B$8*A19)*A19)/(((AN19+AO19)/2)+2*A19*SQRT(1+$B$8^2))))^(2/3)*SQRT($B$6)&lt;$B$5,((AN19+AO19)/2),AN19)</f>
        <v/>
      </c>
      <c r="AQ19">
        <f>IF((1/$B$7)*((((AN19+AO19)/2)+$B$8*A19)*A19)*((((((AN19+AO19)/2)+$B$8*A19)*A19)/(((AN19+AO19)/2)+2*A19*SQRT(1+$B$8^2))))^(2/3)*SQRT($B$6)&lt;$B$5,AO19,((AN19+AO19)/2))</f>
        <v/>
      </c>
      <c r="AR19">
        <f>IF((1/$B$7)*((((AP19+AQ19)/2)+$B$8*A19)*A19)*((((((AP19+AQ19)/2)+$B$8*A19)*A19)/(((AP19+AQ19)/2)+2*A19*SQRT(1+$B$8^2))))^(2/3)*SQRT($B$6)&lt;$B$5,((AP19+AQ19)/2),AP19)</f>
        <v/>
      </c>
      <c r="AS19">
        <f>IF((1/$B$7)*((((AP19+AQ19)/2)+$B$8*A19)*A19)*((((((AP19+AQ19)/2)+$B$8*A19)*A19)/(((AP19+AQ19)/2)+2*A19*SQRT(1+$B$8^2))))^(2/3)*SQRT($B$6)&lt;$B$5,AQ19,((AP19+AQ19)/2))</f>
        <v/>
      </c>
      <c r="AT19">
        <f>IF((1/$B$7)*((((AR19+AS19)/2)+$B$8*A19)*A19)*((((((AR19+AS19)/2)+$B$8*A19)*A19)/(((AR19+AS19)/2)+2*A19*SQRT(1+$B$8^2))))^(2/3)*SQRT($B$6)&lt;$B$5,((AR19+AS19)/2),AR19)</f>
        <v/>
      </c>
      <c r="AU19">
        <f>IF((1/$B$7)*((((AR19+AS19)/2)+$B$8*A19)*A19)*((((((AR19+AS19)/2)+$B$8*A19)*A19)/(((AR19+AS19)/2)+2*A19*SQRT(1+$B$8^2))))^(2/3)*SQRT($B$6)&lt;$B$5,AS19,((AR19+AS19)/2))</f>
        <v/>
      </c>
      <c r="AV19">
        <f>IF((1/$B$7)*((((AT19+AU19)/2)+$B$8*A19)*A19)*((((((AT19+AU19)/2)+$B$8*A19)*A19)/(((AT19+AU19)/2)+2*A19*SQRT(1+$B$8^2))))^(2/3)*SQRT($B$6)&lt;$B$5,((AT19+AU19)/2),AT19)</f>
        <v/>
      </c>
      <c r="AW19">
        <f>IF((1/$B$7)*((((AT19+AU19)/2)+$B$8*A19)*A19)*((((((AT19+AU19)/2)+$B$8*A19)*A19)/(((AT19+AU19)/2)+2*A19*SQRT(1+$B$8^2))))^(2/3)*SQRT($B$6)&lt;$B$5,AU19,((AT19+AU19)/2))</f>
        <v/>
      </c>
      <c r="AX19">
        <f>IF((1/$B$7)*((((AV19+AW19)/2)+$B$8*A19)*A19)*((((((AV19+AW19)/2)+$B$8*A19)*A19)/(((AV19+AW19)/2)+2*A19*SQRT(1+$B$8^2))))^(2/3)*SQRT($B$6)&lt;$B$5,((AV19+AW19)/2),AV19)</f>
        <v/>
      </c>
      <c r="AY19">
        <f>IF((1/$B$7)*((((AV19+AW19)/2)+$B$8*A19)*A19)*((((((AV19+AW19)/2)+$B$8*A19)*A19)/(((AV19+AW19)/2)+2*A19*SQRT(1+$B$8^2))))^(2/3)*SQRT($B$6)&lt;$B$5,AW19,((AV19+AW19)/2))</f>
        <v/>
      </c>
      <c r="AZ19">
        <f>IF((1/$B$7)*((((AX19+AY19)/2)+$B$8*A19)*A19)*((((((AX19+AY19)/2)+$B$8*A19)*A19)/(((AX19+AY19)/2)+2*A19*SQRT(1+$B$8^2))))^(2/3)*SQRT($B$6)&lt;$B$5,((AX19+AY19)/2),AX19)</f>
        <v/>
      </c>
      <c r="BA19">
        <f>IF((1/$B$7)*((((AX19+AY19)/2)+$B$8*A19)*A19)*((((((AX19+AY19)/2)+$B$8*A19)*A19)/(((AX19+AY19)/2)+2*A19*SQRT(1+$B$8^2))))^(2/3)*SQRT($B$6)&lt;$B$5,AY19,((AX19+AY19)/2))</f>
        <v/>
      </c>
      <c r="BB19">
        <f>IF((1/$B$7)*((((AZ19+BA19)/2)+$B$8*A19)*A19)*((((((AZ19+BA19)/2)+$B$8*A19)*A19)/(((AZ19+BA19)/2)+2*A19*SQRT(1+$B$8^2))))^(2/3)*SQRT($B$6)&lt;$B$5,((AZ19+BA19)/2),AZ19)</f>
        <v/>
      </c>
      <c r="BC19">
        <f>IF((1/$B$7)*((((AZ19+BA19)/2)+$B$8*A19)*A19)*((((((AZ19+BA19)/2)+$B$8*A19)*A19)/(((AZ19+BA19)/2)+2*A19*SQRT(1+$B$8^2))))^(2/3)*SQRT($B$6)&lt;$B$5,BA19,((AZ19+BA19)/2))</f>
        <v/>
      </c>
      <c r="BD19">
        <f>IF((1/$B$7)*((((BB19+BC19)/2)+$B$8*A19)*A19)*((((((BB19+BC19)/2)+$B$8*A19)*A19)/(((BB19+BC19)/2)+2*A19*SQRT(1+$B$8^2))))^(2/3)*SQRT($B$6)&lt;$B$5,((BB19+BC19)/2),BB19)</f>
        <v/>
      </c>
      <c r="BE19">
        <f>IF((1/$B$7)*((((BB19+BC19)/2)+$B$8*A19)*A19)*((((((BB19+BC19)/2)+$B$8*A19)*A19)/(((BB19+BC19)/2)+2*A19*SQRT(1+$B$8^2))))^(2/3)*SQRT($B$6)&lt;$B$5,BC19,((BB19+BC19)/2))</f>
        <v/>
      </c>
      <c r="BF19">
        <f>IF((1/$B$7)*((((BD19+BE19)/2)+$B$8*A19)*A19)*((((((BD19+BE19)/2)+$B$8*A19)*A19)/(((BD19+BE19)/2)+2*A19*SQRT(1+$B$8^2))))^(2/3)*SQRT($B$6)&lt;$B$5,((BD19+BE19)/2),BD19)</f>
        <v/>
      </c>
      <c r="BG19">
        <f>IF((1/$B$7)*((((BD19+BE19)/2)+$B$8*A19)*A19)*((((((BD19+BE19)/2)+$B$8*A19)*A19)/(((BD19+BE19)/2)+2*A19*SQRT(1+$B$8^2))))^(2/3)*SQRT($B$6)&lt;$B$5,BE19,((BD19+BE19)/2))</f>
        <v/>
      </c>
      <c r="BH19">
        <f>IF((1/$B$7)*((((BF19+BG19)/2)+$B$8*A19)*A19)*((((((BF19+BG19)/2)+$B$8*A19)*A19)/(((BF19+BG19)/2)+2*A19*SQRT(1+$B$8^2))))^(2/3)*SQRT($B$6)&lt;$B$5,((BF19+BG19)/2),BF19)</f>
        <v/>
      </c>
      <c r="BI19">
        <f>IF((1/$B$7)*((((BF19+BG19)/2)+$B$8*A19)*A19)*((((((BF19+BG19)/2)+$B$8*A19)*A19)/(((BF19+BG19)/2)+2*A19*SQRT(1+$B$8^2))))^(2/3)*SQRT($B$6)&lt;$B$5,BG19,((BF19+BG19)/2))</f>
        <v/>
      </c>
      <c r="BJ19">
        <f>IF((1/$B$7)*((((BH19+BI19)/2)+$B$8*A19)*A19)*((((((BH19+BI19)/2)+$B$8*A19)*A19)/(((BH19+BI19)/2)+2*A19*SQRT(1+$B$8^2))))^(2/3)*SQRT($B$6)&lt;$B$5,((BH19+BI19)/2),BH19)</f>
        <v/>
      </c>
      <c r="BK19">
        <f>IF((1/$B$7)*((((BH19+BI19)/2)+$B$8*A19)*A19)*((((((BH19+BI19)/2)+$B$8*A19)*A19)/(((BH19+BI19)/2)+2*A19*SQRT(1+$B$8^2))))^(2/3)*SQRT($B$6)&lt;$B$5,BI19,((BH19+BI19)/2))</f>
        <v/>
      </c>
      <c r="BL19">
        <f>IF((1/$B$7)*((((BJ19+BK19)/2)+$B$8*A19)*A19)*((((((BJ19+BK19)/2)+$B$8*A19)*A19)/(((BJ19+BK19)/2)+2*A19*SQRT(1+$B$8^2))))^(2/3)*SQRT($B$6)&lt;$B$5,((BJ19+BK19)/2),BJ19)</f>
        <v/>
      </c>
      <c r="BM19">
        <f>IF((1/$B$7)*((((BJ19+BK19)/2)+$B$8*A19)*A19)*((((((BJ19+BK19)/2)+$B$8*A19)*A19)/(((BJ19+BK19)/2)+2*A19*SQRT(1+$B$8^2))))^(2/3)*SQRT($B$6)&lt;$B$5,BK19,((BJ19+BK19)/2))</f>
        <v/>
      </c>
      <c r="BN19">
        <f>IF((1/$B$7)*((((BL19+BM19)/2)+$B$8*A19)*A19)*((((((BL19+BM19)/2)+$B$8*A19)*A19)/(((BL19+BM19)/2)+2*A19*SQRT(1+$B$8^2))))^(2/3)*SQRT($B$6)&lt;$B$5,((BL19+BM19)/2),BL19)</f>
        <v/>
      </c>
      <c r="BO19">
        <f>IF((1/$B$7)*((((BL19+BM19)/2)+$B$8*A19)*A19)*((((((BL19+BM19)/2)+$B$8*A19)*A19)/(((BL19+BM19)/2)+2*A19*SQRT(1+$B$8^2))))^(2/3)*SQRT($B$6)&lt;$B$5,BM19,((BL19+BM19)/2))</f>
        <v/>
      </c>
      <c r="BP19">
        <f>IF((1/$B$7)*((((BN19+BO19)/2)+$B$8*A19)*A19)*((((((BN19+BO19)/2)+$B$8*A19)*A19)/(((BN19+BO19)/2)+2*A19*SQRT(1+$B$8^2))))^(2/3)*SQRT($B$6)&lt;$B$5,((BN19+BO19)/2),BN19)</f>
        <v/>
      </c>
      <c r="BQ19">
        <f>IF((1/$B$7)*((((BN19+BO19)/2)+$B$8*A19)*A19)*((((((BN19+BO19)/2)+$B$8*A19)*A19)/(((BN19+BO19)/2)+2*A19*SQRT(1+$B$8^2))))^(2/3)*SQRT($B$6)&lt;$B$5,BO19,((BN19+BO19)/2))</f>
        <v/>
      </c>
      <c r="BR19">
        <f>IF((1/$B$7)*((((BP19+BQ19)/2)+$B$8*A19)*A19)*((((((BP19+BQ19)/2)+$B$8*A19)*A19)/(((BP19+BQ19)/2)+2*A19*SQRT(1+$B$8^2))))^(2/3)*SQRT($B$6)&lt;$B$5,((BP19+BQ19)/2),BP19)</f>
        <v/>
      </c>
      <c r="BS19">
        <f>IF((1/$B$7)*((((BP19+BQ19)/2)+$B$8*A19)*A19)*((((((BP19+BQ19)/2)+$B$8*A19)*A19)/(((BP19+BQ19)/2)+2*A19*SQRT(1+$B$8^2))))^(2/3)*SQRT($B$6)&lt;$B$5,BQ19,((BP19+BQ19)/2))</f>
        <v/>
      </c>
      <c r="BT19">
        <f>IF((1/$B$7)*((((BR19+BS19)/2)+$B$8*A19)*A19)*((((((BR19+BS19)/2)+$B$8*A19)*A19)/(((BR19+BS19)/2)+2*A19*SQRT(1+$B$8^2))))^(2/3)*SQRT($B$6)&lt;$B$5,((BR19+BS19)/2),BR19)</f>
        <v/>
      </c>
      <c r="BU19">
        <f>IF((1/$B$7)*((((BR19+BS19)/2)+$B$8*A19)*A19)*((((((BR19+BS19)/2)+$B$8*A19)*A19)/(((BR19+BS19)/2)+2*A19*SQRT(1+$B$8^2))))^(2/3)*SQRT($B$6)&lt;$B$5,BS19,((BR19+BS19)/2))</f>
        <v/>
      </c>
      <c r="BV19">
        <f>IF((1/$B$7)*((((BT19+BU19)/2)+$B$8*A19)*A19)*((((((BT19+BU19)/2)+$B$8*A19)*A19)/(((BT19+BU19)/2)+2*A19*SQRT(1+$B$8^2))))^(2/3)*SQRT($B$6)&lt;$B$5,((BT19+BU19)/2),BT19)</f>
        <v/>
      </c>
      <c r="BW19">
        <f>IF((1/$B$7)*((((BT19+BU19)/2)+$B$8*A19)*A19)*((((((BT19+BU19)/2)+$B$8*A19)*A19)/(((BT19+BU19)/2)+2*A19*SQRT(1+$B$8^2))))^(2/3)*SQRT($B$6)&lt;$B$5,BU19,((BT19+BU19)/2))</f>
        <v/>
      </c>
      <c r="BX19">
        <f>IF((1/$B$7)*((((BV19+BW19)/2)+$B$8*A19)*A19)*((((((BV19+BW19)/2)+$B$8*A19)*A19)/(((BV19+BW19)/2)+2*A19*SQRT(1+$B$8^2))))^(2/3)*SQRT($B$6)&lt;$B$5,((BV19+BW19)/2),BV19)</f>
        <v/>
      </c>
      <c r="BY19">
        <f>IF((1/$B$7)*((((BV19+BW19)/2)+$B$8*A19)*A19)*((((((BV19+BW19)/2)+$B$8*A19)*A19)/(((BV19+BW19)/2)+2*A19*SQRT(1+$B$8^2))))^(2/3)*SQRT($B$6)&lt;$B$5,BW19,((BV19+BW19)/2))</f>
        <v/>
      </c>
    </row>
    <row r="20">
      <c r="A20" s="21">
        <f>Inputs!F25</f>
        <v/>
      </c>
      <c r="B20" s="25">
        <f>IF(A20="","",IF(AA20&gt;=$B$5,0,IF((1/$B$7)*(($B$9+$B$8*A20)*A20)*(((($B$9+$B$8*A20)*A20)/($B$9+2*A20*SQRT(1+$B$8^2))))^(2/3)*SQRT($B$6)&lt;$B$5,"",((BX20+BY20)/2))))</f>
        <v/>
      </c>
      <c r="C20" s="13">
        <f>IF(A20="","",IF(AA20&gt;=$B$5,"x=0 suffit",IF((1/$B$7)*(($B$9+$B$8*A20)*A20)*(((($B$9+$B$8*A20)*A20)/($B$9+2*A20*SQRT(1+$B$8^2))))^(2/3)*SQRT($B$6)&lt;$B$5,"Insuffisant à x_max","OK")))</f>
        <v/>
      </c>
      <c r="D20" s="25">
        <f>IF(OR(A20="",B20=""),"",((B20+$B$8*A20)*A20))</f>
        <v/>
      </c>
      <c r="E20" s="25">
        <f>IF(OR(A20="",B20=""),"",(B20+2*A20*SQRT(1+$B$8^2)))</f>
        <v/>
      </c>
      <c r="F20" s="25">
        <f>IF(OR(A20="",B20=""),"",(((B20+$B$8*A20)*A20)/(B20+2*A20*SQRT(1+$B$8^2))))</f>
        <v/>
      </c>
      <c r="G20" s="25">
        <f>IF(OR(A20="",B20=""),"",(B20+2*$B$8*A20))</f>
        <v/>
      </c>
      <c r="H20" s="25">
        <f>IF(OR(A20="",B20="",D20=0),"",I20/D20)</f>
        <v/>
      </c>
      <c r="I20" s="25">
        <f>IF(OR(A20="",B20=""),"",(1/$B$7)*((B20+$B$8*A20)*A20)*((((B20+$B$8*A20)*A20)/(B20+2*A20*SQRT(1+$B$8^2))))^(2/3)*SQRT($B$6))</f>
        <v/>
      </c>
      <c r="J20" s="25">
        <f>IF(I20="","",I20-$B$5)</f>
        <v/>
      </c>
      <c r="K20" s="22">
        <f>IF(I20="","", (I20-$B$5)/$B$5)</f>
        <v/>
      </c>
      <c r="AA20">
        <f>IF(OR(A20="",A20&lt;=0),"" ,(1/$B$7)*((0+$B$8*A20)*A20)*((((0+$B$8*A20)*A20)/(0+2*A20*SQRT(1+$B$8^2))))^(2/3)*SQRT($B$6))</f>
        <v/>
      </c>
      <c r="AB20" t="n">
        <v>0</v>
      </c>
      <c r="AC20">
        <f>$B$9</f>
        <v/>
      </c>
      <c r="AD20">
        <f>IF((1/$B$7)*((((AB20+AC20)/2)+$B$8*A20)*A20)*((((((AB20+AC20)/2)+$B$8*A20)*A20)/(((AB20+AC20)/2)+2*A20*SQRT(1+$B$8^2))))^(2/3)*SQRT($B$6)&lt;$B$5,((AB20+AC20)/2),AB20)</f>
        <v/>
      </c>
      <c r="AE20">
        <f>IF((1/$B$7)*((((AB20+AC20)/2)+$B$8*A20)*A20)*((((((AB20+AC20)/2)+$B$8*A20)*A20)/(((AB20+AC20)/2)+2*A20*SQRT(1+$B$8^2))))^(2/3)*SQRT($B$6)&lt;$B$5,AC20,((AB20+AC20)/2))</f>
        <v/>
      </c>
      <c r="AF20">
        <f>IF((1/$B$7)*((((AD20+AE20)/2)+$B$8*A20)*A20)*((((((AD20+AE20)/2)+$B$8*A20)*A20)/(((AD20+AE20)/2)+2*A20*SQRT(1+$B$8^2))))^(2/3)*SQRT($B$6)&lt;$B$5,((AD20+AE20)/2),AD20)</f>
        <v/>
      </c>
      <c r="AG20">
        <f>IF((1/$B$7)*((((AD20+AE20)/2)+$B$8*A20)*A20)*((((((AD20+AE20)/2)+$B$8*A20)*A20)/(((AD20+AE20)/2)+2*A20*SQRT(1+$B$8^2))))^(2/3)*SQRT($B$6)&lt;$B$5,AE20,((AD20+AE20)/2))</f>
        <v/>
      </c>
      <c r="AH20">
        <f>IF((1/$B$7)*((((AF20+AG20)/2)+$B$8*A20)*A20)*((((((AF20+AG20)/2)+$B$8*A20)*A20)/(((AF20+AG20)/2)+2*A20*SQRT(1+$B$8^2))))^(2/3)*SQRT($B$6)&lt;$B$5,((AF20+AG20)/2),AF20)</f>
        <v/>
      </c>
      <c r="AI20">
        <f>IF((1/$B$7)*((((AF20+AG20)/2)+$B$8*A20)*A20)*((((((AF20+AG20)/2)+$B$8*A20)*A20)/(((AF20+AG20)/2)+2*A20*SQRT(1+$B$8^2))))^(2/3)*SQRT($B$6)&lt;$B$5,AG20,((AF20+AG20)/2))</f>
        <v/>
      </c>
      <c r="AJ20">
        <f>IF((1/$B$7)*((((AH20+AI20)/2)+$B$8*A20)*A20)*((((((AH20+AI20)/2)+$B$8*A20)*A20)/(((AH20+AI20)/2)+2*A20*SQRT(1+$B$8^2))))^(2/3)*SQRT($B$6)&lt;$B$5,((AH20+AI20)/2),AH20)</f>
        <v/>
      </c>
      <c r="AK20">
        <f>IF((1/$B$7)*((((AH20+AI20)/2)+$B$8*A20)*A20)*((((((AH20+AI20)/2)+$B$8*A20)*A20)/(((AH20+AI20)/2)+2*A20*SQRT(1+$B$8^2))))^(2/3)*SQRT($B$6)&lt;$B$5,AI20,((AH20+AI20)/2))</f>
        <v/>
      </c>
      <c r="AL20">
        <f>IF((1/$B$7)*((((AJ20+AK20)/2)+$B$8*A20)*A20)*((((((AJ20+AK20)/2)+$B$8*A20)*A20)/(((AJ20+AK20)/2)+2*A20*SQRT(1+$B$8^2))))^(2/3)*SQRT($B$6)&lt;$B$5,((AJ20+AK20)/2),AJ20)</f>
        <v/>
      </c>
      <c r="AM20">
        <f>IF((1/$B$7)*((((AJ20+AK20)/2)+$B$8*A20)*A20)*((((((AJ20+AK20)/2)+$B$8*A20)*A20)/(((AJ20+AK20)/2)+2*A20*SQRT(1+$B$8^2))))^(2/3)*SQRT($B$6)&lt;$B$5,AK20,((AJ20+AK20)/2))</f>
        <v/>
      </c>
      <c r="AN20">
        <f>IF((1/$B$7)*((((AL20+AM20)/2)+$B$8*A20)*A20)*((((((AL20+AM20)/2)+$B$8*A20)*A20)/(((AL20+AM20)/2)+2*A20*SQRT(1+$B$8^2))))^(2/3)*SQRT($B$6)&lt;$B$5,((AL20+AM20)/2),AL20)</f>
        <v/>
      </c>
      <c r="AO20">
        <f>IF((1/$B$7)*((((AL20+AM20)/2)+$B$8*A20)*A20)*((((((AL20+AM20)/2)+$B$8*A20)*A20)/(((AL20+AM20)/2)+2*A20*SQRT(1+$B$8^2))))^(2/3)*SQRT($B$6)&lt;$B$5,AM20,((AL20+AM20)/2))</f>
        <v/>
      </c>
      <c r="AP20">
        <f>IF((1/$B$7)*((((AN20+AO20)/2)+$B$8*A20)*A20)*((((((AN20+AO20)/2)+$B$8*A20)*A20)/(((AN20+AO20)/2)+2*A20*SQRT(1+$B$8^2))))^(2/3)*SQRT($B$6)&lt;$B$5,((AN20+AO20)/2),AN20)</f>
        <v/>
      </c>
      <c r="AQ20">
        <f>IF((1/$B$7)*((((AN20+AO20)/2)+$B$8*A20)*A20)*((((((AN20+AO20)/2)+$B$8*A20)*A20)/(((AN20+AO20)/2)+2*A20*SQRT(1+$B$8^2))))^(2/3)*SQRT($B$6)&lt;$B$5,AO20,((AN20+AO20)/2))</f>
        <v/>
      </c>
      <c r="AR20">
        <f>IF((1/$B$7)*((((AP20+AQ20)/2)+$B$8*A20)*A20)*((((((AP20+AQ20)/2)+$B$8*A20)*A20)/(((AP20+AQ20)/2)+2*A20*SQRT(1+$B$8^2))))^(2/3)*SQRT($B$6)&lt;$B$5,((AP20+AQ20)/2),AP20)</f>
        <v/>
      </c>
      <c r="AS20">
        <f>IF((1/$B$7)*((((AP20+AQ20)/2)+$B$8*A20)*A20)*((((((AP20+AQ20)/2)+$B$8*A20)*A20)/(((AP20+AQ20)/2)+2*A20*SQRT(1+$B$8^2))))^(2/3)*SQRT($B$6)&lt;$B$5,AQ20,((AP20+AQ20)/2))</f>
        <v/>
      </c>
      <c r="AT20">
        <f>IF((1/$B$7)*((((AR20+AS20)/2)+$B$8*A20)*A20)*((((((AR20+AS20)/2)+$B$8*A20)*A20)/(((AR20+AS20)/2)+2*A20*SQRT(1+$B$8^2))))^(2/3)*SQRT($B$6)&lt;$B$5,((AR20+AS20)/2),AR20)</f>
        <v/>
      </c>
      <c r="AU20">
        <f>IF((1/$B$7)*((((AR20+AS20)/2)+$B$8*A20)*A20)*((((((AR20+AS20)/2)+$B$8*A20)*A20)/(((AR20+AS20)/2)+2*A20*SQRT(1+$B$8^2))))^(2/3)*SQRT($B$6)&lt;$B$5,AS20,((AR20+AS20)/2))</f>
        <v/>
      </c>
      <c r="AV20">
        <f>IF((1/$B$7)*((((AT20+AU20)/2)+$B$8*A20)*A20)*((((((AT20+AU20)/2)+$B$8*A20)*A20)/(((AT20+AU20)/2)+2*A20*SQRT(1+$B$8^2))))^(2/3)*SQRT($B$6)&lt;$B$5,((AT20+AU20)/2),AT20)</f>
        <v/>
      </c>
      <c r="AW20">
        <f>IF((1/$B$7)*((((AT20+AU20)/2)+$B$8*A20)*A20)*((((((AT20+AU20)/2)+$B$8*A20)*A20)/(((AT20+AU20)/2)+2*A20*SQRT(1+$B$8^2))))^(2/3)*SQRT($B$6)&lt;$B$5,AU20,((AT20+AU20)/2))</f>
        <v/>
      </c>
      <c r="AX20">
        <f>IF((1/$B$7)*((((AV20+AW20)/2)+$B$8*A20)*A20)*((((((AV20+AW20)/2)+$B$8*A20)*A20)/(((AV20+AW20)/2)+2*A20*SQRT(1+$B$8^2))))^(2/3)*SQRT($B$6)&lt;$B$5,((AV20+AW20)/2),AV20)</f>
        <v/>
      </c>
      <c r="AY20">
        <f>IF((1/$B$7)*((((AV20+AW20)/2)+$B$8*A20)*A20)*((((((AV20+AW20)/2)+$B$8*A20)*A20)/(((AV20+AW20)/2)+2*A20*SQRT(1+$B$8^2))))^(2/3)*SQRT($B$6)&lt;$B$5,AW20,((AV20+AW20)/2))</f>
        <v/>
      </c>
      <c r="AZ20">
        <f>IF((1/$B$7)*((((AX20+AY20)/2)+$B$8*A20)*A20)*((((((AX20+AY20)/2)+$B$8*A20)*A20)/(((AX20+AY20)/2)+2*A20*SQRT(1+$B$8^2))))^(2/3)*SQRT($B$6)&lt;$B$5,((AX20+AY20)/2),AX20)</f>
        <v/>
      </c>
      <c r="BA20">
        <f>IF((1/$B$7)*((((AX20+AY20)/2)+$B$8*A20)*A20)*((((((AX20+AY20)/2)+$B$8*A20)*A20)/(((AX20+AY20)/2)+2*A20*SQRT(1+$B$8^2))))^(2/3)*SQRT($B$6)&lt;$B$5,AY20,((AX20+AY20)/2))</f>
        <v/>
      </c>
      <c r="BB20">
        <f>IF((1/$B$7)*((((AZ20+BA20)/2)+$B$8*A20)*A20)*((((((AZ20+BA20)/2)+$B$8*A20)*A20)/(((AZ20+BA20)/2)+2*A20*SQRT(1+$B$8^2))))^(2/3)*SQRT($B$6)&lt;$B$5,((AZ20+BA20)/2),AZ20)</f>
        <v/>
      </c>
      <c r="BC20">
        <f>IF((1/$B$7)*((((AZ20+BA20)/2)+$B$8*A20)*A20)*((((((AZ20+BA20)/2)+$B$8*A20)*A20)/(((AZ20+BA20)/2)+2*A20*SQRT(1+$B$8^2))))^(2/3)*SQRT($B$6)&lt;$B$5,BA20,((AZ20+BA20)/2))</f>
        <v/>
      </c>
      <c r="BD20">
        <f>IF((1/$B$7)*((((BB20+BC20)/2)+$B$8*A20)*A20)*((((((BB20+BC20)/2)+$B$8*A20)*A20)/(((BB20+BC20)/2)+2*A20*SQRT(1+$B$8^2))))^(2/3)*SQRT($B$6)&lt;$B$5,((BB20+BC20)/2),BB20)</f>
        <v/>
      </c>
      <c r="BE20">
        <f>IF((1/$B$7)*((((BB20+BC20)/2)+$B$8*A20)*A20)*((((((BB20+BC20)/2)+$B$8*A20)*A20)/(((BB20+BC20)/2)+2*A20*SQRT(1+$B$8^2))))^(2/3)*SQRT($B$6)&lt;$B$5,BC20,((BB20+BC20)/2))</f>
        <v/>
      </c>
      <c r="BF20">
        <f>IF((1/$B$7)*((((BD20+BE20)/2)+$B$8*A20)*A20)*((((((BD20+BE20)/2)+$B$8*A20)*A20)/(((BD20+BE20)/2)+2*A20*SQRT(1+$B$8^2))))^(2/3)*SQRT($B$6)&lt;$B$5,((BD20+BE20)/2),BD20)</f>
        <v/>
      </c>
      <c r="BG20">
        <f>IF((1/$B$7)*((((BD20+BE20)/2)+$B$8*A20)*A20)*((((((BD20+BE20)/2)+$B$8*A20)*A20)/(((BD20+BE20)/2)+2*A20*SQRT(1+$B$8^2))))^(2/3)*SQRT($B$6)&lt;$B$5,BE20,((BD20+BE20)/2))</f>
        <v/>
      </c>
      <c r="BH20">
        <f>IF((1/$B$7)*((((BF20+BG20)/2)+$B$8*A20)*A20)*((((((BF20+BG20)/2)+$B$8*A20)*A20)/(((BF20+BG20)/2)+2*A20*SQRT(1+$B$8^2))))^(2/3)*SQRT($B$6)&lt;$B$5,((BF20+BG20)/2),BF20)</f>
        <v/>
      </c>
      <c r="BI20">
        <f>IF((1/$B$7)*((((BF20+BG20)/2)+$B$8*A20)*A20)*((((((BF20+BG20)/2)+$B$8*A20)*A20)/(((BF20+BG20)/2)+2*A20*SQRT(1+$B$8^2))))^(2/3)*SQRT($B$6)&lt;$B$5,BG20,((BF20+BG20)/2))</f>
        <v/>
      </c>
      <c r="BJ20">
        <f>IF((1/$B$7)*((((BH20+BI20)/2)+$B$8*A20)*A20)*((((((BH20+BI20)/2)+$B$8*A20)*A20)/(((BH20+BI20)/2)+2*A20*SQRT(1+$B$8^2))))^(2/3)*SQRT($B$6)&lt;$B$5,((BH20+BI20)/2),BH20)</f>
        <v/>
      </c>
      <c r="BK20">
        <f>IF((1/$B$7)*((((BH20+BI20)/2)+$B$8*A20)*A20)*((((((BH20+BI20)/2)+$B$8*A20)*A20)/(((BH20+BI20)/2)+2*A20*SQRT(1+$B$8^2))))^(2/3)*SQRT($B$6)&lt;$B$5,BI20,((BH20+BI20)/2))</f>
        <v/>
      </c>
      <c r="BL20">
        <f>IF((1/$B$7)*((((BJ20+BK20)/2)+$B$8*A20)*A20)*((((((BJ20+BK20)/2)+$B$8*A20)*A20)/(((BJ20+BK20)/2)+2*A20*SQRT(1+$B$8^2))))^(2/3)*SQRT($B$6)&lt;$B$5,((BJ20+BK20)/2),BJ20)</f>
        <v/>
      </c>
      <c r="BM20">
        <f>IF((1/$B$7)*((((BJ20+BK20)/2)+$B$8*A20)*A20)*((((((BJ20+BK20)/2)+$B$8*A20)*A20)/(((BJ20+BK20)/2)+2*A20*SQRT(1+$B$8^2))))^(2/3)*SQRT($B$6)&lt;$B$5,BK20,((BJ20+BK20)/2))</f>
        <v/>
      </c>
      <c r="BN20">
        <f>IF((1/$B$7)*((((BL20+BM20)/2)+$B$8*A20)*A20)*((((((BL20+BM20)/2)+$B$8*A20)*A20)/(((BL20+BM20)/2)+2*A20*SQRT(1+$B$8^2))))^(2/3)*SQRT($B$6)&lt;$B$5,((BL20+BM20)/2),BL20)</f>
        <v/>
      </c>
      <c r="BO20">
        <f>IF((1/$B$7)*((((BL20+BM20)/2)+$B$8*A20)*A20)*((((((BL20+BM20)/2)+$B$8*A20)*A20)/(((BL20+BM20)/2)+2*A20*SQRT(1+$B$8^2))))^(2/3)*SQRT($B$6)&lt;$B$5,BM20,((BL20+BM20)/2))</f>
        <v/>
      </c>
      <c r="BP20">
        <f>IF((1/$B$7)*((((BN20+BO20)/2)+$B$8*A20)*A20)*((((((BN20+BO20)/2)+$B$8*A20)*A20)/(((BN20+BO20)/2)+2*A20*SQRT(1+$B$8^2))))^(2/3)*SQRT($B$6)&lt;$B$5,((BN20+BO20)/2),BN20)</f>
        <v/>
      </c>
      <c r="BQ20">
        <f>IF((1/$B$7)*((((BN20+BO20)/2)+$B$8*A20)*A20)*((((((BN20+BO20)/2)+$B$8*A20)*A20)/(((BN20+BO20)/2)+2*A20*SQRT(1+$B$8^2))))^(2/3)*SQRT($B$6)&lt;$B$5,BO20,((BN20+BO20)/2))</f>
        <v/>
      </c>
      <c r="BR20">
        <f>IF((1/$B$7)*((((BP20+BQ20)/2)+$B$8*A20)*A20)*((((((BP20+BQ20)/2)+$B$8*A20)*A20)/(((BP20+BQ20)/2)+2*A20*SQRT(1+$B$8^2))))^(2/3)*SQRT($B$6)&lt;$B$5,((BP20+BQ20)/2),BP20)</f>
        <v/>
      </c>
      <c r="BS20">
        <f>IF((1/$B$7)*((((BP20+BQ20)/2)+$B$8*A20)*A20)*((((((BP20+BQ20)/2)+$B$8*A20)*A20)/(((BP20+BQ20)/2)+2*A20*SQRT(1+$B$8^2))))^(2/3)*SQRT($B$6)&lt;$B$5,BQ20,((BP20+BQ20)/2))</f>
        <v/>
      </c>
      <c r="BT20">
        <f>IF((1/$B$7)*((((BR20+BS20)/2)+$B$8*A20)*A20)*((((((BR20+BS20)/2)+$B$8*A20)*A20)/(((BR20+BS20)/2)+2*A20*SQRT(1+$B$8^2))))^(2/3)*SQRT($B$6)&lt;$B$5,((BR20+BS20)/2),BR20)</f>
        <v/>
      </c>
      <c r="BU20">
        <f>IF((1/$B$7)*((((BR20+BS20)/2)+$B$8*A20)*A20)*((((((BR20+BS20)/2)+$B$8*A20)*A20)/(((BR20+BS20)/2)+2*A20*SQRT(1+$B$8^2))))^(2/3)*SQRT($B$6)&lt;$B$5,BS20,((BR20+BS20)/2))</f>
        <v/>
      </c>
      <c r="BV20">
        <f>IF((1/$B$7)*((((BT20+BU20)/2)+$B$8*A20)*A20)*((((((BT20+BU20)/2)+$B$8*A20)*A20)/(((BT20+BU20)/2)+2*A20*SQRT(1+$B$8^2))))^(2/3)*SQRT($B$6)&lt;$B$5,((BT20+BU20)/2),BT20)</f>
        <v/>
      </c>
      <c r="BW20">
        <f>IF((1/$B$7)*((((BT20+BU20)/2)+$B$8*A20)*A20)*((((((BT20+BU20)/2)+$B$8*A20)*A20)/(((BT20+BU20)/2)+2*A20*SQRT(1+$B$8^2))))^(2/3)*SQRT($B$6)&lt;$B$5,BU20,((BT20+BU20)/2))</f>
        <v/>
      </c>
      <c r="BX20">
        <f>IF((1/$B$7)*((((BV20+BW20)/2)+$B$8*A20)*A20)*((((((BV20+BW20)/2)+$B$8*A20)*A20)/(((BV20+BW20)/2)+2*A20*SQRT(1+$B$8^2))))^(2/3)*SQRT($B$6)&lt;$B$5,((BV20+BW20)/2),BV20)</f>
        <v/>
      </c>
      <c r="BY20">
        <f>IF((1/$B$7)*((((BV20+BW20)/2)+$B$8*A20)*A20)*((((((BV20+BW20)/2)+$B$8*A20)*A20)/(((BV20+BW20)/2)+2*A20*SQRT(1+$B$8^2))))^(2/3)*SQRT($B$6)&lt;$B$5,BW20,((BV20+BW20)/2))</f>
        <v/>
      </c>
    </row>
    <row r="21">
      <c r="A21" s="21">
        <f>Inputs!F26</f>
        <v/>
      </c>
      <c r="B21" s="25">
        <f>IF(A21="","",IF(AA21&gt;=$B$5,0,IF((1/$B$7)*(($B$9+$B$8*A21)*A21)*(((($B$9+$B$8*A21)*A21)/($B$9+2*A21*SQRT(1+$B$8^2))))^(2/3)*SQRT($B$6)&lt;$B$5,"",((BX21+BY21)/2))))</f>
        <v/>
      </c>
      <c r="C21" s="13">
        <f>IF(A21="","",IF(AA21&gt;=$B$5,"x=0 suffit",IF((1/$B$7)*(($B$9+$B$8*A21)*A21)*(((($B$9+$B$8*A21)*A21)/($B$9+2*A21*SQRT(1+$B$8^2))))^(2/3)*SQRT($B$6)&lt;$B$5,"Insuffisant à x_max","OK")))</f>
        <v/>
      </c>
      <c r="D21" s="25">
        <f>IF(OR(A21="",B21=""),"",((B21+$B$8*A21)*A21))</f>
        <v/>
      </c>
      <c r="E21" s="25">
        <f>IF(OR(A21="",B21=""),"",(B21+2*A21*SQRT(1+$B$8^2)))</f>
        <v/>
      </c>
      <c r="F21" s="25">
        <f>IF(OR(A21="",B21=""),"",(((B21+$B$8*A21)*A21)/(B21+2*A21*SQRT(1+$B$8^2))))</f>
        <v/>
      </c>
      <c r="G21" s="25">
        <f>IF(OR(A21="",B21=""),"",(B21+2*$B$8*A21))</f>
        <v/>
      </c>
      <c r="H21" s="25">
        <f>IF(OR(A21="",B21="",D21=0),"",I21/D21)</f>
        <v/>
      </c>
      <c r="I21" s="25">
        <f>IF(OR(A21="",B21=""),"",(1/$B$7)*((B21+$B$8*A21)*A21)*((((B21+$B$8*A21)*A21)/(B21+2*A21*SQRT(1+$B$8^2))))^(2/3)*SQRT($B$6))</f>
        <v/>
      </c>
      <c r="J21" s="25">
        <f>IF(I21="","",I21-$B$5)</f>
        <v/>
      </c>
      <c r="K21" s="22">
        <f>IF(I21="","", (I21-$B$5)/$B$5)</f>
        <v/>
      </c>
      <c r="AA21">
        <f>IF(OR(A21="",A21&lt;=0),"" ,(1/$B$7)*((0+$B$8*A21)*A21)*((((0+$B$8*A21)*A21)/(0+2*A21*SQRT(1+$B$8^2))))^(2/3)*SQRT($B$6))</f>
        <v/>
      </c>
      <c r="AB21" t="n">
        <v>0</v>
      </c>
      <c r="AC21">
        <f>$B$9</f>
        <v/>
      </c>
      <c r="AD21">
        <f>IF((1/$B$7)*((((AB21+AC21)/2)+$B$8*A21)*A21)*((((((AB21+AC21)/2)+$B$8*A21)*A21)/(((AB21+AC21)/2)+2*A21*SQRT(1+$B$8^2))))^(2/3)*SQRT($B$6)&lt;$B$5,((AB21+AC21)/2),AB21)</f>
        <v/>
      </c>
      <c r="AE21">
        <f>IF((1/$B$7)*((((AB21+AC21)/2)+$B$8*A21)*A21)*((((((AB21+AC21)/2)+$B$8*A21)*A21)/(((AB21+AC21)/2)+2*A21*SQRT(1+$B$8^2))))^(2/3)*SQRT($B$6)&lt;$B$5,AC21,((AB21+AC21)/2))</f>
        <v/>
      </c>
      <c r="AF21">
        <f>IF((1/$B$7)*((((AD21+AE21)/2)+$B$8*A21)*A21)*((((((AD21+AE21)/2)+$B$8*A21)*A21)/(((AD21+AE21)/2)+2*A21*SQRT(1+$B$8^2))))^(2/3)*SQRT($B$6)&lt;$B$5,((AD21+AE21)/2),AD21)</f>
        <v/>
      </c>
      <c r="AG21">
        <f>IF((1/$B$7)*((((AD21+AE21)/2)+$B$8*A21)*A21)*((((((AD21+AE21)/2)+$B$8*A21)*A21)/(((AD21+AE21)/2)+2*A21*SQRT(1+$B$8^2))))^(2/3)*SQRT($B$6)&lt;$B$5,AE21,((AD21+AE21)/2))</f>
        <v/>
      </c>
      <c r="AH21">
        <f>IF((1/$B$7)*((((AF21+AG21)/2)+$B$8*A21)*A21)*((((((AF21+AG21)/2)+$B$8*A21)*A21)/(((AF21+AG21)/2)+2*A21*SQRT(1+$B$8^2))))^(2/3)*SQRT($B$6)&lt;$B$5,((AF21+AG21)/2),AF21)</f>
        <v/>
      </c>
      <c r="AI21">
        <f>IF((1/$B$7)*((((AF21+AG21)/2)+$B$8*A21)*A21)*((((((AF21+AG21)/2)+$B$8*A21)*A21)/(((AF21+AG21)/2)+2*A21*SQRT(1+$B$8^2))))^(2/3)*SQRT($B$6)&lt;$B$5,AG21,((AF21+AG21)/2))</f>
        <v/>
      </c>
      <c r="AJ21">
        <f>IF((1/$B$7)*((((AH21+AI21)/2)+$B$8*A21)*A21)*((((((AH21+AI21)/2)+$B$8*A21)*A21)/(((AH21+AI21)/2)+2*A21*SQRT(1+$B$8^2))))^(2/3)*SQRT($B$6)&lt;$B$5,((AH21+AI21)/2),AH21)</f>
        <v/>
      </c>
      <c r="AK21">
        <f>IF((1/$B$7)*((((AH21+AI21)/2)+$B$8*A21)*A21)*((((((AH21+AI21)/2)+$B$8*A21)*A21)/(((AH21+AI21)/2)+2*A21*SQRT(1+$B$8^2))))^(2/3)*SQRT($B$6)&lt;$B$5,AI21,((AH21+AI21)/2))</f>
        <v/>
      </c>
      <c r="AL21">
        <f>IF((1/$B$7)*((((AJ21+AK21)/2)+$B$8*A21)*A21)*((((((AJ21+AK21)/2)+$B$8*A21)*A21)/(((AJ21+AK21)/2)+2*A21*SQRT(1+$B$8^2))))^(2/3)*SQRT($B$6)&lt;$B$5,((AJ21+AK21)/2),AJ21)</f>
        <v/>
      </c>
      <c r="AM21">
        <f>IF((1/$B$7)*((((AJ21+AK21)/2)+$B$8*A21)*A21)*((((((AJ21+AK21)/2)+$B$8*A21)*A21)/(((AJ21+AK21)/2)+2*A21*SQRT(1+$B$8^2))))^(2/3)*SQRT($B$6)&lt;$B$5,AK21,((AJ21+AK21)/2))</f>
        <v/>
      </c>
      <c r="AN21">
        <f>IF((1/$B$7)*((((AL21+AM21)/2)+$B$8*A21)*A21)*((((((AL21+AM21)/2)+$B$8*A21)*A21)/(((AL21+AM21)/2)+2*A21*SQRT(1+$B$8^2))))^(2/3)*SQRT($B$6)&lt;$B$5,((AL21+AM21)/2),AL21)</f>
        <v/>
      </c>
      <c r="AO21">
        <f>IF((1/$B$7)*((((AL21+AM21)/2)+$B$8*A21)*A21)*((((((AL21+AM21)/2)+$B$8*A21)*A21)/(((AL21+AM21)/2)+2*A21*SQRT(1+$B$8^2))))^(2/3)*SQRT($B$6)&lt;$B$5,AM21,((AL21+AM21)/2))</f>
        <v/>
      </c>
      <c r="AP21">
        <f>IF((1/$B$7)*((((AN21+AO21)/2)+$B$8*A21)*A21)*((((((AN21+AO21)/2)+$B$8*A21)*A21)/(((AN21+AO21)/2)+2*A21*SQRT(1+$B$8^2))))^(2/3)*SQRT($B$6)&lt;$B$5,((AN21+AO21)/2),AN21)</f>
        <v/>
      </c>
      <c r="AQ21">
        <f>IF((1/$B$7)*((((AN21+AO21)/2)+$B$8*A21)*A21)*((((((AN21+AO21)/2)+$B$8*A21)*A21)/(((AN21+AO21)/2)+2*A21*SQRT(1+$B$8^2))))^(2/3)*SQRT($B$6)&lt;$B$5,AO21,((AN21+AO21)/2))</f>
        <v/>
      </c>
      <c r="AR21">
        <f>IF((1/$B$7)*((((AP21+AQ21)/2)+$B$8*A21)*A21)*((((((AP21+AQ21)/2)+$B$8*A21)*A21)/(((AP21+AQ21)/2)+2*A21*SQRT(1+$B$8^2))))^(2/3)*SQRT($B$6)&lt;$B$5,((AP21+AQ21)/2),AP21)</f>
        <v/>
      </c>
      <c r="AS21">
        <f>IF((1/$B$7)*((((AP21+AQ21)/2)+$B$8*A21)*A21)*((((((AP21+AQ21)/2)+$B$8*A21)*A21)/(((AP21+AQ21)/2)+2*A21*SQRT(1+$B$8^2))))^(2/3)*SQRT($B$6)&lt;$B$5,AQ21,((AP21+AQ21)/2))</f>
        <v/>
      </c>
      <c r="AT21">
        <f>IF((1/$B$7)*((((AR21+AS21)/2)+$B$8*A21)*A21)*((((((AR21+AS21)/2)+$B$8*A21)*A21)/(((AR21+AS21)/2)+2*A21*SQRT(1+$B$8^2))))^(2/3)*SQRT($B$6)&lt;$B$5,((AR21+AS21)/2),AR21)</f>
        <v/>
      </c>
      <c r="AU21">
        <f>IF((1/$B$7)*((((AR21+AS21)/2)+$B$8*A21)*A21)*((((((AR21+AS21)/2)+$B$8*A21)*A21)/(((AR21+AS21)/2)+2*A21*SQRT(1+$B$8^2))))^(2/3)*SQRT($B$6)&lt;$B$5,AS21,((AR21+AS21)/2))</f>
        <v/>
      </c>
      <c r="AV21">
        <f>IF((1/$B$7)*((((AT21+AU21)/2)+$B$8*A21)*A21)*((((((AT21+AU21)/2)+$B$8*A21)*A21)/(((AT21+AU21)/2)+2*A21*SQRT(1+$B$8^2))))^(2/3)*SQRT($B$6)&lt;$B$5,((AT21+AU21)/2),AT21)</f>
        <v/>
      </c>
      <c r="AW21">
        <f>IF((1/$B$7)*((((AT21+AU21)/2)+$B$8*A21)*A21)*((((((AT21+AU21)/2)+$B$8*A21)*A21)/(((AT21+AU21)/2)+2*A21*SQRT(1+$B$8^2))))^(2/3)*SQRT($B$6)&lt;$B$5,AU21,((AT21+AU21)/2))</f>
        <v/>
      </c>
      <c r="AX21">
        <f>IF((1/$B$7)*((((AV21+AW21)/2)+$B$8*A21)*A21)*((((((AV21+AW21)/2)+$B$8*A21)*A21)/(((AV21+AW21)/2)+2*A21*SQRT(1+$B$8^2))))^(2/3)*SQRT($B$6)&lt;$B$5,((AV21+AW21)/2),AV21)</f>
        <v/>
      </c>
      <c r="AY21">
        <f>IF((1/$B$7)*((((AV21+AW21)/2)+$B$8*A21)*A21)*((((((AV21+AW21)/2)+$B$8*A21)*A21)/(((AV21+AW21)/2)+2*A21*SQRT(1+$B$8^2))))^(2/3)*SQRT($B$6)&lt;$B$5,AW21,((AV21+AW21)/2))</f>
        <v/>
      </c>
      <c r="AZ21">
        <f>IF((1/$B$7)*((((AX21+AY21)/2)+$B$8*A21)*A21)*((((((AX21+AY21)/2)+$B$8*A21)*A21)/(((AX21+AY21)/2)+2*A21*SQRT(1+$B$8^2))))^(2/3)*SQRT($B$6)&lt;$B$5,((AX21+AY21)/2),AX21)</f>
        <v/>
      </c>
      <c r="BA21">
        <f>IF((1/$B$7)*((((AX21+AY21)/2)+$B$8*A21)*A21)*((((((AX21+AY21)/2)+$B$8*A21)*A21)/(((AX21+AY21)/2)+2*A21*SQRT(1+$B$8^2))))^(2/3)*SQRT($B$6)&lt;$B$5,AY21,((AX21+AY21)/2))</f>
        <v/>
      </c>
      <c r="BB21">
        <f>IF((1/$B$7)*((((AZ21+BA21)/2)+$B$8*A21)*A21)*((((((AZ21+BA21)/2)+$B$8*A21)*A21)/(((AZ21+BA21)/2)+2*A21*SQRT(1+$B$8^2))))^(2/3)*SQRT($B$6)&lt;$B$5,((AZ21+BA21)/2),AZ21)</f>
        <v/>
      </c>
      <c r="BC21">
        <f>IF((1/$B$7)*((((AZ21+BA21)/2)+$B$8*A21)*A21)*((((((AZ21+BA21)/2)+$B$8*A21)*A21)/(((AZ21+BA21)/2)+2*A21*SQRT(1+$B$8^2))))^(2/3)*SQRT($B$6)&lt;$B$5,BA21,((AZ21+BA21)/2))</f>
        <v/>
      </c>
      <c r="BD21">
        <f>IF((1/$B$7)*((((BB21+BC21)/2)+$B$8*A21)*A21)*((((((BB21+BC21)/2)+$B$8*A21)*A21)/(((BB21+BC21)/2)+2*A21*SQRT(1+$B$8^2))))^(2/3)*SQRT($B$6)&lt;$B$5,((BB21+BC21)/2),BB21)</f>
        <v/>
      </c>
      <c r="BE21">
        <f>IF((1/$B$7)*((((BB21+BC21)/2)+$B$8*A21)*A21)*((((((BB21+BC21)/2)+$B$8*A21)*A21)/(((BB21+BC21)/2)+2*A21*SQRT(1+$B$8^2))))^(2/3)*SQRT($B$6)&lt;$B$5,BC21,((BB21+BC21)/2))</f>
        <v/>
      </c>
      <c r="BF21">
        <f>IF((1/$B$7)*((((BD21+BE21)/2)+$B$8*A21)*A21)*((((((BD21+BE21)/2)+$B$8*A21)*A21)/(((BD21+BE21)/2)+2*A21*SQRT(1+$B$8^2))))^(2/3)*SQRT($B$6)&lt;$B$5,((BD21+BE21)/2),BD21)</f>
        <v/>
      </c>
      <c r="BG21">
        <f>IF((1/$B$7)*((((BD21+BE21)/2)+$B$8*A21)*A21)*((((((BD21+BE21)/2)+$B$8*A21)*A21)/(((BD21+BE21)/2)+2*A21*SQRT(1+$B$8^2))))^(2/3)*SQRT($B$6)&lt;$B$5,BE21,((BD21+BE21)/2))</f>
        <v/>
      </c>
      <c r="BH21">
        <f>IF((1/$B$7)*((((BF21+BG21)/2)+$B$8*A21)*A21)*((((((BF21+BG21)/2)+$B$8*A21)*A21)/(((BF21+BG21)/2)+2*A21*SQRT(1+$B$8^2))))^(2/3)*SQRT($B$6)&lt;$B$5,((BF21+BG21)/2),BF21)</f>
        <v/>
      </c>
      <c r="BI21">
        <f>IF((1/$B$7)*((((BF21+BG21)/2)+$B$8*A21)*A21)*((((((BF21+BG21)/2)+$B$8*A21)*A21)/(((BF21+BG21)/2)+2*A21*SQRT(1+$B$8^2))))^(2/3)*SQRT($B$6)&lt;$B$5,BG21,((BF21+BG21)/2))</f>
        <v/>
      </c>
      <c r="BJ21">
        <f>IF((1/$B$7)*((((BH21+BI21)/2)+$B$8*A21)*A21)*((((((BH21+BI21)/2)+$B$8*A21)*A21)/(((BH21+BI21)/2)+2*A21*SQRT(1+$B$8^2))))^(2/3)*SQRT($B$6)&lt;$B$5,((BH21+BI21)/2),BH21)</f>
        <v/>
      </c>
      <c r="BK21">
        <f>IF((1/$B$7)*((((BH21+BI21)/2)+$B$8*A21)*A21)*((((((BH21+BI21)/2)+$B$8*A21)*A21)/(((BH21+BI21)/2)+2*A21*SQRT(1+$B$8^2))))^(2/3)*SQRT($B$6)&lt;$B$5,BI21,((BH21+BI21)/2))</f>
        <v/>
      </c>
      <c r="BL21">
        <f>IF((1/$B$7)*((((BJ21+BK21)/2)+$B$8*A21)*A21)*((((((BJ21+BK21)/2)+$B$8*A21)*A21)/(((BJ21+BK21)/2)+2*A21*SQRT(1+$B$8^2))))^(2/3)*SQRT($B$6)&lt;$B$5,((BJ21+BK21)/2),BJ21)</f>
        <v/>
      </c>
      <c r="BM21">
        <f>IF((1/$B$7)*((((BJ21+BK21)/2)+$B$8*A21)*A21)*((((((BJ21+BK21)/2)+$B$8*A21)*A21)/(((BJ21+BK21)/2)+2*A21*SQRT(1+$B$8^2))))^(2/3)*SQRT($B$6)&lt;$B$5,BK21,((BJ21+BK21)/2))</f>
        <v/>
      </c>
      <c r="BN21">
        <f>IF((1/$B$7)*((((BL21+BM21)/2)+$B$8*A21)*A21)*((((((BL21+BM21)/2)+$B$8*A21)*A21)/(((BL21+BM21)/2)+2*A21*SQRT(1+$B$8^2))))^(2/3)*SQRT($B$6)&lt;$B$5,((BL21+BM21)/2),BL21)</f>
        <v/>
      </c>
      <c r="BO21">
        <f>IF((1/$B$7)*((((BL21+BM21)/2)+$B$8*A21)*A21)*((((((BL21+BM21)/2)+$B$8*A21)*A21)/(((BL21+BM21)/2)+2*A21*SQRT(1+$B$8^2))))^(2/3)*SQRT($B$6)&lt;$B$5,BM21,((BL21+BM21)/2))</f>
        <v/>
      </c>
      <c r="BP21">
        <f>IF((1/$B$7)*((((BN21+BO21)/2)+$B$8*A21)*A21)*((((((BN21+BO21)/2)+$B$8*A21)*A21)/(((BN21+BO21)/2)+2*A21*SQRT(1+$B$8^2))))^(2/3)*SQRT($B$6)&lt;$B$5,((BN21+BO21)/2),BN21)</f>
        <v/>
      </c>
      <c r="BQ21">
        <f>IF((1/$B$7)*((((BN21+BO21)/2)+$B$8*A21)*A21)*((((((BN21+BO21)/2)+$B$8*A21)*A21)/(((BN21+BO21)/2)+2*A21*SQRT(1+$B$8^2))))^(2/3)*SQRT($B$6)&lt;$B$5,BO21,((BN21+BO21)/2))</f>
        <v/>
      </c>
      <c r="BR21">
        <f>IF((1/$B$7)*((((BP21+BQ21)/2)+$B$8*A21)*A21)*((((((BP21+BQ21)/2)+$B$8*A21)*A21)/(((BP21+BQ21)/2)+2*A21*SQRT(1+$B$8^2))))^(2/3)*SQRT($B$6)&lt;$B$5,((BP21+BQ21)/2),BP21)</f>
        <v/>
      </c>
      <c r="BS21">
        <f>IF((1/$B$7)*((((BP21+BQ21)/2)+$B$8*A21)*A21)*((((((BP21+BQ21)/2)+$B$8*A21)*A21)/(((BP21+BQ21)/2)+2*A21*SQRT(1+$B$8^2))))^(2/3)*SQRT($B$6)&lt;$B$5,BQ21,((BP21+BQ21)/2))</f>
        <v/>
      </c>
      <c r="BT21">
        <f>IF((1/$B$7)*((((BR21+BS21)/2)+$B$8*A21)*A21)*((((((BR21+BS21)/2)+$B$8*A21)*A21)/(((BR21+BS21)/2)+2*A21*SQRT(1+$B$8^2))))^(2/3)*SQRT($B$6)&lt;$B$5,((BR21+BS21)/2),BR21)</f>
        <v/>
      </c>
      <c r="BU21">
        <f>IF((1/$B$7)*((((BR21+BS21)/2)+$B$8*A21)*A21)*((((((BR21+BS21)/2)+$B$8*A21)*A21)/(((BR21+BS21)/2)+2*A21*SQRT(1+$B$8^2))))^(2/3)*SQRT($B$6)&lt;$B$5,BS21,((BR21+BS21)/2))</f>
        <v/>
      </c>
      <c r="BV21">
        <f>IF((1/$B$7)*((((BT21+BU21)/2)+$B$8*A21)*A21)*((((((BT21+BU21)/2)+$B$8*A21)*A21)/(((BT21+BU21)/2)+2*A21*SQRT(1+$B$8^2))))^(2/3)*SQRT($B$6)&lt;$B$5,((BT21+BU21)/2),BT21)</f>
        <v/>
      </c>
      <c r="BW21">
        <f>IF((1/$B$7)*((((BT21+BU21)/2)+$B$8*A21)*A21)*((((((BT21+BU21)/2)+$B$8*A21)*A21)/(((BT21+BU21)/2)+2*A21*SQRT(1+$B$8^2))))^(2/3)*SQRT($B$6)&lt;$B$5,BU21,((BT21+BU21)/2))</f>
        <v/>
      </c>
      <c r="BX21">
        <f>IF((1/$B$7)*((((BV21+BW21)/2)+$B$8*A21)*A21)*((((((BV21+BW21)/2)+$B$8*A21)*A21)/(((BV21+BW21)/2)+2*A21*SQRT(1+$B$8^2))))^(2/3)*SQRT($B$6)&lt;$B$5,((BV21+BW21)/2),BV21)</f>
        <v/>
      </c>
      <c r="BY21">
        <f>IF((1/$B$7)*((((BV21+BW21)/2)+$B$8*A21)*A21)*((((((BV21+BW21)/2)+$B$8*A21)*A21)/(((BV21+BW21)/2)+2*A21*SQRT(1+$B$8^2))))^(2/3)*SQRT($B$6)&lt;$B$5,BW21,((BV21+BW21)/2))</f>
        <v/>
      </c>
    </row>
    <row r="22">
      <c r="A22" s="21">
        <f>Inputs!F27</f>
        <v/>
      </c>
      <c r="B22" s="25">
        <f>IF(A22="","",IF(AA22&gt;=$B$5,0,IF((1/$B$7)*(($B$9+$B$8*A22)*A22)*(((($B$9+$B$8*A22)*A22)/($B$9+2*A22*SQRT(1+$B$8^2))))^(2/3)*SQRT($B$6)&lt;$B$5,"",((BX22+BY22)/2))))</f>
        <v/>
      </c>
      <c r="C22" s="13">
        <f>IF(A22="","",IF(AA22&gt;=$B$5,"x=0 suffit",IF((1/$B$7)*(($B$9+$B$8*A22)*A22)*(((($B$9+$B$8*A22)*A22)/($B$9+2*A22*SQRT(1+$B$8^2))))^(2/3)*SQRT($B$6)&lt;$B$5,"Insuffisant à x_max","OK")))</f>
        <v/>
      </c>
      <c r="D22" s="25">
        <f>IF(OR(A22="",B22=""),"",((B22+$B$8*A22)*A22))</f>
        <v/>
      </c>
      <c r="E22" s="25">
        <f>IF(OR(A22="",B22=""),"",(B22+2*A22*SQRT(1+$B$8^2)))</f>
        <v/>
      </c>
      <c r="F22" s="25">
        <f>IF(OR(A22="",B22=""),"",(((B22+$B$8*A22)*A22)/(B22+2*A22*SQRT(1+$B$8^2))))</f>
        <v/>
      </c>
      <c r="G22" s="25">
        <f>IF(OR(A22="",B22=""),"",(B22+2*$B$8*A22))</f>
        <v/>
      </c>
      <c r="H22" s="25">
        <f>IF(OR(A22="",B22="",D22=0),"",I22/D22)</f>
        <v/>
      </c>
      <c r="I22" s="25">
        <f>IF(OR(A22="",B22=""),"",(1/$B$7)*((B22+$B$8*A22)*A22)*((((B22+$B$8*A22)*A22)/(B22+2*A22*SQRT(1+$B$8^2))))^(2/3)*SQRT($B$6))</f>
        <v/>
      </c>
      <c r="J22" s="25">
        <f>IF(I22="","",I22-$B$5)</f>
        <v/>
      </c>
      <c r="K22" s="22">
        <f>IF(I22="","", (I22-$B$5)/$B$5)</f>
        <v/>
      </c>
      <c r="AA22">
        <f>IF(OR(A22="",A22&lt;=0),"" ,(1/$B$7)*((0+$B$8*A22)*A22)*((((0+$B$8*A22)*A22)/(0+2*A22*SQRT(1+$B$8^2))))^(2/3)*SQRT($B$6))</f>
        <v/>
      </c>
      <c r="AB22" t="n">
        <v>0</v>
      </c>
      <c r="AC22">
        <f>$B$9</f>
        <v/>
      </c>
      <c r="AD22">
        <f>IF((1/$B$7)*((((AB22+AC22)/2)+$B$8*A22)*A22)*((((((AB22+AC22)/2)+$B$8*A22)*A22)/(((AB22+AC22)/2)+2*A22*SQRT(1+$B$8^2))))^(2/3)*SQRT($B$6)&lt;$B$5,((AB22+AC22)/2),AB22)</f>
        <v/>
      </c>
      <c r="AE22">
        <f>IF((1/$B$7)*((((AB22+AC22)/2)+$B$8*A22)*A22)*((((((AB22+AC22)/2)+$B$8*A22)*A22)/(((AB22+AC22)/2)+2*A22*SQRT(1+$B$8^2))))^(2/3)*SQRT($B$6)&lt;$B$5,AC22,((AB22+AC22)/2))</f>
        <v/>
      </c>
      <c r="AF22">
        <f>IF((1/$B$7)*((((AD22+AE22)/2)+$B$8*A22)*A22)*((((((AD22+AE22)/2)+$B$8*A22)*A22)/(((AD22+AE22)/2)+2*A22*SQRT(1+$B$8^2))))^(2/3)*SQRT($B$6)&lt;$B$5,((AD22+AE22)/2),AD22)</f>
        <v/>
      </c>
      <c r="AG22">
        <f>IF((1/$B$7)*((((AD22+AE22)/2)+$B$8*A22)*A22)*((((((AD22+AE22)/2)+$B$8*A22)*A22)/(((AD22+AE22)/2)+2*A22*SQRT(1+$B$8^2))))^(2/3)*SQRT($B$6)&lt;$B$5,AE22,((AD22+AE22)/2))</f>
        <v/>
      </c>
      <c r="AH22">
        <f>IF((1/$B$7)*((((AF22+AG22)/2)+$B$8*A22)*A22)*((((((AF22+AG22)/2)+$B$8*A22)*A22)/(((AF22+AG22)/2)+2*A22*SQRT(1+$B$8^2))))^(2/3)*SQRT($B$6)&lt;$B$5,((AF22+AG22)/2),AF22)</f>
        <v/>
      </c>
      <c r="AI22">
        <f>IF((1/$B$7)*((((AF22+AG22)/2)+$B$8*A22)*A22)*((((((AF22+AG22)/2)+$B$8*A22)*A22)/(((AF22+AG22)/2)+2*A22*SQRT(1+$B$8^2))))^(2/3)*SQRT($B$6)&lt;$B$5,AG22,((AF22+AG22)/2))</f>
        <v/>
      </c>
      <c r="AJ22">
        <f>IF((1/$B$7)*((((AH22+AI22)/2)+$B$8*A22)*A22)*((((((AH22+AI22)/2)+$B$8*A22)*A22)/(((AH22+AI22)/2)+2*A22*SQRT(1+$B$8^2))))^(2/3)*SQRT($B$6)&lt;$B$5,((AH22+AI22)/2),AH22)</f>
        <v/>
      </c>
      <c r="AK22">
        <f>IF((1/$B$7)*((((AH22+AI22)/2)+$B$8*A22)*A22)*((((((AH22+AI22)/2)+$B$8*A22)*A22)/(((AH22+AI22)/2)+2*A22*SQRT(1+$B$8^2))))^(2/3)*SQRT($B$6)&lt;$B$5,AI22,((AH22+AI22)/2))</f>
        <v/>
      </c>
      <c r="AL22">
        <f>IF((1/$B$7)*((((AJ22+AK22)/2)+$B$8*A22)*A22)*((((((AJ22+AK22)/2)+$B$8*A22)*A22)/(((AJ22+AK22)/2)+2*A22*SQRT(1+$B$8^2))))^(2/3)*SQRT($B$6)&lt;$B$5,((AJ22+AK22)/2),AJ22)</f>
        <v/>
      </c>
      <c r="AM22">
        <f>IF((1/$B$7)*((((AJ22+AK22)/2)+$B$8*A22)*A22)*((((((AJ22+AK22)/2)+$B$8*A22)*A22)/(((AJ22+AK22)/2)+2*A22*SQRT(1+$B$8^2))))^(2/3)*SQRT($B$6)&lt;$B$5,AK22,((AJ22+AK22)/2))</f>
        <v/>
      </c>
      <c r="AN22">
        <f>IF((1/$B$7)*((((AL22+AM22)/2)+$B$8*A22)*A22)*((((((AL22+AM22)/2)+$B$8*A22)*A22)/(((AL22+AM22)/2)+2*A22*SQRT(1+$B$8^2))))^(2/3)*SQRT($B$6)&lt;$B$5,((AL22+AM22)/2),AL22)</f>
        <v/>
      </c>
      <c r="AO22">
        <f>IF((1/$B$7)*((((AL22+AM22)/2)+$B$8*A22)*A22)*((((((AL22+AM22)/2)+$B$8*A22)*A22)/(((AL22+AM22)/2)+2*A22*SQRT(1+$B$8^2))))^(2/3)*SQRT($B$6)&lt;$B$5,AM22,((AL22+AM22)/2))</f>
        <v/>
      </c>
      <c r="AP22">
        <f>IF((1/$B$7)*((((AN22+AO22)/2)+$B$8*A22)*A22)*((((((AN22+AO22)/2)+$B$8*A22)*A22)/(((AN22+AO22)/2)+2*A22*SQRT(1+$B$8^2))))^(2/3)*SQRT($B$6)&lt;$B$5,((AN22+AO22)/2),AN22)</f>
        <v/>
      </c>
      <c r="AQ22">
        <f>IF((1/$B$7)*((((AN22+AO22)/2)+$B$8*A22)*A22)*((((((AN22+AO22)/2)+$B$8*A22)*A22)/(((AN22+AO22)/2)+2*A22*SQRT(1+$B$8^2))))^(2/3)*SQRT($B$6)&lt;$B$5,AO22,((AN22+AO22)/2))</f>
        <v/>
      </c>
      <c r="AR22">
        <f>IF((1/$B$7)*((((AP22+AQ22)/2)+$B$8*A22)*A22)*((((((AP22+AQ22)/2)+$B$8*A22)*A22)/(((AP22+AQ22)/2)+2*A22*SQRT(1+$B$8^2))))^(2/3)*SQRT($B$6)&lt;$B$5,((AP22+AQ22)/2),AP22)</f>
        <v/>
      </c>
      <c r="AS22">
        <f>IF((1/$B$7)*((((AP22+AQ22)/2)+$B$8*A22)*A22)*((((((AP22+AQ22)/2)+$B$8*A22)*A22)/(((AP22+AQ22)/2)+2*A22*SQRT(1+$B$8^2))))^(2/3)*SQRT($B$6)&lt;$B$5,AQ22,((AP22+AQ22)/2))</f>
        <v/>
      </c>
      <c r="AT22">
        <f>IF((1/$B$7)*((((AR22+AS22)/2)+$B$8*A22)*A22)*((((((AR22+AS22)/2)+$B$8*A22)*A22)/(((AR22+AS22)/2)+2*A22*SQRT(1+$B$8^2))))^(2/3)*SQRT($B$6)&lt;$B$5,((AR22+AS22)/2),AR22)</f>
        <v/>
      </c>
      <c r="AU22">
        <f>IF((1/$B$7)*((((AR22+AS22)/2)+$B$8*A22)*A22)*((((((AR22+AS22)/2)+$B$8*A22)*A22)/(((AR22+AS22)/2)+2*A22*SQRT(1+$B$8^2))))^(2/3)*SQRT($B$6)&lt;$B$5,AS22,((AR22+AS22)/2))</f>
        <v/>
      </c>
      <c r="AV22">
        <f>IF((1/$B$7)*((((AT22+AU22)/2)+$B$8*A22)*A22)*((((((AT22+AU22)/2)+$B$8*A22)*A22)/(((AT22+AU22)/2)+2*A22*SQRT(1+$B$8^2))))^(2/3)*SQRT($B$6)&lt;$B$5,((AT22+AU22)/2),AT22)</f>
        <v/>
      </c>
      <c r="AW22">
        <f>IF((1/$B$7)*((((AT22+AU22)/2)+$B$8*A22)*A22)*((((((AT22+AU22)/2)+$B$8*A22)*A22)/(((AT22+AU22)/2)+2*A22*SQRT(1+$B$8^2))))^(2/3)*SQRT($B$6)&lt;$B$5,AU22,((AT22+AU22)/2))</f>
        <v/>
      </c>
      <c r="AX22">
        <f>IF((1/$B$7)*((((AV22+AW22)/2)+$B$8*A22)*A22)*((((((AV22+AW22)/2)+$B$8*A22)*A22)/(((AV22+AW22)/2)+2*A22*SQRT(1+$B$8^2))))^(2/3)*SQRT($B$6)&lt;$B$5,((AV22+AW22)/2),AV22)</f>
        <v/>
      </c>
      <c r="AY22">
        <f>IF((1/$B$7)*((((AV22+AW22)/2)+$B$8*A22)*A22)*((((((AV22+AW22)/2)+$B$8*A22)*A22)/(((AV22+AW22)/2)+2*A22*SQRT(1+$B$8^2))))^(2/3)*SQRT($B$6)&lt;$B$5,AW22,((AV22+AW22)/2))</f>
        <v/>
      </c>
      <c r="AZ22">
        <f>IF((1/$B$7)*((((AX22+AY22)/2)+$B$8*A22)*A22)*((((((AX22+AY22)/2)+$B$8*A22)*A22)/(((AX22+AY22)/2)+2*A22*SQRT(1+$B$8^2))))^(2/3)*SQRT($B$6)&lt;$B$5,((AX22+AY22)/2),AX22)</f>
        <v/>
      </c>
      <c r="BA22">
        <f>IF((1/$B$7)*((((AX22+AY22)/2)+$B$8*A22)*A22)*((((((AX22+AY22)/2)+$B$8*A22)*A22)/(((AX22+AY22)/2)+2*A22*SQRT(1+$B$8^2))))^(2/3)*SQRT($B$6)&lt;$B$5,AY22,((AX22+AY22)/2))</f>
        <v/>
      </c>
      <c r="BB22">
        <f>IF((1/$B$7)*((((AZ22+BA22)/2)+$B$8*A22)*A22)*((((((AZ22+BA22)/2)+$B$8*A22)*A22)/(((AZ22+BA22)/2)+2*A22*SQRT(1+$B$8^2))))^(2/3)*SQRT($B$6)&lt;$B$5,((AZ22+BA22)/2),AZ22)</f>
        <v/>
      </c>
      <c r="BC22">
        <f>IF((1/$B$7)*((((AZ22+BA22)/2)+$B$8*A22)*A22)*((((((AZ22+BA22)/2)+$B$8*A22)*A22)/(((AZ22+BA22)/2)+2*A22*SQRT(1+$B$8^2))))^(2/3)*SQRT($B$6)&lt;$B$5,BA22,((AZ22+BA22)/2))</f>
        <v/>
      </c>
      <c r="BD22">
        <f>IF((1/$B$7)*((((BB22+BC22)/2)+$B$8*A22)*A22)*((((((BB22+BC22)/2)+$B$8*A22)*A22)/(((BB22+BC22)/2)+2*A22*SQRT(1+$B$8^2))))^(2/3)*SQRT($B$6)&lt;$B$5,((BB22+BC22)/2),BB22)</f>
        <v/>
      </c>
      <c r="BE22">
        <f>IF((1/$B$7)*((((BB22+BC22)/2)+$B$8*A22)*A22)*((((((BB22+BC22)/2)+$B$8*A22)*A22)/(((BB22+BC22)/2)+2*A22*SQRT(1+$B$8^2))))^(2/3)*SQRT($B$6)&lt;$B$5,BC22,((BB22+BC22)/2))</f>
        <v/>
      </c>
      <c r="BF22">
        <f>IF((1/$B$7)*((((BD22+BE22)/2)+$B$8*A22)*A22)*((((((BD22+BE22)/2)+$B$8*A22)*A22)/(((BD22+BE22)/2)+2*A22*SQRT(1+$B$8^2))))^(2/3)*SQRT($B$6)&lt;$B$5,((BD22+BE22)/2),BD22)</f>
        <v/>
      </c>
      <c r="BG22">
        <f>IF((1/$B$7)*((((BD22+BE22)/2)+$B$8*A22)*A22)*((((((BD22+BE22)/2)+$B$8*A22)*A22)/(((BD22+BE22)/2)+2*A22*SQRT(1+$B$8^2))))^(2/3)*SQRT($B$6)&lt;$B$5,BE22,((BD22+BE22)/2))</f>
        <v/>
      </c>
      <c r="BH22">
        <f>IF((1/$B$7)*((((BF22+BG22)/2)+$B$8*A22)*A22)*((((((BF22+BG22)/2)+$B$8*A22)*A22)/(((BF22+BG22)/2)+2*A22*SQRT(1+$B$8^2))))^(2/3)*SQRT($B$6)&lt;$B$5,((BF22+BG22)/2),BF22)</f>
        <v/>
      </c>
      <c r="BI22">
        <f>IF((1/$B$7)*((((BF22+BG22)/2)+$B$8*A22)*A22)*((((((BF22+BG22)/2)+$B$8*A22)*A22)/(((BF22+BG22)/2)+2*A22*SQRT(1+$B$8^2))))^(2/3)*SQRT($B$6)&lt;$B$5,BG22,((BF22+BG22)/2))</f>
        <v/>
      </c>
      <c r="BJ22">
        <f>IF((1/$B$7)*((((BH22+BI22)/2)+$B$8*A22)*A22)*((((((BH22+BI22)/2)+$B$8*A22)*A22)/(((BH22+BI22)/2)+2*A22*SQRT(1+$B$8^2))))^(2/3)*SQRT($B$6)&lt;$B$5,((BH22+BI22)/2),BH22)</f>
        <v/>
      </c>
      <c r="BK22">
        <f>IF((1/$B$7)*((((BH22+BI22)/2)+$B$8*A22)*A22)*((((((BH22+BI22)/2)+$B$8*A22)*A22)/(((BH22+BI22)/2)+2*A22*SQRT(1+$B$8^2))))^(2/3)*SQRT($B$6)&lt;$B$5,BI22,((BH22+BI22)/2))</f>
        <v/>
      </c>
      <c r="BL22">
        <f>IF((1/$B$7)*((((BJ22+BK22)/2)+$B$8*A22)*A22)*((((((BJ22+BK22)/2)+$B$8*A22)*A22)/(((BJ22+BK22)/2)+2*A22*SQRT(1+$B$8^2))))^(2/3)*SQRT($B$6)&lt;$B$5,((BJ22+BK22)/2),BJ22)</f>
        <v/>
      </c>
      <c r="BM22">
        <f>IF((1/$B$7)*((((BJ22+BK22)/2)+$B$8*A22)*A22)*((((((BJ22+BK22)/2)+$B$8*A22)*A22)/(((BJ22+BK22)/2)+2*A22*SQRT(1+$B$8^2))))^(2/3)*SQRT($B$6)&lt;$B$5,BK22,((BJ22+BK22)/2))</f>
        <v/>
      </c>
      <c r="BN22">
        <f>IF((1/$B$7)*((((BL22+BM22)/2)+$B$8*A22)*A22)*((((((BL22+BM22)/2)+$B$8*A22)*A22)/(((BL22+BM22)/2)+2*A22*SQRT(1+$B$8^2))))^(2/3)*SQRT($B$6)&lt;$B$5,((BL22+BM22)/2),BL22)</f>
        <v/>
      </c>
      <c r="BO22">
        <f>IF((1/$B$7)*((((BL22+BM22)/2)+$B$8*A22)*A22)*((((((BL22+BM22)/2)+$B$8*A22)*A22)/(((BL22+BM22)/2)+2*A22*SQRT(1+$B$8^2))))^(2/3)*SQRT($B$6)&lt;$B$5,BM22,((BL22+BM22)/2))</f>
        <v/>
      </c>
      <c r="BP22">
        <f>IF((1/$B$7)*((((BN22+BO22)/2)+$B$8*A22)*A22)*((((((BN22+BO22)/2)+$B$8*A22)*A22)/(((BN22+BO22)/2)+2*A22*SQRT(1+$B$8^2))))^(2/3)*SQRT($B$6)&lt;$B$5,((BN22+BO22)/2),BN22)</f>
        <v/>
      </c>
      <c r="BQ22">
        <f>IF((1/$B$7)*((((BN22+BO22)/2)+$B$8*A22)*A22)*((((((BN22+BO22)/2)+$B$8*A22)*A22)/(((BN22+BO22)/2)+2*A22*SQRT(1+$B$8^2))))^(2/3)*SQRT($B$6)&lt;$B$5,BO22,((BN22+BO22)/2))</f>
        <v/>
      </c>
      <c r="BR22">
        <f>IF((1/$B$7)*((((BP22+BQ22)/2)+$B$8*A22)*A22)*((((((BP22+BQ22)/2)+$B$8*A22)*A22)/(((BP22+BQ22)/2)+2*A22*SQRT(1+$B$8^2))))^(2/3)*SQRT($B$6)&lt;$B$5,((BP22+BQ22)/2),BP22)</f>
        <v/>
      </c>
      <c r="BS22">
        <f>IF((1/$B$7)*((((BP22+BQ22)/2)+$B$8*A22)*A22)*((((((BP22+BQ22)/2)+$B$8*A22)*A22)/(((BP22+BQ22)/2)+2*A22*SQRT(1+$B$8^2))))^(2/3)*SQRT($B$6)&lt;$B$5,BQ22,((BP22+BQ22)/2))</f>
        <v/>
      </c>
      <c r="BT22">
        <f>IF((1/$B$7)*((((BR22+BS22)/2)+$B$8*A22)*A22)*((((((BR22+BS22)/2)+$B$8*A22)*A22)/(((BR22+BS22)/2)+2*A22*SQRT(1+$B$8^2))))^(2/3)*SQRT($B$6)&lt;$B$5,((BR22+BS22)/2),BR22)</f>
        <v/>
      </c>
      <c r="BU22">
        <f>IF((1/$B$7)*((((BR22+BS22)/2)+$B$8*A22)*A22)*((((((BR22+BS22)/2)+$B$8*A22)*A22)/(((BR22+BS22)/2)+2*A22*SQRT(1+$B$8^2))))^(2/3)*SQRT($B$6)&lt;$B$5,BS22,((BR22+BS22)/2))</f>
        <v/>
      </c>
      <c r="BV22">
        <f>IF((1/$B$7)*((((BT22+BU22)/2)+$B$8*A22)*A22)*((((((BT22+BU22)/2)+$B$8*A22)*A22)/(((BT22+BU22)/2)+2*A22*SQRT(1+$B$8^2))))^(2/3)*SQRT($B$6)&lt;$B$5,((BT22+BU22)/2),BT22)</f>
        <v/>
      </c>
      <c r="BW22">
        <f>IF((1/$B$7)*((((BT22+BU22)/2)+$B$8*A22)*A22)*((((((BT22+BU22)/2)+$B$8*A22)*A22)/(((BT22+BU22)/2)+2*A22*SQRT(1+$B$8^2))))^(2/3)*SQRT($B$6)&lt;$B$5,BU22,((BT22+BU22)/2))</f>
        <v/>
      </c>
      <c r="BX22">
        <f>IF((1/$B$7)*((((BV22+BW22)/2)+$B$8*A22)*A22)*((((((BV22+BW22)/2)+$B$8*A22)*A22)/(((BV22+BW22)/2)+2*A22*SQRT(1+$B$8^2))))^(2/3)*SQRT($B$6)&lt;$B$5,((BV22+BW22)/2),BV22)</f>
        <v/>
      </c>
      <c r="BY22">
        <f>IF((1/$B$7)*((((BV22+BW22)/2)+$B$8*A22)*A22)*((((((BV22+BW22)/2)+$B$8*A22)*A22)/(((BV22+BW22)/2)+2*A22*SQRT(1+$B$8^2))))^(2/3)*SQRT($B$6)&lt;$B$5,BW22,((BV22+BW22)/2))</f>
        <v/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2026-07-31T23:26:26Z</dcterms:created>
  <dcterms:modified xsi:type="dcterms:W3CDTF">2026-07-31T23:26:33Z</dcterms:modified>
</cp:coreProperties>
</file>