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Formules_explications" sheetId="2" state="visible" r:id="rId2"/>
    <sheet name="Resultat_Q9" sheetId="3" state="visible" r:id="rId3"/>
    <sheet name="Courbe_de_tarage" sheetId="4" state="visible" r:id="rId4"/>
    <sheet name="Hydrogramme_entree" sheetId="5" state="visible" r:id="rId5"/>
    <sheet name="Routing_stockage" sheetId="6" state="visible" r:id="rId6"/>
    <sheet name="Hydrogramme_notes" sheetId="7" state="visible" r:id="rId7"/>
    <sheet name="Comparaison_mod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4748B"/>
    </font>
    <font>
      <b val="1"/>
      <color rgb="00FFFFFF"/>
    </font>
    <font>
      <i val="1"/>
      <color rgb="0064748B"/>
      <sz val="10"/>
    </font>
    <font>
      <b val="1"/>
      <color rgb="000F5C5C"/>
    </font>
    <font>
      <b val="1"/>
      <sz val="13"/>
    </font>
    <font>
      <b val="1"/>
    </font>
    <font>
      <i val="1"/>
      <color rgb="0064748B"/>
      <sz val="9"/>
    </font>
    <font>
      <color rgb="000F5C5C"/>
      <sz val="1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0F5C5C"/>
      </patternFill>
    </fill>
    <fill>
      <patternFill patternType="solid">
        <fgColor rgb="00D1FAE5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2" borderId="1" pivotButton="0" quotePrefix="0" xfId="0"/>
    <xf numFmtId="0" fontId="4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4" borderId="1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2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0" fillId="4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59D"/>
          <bgColor rgb="00FFF59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42" customWidth="1" min="4" max="4"/>
  </cols>
  <sheetData>
    <row r="1">
      <c r="A1" s="1" t="inlineStr">
        <is>
          <t>Modèle composé — Ponceau + fossé (remblai)</t>
        </is>
      </c>
    </row>
    <row r="2">
      <c r="A2" s="2" t="inlineStr">
        <is>
          <t>Outil préliminaire 1D — pas un substitut à HEC-RAS / HY-8</t>
        </is>
      </c>
    </row>
    <row r="3"/>
    <row r="4">
      <c r="A4" s="3" t="inlineStr">
        <is>
          <t>Section</t>
        </is>
      </c>
      <c r="B4" s="3" t="inlineStr">
        <is>
          <t>Paramètre</t>
        </is>
      </c>
      <c r="C4" s="3" t="inlineStr">
        <is>
          <t>Valeur</t>
        </is>
      </c>
      <c r="D4" s="3" t="inlineStr">
        <is>
          <t>Unité / note</t>
        </is>
      </c>
    </row>
    <row r="5">
      <c r="A5" s="4" t="inlineStr">
        <is>
          <t>Géométrie</t>
        </is>
      </c>
      <c r="B5" s="4" t="inlineStr">
        <is>
          <t>Diamètre ponceau D</t>
        </is>
      </c>
      <c r="C5" s="5" t="n">
        <v>1.05</v>
      </c>
      <c r="D5" s="4" t="inlineStr">
        <is>
          <t>m (1050 mm)</t>
        </is>
      </c>
    </row>
    <row r="6">
      <c r="A6" s="4" t="inlineStr">
        <is>
          <t>Géométrie</t>
        </is>
      </c>
      <c r="B6" s="4" t="inlineStr">
        <is>
          <t>Longueur L</t>
        </is>
      </c>
      <c r="C6" s="5" t="n">
        <v>50.9</v>
      </c>
      <c r="D6" s="4" t="inlineStr">
        <is>
          <t>m</t>
        </is>
      </c>
    </row>
    <row r="7">
      <c r="A7" s="4" t="inlineStr">
        <is>
          <t>Géométrie</t>
        </is>
      </c>
      <c r="B7" s="4" t="inlineStr">
        <is>
          <t>Largeur fond fossé b</t>
        </is>
      </c>
      <c r="C7" s="5" t="n">
        <v>2</v>
      </c>
      <c r="D7" s="4" t="inlineStr">
        <is>
          <t>m</t>
        </is>
      </c>
    </row>
    <row r="8">
      <c r="A8" s="4" t="inlineStr">
        <is>
          <t>Géométrie</t>
        </is>
      </c>
      <c r="B8" s="4" t="inlineStr">
        <is>
          <t>Talus z</t>
        </is>
      </c>
      <c r="C8" s="5" t="n">
        <v>2</v>
      </c>
      <c r="D8" s="4" t="inlineStr">
        <is>
          <t>H:V</t>
        </is>
      </c>
    </row>
    <row r="9">
      <c r="A9" s="4" t="inlineStr">
        <is>
          <t>Cote</t>
        </is>
      </c>
      <c r="B9" s="4" t="inlineStr">
        <is>
          <t>Invert amont</t>
        </is>
      </c>
      <c r="C9" s="5" t="n">
        <v>35.36</v>
      </c>
      <c r="D9" s="4" t="inlineStr">
        <is>
          <t>m</t>
        </is>
      </c>
    </row>
    <row r="10">
      <c r="A10" s="4" t="inlineStr">
        <is>
          <t>Cote</t>
        </is>
      </c>
      <c r="B10" s="4" t="inlineStr">
        <is>
          <t>Invert aval</t>
        </is>
      </c>
      <c r="C10" s="5" t="n">
        <v>34.47</v>
      </c>
      <c r="D10" s="4" t="inlineStr">
        <is>
          <t>m</t>
        </is>
      </c>
    </row>
    <row r="11">
      <c r="A11" s="4" t="inlineStr">
        <is>
          <t>Cote</t>
        </is>
      </c>
      <c r="B11" s="4" t="inlineStr">
        <is>
          <t>Max hauteur d'eau</t>
        </is>
      </c>
      <c r="C11" s="5" t="n">
        <v>37.4</v>
      </c>
      <c r="D11" s="4" t="inlineStr">
        <is>
          <t>m</t>
        </is>
      </c>
    </row>
    <row r="12">
      <c r="A12" s="4" t="inlineStr">
        <is>
          <t>Cote</t>
        </is>
      </c>
      <c r="B12" s="4" t="inlineStr">
        <is>
          <t>Clé du tuyau (crown)</t>
        </is>
      </c>
      <c r="C12" s="5" t="n">
        <v>36.41</v>
      </c>
      <c r="D12" s="4" t="inlineStr">
        <is>
          <t>m = invert + D</t>
        </is>
      </c>
    </row>
    <row r="13">
      <c r="A13" s="4" t="inlineStr">
        <is>
          <t>Hydraulique</t>
        </is>
      </c>
      <c r="B13" s="4" t="inlineStr">
        <is>
          <t>Pente S0 = Δz/L</t>
        </is>
      </c>
      <c r="C13" s="5" t="n">
        <v>0.017485</v>
      </c>
      <c r="D13" s="4" t="inlineStr">
        <is>
          <t>m/m</t>
        </is>
      </c>
    </row>
    <row r="14">
      <c r="A14" s="4" t="inlineStr">
        <is>
          <t>Hydraulique</t>
        </is>
      </c>
      <c r="B14" s="4" t="inlineStr">
        <is>
          <t>n ponceau</t>
        </is>
      </c>
      <c r="C14" s="5" t="n">
        <v>0.013</v>
      </c>
      <c r="D14" s="4" t="inlineStr">
        <is>
          <t>Manning</t>
        </is>
      </c>
    </row>
    <row r="15">
      <c r="A15" s="4" t="inlineStr">
        <is>
          <t>Hydraulique</t>
        </is>
      </c>
      <c r="B15" s="4" t="inlineStr">
        <is>
          <t>Entrée</t>
        </is>
      </c>
      <c r="C15" s="5" t="inlineStr">
        <is>
          <t>beveled</t>
        </is>
      </c>
      <c r="D15" s="4" t="inlineStr">
        <is>
          <t>Ke=0.2; coeffs HDS-5 Form2</t>
        </is>
      </c>
    </row>
    <row r="16">
      <c r="A16" s="4" t="inlineStr">
        <is>
          <t>Hydraulique</t>
        </is>
      </c>
      <c r="B16" s="4" t="inlineStr">
        <is>
          <t>Tailwater TW</t>
        </is>
      </c>
      <c r="C16" s="5" t="n">
        <v>0</v>
      </c>
      <c r="D16" s="4" t="inlineStr">
        <is>
          <t>m au-dessus invert aval (inconnu → 0)</t>
        </is>
      </c>
    </row>
    <row r="17">
      <c r="A17" s="4" t="inlineStr">
        <is>
          <t>Débordement</t>
        </is>
      </c>
      <c r="B17" s="4" t="inlineStr">
        <is>
          <t>Mode</t>
        </is>
      </c>
      <c r="C17" s="5" t="inlineStr">
        <is>
          <t>surface</t>
        </is>
      </c>
      <c r="D17" s="4" t="inlineStr">
        <is>
          <t>surface = fossé enrochement / macropores</t>
        </is>
      </c>
    </row>
    <row r="18">
      <c r="A18" s="4" t="inlineStr">
        <is>
          <t>Débordement</t>
        </is>
      </c>
      <c r="B18" s="4" t="inlineStr">
        <is>
          <t>Début débordement</t>
        </is>
      </c>
      <c r="C18" s="5" t="n">
        <v>1.05</v>
      </c>
      <c r="D18" s="4" t="inlineStr">
        <is>
          <t>m au-dessus invert (= crown)</t>
        </is>
      </c>
    </row>
    <row r="19">
      <c r="A19" s="4" t="inlineStr">
        <is>
          <t>Débordement</t>
        </is>
      </c>
      <c r="B19" s="4" t="inlineStr">
        <is>
          <t>n surface (rocher)</t>
        </is>
      </c>
      <c r="C19" s="5" t="n">
        <v>0.045</v>
      </c>
      <c r="D19" s="4" t="inlineStr">
        <is>
          <t>si mode surface/both</t>
        </is>
      </c>
    </row>
    <row r="20">
      <c r="A20" s="4" t="inlineStr">
        <is>
          <t>Débordement</t>
        </is>
      </c>
      <c r="B20" s="4" t="inlineStr">
        <is>
          <t>d50 remblai</t>
        </is>
      </c>
      <c r="C20" s="5" t="n">
        <v>0.05</v>
      </c>
      <c r="D20" s="4" t="inlineStr">
        <is>
          <t>m (si mode porous)</t>
        </is>
      </c>
    </row>
    <row r="21">
      <c r="A21" s="4" t="inlineStr">
        <is>
          <t>Débordement</t>
        </is>
      </c>
      <c r="B21" s="4" t="inlineStr">
        <is>
          <t>Porosité</t>
        </is>
      </c>
      <c r="C21" s="5" t="n">
        <v>0.4</v>
      </c>
      <c r="D21" s="4" t="inlineStr">
        <is>
          <t>-</t>
        </is>
      </c>
    </row>
    <row r="22">
      <c r="A22" s="4" t="inlineStr">
        <is>
          <t>Débordement</t>
        </is>
      </c>
      <c r="B22" s="4" t="inlineStr">
        <is>
          <t>Cd_rock</t>
        </is>
      </c>
      <c r="C22" s="5" t="n">
        <v>0.85</v>
      </c>
      <c r="D22" s="4" t="inlineStr">
        <is>
          <t>calage poreux</t>
        </is>
      </c>
    </row>
    <row r="23">
      <c r="A23" s="4" t="inlineStr">
        <is>
          <t>Débit</t>
        </is>
      </c>
      <c r="B23" s="4" t="inlineStr">
        <is>
          <t>Q design (permanent)</t>
        </is>
      </c>
      <c r="C23" s="5" t="n">
        <v>9</v>
      </c>
      <c r="D23" s="4" t="inlineStr">
        <is>
          <t>m³/s — pour Resultat_Q9 seulement</t>
        </is>
      </c>
    </row>
    <row r="24"/>
    <row r="25"/>
    <row r="26">
      <c r="A26" s="6" t="inlineStr">
        <is>
          <t>Pour l'hydrogramme / routing: éditer les jaunes sur Hydrogramme_entree (Q pointe, Montée, Descente, Pond, dt) — formules Excel live. Si vous changez D, n, L, S0…: python build_excel.py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Comment les valeurs sont calculées (formules + méthode)</t>
        </is>
      </c>
    </row>
    <row r="3">
      <c r="A3" s="7" t="inlineStr">
        <is>
          <t>Sujet</t>
        </is>
      </c>
      <c r="B3" s="7" t="inlineStr">
        <is>
          <t>Formule / explication</t>
        </is>
      </c>
    </row>
    <row r="4" ht="35" customHeight="1">
      <c r="A4" t="inlineStr">
        <is>
          <t>Important</t>
        </is>
      </c>
      <c r="B4" s="8" t="inlineStr">
        <is>
          <t>Hydrogramme_entree + Routing_stockage = FORMULES Excel live. Changez Q pointe (9→12), Montée, Descente, Pond A ou dt → recalcul auto. Courbe Q(HW) = Python: si D/n/L change → python build_excel.py</t>
        </is>
      </c>
    </row>
    <row r="5" ht="18" customHeight="1">
      <c r="A5" t="inlineStr"/>
      <c r="B5" s="8" t="inlineStr"/>
    </row>
    <row r="6" ht="18" customHeight="1">
      <c r="A6" s="9" t="inlineStr">
        <is>
          <t>1. Cotes</t>
        </is>
      </c>
      <c r="B6" s="8" t="inlineStr"/>
    </row>
    <row r="7" ht="18" customHeight="1">
      <c r="A7" t="inlineStr">
        <is>
          <t>HW</t>
        </is>
      </c>
      <c r="B7" s="8" t="inlineStr">
        <is>
          <t>Profondeur d'eau amont au-dessus de l'invert du ponceau (m)</t>
        </is>
      </c>
    </row>
    <row r="8" ht="18" customHeight="1">
      <c r="A8" t="inlineStr">
        <is>
          <t>WSE</t>
        </is>
      </c>
      <c r="B8" s="8" t="inlineStr">
        <is>
          <t>WSE = invert_amont + HW   →   35.36 + HW</t>
        </is>
      </c>
    </row>
    <row r="9" ht="18" customHeight="1">
      <c r="A9" t="inlineStr">
        <is>
          <t>Clé (crown)</t>
        </is>
      </c>
      <c r="B9" s="8" t="inlineStr">
        <is>
          <t>elev_clé = invert_amont + D = 35.36 + 1.05 = 36.41 m</t>
        </is>
      </c>
    </row>
    <row r="10" ht="18" customHeight="1">
      <c r="A10" t="inlineStr">
        <is>
          <t>S0</t>
        </is>
      </c>
      <c r="B10" s="8" t="inlineStr">
        <is>
          <t>S0 = (invert_amont - invert_aval) / L = (35.36 - 34.47) / 50.9 ≈ 0.0175 m/m</t>
        </is>
      </c>
    </row>
    <row r="11" ht="18" customHeight="1">
      <c r="A11" t="inlineStr"/>
      <c r="B11" s="8" t="inlineStr"/>
    </row>
    <row r="12" ht="18" customHeight="1">
      <c r="A12" s="9" t="inlineStr">
        <is>
          <t>2. Courbe de tarage = quoi?</t>
        </is>
      </c>
      <c r="B12" s="8" t="inlineStr"/>
    </row>
    <row r="13" ht="35" customHeight="1">
      <c r="A13" t="inlineStr">
        <is>
          <t>Définition</t>
        </is>
      </c>
      <c r="B13" s="8" t="inlineStr">
        <is>
          <t>Table débit évacuable pour chaque HW. On fixe HW, on calcule Q. Ce n'est PAS un hydrogramme (Q vs temps).</t>
        </is>
      </c>
    </row>
    <row r="14" ht="18" customHeight="1">
      <c r="A14" t="inlineStr">
        <is>
          <t>Construction</t>
        </is>
      </c>
      <c r="B14" s="8" t="inlineStr">
        <is>
          <t>HW = 0, 0.05, … Hmax : Q_total(HW) = Q_pipe(HW) + Q_overflow(HW)</t>
        </is>
      </c>
    </row>
    <row r="15" ht="18" customHeight="1">
      <c r="A15" t="inlineStr">
        <is>
          <t>Colonnes live</t>
        </is>
      </c>
      <c r="B15" s="8" t="inlineStr">
        <is>
          <t>S = S_geo + PondA*HW ; Ind = 2*S/(dt_sec) + Q_total  (pour routing Puls)</t>
        </is>
      </c>
    </row>
    <row r="16" ht="18" customHeight="1">
      <c r="A16" t="inlineStr"/>
      <c r="B16" s="8" t="inlineStr"/>
    </row>
    <row r="17" ht="18" customHeight="1">
      <c r="A17" s="9" t="inlineStr">
        <is>
          <t>3. Q_ponceau (FHWA HDS-5 + Manning)</t>
        </is>
      </c>
      <c r="B17" s="8" t="inlineStr"/>
    </row>
    <row r="18" ht="35" customHeight="1">
      <c r="A18" t="inlineStr">
        <is>
          <t>Contrôle d'entrée</t>
        </is>
      </c>
      <c r="B18" s="8" t="inlineStr">
        <is>
          <t>Forme 2 SI: HW/D = K [Q/(Ku*A*sqrt(D))]^M (non subm.) ; HW/D = c [Q/(Ku*A*sqrt(D))]^2 + Y (subm.). Ku=1.811. Biseau: K=0.0018, M=2.5, c=0.030, Y=0.74</t>
        </is>
      </c>
    </row>
    <row r="19" ht="18" customHeight="1">
      <c r="A19" t="inlineStr">
        <is>
          <t>Contrôle de sortie</t>
        </is>
      </c>
      <c r="B19" s="8" t="inlineStr">
        <is>
          <t>Plein tuyau: H = (1+Ke)*V^2/(2g) + n^2*V^2*L/R^(4/3), R=D/4, Ke=0.2</t>
        </is>
      </c>
    </row>
    <row r="20" ht="18" customHeight="1">
      <c r="A20" t="inlineStr">
        <is>
          <t>Q retenu</t>
        </is>
      </c>
      <c r="B20" s="8" t="inlineStr">
        <is>
          <t>Q_pipe = min(Q_entrée, Q_sortie) au même HW</t>
        </is>
      </c>
    </row>
    <row r="21" ht="18" customHeight="1">
      <c r="A21" t="inlineStr"/>
      <c r="B21" s="8" t="inlineStr"/>
    </row>
    <row r="22" ht="18" customHeight="1">
      <c r="A22" s="9" t="inlineStr">
        <is>
          <t>4. Q_débordement surface (HW &gt; D)</t>
        </is>
      </c>
      <c r="B22" s="8" t="inlineStr"/>
    </row>
    <row r="23" ht="18" customHeight="1">
      <c r="A23" t="inlineStr">
        <is>
          <t>Seuil</t>
        </is>
      </c>
      <c r="B23" s="8" t="inlineStr">
        <is>
          <t>Si HW &lt;= D : Q_overflow = 0.  Si HW &gt; D : y = HW - D</t>
        </is>
      </c>
    </row>
    <row r="24" ht="18" customHeight="1">
      <c r="A24" t="inlineStr">
        <is>
          <t>Aire A</t>
        </is>
      </c>
      <c r="B24" s="8" t="inlineStr">
        <is>
          <t>A = (b + z*y) * y     b=2, z=2</t>
        </is>
      </c>
    </row>
    <row r="25" ht="18" customHeight="1">
      <c r="A25" t="inlineStr">
        <is>
          <t>Périmètre P</t>
        </is>
      </c>
      <c r="B25" s="8" t="inlineStr">
        <is>
          <t>P = b + 2*y*sqrt(1+z^2)</t>
        </is>
      </c>
    </row>
    <row r="26" ht="18" customHeight="1">
      <c r="A26" t="inlineStr">
        <is>
          <t>Rayon R</t>
        </is>
      </c>
      <c r="B26" s="8" t="inlineStr">
        <is>
          <t>R = A / P</t>
        </is>
      </c>
    </row>
    <row r="27" ht="18" customHeight="1">
      <c r="A27" t="inlineStr">
        <is>
          <t>FORMULE Manning</t>
        </is>
      </c>
      <c r="B27" s="8" t="inlineStr">
        <is>
          <t>Q_overflow = (1/n) * A * R^(2/3) * S0^(1/2)     n≈0.045</t>
        </is>
      </c>
    </row>
    <row r="28" ht="18" customHeight="1">
      <c r="A28" t="inlineStr"/>
      <c r="B28" s="8" t="inlineStr"/>
    </row>
    <row r="29" ht="18" customHeight="1">
      <c r="A29" s="9" t="inlineStr">
        <is>
          <t>5. Pourquoi Manning et pas Bernoulli au-dessus de D?</t>
        </is>
      </c>
      <c r="B29" s="8" t="inlineStr"/>
    </row>
    <row r="30" ht="18" customHeight="1">
      <c r="A30" t="inlineStr">
        <is>
          <t>Bernoulli EST utilisé</t>
        </is>
      </c>
      <c r="B30" s="8" t="inlineStr">
        <is>
          <t>Pour le tuyau (contrôle sortie): HW = TW + (1+Ke)*V^2/(2g) + pertes</t>
        </is>
      </c>
    </row>
    <row r="31" ht="35" customHeight="1">
      <c r="A31" t="inlineStr">
        <is>
          <t>Pourquoi pas orifice Bernoulli</t>
        </is>
      </c>
      <c r="B31" s="8" t="inlineStr">
        <is>
          <t>Au-dessus de la clé: long fossé rugueux, pas un orifice court. Q=Cd*A*sqrt(2gH) ignore L, n, pente → surestime</t>
        </is>
      </c>
    </row>
    <row r="32" ht="18" customHeight="1">
      <c r="A32" t="inlineStr">
        <is>
          <t>Résumé</t>
        </is>
      </c>
      <c r="B32" s="8" t="inlineStr">
        <is>
          <t>Pipe = HDS-5 + énergie. Overflow fossé = Manning canal ouvert.</t>
        </is>
      </c>
    </row>
    <row r="33" ht="18" customHeight="1">
      <c r="A33" t="inlineStr"/>
      <c r="B33" s="8" t="inlineStr"/>
    </row>
    <row r="34" ht="18" customHeight="1">
      <c r="A34" s="9" t="inlineStr">
        <is>
          <t>6. Régime permanent (Resultat_Q9)</t>
        </is>
      </c>
      <c r="B34" s="8" t="inlineStr"/>
    </row>
    <row r="35" ht="35" customHeight="1">
      <c r="A35" t="inlineStr">
        <is>
          <t>Méthode</t>
        </is>
      </c>
      <c r="B35" s="8" t="inlineStr">
        <is>
          <t>Cherche HW tel que Q_pipe+Q_overflow = Q_design (Python). Pas live si vous changez Q design.</t>
        </is>
      </c>
    </row>
    <row r="36" ht="18" customHeight="1">
      <c r="A36" t="inlineStr"/>
      <c r="B36" s="8" t="inlineStr"/>
    </row>
    <row r="37" ht="18" customHeight="1">
      <c r="A37" s="9" t="inlineStr">
        <is>
          <t>7. Hydrogramme d'entrée — FORMULES EXCEL LIVE</t>
        </is>
      </c>
      <c r="B37" s="8" t="inlineStr"/>
    </row>
    <row r="38" ht="35" customHeight="1">
      <c r="A38" t="inlineStr">
        <is>
          <t>Où éditer</t>
        </is>
      </c>
      <c r="B38" s="8" t="inlineStr">
        <is>
          <t>Feuille Hydrogramme_entree: B4=Pond A ; B5=Q pointe ; B6=Montée (min) ; B7=Descente (min) ; B8=dt (min)</t>
        </is>
      </c>
    </row>
    <row r="39" ht="18" customHeight="1">
      <c r="A39" t="inlineStr">
        <is>
          <t>Changer 9 → 12</t>
        </is>
      </c>
      <c r="B39" s="8" t="inlineStr">
        <is>
          <t>Mettre 12 dans B5. Colonne Q_in + feuille Routing_stockage se mettent à jour.</t>
        </is>
      </c>
    </row>
    <row r="40" ht="18" customHeight="1">
      <c r="A40" t="inlineStr">
        <is>
          <t>Temps t</t>
        </is>
      </c>
      <c r="B40" s="8" t="inlineStr">
        <is>
          <t>A11=0 ; puis A12 = SI(A11+dt &gt; Montée+Descente; ""; A11+dt)</t>
        </is>
      </c>
    </row>
    <row r="41" ht="18" customHeight="1">
      <c r="A41" t="inlineStr">
        <is>
          <t>Montée</t>
        </is>
      </c>
      <c r="B41" s="8" t="inlineStr">
        <is>
          <t>Si t &lt;= Montée:  Q_in = Qpointe * (t / Montée)</t>
        </is>
      </c>
    </row>
    <row r="42" ht="18" customHeight="1">
      <c r="A42" t="inlineStr">
        <is>
          <t>Descente</t>
        </is>
      </c>
      <c r="B42" s="8" t="inlineStr">
        <is>
          <t>Si t &gt; Montée:   Q_in = Qpointe * (1 - (t-Montée)/Descente)</t>
        </is>
      </c>
    </row>
    <row r="43" ht="18" customHeight="1">
      <c r="A43" t="inlineStr">
        <is>
          <t>Formule Excel Q_in</t>
        </is>
      </c>
      <c r="B43" s="8">
        <f>SI(A11="";"";SI(A11&lt;=$B$6;$B$5*A11/$B$6;MAX(0;$B$5*(1-(A11-$B$6)/$B$7))))</f>
        <v/>
      </c>
    </row>
    <row r="44" ht="18" customHeight="1">
      <c r="A44" t="inlineStr">
        <is>
          <t>Exemple</t>
        </is>
      </c>
      <c r="B44" s="8" t="inlineStr">
        <is>
          <t>Q=9, Montée=40: t=20→4.5; t=40→9; t=60→6.75.  Q=12: t=20→6; t=40→12</t>
        </is>
      </c>
    </row>
    <row r="45" ht="18" customHeight="1">
      <c r="A45" t="inlineStr"/>
      <c r="B45" s="8" t="inlineStr"/>
    </row>
    <row r="46" ht="18" customHeight="1">
      <c r="A46" s="9" t="inlineStr">
        <is>
          <t>8. Routing stockage — FORMULES EXCEL (méthode Puls)</t>
        </is>
      </c>
      <c r="B46" s="8" t="inlineStr"/>
    </row>
    <row r="47" ht="18" customHeight="1">
      <c r="A47" t="inlineStr">
        <is>
          <t>Bilan</t>
        </is>
      </c>
      <c r="B47" s="8" t="inlineStr">
        <is>
          <t>dS/dt = Q_in - Q_out</t>
        </is>
      </c>
    </row>
    <row r="48" ht="18" customHeight="1">
      <c r="A48" t="inlineStr">
        <is>
          <t>dt_sec</t>
        </is>
      </c>
      <c r="B48" s="8" t="inlineStr">
        <is>
          <t>dt_sec = dt_min * 60  (Hydrogramme_entree!B8)</t>
        </is>
      </c>
    </row>
    <row r="49" ht="18" customHeight="1">
      <c r="A49" t="inlineStr">
        <is>
          <t>Indicateur</t>
        </is>
      </c>
      <c r="B49" s="8" t="inlineStr">
        <is>
          <t>Ind = 2*S/dt_sec + Q_out   (colonne I de Courbe_de_tarage)</t>
        </is>
      </c>
    </row>
    <row r="50" ht="18" customHeight="1">
      <c r="A50" t="inlineStr">
        <is>
          <t>Étape 0</t>
        </is>
      </c>
      <c r="B50" s="8" t="inlineStr">
        <is>
          <t>t=0: HW=0; Q_out=0; S=0</t>
        </is>
      </c>
    </row>
    <row r="51" ht="18" customHeight="1">
      <c r="A51" t="inlineStr">
        <is>
          <t>Étape n</t>
        </is>
      </c>
      <c r="B51" s="8" t="inlineStr">
        <is>
          <t>RHS = (2*S_prev/dt_sec - Q_out_prev) + Q_in_prev + Q_in_n</t>
        </is>
      </c>
    </row>
    <row r="52" ht="18" customHeight="1">
      <c r="A52" t="inlineStr">
        <is>
          <t>Lecture courbe</t>
        </is>
      </c>
      <c r="B52" s="8" t="inlineStr">
        <is>
          <t>Interpoler où Ind ≈ RHS → Q_out, HW, S, Q_pipe, Q_overflow</t>
        </is>
      </c>
    </row>
    <row r="53" ht="18" customHeight="1">
      <c r="A53" t="inlineStr">
        <is>
          <t>WSE</t>
        </is>
      </c>
      <c r="B53" s="8" t="inlineStr">
        <is>
          <t>WSE = 35.36 + HW</t>
        </is>
      </c>
    </row>
    <row r="54" ht="18" customHeight="1">
      <c r="A54" t="inlineStr">
        <is>
          <t>S</t>
        </is>
      </c>
      <c r="B54" s="8" t="inlineStr">
        <is>
          <t>S = S_geo(tuyau+fossé) + PondA*HW</t>
        </is>
      </c>
    </row>
    <row r="55" ht="18" customHeight="1">
      <c r="A55" t="inlineStr"/>
      <c r="B55" s="8" t="inlineStr"/>
    </row>
    <row r="56" ht="18" customHeight="1">
      <c r="A56" s="9" t="inlineStr">
        <is>
          <t>9. Fichiers source</t>
        </is>
      </c>
      <c r="B56" s="8" t="inlineStr"/>
    </row>
    <row r="57" ht="18" customHeight="1">
      <c r="A57" t="inlineStr">
        <is>
          <t>hydraulics.py</t>
        </is>
      </c>
      <c r="B57" s="8" t="inlineStr">
        <is>
          <t>Tarage Q(HW) et S_geo</t>
        </is>
      </c>
    </row>
    <row r="58" ht="18" customHeight="1">
      <c r="A58" t="inlineStr">
        <is>
          <t>build_excel.py</t>
        </is>
      </c>
      <c r="B58" s="8" t="inlineStr">
        <is>
          <t>Génère le classeur + formules live</t>
        </is>
      </c>
    </row>
    <row r="59" ht="18" customHeight="1">
      <c r="A59" t="inlineStr">
        <is>
          <t>run_model.py</t>
        </is>
      </c>
      <c r="B59" s="8" t="inlineStr">
        <is>
          <t>Résultat permanent terminal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  <col width="12" customWidth="1" min="3" max="3"/>
    <col width="42" customWidth="1" min="4" max="4"/>
  </cols>
  <sheetData>
    <row r="1">
      <c r="A1" s="1" t="inlineStr">
        <is>
          <t>Résultat pour Q permanent = 9 m³/s (Python — pas live)</t>
        </is>
      </c>
    </row>
    <row r="2"/>
    <row r="3">
      <c r="A3" s="3" t="inlineStr">
        <is>
          <t>Grandeur</t>
        </is>
      </c>
      <c r="B3" s="3" t="inlineStr">
        <is>
          <t>Valeur</t>
        </is>
      </c>
      <c r="C3" s="3" t="inlineStr">
        <is>
          <t>Unité</t>
        </is>
      </c>
      <c r="D3" s="3" t="inlineStr">
        <is>
          <t>Comment obtenu</t>
        </is>
      </c>
    </row>
    <row r="4">
      <c r="A4" s="4" t="inlineStr">
        <is>
          <t>Q design</t>
        </is>
      </c>
      <c r="B4" s="10" t="n">
        <v>9</v>
      </c>
      <c r="C4" s="4" t="inlineStr">
        <is>
          <t>m³/s</t>
        </is>
      </c>
      <c r="D4" s="4" t="inlineStr">
        <is>
          <t>Entrée utilisateur (débit de pointe permanent)</t>
        </is>
      </c>
    </row>
    <row r="5">
      <c r="A5" s="4" t="inlineStr">
        <is>
          <t>HW (profondeur amont)</t>
        </is>
      </c>
      <c r="B5" s="10" t="n">
        <v>1.797</v>
      </c>
      <c r="C5" s="4" t="inlineStr">
        <is>
          <t>m</t>
        </is>
      </c>
      <c r="D5" s="4" t="inlineStr">
        <is>
          <t>Résolu pour Q_pipe+Q_overflow = 9</t>
        </is>
      </c>
    </row>
    <row r="6">
      <c r="A6" s="4" t="inlineStr">
        <is>
          <t>WSE amont</t>
        </is>
      </c>
      <c r="B6" s="10" t="n">
        <v>37.157</v>
      </c>
      <c r="C6" s="4" t="inlineStr">
        <is>
          <t>m</t>
        </is>
      </c>
      <c r="D6" s="4" t="inlineStr">
        <is>
          <t>WSE = 35.36 + HW</t>
        </is>
      </c>
    </row>
    <row r="7">
      <c r="A7" s="4" t="inlineStr">
        <is>
          <t>Q_ponceau</t>
        </is>
      </c>
      <c r="B7" s="10" t="n">
        <v>4.235</v>
      </c>
      <c r="C7" s="4" t="inlineStr">
        <is>
          <t>m³/s</t>
        </is>
      </c>
      <c r="D7" s="4" t="inlineStr">
        <is>
          <t>min(contrôle entrée HDS-5, contrôle sortie Manning)</t>
        </is>
      </c>
    </row>
    <row r="8">
      <c r="A8" s="4" t="inlineStr">
        <is>
          <t>Q_débordement (fossé/rocher)</t>
        </is>
      </c>
      <c r="B8" s="10" t="n">
        <v>4.764</v>
      </c>
      <c r="C8" s="4" t="inlineStr">
        <is>
          <t>m³/s</t>
        </is>
      </c>
      <c r="D8" s="4" t="inlineStr">
        <is>
          <t>Manning trapèze au-dessus de la clé (mode surface)</t>
        </is>
      </c>
    </row>
    <row r="9">
      <c r="A9" s="4" t="inlineStr">
        <is>
          <t>Q_total</t>
        </is>
      </c>
      <c r="B9" s="10" t="n">
        <v>9</v>
      </c>
      <c r="C9" s="4" t="inlineStr">
        <is>
          <t>m³/s</t>
        </is>
      </c>
      <c r="D9" s="4" t="inlineStr">
        <is>
          <t>Q_pipe + Q_débordement</t>
        </is>
      </c>
    </row>
    <row r="10">
      <c r="A10" s="4" t="inlineStr">
        <is>
          <t>Contrôle</t>
        </is>
      </c>
      <c r="B10" s="10" t="inlineStr">
        <is>
          <t>compound/outlet+surface</t>
        </is>
      </c>
      <c r="C10" s="4" t="inlineStr">
        <is>
          <t>-</t>
        </is>
      </c>
      <c r="D10" s="4" t="inlineStr">
        <is>
          <t>Quel mécanisme limite le débit</t>
        </is>
      </c>
    </row>
    <row r="11">
      <c r="A11" s="4" t="inlineStr">
        <is>
          <t>Capacité ponceau à la clé</t>
        </is>
      </c>
      <c r="B11" s="10" t="n">
        <v>3.598</v>
      </c>
      <c r="C11" s="4" t="inlineStr">
        <is>
          <t>m³/s</t>
        </is>
      </c>
      <c r="D11" s="4" t="inlineStr">
        <is>
          <t>Q_pipe quand HW = D = 1.05 m</t>
        </is>
      </c>
    </row>
    <row r="12">
      <c r="A12" s="4" t="inlineStr">
        <is>
          <t>Débordement actif?</t>
        </is>
      </c>
      <c r="B12" s="10" t="inlineStr">
        <is>
          <t>Oui</t>
        </is>
      </c>
      <c r="C12" s="4" t="inlineStr">
        <is>
          <t>-</t>
        </is>
      </c>
      <c r="D12" s="4" t="inlineStr">
        <is>
          <t>Oui si HW &gt; clé</t>
        </is>
      </c>
    </row>
    <row r="13">
      <c r="A13" s="4" t="inlineStr">
        <is>
          <t>Dépasse elev_max 37.4?</t>
        </is>
      </c>
      <c r="B13" s="10" t="inlineStr">
        <is>
          <t>Non</t>
        </is>
      </c>
      <c r="C13" s="4" t="inlineStr">
        <is>
          <t>-</t>
        </is>
      </c>
      <c r="D13" s="4" t="inlineStr">
        <is>
          <t>Capacité insuffisante sous 37.4 si Oui</t>
        </is>
      </c>
    </row>
    <row r="14"/>
    <row r="15"/>
    <row r="16">
      <c r="A16" s="11" t="inlineStr">
        <is>
          <t>Interprétation: le ponceau seul est insuffisant pour 9 m³/s. L'excédent passe dans le fossé au-dessus de la clé. Pour un événement dans le temps (et pour changer 9→12): Hydrogramme_entree + Routing_stockage.</t>
        </is>
      </c>
    </row>
    <row r="17"/>
    <row r="18"/>
  </sheetData>
  <mergeCells count="1">
    <mergeCell ref="A16:D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2" customWidth="1" min="3" max="3"/>
    <col width="12" customWidth="1" min="4" max="4"/>
    <col width="12" customWidth="1" min="5" max="5"/>
    <col width="25" customWidth="1" min="6" max="6"/>
    <col width="12" customWidth="1" min="7" max="7"/>
    <col width="34" customWidth="1" min="8" max="8"/>
    <col width="41" customWidth="1" min="9" max="9"/>
  </cols>
  <sheetData>
    <row r="1">
      <c r="A1" s="1" t="inlineStr">
        <is>
          <t>Courbe de tarage Q = f(HW) — ponceau + débordement</t>
        </is>
      </c>
    </row>
    <row r="2">
      <c r="A2" s="2" t="inlineStr">
        <is>
          <t>Q_pipe / Q_débord / Q_total = Python (fixe tant que géométrie fixe). Colonnes S et Ind = formules Excel live (dépendent de Pond A et dt). Utilisées par Routing_stockage (méthode Puls).</t>
        </is>
      </c>
    </row>
    <row r="3">
      <c r="A3" s="7" t="inlineStr">
        <is>
          <t>HW (m)</t>
        </is>
      </c>
      <c r="B3" s="7" t="inlineStr">
        <is>
          <t>WSE=35.36+HW</t>
        </is>
      </c>
      <c r="C3" s="7" t="inlineStr">
        <is>
          <t>Q_ponceau</t>
        </is>
      </c>
      <c r="D3" s="7" t="inlineStr">
        <is>
          <t>Q_débord.</t>
        </is>
      </c>
      <c r="E3" s="7" t="inlineStr">
        <is>
          <t>Q_total</t>
        </is>
      </c>
      <c r="F3" s="7" t="inlineStr">
        <is>
          <t>Contrôle</t>
        </is>
      </c>
      <c r="G3" s="7" t="inlineStr">
        <is>
          <t>S_geo (m³)</t>
        </is>
      </c>
      <c r="H3" s="7" t="inlineStr">
        <is>
          <t>S=S_geo+Pond*HW</t>
        </is>
      </c>
      <c r="I3" s="7" t="inlineStr">
        <is>
          <t>Ind=2S/dt+Q</t>
        </is>
      </c>
    </row>
    <row r="4">
      <c r="A4" s="4" t="n">
        <v>0</v>
      </c>
      <c r="B4" s="12">
        <f>35.36+A4</f>
        <v/>
      </c>
      <c r="C4" s="4" t="n">
        <v>0</v>
      </c>
      <c r="D4" s="4" t="n">
        <v>0</v>
      </c>
      <c r="E4" s="4" t="n">
        <v>0</v>
      </c>
      <c r="F4" s="4" t="inlineStr">
        <is>
          <t>inlet</t>
        </is>
      </c>
      <c r="G4" s="13" t="n">
        <v>0</v>
      </c>
      <c r="H4" s="13">
        <f>G4+Hydrogramme_entree!$B$4*A4</f>
        <v/>
      </c>
      <c r="I4" s="13">
        <f>2*H4/(Hydrogramme_entree!$B$8*60)+E4</f>
        <v/>
      </c>
    </row>
    <row r="5">
      <c r="A5" s="4" t="n">
        <v>0.051</v>
      </c>
      <c r="B5" s="12">
        <f>35.36+A5</f>
        <v/>
      </c>
      <c r="C5" s="4" t="n">
        <v>0.0163</v>
      </c>
      <c r="D5" s="4" t="n">
        <v>0</v>
      </c>
      <c r="E5" s="4" t="n">
        <v>0.0163</v>
      </c>
      <c r="F5" s="4" t="inlineStr">
        <is>
          <t>outlet</t>
        </is>
      </c>
      <c r="G5" s="13" t="n">
        <v>0.7892</v>
      </c>
      <c r="H5" s="13">
        <f>G5+Hydrogramme_entree!$B$4*A5</f>
        <v/>
      </c>
      <c r="I5" s="13">
        <f>2*H5/(Hydrogramme_entree!$B$8*60)+E5</f>
        <v/>
      </c>
    </row>
    <row r="6">
      <c r="A6" s="4" t="n">
        <v>0.102</v>
      </c>
      <c r="B6" s="12">
        <f>35.36+A6</f>
        <v/>
      </c>
      <c r="C6" s="4" t="n">
        <v>0.0709</v>
      </c>
      <c r="D6" s="4" t="n">
        <v>0</v>
      </c>
      <c r="E6" s="4" t="n">
        <v>0.0709</v>
      </c>
      <c r="F6" s="4" t="inlineStr">
        <is>
          <t>outlet</t>
        </is>
      </c>
      <c r="G6" s="13" t="n">
        <v>2.1982</v>
      </c>
      <c r="H6" s="13">
        <f>G6+Hydrogramme_entree!$B$4*A6</f>
        <v/>
      </c>
      <c r="I6" s="13">
        <f>2*H6/(Hydrogramme_entree!$B$8*60)+E6</f>
        <v/>
      </c>
    </row>
    <row r="7">
      <c r="A7" s="4" t="n">
        <v>0.153</v>
      </c>
      <c r="B7" s="12">
        <f>35.36+A7</f>
        <v/>
      </c>
      <c r="C7" s="4" t="n">
        <v>0.1653</v>
      </c>
      <c r="D7" s="4" t="n">
        <v>0</v>
      </c>
      <c r="E7" s="4" t="n">
        <v>0.1653</v>
      </c>
      <c r="F7" s="4" t="inlineStr">
        <is>
          <t>outlet</t>
        </is>
      </c>
      <c r="G7" s="13" t="n">
        <v>3.9749</v>
      </c>
      <c r="H7" s="13">
        <f>G7+Hydrogramme_entree!$B$4*A7</f>
        <v/>
      </c>
      <c r="I7" s="13">
        <f>2*H7/(Hydrogramme_entree!$B$8*60)+E7</f>
        <v/>
      </c>
    </row>
    <row r="8">
      <c r="A8" s="4" t="n">
        <v>0.204</v>
      </c>
      <c r="B8" s="12">
        <f>35.36+A8</f>
        <v/>
      </c>
      <c r="C8" s="4" t="n">
        <v>0.2982</v>
      </c>
      <c r="D8" s="4" t="n">
        <v>0</v>
      </c>
      <c r="E8" s="4" t="n">
        <v>0.2982</v>
      </c>
      <c r="F8" s="4" t="inlineStr">
        <is>
          <t>outlet</t>
        </is>
      </c>
      <c r="G8" s="13" t="n">
        <v>6.0201</v>
      </c>
      <c r="H8" s="13">
        <f>G8+Hydrogramme_entree!$B$4*A8</f>
        <v/>
      </c>
      <c r="I8" s="13">
        <f>2*H8/(Hydrogramme_entree!$B$8*60)+E8</f>
        <v/>
      </c>
    </row>
    <row r="9">
      <c r="A9" s="4" t="n">
        <v>0.255</v>
      </c>
      <c r="B9" s="12">
        <f>35.36+A9</f>
        <v/>
      </c>
      <c r="C9" s="4" t="n">
        <v>0.467</v>
      </c>
      <c r="D9" s="4" t="n">
        <v>0</v>
      </c>
      <c r="E9" s="4" t="n">
        <v>0.467</v>
      </c>
      <c r="F9" s="4" t="inlineStr">
        <is>
          <t>outlet</t>
        </is>
      </c>
      <c r="G9" s="13" t="n">
        <v>8.271100000000001</v>
      </c>
      <c r="H9" s="13">
        <f>G9+Hydrogramme_entree!$B$4*A9</f>
        <v/>
      </c>
      <c r="I9" s="13">
        <f>2*H9/(Hydrogramme_entree!$B$8*60)+E9</f>
        <v/>
      </c>
    </row>
    <row r="10">
      <c r="A10" s="4" t="n">
        <v>0.306</v>
      </c>
      <c r="B10" s="12">
        <f>35.36+A10</f>
        <v/>
      </c>
      <c r="C10" s="4" t="n">
        <v>0.6685</v>
      </c>
      <c r="D10" s="4" t="n">
        <v>0</v>
      </c>
      <c r="E10" s="4" t="n">
        <v>0.6685</v>
      </c>
      <c r="F10" s="4" t="inlineStr">
        <is>
          <t>outlet</t>
        </is>
      </c>
      <c r="G10" s="13" t="n">
        <v>10.6816</v>
      </c>
      <c r="H10" s="13">
        <f>G10+Hydrogramme_entree!$B$4*A10</f>
        <v/>
      </c>
      <c r="I10" s="13">
        <f>2*H10/(Hydrogramme_entree!$B$8*60)+E10</f>
        <v/>
      </c>
    </row>
    <row r="11">
      <c r="A11" s="4" t="n">
        <v>0.357</v>
      </c>
      <c r="B11" s="12">
        <f>35.36+A11</f>
        <v/>
      </c>
      <c r="C11" s="4" t="n">
        <v>0.8988</v>
      </c>
      <c r="D11" s="4" t="n">
        <v>0</v>
      </c>
      <c r="E11" s="4" t="n">
        <v>0.8988</v>
      </c>
      <c r="F11" s="4" t="inlineStr">
        <is>
          <t>outlet</t>
        </is>
      </c>
      <c r="G11" s="13" t="n">
        <v>13.2141</v>
      </c>
      <c r="H11" s="13">
        <f>G11+Hydrogramme_entree!$B$4*A11</f>
        <v/>
      </c>
      <c r="I11" s="13">
        <f>2*H11/(Hydrogramme_entree!$B$8*60)+E11</f>
        <v/>
      </c>
    </row>
    <row r="12">
      <c r="A12" s="4" t="n">
        <v>0.408</v>
      </c>
      <c r="B12" s="12">
        <f>35.36+A12</f>
        <v/>
      </c>
      <c r="C12" s="4" t="n">
        <v>1.1538</v>
      </c>
      <c r="D12" s="4" t="n">
        <v>0</v>
      </c>
      <c r="E12" s="4" t="n">
        <v>1.1538</v>
      </c>
      <c r="F12" s="4" t="inlineStr">
        <is>
          <t>outlet</t>
        </is>
      </c>
      <c r="G12" s="13" t="n">
        <v>15.8363</v>
      </c>
      <c r="H12" s="13">
        <f>G12+Hydrogramme_entree!$B$4*A12</f>
        <v/>
      </c>
      <c r="I12" s="13">
        <f>2*H12/(Hydrogramme_entree!$B$8*60)+E12</f>
        <v/>
      </c>
    </row>
    <row r="13">
      <c r="A13" s="4" t="n">
        <v>0.459</v>
      </c>
      <c r="B13" s="12">
        <f>35.36+A13</f>
        <v/>
      </c>
      <c r="C13" s="4" t="n">
        <v>1.4286</v>
      </c>
      <c r="D13" s="4" t="n">
        <v>0</v>
      </c>
      <c r="E13" s="4" t="n">
        <v>1.4286</v>
      </c>
      <c r="F13" s="4" t="inlineStr">
        <is>
          <t>outlet</t>
        </is>
      </c>
      <c r="G13" s="13" t="n">
        <v>18.5191</v>
      </c>
      <c r="H13" s="13">
        <f>G13+Hydrogramme_entree!$B$4*A13</f>
        <v/>
      </c>
      <c r="I13" s="13">
        <f>2*H13/(Hydrogramme_entree!$B$8*60)+E13</f>
        <v/>
      </c>
    </row>
    <row r="14">
      <c r="A14" s="4" t="n">
        <v>0.51</v>
      </c>
      <c r="B14" s="12">
        <f>35.36+A14</f>
        <v/>
      </c>
      <c r="C14" s="4" t="n">
        <v>1.7182</v>
      </c>
      <c r="D14" s="4" t="n">
        <v>0</v>
      </c>
      <c r="E14" s="4" t="n">
        <v>1.7182</v>
      </c>
      <c r="F14" s="4" t="inlineStr">
        <is>
          <t>outlet</t>
        </is>
      </c>
      <c r="G14" s="13" t="n">
        <v>21.2356</v>
      </c>
      <c r="H14" s="13">
        <f>G14+Hydrogramme_entree!$B$4*A14</f>
        <v/>
      </c>
      <c r="I14" s="13">
        <f>2*H14/(Hydrogramme_entree!$B$8*60)+E14</f>
        <v/>
      </c>
    </row>
    <row r="15">
      <c r="A15" s="4" t="n">
        <v>0.5610000000000001</v>
      </c>
      <c r="B15" s="12">
        <f>35.36+A15</f>
        <v/>
      </c>
      <c r="C15" s="4" t="n">
        <v>2.0172</v>
      </c>
      <c r="D15" s="4" t="n">
        <v>0</v>
      </c>
      <c r="E15" s="4" t="n">
        <v>2.0172</v>
      </c>
      <c r="F15" s="4" t="inlineStr">
        <is>
          <t>outlet</t>
        </is>
      </c>
      <c r="G15" s="13" t="n">
        <v>23.9597</v>
      </c>
      <c r="H15" s="13">
        <f>G15+Hydrogramme_entree!$B$4*A15</f>
        <v/>
      </c>
      <c r="I15" s="13">
        <f>2*H15/(Hydrogramme_entree!$B$8*60)+E15</f>
        <v/>
      </c>
    </row>
    <row r="16">
      <c r="A16" s="4" t="n">
        <v>0.612</v>
      </c>
      <c r="B16" s="12">
        <f>35.36+A16</f>
        <v/>
      </c>
      <c r="C16" s="4" t="n">
        <v>2.3196</v>
      </c>
      <c r="D16" s="4" t="n">
        <v>0</v>
      </c>
      <c r="E16" s="4" t="n">
        <v>2.3196</v>
      </c>
      <c r="F16" s="4" t="inlineStr">
        <is>
          <t>outlet</t>
        </is>
      </c>
      <c r="G16" s="13" t="n">
        <v>26.6655</v>
      </c>
      <c r="H16" s="13">
        <f>G16+Hydrogramme_entree!$B$4*A16</f>
        <v/>
      </c>
      <c r="I16" s="13">
        <f>2*H16/(Hydrogramme_entree!$B$8*60)+E16</f>
        <v/>
      </c>
    </row>
    <row r="17">
      <c r="A17" s="4" t="n">
        <v>0.663</v>
      </c>
      <c r="B17" s="12">
        <f>35.36+A17</f>
        <v/>
      </c>
      <c r="C17" s="4" t="n">
        <v>2.619</v>
      </c>
      <c r="D17" s="4" t="n">
        <v>0</v>
      </c>
      <c r="E17" s="4" t="n">
        <v>2.619</v>
      </c>
      <c r="F17" s="4" t="inlineStr">
        <is>
          <t>outlet</t>
        </is>
      </c>
      <c r="G17" s="13" t="n">
        <v>29.3268</v>
      </c>
      <c r="H17" s="13">
        <f>G17+Hydrogramme_entree!$B$4*A17</f>
        <v/>
      </c>
      <c r="I17" s="13">
        <f>2*H17/(Hydrogramme_entree!$B$8*60)+E17</f>
        <v/>
      </c>
    </row>
    <row r="18">
      <c r="A18" s="4" t="n">
        <v>0.714</v>
      </c>
      <c r="B18" s="12">
        <f>35.36+A18</f>
        <v/>
      </c>
      <c r="C18" s="4" t="n">
        <v>2.9086</v>
      </c>
      <c r="D18" s="4" t="n">
        <v>0</v>
      </c>
      <c r="E18" s="4" t="n">
        <v>2.9086</v>
      </c>
      <c r="F18" s="4" t="inlineStr">
        <is>
          <t>outlet</t>
        </is>
      </c>
      <c r="G18" s="13" t="n">
        <v>31.9157</v>
      </c>
      <c r="H18" s="13">
        <f>G18+Hydrogramme_entree!$B$4*A18</f>
        <v/>
      </c>
      <c r="I18" s="13">
        <f>2*H18/(Hydrogramme_entree!$B$8*60)+E18</f>
        <v/>
      </c>
    </row>
    <row r="19">
      <c r="A19" s="4" t="n">
        <v>0.765</v>
      </c>
      <c r="B19" s="12">
        <f>35.36+A19</f>
        <v/>
      </c>
      <c r="C19" s="4" t="n">
        <v>3.1805</v>
      </c>
      <c r="D19" s="4" t="n">
        <v>0</v>
      </c>
      <c r="E19" s="4" t="n">
        <v>3.1805</v>
      </c>
      <c r="F19" s="4" t="inlineStr">
        <is>
          <t>outlet</t>
        </is>
      </c>
      <c r="G19" s="13" t="n">
        <v>34.4021</v>
      </c>
      <c r="H19" s="13">
        <f>G19+Hydrogramme_entree!$B$4*A19</f>
        <v/>
      </c>
      <c r="I19" s="13">
        <f>2*H19/(Hydrogramme_entree!$B$8*60)+E19</f>
        <v/>
      </c>
    </row>
    <row r="20">
      <c r="A20" s="4" t="n">
        <v>0.8159999999999999</v>
      </c>
      <c r="B20" s="12">
        <f>35.36+A20</f>
        <v/>
      </c>
      <c r="C20" s="4" t="n">
        <v>3.4261</v>
      </c>
      <c r="D20" s="4" t="n">
        <v>0</v>
      </c>
      <c r="E20" s="4" t="n">
        <v>3.4261</v>
      </c>
      <c r="F20" s="4" t="inlineStr">
        <is>
          <t>outlet</t>
        </is>
      </c>
      <c r="G20" s="13" t="n">
        <v>36.7519</v>
      </c>
      <c r="H20" s="13">
        <f>G20+Hydrogramme_entree!$B$4*A20</f>
        <v/>
      </c>
      <c r="I20" s="13">
        <f>2*H20/(Hydrogramme_entree!$B$8*60)+E20</f>
        <v/>
      </c>
    </row>
    <row r="21">
      <c r="A21" s="4" t="n">
        <v>0.867</v>
      </c>
      <c r="B21" s="12">
        <f>35.36+A21</f>
        <v/>
      </c>
      <c r="C21" s="4" t="n">
        <v>3.6346</v>
      </c>
      <c r="D21" s="4" t="n">
        <v>0</v>
      </c>
      <c r="E21" s="4" t="n">
        <v>3.6346</v>
      </c>
      <c r="F21" s="4" t="inlineStr">
        <is>
          <t>outlet</t>
        </is>
      </c>
      <c r="G21" s="13" t="n">
        <v>38.9244</v>
      </c>
      <c r="H21" s="13">
        <f>G21+Hydrogramme_entree!$B$4*A21</f>
        <v/>
      </c>
      <c r="I21" s="13">
        <f>2*H21/(Hydrogramme_entree!$B$8*60)+E21</f>
        <v/>
      </c>
    </row>
    <row r="22">
      <c r="A22" s="4" t="n">
        <v>0.918</v>
      </c>
      <c r="B22" s="12">
        <f>35.36+A22</f>
        <v/>
      </c>
      <c r="C22" s="4" t="n">
        <v>3.7922</v>
      </c>
      <c r="D22" s="4" t="n">
        <v>0</v>
      </c>
      <c r="E22" s="4" t="n">
        <v>3.7922</v>
      </c>
      <c r="F22" s="4" t="inlineStr">
        <is>
          <t>outlet</t>
        </is>
      </c>
      <c r="G22" s="13" t="n">
        <v>40.868</v>
      </c>
      <c r="H22" s="13">
        <f>G22+Hydrogramme_entree!$B$4*A22</f>
        <v/>
      </c>
      <c r="I22" s="13">
        <f>2*H22/(Hydrogramme_entree!$B$8*60)+E22</f>
        <v/>
      </c>
    </row>
    <row r="23">
      <c r="A23" s="4" t="n">
        <v>0.969</v>
      </c>
      <c r="B23" s="12">
        <f>35.36+A23</f>
        <v/>
      </c>
      <c r="C23" s="4" t="n">
        <v>3.8779</v>
      </c>
      <c r="D23" s="4" t="n">
        <v>0</v>
      </c>
      <c r="E23" s="4" t="n">
        <v>3.8779</v>
      </c>
      <c r="F23" s="4" t="inlineStr">
        <is>
          <t>outlet</t>
        </is>
      </c>
      <c r="G23" s="13" t="n">
        <v>42.5088</v>
      </c>
      <c r="H23" s="13">
        <f>G23+Hydrogramme_entree!$B$4*A23</f>
        <v/>
      </c>
      <c r="I23" s="13">
        <f>2*H23/(Hydrogramme_entree!$B$8*60)+E23</f>
        <v/>
      </c>
    </row>
    <row r="24">
      <c r="A24" s="4" t="n">
        <v>1.02</v>
      </c>
      <c r="B24" s="12">
        <f>35.36+A24</f>
        <v/>
      </c>
      <c r="C24" s="4" t="n">
        <v>3.8445</v>
      </c>
      <c r="D24" s="4" t="n">
        <v>0</v>
      </c>
      <c r="E24" s="4" t="n">
        <v>3.8445</v>
      </c>
      <c r="F24" s="4" t="inlineStr">
        <is>
          <t>outlet</t>
        </is>
      </c>
      <c r="G24" s="13" t="n">
        <v>43.7161</v>
      </c>
      <c r="H24" s="13">
        <f>G24+Hydrogramme_entree!$B$4*A24</f>
        <v/>
      </c>
      <c r="I24" s="13">
        <f>2*H24/(Hydrogramme_entree!$B$8*60)+E24</f>
        <v/>
      </c>
    </row>
    <row r="25">
      <c r="A25" s="4" t="n">
        <v>1.071</v>
      </c>
      <c r="B25" s="12">
        <f>35.36+A25</f>
        <v/>
      </c>
      <c r="C25" s="4" t="n">
        <v>3.6177</v>
      </c>
      <c r="D25" s="4" t="n">
        <v>0.0094</v>
      </c>
      <c r="E25" s="4" t="n">
        <v>3.6272</v>
      </c>
      <c r="F25" s="4" t="inlineStr">
        <is>
          <t>compound/outlet+surface</t>
        </is>
      </c>
      <c r="G25" s="13" t="n">
        <v>46.2571</v>
      </c>
      <c r="H25" s="13">
        <f>G25+Hydrogramme_entree!$B$4*A25</f>
        <v/>
      </c>
      <c r="I25" s="13">
        <f>2*H25/(Hydrogramme_entree!$B$8*60)+E25</f>
        <v/>
      </c>
    </row>
    <row r="26">
      <c r="A26" s="4" t="n">
        <v>1.122</v>
      </c>
      <c r="B26" s="12">
        <f>35.36+A26</f>
        <v/>
      </c>
      <c r="C26" s="4" t="n">
        <v>3.6645</v>
      </c>
      <c r="D26" s="4" t="n">
        <v>0.07439999999999999</v>
      </c>
      <c r="E26" s="4" t="n">
        <v>3.7389</v>
      </c>
      <c r="F26" s="4" t="inlineStr">
        <is>
          <t>compound/outlet+surface</t>
        </is>
      </c>
      <c r="G26" s="13" t="n">
        <v>51.9317</v>
      </c>
      <c r="H26" s="13">
        <f>G26+Hydrogramme_entree!$B$4*A26</f>
        <v/>
      </c>
      <c r="I26" s="13">
        <f>2*H26/(Hydrogramme_entree!$B$8*60)+E26</f>
        <v/>
      </c>
    </row>
    <row r="27">
      <c r="A27" s="4" t="n">
        <v>1.173</v>
      </c>
      <c r="B27" s="12">
        <f>35.36+A27</f>
        <v/>
      </c>
      <c r="C27" s="4" t="n">
        <v>3.7106</v>
      </c>
      <c r="D27" s="4" t="n">
        <v>0.1845</v>
      </c>
      <c r="E27" s="4" t="n">
        <v>3.8951</v>
      </c>
      <c r="F27" s="4" t="inlineStr">
        <is>
          <t>compound/outlet+surface</t>
        </is>
      </c>
      <c r="G27" s="13" t="n">
        <v>58.1359</v>
      </c>
      <c r="H27" s="13">
        <f>G27+Hydrogramme_entree!$B$4*A27</f>
        <v/>
      </c>
      <c r="I27" s="13">
        <f>2*H27/(Hydrogramme_entree!$B$8*60)+E27</f>
        <v/>
      </c>
    </row>
    <row r="28">
      <c r="A28" s="4" t="n">
        <v>1.224</v>
      </c>
      <c r="B28" s="12">
        <f>35.36+A28</f>
        <v/>
      </c>
      <c r="C28" s="4" t="n">
        <v>3.7562</v>
      </c>
      <c r="D28" s="4" t="n">
        <v>0.3345</v>
      </c>
      <c r="E28" s="4" t="n">
        <v>4.0907</v>
      </c>
      <c r="F28" s="4" t="inlineStr">
        <is>
          <t>compound/outlet+surface</t>
        </is>
      </c>
      <c r="G28" s="13" t="n">
        <v>64.86969999999999</v>
      </c>
      <c r="H28" s="13">
        <f>G28+Hydrogramme_entree!$B$4*A28</f>
        <v/>
      </c>
      <c r="I28" s="13">
        <f>2*H28/(Hydrogramme_entree!$B$8*60)+E28</f>
        <v/>
      </c>
    </row>
    <row r="29">
      <c r="A29" s="4" t="n">
        <v>1.275</v>
      </c>
      <c r="B29" s="12">
        <f>35.36+A29</f>
        <v/>
      </c>
      <c r="C29" s="4" t="n">
        <v>3.8013</v>
      </c>
      <c r="D29" s="4" t="n">
        <v>0.5228</v>
      </c>
      <c r="E29" s="4" t="n">
        <v>4.3241</v>
      </c>
      <c r="F29" s="4" t="inlineStr">
        <is>
          <t>compound/outlet+surface</t>
        </is>
      </c>
      <c r="G29" s="13" t="n">
        <v>72.133</v>
      </c>
      <c r="H29" s="13">
        <f>G29+Hydrogramme_entree!$B$4*A29</f>
        <v/>
      </c>
      <c r="I29" s="13">
        <f>2*H29/(Hydrogramme_entree!$B$8*60)+E29</f>
        <v/>
      </c>
    </row>
    <row r="30">
      <c r="A30" s="4" t="n">
        <v>1.326</v>
      </c>
      <c r="B30" s="12">
        <f>35.36+A30</f>
        <v/>
      </c>
      <c r="C30" s="4" t="n">
        <v>3.8458</v>
      </c>
      <c r="D30" s="4" t="n">
        <v>0.7492</v>
      </c>
      <c r="E30" s="4" t="n">
        <v>4.5949</v>
      </c>
      <c r="F30" s="4" t="inlineStr">
        <is>
          <t>compound/outlet+surface</t>
        </is>
      </c>
      <c r="G30" s="13" t="n">
        <v>79.9259</v>
      </c>
      <c r="H30" s="13">
        <f>G30+Hydrogramme_entree!$B$4*A30</f>
        <v/>
      </c>
      <c r="I30" s="13">
        <f>2*H30/(Hydrogramme_entree!$B$8*60)+E30</f>
        <v/>
      </c>
    </row>
    <row r="31">
      <c r="A31" s="4" t="n">
        <v>1.377</v>
      </c>
      <c r="B31" s="12">
        <f>35.36+A31</f>
        <v/>
      </c>
      <c r="C31" s="4" t="n">
        <v>3.8898</v>
      </c>
      <c r="D31" s="4" t="n">
        <v>1.0138</v>
      </c>
      <c r="E31" s="4" t="n">
        <v>4.9036</v>
      </c>
      <c r="F31" s="4" t="inlineStr">
        <is>
          <t>compound/outlet+surface</t>
        </is>
      </c>
      <c r="G31" s="13" t="n">
        <v>88.2484</v>
      </c>
      <c r="H31" s="13">
        <f>G31+Hydrogramme_entree!$B$4*A31</f>
        <v/>
      </c>
      <c r="I31" s="13">
        <f>2*H31/(Hydrogramme_entree!$B$8*60)+E31</f>
        <v/>
      </c>
    </row>
    <row r="32">
      <c r="A32" s="4" t="n">
        <v>1.428</v>
      </c>
      <c r="B32" s="12">
        <f>35.36+A32</f>
        <v/>
      </c>
      <c r="C32" s="4" t="n">
        <v>3.9333</v>
      </c>
      <c r="D32" s="4" t="n">
        <v>1.3173</v>
      </c>
      <c r="E32" s="4" t="n">
        <v>5.2506</v>
      </c>
      <c r="F32" s="4" t="inlineStr">
        <is>
          <t>compound/outlet+surface</t>
        </is>
      </c>
      <c r="G32" s="13" t="n">
        <v>97.10039999999999</v>
      </c>
      <c r="H32" s="13">
        <f>G32+Hydrogramme_entree!$B$4*A32</f>
        <v/>
      </c>
      <c r="I32" s="13">
        <f>2*H32/(Hydrogramme_entree!$B$8*60)+E32</f>
        <v/>
      </c>
    </row>
    <row r="33">
      <c r="A33" s="4" t="n">
        <v>1.479</v>
      </c>
      <c r="B33" s="12">
        <f>35.36+A33</f>
        <v/>
      </c>
      <c r="C33" s="4" t="n">
        <v>3.9763</v>
      </c>
      <c r="D33" s="4" t="n">
        <v>1.6605</v>
      </c>
      <c r="E33" s="4" t="n">
        <v>5.6368</v>
      </c>
      <c r="F33" s="4" t="inlineStr">
        <is>
          <t>compound/outlet+surface</t>
        </is>
      </c>
      <c r="G33" s="13" t="n">
        <v>106.482</v>
      </c>
      <c r="H33" s="13">
        <f>G33+Hydrogramme_entree!$B$4*A33</f>
        <v/>
      </c>
      <c r="I33" s="13">
        <f>2*H33/(Hydrogramme_entree!$B$8*60)+E33</f>
        <v/>
      </c>
    </row>
    <row r="34">
      <c r="A34" s="4" t="n">
        <v>1.53</v>
      </c>
      <c r="B34" s="12">
        <f>35.36+A34</f>
        <v/>
      </c>
      <c r="C34" s="4" t="n">
        <v>4.0189</v>
      </c>
      <c r="D34" s="4" t="n">
        <v>2.0443</v>
      </c>
      <c r="E34" s="4" t="n">
        <v>6.0632</v>
      </c>
      <c r="F34" s="4" t="inlineStr">
        <is>
          <t>compound/outlet+surface</t>
        </is>
      </c>
      <c r="G34" s="13" t="n">
        <v>116.3931</v>
      </c>
      <c r="H34" s="13">
        <f>G34+Hydrogramme_entree!$B$4*A34</f>
        <v/>
      </c>
      <c r="I34" s="13">
        <f>2*H34/(Hydrogramme_entree!$B$8*60)+E34</f>
        <v/>
      </c>
    </row>
    <row r="35">
      <c r="A35" s="4" t="n">
        <v>1.581</v>
      </c>
      <c r="B35" s="12">
        <f>35.36+A35</f>
        <v/>
      </c>
      <c r="C35" s="4" t="n">
        <v>4.061</v>
      </c>
      <c r="D35" s="4" t="n">
        <v>2.4698</v>
      </c>
      <c r="E35" s="4" t="n">
        <v>6.5308</v>
      </c>
      <c r="F35" s="4" t="inlineStr">
        <is>
          <t>compound/outlet+surface</t>
        </is>
      </c>
      <c r="G35" s="13" t="n">
        <v>126.8338</v>
      </c>
      <c r="H35" s="13">
        <f>G35+Hydrogramme_entree!$B$4*A35</f>
        <v/>
      </c>
      <c r="I35" s="13">
        <f>2*H35/(Hydrogramme_entree!$B$8*60)+E35</f>
        <v/>
      </c>
    </row>
    <row r="36">
      <c r="A36" s="4" t="n">
        <v>1.632</v>
      </c>
      <c r="B36" s="12">
        <f>35.36+A36</f>
        <v/>
      </c>
      <c r="C36" s="4" t="n">
        <v>4.1027</v>
      </c>
      <c r="D36" s="4" t="n">
        <v>2.9379</v>
      </c>
      <c r="E36" s="4" t="n">
        <v>7.0406</v>
      </c>
      <c r="F36" s="4" t="inlineStr">
        <is>
          <t>compound/outlet+surface</t>
        </is>
      </c>
      <c r="G36" s="13" t="n">
        <v>137.8041</v>
      </c>
      <c r="H36" s="13">
        <f>G36+Hydrogramme_entree!$B$4*A36</f>
        <v/>
      </c>
      <c r="I36" s="13">
        <f>2*H36/(Hydrogramme_entree!$B$8*60)+E36</f>
        <v/>
      </c>
    </row>
    <row r="37">
      <c r="A37" s="4" t="n">
        <v>1.683</v>
      </c>
      <c r="B37" s="12">
        <f>35.36+A37</f>
        <v/>
      </c>
      <c r="C37" s="4" t="n">
        <v>4.144</v>
      </c>
      <c r="D37" s="4" t="n">
        <v>3.4499</v>
      </c>
      <c r="E37" s="4" t="n">
        <v>7.5939</v>
      </c>
      <c r="F37" s="4" t="inlineStr">
        <is>
          <t>compound/outlet+surface</t>
        </is>
      </c>
      <c r="G37" s="13" t="n">
        <v>149.3039</v>
      </c>
      <c r="H37" s="13">
        <f>G37+Hydrogramme_entree!$B$4*A37</f>
        <v/>
      </c>
      <c r="I37" s="13">
        <f>2*H37/(Hydrogramme_entree!$B$8*60)+E37</f>
        <v/>
      </c>
    </row>
    <row r="38">
      <c r="A38" s="4" t="n">
        <v>1.734</v>
      </c>
      <c r="B38" s="12">
        <f>35.36+A38</f>
        <v/>
      </c>
      <c r="C38" s="4" t="n">
        <v>4.1848</v>
      </c>
      <c r="D38" s="4" t="n">
        <v>4.0068</v>
      </c>
      <c r="E38" s="4" t="n">
        <v>8.191599999999999</v>
      </c>
      <c r="F38" s="4" t="inlineStr">
        <is>
          <t>compound/outlet+surface</t>
        </is>
      </c>
      <c r="G38" s="13" t="n">
        <v>161.3333</v>
      </c>
      <c r="H38" s="13">
        <f>G38+Hydrogramme_entree!$B$4*A38</f>
        <v/>
      </c>
      <c r="I38" s="13">
        <f>2*H38/(Hydrogramme_entree!$B$8*60)+E38</f>
        <v/>
      </c>
    </row>
    <row r="39">
      <c r="A39" s="4" t="n">
        <v>1.785</v>
      </c>
      <c r="B39" s="12">
        <f>35.36+A39</f>
        <v/>
      </c>
      <c r="C39" s="4" t="n">
        <v>4.2253</v>
      </c>
      <c r="D39" s="4" t="n">
        <v>4.6098</v>
      </c>
      <c r="E39" s="4" t="n">
        <v>8.835100000000001</v>
      </c>
      <c r="F39" s="4" t="inlineStr">
        <is>
          <t>compound/outlet+surface</t>
        </is>
      </c>
      <c r="G39" s="13" t="n">
        <v>173.8923</v>
      </c>
      <c r="H39" s="13">
        <f>G39+Hydrogramme_entree!$B$4*A39</f>
        <v/>
      </c>
      <c r="I39" s="13">
        <f>2*H39/(Hydrogramme_entree!$B$8*60)+E39</f>
        <v/>
      </c>
    </row>
    <row r="40">
      <c r="A40" s="4" t="n">
        <v>1.836</v>
      </c>
      <c r="B40" s="12">
        <f>35.36+A40</f>
        <v/>
      </c>
      <c r="C40" s="4" t="n">
        <v>4.2654</v>
      </c>
      <c r="D40" s="4" t="n">
        <v>5.2599</v>
      </c>
      <c r="E40" s="4" t="n">
        <v>9.5253</v>
      </c>
      <c r="F40" s="4" t="inlineStr">
        <is>
          <t>compound/outlet+surface</t>
        </is>
      </c>
      <c r="G40" s="13" t="n">
        <v>186.9808</v>
      </c>
      <c r="H40" s="13">
        <f>G40+Hydrogramme_entree!$B$4*A40</f>
        <v/>
      </c>
      <c r="I40" s="13">
        <f>2*H40/(Hydrogramme_entree!$B$8*60)+E40</f>
        <v/>
      </c>
    </row>
    <row r="41">
      <c r="A41" s="4" t="n">
        <v>1.887</v>
      </c>
      <c r="B41" s="12">
        <f>35.36+A41</f>
        <v/>
      </c>
      <c r="C41" s="4" t="n">
        <v>4.3051</v>
      </c>
      <c r="D41" s="4" t="n">
        <v>5.9584</v>
      </c>
      <c r="E41" s="4" t="n">
        <v>10.2635</v>
      </c>
      <c r="F41" s="4" t="inlineStr">
        <is>
          <t>compound/outlet+surface</t>
        </is>
      </c>
      <c r="G41" s="13" t="n">
        <v>200.5989</v>
      </c>
      <c r="H41" s="13">
        <f>G41+Hydrogramme_entree!$B$4*A41</f>
        <v/>
      </c>
      <c r="I41" s="13">
        <f>2*H41/(Hydrogramme_entree!$B$8*60)+E41</f>
        <v/>
      </c>
    </row>
    <row r="42">
      <c r="A42" s="4" t="n">
        <v>1.938</v>
      </c>
      <c r="B42" s="12">
        <f>35.36+A42</f>
        <v/>
      </c>
      <c r="C42" s="4" t="n">
        <v>4.3445</v>
      </c>
      <c r="D42" s="4" t="n">
        <v>6.7064</v>
      </c>
      <c r="E42" s="4" t="n">
        <v>11.0509</v>
      </c>
      <c r="F42" s="4" t="inlineStr">
        <is>
          <t>compound/outlet+surface</t>
        </is>
      </c>
      <c r="G42" s="13" t="n">
        <v>214.7466</v>
      </c>
      <c r="H42" s="13">
        <f>G42+Hydrogramme_entree!$B$4*A42</f>
        <v/>
      </c>
      <c r="I42" s="13">
        <f>2*H42/(Hydrogramme_entree!$B$8*60)+E42</f>
        <v/>
      </c>
    </row>
    <row r="43">
      <c r="A43" s="4" t="n">
        <v>1.989</v>
      </c>
      <c r="B43" s="12">
        <f>35.36+A43</f>
        <v/>
      </c>
      <c r="C43" s="4" t="n">
        <v>4.3835</v>
      </c>
      <c r="D43" s="4" t="n">
        <v>7.505</v>
      </c>
      <c r="E43" s="4" t="n">
        <v>11.8884</v>
      </c>
      <c r="F43" s="4" t="inlineStr">
        <is>
          <t>compound/outlet+surface</t>
        </is>
      </c>
      <c r="G43" s="13" t="n">
        <v>229.4238</v>
      </c>
      <c r="H43" s="13">
        <f>G43+Hydrogramme_entree!$B$4*A43</f>
        <v/>
      </c>
      <c r="I43" s="13">
        <f>2*H43/(Hydrogramme_entree!$B$8*60)+E43</f>
        <v/>
      </c>
    </row>
    <row r="44">
      <c r="A44" s="4" t="n">
        <v>2.04</v>
      </c>
      <c r="B44" s="12">
        <f>35.36+A44</f>
        <v/>
      </c>
      <c r="C44" s="4" t="n">
        <v>4.4221</v>
      </c>
      <c r="D44" s="4" t="n">
        <v>8.3553</v>
      </c>
      <c r="E44" s="4" t="n">
        <v>12.7775</v>
      </c>
      <c r="F44" s="4" t="inlineStr">
        <is>
          <t>compound/outlet+surface</t>
        </is>
      </c>
      <c r="G44" s="13" t="n">
        <v>244.6306</v>
      </c>
      <c r="H44" s="13">
        <f>G44+Hydrogramme_entree!$B$4*A44</f>
        <v/>
      </c>
      <c r="I44" s="13">
        <f>2*H44/(Hydrogramme_entree!$B$8*60)+E44</f>
        <v/>
      </c>
    </row>
    <row r="45"/>
    <row r="46">
      <c r="A46" t="inlineStr">
        <is>
          <t>Ligne jaune ≈ Q_total ≈ 9 m³/s (référence)</t>
        </is>
      </c>
    </row>
    <row r="47">
      <c r="A47" s="6" t="inlineStr">
        <is>
          <t>H = S_geo + PondA*HW ; I = 2*S/(dt*60)+Q_total. PondA et dt = Hydrogramme_entree B4 et B8.</t>
        </is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2" customWidth="1" min="4" max="4"/>
  </cols>
  <sheetData>
    <row r="1">
      <c r="A1" s="14" t="inlineStr">
        <is>
          <t>Hydrogramme d'entrée Q(t) — TRIANGLE avec FORMULES EXCEL LIVE</t>
        </is>
      </c>
    </row>
    <row r="2">
      <c r="A2" s="2" t="inlineStr">
        <is>
          <t>Éditez les cellules JAUNES (B4–B8). Exemple: pour Q=12, mettez 12 dans B5. La colonne Q_in et la feuille Routing_stockage se recalculent automatiquement. Formules: voir Formules_explications §7.</t>
        </is>
      </c>
    </row>
    <row r="3">
      <c r="A3" s="15" t="inlineStr">
        <is>
          <t>Options (éditer ici)</t>
        </is>
      </c>
    </row>
    <row r="4">
      <c r="A4" t="inlineStr">
        <is>
          <t>Pond amont A (m²)</t>
        </is>
      </c>
      <c r="B4" s="5" t="n">
        <v>50</v>
      </c>
      <c r="C4" s="16" t="inlineStr">
        <is>
          <t>0 = tuyau+fossé seulement; &gt;0 = bassin amont simplifié</t>
        </is>
      </c>
    </row>
    <row r="5">
      <c r="A5" t="inlineStr">
        <is>
          <t>Q pointe triangle (m³/s)</t>
        </is>
      </c>
      <c r="B5" s="5" t="n">
        <v>9</v>
      </c>
      <c r="C5" s="16" t="inlineStr">
        <is>
          <t>Changer 9 → 12 ici pour un nouvel hydrogramme</t>
        </is>
      </c>
    </row>
    <row r="6">
      <c r="A6" t="inlineStr">
        <is>
          <t>Montée (min)</t>
        </is>
      </c>
      <c r="B6" s="5" t="n">
        <v>40</v>
      </c>
      <c r="C6" s="16" t="inlineStr">
        <is>
          <t>Durée de la montée jusqu'à la pointe</t>
        </is>
      </c>
    </row>
    <row r="7">
      <c r="A7" t="inlineStr">
        <is>
          <t>Descente (min)</t>
        </is>
      </c>
      <c r="B7" s="5" t="n">
        <v>80</v>
      </c>
      <c r="C7" s="16" t="inlineStr">
        <is>
          <t>Durée de la descente après la pointe</t>
        </is>
      </c>
    </row>
    <row r="8">
      <c r="A8" t="inlineStr">
        <is>
          <t>Pas dt (min)</t>
        </is>
      </c>
      <c r="B8" s="5" t="n">
        <v>5</v>
      </c>
      <c r="C8" s="16" t="inlineStr">
        <is>
          <t>Pas de temps de l'hydrogramme / routing</t>
        </is>
      </c>
    </row>
    <row r="9">
      <c r="A9" s="17" t="inlineStr">
        <is>
          <t>Formule Q_in: SI(t&lt;=Montée; Qpointe*t/Montée; MAX(0; Qpointe*(1-(t-Montée)/Descente)))</t>
        </is>
      </c>
    </row>
    <row r="10">
      <c r="A10" s="7" t="inlineStr">
        <is>
          <t>t (min)</t>
        </is>
      </c>
      <c r="B10" s="7" t="inlineStr">
        <is>
          <t>Q_in (m³/s)  ← formule</t>
        </is>
      </c>
    </row>
    <row r="11">
      <c r="A11" s="4" t="n">
        <v>0</v>
      </c>
      <c r="B11" s="18">
        <f>IF(A11="","",IF(A11&lt;=$B$6,$B$5*A11/$B$6,MAX(0,$B$5*(1-(A11-$B$6)/$B$7))))</f>
        <v/>
      </c>
    </row>
    <row r="12">
      <c r="A12" s="4">
        <f>IF(A11="","",IF(A11+$B$8&gt;$B$6+$B$7,"",A11+$B$8))</f>
        <v/>
      </c>
      <c r="B12" s="18">
        <f>IF(A12="","",IF(A12&lt;=$B$6,$B$5*A12/$B$6,MAX(0,$B$5*(1-(A12-$B$6)/$B$7))))</f>
        <v/>
      </c>
    </row>
    <row r="13">
      <c r="A13" s="4">
        <f>IF(A12="","",IF(A12+$B$8&gt;$B$6+$B$7,"",A12+$B$8))</f>
        <v/>
      </c>
      <c r="B13" s="18">
        <f>IF(A13="","",IF(A13&lt;=$B$6,$B$5*A13/$B$6,MAX(0,$B$5*(1-(A13-$B$6)/$B$7))))</f>
        <v/>
      </c>
    </row>
    <row r="14">
      <c r="A14" s="4">
        <f>IF(A13="","",IF(A13+$B$8&gt;$B$6+$B$7,"",A13+$B$8))</f>
        <v/>
      </c>
      <c r="B14" s="18">
        <f>IF(A14="","",IF(A14&lt;=$B$6,$B$5*A14/$B$6,MAX(0,$B$5*(1-(A14-$B$6)/$B$7))))</f>
        <v/>
      </c>
    </row>
    <row r="15">
      <c r="A15" s="4">
        <f>IF(A14="","",IF(A14+$B$8&gt;$B$6+$B$7,"",A14+$B$8))</f>
        <v/>
      </c>
      <c r="B15" s="18">
        <f>IF(A15="","",IF(A15&lt;=$B$6,$B$5*A15/$B$6,MAX(0,$B$5*(1-(A15-$B$6)/$B$7))))</f>
        <v/>
      </c>
    </row>
    <row r="16">
      <c r="A16" s="4">
        <f>IF(A15="","",IF(A15+$B$8&gt;$B$6+$B$7,"",A15+$B$8))</f>
        <v/>
      </c>
      <c r="B16" s="18">
        <f>IF(A16="","",IF(A16&lt;=$B$6,$B$5*A16/$B$6,MAX(0,$B$5*(1-(A16-$B$6)/$B$7))))</f>
        <v/>
      </c>
    </row>
    <row r="17">
      <c r="A17" s="4">
        <f>IF(A16="","",IF(A16+$B$8&gt;$B$6+$B$7,"",A16+$B$8))</f>
        <v/>
      </c>
      <c r="B17" s="18">
        <f>IF(A17="","",IF(A17&lt;=$B$6,$B$5*A17/$B$6,MAX(0,$B$5*(1-(A17-$B$6)/$B$7))))</f>
        <v/>
      </c>
    </row>
    <row r="18">
      <c r="A18" s="4">
        <f>IF(A17="","",IF(A17+$B$8&gt;$B$6+$B$7,"",A17+$B$8))</f>
        <v/>
      </c>
      <c r="B18" s="18">
        <f>IF(A18="","",IF(A18&lt;=$B$6,$B$5*A18/$B$6,MAX(0,$B$5*(1-(A18-$B$6)/$B$7))))</f>
        <v/>
      </c>
    </row>
    <row r="19">
      <c r="A19" s="4">
        <f>IF(A18="","",IF(A18+$B$8&gt;$B$6+$B$7,"",A18+$B$8))</f>
        <v/>
      </c>
      <c r="B19" s="18">
        <f>IF(A19="","",IF(A19&lt;=$B$6,$B$5*A19/$B$6,MAX(0,$B$5*(1-(A19-$B$6)/$B$7))))</f>
        <v/>
      </c>
    </row>
    <row r="20">
      <c r="A20" s="4">
        <f>IF(A19="","",IF(A19+$B$8&gt;$B$6+$B$7,"",A19+$B$8))</f>
        <v/>
      </c>
      <c r="B20" s="18">
        <f>IF(A20="","",IF(A20&lt;=$B$6,$B$5*A20/$B$6,MAX(0,$B$5*(1-(A20-$B$6)/$B$7))))</f>
        <v/>
      </c>
    </row>
    <row r="21">
      <c r="A21" s="4">
        <f>IF(A20="","",IF(A20+$B$8&gt;$B$6+$B$7,"",A20+$B$8))</f>
        <v/>
      </c>
      <c r="B21" s="18">
        <f>IF(A21="","",IF(A21&lt;=$B$6,$B$5*A21/$B$6,MAX(0,$B$5*(1-(A21-$B$6)/$B$7))))</f>
        <v/>
      </c>
    </row>
    <row r="22">
      <c r="A22" s="4">
        <f>IF(A21="","",IF(A21+$B$8&gt;$B$6+$B$7,"",A21+$B$8))</f>
        <v/>
      </c>
      <c r="B22" s="18">
        <f>IF(A22="","",IF(A22&lt;=$B$6,$B$5*A22/$B$6,MAX(0,$B$5*(1-(A22-$B$6)/$B$7))))</f>
        <v/>
      </c>
    </row>
    <row r="23">
      <c r="A23" s="4">
        <f>IF(A22="","",IF(A22+$B$8&gt;$B$6+$B$7,"",A22+$B$8))</f>
        <v/>
      </c>
      <c r="B23" s="18">
        <f>IF(A23="","",IF(A23&lt;=$B$6,$B$5*A23/$B$6,MAX(0,$B$5*(1-(A23-$B$6)/$B$7))))</f>
        <v/>
      </c>
    </row>
    <row r="24">
      <c r="A24" s="4">
        <f>IF(A23="","",IF(A23+$B$8&gt;$B$6+$B$7,"",A23+$B$8))</f>
        <v/>
      </c>
      <c r="B24" s="18">
        <f>IF(A24="","",IF(A24&lt;=$B$6,$B$5*A24/$B$6,MAX(0,$B$5*(1-(A24-$B$6)/$B$7))))</f>
        <v/>
      </c>
    </row>
    <row r="25">
      <c r="A25" s="4">
        <f>IF(A24="","",IF(A24+$B$8&gt;$B$6+$B$7,"",A24+$B$8))</f>
        <v/>
      </c>
      <c r="B25" s="18">
        <f>IF(A25="","",IF(A25&lt;=$B$6,$B$5*A25/$B$6,MAX(0,$B$5*(1-(A25-$B$6)/$B$7))))</f>
        <v/>
      </c>
    </row>
    <row r="26">
      <c r="A26" s="4">
        <f>IF(A25="","",IF(A25+$B$8&gt;$B$6+$B$7,"",A25+$B$8))</f>
        <v/>
      </c>
      <c r="B26" s="18">
        <f>IF(A26="","",IF(A26&lt;=$B$6,$B$5*A26/$B$6,MAX(0,$B$5*(1-(A26-$B$6)/$B$7))))</f>
        <v/>
      </c>
    </row>
    <row r="27">
      <c r="A27" s="4">
        <f>IF(A26="","",IF(A26+$B$8&gt;$B$6+$B$7,"",A26+$B$8))</f>
        <v/>
      </c>
      <c r="B27" s="18">
        <f>IF(A27="","",IF(A27&lt;=$B$6,$B$5*A27/$B$6,MAX(0,$B$5*(1-(A27-$B$6)/$B$7))))</f>
        <v/>
      </c>
    </row>
    <row r="28">
      <c r="A28" s="4">
        <f>IF(A27="","",IF(A27+$B$8&gt;$B$6+$B$7,"",A27+$B$8))</f>
        <v/>
      </c>
      <c r="B28" s="18">
        <f>IF(A28="","",IF(A28&lt;=$B$6,$B$5*A28/$B$6,MAX(0,$B$5*(1-(A28-$B$6)/$B$7))))</f>
        <v/>
      </c>
    </row>
    <row r="29">
      <c r="A29" s="4">
        <f>IF(A28="","",IF(A28+$B$8&gt;$B$6+$B$7,"",A28+$B$8))</f>
        <v/>
      </c>
      <c r="B29" s="18">
        <f>IF(A29="","",IF(A29&lt;=$B$6,$B$5*A29/$B$6,MAX(0,$B$5*(1-(A29-$B$6)/$B$7))))</f>
        <v/>
      </c>
    </row>
    <row r="30">
      <c r="A30" s="4">
        <f>IF(A29="","",IF(A29+$B$8&gt;$B$6+$B$7,"",A29+$B$8))</f>
        <v/>
      </c>
      <c r="B30" s="18">
        <f>IF(A30="","",IF(A30&lt;=$B$6,$B$5*A30/$B$6,MAX(0,$B$5*(1-(A30-$B$6)/$B$7))))</f>
        <v/>
      </c>
    </row>
    <row r="31">
      <c r="A31" s="4">
        <f>IF(A30="","",IF(A30+$B$8&gt;$B$6+$B$7,"",A30+$B$8))</f>
        <v/>
      </c>
      <c r="B31" s="18">
        <f>IF(A31="","",IF(A31&lt;=$B$6,$B$5*A31/$B$6,MAX(0,$B$5*(1-(A31-$B$6)/$B$7))))</f>
        <v/>
      </c>
    </row>
    <row r="32">
      <c r="A32" s="4">
        <f>IF(A31="","",IF(A31+$B$8&gt;$B$6+$B$7,"",A31+$B$8))</f>
        <v/>
      </c>
      <c r="B32" s="18">
        <f>IF(A32="","",IF(A32&lt;=$B$6,$B$5*A32/$B$6,MAX(0,$B$5*(1-(A32-$B$6)/$B$7))))</f>
        <v/>
      </c>
    </row>
    <row r="33">
      <c r="A33" s="4">
        <f>IF(A32="","",IF(A32+$B$8&gt;$B$6+$B$7,"",A32+$B$8))</f>
        <v/>
      </c>
      <c r="B33" s="18">
        <f>IF(A33="","",IF(A33&lt;=$B$6,$B$5*A33/$B$6,MAX(0,$B$5*(1-(A33-$B$6)/$B$7))))</f>
        <v/>
      </c>
    </row>
    <row r="34">
      <c r="A34" s="4">
        <f>IF(A33="","",IF(A33+$B$8&gt;$B$6+$B$7,"",A33+$B$8))</f>
        <v/>
      </c>
      <c r="B34" s="18">
        <f>IF(A34="","",IF(A34&lt;=$B$6,$B$5*A34/$B$6,MAX(0,$B$5*(1-(A34-$B$6)/$B$7))))</f>
        <v/>
      </c>
    </row>
    <row r="35">
      <c r="A35" s="4">
        <f>IF(A34="","",IF(A34+$B$8&gt;$B$6+$B$7,"",A34+$B$8))</f>
        <v/>
      </c>
      <c r="B35" s="18">
        <f>IF(A35="","",IF(A35&lt;=$B$6,$B$5*A35/$B$6,MAX(0,$B$5*(1-(A35-$B$6)/$B$7))))</f>
        <v/>
      </c>
    </row>
    <row r="36">
      <c r="A36" s="4">
        <f>IF(A35="","",IF(A35+$B$8&gt;$B$6+$B$7,"",A35+$B$8))</f>
        <v/>
      </c>
      <c r="B36" s="18">
        <f>IF(A36="","",IF(A36&lt;=$B$6,$B$5*A36/$B$6,MAX(0,$B$5*(1-(A36-$B$6)/$B$7))))</f>
        <v/>
      </c>
    </row>
    <row r="37">
      <c r="A37" s="4">
        <f>IF(A36="","",IF(A36+$B$8&gt;$B$6+$B$7,"",A36+$B$8))</f>
        <v/>
      </c>
      <c r="B37" s="18">
        <f>IF(A37="","",IF(A37&lt;=$B$6,$B$5*A37/$B$6,MAX(0,$B$5*(1-(A37-$B$6)/$B$7))))</f>
        <v/>
      </c>
    </row>
    <row r="38">
      <c r="A38" s="4">
        <f>IF(A37="","",IF(A37+$B$8&gt;$B$6+$B$7,"",A37+$B$8))</f>
        <v/>
      </c>
      <c r="B38" s="18">
        <f>IF(A38="","",IF(A38&lt;=$B$6,$B$5*A38/$B$6,MAX(0,$B$5*(1-(A38-$B$6)/$B$7))))</f>
        <v/>
      </c>
    </row>
    <row r="39">
      <c r="A39" s="4">
        <f>IF(A38="","",IF(A38+$B$8&gt;$B$6+$B$7,"",A38+$B$8))</f>
        <v/>
      </c>
      <c r="B39" s="18">
        <f>IF(A39="","",IF(A39&lt;=$B$6,$B$5*A39/$B$6,MAX(0,$B$5*(1-(A39-$B$6)/$B$7))))</f>
        <v/>
      </c>
    </row>
    <row r="40">
      <c r="A40" s="4">
        <f>IF(A39="","",IF(A39+$B$8&gt;$B$6+$B$7,"",A39+$B$8))</f>
        <v/>
      </c>
      <c r="B40" s="18">
        <f>IF(A40="","",IF(A40&lt;=$B$6,$B$5*A40/$B$6,MAX(0,$B$5*(1-(A40-$B$6)/$B$7))))</f>
        <v/>
      </c>
    </row>
    <row r="41">
      <c r="A41" s="4">
        <f>IF(A40="","",IF(A40+$B$8&gt;$B$6+$B$7,"",A40+$B$8))</f>
        <v/>
      </c>
      <c r="B41" s="18">
        <f>IF(A41="","",IF(A41&lt;=$B$6,$B$5*A41/$B$6,MAX(0,$B$5*(1-(A41-$B$6)/$B$7))))</f>
        <v/>
      </c>
    </row>
    <row r="42">
      <c r="A42" s="4">
        <f>IF(A41="","",IF(A41+$B$8&gt;$B$6+$B$7,"",A41+$B$8))</f>
        <v/>
      </c>
      <c r="B42" s="18">
        <f>IF(A42="","",IF(A42&lt;=$B$6,$B$5*A42/$B$6,MAX(0,$B$5*(1-(A42-$B$6)/$B$7))))</f>
        <v/>
      </c>
    </row>
    <row r="43">
      <c r="A43" s="4">
        <f>IF(A42="","",IF(A42+$B$8&gt;$B$6+$B$7,"",A42+$B$8))</f>
        <v/>
      </c>
      <c r="B43" s="18">
        <f>IF(A43="","",IF(A43&lt;=$B$6,$B$5*A43/$B$6,MAX(0,$B$5*(1-(A43-$B$6)/$B$7))))</f>
        <v/>
      </c>
    </row>
    <row r="44">
      <c r="A44" s="4">
        <f>IF(A43="","",IF(A43+$B$8&gt;$B$6+$B$7,"",A43+$B$8))</f>
        <v/>
      </c>
      <c r="B44" s="18">
        <f>IF(A44="","",IF(A44&lt;=$B$6,$B$5*A44/$B$6,MAX(0,$B$5*(1-(A44-$B$6)/$B$7))))</f>
        <v/>
      </c>
    </row>
    <row r="45">
      <c r="A45" s="4">
        <f>IF(A44="","",IF(A44+$B$8&gt;$B$6+$B$7,"",A44+$B$8))</f>
        <v/>
      </c>
      <c r="B45" s="18">
        <f>IF(A45="","",IF(A45&lt;=$B$6,$B$5*A45/$B$6,MAX(0,$B$5*(1-(A45-$B$6)/$B$7))))</f>
        <v/>
      </c>
    </row>
    <row r="46">
      <c r="A46" s="4">
        <f>IF(A45="","",IF(A45+$B$8&gt;$B$6+$B$7,"",A45+$B$8))</f>
        <v/>
      </c>
      <c r="B46" s="18">
        <f>IF(A46="","",IF(A46&lt;=$B$6,$B$5*A46/$B$6,MAX(0,$B$5*(1-(A46-$B$6)/$B$7))))</f>
        <v/>
      </c>
    </row>
    <row r="47">
      <c r="A47" s="4">
        <f>IF(A46="","",IF(A46+$B$8&gt;$B$6+$B$7,"",A46+$B$8))</f>
        <v/>
      </c>
      <c r="B47" s="18">
        <f>IF(A47="","",IF(A47&lt;=$B$6,$B$5*A47/$B$6,MAX(0,$B$5*(1-(A47-$B$6)/$B$7))))</f>
        <v/>
      </c>
    </row>
    <row r="48">
      <c r="A48" s="4">
        <f>IF(A47="","",IF(A47+$B$8&gt;$B$6+$B$7,"",A47+$B$8))</f>
        <v/>
      </c>
      <c r="B48" s="18">
        <f>IF(A48="","",IF(A48&lt;=$B$6,$B$5*A48/$B$6,MAX(0,$B$5*(1-(A48-$B$6)/$B$7))))</f>
        <v/>
      </c>
    </row>
    <row r="49">
      <c r="A49" s="4">
        <f>IF(A48="","",IF(A48+$B$8&gt;$B$6+$B$7,"",A48+$B$8))</f>
        <v/>
      </c>
      <c r="B49" s="18">
        <f>IF(A49="","",IF(A49&lt;=$B$6,$B$5*A49/$B$6,MAX(0,$B$5*(1-(A49-$B$6)/$B$7))))</f>
        <v/>
      </c>
    </row>
    <row r="50">
      <c r="A50" s="4">
        <f>IF(A49="","",IF(A49+$B$8&gt;$B$6+$B$7,"",A49+$B$8))</f>
        <v/>
      </c>
      <c r="B50" s="18">
        <f>IF(A50="","",IF(A50&lt;=$B$6,$B$5*A50/$B$6,MAX(0,$B$5*(1-(A50-$B$6)/$B$7))))</f>
        <v/>
      </c>
    </row>
    <row r="51">
      <c r="A51" s="4">
        <f>IF(A50="","",IF(A50+$B$8&gt;$B$6+$B$7,"",A50+$B$8))</f>
        <v/>
      </c>
      <c r="B51" s="18">
        <f>IF(A51="","",IF(A51&lt;=$B$6,$B$5*A51/$B$6,MAX(0,$B$5*(1-(A51-$B$6)/$B$7))))</f>
        <v/>
      </c>
    </row>
    <row r="52">
      <c r="A52" s="4">
        <f>IF(A51="","",IF(A51+$B$8&gt;$B$6+$B$7,"",A51+$B$8))</f>
        <v/>
      </c>
      <c r="B52" s="18">
        <f>IF(A52="","",IF(A52&lt;=$B$6,$B$5*A52/$B$6,MAX(0,$B$5*(1-(A52-$B$6)/$B$7))))</f>
        <v/>
      </c>
    </row>
    <row r="53">
      <c r="A53" s="4">
        <f>IF(A52="","",IF(A52+$B$8&gt;$B$6+$B$7,"",A52+$B$8))</f>
        <v/>
      </c>
      <c r="B53" s="18">
        <f>IF(A53="","",IF(A53&lt;=$B$6,$B$5*A53/$B$6,MAX(0,$B$5*(1-(A53-$B$6)/$B$7))))</f>
        <v/>
      </c>
    </row>
    <row r="54">
      <c r="A54" s="4">
        <f>IF(A53="","",IF(A53+$B$8&gt;$B$6+$B$7,"",A53+$B$8))</f>
        <v/>
      </c>
      <c r="B54" s="18">
        <f>IF(A54="","",IF(A54&lt;=$B$6,$B$5*A54/$B$6,MAX(0,$B$5*(1-(A54-$B$6)/$B$7))))</f>
        <v/>
      </c>
    </row>
    <row r="55">
      <c r="A55" s="4">
        <f>IF(A54="","",IF(A54+$B$8&gt;$B$6+$B$7,"",A54+$B$8))</f>
        <v/>
      </c>
      <c r="B55" s="18">
        <f>IF(A55="","",IF(A55&lt;=$B$6,$B$5*A55/$B$6,MAX(0,$B$5*(1-(A55-$B$6)/$B$7))))</f>
        <v/>
      </c>
    </row>
    <row r="56">
      <c r="A56" s="4">
        <f>IF(A55="","",IF(A55+$B$8&gt;$B$6+$B$7,"",A55+$B$8))</f>
        <v/>
      </c>
      <c r="B56" s="18">
        <f>IF(A56="","",IF(A56&lt;=$B$6,$B$5*A56/$B$6,MAX(0,$B$5*(1-(A56-$B$6)/$B$7))))</f>
        <v/>
      </c>
    </row>
    <row r="57">
      <c r="A57" s="4">
        <f>IF(A56="","",IF(A56+$B$8&gt;$B$6+$B$7,"",A56+$B$8))</f>
        <v/>
      </c>
      <c r="B57" s="18">
        <f>IF(A57="","",IF(A57&lt;=$B$6,$B$5*A57/$B$6,MAX(0,$B$5*(1-(A57-$B$6)/$B$7))))</f>
        <v/>
      </c>
    </row>
    <row r="58">
      <c r="A58" s="4">
        <f>IF(A57="","",IF(A57+$B$8&gt;$B$6+$B$7,"",A57+$B$8))</f>
        <v/>
      </c>
      <c r="B58" s="18">
        <f>IF(A58="","",IF(A58&lt;=$B$6,$B$5*A58/$B$6,MAX(0,$B$5*(1-(A58-$B$6)/$B$7))))</f>
        <v/>
      </c>
    </row>
    <row r="59">
      <c r="A59" s="4">
        <f>IF(A58="","",IF(A58+$B$8&gt;$B$6+$B$7,"",A58+$B$8))</f>
        <v/>
      </c>
      <c r="B59" s="18">
        <f>IF(A59="","",IF(A59&lt;=$B$6,$B$5*A59/$B$6,MAX(0,$B$5*(1-(A59-$B$6)/$B$7))))</f>
        <v/>
      </c>
    </row>
    <row r="60">
      <c r="A60" s="4">
        <f>IF(A59="","",IF(A59+$B$8&gt;$B$6+$B$7,"",A59+$B$8))</f>
        <v/>
      </c>
      <c r="B60" s="18">
        <f>IF(A60="","",IF(A60&lt;=$B$6,$B$5*A60/$B$6,MAX(0,$B$5*(1-(A60-$B$6)/$B$7))))</f>
        <v/>
      </c>
    </row>
    <row r="61">
      <c r="A61" s="4">
        <f>IF(A60="","",IF(A60+$B$8&gt;$B$6+$B$7,"",A60+$B$8))</f>
        <v/>
      </c>
      <c r="B61" s="18">
        <f>IF(A61="","",IF(A61&lt;=$B$6,$B$5*A61/$B$6,MAX(0,$B$5*(1-(A61-$B$6)/$B$7))))</f>
        <v/>
      </c>
    </row>
    <row r="62">
      <c r="A62" s="4">
        <f>IF(A61="","",IF(A61+$B$8&gt;$B$6+$B$7,"",A61+$B$8))</f>
        <v/>
      </c>
      <c r="B62" s="18">
        <f>IF(A62="","",IF(A62&lt;=$B$6,$B$5*A62/$B$6,MAX(0,$B$5*(1-(A62-$B$6)/$B$7))))</f>
        <v/>
      </c>
    </row>
    <row r="63">
      <c r="A63" s="4">
        <f>IF(A62="","",IF(A62+$B$8&gt;$B$6+$B$7,"",A62+$B$8))</f>
        <v/>
      </c>
      <c r="B63" s="18">
        <f>IF(A63="","",IF(A63&lt;=$B$6,$B$5*A63/$B$6,MAX(0,$B$5*(1-(A63-$B$6)/$B$7))))</f>
        <v/>
      </c>
    </row>
    <row r="64">
      <c r="A64" s="4">
        <f>IF(A63="","",IF(A63+$B$8&gt;$B$6+$B$7,"",A63+$B$8))</f>
        <v/>
      </c>
      <c r="B64" s="18">
        <f>IF(A64="","",IF(A64&lt;=$B$6,$B$5*A64/$B$6,MAX(0,$B$5*(1-(A64-$B$6)/$B$7))))</f>
        <v/>
      </c>
    </row>
    <row r="65">
      <c r="A65" s="4">
        <f>IF(A64="","",IF(A64+$B$8&gt;$B$6+$B$7,"",A64+$B$8))</f>
        <v/>
      </c>
      <c r="B65" s="18">
        <f>IF(A65="","",IF(A65&lt;=$B$6,$B$5*A65/$B$6,MAX(0,$B$5*(1-(A65-$B$6)/$B$7))))</f>
        <v/>
      </c>
    </row>
    <row r="66">
      <c r="A66" s="4">
        <f>IF(A65="","",IF(A65+$B$8&gt;$B$6+$B$7,"",A65+$B$8))</f>
        <v/>
      </c>
      <c r="B66" s="18">
        <f>IF(A66="","",IF(A66&lt;=$B$6,$B$5*A66/$B$6,MAX(0,$B$5*(1-(A66-$B$6)/$B$7))))</f>
        <v/>
      </c>
    </row>
    <row r="67">
      <c r="A67" s="4">
        <f>IF(A66="","",IF(A66+$B$8&gt;$B$6+$B$7,"",A66+$B$8))</f>
        <v/>
      </c>
      <c r="B67" s="18">
        <f>IF(A67="","",IF(A67&lt;=$B$6,$B$5*A67/$B$6,MAX(0,$B$5*(1-(A67-$B$6)/$B$7))))</f>
        <v/>
      </c>
    </row>
    <row r="68">
      <c r="A68" s="4">
        <f>IF(A67="","",IF(A67+$B$8&gt;$B$6+$B$7,"",A67+$B$8))</f>
        <v/>
      </c>
      <c r="B68" s="18">
        <f>IF(A68="","",IF(A68&lt;=$B$6,$B$5*A68/$B$6,MAX(0,$B$5*(1-(A68-$B$6)/$B$7))))</f>
        <v/>
      </c>
    </row>
    <row r="69">
      <c r="A69" s="4">
        <f>IF(A68="","",IF(A68+$B$8&gt;$B$6+$B$7,"",A68+$B$8))</f>
        <v/>
      </c>
      <c r="B69" s="18">
        <f>IF(A69="","",IF(A69&lt;=$B$6,$B$5*A69/$B$6,MAX(0,$B$5*(1-(A69-$B$6)/$B$7))))</f>
        <v/>
      </c>
    </row>
    <row r="70">
      <c r="A70" s="4">
        <f>IF(A69="","",IF(A69+$B$8&gt;$B$6+$B$7,"",A69+$B$8))</f>
        <v/>
      </c>
      <c r="B70" s="18">
        <f>IF(A70="","",IF(A70&lt;=$B$6,$B$5*A70/$B$6,MAX(0,$B$5*(1-(A70-$B$6)/$B$7))))</f>
        <v/>
      </c>
    </row>
    <row r="71">
      <c r="A71" s="4">
        <f>IF(A70="","",IF(A70+$B$8&gt;$B$6+$B$7,"",A70+$B$8))</f>
        <v/>
      </c>
      <c r="B71" s="18">
        <f>IF(A71="","",IF(A71&lt;=$B$6,$B$5*A71/$B$6,MAX(0,$B$5*(1-(A71-$B$6)/$B$7))))</f>
        <v/>
      </c>
    </row>
    <row r="72">
      <c r="A72" s="4">
        <f>IF(A71="","",IF(A71+$B$8&gt;$B$6+$B$7,"",A71+$B$8))</f>
        <v/>
      </c>
      <c r="B72" s="18">
        <f>IF(A72="","",IF(A72&lt;=$B$6,$B$5*A72/$B$6,MAX(0,$B$5*(1-(A72-$B$6)/$B$7))))</f>
        <v/>
      </c>
    </row>
    <row r="73">
      <c r="A73" s="4">
        <f>IF(A72="","",IF(A72+$B$8&gt;$B$6+$B$7,"",A72+$B$8))</f>
        <v/>
      </c>
      <c r="B73" s="18">
        <f>IF(A73="","",IF(A73&lt;=$B$6,$B$5*A73/$B$6,MAX(0,$B$5*(1-(A73-$B$6)/$B$7))))</f>
        <v/>
      </c>
    </row>
    <row r="74">
      <c r="A74" s="4">
        <f>IF(A73="","",IF(A73+$B$8&gt;$B$6+$B$7,"",A73+$B$8))</f>
        <v/>
      </c>
      <c r="B74" s="18">
        <f>IF(A74="","",IF(A74&lt;=$B$6,$B$5*A74/$B$6,MAX(0,$B$5*(1-(A74-$B$6)/$B$7))))</f>
        <v/>
      </c>
    </row>
    <row r="75">
      <c r="A75" s="4">
        <f>IF(A74="","",IF(A74+$B$8&gt;$B$6+$B$7,"",A74+$B$8))</f>
        <v/>
      </c>
      <c r="B75" s="18">
        <f>IF(A75="","",IF(A75&lt;=$B$6,$B$5*A75/$B$6,MAX(0,$B$5*(1-(A75-$B$6)/$B$7))))</f>
        <v/>
      </c>
    </row>
    <row r="76">
      <c r="A76" s="4">
        <f>IF(A75="","",IF(A75+$B$8&gt;$B$6+$B$7,"",A75+$B$8))</f>
        <v/>
      </c>
      <c r="B76" s="18">
        <f>IF(A76="","",IF(A76&lt;=$B$6,$B$5*A76/$B$6,MAX(0,$B$5*(1-(A76-$B$6)/$B$7))))</f>
        <v/>
      </c>
    </row>
    <row r="77">
      <c r="A77" s="4">
        <f>IF(A76="","",IF(A76+$B$8&gt;$B$6+$B$7,"",A76+$B$8))</f>
        <v/>
      </c>
      <c r="B77" s="18">
        <f>IF(A77="","",IF(A77&lt;=$B$6,$B$5*A77/$B$6,MAX(0,$B$5*(1-(A77-$B$6)/$B$7))))</f>
        <v/>
      </c>
    </row>
    <row r="78">
      <c r="A78" s="4">
        <f>IF(A77="","",IF(A77+$B$8&gt;$B$6+$B$7,"",A77+$B$8))</f>
        <v/>
      </c>
      <c r="B78" s="18">
        <f>IF(A78="","",IF(A78&lt;=$B$6,$B$5*A78/$B$6,MAX(0,$B$5*(1-(A78-$B$6)/$B$7))))</f>
        <v/>
      </c>
    </row>
    <row r="79">
      <c r="A79" s="4">
        <f>IF(A78="","",IF(A78+$B$8&gt;$B$6+$B$7,"",A78+$B$8))</f>
        <v/>
      </c>
      <c r="B79" s="18">
        <f>IF(A79="","",IF(A79&lt;=$B$6,$B$5*A79/$B$6,MAX(0,$B$5*(1-(A79-$B$6)/$B$7))))</f>
        <v/>
      </c>
    </row>
    <row r="80">
      <c r="A80" s="4">
        <f>IF(A79="","",IF(A79+$B$8&gt;$B$6+$B$7,"",A79+$B$8))</f>
        <v/>
      </c>
      <c r="B80" s="18">
        <f>IF(A80="","",IF(A80&lt;=$B$6,$B$5*A80/$B$6,MAX(0,$B$5*(1-(A80-$B$6)/$B$7))))</f>
        <v/>
      </c>
    </row>
    <row r="81">
      <c r="A81" s="4">
        <f>IF(A80="","",IF(A80+$B$8&gt;$B$6+$B$7,"",A80+$B$8))</f>
        <v/>
      </c>
      <c r="B81" s="18">
        <f>IF(A81="","",IF(A81&lt;=$B$6,$B$5*A81/$B$6,MAX(0,$B$5*(1-(A81-$B$6)/$B$7))))</f>
        <v/>
      </c>
    </row>
    <row r="82">
      <c r="A82" s="4">
        <f>IF(A81="","",IF(A81+$B$8&gt;$B$6+$B$7,"",A81+$B$8))</f>
        <v/>
      </c>
      <c r="B82" s="18">
        <f>IF(A82="","",IF(A82&lt;=$B$6,$B$5*A82/$B$6,MAX(0,$B$5*(1-(A82-$B$6)/$B$7))))</f>
        <v/>
      </c>
    </row>
    <row r="83">
      <c r="A83" s="4">
        <f>IF(A82="","",IF(A82+$B$8&gt;$B$6+$B$7,"",A82+$B$8))</f>
        <v/>
      </c>
      <c r="B83" s="18">
        <f>IF(A83="","",IF(A83&lt;=$B$6,$B$5*A83/$B$6,MAX(0,$B$5*(1-(A83-$B$6)/$B$7))))</f>
        <v/>
      </c>
    </row>
    <row r="84">
      <c r="A84" s="4">
        <f>IF(A83="","",IF(A83+$B$8&gt;$B$6+$B$7,"",A83+$B$8))</f>
        <v/>
      </c>
      <c r="B84" s="18">
        <f>IF(A84="","",IF(A84&lt;=$B$6,$B$5*A84/$B$6,MAX(0,$B$5*(1-(A84-$B$6)/$B$7))))</f>
        <v/>
      </c>
    </row>
    <row r="85">
      <c r="A85" s="4">
        <f>IF(A84="","",IF(A84+$B$8&gt;$B$6+$B$7,"",A84+$B$8))</f>
        <v/>
      </c>
      <c r="B85" s="18">
        <f>IF(A85="","",IF(A85&lt;=$B$6,$B$5*A85/$B$6,MAX(0,$B$5*(1-(A85-$B$6)/$B$7))))</f>
        <v/>
      </c>
    </row>
    <row r="86">
      <c r="A86" s="4">
        <f>IF(A85="","",IF(A85+$B$8&gt;$B$6+$B$7,"",A85+$B$8))</f>
        <v/>
      </c>
      <c r="B86" s="18">
        <f>IF(A86="","",IF(A86&lt;=$B$6,$B$5*A86/$B$6,MAX(0,$B$5*(1-(A86-$B$6)/$B$7))))</f>
        <v/>
      </c>
    </row>
    <row r="87">
      <c r="A87" s="4">
        <f>IF(A86="","",IF(A86+$B$8&gt;$B$6+$B$7,"",A86+$B$8))</f>
        <v/>
      </c>
      <c r="B87" s="18">
        <f>IF(A87="","",IF(A87&lt;=$B$6,$B$5*A87/$B$6,MAX(0,$B$5*(1-(A87-$B$6)/$B$7))))</f>
        <v/>
      </c>
    </row>
    <row r="88">
      <c r="A88" s="4">
        <f>IF(A87="","",IF(A87+$B$8&gt;$B$6+$B$7,"",A87+$B$8))</f>
        <v/>
      </c>
      <c r="B88" s="18">
        <f>IF(A88="","",IF(A88&lt;=$B$6,$B$5*A88/$B$6,MAX(0,$B$5*(1-(A88-$B$6)/$B$7))))</f>
        <v/>
      </c>
    </row>
    <row r="89">
      <c r="A89" s="4">
        <f>IF(A88="","",IF(A88+$B$8&gt;$B$6+$B$7,"",A88+$B$8))</f>
        <v/>
      </c>
      <c r="B89" s="18">
        <f>IF(A89="","",IF(A89&lt;=$B$6,$B$5*A89/$B$6,MAX(0,$B$5*(1-(A89-$B$6)/$B$7))))</f>
        <v/>
      </c>
    </row>
    <row r="90">
      <c r="A90" s="4">
        <f>IF(A89="","",IF(A89+$B$8&gt;$B$6+$B$7,"",A89+$B$8))</f>
        <v/>
      </c>
      <c r="B90" s="18">
        <f>IF(A90="","",IF(A90&lt;=$B$6,$B$5*A90/$B$6,MAX(0,$B$5*(1-(A90-$B$6)/$B$7))))</f>
        <v/>
      </c>
    </row>
    <row r="91">
      <c r="A91" s="4">
        <f>IF(A90="","",IF(A90+$B$8&gt;$B$6+$B$7,"",A90+$B$8))</f>
        <v/>
      </c>
      <c r="B91" s="18">
        <f>IF(A91="","",IF(A91&lt;=$B$6,$B$5*A91/$B$6,MAX(0,$B$5*(1-(A91-$B$6)/$B$7))))</f>
        <v/>
      </c>
    </row>
    <row r="92">
      <c r="A92" s="4">
        <f>IF(A91="","",IF(A91+$B$8&gt;$B$6+$B$7,"",A91+$B$8))</f>
        <v/>
      </c>
      <c r="B92" s="18">
        <f>IF(A92="","",IF(A92&lt;=$B$6,$B$5*A92/$B$6,MAX(0,$B$5*(1-(A92-$B$6)/$B$7))))</f>
        <v/>
      </c>
    </row>
    <row r="93">
      <c r="A93" s="4">
        <f>IF(A92="","",IF(A92+$B$8&gt;$B$6+$B$7,"",A92+$B$8))</f>
        <v/>
      </c>
      <c r="B93" s="18">
        <f>IF(A93="","",IF(A93&lt;=$B$6,$B$5*A93/$B$6,MAX(0,$B$5*(1-(A93-$B$6)/$B$7))))</f>
        <v/>
      </c>
    </row>
    <row r="94">
      <c r="A94" s="4">
        <f>IF(A93="","",IF(A93+$B$8&gt;$B$6+$B$7,"",A93+$B$8))</f>
        <v/>
      </c>
      <c r="B94" s="18">
        <f>IF(A94="","",IF(A94&lt;=$B$6,$B$5*A94/$B$6,MAX(0,$B$5*(1-(A94-$B$6)/$B$7))))</f>
        <v/>
      </c>
    </row>
    <row r="95">
      <c r="A95" s="4">
        <f>IF(A94="","",IF(A94+$B$8&gt;$B$6+$B$7,"",A94+$B$8))</f>
        <v/>
      </c>
      <c r="B95" s="18">
        <f>IF(A95="","",IF(A95&lt;=$B$6,$B$5*A95/$B$6,MAX(0,$B$5*(1-(A95-$B$6)/$B$7))))</f>
        <v/>
      </c>
    </row>
    <row r="96">
      <c r="A96" s="4">
        <f>IF(A95="","",IF(A95+$B$8&gt;$B$6+$B$7,"",A95+$B$8))</f>
        <v/>
      </c>
      <c r="B96" s="18">
        <f>IF(A96="","",IF(A96&lt;=$B$6,$B$5*A96/$B$6,MAX(0,$B$5*(1-(A96-$B$6)/$B$7))))</f>
        <v/>
      </c>
    </row>
    <row r="97">
      <c r="A97" s="4">
        <f>IF(A96="","",IF(A96+$B$8&gt;$B$6+$B$7,"",A96+$B$8))</f>
        <v/>
      </c>
      <c r="B97" s="18">
        <f>IF(A97="","",IF(A97&lt;=$B$6,$B$5*A97/$B$6,MAX(0,$B$5*(1-(A97-$B$6)/$B$7))))</f>
        <v/>
      </c>
    </row>
    <row r="98">
      <c r="A98" s="4">
        <f>IF(A97="","",IF(A97+$B$8&gt;$B$6+$B$7,"",A97+$B$8))</f>
        <v/>
      </c>
      <c r="B98" s="18">
        <f>IF(A98="","",IF(A98&lt;=$B$6,$B$5*A98/$B$6,MAX(0,$B$5*(1-(A98-$B$6)/$B$7))))</f>
        <v/>
      </c>
    </row>
    <row r="99">
      <c r="A99" s="4">
        <f>IF(A98="","",IF(A98+$B$8&gt;$B$6+$B$7,"",A98+$B$8))</f>
        <v/>
      </c>
      <c r="B99" s="18">
        <f>IF(A99="","",IF(A99&lt;=$B$6,$B$5*A99/$B$6,MAX(0,$B$5*(1-(A99-$B$6)/$B$7))))</f>
        <v/>
      </c>
    </row>
    <row r="100">
      <c r="A100" s="4">
        <f>IF(A99="","",IF(A99+$B$8&gt;$B$6+$B$7,"",A99+$B$8))</f>
        <v/>
      </c>
      <c r="B100" s="18">
        <f>IF(A100="","",IF(A100&lt;=$B$6,$B$5*A100/$B$6,MAX(0,$B$5*(1-(A100-$B$6)/$B$7))))</f>
        <v/>
      </c>
    </row>
    <row r="101">
      <c r="A101" s="4">
        <f>IF(A100="","",IF(A100+$B$8&gt;$B$6+$B$7,"",A100+$B$8))</f>
        <v/>
      </c>
      <c r="B101" s="18">
        <f>IF(A101="","",IF(A101&lt;=$B$6,$B$5*A101/$B$6,MAX(0,$B$5*(1-(A101-$B$6)/$B$7))))</f>
        <v/>
      </c>
    </row>
    <row r="102">
      <c r="A102" s="4">
        <f>IF(A101="","",IF(A101+$B$8&gt;$B$6+$B$7,"",A101+$B$8))</f>
        <v/>
      </c>
      <c r="B102" s="18">
        <f>IF(A102="","",IF(A102&lt;=$B$6,$B$5*A102/$B$6,MAX(0,$B$5*(1-(A102-$B$6)/$B$7))))</f>
        <v/>
      </c>
    </row>
    <row r="103">
      <c r="A103" s="4">
        <f>IF(A102="","",IF(A102+$B$8&gt;$B$6+$B$7,"",A102+$B$8))</f>
        <v/>
      </c>
      <c r="B103" s="18">
        <f>IF(A103="","",IF(A103&lt;=$B$6,$B$5*A103/$B$6,MAX(0,$B$5*(1-(A103-$B$6)/$B$7))))</f>
        <v/>
      </c>
    </row>
    <row r="104">
      <c r="A104" s="4">
        <f>IF(A103="","",IF(A103+$B$8&gt;$B$6+$B$7,"",A103+$B$8))</f>
        <v/>
      </c>
      <c r="B104" s="18">
        <f>IF(A104="","",IF(A104&lt;=$B$6,$B$5*A104/$B$6,MAX(0,$B$5*(1-(A104-$B$6)/$B$7))))</f>
        <v/>
      </c>
    </row>
    <row r="105">
      <c r="A105" s="4">
        <f>IF(A104="","",IF(A104+$B$8&gt;$B$6+$B$7,"",A104+$B$8))</f>
        <v/>
      </c>
      <c r="B105" s="18">
        <f>IF(A105="","",IF(A105&lt;=$B$6,$B$5*A105/$B$6,MAX(0,$B$5*(1-(A105-$B$6)/$B$7))))</f>
        <v/>
      </c>
    </row>
    <row r="106">
      <c r="A106" s="4">
        <f>IF(A105="","",IF(A105+$B$8&gt;$B$6+$B$7,"",A105+$B$8))</f>
        <v/>
      </c>
      <c r="B106" s="18">
        <f>IF(A106="","",IF(A106&lt;=$B$6,$B$5*A106/$B$6,MAX(0,$B$5*(1-(A106-$B$6)/$B$7))))</f>
        <v/>
      </c>
    </row>
    <row r="107">
      <c r="A107" s="4">
        <f>IF(A106="","",IF(A106+$B$8&gt;$B$6+$B$7,"",A106+$B$8))</f>
        <v/>
      </c>
      <c r="B107" s="18">
        <f>IF(A107="","",IF(A107&lt;=$B$6,$B$5*A107/$B$6,MAX(0,$B$5*(1-(A107-$B$6)/$B$7))))</f>
        <v/>
      </c>
    </row>
    <row r="108">
      <c r="A108" s="4">
        <f>IF(A107="","",IF(A107+$B$8&gt;$B$6+$B$7,"",A107+$B$8))</f>
        <v/>
      </c>
      <c r="B108" s="18">
        <f>IF(A108="","",IF(A108&lt;=$B$6,$B$5*A108/$B$6,MAX(0,$B$5*(1-(A108-$B$6)/$B$7))))</f>
        <v/>
      </c>
    </row>
    <row r="109">
      <c r="A109" s="4">
        <f>IF(A108="","",IF(A108+$B$8&gt;$B$6+$B$7,"",A108+$B$8))</f>
        <v/>
      </c>
      <c r="B109" s="18">
        <f>IF(A109="","",IF(A109&lt;=$B$6,$B$5*A109/$B$6,MAX(0,$B$5*(1-(A109-$B$6)/$B$7))))</f>
        <v/>
      </c>
    </row>
    <row r="110">
      <c r="A110" s="4">
        <f>IF(A109="","",IF(A109+$B$8&gt;$B$6+$B$7,"",A109+$B$8))</f>
        <v/>
      </c>
      <c r="B110" s="18">
        <f>IF(A110="","",IF(A110&lt;=$B$6,$B$5*A110/$B$6,MAX(0,$B$5*(1-(A110-$B$6)/$B$7))))</f>
        <v/>
      </c>
    </row>
    <row r="111">
      <c r="A111" s="4">
        <f>IF(A110="","",IF(A110+$B$8&gt;$B$6+$B$7,"",A110+$B$8))</f>
        <v/>
      </c>
      <c r="B111" s="18">
        <f>IF(A111="","",IF(A111&lt;=$B$6,$B$5*A111/$B$6,MAX(0,$B$5*(1-(A111-$B$6)/$B$7))))</f>
        <v/>
      </c>
    </row>
    <row r="112">
      <c r="A112" s="4">
        <f>IF(A111="","",IF(A111+$B$8&gt;$B$6+$B$7,"",A111+$B$8))</f>
        <v/>
      </c>
      <c r="B112" s="18">
        <f>IF(A112="","",IF(A112&lt;=$B$6,$B$5*A112/$B$6,MAX(0,$B$5*(1-(A112-$B$6)/$B$7))))</f>
        <v/>
      </c>
    </row>
    <row r="113">
      <c r="A113" s="4">
        <f>IF(A112="","",IF(A112+$B$8&gt;$B$6+$B$7,"",A112+$B$8))</f>
        <v/>
      </c>
      <c r="B113" s="18">
        <f>IF(A113="","",IF(A113&lt;=$B$6,$B$5*A113/$B$6,MAX(0,$B$5*(1-(A113-$B$6)/$B$7))))</f>
        <v/>
      </c>
    </row>
    <row r="114">
      <c r="A114" s="4">
        <f>IF(A113="","",IF(A113+$B$8&gt;$B$6+$B$7,"",A113+$B$8))</f>
        <v/>
      </c>
      <c r="B114" s="18">
        <f>IF(A114="","",IF(A114&lt;=$B$6,$B$5*A114/$B$6,MAX(0,$B$5*(1-(A114-$B$6)/$B$7))))</f>
        <v/>
      </c>
    </row>
    <row r="115">
      <c r="A115" s="4">
        <f>IF(A114="","",IF(A114+$B$8&gt;$B$6+$B$7,"",A114+$B$8))</f>
        <v/>
      </c>
      <c r="B115" s="18">
        <f>IF(A115="","",IF(A115&lt;=$B$6,$B$5*A115/$B$6,MAX(0,$B$5*(1-(A115-$B$6)/$B$7))))</f>
        <v/>
      </c>
    </row>
    <row r="116">
      <c r="A116" s="4">
        <f>IF(A115="","",IF(A115+$B$8&gt;$B$6+$B$7,"",A115+$B$8))</f>
        <v/>
      </c>
      <c r="B116" s="18">
        <f>IF(A116="","",IF(A116&lt;=$B$6,$B$5*A116/$B$6,MAX(0,$B$5*(1-(A116-$B$6)/$B$7))))</f>
        <v/>
      </c>
    </row>
    <row r="117">
      <c r="A117" s="4">
        <f>IF(A116="","",IF(A116+$B$8&gt;$B$6+$B$7,"",A116+$B$8))</f>
        <v/>
      </c>
      <c r="B117" s="18">
        <f>IF(A117="","",IF(A117&lt;=$B$6,$B$5*A117/$B$6,MAX(0,$B$5*(1-(A117-$B$6)/$B$7))))</f>
        <v/>
      </c>
    </row>
    <row r="118">
      <c r="A118" s="4">
        <f>IF(A117="","",IF(A117+$B$8&gt;$B$6+$B$7,"",A117+$B$8))</f>
        <v/>
      </c>
      <c r="B118" s="18">
        <f>IF(A118="","",IF(A118&lt;=$B$6,$B$5*A118/$B$6,MAX(0,$B$5*(1-(A118-$B$6)/$B$7))))</f>
        <v/>
      </c>
    </row>
    <row r="119">
      <c r="A119" s="4">
        <f>IF(A118="","",IF(A118+$B$8&gt;$B$6+$B$7,"",A118+$B$8))</f>
        <v/>
      </c>
      <c r="B119" s="18">
        <f>IF(A119="","",IF(A119&lt;=$B$6,$B$5*A119/$B$6,MAX(0,$B$5*(1-(A119-$B$6)/$B$7))))</f>
        <v/>
      </c>
    </row>
    <row r="120">
      <c r="A120" s="4">
        <f>IF(A119="","",IF(A119+$B$8&gt;$B$6+$B$7,"",A119+$B$8))</f>
        <v/>
      </c>
      <c r="B120" s="18">
        <f>IF(A120="","",IF(A120&lt;=$B$6,$B$5*A120/$B$6,MAX(0,$B$5*(1-(A120-$B$6)/$B$7))))</f>
        <v/>
      </c>
    </row>
    <row r="121">
      <c r="A121" s="4">
        <f>IF(A120="","",IF(A120+$B$8&gt;$B$6+$B$7,"",A120+$B$8))</f>
        <v/>
      </c>
      <c r="B121" s="18">
        <f>IF(A121="","",IF(A121&lt;=$B$6,$B$5*A121/$B$6,MAX(0,$B$5*(1-(A121-$B$6)/$B$7))))</f>
        <v/>
      </c>
    </row>
    <row r="122">
      <c r="A122" s="4">
        <f>IF(A121="","",IF(A121+$B$8&gt;$B$6+$B$7,"",A121+$B$8))</f>
        <v/>
      </c>
      <c r="B122" s="18">
        <f>IF(A122="","",IF(A122&lt;=$B$6,$B$5*A122/$B$6,MAX(0,$B$5*(1-(A122-$B$6)/$B$7))))</f>
        <v/>
      </c>
    </row>
    <row r="123">
      <c r="A123" s="4">
        <f>IF(A122="","",IF(A122+$B$8&gt;$B$6+$B$7,"",A122+$B$8))</f>
        <v/>
      </c>
      <c r="B123" s="18">
        <f>IF(A123="","",IF(A123&lt;=$B$6,$B$5*A123/$B$6,MAX(0,$B$5*(1-(A123-$B$6)/$B$7))))</f>
        <v/>
      </c>
    </row>
    <row r="124">
      <c r="A124" s="4">
        <f>IF(A123="","",IF(A123+$B$8&gt;$B$6+$B$7,"",A123+$B$8))</f>
        <v/>
      </c>
      <c r="B124" s="18">
        <f>IF(A124="","",IF(A124&lt;=$B$6,$B$5*A124/$B$6,MAX(0,$B$5*(1-(A124-$B$6)/$B$7))))</f>
        <v/>
      </c>
    </row>
    <row r="125">
      <c r="A125" s="4">
        <f>IF(A124="","",IF(A124+$B$8&gt;$B$6+$B$7,"",A124+$B$8))</f>
        <v/>
      </c>
      <c r="B125" s="18">
        <f>IF(A125="","",IF(A125&lt;=$B$6,$B$5*A125/$B$6,MAX(0,$B$5*(1-(A125-$B$6)/$B$7))))</f>
        <v/>
      </c>
    </row>
    <row r="126">
      <c r="A126" s="4">
        <f>IF(A125="","",IF(A125+$B$8&gt;$B$6+$B$7,"",A125+$B$8))</f>
        <v/>
      </c>
      <c r="B126" s="18">
        <f>IF(A126="","",IF(A126&lt;=$B$6,$B$5*A126/$B$6,MAX(0,$B$5*(1-(A126-$B$6)/$B$7))))</f>
        <v/>
      </c>
    </row>
    <row r="127">
      <c r="A127" s="4">
        <f>IF(A126="","",IF(A126+$B$8&gt;$B$6+$B$7,"",A126+$B$8))</f>
        <v/>
      </c>
      <c r="B127" s="18">
        <f>IF(A127="","",IF(A127&lt;=$B$6,$B$5*A127/$B$6,MAX(0,$B$5*(1-(A127-$B$6)/$B$7))))</f>
        <v/>
      </c>
    </row>
    <row r="128">
      <c r="A128" s="4">
        <f>IF(A127="","",IF(A127+$B$8&gt;$B$6+$B$7,"",A127+$B$8))</f>
        <v/>
      </c>
      <c r="B128" s="18">
        <f>IF(A128="","",IF(A128&lt;=$B$6,$B$5*A128/$B$6,MAX(0,$B$5*(1-(A128-$B$6)/$B$7))))</f>
        <v/>
      </c>
    </row>
    <row r="129">
      <c r="A129" s="4">
        <f>IF(A128="","",IF(A128+$B$8&gt;$B$6+$B$7,"",A128+$B$8))</f>
        <v/>
      </c>
      <c r="B129" s="18">
        <f>IF(A129="","",IF(A129&lt;=$B$6,$B$5*A129/$B$6,MAX(0,$B$5*(1-(A129-$B$6)/$B$7))))</f>
        <v/>
      </c>
    </row>
    <row r="130">
      <c r="A130" s="4">
        <f>IF(A129="","",IF(A129+$B$8&gt;$B$6+$B$7,"",A129+$B$8))</f>
        <v/>
      </c>
      <c r="B130" s="18">
        <f>IF(A130="","",IF(A130&lt;=$B$6,$B$5*A130/$B$6,MAX(0,$B$5*(1-(A130-$B$6)/$B$7))))</f>
        <v/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42" customWidth="1" min="4" max="4"/>
    <col width="42" customWidth="1" min="5" max="5"/>
    <col width="42" customWidth="1" min="6" max="6"/>
    <col width="28" customWidth="1" min="7" max="7"/>
    <col width="42" customWidth="1" min="8" max="8"/>
    <col width="40" customWidth="1" min="9" max="9"/>
    <col width="32" customWidth="1" min="10" max="10"/>
    <col width="42" customWidth="1" min="11" max="11"/>
  </cols>
  <sheetData>
    <row r="1">
      <c r="A1" s="14" t="inlineStr">
        <is>
          <t>Routing stockage — FORMULES EXCEL LIVE (méthode Puls)</t>
        </is>
      </c>
    </row>
    <row r="2">
      <c r="A2" s="2" t="inlineStr">
        <is>
          <t>dS/dt = Qin - Qout.  À chaque pas: RHS = (2S/dt - Q)_prev + Qin_prev + Qin. On interpole la Courbe_de_tarage où Ind ≈ RHS. Changez Q pointe / Pond / dt sur Hydrogramme_entree → cette feuille se met à jour. Détail → Formules_explications §8.</t>
        </is>
      </c>
    </row>
    <row r="3"/>
    <row r="4">
      <c r="A4" s="7" t="inlineStr">
        <is>
          <t>t (min)</t>
        </is>
      </c>
      <c r="B4" s="7" t="inlineStr">
        <is>
          <t>Q_in</t>
        </is>
      </c>
      <c r="C4" s="7" t="inlineStr">
        <is>
          <t>Q_pipe</t>
        </is>
      </c>
      <c r="D4" s="7" t="inlineStr">
        <is>
          <t>Q_overflow</t>
        </is>
      </c>
      <c r="E4" s="7" t="inlineStr">
        <is>
          <t>Q_out</t>
        </is>
      </c>
      <c r="F4" s="7" t="inlineStr">
        <is>
          <t>HW (m)</t>
        </is>
      </c>
      <c r="G4" s="7" t="inlineStr">
        <is>
          <t>WSE (m)</t>
        </is>
      </c>
      <c r="H4" s="7" t="inlineStr">
        <is>
          <t>S (m³)</t>
        </is>
      </c>
      <c r="I4" s="7" t="inlineStr">
        <is>
          <t>WSE&gt;37.4?</t>
        </is>
      </c>
      <c r="J4" s="7" t="inlineStr">
        <is>
          <t>RHS (Ind cible)</t>
        </is>
      </c>
      <c r="K4" s="7" t="inlineStr">
        <is>
          <t>2S/dt-Q</t>
        </is>
      </c>
    </row>
    <row r="5">
      <c r="A5" s="4">
        <f>Hydrogramme_entree!A11</f>
        <v/>
      </c>
      <c r="B5" s="19">
        <f>Hydrogramme_entree!B11</f>
        <v/>
      </c>
      <c r="C5" s="19" t="n">
        <v>0</v>
      </c>
      <c r="D5" s="19" t="n">
        <v>0</v>
      </c>
      <c r="E5" s="19" t="n">
        <v>0</v>
      </c>
      <c r="F5" s="19" t="n">
        <v>0</v>
      </c>
      <c r="G5" s="19">
        <f>IF(A5="","",35.36+F5)</f>
        <v/>
      </c>
      <c r="H5" s="19" t="n">
        <v>0</v>
      </c>
      <c r="I5" s="4">
        <f>IF(G5="","",IF(G5&gt;37.4,"OUI",""))</f>
        <v/>
      </c>
      <c r="J5" s="4" t="inlineStr"/>
      <c r="K5" s="19">
        <f>IF(A5="","",2*H5/(Hydrogramme_entree!$B$8*60)-E5)</f>
        <v/>
      </c>
    </row>
    <row r="6">
      <c r="A6" s="4">
        <f>Hydrogramme_entree!A12</f>
        <v/>
      </c>
      <c r="B6" s="19">
        <f>Hydrogramme_entree!B12</f>
        <v/>
      </c>
      <c r="C6" s="19">
        <f>IF(A6="","",IFERROR(FORECAST(K5+B5+B6,INDEX(Courbe_de_tarage!$C$4:$C$44,MATCH(K5+B5+B6,Courbe_de_tarage!$I$4:$I$44,1)):INDEX(Courbe_de_tarage!$C$4:$C$44,MATCH(K5+B5+B6,Courbe_de_tarage!$I$4:$I$44,1)+1),INDEX(Courbe_de_tarage!$I$4:$I$44,MATCH(K5+B5+B6,Courbe_de_tarage!$I$4:$I$44,1)):INDEX(Courbe_de_tarage!$I$4:$I$44,MATCH(K5+B5+B6,Courbe_de_tarage!$I$4:$I$44,1)+1)),IFERROR(INDEX(Courbe_de_tarage!$C$4:$C$44,MATCH(K5+B5+B6,Courbe_de_tarage!$I$4:$I$44,1)),INDEX(Courbe_de_tarage!$C$4:$C$44,1))))</f>
        <v/>
      </c>
      <c r="D6" s="19">
        <f>IF(A6="","",IFERROR(FORECAST(K5+B5+B6,INDEX(Courbe_de_tarage!$D$4:$D$44,MATCH(K5+B5+B6,Courbe_de_tarage!$I$4:$I$44,1)):INDEX(Courbe_de_tarage!$D$4:$D$44,MATCH(K5+B5+B6,Courbe_de_tarage!$I$4:$I$44,1)+1),INDEX(Courbe_de_tarage!$I$4:$I$44,MATCH(K5+B5+B6,Courbe_de_tarage!$I$4:$I$44,1)):INDEX(Courbe_de_tarage!$I$4:$I$44,MATCH(K5+B5+B6,Courbe_de_tarage!$I$4:$I$44,1)+1)),IFERROR(INDEX(Courbe_de_tarage!$D$4:$D$44,MATCH(K5+B5+B6,Courbe_de_tarage!$I$4:$I$44,1)),INDEX(Courbe_de_tarage!$D$4:$D$44,1))))</f>
        <v/>
      </c>
      <c r="E6" s="19">
        <f>IF(A6="","",IFERROR(FORECAST(K5+B5+B6,INDEX(Courbe_de_tarage!$E$4:$E$44,MATCH(K5+B5+B6,Courbe_de_tarage!$I$4:$I$44,1)):INDEX(Courbe_de_tarage!$E$4:$E$44,MATCH(K5+B5+B6,Courbe_de_tarage!$I$4:$I$44,1)+1),INDEX(Courbe_de_tarage!$I$4:$I$44,MATCH(K5+B5+B6,Courbe_de_tarage!$I$4:$I$44,1)):INDEX(Courbe_de_tarage!$I$4:$I$44,MATCH(K5+B5+B6,Courbe_de_tarage!$I$4:$I$44,1)+1)),IFERROR(INDEX(Courbe_de_tarage!$E$4:$E$44,MATCH(K5+B5+B6,Courbe_de_tarage!$I$4:$I$44,1)),INDEX(Courbe_de_tarage!$E$4:$E$44,1))))</f>
        <v/>
      </c>
      <c r="F6" s="19">
        <f>IF(A6="","",IFERROR(FORECAST(K5+B5+B6,INDEX(Courbe_de_tarage!$A$4:$A$44,MATCH(K5+B5+B6,Courbe_de_tarage!$I$4:$I$44,1)):INDEX(Courbe_de_tarage!$A$4:$A$44,MATCH(K5+B5+B6,Courbe_de_tarage!$I$4:$I$44,1)+1),INDEX(Courbe_de_tarage!$I$4:$I$44,MATCH(K5+B5+B6,Courbe_de_tarage!$I$4:$I$44,1)):INDEX(Courbe_de_tarage!$I$4:$I$44,MATCH(K5+B5+B6,Courbe_de_tarage!$I$4:$I$44,1)+1)),IFERROR(INDEX(Courbe_de_tarage!$A$4:$A$44,MATCH(K5+B5+B6,Courbe_de_tarage!$I$4:$I$44,1)),INDEX(Courbe_de_tarage!$A$4:$A$44,1))))</f>
        <v/>
      </c>
      <c r="G6" s="19">
        <f>IF(A6="","",35.36+F6)</f>
        <v/>
      </c>
      <c r="H6" s="19">
        <f>IF(A6="","",IFERROR(FORECAST(K5+B5+B6,INDEX(Courbe_de_tarage!$H$4:$H$44,MATCH(K5+B5+B6,Courbe_de_tarage!$I$4:$I$44,1)):INDEX(Courbe_de_tarage!$H$4:$H$44,MATCH(K5+B5+B6,Courbe_de_tarage!$I$4:$I$44,1)+1),INDEX(Courbe_de_tarage!$I$4:$I$44,MATCH(K5+B5+B6,Courbe_de_tarage!$I$4:$I$44,1)):INDEX(Courbe_de_tarage!$I$4:$I$44,MATCH(K5+B5+B6,Courbe_de_tarage!$I$4:$I$44,1)+1)),IFERROR(INDEX(Courbe_de_tarage!$H$4:$H$44,MATCH(K5+B5+B6,Courbe_de_tarage!$I$4:$I$44,1)),INDEX(Courbe_de_tarage!$H$4:$H$44,1))))</f>
        <v/>
      </c>
      <c r="I6" s="4">
        <f>IF(G6="","",IF(G6&gt;37.4,"OUI",""))</f>
        <v/>
      </c>
      <c r="J6" s="19">
        <f>IF(A6="","",K5+B5+B6)</f>
        <v/>
      </c>
      <c r="K6" s="19">
        <f>IF(A6="","",2*H6/(Hydrogramme_entree!$B$8*60)-E6)</f>
        <v/>
      </c>
    </row>
    <row r="7">
      <c r="A7" s="4">
        <f>Hydrogramme_entree!A13</f>
        <v/>
      </c>
      <c r="B7" s="19">
        <f>Hydrogramme_entree!B13</f>
        <v/>
      </c>
      <c r="C7" s="19">
        <f>IF(A7="","",IFERROR(FORECAST(K6+B6+B7,INDEX(Courbe_de_tarage!$C$4:$C$44,MATCH(K6+B6+B7,Courbe_de_tarage!$I$4:$I$44,1)):INDEX(Courbe_de_tarage!$C$4:$C$44,MATCH(K6+B6+B7,Courbe_de_tarage!$I$4:$I$44,1)+1),INDEX(Courbe_de_tarage!$I$4:$I$44,MATCH(K6+B6+B7,Courbe_de_tarage!$I$4:$I$44,1)):INDEX(Courbe_de_tarage!$I$4:$I$44,MATCH(K6+B6+B7,Courbe_de_tarage!$I$4:$I$44,1)+1)),IFERROR(INDEX(Courbe_de_tarage!$C$4:$C$44,MATCH(K6+B6+B7,Courbe_de_tarage!$I$4:$I$44,1)),INDEX(Courbe_de_tarage!$C$4:$C$44,1))))</f>
        <v/>
      </c>
      <c r="D7" s="19">
        <f>IF(A7="","",IFERROR(FORECAST(K6+B6+B7,INDEX(Courbe_de_tarage!$D$4:$D$44,MATCH(K6+B6+B7,Courbe_de_tarage!$I$4:$I$44,1)):INDEX(Courbe_de_tarage!$D$4:$D$44,MATCH(K6+B6+B7,Courbe_de_tarage!$I$4:$I$44,1)+1),INDEX(Courbe_de_tarage!$I$4:$I$44,MATCH(K6+B6+B7,Courbe_de_tarage!$I$4:$I$44,1)):INDEX(Courbe_de_tarage!$I$4:$I$44,MATCH(K6+B6+B7,Courbe_de_tarage!$I$4:$I$44,1)+1)),IFERROR(INDEX(Courbe_de_tarage!$D$4:$D$44,MATCH(K6+B6+B7,Courbe_de_tarage!$I$4:$I$44,1)),INDEX(Courbe_de_tarage!$D$4:$D$44,1))))</f>
        <v/>
      </c>
      <c r="E7" s="19">
        <f>IF(A7="","",IFERROR(FORECAST(K6+B6+B7,INDEX(Courbe_de_tarage!$E$4:$E$44,MATCH(K6+B6+B7,Courbe_de_tarage!$I$4:$I$44,1)):INDEX(Courbe_de_tarage!$E$4:$E$44,MATCH(K6+B6+B7,Courbe_de_tarage!$I$4:$I$44,1)+1),INDEX(Courbe_de_tarage!$I$4:$I$44,MATCH(K6+B6+B7,Courbe_de_tarage!$I$4:$I$44,1)):INDEX(Courbe_de_tarage!$I$4:$I$44,MATCH(K6+B6+B7,Courbe_de_tarage!$I$4:$I$44,1)+1)),IFERROR(INDEX(Courbe_de_tarage!$E$4:$E$44,MATCH(K6+B6+B7,Courbe_de_tarage!$I$4:$I$44,1)),INDEX(Courbe_de_tarage!$E$4:$E$44,1))))</f>
        <v/>
      </c>
      <c r="F7" s="19">
        <f>IF(A7="","",IFERROR(FORECAST(K6+B6+B7,INDEX(Courbe_de_tarage!$A$4:$A$44,MATCH(K6+B6+B7,Courbe_de_tarage!$I$4:$I$44,1)):INDEX(Courbe_de_tarage!$A$4:$A$44,MATCH(K6+B6+B7,Courbe_de_tarage!$I$4:$I$44,1)+1),INDEX(Courbe_de_tarage!$I$4:$I$44,MATCH(K6+B6+B7,Courbe_de_tarage!$I$4:$I$44,1)):INDEX(Courbe_de_tarage!$I$4:$I$44,MATCH(K6+B6+B7,Courbe_de_tarage!$I$4:$I$44,1)+1)),IFERROR(INDEX(Courbe_de_tarage!$A$4:$A$44,MATCH(K6+B6+B7,Courbe_de_tarage!$I$4:$I$44,1)),INDEX(Courbe_de_tarage!$A$4:$A$44,1))))</f>
        <v/>
      </c>
      <c r="G7" s="19">
        <f>IF(A7="","",35.36+F7)</f>
        <v/>
      </c>
      <c r="H7" s="19">
        <f>IF(A7="","",IFERROR(FORECAST(K6+B6+B7,INDEX(Courbe_de_tarage!$H$4:$H$44,MATCH(K6+B6+B7,Courbe_de_tarage!$I$4:$I$44,1)):INDEX(Courbe_de_tarage!$H$4:$H$44,MATCH(K6+B6+B7,Courbe_de_tarage!$I$4:$I$44,1)+1),INDEX(Courbe_de_tarage!$I$4:$I$44,MATCH(K6+B6+B7,Courbe_de_tarage!$I$4:$I$44,1)):INDEX(Courbe_de_tarage!$I$4:$I$44,MATCH(K6+B6+B7,Courbe_de_tarage!$I$4:$I$44,1)+1)),IFERROR(INDEX(Courbe_de_tarage!$H$4:$H$44,MATCH(K6+B6+B7,Courbe_de_tarage!$I$4:$I$44,1)),INDEX(Courbe_de_tarage!$H$4:$H$44,1))))</f>
        <v/>
      </c>
      <c r="I7" s="4">
        <f>IF(G7="","",IF(G7&gt;37.4,"OUI",""))</f>
        <v/>
      </c>
      <c r="J7" s="19">
        <f>IF(A7="","",K6+B6+B7)</f>
        <v/>
      </c>
      <c r="K7" s="19">
        <f>IF(A7="","",2*H7/(Hydrogramme_entree!$B$8*60)-E7)</f>
        <v/>
      </c>
    </row>
    <row r="8">
      <c r="A8" s="4">
        <f>Hydrogramme_entree!A14</f>
        <v/>
      </c>
      <c r="B8" s="19">
        <f>Hydrogramme_entree!B14</f>
        <v/>
      </c>
      <c r="C8" s="19">
        <f>IF(A8="","",IFERROR(FORECAST(K7+B7+B8,INDEX(Courbe_de_tarage!$C$4:$C$44,MATCH(K7+B7+B8,Courbe_de_tarage!$I$4:$I$44,1)):INDEX(Courbe_de_tarage!$C$4:$C$44,MATCH(K7+B7+B8,Courbe_de_tarage!$I$4:$I$44,1)+1),INDEX(Courbe_de_tarage!$I$4:$I$44,MATCH(K7+B7+B8,Courbe_de_tarage!$I$4:$I$44,1)):INDEX(Courbe_de_tarage!$I$4:$I$44,MATCH(K7+B7+B8,Courbe_de_tarage!$I$4:$I$44,1)+1)),IFERROR(INDEX(Courbe_de_tarage!$C$4:$C$44,MATCH(K7+B7+B8,Courbe_de_tarage!$I$4:$I$44,1)),INDEX(Courbe_de_tarage!$C$4:$C$44,1))))</f>
        <v/>
      </c>
      <c r="D8" s="19">
        <f>IF(A8="","",IFERROR(FORECAST(K7+B7+B8,INDEX(Courbe_de_tarage!$D$4:$D$44,MATCH(K7+B7+B8,Courbe_de_tarage!$I$4:$I$44,1)):INDEX(Courbe_de_tarage!$D$4:$D$44,MATCH(K7+B7+B8,Courbe_de_tarage!$I$4:$I$44,1)+1),INDEX(Courbe_de_tarage!$I$4:$I$44,MATCH(K7+B7+B8,Courbe_de_tarage!$I$4:$I$44,1)):INDEX(Courbe_de_tarage!$I$4:$I$44,MATCH(K7+B7+B8,Courbe_de_tarage!$I$4:$I$44,1)+1)),IFERROR(INDEX(Courbe_de_tarage!$D$4:$D$44,MATCH(K7+B7+B8,Courbe_de_tarage!$I$4:$I$44,1)),INDEX(Courbe_de_tarage!$D$4:$D$44,1))))</f>
        <v/>
      </c>
      <c r="E8" s="19">
        <f>IF(A8="","",IFERROR(FORECAST(K7+B7+B8,INDEX(Courbe_de_tarage!$E$4:$E$44,MATCH(K7+B7+B8,Courbe_de_tarage!$I$4:$I$44,1)):INDEX(Courbe_de_tarage!$E$4:$E$44,MATCH(K7+B7+B8,Courbe_de_tarage!$I$4:$I$44,1)+1),INDEX(Courbe_de_tarage!$I$4:$I$44,MATCH(K7+B7+B8,Courbe_de_tarage!$I$4:$I$44,1)):INDEX(Courbe_de_tarage!$I$4:$I$44,MATCH(K7+B7+B8,Courbe_de_tarage!$I$4:$I$44,1)+1)),IFERROR(INDEX(Courbe_de_tarage!$E$4:$E$44,MATCH(K7+B7+B8,Courbe_de_tarage!$I$4:$I$44,1)),INDEX(Courbe_de_tarage!$E$4:$E$44,1))))</f>
        <v/>
      </c>
      <c r="F8" s="19">
        <f>IF(A8="","",IFERROR(FORECAST(K7+B7+B8,INDEX(Courbe_de_tarage!$A$4:$A$44,MATCH(K7+B7+B8,Courbe_de_tarage!$I$4:$I$44,1)):INDEX(Courbe_de_tarage!$A$4:$A$44,MATCH(K7+B7+B8,Courbe_de_tarage!$I$4:$I$44,1)+1),INDEX(Courbe_de_tarage!$I$4:$I$44,MATCH(K7+B7+B8,Courbe_de_tarage!$I$4:$I$44,1)):INDEX(Courbe_de_tarage!$I$4:$I$44,MATCH(K7+B7+B8,Courbe_de_tarage!$I$4:$I$44,1)+1)),IFERROR(INDEX(Courbe_de_tarage!$A$4:$A$44,MATCH(K7+B7+B8,Courbe_de_tarage!$I$4:$I$44,1)),INDEX(Courbe_de_tarage!$A$4:$A$44,1))))</f>
        <v/>
      </c>
      <c r="G8" s="19">
        <f>IF(A8="","",35.36+F8)</f>
        <v/>
      </c>
      <c r="H8" s="19">
        <f>IF(A8="","",IFERROR(FORECAST(K7+B7+B8,INDEX(Courbe_de_tarage!$H$4:$H$44,MATCH(K7+B7+B8,Courbe_de_tarage!$I$4:$I$44,1)):INDEX(Courbe_de_tarage!$H$4:$H$44,MATCH(K7+B7+B8,Courbe_de_tarage!$I$4:$I$44,1)+1),INDEX(Courbe_de_tarage!$I$4:$I$44,MATCH(K7+B7+B8,Courbe_de_tarage!$I$4:$I$44,1)):INDEX(Courbe_de_tarage!$I$4:$I$44,MATCH(K7+B7+B8,Courbe_de_tarage!$I$4:$I$44,1)+1)),IFERROR(INDEX(Courbe_de_tarage!$H$4:$H$44,MATCH(K7+B7+B8,Courbe_de_tarage!$I$4:$I$44,1)),INDEX(Courbe_de_tarage!$H$4:$H$44,1))))</f>
        <v/>
      </c>
      <c r="I8" s="4">
        <f>IF(G8="","",IF(G8&gt;37.4,"OUI",""))</f>
        <v/>
      </c>
      <c r="J8" s="19">
        <f>IF(A8="","",K7+B7+B8)</f>
        <v/>
      </c>
      <c r="K8" s="19">
        <f>IF(A8="","",2*H8/(Hydrogramme_entree!$B$8*60)-E8)</f>
        <v/>
      </c>
    </row>
    <row r="9">
      <c r="A9" s="4">
        <f>Hydrogramme_entree!A15</f>
        <v/>
      </c>
      <c r="B9" s="19">
        <f>Hydrogramme_entree!B15</f>
        <v/>
      </c>
      <c r="C9" s="19">
        <f>IF(A9="","",IFERROR(FORECAST(K8+B8+B9,INDEX(Courbe_de_tarage!$C$4:$C$44,MATCH(K8+B8+B9,Courbe_de_tarage!$I$4:$I$44,1)):INDEX(Courbe_de_tarage!$C$4:$C$44,MATCH(K8+B8+B9,Courbe_de_tarage!$I$4:$I$44,1)+1),INDEX(Courbe_de_tarage!$I$4:$I$44,MATCH(K8+B8+B9,Courbe_de_tarage!$I$4:$I$44,1)):INDEX(Courbe_de_tarage!$I$4:$I$44,MATCH(K8+B8+B9,Courbe_de_tarage!$I$4:$I$44,1)+1)),IFERROR(INDEX(Courbe_de_tarage!$C$4:$C$44,MATCH(K8+B8+B9,Courbe_de_tarage!$I$4:$I$44,1)),INDEX(Courbe_de_tarage!$C$4:$C$44,1))))</f>
        <v/>
      </c>
      <c r="D9" s="19">
        <f>IF(A9="","",IFERROR(FORECAST(K8+B8+B9,INDEX(Courbe_de_tarage!$D$4:$D$44,MATCH(K8+B8+B9,Courbe_de_tarage!$I$4:$I$44,1)):INDEX(Courbe_de_tarage!$D$4:$D$44,MATCH(K8+B8+B9,Courbe_de_tarage!$I$4:$I$44,1)+1),INDEX(Courbe_de_tarage!$I$4:$I$44,MATCH(K8+B8+B9,Courbe_de_tarage!$I$4:$I$44,1)):INDEX(Courbe_de_tarage!$I$4:$I$44,MATCH(K8+B8+B9,Courbe_de_tarage!$I$4:$I$44,1)+1)),IFERROR(INDEX(Courbe_de_tarage!$D$4:$D$44,MATCH(K8+B8+B9,Courbe_de_tarage!$I$4:$I$44,1)),INDEX(Courbe_de_tarage!$D$4:$D$44,1))))</f>
        <v/>
      </c>
      <c r="E9" s="19">
        <f>IF(A9="","",IFERROR(FORECAST(K8+B8+B9,INDEX(Courbe_de_tarage!$E$4:$E$44,MATCH(K8+B8+B9,Courbe_de_tarage!$I$4:$I$44,1)):INDEX(Courbe_de_tarage!$E$4:$E$44,MATCH(K8+B8+B9,Courbe_de_tarage!$I$4:$I$44,1)+1),INDEX(Courbe_de_tarage!$I$4:$I$44,MATCH(K8+B8+B9,Courbe_de_tarage!$I$4:$I$44,1)):INDEX(Courbe_de_tarage!$I$4:$I$44,MATCH(K8+B8+B9,Courbe_de_tarage!$I$4:$I$44,1)+1)),IFERROR(INDEX(Courbe_de_tarage!$E$4:$E$44,MATCH(K8+B8+B9,Courbe_de_tarage!$I$4:$I$44,1)),INDEX(Courbe_de_tarage!$E$4:$E$44,1))))</f>
        <v/>
      </c>
      <c r="F9" s="19">
        <f>IF(A9="","",IFERROR(FORECAST(K8+B8+B9,INDEX(Courbe_de_tarage!$A$4:$A$44,MATCH(K8+B8+B9,Courbe_de_tarage!$I$4:$I$44,1)):INDEX(Courbe_de_tarage!$A$4:$A$44,MATCH(K8+B8+B9,Courbe_de_tarage!$I$4:$I$44,1)+1),INDEX(Courbe_de_tarage!$I$4:$I$44,MATCH(K8+B8+B9,Courbe_de_tarage!$I$4:$I$44,1)):INDEX(Courbe_de_tarage!$I$4:$I$44,MATCH(K8+B8+B9,Courbe_de_tarage!$I$4:$I$44,1)+1)),IFERROR(INDEX(Courbe_de_tarage!$A$4:$A$44,MATCH(K8+B8+B9,Courbe_de_tarage!$I$4:$I$44,1)),INDEX(Courbe_de_tarage!$A$4:$A$44,1))))</f>
        <v/>
      </c>
      <c r="G9" s="19">
        <f>IF(A9="","",35.36+F9)</f>
        <v/>
      </c>
      <c r="H9" s="19">
        <f>IF(A9="","",IFERROR(FORECAST(K8+B8+B9,INDEX(Courbe_de_tarage!$H$4:$H$44,MATCH(K8+B8+B9,Courbe_de_tarage!$I$4:$I$44,1)):INDEX(Courbe_de_tarage!$H$4:$H$44,MATCH(K8+B8+B9,Courbe_de_tarage!$I$4:$I$44,1)+1),INDEX(Courbe_de_tarage!$I$4:$I$44,MATCH(K8+B8+B9,Courbe_de_tarage!$I$4:$I$44,1)):INDEX(Courbe_de_tarage!$I$4:$I$44,MATCH(K8+B8+B9,Courbe_de_tarage!$I$4:$I$44,1)+1)),IFERROR(INDEX(Courbe_de_tarage!$H$4:$H$44,MATCH(K8+B8+B9,Courbe_de_tarage!$I$4:$I$44,1)),INDEX(Courbe_de_tarage!$H$4:$H$44,1))))</f>
        <v/>
      </c>
      <c r="I9" s="4">
        <f>IF(G9="","",IF(G9&gt;37.4,"OUI",""))</f>
        <v/>
      </c>
      <c r="J9" s="19">
        <f>IF(A9="","",K8+B8+B9)</f>
        <v/>
      </c>
      <c r="K9" s="19">
        <f>IF(A9="","",2*H9/(Hydrogramme_entree!$B$8*60)-E9)</f>
        <v/>
      </c>
    </row>
    <row r="10">
      <c r="A10" s="4">
        <f>Hydrogramme_entree!A16</f>
        <v/>
      </c>
      <c r="B10" s="19">
        <f>Hydrogramme_entree!B16</f>
        <v/>
      </c>
      <c r="C10" s="19">
        <f>IF(A10="","",IFERROR(FORECAST(K9+B9+B10,INDEX(Courbe_de_tarage!$C$4:$C$44,MATCH(K9+B9+B10,Courbe_de_tarage!$I$4:$I$44,1)):INDEX(Courbe_de_tarage!$C$4:$C$44,MATCH(K9+B9+B10,Courbe_de_tarage!$I$4:$I$44,1)+1),INDEX(Courbe_de_tarage!$I$4:$I$44,MATCH(K9+B9+B10,Courbe_de_tarage!$I$4:$I$44,1)):INDEX(Courbe_de_tarage!$I$4:$I$44,MATCH(K9+B9+B10,Courbe_de_tarage!$I$4:$I$44,1)+1)),IFERROR(INDEX(Courbe_de_tarage!$C$4:$C$44,MATCH(K9+B9+B10,Courbe_de_tarage!$I$4:$I$44,1)),INDEX(Courbe_de_tarage!$C$4:$C$44,1))))</f>
        <v/>
      </c>
      <c r="D10" s="19">
        <f>IF(A10="","",IFERROR(FORECAST(K9+B9+B10,INDEX(Courbe_de_tarage!$D$4:$D$44,MATCH(K9+B9+B10,Courbe_de_tarage!$I$4:$I$44,1)):INDEX(Courbe_de_tarage!$D$4:$D$44,MATCH(K9+B9+B10,Courbe_de_tarage!$I$4:$I$44,1)+1),INDEX(Courbe_de_tarage!$I$4:$I$44,MATCH(K9+B9+B10,Courbe_de_tarage!$I$4:$I$44,1)):INDEX(Courbe_de_tarage!$I$4:$I$44,MATCH(K9+B9+B10,Courbe_de_tarage!$I$4:$I$44,1)+1)),IFERROR(INDEX(Courbe_de_tarage!$D$4:$D$44,MATCH(K9+B9+B10,Courbe_de_tarage!$I$4:$I$44,1)),INDEX(Courbe_de_tarage!$D$4:$D$44,1))))</f>
        <v/>
      </c>
      <c r="E10" s="19">
        <f>IF(A10="","",IFERROR(FORECAST(K9+B9+B10,INDEX(Courbe_de_tarage!$E$4:$E$44,MATCH(K9+B9+B10,Courbe_de_tarage!$I$4:$I$44,1)):INDEX(Courbe_de_tarage!$E$4:$E$44,MATCH(K9+B9+B10,Courbe_de_tarage!$I$4:$I$44,1)+1),INDEX(Courbe_de_tarage!$I$4:$I$44,MATCH(K9+B9+B10,Courbe_de_tarage!$I$4:$I$44,1)):INDEX(Courbe_de_tarage!$I$4:$I$44,MATCH(K9+B9+B10,Courbe_de_tarage!$I$4:$I$44,1)+1)),IFERROR(INDEX(Courbe_de_tarage!$E$4:$E$44,MATCH(K9+B9+B10,Courbe_de_tarage!$I$4:$I$44,1)),INDEX(Courbe_de_tarage!$E$4:$E$44,1))))</f>
        <v/>
      </c>
      <c r="F10" s="19">
        <f>IF(A10="","",IFERROR(FORECAST(K9+B9+B10,INDEX(Courbe_de_tarage!$A$4:$A$44,MATCH(K9+B9+B10,Courbe_de_tarage!$I$4:$I$44,1)):INDEX(Courbe_de_tarage!$A$4:$A$44,MATCH(K9+B9+B10,Courbe_de_tarage!$I$4:$I$44,1)+1),INDEX(Courbe_de_tarage!$I$4:$I$44,MATCH(K9+B9+B10,Courbe_de_tarage!$I$4:$I$44,1)):INDEX(Courbe_de_tarage!$I$4:$I$44,MATCH(K9+B9+B10,Courbe_de_tarage!$I$4:$I$44,1)+1)),IFERROR(INDEX(Courbe_de_tarage!$A$4:$A$44,MATCH(K9+B9+B10,Courbe_de_tarage!$I$4:$I$44,1)),INDEX(Courbe_de_tarage!$A$4:$A$44,1))))</f>
        <v/>
      </c>
      <c r="G10" s="19">
        <f>IF(A10="","",35.36+F10)</f>
        <v/>
      </c>
      <c r="H10" s="19">
        <f>IF(A10="","",IFERROR(FORECAST(K9+B9+B10,INDEX(Courbe_de_tarage!$H$4:$H$44,MATCH(K9+B9+B10,Courbe_de_tarage!$I$4:$I$44,1)):INDEX(Courbe_de_tarage!$H$4:$H$44,MATCH(K9+B9+B10,Courbe_de_tarage!$I$4:$I$44,1)+1),INDEX(Courbe_de_tarage!$I$4:$I$44,MATCH(K9+B9+B10,Courbe_de_tarage!$I$4:$I$44,1)):INDEX(Courbe_de_tarage!$I$4:$I$44,MATCH(K9+B9+B10,Courbe_de_tarage!$I$4:$I$44,1)+1)),IFERROR(INDEX(Courbe_de_tarage!$H$4:$H$44,MATCH(K9+B9+B10,Courbe_de_tarage!$I$4:$I$44,1)),INDEX(Courbe_de_tarage!$H$4:$H$44,1))))</f>
        <v/>
      </c>
      <c r="I10" s="4">
        <f>IF(G10="","",IF(G10&gt;37.4,"OUI",""))</f>
        <v/>
      </c>
      <c r="J10" s="19">
        <f>IF(A10="","",K9+B9+B10)</f>
        <v/>
      </c>
      <c r="K10" s="19">
        <f>IF(A10="","",2*H10/(Hydrogramme_entree!$B$8*60)-E10)</f>
        <v/>
      </c>
    </row>
    <row r="11">
      <c r="A11" s="4">
        <f>Hydrogramme_entree!A17</f>
        <v/>
      </c>
      <c r="B11" s="19">
        <f>Hydrogramme_entree!B17</f>
        <v/>
      </c>
      <c r="C11" s="19">
        <f>IF(A11="","",IFERROR(FORECAST(K10+B10+B11,INDEX(Courbe_de_tarage!$C$4:$C$44,MATCH(K10+B10+B11,Courbe_de_tarage!$I$4:$I$44,1)):INDEX(Courbe_de_tarage!$C$4:$C$44,MATCH(K10+B10+B11,Courbe_de_tarage!$I$4:$I$44,1)+1),INDEX(Courbe_de_tarage!$I$4:$I$44,MATCH(K10+B10+B11,Courbe_de_tarage!$I$4:$I$44,1)):INDEX(Courbe_de_tarage!$I$4:$I$44,MATCH(K10+B10+B11,Courbe_de_tarage!$I$4:$I$44,1)+1)),IFERROR(INDEX(Courbe_de_tarage!$C$4:$C$44,MATCH(K10+B10+B11,Courbe_de_tarage!$I$4:$I$44,1)),INDEX(Courbe_de_tarage!$C$4:$C$44,1))))</f>
        <v/>
      </c>
      <c r="D11" s="19">
        <f>IF(A11="","",IFERROR(FORECAST(K10+B10+B11,INDEX(Courbe_de_tarage!$D$4:$D$44,MATCH(K10+B10+B11,Courbe_de_tarage!$I$4:$I$44,1)):INDEX(Courbe_de_tarage!$D$4:$D$44,MATCH(K10+B10+B11,Courbe_de_tarage!$I$4:$I$44,1)+1),INDEX(Courbe_de_tarage!$I$4:$I$44,MATCH(K10+B10+B11,Courbe_de_tarage!$I$4:$I$44,1)):INDEX(Courbe_de_tarage!$I$4:$I$44,MATCH(K10+B10+B11,Courbe_de_tarage!$I$4:$I$44,1)+1)),IFERROR(INDEX(Courbe_de_tarage!$D$4:$D$44,MATCH(K10+B10+B11,Courbe_de_tarage!$I$4:$I$44,1)),INDEX(Courbe_de_tarage!$D$4:$D$44,1))))</f>
        <v/>
      </c>
      <c r="E11" s="19">
        <f>IF(A11="","",IFERROR(FORECAST(K10+B10+B11,INDEX(Courbe_de_tarage!$E$4:$E$44,MATCH(K10+B10+B11,Courbe_de_tarage!$I$4:$I$44,1)):INDEX(Courbe_de_tarage!$E$4:$E$44,MATCH(K10+B10+B11,Courbe_de_tarage!$I$4:$I$44,1)+1),INDEX(Courbe_de_tarage!$I$4:$I$44,MATCH(K10+B10+B11,Courbe_de_tarage!$I$4:$I$44,1)):INDEX(Courbe_de_tarage!$I$4:$I$44,MATCH(K10+B10+B11,Courbe_de_tarage!$I$4:$I$44,1)+1)),IFERROR(INDEX(Courbe_de_tarage!$E$4:$E$44,MATCH(K10+B10+B11,Courbe_de_tarage!$I$4:$I$44,1)),INDEX(Courbe_de_tarage!$E$4:$E$44,1))))</f>
        <v/>
      </c>
      <c r="F11" s="19">
        <f>IF(A11="","",IFERROR(FORECAST(K10+B10+B11,INDEX(Courbe_de_tarage!$A$4:$A$44,MATCH(K10+B10+B11,Courbe_de_tarage!$I$4:$I$44,1)):INDEX(Courbe_de_tarage!$A$4:$A$44,MATCH(K10+B10+B11,Courbe_de_tarage!$I$4:$I$44,1)+1),INDEX(Courbe_de_tarage!$I$4:$I$44,MATCH(K10+B10+B11,Courbe_de_tarage!$I$4:$I$44,1)):INDEX(Courbe_de_tarage!$I$4:$I$44,MATCH(K10+B10+B11,Courbe_de_tarage!$I$4:$I$44,1)+1)),IFERROR(INDEX(Courbe_de_tarage!$A$4:$A$44,MATCH(K10+B10+B11,Courbe_de_tarage!$I$4:$I$44,1)),INDEX(Courbe_de_tarage!$A$4:$A$44,1))))</f>
        <v/>
      </c>
      <c r="G11" s="19">
        <f>IF(A11="","",35.36+F11)</f>
        <v/>
      </c>
      <c r="H11" s="19">
        <f>IF(A11="","",IFERROR(FORECAST(K10+B10+B11,INDEX(Courbe_de_tarage!$H$4:$H$44,MATCH(K10+B10+B11,Courbe_de_tarage!$I$4:$I$44,1)):INDEX(Courbe_de_tarage!$H$4:$H$44,MATCH(K10+B10+B11,Courbe_de_tarage!$I$4:$I$44,1)+1),INDEX(Courbe_de_tarage!$I$4:$I$44,MATCH(K10+B10+B11,Courbe_de_tarage!$I$4:$I$44,1)):INDEX(Courbe_de_tarage!$I$4:$I$44,MATCH(K10+B10+B11,Courbe_de_tarage!$I$4:$I$44,1)+1)),IFERROR(INDEX(Courbe_de_tarage!$H$4:$H$44,MATCH(K10+B10+B11,Courbe_de_tarage!$I$4:$I$44,1)),INDEX(Courbe_de_tarage!$H$4:$H$44,1))))</f>
        <v/>
      </c>
      <c r="I11" s="4">
        <f>IF(G11="","",IF(G11&gt;37.4,"OUI",""))</f>
        <v/>
      </c>
      <c r="J11" s="19">
        <f>IF(A11="","",K10+B10+B11)</f>
        <v/>
      </c>
      <c r="K11" s="19">
        <f>IF(A11="","",2*H11/(Hydrogramme_entree!$B$8*60)-E11)</f>
        <v/>
      </c>
    </row>
    <row r="12">
      <c r="A12" s="4">
        <f>Hydrogramme_entree!A18</f>
        <v/>
      </c>
      <c r="B12" s="19">
        <f>Hydrogramme_entree!B18</f>
        <v/>
      </c>
      <c r="C12" s="19">
        <f>IF(A12="","",IFERROR(FORECAST(K11+B11+B12,INDEX(Courbe_de_tarage!$C$4:$C$44,MATCH(K11+B11+B12,Courbe_de_tarage!$I$4:$I$44,1)):INDEX(Courbe_de_tarage!$C$4:$C$44,MATCH(K11+B11+B12,Courbe_de_tarage!$I$4:$I$44,1)+1),INDEX(Courbe_de_tarage!$I$4:$I$44,MATCH(K11+B11+B12,Courbe_de_tarage!$I$4:$I$44,1)):INDEX(Courbe_de_tarage!$I$4:$I$44,MATCH(K11+B11+B12,Courbe_de_tarage!$I$4:$I$44,1)+1)),IFERROR(INDEX(Courbe_de_tarage!$C$4:$C$44,MATCH(K11+B11+B12,Courbe_de_tarage!$I$4:$I$44,1)),INDEX(Courbe_de_tarage!$C$4:$C$44,1))))</f>
        <v/>
      </c>
      <c r="D12" s="19">
        <f>IF(A12="","",IFERROR(FORECAST(K11+B11+B12,INDEX(Courbe_de_tarage!$D$4:$D$44,MATCH(K11+B11+B12,Courbe_de_tarage!$I$4:$I$44,1)):INDEX(Courbe_de_tarage!$D$4:$D$44,MATCH(K11+B11+B12,Courbe_de_tarage!$I$4:$I$44,1)+1),INDEX(Courbe_de_tarage!$I$4:$I$44,MATCH(K11+B11+B12,Courbe_de_tarage!$I$4:$I$44,1)):INDEX(Courbe_de_tarage!$I$4:$I$44,MATCH(K11+B11+B12,Courbe_de_tarage!$I$4:$I$44,1)+1)),IFERROR(INDEX(Courbe_de_tarage!$D$4:$D$44,MATCH(K11+B11+B12,Courbe_de_tarage!$I$4:$I$44,1)),INDEX(Courbe_de_tarage!$D$4:$D$44,1))))</f>
        <v/>
      </c>
      <c r="E12" s="19">
        <f>IF(A12="","",IFERROR(FORECAST(K11+B11+B12,INDEX(Courbe_de_tarage!$E$4:$E$44,MATCH(K11+B11+B12,Courbe_de_tarage!$I$4:$I$44,1)):INDEX(Courbe_de_tarage!$E$4:$E$44,MATCH(K11+B11+B12,Courbe_de_tarage!$I$4:$I$44,1)+1),INDEX(Courbe_de_tarage!$I$4:$I$44,MATCH(K11+B11+B12,Courbe_de_tarage!$I$4:$I$44,1)):INDEX(Courbe_de_tarage!$I$4:$I$44,MATCH(K11+B11+B12,Courbe_de_tarage!$I$4:$I$44,1)+1)),IFERROR(INDEX(Courbe_de_tarage!$E$4:$E$44,MATCH(K11+B11+B12,Courbe_de_tarage!$I$4:$I$44,1)),INDEX(Courbe_de_tarage!$E$4:$E$44,1))))</f>
        <v/>
      </c>
      <c r="F12" s="19">
        <f>IF(A12="","",IFERROR(FORECAST(K11+B11+B12,INDEX(Courbe_de_tarage!$A$4:$A$44,MATCH(K11+B11+B12,Courbe_de_tarage!$I$4:$I$44,1)):INDEX(Courbe_de_tarage!$A$4:$A$44,MATCH(K11+B11+B12,Courbe_de_tarage!$I$4:$I$44,1)+1),INDEX(Courbe_de_tarage!$I$4:$I$44,MATCH(K11+B11+B12,Courbe_de_tarage!$I$4:$I$44,1)):INDEX(Courbe_de_tarage!$I$4:$I$44,MATCH(K11+B11+B12,Courbe_de_tarage!$I$4:$I$44,1)+1)),IFERROR(INDEX(Courbe_de_tarage!$A$4:$A$44,MATCH(K11+B11+B12,Courbe_de_tarage!$I$4:$I$44,1)),INDEX(Courbe_de_tarage!$A$4:$A$44,1))))</f>
        <v/>
      </c>
      <c r="G12" s="19">
        <f>IF(A12="","",35.36+F12)</f>
        <v/>
      </c>
      <c r="H12" s="19">
        <f>IF(A12="","",IFERROR(FORECAST(K11+B11+B12,INDEX(Courbe_de_tarage!$H$4:$H$44,MATCH(K11+B11+B12,Courbe_de_tarage!$I$4:$I$44,1)):INDEX(Courbe_de_tarage!$H$4:$H$44,MATCH(K11+B11+B12,Courbe_de_tarage!$I$4:$I$44,1)+1),INDEX(Courbe_de_tarage!$I$4:$I$44,MATCH(K11+B11+B12,Courbe_de_tarage!$I$4:$I$44,1)):INDEX(Courbe_de_tarage!$I$4:$I$44,MATCH(K11+B11+B12,Courbe_de_tarage!$I$4:$I$44,1)+1)),IFERROR(INDEX(Courbe_de_tarage!$H$4:$H$44,MATCH(K11+B11+B12,Courbe_de_tarage!$I$4:$I$44,1)),INDEX(Courbe_de_tarage!$H$4:$H$44,1))))</f>
        <v/>
      </c>
      <c r="I12" s="4">
        <f>IF(G12="","",IF(G12&gt;37.4,"OUI",""))</f>
        <v/>
      </c>
      <c r="J12" s="19">
        <f>IF(A12="","",K11+B11+B12)</f>
        <v/>
      </c>
      <c r="K12" s="19">
        <f>IF(A12="","",2*H12/(Hydrogramme_entree!$B$8*60)-E12)</f>
        <v/>
      </c>
    </row>
    <row r="13">
      <c r="A13" s="4">
        <f>Hydrogramme_entree!A19</f>
        <v/>
      </c>
      <c r="B13" s="19">
        <f>Hydrogramme_entree!B19</f>
        <v/>
      </c>
      <c r="C13" s="19">
        <f>IF(A13="","",IFERROR(FORECAST(K12+B12+B13,INDEX(Courbe_de_tarage!$C$4:$C$44,MATCH(K12+B12+B13,Courbe_de_tarage!$I$4:$I$44,1)):INDEX(Courbe_de_tarage!$C$4:$C$44,MATCH(K12+B12+B13,Courbe_de_tarage!$I$4:$I$44,1)+1),INDEX(Courbe_de_tarage!$I$4:$I$44,MATCH(K12+B12+B13,Courbe_de_tarage!$I$4:$I$44,1)):INDEX(Courbe_de_tarage!$I$4:$I$44,MATCH(K12+B12+B13,Courbe_de_tarage!$I$4:$I$44,1)+1)),IFERROR(INDEX(Courbe_de_tarage!$C$4:$C$44,MATCH(K12+B12+B13,Courbe_de_tarage!$I$4:$I$44,1)),INDEX(Courbe_de_tarage!$C$4:$C$44,1))))</f>
        <v/>
      </c>
      <c r="D13" s="19">
        <f>IF(A13="","",IFERROR(FORECAST(K12+B12+B13,INDEX(Courbe_de_tarage!$D$4:$D$44,MATCH(K12+B12+B13,Courbe_de_tarage!$I$4:$I$44,1)):INDEX(Courbe_de_tarage!$D$4:$D$44,MATCH(K12+B12+B13,Courbe_de_tarage!$I$4:$I$44,1)+1),INDEX(Courbe_de_tarage!$I$4:$I$44,MATCH(K12+B12+B13,Courbe_de_tarage!$I$4:$I$44,1)):INDEX(Courbe_de_tarage!$I$4:$I$44,MATCH(K12+B12+B13,Courbe_de_tarage!$I$4:$I$44,1)+1)),IFERROR(INDEX(Courbe_de_tarage!$D$4:$D$44,MATCH(K12+B12+B13,Courbe_de_tarage!$I$4:$I$44,1)),INDEX(Courbe_de_tarage!$D$4:$D$44,1))))</f>
        <v/>
      </c>
      <c r="E13" s="19">
        <f>IF(A13="","",IFERROR(FORECAST(K12+B12+B13,INDEX(Courbe_de_tarage!$E$4:$E$44,MATCH(K12+B12+B13,Courbe_de_tarage!$I$4:$I$44,1)):INDEX(Courbe_de_tarage!$E$4:$E$44,MATCH(K12+B12+B13,Courbe_de_tarage!$I$4:$I$44,1)+1),INDEX(Courbe_de_tarage!$I$4:$I$44,MATCH(K12+B12+B13,Courbe_de_tarage!$I$4:$I$44,1)):INDEX(Courbe_de_tarage!$I$4:$I$44,MATCH(K12+B12+B13,Courbe_de_tarage!$I$4:$I$44,1)+1)),IFERROR(INDEX(Courbe_de_tarage!$E$4:$E$44,MATCH(K12+B12+B13,Courbe_de_tarage!$I$4:$I$44,1)),INDEX(Courbe_de_tarage!$E$4:$E$44,1))))</f>
        <v/>
      </c>
      <c r="F13" s="19">
        <f>IF(A13="","",IFERROR(FORECAST(K12+B12+B13,INDEX(Courbe_de_tarage!$A$4:$A$44,MATCH(K12+B12+B13,Courbe_de_tarage!$I$4:$I$44,1)):INDEX(Courbe_de_tarage!$A$4:$A$44,MATCH(K12+B12+B13,Courbe_de_tarage!$I$4:$I$44,1)+1),INDEX(Courbe_de_tarage!$I$4:$I$44,MATCH(K12+B12+B13,Courbe_de_tarage!$I$4:$I$44,1)):INDEX(Courbe_de_tarage!$I$4:$I$44,MATCH(K12+B12+B13,Courbe_de_tarage!$I$4:$I$44,1)+1)),IFERROR(INDEX(Courbe_de_tarage!$A$4:$A$44,MATCH(K12+B12+B13,Courbe_de_tarage!$I$4:$I$44,1)),INDEX(Courbe_de_tarage!$A$4:$A$44,1))))</f>
        <v/>
      </c>
      <c r="G13" s="19">
        <f>IF(A13="","",35.36+F13)</f>
        <v/>
      </c>
      <c r="H13" s="19">
        <f>IF(A13="","",IFERROR(FORECAST(K12+B12+B13,INDEX(Courbe_de_tarage!$H$4:$H$44,MATCH(K12+B12+B13,Courbe_de_tarage!$I$4:$I$44,1)):INDEX(Courbe_de_tarage!$H$4:$H$44,MATCH(K12+B12+B13,Courbe_de_tarage!$I$4:$I$44,1)+1),INDEX(Courbe_de_tarage!$I$4:$I$44,MATCH(K12+B12+B13,Courbe_de_tarage!$I$4:$I$44,1)):INDEX(Courbe_de_tarage!$I$4:$I$44,MATCH(K12+B12+B13,Courbe_de_tarage!$I$4:$I$44,1)+1)),IFERROR(INDEX(Courbe_de_tarage!$H$4:$H$44,MATCH(K12+B12+B13,Courbe_de_tarage!$I$4:$I$44,1)),INDEX(Courbe_de_tarage!$H$4:$H$44,1))))</f>
        <v/>
      </c>
      <c r="I13" s="4">
        <f>IF(G13="","",IF(G13&gt;37.4,"OUI",""))</f>
        <v/>
      </c>
      <c r="J13" s="19">
        <f>IF(A13="","",K12+B12+B13)</f>
        <v/>
      </c>
      <c r="K13" s="19">
        <f>IF(A13="","",2*H13/(Hydrogramme_entree!$B$8*60)-E13)</f>
        <v/>
      </c>
    </row>
    <row r="14">
      <c r="A14" s="4">
        <f>Hydrogramme_entree!A20</f>
        <v/>
      </c>
      <c r="B14" s="19">
        <f>Hydrogramme_entree!B20</f>
        <v/>
      </c>
      <c r="C14" s="19">
        <f>IF(A14="","",IFERROR(FORECAST(K13+B13+B14,INDEX(Courbe_de_tarage!$C$4:$C$44,MATCH(K13+B13+B14,Courbe_de_tarage!$I$4:$I$44,1)):INDEX(Courbe_de_tarage!$C$4:$C$44,MATCH(K13+B13+B14,Courbe_de_tarage!$I$4:$I$44,1)+1),INDEX(Courbe_de_tarage!$I$4:$I$44,MATCH(K13+B13+B14,Courbe_de_tarage!$I$4:$I$44,1)):INDEX(Courbe_de_tarage!$I$4:$I$44,MATCH(K13+B13+B14,Courbe_de_tarage!$I$4:$I$44,1)+1)),IFERROR(INDEX(Courbe_de_tarage!$C$4:$C$44,MATCH(K13+B13+B14,Courbe_de_tarage!$I$4:$I$44,1)),INDEX(Courbe_de_tarage!$C$4:$C$44,1))))</f>
        <v/>
      </c>
      <c r="D14" s="19">
        <f>IF(A14="","",IFERROR(FORECAST(K13+B13+B14,INDEX(Courbe_de_tarage!$D$4:$D$44,MATCH(K13+B13+B14,Courbe_de_tarage!$I$4:$I$44,1)):INDEX(Courbe_de_tarage!$D$4:$D$44,MATCH(K13+B13+B14,Courbe_de_tarage!$I$4:$I$44,1)+1),INDEX(Courbe_de_tarage!$I$4:$I$44,MATCH(K13+B13+B14,Courbe_de_tarage!$I$4:$I$44,1)):INDEX(Courbe_de_tarage!$I$4:$I$44,MATCH(K13+B13+B14,Courbe_de_tarage!$I$4:$I$44,1)+1)),IFERROR(INDEX(Courbe_de_tarage!$D$4:$D$44,MATCH(K13+B13+B14,Courbe_de_tarage!$I$4:$I$44,1)),INDEX(Courbe_de_tarage!$D$4:$D$44,1))))</f>
        <v/>
      </c>
      <c r="E14" s="19">
        <f>IF(A14="","",IFERROR(FORECAST(K13+B13+B14,INDEX(Courbe_de_tarage!$E$4:$E$44,MATCH(K13+B13+B14,Courbe_de_tarage!$I$4:$I$44,1)):INDEX(Courbe_de_tarage!$E$4:$E$44,MATCH(K13+B13+B14,Courbe_de_tarage!$I$4:$I$44,1)+1),INDEX(Courbe_de_tarage!$I$4:$I$44,MATCH(K13+B13+B14,Courbe_de_tarage!$I$4:$I$44,1)):INDEX(Courbe_de_tarage!$I$4:$I$44,MATCH(K13+B13+B14,Courbe_de_tarage!$I$4:$I$44,1)+1)),IFERROR(INDEX(Courbe_de_tarage!$E$4:$E$44,MATCH(K13+B13+B14,Courbe_de_tarage!$I$4:$I$44,1)),INDEX(Courbe_de_tarage!$E$4:$E$44,1))))</f>
        <v/>
      </c>
      <c r="F14" s="19">
        <f>IF(A14="","",IFERROR(FORECAST(K13+B13+B14,INDEX(Courbe_de_tarage!$A$4:$A$44,MATCH(K13+B13+B14,Courbe_de_tarage!$I$4:$I$44,1)):INDEX(Courbe_de_tarage!$A$4:$A$44,MATCH(K13+B13+B14,Courbe_de_tarage!$I$4:$I$44,1)+1),INDEX(Courbe_de_tarage!$I$4:$I$44,MATCH(K13+B13+B14,Courbe_de_tarage!$I$4:$I$44,1)):INDEX(Courbe_de_tarage!$I$4:$I$44,MATCH(K13+B13+B14,Courbe_de_tarage!$I$4:$I$44,1)+1)),IFERROR(INDEX(Courbe_de_tarage!$A$4:$A$44,MATCH(K13+B13+B14,Courbe_de_tarage!$I$4:$I$44,1)),INDEX(Courbe_de_tarage!$A$4:$A$44,1))))</f>
        <v/>
      </c>
      <c r="G14" s="19">
        <f>IF(A14="","",35.36+F14)</f>
        <v/>
      </c>
      <c r="H14" s="19">
        <f>IF(A14="","",IFERROR(FORECAST(K13+B13+B14,INDEX(Courbe_de_tarage!$H$4:$H$44,MATCH(K13+B13+B14,Courbe_de_tarage!$I$4:$I$44,1)):INDEX(Courbe_de_tarage!$H$4:$H$44,MATCH(K13+B13+B14,Courbe_de_tarage!$I$4:$I$44,1)+1),INDEX(Courbe_de_tarage!$I$4:$I$44,MATCH(K13+B13+B14,Courbe_de_tarage!$I$4:$I$44,1)):INDEX(Courbe_de_tarage!$I$4:$I$44,MATCH(K13+B13+B14,Courbe_de_tarage!$I$4:$I$44,1)+1)),IFERROR(INDEX(Courbe_de_tarage!$H$4:$H$44,MATCH(K13+B13+B14,Courbe_de_tarage!$I$4:$I$44,1)),INDEX(Courbe_de_tarage!$H$4:$H$44,1))))</f>
        <v/>
      </c>
      <c r="I14" s="4">
        <f>IF(G14="","",IF(G14&gt;37.4,"OUI",""))</f>
        <v/>
      </c>
      <c r="J14" s="19">
        <f>IF(A14="","",K13+B13+B14)</f>
        <v/>
      </c>
      <c r="K14" s="19">
        <f>IF(A14="","",2*H14/(Hydrogramme_entree!$B$8*60)-E14)</f>
        <v/>
      </c>
    </row>
    <row r="15">
      <c r="A15" s="4">
        <f>Hydrogramme_entree!A21</f>
        <v/>
      </c>
      <c r="B15" s="19">
        <f>Hydrogramme_entree!B21</f>
        <v/>
      </c>
      <c r="C15" s="19">
        <f>IF(A15="","",IFERROR(FORECAST(K14+B14+B15,INDEX(Courbe_de_tarage!$C$4:$C$44,MATCH(K14+B14+B15,Courbe_de_tarage!$I$4:$I$44,1)):INDEX(Courbe_de_tarage!$C$4:$C$44,MATCH(K14+B14+B15,Courbe_de_tarage!$I$4:$I$44,1)+1),INDEX(Courbe_de_tarage!$I$4:$I$44,MATCH(K14+B14+B15,Courbe_de_tarage!$I$4:$I$44,1)):INDEX(Courbe_de_tarage!$I$4:$I$44,MATCH(K14+B14+B15,Courbe_de_tarage!$I$4:$I$44,1)+1)),IFERROR(INDEX(Courbe_de_tarage!$C$4:$C$44,MATCH(K14+B14+B15,Courbe_de_tarage!$I$4:$I$44,1)),INDEX(Courbe_de_tarage!$C$4:$C$44,1))))</f>
        <v/>
      </c>
      <c r="D15" s="19">
        <f>IF(A15="","",IFERROR(FORECAST(K14+B14+B15,INDEX(Courbe_de_tarage!$D$4:$D$44,MATCH(K14+B14+B15,Courbe_de_tarage!$I$4:$I$44,1)):INDEX(Courbe_de_tarage!$D$4:$D$44,MATCH(K14+B14+B15,Courbe_de_tarage!$I$4:$I$44,1)+1),INDEX(Courbe_de_tarage!$I$4:$I$44,MATCH(K14+B14+B15,Courbe_de_tarage!$I$4:$I$44,1)):INDEX(Courbe_de_tarage!$I$4:$I$44,MATCH(K14+B14+B15,Courbe_de_tarage!$I$4:$I$44,1)+1)),IFERROR(INDEX(Courbe_de_tarage!$D$4:$D$44,MATCH(K14+B14+B15,Courbe_de_tarage!$I$4:$I$44,1)),INDEX(Courbe_de_tarage!$D$4:$D$44,1))))</f>
        <v/>
      </c>
      <c r="E15" s="19">
        <f>IF(A15="","",IFERROR(FORECAST(K14+B14+B15,INDEX(Courbe_de_tarage!$E$4:$E$44,MATCH(K14+B14+B15,Courbe_de_tarage!$I$4:$I$44,1)):INDEX(Courbe_de_tarage!$E$4:$E$44,MATCH(K14+B14+B15,Courbe_de_tarage!$I$4:$I$44,1)+1),INDEX(Courbe_de_tarage!$I$4:$I$44,MATCH(K14+B14+B15,Courbe_de_tarage!$I$4:$I$44,1)):INDEX(Courbe_de_tarage!$I$4:$I$44,MATCH(K14+B14+B15,Courbe_de_tarage!$I$4:$I$44,1)+1)),IFERROR(INDEX(Courbe_de_tarage!$E$4:$E$44,MATCH(K14+B14+B15,Courbe_de_tarage!$I$4:$I$44,1)),INDEX(Courbe_de_tarage!$E$4:$E$44,1))))</f>
        <v/>
      </c>
      <c r="F15" s="19">
        <f>IF(A15="","",IFERROR(FORECAST(K14+B14+B15,INDEX(Courbe_de_tarage!$A$4:$A$44,MATCH(K14+B14+B15,Courbe_de_tarage!$I$4:$I$44,1)):INDEX(Courbe_de_tarage!$A$4:$A$44,MATCH(K14+B14+B15,Courbe_de_tarage!$I$4:$I$44,1)+1),INDEX(Courbe_de_tarage!$I$4:$I$44,MATCH(K14+B14+B15,Courbe_de_tarage!$I$4:$I$44,1)):INDEX(Courbe_de_tarage!$I$4:$I$44,MATCH(K14+B14+B15,Courbe_de_tarage!$I$4:$I$44,1)+1)),IFERROR(INDEX(Courbe_de_tarage!$A$4:$A$44,MATCH(K14+B14+B15,Courbe_de_tarage!$I$4:$I$44,1)),INDEX(Courbe_de_tarage!$A$4:$A$44,1))))</f>
        <v/>
      </c>
      <c r="G15" s="19">
        <f>IF(A15="","",35.36+F15)</f>
        <v/>
      </c>
      <c r="H15" s="19">
        <f>IF(A15="","",IFERROR(FORECAST(K14+B14+B15,INDEX(Courbe_de_tarage!$H$4:$H$44,MATCH(K14+B14+B15,Courbe_de_tarage!$I$4:$I$44,1)):INDEX(Courbe_de_tarage!$H$4:$H$44,MATCH(K14+B14+B15,Courbe_de_tarage!$I$4:$I$44,1)+1),INDEX(Courbe_de_tarage!$I$4:$I$44,MATCH(K14+B14+B15,Courbe_de_tarage!$I$4:$I$44,1)):INDEX(Courbe_de_tarage!$I$4:$I$44,MATCH(K14+B14+B15,Courbe_de_tarage!$I$4:$I$44,1)+1)),IFERROR(INDEX(Courbe_de_tarage!$H$4:$H$44,MATCH(K14+B14+B15,Courbe_de_tarage!$I$4:$I$44,1)),INDEX(Courbe_de_tarage!$H$4:$H$44,1))))</f>
        <v/>
      </c>
      <c r="I15" s="4">
        <f>IF(G15="","",IF(G15&gt;37.4,"OUI",""))</f>
        <v/>
      </c>
      <c r="J15" s="19">
        <f>IF(A15="","",K14+B14+B15)</f>
        <v/>
      </c>
      <c r="K15" s="19">
        <f>IF(A15="","",2*H15/(Hydrogramme_entree!$B$8*60)-E15)</f>
        <v/>
      </c>
    </row>
    <row r="16">
      <c r="A16" s="4">
        <f>Hydrogramme_entree!A22</f>
        <v/>
      </c>
      <c r="B16" s="19">
        <f>Hydrogramme_entree!B22</f>
        <v/>
      </c>
      <c r="C16" s="19">
        <f>IF(A16="","",IFERROR(FORECAST(K15+B15+B16,INDEX(Courbe_de_tarage!$C$4:$C$44,MATCH(K15+B15+B16,Courbe_de_tarage!$I$4:$I$44,1)):INDEX(Courbe_de_tarage!$C$4:$C$44,MATCH(K15+B15+B16,Courbe_de_tarage!$I$4:$I$44,1)+1),INDEX(Courbe_de_tarage!$I$4:$I$44,MATCH(K15+B15+B16,Courbe_de_tarage!$I$4:$I$44,1)):INDEX(Courbe_de_tarage!$I$4:$I$44,MATCH(K15+B15+B16,Courbe_de_tarage!$I$4:$I$44,1)+1)),IFERROR(INDEX(Courbe_de_tarage!$C$4:$C$44,MATCH(K15+B15+B16,Courbe_de_tarage!$I$4:$I$44,1)),INDEX(Courbe_de_tarage!$C$4:$C$44,1))))</f>
        <v/>
      </c>
      <c r="D16" s="19">
        <f>IF(A16="","",IFERROR(FORECAST(K15+B15+B16,INDEX(Courbe_de_tarage!$D$4:$D$44,MATCH(K15+B15+B16,Courbe_de_tarage!$I$4:$I$44,1)):INDEX(Courbe_de_tarage!$D$4:$D$44,MATCH(K15+B15+B16,Courbe_de_tarage!$I$4:$I$44,1)+1),INDEX(Courbe_de_tarage!$I$4:$I$44,MATCH(K15+B15+B16,Courbe_de_tarage!$I$4:$I$44,1)):INDEX(Courbe_de_tarage!$I$4:$I$44,MATCH(K15+B15+B16,Courbe_de_tarage!$I$4:$I$44,1)+1)),IFERROR(INDEX(Courbe_de_tarage!$D$4:$D$44,MATCH(K15+B15+B16,Courbe_de_tarage!$I$4:$I$44,1)),INDEX(Courbe_de_tarage!$D$4:$D$44,1))))</f>
        <v/>
      </c>
      <c r="E16" s="19">
        <f>IF(A16="","",IFERROR(FORECAST(K15+B15+B16,INDEX(Courbe_de_tarage!$E$4:$E$44,MATCH(K15+B15+B16,Courbe_de_tarage!$I$4:$I$44,1)):INDEX(Courbe_de_tarage!$E$4:$E$44,MATCH(K15+B15+B16,Courbe_de_tarage!$I$4:$I$44,1)+1),INDEX(Courbe_de_tarage!$I$4:$I$44,MATCH(K15+B15+B16,Courbe_de_tarage!$I$4:$I$44,1)):INDEX(Courbe_de_tarage!$I$4:$I$44,MATCH(K15+B15+B16,Courbe_de_tarage!$I$4:$I$44,1)+1)),IFERROR(INDEX(Courbe_de_tarage!$E$4:$E$44,MATCH(K15+B15+B16,Courbe_de_tarage!$I$4:$I$44,1)),INDEX(Courbe_de_tarage!$E$4:$E$44,1))))</f>
        <v/>
      </c>
      <c r="F16" s="19">
        <f>IF(A16="","",IFERROR(FORECAST(K15+B15+B16,INDEX(Courbe_de_tarage!$A$4:$A$44,MATCH(K15+B15+B16,Courbe_de_tarage!$I$4:$I$44,1)):INDEX(Courbe_de_tarage!$A$4:$A$44,MATCH(K15+B15+B16,Courbe_de_tarage!$I$4:$I$44,1)+1),INDEX(Courbe_de_tarage!$I$4:$I$44,MATCH(K15+B15+B16,Courbe_de_tarage!$I$4:$I$44,1)):INDEX(Courbe_de_tarage!$I$4:$I$44,MATCH(K15+B15+B16,Courbe_de_tarage!$I$4:$I$44,1)+1)),IFERROR(INDEX(Courbe_de_tarage!$A$4:$A$44,MATCH(K15+B15+B16,Courbe_de_tarage!$I$4:$I$44,1)),INDEX(Courbe_de_tarage!$A$4:$A$44,1))))</f>
        <v/>
      </c>
      <c r="G16" s="19">
        <f>IF(A16="","",35.36+F16)</f>
        <v/>
      </c>
      <c r="H16" s="19">
        <f>IF(A16="","",IFERROR(FORECAST(K15+B15+B16,INDEX(Courbe_de_tarage!$H$4:$H$44,MATCH(K15+B15+B16,Courbe_de_tarage!$I$4:$I$44,1)):INDEX(Courbe_de_tarage!$H$4:$H$44,MATCH(K15+B15+B16,Courbe_de_tarage!$I$4:$I$44,1)+1),INDEX(Courbe_de_tarage!$I$4:$I$44,MATCH(K15+B15+B16,Courbe_de_tarage!$I$4:$I$44,1)):INDEX(Courbe_de_tarage!$I$4:$I$44,MATCH(K15+B15+B16,Courbe_de_tarage!$I$4:$I$44,1)+1)),IFERROR(INDEX(Courbe_de_tarage!$H$4:$H$44,MATCH(K15+B15+B16,Courbe_de_tarage!$I$4:$I$44,1)),INDEX(Courbe_de_tarage!$H$4:$H$44,1))))</f>
        <v/>
      </c>
      <c r="I16" s="4">
        <f>IF(G16="","",IF(G16&gt;37.4,"OUI",""))</f>
        <v/>
      </c>
      <c r="J16" s="19">
        <f>IF(A16="","",K15+B15+B16)</f>
        <v/>
      </c>
      <c r="K16" s="19">
        <f>IF(A16="","",2*H16/(Hydrogramme_entree!$B$8*60)-E16)</f>
        <v/>
      </c>
    </row>
    <row r="17">
      <c r="A17" s="4">
        <f>Hydrogramme_entree!A23</f>
        <v/>
      </c>
      <c r="B17" s="19">
        <f>Hydrogramme_entree!B23</f>
        <v/>
      </c>
      <c r="C17" s="19">
        <f>IF(A17="","",IFERROR(FORECAST(K16+B16+B17,INDEX(Courbe_de_tarage!$C$4:$C$44,MATCH(K16+B16+B17,Courbe_de_tarage!$I$4:$I$44,1)):INDEX(Courbe_de_tarage!$C$4:$C$44,MATCH(K16+B16+B17,Courbe_de_tarage!$I$4:$I$44,1)+1),INDEX(Courbe_de_tarage!$I$4:$I$44,MATCH(K16+B16+B17,Courbe_de_tarage!$I$4:$I$44,1)):INDEX(Courbe_de_tarage!$I$4:$I$44,MATCH(K16+B16+B17,Courbe_de_tarage!$I$4:$I$44,1)+1)),IFERROR(INDEX(Courbe_de_tarage!$C$4:$C$44,MATCH(K16+B16+B17,Courbe_de_tarage!$I$4:$I$44,1)),INDEX(Courbe_de_tarage!$C$4:$C$44,1))))</f>
        <v/>
      </c>
      <c r="D17" s="19">
        <f>IF(A17="","",IFERROR(FORECAST(K16+B16+B17,INDEX(Courbe_de_tarage!$D$4:$D$44,MATCH(K16+B16+B17,Courbe_de_tarage!$I$4:$I$44,1)):INDEX(Courbe_de_tarage!$D$4:$D$44,MATCH(K16+B16+B17,Courbe_de_tarage!$I$4:$I$44,1)+1),INDEX(Courbe_de_tarage!$I$4:$I$44,MATCH(K16+B16+B17,Courbe_de_tarage!$I$4:$I$44,1)):INDEX(Courbe_de_tarage!$I$4:$I$44,MATCH(K16+B16+B17,Courbe_de_tarage!$I$4:$I$44,1)+1)),IFERROR(INDEX(Courbe_de_tarage!$D$4:$D$44,MATCH(K16+B16+B17,Courbe_de_tarage!$I$4:$I$44,1)),INDEX(Courbe_de_tarage!$D$4:$D$44,1))))</f>
        <v/>
      </c>
      <c r="E17" s="19">
        <f>IF(A17="","",IFERROR(FORECAST(K16+B16+B17,INDEX(Courbe_de_tarage!$E$4:$E$44,MATCH(K16+B16+B17,Courbe_de_tarage!$I$4:$I$44,1)):INDEX(Courbe_de_tarage!$E$4:$E$44,MATCH(K16+B16+B17,Courbe_de_tarage!$I$4:$I$44,1)+1),INDEX(Courbe_de_tarage!$I$4:$I$44,MATCH(K16+B16+B17,Courbe_de_tarage!$I$4:$I$44,1)):INDEX(Courbe_de_tarage!$I$4:$I$44,MATCH(K16+B16+B17,Courbe_de_tarage!$I$4:$I$44,1)+1)),IFERROR(INDEX(Courbe_de_tarage!$E$4:$E$44,MATCH(K16+B16+B17,Courbe_de_tarage!$I$4:$I$44,1)),INDEX(Courbe_de_tarage!$E$4:$E$44,1))))</f>
        <v/>
      </c>
      <c r="F17" s="19">
        <f>IF(A17="","",IFERROR(FORECAST(K16+B16+B17,INDEX(Courbe_de_tarage!$A$4:$A$44,MATCH(K16+B16+B17,Courbe_de_tarage!$I$4:$I$44,1)):INDEX(Courbe_de_tarage!$A$4:$A$44,MATCH(K16+B16+B17,Courbe_de_tarage!$I$4:$I$44,1)+1),INDEX(Courbe_de_tarage!$I$4:$I$44,MATCH(K16+B16+B17,Courbe_de_tarage!$I$4:$I$44,1)):INDEX(Courbe_de_tarage!$I$4:$I$44,MATCH(K16+B16+B17,Courbe_de_tarage!$I$4:$I$44,1)+1)),IFERROR(INDEX(Courbe_de_tarage!$A$4:$A$44,MATCH(K16+B16+B17,Courbe_de_tarage!$I$4:$I$44,1)),INDEX(Courbe_de_tarage!$A$4:$A$44,1))))</f>
        <v/>
      </c>
      <c r="G17" s="19">
        <f>IF(A17="","",35.36+F17)</f>
        <v/>
      </c>
      <c r="H17" s="19">
        <f>IF(A17="","",IFERROR(FORECAST(K16+B16+B17,INDEX(Courbe_de_tarage!$H$4:$H$44,MATCH(K16+B16+B17,Courbe_de_tarage!$I$4:$I$44,1)):INDEX(Courbe_de_tarage!$H$4:$H$44,MATCH(K16+B16+B17,Courbe_de_tarage!$I$4:$I$44,1)+1),INDEX(Courbe_de_tarage!$I$4:$I$44,MATCH(K16+B16+B17,Courbe_de_tarage!$I$4:$I$44,1)):INDEX(Courbe_de_tarage!$I$4:$I$44,MATCH(K16+B16+B17,Courbe_de_tarage!$I$4:$I$44,1)+1)),IFERROR(INDEX(Courbe_de_tarage!$H$4:$H$44,MATCH(K16+B16+B17,Courbe_de_tarage!$I$4:$I$44,1)),INDEX(Courbe_de_tarage!$H$4:$H$44,1))))</f>
        <v/>
      </c>
      <c r="I17" s="4">
        <f>IF(G17="","",IF(G17&gt;37.4,"OUI",""))</f>
        <v/>
      </c>
      <c r="J17" s="19">
        <f>IF(A17="","",K16+B16+B17)</f>
        <v/>
      </c>
      <c r="K17" s="19">
        <f>IF(A17="","",2*H17/(Hydrogramme_entree!$B$8*60)-E17)</f>
        <v/>
      </c>
    </row>
    <row r="18">
      <c r="A18" s="4">
        <f>Hydrogramme_entree!A24</f>
        <v/>
      </c>
      <c r="B18" s="19">
        <f>Hydrogramme_entree!B24</f>
        <v/>
      </c>
      <c r="C18" s="19">
        <f>IF(A18="","",IFERROR(FORECAST(K17+B17+B18,INDEX(Courbe_de_tarage!$C$4:$C$44,MATCH(K17+B17+B18,Courbe_de_tarage!$I$4:$I$44,1)):INDEX(Courbe_de_tarage!$C$4:$C$44,MATCH(K17+B17+B18,Courbe_de_tarage!$I$4:$I$44,1)+1),INDEX(Courbe_de_tarage!$I$4:$I$44,MATCH(K17+B17+B18,Courbe_de_tarage!$I$4:$I$44,1)):INDEX(Courbe_de_tarage!$I$4:$I$44,MATCH(K17+B17+B18,Courbe_de_tarage!$I$4:$I$44,1)+1)),IFERROR(INDEX(Courbe_de_tarage!$C$4:$C$44,MATCH(K17+B17+B18,Courbe_de_tarage!$I$4:$I$44,1)),INDEX(Courbe_de_tarage!$C$4:$C$44,1))))</f>
        <v/>
      </c>
      <c r="D18" s="19">
        <f>IF(A18="","",IFERROR(FORECAST(K17+B17+B18,INDEX(Courbe_de_tarage!$D$4:$D$44,MATCH(K17+B17+B18,Courbe_de_tarage!$I$4:$I$44,1)):INDEX(Courbe_de_tarage!$D$4:$D$44,MATCH(K17+B17+B18,Courbe_de_tarage!$I$4:$I$44,1)+1),INDEX(Courbe_de_tarage!$I$4:$I$44,MATCH(K17+B17+B18,Courbe_de_tarage!$I$4:$I$44,1)):INDEX(Courbe_de_tarage!$I$4:$I$44,MATCH(K17+B17+B18,Courbe_de_tarage!$I$4:$I$44,1)+1)),IFERROR(INDEX(Courbe_de_tarage!$D$4:$D$44,MATCH(K17+B17+B18,Courbe_de_tarage!$I$4:$I$44,1)),INDEX(Courbe_de_tarage!$D$4:$D$44,1))))</f>
        <v/>
      </c>
      <c r="E18" s="19">
        <f>IF(A18="","",IFERROR(FORECAST(K17+B17+B18,INDEX(Courbe_de_tarage!$E$4:$E$44,MATCH(K17+B17+B18,Courbe_de_tarage!$I$4:$I$44,1)):INDEX(Courbe_de_tarage!$E$4:$E$44,MATCH(K17+B17+B18,Courbe_de_tarage!$I$4:$I$44,1)+1),INDEX(Courbe_de_tarage!$I$4:$I$44,MATCH(K17+B17+B18,Courbe_de_tarage!$I$4:$I$44,1)):INDEX(Courbe_de_tarage!$I$4:$I$44,MATCH(K17+B17+B18,Courbe_de_tarage!$I$4:$I$44,1)+1)),IFERROR(INDEX(Courbe_de_tarage!$E$4:$E$44,MATCH(K17+B17+B18,Courbe_de_tarage!$I$4:$I$44,1)),INDEX(Courbe_de_tarage!$E$4:$E$44,1))))</f>
        <v/>
      </c>
      <c r="F18" s="19">
        <f>IF(A18="","",IFERROR(FORECAST(K17+B17+B18,INDEX(Courbe_de_tarage!$A$4:$A$44,MATCH(K17+B17+B18,Courbe_de_tarage!$I$4:$I$44,1)):INDEX(Courbe_de_tarage!$A$4:$A$44,MATCH(K17+B17+B18,Courbe_de_tarage!$I$4:$I$44,1)+1),INDEX(Courbe_de_tarage!$I$4:$I$44,MATCH(K17+B17+B18,Courbe_de_tarage!$I$4:$I$44,1)):INDEX(Courbe_de_tarage!$I$4:$I$44,MATCH(K17+B17+B18,Courbe_de_tarage!$I$4:$I$44,1)+1)),IFERROR(INDEX(Courbe_de_tarage!$A$4:$A$44,MATCH(K17+B17+B18,Courbe_de_tarage!$I$4:$I$44,1)),INDEX(Courbe_de_tarage!$A$4:$A$44,1))))</f>
        <v/>
      </c>
      <c r="G18" s="19">
        <f>IF(A18="","",35.36+F18)</f>
        <v/>
      </c>
      <c r="H18" s="19">
        <f>IF(A18="","",IFERROR(FORECAST(K17+B17+B18,INDEX(Courbe_de_tarage!$H$4:$H$44,MATCH(K17+B17+B18,Courbe_de_tarage!$I$4:$I$44,1)):INDEX(Courbe_de_tarage!$H$4:$H$44,MATCH(K17+B17+B18,Courbe_de_tarage!$I$4:$I$44,1)+1),INDEX(Courbe_de_tarage!$I$4:$I$44,MATCH(K17+B17+B18,Courbe_de_tarage!$I$4:$I$44,1)):INDEX(Courbe_de_tarage!$I$4:$I$44,MATCH(K17+B17+B18,Courbe_de_tarage!$I$4:$I$44,1)+1)),IFERROR(INDEX(Courbe_de_tarage!$H$4:$H$44,MATCH(K17+B17+B18,Courbe_de_tarage!$I$4:$I$44,1)),INDEX(Courbe_de_tarage!$H$4:$H$44,1))))</f>
        <v/>
      </c>
      <c r="I18" s="4">
        <f>IF(G18="","",IF(G18&gt;37.4,"OUI",""))</f>
        <v/>
      </c>
      <c r="J18" s="19">
        <f>IF(A18="","",K17+B17+B18)</f>
        <v/>
      </c>
      <c r="K18" s="19">
        <f>IF(A18="","",2*H18/(Hydrogramme_entree!$B$8*60)-E18)</f>
        <v/>
      </c>
    </row>
    <row r="19">
      <c r="A19" s="4">
        <f>Hydrogramme_entree!A25</f>
        <v/>
      </c>
      <c r="B19" s="19">
        <f>Hydrogramme_entree!B25</f>
        <v/>
      </c>
      <c r="C19" s="19">
        <f>IF(A19="","",IFERROR(FORECAST(K18+B18+B19,INDEX(Courbe_de_tarage!$C$4:$C$44,MATCH(K18+B18+B19,Courbe_de_tarage!$I$4:$I$44,1)):INDEX(Courbe_de_tarage!$C$4:$C$44,MATCH(K18+B18+B19,Courbe_de_tarage!$I$4:$I$44,1)+1),INDEX(Courbe_de_tarage!$I$4:$I$44,MATCH(K18+B18+B19,Courbe_de_tarage!$I$4:$I$44,1)):INDEX(Courbe_de_tarage!$I$4:$I$44,MATCH(K18+B18+B19,Courbe_de_tarage!$I$4:$I$44,1)+1)),IFERROR(INDEX(Courbe_de_tarage!$C$4:$C$44,MATCH(K18+B18+B19,Courbe_de_tarage!$I$4:$I$44,1)),INDEX(Courbe_de_tarage!$C$4:$C$44,1))))</f>
        <v/>
      </c>
      <c r="D19" s="19">
        <f>IF(A19="","",IFERROR(FORECAST(K18+B18+B19,INDEX(Courbe_de_tarage!$D$4:$D$44,MATCH(K18+B18+B19,Courbe_de_tarage!$I$4:$I$44,1)):INDEX(Courbe_de_tarage!$D$4:$D$44,MATCH(K18+B18+B19,Courbe_de_tarage!$I$4:$I$44,1)+1),INDEX(Courbe_de_tarage!$I$4:$I$44,MATCH(K18+B18+B19,Courbe_de_tarage!$I$4:$I$44,1)):INDEX(Courbe_de_tarage!$I$4:$I$44,MATCH(K18+B18+B19,Courbe_de_tarage!$I$4:$I$44,1)+1)),IFERROR(INDEX(Courbe_de_tarage!$D$4:$D$44,MATCH(K18+B18+B19,Courbe_de_tarage!$I$4:$I$44,1)),INDEX(Courbe_de_tarage!$D$4:$D$44,1))))</f>
        <v/>
      </c>
      <c r="E19" s="19">
        <f>IF(A19="","",IFERROR(FORECAST(K18+B18+B19,INDEX(Courbe_de_tarage!$E$4:$E$44,MATCH(K18+B18+B19,Courbe_de_tarage!$I$4:$I$44,1)):INDEX(Courbe_de_tarage!$E$4:$E$44,MATCH(K18+B18+B19,Courbe_de_tarage!$I$4:$I$44,1)+1),INDEX(Courbe_de_tarage!$I$4:$I$44,MATCH(K18+B18+B19,Courbe_de_tarage!$I$4:$I$44,1)):INDEX(Courbe_de_tarage!$I$4:$I$44,MATCH(K18+B18+B19,Courbe_de_tarage!$I$4:$I$44,1)+1)),IFERROR(INDEX(Courbe_de_tarage!$E$4:$E$44,MATCH(K18+B18+B19,Courbe_de_tarage!$I$4:$I$44,1)),INDEX(Courbe_de_tarage!$E$4:$E$44,1))))</f>
        <v/>
      </c>
      <c r="F19" s="19">
        <f>IF(A19="","",IFERROR(FORECAST(K18+B18+B19,INDEX(Courbe_de_tarage!$A$4:$A$44,MATCH(K18+B18+B19,Courbe_de_tarage!$I$4:$I$44,1)):INDEX(Courbe_de_tarage!$A$4:$A$44,MATCH(K18+B18+B19,Courbe_de_tarage!$I$4:$I$44,1)+1),INDEX(Courbe_de_tarage!$I$4:$I$44,MATCH(K18+B18+B19,Courbe_de_tarage!$I$4:$I$44,1)):INDEX(Courbe_de_tarage!$I$4:$I$44,MATCH(K18+B18+B19,Courbe_de_tarage!$I$4:$I$44,1)+1)),IFERROR(INDEX(Courbe_de_tarage!$A$4:$A$44,MATCH(K18+B18+B19,Courbe_de_tarage!$I$4:$I$44,1)),INDEX(Courbe_de_tarage!$A$4:$A$44,1))))</f>
        <v/>
      </c>
      <c r="G19" s="19">
        <f>IF(A19="","",35.36+F19)</f>
        <v/>
      </c>
      <c r="H19" s="19">
        <f>IF(A19="","",IFERROR(FORECAST(K18+B18+B19,INDEX(Courbe_de_tarage!$H$4:$H$44,MATCH(K18+B18+B19,Courbe_de_tarage!$I$4:$I$44,1)):INDEX(Courbe_de_tarage!$H$4:$H$44,MATCH(K18+B18+B19,Courbe_de_tarage!$I$4:$I$44,1)+1),INDEX(Courbe_de_tarage!$I$4:$I$44,MATCH(K18+B18+B19,Courbe_de_tarage!$I$4:$I$44,1)):INDEX(Courbe_de_tarage!$I$4:$I$44,MATCH(K18+B18+B19,Courbe_de_tarage!$I$4:$I$44,1)+1)),IFERROR(INDEX(Courbe_de_tarage!$H$4:$H$44,MATCH(K18+B18+B19,Courbe_de_tarage!$I$4:$I$44,1)),INDEX(Courbe_de_tarage!$H$4:$H$44,1))))</f>
        <v/>
      </c>
      <c r="I19" s="4">
        <f>IF(G19="","",IF(G19&gt;37.4,"OUI",""))</f>
        <v/>
      </c>
      <c r="J19" s="19">
        <f>IF(A19="","",K18+B18+B19)</f>
        <v/>
      </c>
      <c r="K19" s="19">
        <f>IF(A19="","",2*H19/(Hydrogramme_entree!$B$8*60)-E19)</f>
        <v/>
      </c>
    </row>
    <row r="20">
      <c r="A20" s="4">
        <f>Hydrogramme_entree!A26</f>
        <v/>
      </c>
      <c r="B20" s="19">
        <f>Hydrogramme_entree!B26</f>
        <v/>
      </c>
      <c r="C20" s="19">
        <f>IF(A20="","",IFERROR(FORECAST(K19+B19+B20,INDEX(Courbe_de_tarage!$C$4:$C$44,MATCH(K19+B19+B20,Courbe_de_tarage!$I$4:$I$44,1)):INDEX(Courbe_de_tarage!$C$4:$C$44,MATCH(K19+B19+B20,Courbe_de_tarage!$I$4:$I$44,1)+1),INDEX(Courbe_de_tarage!$I$4:$I$44,MATCH(K19+B19+B20,Courbe_de_tarage!$I$4:$I$44,1)):INDEX(Courbe_de_tarage!$I$4:$I$44,MATCH(K19+B19+B20,Courbe_de_tarage!$I$4:$I$44,1)+1)),IFERROR(INDEX(Courbe_de_tarage!$C$4:$C$44,MATCH(K19+B19+B20,Courbe_de_tarage!$I$4:$I$44,1)),INDEX(Courbe_de_tarage!$C$4:$C$44,1))))</f>
        <v/>
      </c>
      <c r="D20" s="19">
        <f>IF(A20="","",IFERROR(FORECAST(K19+B19+B20,INDEX(Courbe_de_tarage!$D$4:$D$44,MATCH(K19+B19+B20,Courbe_de_tarage!$I$4:$I$44,1)):INDEX(Courbe_de_tarage!$D$4:$D$44,MATCH(K19+B19+B20,Courbe_de_tarage!$I$4:$I$44,1)+1),INDEX(Courbe_de_tarage!$I$4:$I$44,MATCH(K19+B19+B20,Courbe_de_tarage!$I$4:$I$44,1)):INDEX(Courbe_de_tarage!$I$4:$I$44,MATCH(K19+B19+B20,Courbe_de_tarage!$I$4:$I$44,1)+1)),IFERROR(INDEX(Courbe_de_tarage!$D$4:$D$44,MATCH(K19+B19+B20,Courbe_de_tarage!$I$4:$I$44,1)),INDEX(Courbe_de_tarage!$D$4:$D$44,1))))</f>
        <v/>
      </c>
      <c r="E20" s="19">
        <f>IF(A20="","",IFERROR(FORECAST(K19+B19+B20,INDEX(Courbe_de_tarage!$E$4:$E$44,MATCH(K19+B19+B20,Courbe_de_tarage!$I$4:$I$44,1)):INDEX(Courbe_de_tarage!$E$4:$E$44,MATCH(K19+B19+B20,Courbe_de_tarage!$I$4:$I$44,1)+1),INDEX(Courbe_de_tarage!$I$4:$I$44,MATCH(K19+B19+B20,Courbe_de_tarage!$I$4:$I$44,1)):INDEX(Courbe_de_tarage!$I$4:$I$44,MATCH(K19+B19+B20,Courbe_de_tarage!$I$4:$I$44,1)+1)),IFERROR(INDEX(Courbe_de_tarage!$E$4:$E$44,MATCH(K19+B19+B20,Courbe_de_tarage!$I$4:$I$44,1)),INDEX(Courbe_de_tarage!$E$4:$E$44,1))))</f>
        <v/>
      </c>
      <c r="F20" s="19">
        <f>IF(A20="","",IFERROR(FORECAST(K19+B19+B20,INDEX(Courbe_de_tarage!$A$4:$A$44,MATCH(K19+B19+B20,Courbe_de_tarage!$I$4:$I$44,1)):INDEX(Courbe_de_tarage!$A$4:$A$44,MATCH(K19+B19+B20,Courbe_de_tarage!$I$4:$I$44,1)+1),INDEX(Courbe_de_tarage!$I$4:$I$44,MATCH(K19+B19+B20,Courbe_de_tarage!$I$4:$I$44,1)):INDEX(Courbe_de_tarage!$I$4:$I$44,MATCH(K19+B19+B20,Courbe_de_tarage!$I$4:$I$44,1)+1)),IFERROR(INDEX(Courbe_de_tarage!$A$4:$A$44,MATCH(K19+B19+B20,Courbe_de_tarage!$I$4:$I$44,1)),INDEX(Courbe_de_tarage!$A$4:$A$44,1))))</f>
        <v/>
      </c>
      <c r="G20" s="19">
        <f>IF(A20="","",35.36+F20)</f>
        <v/>
      </c>
      <c r="H20" s="19">
        <f>IF(A20="","",IFERROR(FORECAST(K19+B19+B20,INDEX(Courbe_de_tarage!$H$4:$H$44,MATCH(K19+B19+B20,Courbe_de_tarage!$I$4:$I$44,1)):INDEX(Courbe_de_tarage!$H$4:$H$44,MATCH(K19+B19+B20,Courbe_de_tarage!$I$4:$I$44,1)+1),INDEX(Courbe_de_tarage!$I$4:$I$44,MATCH(K19+B19+B20,Courbe_de_tarage!$I$4:$I$44,1)):INDEX(Courbe_de_tarage!$I$4:$I$44,MATCH(K19+B19+B20,Courbe_de_tarage!$I$4:$I$44,1)+1)),IFERROR(INDEX(Courbe_de_tarage!$H$4:$H$44,MATCH(K19+B19+B20,Courbe_de_tarage!$I$4:$I$44,1)),INDEX(Courbe_de_tarage!$H$4:$H$44,1))))</f>
        <v/>
      </c>
      <c r="I20" s="4">
        <f>IF(G20="","",IF(G20&gt;37.4,"OUI",""))</f>
        <v/>
      </c>
      <c r="J20" s="19">
        <f>IF(A20="","",K19+B19+B20)</f>
        <v/>
      </c>
      <c r="K20" s="19">
        <f>IF(A20="","",2*H20/(Hydrogramme_entree!$B$8*60)-E20)</f>
        <v/>
      </c>
    </row>
    <row r="21">
      <c r="A21" s="4">
        <f>Hydrogramme_entree!A27</f>
        <v/>
      </c>
      <c r="B21" s="19">
        <f>Hydrogramme_entree!B27</f>
        <v/>
      </c>
      <c r="C21" s="19">
        <f>IF(A21="","",IFERROR(FORECAST(K20+B20+B21,INDEX(Courbe_de_tarage!$C$4:$C$44,MATCH(K20+B20+B21,Courbe_de_tarage!$I$4:$I$44,1)):INDEX(Courbe_de_tarage!$C$4:$C$44,MATCH(K20+B20+B21,Courbe_de_tarage!$I$4:$I$44,1)+1),INDEX(Courbe_de_tarage!$I$4:$I$44,MATCH(K20+B20+B21,Courbe_de_tarage!$I$4:$I$44,1)):INDEX(Courbe_de_tarage!$I$4:$I$44,MATCH(K20+B20+B21,Courbe_de_tarage!$I$4:$I$44,1)+1)),IFERROR(INDEX(Courbe_de_tarage!$C$4:$C$44,MATCH(K20+B20+B21,Courbe_de_tarage!$I$4:$I$44,1)),INDEX(Courbe_de_tarage!$C$4:$C$44,1))))</f>
        <v/>
      </c>
      <c r="D21" s="19">
        <f>IF(A21="","",IFERROR(FORECAST(K20+B20+B21,INDEX(Courbe_de_tarage!$D$4:$D$44,MATCH(K20+B20+B21,Courbe_de_tarage!$I$4:$I$44,1)):INDEX(Courbe_de_tarage!$D$4:$D$44,MATCH(K20+B20+B21,Courbe_de_tarage!$I$4:$I$44,1)+1),INDEX(Courbe_de_tarage!$I$4:$I$44,MATCH(K20+B20+B21,Courbe_de_tarage!$I$4:$I$44,1)):INDEX(Courbe_de_tarage!$I$4:$I$44,MATCH(K20+B20+B21,Courbe_de_tarage!$I$4:$I$44,1)+1)),IFERROR(INDEX(Courbe_de_tarage!$D$4:$D$44,MATCH(K20+B20+B21,Courbe_de_tarage!$I$4:$I$44,1)),INDEX(Courbe_de_tarage!$D$4:$D$44,1))))</f>
        <v/>
      </c>
      <c r="E21" s="19">
        <f>IF(A21="","",IFERROR(FORECAST(K20+B20+B21,INDEX(Courbe_de_tarage!$E$4:$E$44,MATCH(K20+B20+B21,Courbe_de_tarage!$I$4:$I$44,1)):INDEX(Courbe_de_tarage!$E$4:$E$44,MATCH(K20+B20+B21,Courbe_de_tarage!$I$4:$I$44,1)+1),INDEX(Courbe_de_tarage!$I$4:$I$44,MATCH(K20+B20+B21,Courbe_de_tarage!$I$4:$I$44,1)):INDEX(Courbe_de_tarage!$I$4:$I$44,MATCH(K20+B20+B21,Courbe_de_tarage!$I$4:$I$44,1)+1)),IFERROR(INDEX(Courbe_de_tarage!$E$4:$E$44,MATCH(K20+B20+B21,Courbe_de_tarage!$I$4:$I$44,1)),INDEX(Courbe_de_tarage!$E$4:$E$44,1))))</f>
        <v/>
      </c>
      <c r="F21" s="19">
        <f>IF(A21="","",IFERROR(FORECAST(K20+B20+B21,INDEX(Courbe_de_tarage!$A$4:$A$44,MATCH(K20+B20+B21,Courbe_de_tarage!$I$4:$I$44,1)):INDEX(Courbe_de_tarage!$A$4:$A$44,MATCH(K20+B20+B21,Courbe_de_tarage!$I$4:$I$44,1)+1),INDEX(Courbe_de_tarage!$I$4:$I$44,MATCH(K20+B20+B21,Courbe_de_tarage!$I$4:$I$44,1)):INDEX(Courbe_de_tarage!$I$4:$I$44,MATCH(K20+B20+B21,Courbe_de_tarage!$I$4:$I$44,1)+1)),IFERROR(INDEX(Courbe_de_tarage!$A$4:$A$44,MATCH(K20+B20+B21,Courbe_de_tarage!$I$4:$I$44,1)),INDEX(Courbe_de_tarage!$A$4:$A$44,1))))</f>
        <v/>
      </c>
      <c r="G21" s="19">
        <f>IF(A21="","",35.36+F21)</f>
        <v/>
      </c>
      <c r="H21" s="19">
        <f>IF(A21="","",IFERROR(FORECAST(K20+B20+B21,INDEX(Courbe_de_tarage!$H$4:$H$44,MATCH(K20+B20+B21,Courbe_de_tarage!$I$4:$I$44,1)):INDEX(Courbe_de_tarage!$H$4:$H$44,MATCH(K20+B20+B21,Courbe_de_tarage!$I$4:$I$44,1)+1),INDEX(Courbe_de_tarage!$I$4:$I$44,MATCH(K20+B20+B21,Courbe_de_tarage!$I$4:$I$44,1)):INDEX(Courbe_de_tarage!$I$4:$I$44,MATCH(K20+B20+B21,Courbe_de_tarage!$I$4:$I$44,1)+1)),IFERROR(INDEX(Courbe_de_tarage!$H$4:$H$44,MATCH(K20+B20+B21,Courbe_de_tarage!$I$4:$I$44,1)),INDEX(Courbe_de_tarage!$H$4:$H$44,1))))</f>
        <v/>
      </c>
      <c r="I21" s="4">
        <f>IF(G21="","",IF(G21&gt;37.4,"OUI",""))</f>
        <v/>
      </c>
      <c r="J21" s="19">
        <f>IF(A21="","",K20+B20+B21)</f>
        <v/>
      </c>
      <c r="K21" s="19">
        <f>IF(A21="","",2*H21/(Hydrogramme_entree!$B$8*60)-E21)</f>
        <v/>
      </c>
    </row>
    <row r="22">
      <c r="A22" s="4">
        <f>Hydrogramme_entree!A28</f>
        <v/>
      </c>
      <c r="B22" s="19">
        <f>Hydrogramme_entree!B28</f>
        <v/>
      </c>
      <c r="C22" s="19">
        <f>IF(A22="","",IFERROR(FORECAST(K21+B21+B22,INDEX(Courbe_de_tarage!$C$4:$C$44,MATCH(K21+B21+B22,Courbe_de_tarage!$I$4:$I$44,1)):INDEX(Courbe_de_tarage!$C$4:$C$44,MATCH(K21+B21+B22,Courbe_de_tarage!$I$4:$I$44,1)+1),INDEX(Courbe_de_tarage!$I$4:$I$44,MATCH(K21+B21+B22,Courbe_de_tarage!$I$4:$I$44,1)):INDEX(Courbe_de_tarage!$I$4:$I$44,MATCH(K21+B21+B22,Courbe_de_tarage!$I$4:$I$44,1)+1)),IFERROR(INDEX(Courbe_de_tarage!$C$4:$C$44,MATCH(K21+B21+B22,Courbe_de_tarage!$I$4:$I$44,1)),INDEX(Courbe_de_tarage!$C$4:$C$44,1))))</f>
        <v/>
      </c>
      <c r="D22" s="19">
        <f>IF(A22="","",IFERROR(FORECAST(K21+B21+B22,INDEX(Courbe_de_tarage!$D$4:$D$44,MATCH(K21+B21+B22,Courbe_de_tarage!$I$4:$I$44,1)):INDEX(Courbe_de_tarage!$D$4:$D$44,MATCH(K21+B21+B22,Courbe_de_tarage!$I$4:$I$44,1)+1),INDEX(Courbe_de_tarage!$I$4:$I$44,MATCH(K21+B21+B22,Courbe_de_tarage!$I$4:$I$44,1)):INDEX(Courbe_de_tarage!$I$4:$I$44,MATCH(K21+B21+B22,Courbe_de_tarage!$I$4:$I$44,1)+1)),IFERROR(INDEX(Courbe_de_tarage!$D$4:$D$44,MATCH(K21+B21+B22,Courbe_de_tarage!$I$4:$I$44,1)),INDEX(Courbe_de_tarage!$D$4:$D$44,1))))</f>
        <v/>
      </c>
      <c r="E22" s="19">
        <f>IF(A22="","",IFERROR(FORECAST(K21+B21+B22,INDEX(Courbe_de_tarage!$E$4:$E$44,MATCH(K21+B21+B22,Courbe_de_tarage!$I$4:$I$44,1)):INDEX(Courbe_de_tarage!$E$4:$E$44,MATCH(K21+B21+B22,Courbe_de_tarage!$I$4:$I$44,1)+1),INDEX(Courbe_de_tarage!$I$4:$I$44,MATCH(K21+B21+B22,Courbe_de_tarage!$I$4:$I$44,1)):INDEX(Courbe_de_tarage!$I$4:$I$44,MATCH(K21+B21+B22,Courbe_de_tarage!$I$4:$I$44,1)+1)),IFERROR(INDEX(Courbe_de_tarage!$E$4:$E$44,MATCH(K21+B21+B22,Courbe_de_tarage!$I$4:$I$44,1)),INDEX(Courbe_de_tarage!$E$4:$E$44,1))))</f>
        <v/>
      </c>
      <c r="F22" s="19">
        <f>IF(A22="","",IFERROR(FORECAST(K21+B21+B22,INDEX(Courbe_de_tarage!$A$4:$A$44,MATCH(K21+B21+B22,Courbe_de_tarage!$I$4:$I$44,1)):INDEX(Courbe_de_tarage!$A$4:$A$44,MATCH(K21+B21+B22,Courbe_de_tarage!$I$4:$I$44,1)+1),INDEX(Courbe_de_tarage!$I$4:$I$44,MATCH(K21+B21+B22,Courbe_de_tarage!$I$4:$I$44,1)):INDEX(Courbe_de_tarage!$I$4:$I$44,MATCH(K21+B21+B22,Courbe_de_tarage!$I$4:$I$44,1)+1)),IFERROR(INDEX(Courbe_de_tarage!$A$4:$A$44,MATCH(K21+B21+B22,Courbe_de_tarage!$I$4:$I$44,1)),INDEX(Courbe_de_tarage!$A$4:$A$44,1))))</f>
        <v/>
      </c>
      <c r="G22" s="19">
        <f>IF(A22="","",35.36+F22)</f>
        <v/>
      </c>
      <c r="H22" s="19">
        <f>IF(A22="","",IFERROR(FORECAST(K21+B21+B22,INDEX(Courbe_de_tarage!$H$4:$H$44,MATCH(K21+B21+B22,Courbe_de_tarage!$I$4:$I$44,1)):INDEX(Courbe_de_tarage!$H$4:$H$44,MATCH(K21+B21+B22,Courbe_de_tarage!$I$4:$I$44,1)+1),INDEX(Courbe_de_tarage!$I$4:$I$44,MATCH(K21+B21+B22,Courbe_de_tarage!$I$4:$I$44,1)):INDEX(Courbe_de_tarage!$I$4:$I$44,MATCH(K21+B21+B22,Courbe_de_tarage!$I$4:$I$44,1)+1)),IFERROR(INDEX(Courbe_de_tarage!$H$4:$H$44,MATCH(K21+B21+B22,Courbe_de_tarage!$I$4:$I$44,1)),INDEX(Courbe_de_tarage!$H$4:$H$44,1))))</f>
        <v/>
      </c>
      <c r="I22" s="4">
        <f>IF(G22="","",IF(G22&gt;37.4,"OUI",""))</f>
        <v/>
      </c>
      <c r="J22" s="19">
        <f>IF(A22="","",K21+B21+B22)</f>
        <v/>
      </c>
      <c r="K22" s="19">
        <f>IF(A22="","",2*H22/(Hydrogramme_entree!$B$8*60)-E22)</f>
        <v/>
      </c>
    </row>
    <row r="23">
      <c r="A23" s="4">
        <f>Hydrogramme_entree!A29</f>
        <v/>
      </c>
      <c r="B23" s="19">
        <f>Hydrogramme_entree!B29</f>
        <v/>
      </c>
      <c r="C23" s="19">
        <f>IF(A23="","",IFERROR(FORECAST(K22+B22+B23,INDEX(Courbe_de_tarage!$C$4:$C$44,MATCH(K22+B22+B23,Courbe_de_tarage!$I$4:$I$44,1)):INDEX(Courbe_de_tarage!$C$4:$C$44,MATCH(K22+B22+B23,Courbe_de_tarage!$I$4:$I$44,1)+1),INDEX(Courbe_de_tarage!$I$4:$I$44,MATCH(K22+B22+B23,Courbe_de_tarage!$I$4:$I$44,1)):INDEX(Courbe_de_tarage!$I$4:$I$44,MATCH(K22+B22+B23,Courbe_de_tarage!$I$4:$I$44,1)+1)),IFERROR(INDEX(Courbe_de_tarage!$C$4:$C$44,MATCH(K22+B22+B23,Courbe_de_tarage!$I$4:$I$44,1)),INDEX(Courbe_de_tarage!$C$4:$C$44,1))))</f>
        <v/>
      </c>
      <c r="D23" s="19">
        <f>IF(A23="","",IFERROR(FORECAST(K22+B22+B23,INDEX(Courbe_de_tarage!$D$4:$D$44,MATCH(K22+B22+B23,Courbe_de_tarage!$I$4:$I$44,1)):INDEX(Courbe_de_tarage!$D$4:$D$44,MATCH(K22+B22+B23,Courbe_de_tarage!$I$4:$I$44,1)+1),INDEX(Courbe_de_tarage!$I$4:$I$44,MATCH(K22+B22+B23,Courbe_de_tarage!$I$4:$I$44,1)):INDEX(Courbe_de_tarage!$I$4:$I$44,MATCH(K22+B22+B23,Courbe_de_tarage!$I$4:$I$44,1)+1)),IFERROR(INDEX(Courbe_de_tarage!$D$4:$D$44,MATCH(K22+B22+B23,Courbe_de_tarage!$I$4:$I$44,1)),INDEX(Courbe_de_tarage!$D$4:$D$44,1))))</f>
        <v/>
      </c>
      <c r="E23" s="19">
        <f>IF(A23="","",IFERROR(FORECAST(K22+B22+B23,INDEX(Courbe_de_tarage!$E$4:$E$44,MATCH(K22+B22+B23,Courbe_de_tarage!$I$4:$I$44,1)):INDEX(Courbe_de_tarage!$E$4:$E$44,MATCH(K22+B22+B23,Courbe_de_tarage!$I$4:$I$44,1)+1),INDEX(Courbe_de_tarage!$I$4:$I$44,MATCH(K22+B22+B23,Courbe_de_tarage!$I$4:$I$44,1)):INDEX(Courbe_de_tarage!$I$4:$I$44,MATCH(K22+B22+B23,Courbe_de_tarage!$I$4:$I$44,1)+1)),IFERROR(INDEX(Courbe_de_tarage!$E$4:$E$44,MATCH(K22+B22+B23,Courbe_de_tarage!$I$4:$I$44,1)),INDEX(Courbe_de_tarage!$E$4:$E$44,1))))</f>
        <v/>
      </c>
      <c r="F23" s="19">
        <f>IF(A23="","",IFERROR(FORECAST(K22+B22+B23,INDEX(Courbe_de_tarage!$A$4:$A$44,MATCH(K22+B22+B23,Courbe_de_tarage!$I$4:$I$44,1)):INDEX(Courbe_de_tarage!$A$4:$A$44,MATCH(K22+B22+B23,Courbe_de_tarage!$I$4:$I$44,1)+1),INDEX(Courbe_de_tarage!$I$4:$I$44,MATCH(K22+B22+B23,Courbe_de_tarage!$I$4:$I$44,1)):INDEX(Courbe_de_tarage!$I$4:$I$44,MATCH(K22+B22+B23,Courbe_de_tarage!$I$4:$I$44,1)+1)),IFERROR(INDEX(Courbe_de_tarage!$A$4:$A$44,MATCH(K22+B22+B23,Courbe_de_tarage!$I$4:$I$44,1)),INDEX(Courbe_de_tarage!$A$4:$A$44,1))))</f>
        <v/>
      </c>
      <c r="G23" s="19">
        <f>IF(A23="","",35.36+F23)</f>
        <v/>
      </c>
      <c r="H23" s="19">
        <f>IF(A23="","",IFERROR(FORECAST(K22+B22+B23,INDEX(Courbe_de_tarage!$H$4:$H$44,MATCH(K22+B22+B23,Courbe_de_tarage!$I$4:$I$44,1)):INDEX(Courbe_de_tarage!$H$4:$H$44,MATCH(K22+B22+B23,Courbe_de_tarage!$I$4:$I$44,1)+1),INDEX(Courbe_de_tarage!$I$4:$I$44,MATCH(K22+B22+B23,Courbe_de_tarage!$I$4:$I$44,1)):INDEX(Courbe_de_tarage!$I$4:$I$44,MATCH(K22+B22+B23,Courbe_de_tarage!$I$4:$I$44,1)+1)),IFERROR(INDEX(Courbe_de_tarage!$H$4:$H$44,MATCH(K22+B22+B23,Courbe_de_tarage!$I$4:$I$44,1)),INDEX(Courbe_de_tarage!$H$4:$H$44,1))))</f>
        <v/>
      </c>
      <c r="I23" s="4">
        <f>IF(G23="","",IF(G23&gt;37.4,"OUI",""))</f>
        <v/>
      </c>
      <c r="J23" s="19">
        <f>IF(A23="","",K22+B22+B23)</f>
        <v/>
      </c>
      <c r="K23" s="19">
        <f>IF(A23="","",2*H23/(Hydrogramme_entree!$B$8*60)-E23)</f>
        <v/>
      </c>
    </row>
    <row r="24">
      <c r="A24" s="4">
        <f>Hydrogramme_entree!A30</f>
        <v/>
      </c>
      <c r="B24" s="19">
        <f>Hydrogramme_entree!B30</f>
        <v/>
      </c>
      <c r="C24" s="19">
        <f>IF(A24="","",IFERROR(FORECAST(K23+B23+B24,INDEX(Courbe_de_tarage!$C$4:$C$44,MATCH(K23+B23+B24,Courbe_de_tarage!$I$4:$I$44,1)):INDEX(Courbe_de_tarage!$C$4:$C$44,MATCH(K23+B23+B24,Courbe_de_tarage!$I$4:$I$44,1)+1),INDEX(Courbe_de_tarage!$I$4:$I$44,MATCH(K23+B23+B24,Courbe_de_tarage!$I$4:$I$44,1)):INDEX(Courbe_de_tarage!$I$4:$I$44,MATCH(K23+B23+B24,Courbe_de_tarage!$I$4:$I$44,1)+1)),IFERROR(INDEX(Courbe_de_tarage!$C$4:$C$44,MATCH(K23+B23+B24,Courbe_de_tarage!$I$4:$I$44,1)),INDEX(Courbe_de_tarage!$C$4:$C$44,1))))</f>
        <v/>
      </c>
      <c r="D24" s="19">
        <f>IF(A24="","",IFERROR(FORECAST(K23+B23+B24,INDEX(Courbe_de_tarage!$D$4:$D$44,MATCH(K23+B23+B24,Courbe_de_tarage!$I$4:$I$44,1)):INDEX(Courbe_de_tarage!$D$4:$D$44,MATCH(K23+B23+B24,Courbe_de_tarage!$I$4:$I$44,1)+1),INDEX(Courbe_de_tarage!$I$4:$I$44,MATCH(K23+B23+B24,Courbe_de_tarage!$I$4:$I$44,1)):INDEX(Courbe_de_tarage!$I$4:$I$44,MATCH(K23+B23+B24,Courbe_de_tarage!$I$4:$I$44,1)+1)),IFERROR(INDEX(Courbe_de_tarage!$D$4:$D$44,MATCH(K23+B23+B24,Courbe_de_tarage!$I$4:$I$44,1)),INDEX(Courbe_de_tarage!$D$4:$D$44,1))))</f>
        <v/>
      </c>
      <c r="E24" s="19">
        <f>IF(A24="","",IFERROR(FORECAST(K23+B23+B24,INDEX(Courbe_de_tarage!$E$4:$E$44,MATCH(K23+B23+B24,Courbe_de_tarage!$I$4:$I$44,1)):INDEX(Courbe_de_tarage!$E$4:$E$44,MATCH(K23+B23+B24,Courbe_de_tarage!$I$4:$I$44,1)+1),INDEX(Courbe_de_tarage!$I$4:$I$44,MATCH(K23+B23+B24,Courbe_de_tarage!$I$4:$I$44,1)):INDEX(Courbe_de_tarage!$I$4:$I$44,MATCH(K23+B23+B24,Courbe_de_tarage!$I$4:$I$44,1)+1)),IFERROR(INDEX(Courbe_de_tarage!$E$4:$E$44,MATCH(K23+B23+B24,Courbe_de_tarage!$I$4:$I$44,1)),INDEX(Courbe_de_tarage!$E$4:$E$44,1))))</f>
        <v/>
      </c>
      <c r="F24" s="19">
        <f>IF(A24="","",IFERROR(FORECAST(K23+B23+B24,INDEX(Courbe_de_tarage!$A$4:$A$44,MATCH(K23+B23+B24,Courbe_de_tarage!$I$4:$I$44,1)):INDEX(Courbe_de_tarage!$A$4:$A$44,MATCH(K23+B23+B24,Courbe_de_tarage!$I$4:$I$44,1)+1),INDEX(Courbe_de_tarage!$I$4:$I$44,MATCH(K23+B23+B24,Courbe_de_tarage!$I$4:$I$44,1)):INDEX(Courbe_de_tarage!$I$4:$I$44,MATCH(K23+B23+B24,Courbe_de_tarage!$I$4:$I$44,1)+1)),IFERROR(INDEX(Courbe_de_tarage!$A$4:$A$44,MATCH(K23+B23+B24,Courbe_de_tarage!$I$4:$I$44,1)),INDEX(Courbe_de_tarage!$A$4:$A$44,1))))</f>
        <v/>
      </c>
      <c r="G24" s="19">
        <f>IF(A24="","",35.36+F24)</f>
        <v/>
      </c>
      <c r="H24" s="19">
        <f>IF(A24="","",IFERROR(FORECAST(K23+B23+B24,INDEX(Courbe_de_tarage!$H$4:$H$44,MATCH(K23+B23+B24,Courbe_de_tarage!$I$4:$I$44,1)):INDEX(Courbe_de_tarage!$H$4:$H$44,MATCH(K23+B23+B24,Courbe_de_tarage!$I$4:$I$44,1)+1),INDEX(Courbe_de_tarage!$I$4:$I$44,MATCH(K23+B23+B24,Courbe_de_tarage!$I$4:$I$44,1)):INDEX(Courbe_de_tarage!$I$4:$I$44,MATCH(K23+B23+B24,Courbe_de_tarage!$I$4:$I$44,1)+1)),IFERROR(INDEX(Courbe_de_tarage!$H$4:$H$44,MATCH(K23+B23+B24,Courbe_de_tarage!$I$4:$I$44,1)),INDEX(Courbe_de_tarage!$H$4:$H$44,1))))</f>
        <v/>
      </c>
      <c r="I24" s="4">
        <f>IF(G24="","",IF(G24&gt;37.4,"OUI",""))</f>
        <v/>
      </c>
      <c r="J24" s="19">
        <f>IF(A24="","",K23+B23+B24)</f>
        <v/>
      </c>
      <c r="K24" s="19">
        <f>IF(A24="","",2*H24/(Hydrogramme_entree!$B$8*60)-E24)</f>
        <v/>
      </c>
    </row>
    <row r="25">
      <c r="A25" s="4">
        <f>Hydrogramme_entree!A31</f>
        <v/>
      </c>
      <c r="B25" s="19">
        <f>Hydrogramme_entree!B31</f>
        <v/>
      </c>
      <c r="C25" s="19">
        <f>IF(A25="","",IFERROR(FORECAST(K24+B24+B25,INDEX(Courbe_de_tarage!$C$4:$C$44,MATCH(K24+B24+B25,Courbe_de_tarage!$I$4:$I$44,1)):INDEX(Courbe_de_tarage!$C$4:$C$44,MATCH(K24+B24+B25,Courbe_de_tarage!$I$4:$I$44,1)+1),INDEX(Courbe_de_tarage!$I$4:$I$44,MATCH(K24+B24+B25,Courbe_de_tarage!$I$4:$I$44,1)):INDEX(Courbe_de_tarage!$I$4:$I$44,MATCH(K24+B24+B25,Courbe_de_tarage!$I$4:$I$44,1)+1)),IFERROR(INDEX(Courbe_de_tarage!$C$4:$C$44,MATCH(K24+B24+B25,Courbe_de_tarage!$I$4:$I$44,1)),INDEX(Courbe_de_tarage!$C$4:$C$44,1))))</f>
        <v/>
      </c>
      <c r="D25" s="19">
        <f>IF(A25="","",IFERROR(FORECAST(K24+B24+B25,INDEX(Courbe_de_tarage!$D$4:$D$44,MATCH(K24+B24+B25,Courbe_de_tarage!$I$4:$I$44,1)):INDEX(Courbe_de_tarage!$D$4:$D$44,MATCH(K24+B24+B25,Courbe_de_tarage!$I$4:$I$44,1)+1),INDEX(Courbe_de_tarage!$I$4:$I$44,MATCH(K24+B24+B25,Courbe_de_tarage!$I$4:$I$44,1)):INDEX(Courbe_de_tarage!$I$4:$I$44,MATCH(K24+B24+B25,Courbe_de_tarage!$I$4:$I$44,1)+1)),IFERROR(INDEX(Courbe_de_tarage!$D$4:$D$44,MATCH(K24+B24+B25,Courbe_de_tarage!$I$4:$I$44,1)),INDEX(Courbe_de_tarage!$D$4:$D$44,1))))</f>
        <v/>
      </c>
      <c r="E25" s="19">
        <f>IF(A25="","",IFERROR(FORECAST(K24+B24+B25,INDEX(Courbe_de_tarage!$E$4:$E$44,MATCH(K24+B24+B25,Courbe_de_tarage!$I$4:$I$44,1)):INDEX(Courbe_de_tarage!$E$4:$E$44,MATCH(K24+B24+B25,Courbe_de_tarage!$I$4:$I$44,1)+1),INDEX(Courbe_de_tarage!$I$4:$I$44,MATCH(K24+B24+B25,Courbe_de_tarage!$I$4:$I$44,1)):INDEX(Courbe_de_tarage!$I$4:$I$44,MATCH(K24+B24+B25,Courbe_de_tarage!$I$4:$I$44,1)+1)),IFERROR(INDEX(Courbe_de_tarage!$E$4:$E$44,MATCH(K24+B24+B25,Courbe_de_tarage!$I$4:$I$44,1)),INDEX(Courbe_de_tarage!$E$4:$E$44,1))))</f>
        <v/>
      </c>
      <c r="F25" s="19">
        <f>IF(A25="","",IFERROR(FORECAST(K24+B24+B25,INDEX(Courbe_de_tarage!$A$4:$A$44,MATCH(K24+B24+B25,Courbe_de_tarage!$I$4:$I$44,1)):INDEX(Courbe_de_tarage!$A$4:$A$44,MATCH(K24+B24+B25,Courbe_de_tarage!$I$4:$I$44,1)+1),INDEX(Courbe_de_tarage!$I$4:$I$44,MATCH(K24+B24+B25,Courbe_de_tarage!$I$4:$I$44,1)):INDEX(Courbe_de_tarage!$I$4:$I$44,MATCH(K24+B24+B25,Courbe_de_tarage!$I$4:$I$44,1)+1)),IFERROR(INDEX(Courbe_de_tarage!$A$4:$A$44,MATCH(K24+B24+B25,Courbe_de_tarage!$I$4:$I$44,1)),INDEX(Courbe_de_tarage!$A$4:$A$44,1))))</f>
        <v/>
      </c>
      <c r="G25" s="19">
        <f>IF(A25="","",35.36+F25)</f>
        <v/>
      </c>
      <c r="H25" s="19">
        <f>IF(A25="","",IFERROR(FORECAST(K24+B24+B25,INDEX(Courbe_de_tarage!$H$4:$H$44,MATCH(K24+B24+B25,Courbe_de_tarage!$I$4:$I$44,1)):INDEX(Courbe_de_tarage!$H$4:$H$44,MATCH(K24+B24+B25,Courbe_de_tarage!$I$4:$I$44,1)+1),INDEX(Courbe_de_tarage!$I$4:$I$44,MATCH(K24+B24+B25,Courbe_de_tarage!$I$4:$I$44,1)):INDEX(Courbe_de_tarage!$I$4:$I$44,MATCH(K24+B24+B25,Courbe_de_tarage!$I$4:$I$44,1)+1)),IFERROR(INDEX(Courbe_de_tarage!$H$4:$H$44,MATCH(K24+B24+B25,Courbe_de_tarage!$I$4:$I$44,1)),INDEX(Courbe_de_tarage!$H$4:$H$44,1))))</f>
        <v/>
      </c>
      <c r="I25" s="4">
        <f>IF(G25="","",IF(G25&gt;37.4,"OUI",""))</f>
        <v/>
      </c>
      <c r="J25" s="19">
        <f>IF(A25="","",K24+B24+B25)</f>
        <v/>
      </c>
      <c r="K25" s="19">
        <f>IF(A25="","",2*H25/(Hydrogramme_entree!$B$8*60)-E25)</f>
        <v/>
      </c>
    </row>
    <row r="26">
      <c r="A26" s="4">
        <f>Hydrogramme_entree!A32</f>
        <v/>
      </c>
      <c r="B26" s="19">
        <f>Hydrogramme_entree!B32</f>
        <v/>
      </c>
      <c r="C26" s="19">
        <f>IF(A26="","",IFERROR(FORECAST(K25+B25+B26,INDEX(Courbe_de_tarage!$C$4:$C$44,MATCH(K25+B25+B26,Courbe_de_tarage!$I$4:$I$44,1)):INDEX(Courbe_de_tarage!$C$4:$C$44,MATCH(K25+B25+B26,Courbe_de_tarage!$I$4:$I$44,1)+1),INDEX(Courbe_de_tarage!$I$4:$I$44,MATCH(K25+B25+B26,Courbe_de_tarage!$I$4:$I$44,1)):INDEX(Courbe_de_tarage!$I$4:$I$44,MATCH(K25+B25+B26,Courbe_de_tarage!$I$4:$I$44,1)+1)),IFERROR(INDEX(Courbe_de_tarage!$C$4:$C$44,MATCH(K25+B25+B26,Courbe_de_tarage!$I$4:$I$44,1)),INDEX(Courbe_de_tarage!$C$4:$C$44,1))))</f>
        <v/>
      </c>
      <c r="D26" s="19">
        <f>IF(A26="","",IFERROR(FORECAST(K25+B25+B26,INDEX(Courbe_de_tarage!$D$4:$D$44,MATCH(K25+B25+B26,Courbe_de_tarage!$I$4:$I$44,1)):INDEX(Courbe_de_tarage!$D$4:$D$44,MATCH(K25+B25+B26,Courbe_de_tarage!$I$4:$I$44,1)+1),INDEX(Courbe_de_tarage!$I$4:$I$44,MATCH(K25+B25+B26,Courbe_de_tarage!$I$4:$I$44,1)):INDEX(Courbe_de_tarage!$I$4:$I$44,MATCH(K25+B25+B26,Courbe_de_tarage!$I$4:$I$44,1)+1)),IFERROR(INDEX(Courbe_de_tarage!$D$4:$D$44,MATCH(K25+B25+B26,Courbe_de_tarage!$I$4:$I$44,1)),INDEX(Courbe_de_tarage!$D$4:$D$44,1))))</f>
        <v/>
      </c>
      <c r="E26" s="19">
        <f>IF(A26="","",IFERROR(FORECAST(K25+B25+B26,INDEX(Courbe_de_tarage!$E$4:$E$44,MATCH(K25+B25+B26,Courbe_de_tarage!$I$4:$I$44,1)):INDEX(Courbe_de_tarage!$E$4:$E$44,MATCH(K25+B25+B26,Courbe_de_tarage!$I$4:$I$44,1)+1),INDEX(Courbe_de_tarage!$I$4:$I$44,MATCH(K25+B25+B26,Courbe_de_tarage!$I$4:$I$44,1)):INDEX(Courbe_de_tarage!$I$4:$I$44,MATCH(K25+B25+B26,Courbe_de_tarage!$I$4:$I$44,1)+1)),IFERROR(INDEX(Courbe_de_tarage!$E$4:$E$44,MATCH(K25+B25+B26,Courbe_de_tarage!$I$4:$I$44,1)),INDEX(Courbe_de_tarage!$E$4:$E$44,1))))</f>
        <v/>
      </c>
      <c r="F26" s="19">
        <f>IF(A26="","",IFERROR(FORECAST(K25+B25+B26,INDEX(Courbe_de_tarage!$A$4:$A$44,MATCH(K25+B25+B26,Courbe_de_tarage!$I$4:$I$44,1)):INDEX(Courbe_de_tarage!$A$4:$A$44,MATCH(K25+B25+B26,Courbe_de_tarage!$I$4:$I$44,1)+1),INDEX(Courbe_de_tarage!$I$4:$I$44,MATCH(K25+B25+B26,Courbe_de_tarage!$I$4:$I$44,1)):INDEX(Courbe_de_tarage!$I$4:$I$44,MATCH(K25+B25+B26,Courbe_de_tarage!$I$4:$I$44,1)+1)),IFERROR(INDEX(Courbe_de_tarage!$A$4:$A$44,MATCH(K25+B25+B26,Courbe_de_tarage!$I$4:$I$44,1)),INDEX(Courbe_de_tarage!$A$4:$A$44,1))))</f>
        <v/>
      </c>
      <c r="G26" s="19">
        <f>IF(A26="","",35.36+F26)</f>
        <v/>
      </c>
      <c r="H26" s="19">
        <f>IF(A26="","",IFERROR(FORECAST(K25+B25+B26,INDEX(Courbe_de_tarage!$H$4:$H$44,MATCH(K25+B25+B26,Courbe_de_tarage!$I$4:$I$44,1)):INDEX(Courbe_de_tarage!$H$4:$H$44,MATCH(K25+B25+B26,Courbe_de_tarage!$I$4:$I$44,1)+1),INDEX(Courbe_de_tarage!$I$4:$I$44,MATCH(K25+B25+B26,Courbe_de_tarage!$I$4:$I$44,1)):INDEX(Courbe_de_tarage!$I$4:$I$44,MATCH(K25+B25+B26,Courbe_de_tarage!$I$4:$I$44,1)+1)),IFERROR(INDEX(Courbe_de_tarage!$H$4:$H$44,MATCH(K25+B25+B26,Courbe_de_tarage!$I$4:$I$44,1)),INDEX(Courbe_de_tarage!$H$4:$H$44,1))))</f>
        <v/>
      </c>
      <c r="I26" s="4">
        <f>IF(G26="","",IF(G26&gt;37.4,"OUI",""))</f>
        <v/>
      </c>
      <c r="J26" s="19">
        <f>IF(A26="","",K25+B25+B26)</f>
        <v/>
      </c>
      <c r="K26" s="19">
        <f>IF(A26="","",2*H26/(Hydrogramme_entree!$B$8*60)-E26)</f>
        <v/>
      </c>
    </row>
    <row r="27">
      <c r="A27" s="4">
        <f>Hydrogramme_entree!A33</f>
        <v/>
      </c>
      <c r="B27" s="19">
        <f>Hydrogramme_entree!B33</f>
        <v/>
      </c>
      <c r="C27" s="19">
        <f>IF(A27="","",IFERROR(FORECAST(K26+B26+B27,INDEX(Courbe_de_tarage!$C$4:$C$44,MATCH(K26+B26+B27,Courbe_de_tarage!$I$4:$I$44,1)):INDEX(Courbe_de_tarage!$C$4:$C$44,MATCH(K26+B26+B27,Courbe_de_tarage!$I$4:$I$44,1)+1),INDEX(Courbe_de_tarage!$I$4:$I$44,MATCH(K26+B26+B27,Courbe_de_tarage!$I$4:$I$44,1)):INDEX(Courbe_de_tarage!$I$4:$I$44,MATCH(K26+B26+B27,Courbe_de_tarage!$I$4:$I$44,1)+1)),IFERROR(INDEX(Courbe_de_tarage!$C$4:$C$44,MATCH(K26+B26+B27,Courbe_de_tarage!$I$4:$I$44,1)),INDEX(Courbe_de_tarage!$C$4:$C$44,1))))</f>
        <v/>
      </c>
      <c r="D27" s="19">
        <f>IF(A27="","",IFERROR(FORECAST(K26+B26+B27,INDEX(Courbe_de_tarage!$D$4:$D$44,MATCH(K26+B26+B27,Courbe_de_tarage!$I$4:$I$44,1)):INDEX(Courbe_de_tarage!$D$4:$D$44,MATCH(K26+B26+B27,Courbe_de_tarage!$I$4:$I$44,1)+1),INDEX(Courbe_de_tarage!$I$4:$I$44,MATCH(K26+B26+B27,Courbe_de_tarage!$I$4:$I$44,1)):INDEX(Courbe_de_tarage!$I$4:$I$44,MATCH(K26+B26+B27,Courbe_de_tarage!$I$4:$I$44,1)+1)),IFERROR(INDEX(Courbe_de_tarage!$D$4:$D$44,MATCH(K26+B26+B27,Courbe_de_tarage!$I$4:$I$44,1)),INDEX(Courbe_de_tarage!$D$4:$D$44,1))))</f>
        <v/>
      </c>
      <c r="E27" s="19">
        <f>IF(A27="","",IFERROR(FORECAST(K26+B26+B27,INDEX(Courbe_de_tarage!$E$4:$E$44,MATCH(K26+B26+B27,Courbe_de_tarage!$I$4:$I$44,1)):INDEX(Courbe_de_tarage!$E$4:$E$44,MATCH(K26+B26+B27,Courbe_de_tarage!$I$4:$I$44,1)+1),INDEX(Courbe_de_tarage!$I$4:$I$44,MATCH(K26+B26+B27,Courbe_de_tarage!$I$4:$I$44,1)):INDEX(Courbe_de_tarage!$I$4:$I$44,MATCH(K26+B26+B27,Courbe_de_tarage!$I$4:$I$44,1)+1)),IFERROR(INDEX(Courbe_de_tarage!$E$4:$E$44,MATCH(K26+B26+B27,Courbe_de_tarage!$I$4:$I$44,1)),INDEX(Courbe_de_tarage!$E$4:$E$44,1))))</f>
        <v/>
      </c>
      <c r="F27" s="19">
        <f>IF(A27="","",IFERROR(FORECAST(K26+B26+B27,INDEX(Courbe_de_tarage!$A$4:$A$44,MATCH(K26+B26+B27,Courbe_de_tarage!$I$4:$I$44,1)):INDEX(Courbe_de_tarage!$A$4:$A$44,MATCH(K26+B26+B27,Courbe_de_tarage!$I$4:$I$44,1)+1),INDEX(Courbe_de_tarage!$I$4:$I$44,MATCH(K26+B26+B27,Courbe_de_tarage!$I$4:$I$44,1)):INDEX(Courbe_de_tarage!$I$4:$I$44,MATCH(K26+B26+B27,Courbe_de_tarage!$I$4:$I$44,1)+1)),IFERROR(INDEX(Courbe_de_tarage!$A$4:$A$44,MATCH(K26+B26+B27,Courbe_de_tarage!$I$4:$I$44,1)),INDEX(Courbe_de_tarage!$A$4:$A$44,1))))</f>
        <v/>
      </c>
      <c r="G27" s="19">
        <f>IF(A27="","",35.36+F27)</f>
        <v/>
      </c>
      <c r="H27" s="19">
        <f>IF(A27="","",IFERROR(FORECAST(K26+B26+B27,INDEX(Courbe_de_tarage!$H$4:$H$44,MATCH(K26+B26+B27,Courbe_de_tarage!$I$4:$I$44,1)):INDEX(Courbe_de_tarage!$H$4:$H$44,MATCH(K26+B26+B27,Courbe_de_tarage!$I$4:$I$44,1)+1),INDEX(Courbe_de_tarage!$I$4:$I$44,MATCH(K26+B26+B27,Courbe_de_tarage!$I$4:$I$44,1)):INDEX(Courbe_de_tarage!$I$4:$I$44,MATCH(K26+B26+B27,Courbe_de_tarage!$I$4:$I$44,1)+1)),IFERROR(INDEX(Courbe_de_tarage!$H$4:$H$44,MATCH(K26+B26+B27,Courbe_de_tarage!$I$4:$I$44,1)),INDEX(Courbe_de_tarage!$H$4:$H$44,1))))</f>
        <v/>
      </c>
      <c r="I27" s="4">
        <f>IF(G27="","",IF(G27&gt;37.4,"OUI",""))</f>
        <v/>
      </c>
      <c r="J27" s="19">
        <f>IF(A27="","",K26+B26+B27)</f>
        <v/>
      </c>
      <c r="K27" s="19">
        <f>IF(A27="","",2*H27/(Hydrogramme_entree!$B$8*60)-E27)</f>
        <v/>
      </c>
    </row>
    <row r="28">
      <c r="A28" s="4">
        <f>Hydrogramme_entree!A34</f>
        <v/>
      </c>
      <c r="B28" s="19">
        <f>Hydrogramme_entree!B34</f>
        <v/>
      </c>
      <c r="C28" s="19">
        <f>IF(A28="","",IFERROR(FORECAST(K27+B27+B28,INDEX(Courbe_de_tarage!$C$4:$C$44,MATCH(K27+B27+B28,Courbe_de_tarage!$I$4:$I$44,1)):INDEX(Courbe_de_tarage!$C$4:$C$44,MATCH(K27+B27+B28,Courbe_de_tarage!$I$4:$I$44,1)+1),INDEX(Courbe_de_tarage!$I$4:$I$44,MATCH(K27+B27+B28,Courbe_de_tarage!$I$4:$I$44,1)):INDEX(Courbe_de_tarage!$I$4:$I$44,MATCH(K27+B27+B28,Courbe_de_tarage!$I$4:$I$44,1)+1)),IFERROR(INDEX(Courbe_de_tarage!$C$4:$C$44,MATCH(K27+B27+B28,Courbe_de_tarage!$I$4:$I$44,1)),INDEX(Courbe_de_tarage!$C$4:$C$44,1))))</f>
        <v/>
      </c>
      <c r="D28" s="19">
        <f>IF(A28="","",IFERROR(FORECAST(K27+B27+B28,INDEX(Courbe_de_tarage!$D$4:$D$44,MATCH(K27+B27+B28,Courbe_de_tarage!$I$4:$I$44,1)):INDEX(Courbe_de_tarage!$D$4:$D$44,MATCH(K27+B27+B28,Courbe_de_tarage!$I$4:$I$44,1)+1),INDEX(Courbe_de_tarage!$I$4:$I$44,MATCH(K27+B27+B28,Courbe_de_tarage!$I$4:$I$44,1)):INDEX(Courbe_de_tarage!$I$4:$I$44,MATCH(K27+B27+B28,Courbe_de_tarage!$I$4:$I$44,1)+1)),IFERROR(INDEX(Courbe_de_tarage!$D$4:$D$44,MATCH(K27+B27+B28,Courbe_de_tarage!$I$4:$I$44,1)),INDEX(Courbe_de_tarage!$D$4:$D$44,1))))</f>
        <v/>
      </c>
      <c r="E28" s="19">
        <f>IF(A28="","",IFERROR(FORECAST(K27+B27+B28,INDEX(Courbe_de_tarage!$E$4:$E$44,MATCH(K27+B27+B28,Courbe_de_tarage!$I$4:$I$44,1)):INDEX(Courbe_de_tarage!$E$4:$E$44,MATCH(K27+B27+B28,Courbe_de_tarage!$I$4:$I$44,1)+1),INDEX(Courbe_de_tarage!$I$4:$I$44,MATCH(K27+B27+B28,Courbe_de_tarage!$I$4:$I$44,1)):INDEX(Courbe_de_tarage!$I$4:$I$44,MATCH(K27+B27+B28,Courbe_de_tarage!$I$4:$I$44,1)+1)),IFERROR(INDEX(Courbe_de_tarage!$E$4:$E$44,MATCH(K27+B27+B28,Courbe_de_tarage!$I$4:$I$44,1)),INDEX(Courbe_de_tarage!$E$4:$E$44,1))))</f>
        <v/>
      </c>
      <c r="F28" s="19">
        <f>IF(A28="","",IFERROR(FORECAST(K27+B27+B28,INDEX(Courbe_de_tarage!$A$4:$A$44,MATCH(K27+B27+B28,Courbe_de_tarage!$I$4:$I$44,1)):INDEX(Courbe_de_tarage!$A$4:$A$44,MATCH(K27+B27+B28,Courbe_de_tarage!$I$4:$I$44,1)+1),INDEX(Courbe_de_tarage!$I$4:$I$44,MATCH(K27+B27+B28,Courbe_de_tarage!$I$4:$I$44,1)):INDEX(Courbe_de_tarage!$I$4:$I$44,MATCH(K27+B27+B28,Courbe_de_tarage!$I$4:$I$44,1)+1)),IFERROR(INDEX(Courbe_de_tarage!$A$4:$A$44,MATCH(K27+B27+B28,Courbe_de_tarage!$I$4:$I$44,1)),INDEX(Courbe_de_tarage!$A$4:$A$44,1))))</f>
        <v/>
      </c>
      <c r="G28" s="19">
        <f>IF(A28="","",35.36+F28)</f>
        <v/>
      </c>
      <c r="H28" s="19">
        <f>IF(A28="","",IFERROR(FORECAST(K27+B27+B28,INDEX(Courbe_de_tarage!$H$4:$H$44,MATCH(K27+B27+B28,Courbe_de_tarage!$I$4:$I$44,1)):INDEX(Courbe_de_tarage!$H$4:$H$44,MATCH(K27+B27+B28,Courbe_de_tarage!$I$4:$I$44,1)+1),INDEX(Courbe_de_tarage!$I$4:$I$44,MATCH(K27+B27+B28,Courbe_de_tarage!$I$4:$I$44,1)):INDEX(Courbe_de_tarage!$I$4:$I$44,MATCH(K27+B27+B28,Courbe_de_tarage!$I$4:$I$44,1)+1)),IFERROR(INDEX(Courbe_de_tarage!$H$4:$H$44,MATCH(K27+B27+B28,Courbe_de_tarage!$I$4:$I$44,1)),INDEX(Courbe_de_tarage!$H$4:$H$44,1))))</f>
        <v/>
      </c>
      <c r="I28" s="4">
        <f>IF(G28="","",IF(G28&gt;37.4,"OUI",""))</f>
        <v/>
      </c>
      <c r="J28" s="19">
        <f>IF(A28="","",K27+B27+B28)</f>
        <v/>
      </c>
      <c r="K28" s="19">
        <f>IF(A28="","",2*H28/(Hydrogramme_entree!$B$8*60)-E28)</f>
        <v/>
      </c>
    </row>
    <row r="29">
      <c r="A29" s="4">
        <f>Hydrogramme_entree!A35</f>
        <v/>
      </c>
      <c r="B29" s="19">
        <f>Hydrogramme_entree!B35</f>
        <v/>
      </c>
      <c r="C29" s="19">
        <f>IF(A29="","",IFERROR(FORECAST(K28+B28+B29,INDEX(Courbe_de_tarage!$C$4:$C$44,MATCH(K28+B28+B29,Courbe_de_tarage!$I$4:$I$44,1)):INDEX(Courbe_de_tarage!$C$4:$C$44,MATCH(K28+B28+B29,Courbe_de_tarage!$I$4:$I$44,1)+1),INDEX(Courbe_de_tarage!$I$4:$I$44,MATCH(K28+B28+B29,Courbe_de_tarage!$I$4:$I$44,1)):INDEX(Courbe_de_tarage!$I$4:$I$44,MATCH(K28+B28+B29,Courbe_de_tarage!$I$4:$I$44,1)+1)),IFERROR(INDEX(Courbe_de_tarage!$C$4:$C$44,MATCH(K28+B28+B29,Courbe_de_tarage!$I$4:$I$44,1)),INDEX(Courbe_de_tarage!$C$4:$C$44,1))))</f>
        <v/>
      </c>
      <c r="D29" s="19">
        <f>IF(A29="","",IFERROR(FORECAST(K28+B28+B29,INDEX(Courbe_de_tarage!$D$4:$D$44,MATCH(K28+B28+B29,Courbe_de_tarage!$I$4:$I$44,1)):INDEX(Courbe_de_tarage!$D$4:$D$44,MATCH(K28+B28+B29,Courbe_de_tarage!$I$4:$I$44,1)+1),INDEX(Courbe_de_tarage!$I$4:$I$44,MATCH(K28+B28+B29,Courbe_de_tarage!$I$4:$I$44,1)):INDEX(Courbe_de_tarage!$I$4:$I$44,MATCH(K28+B28+B29,Courbe_de_tarage!$I$4:$I$44,1)+1)),IFERROR(INDEX(Courbe_de_tarage!$D$4:$D$44,MATCH(K28+B28+B29,Courbe_de_tarage!$I$4:$I$44,1)),INDEX(Courbe_de_tarage!$D$4:$D$44,1))))</f>
        <v/>
      </c>
      <c r="E29" s="19">
        <f>IF(A29="","",IFERROR(FORECAST(K28+B28+B29,INDEX(Courbe_de_tarage!$E$4:$E$44,MATCH(K28+B28+B29,Courbe_de_tarage!$I$4:$I$44,1)):INDEX(Courbe_de_tarage!$E$4:$E$44,MATCH(K28+B28+B29,Courbe_de_tarage!$I$4:$I$44,1)+1),INDEX(Courbe_de_tarage!$I$4:$I$44,MATCH(K28+B28+B29,Courbe_de_tarage!$I$4:$I$44,1)):INDEX(Courbe_de_tarage!$I$4:$I$44,MATCH(K28+B28+B29,Courbe_de_tarage!$I$4:$I$44,1)+1)),IFERROR(INDEX(Courbe_de_tarage!$E$4:$E$44,MATCH(K28+B28+B29,Courbe_de_tarage!$I$4:$I$44,1)),INDEX(Courbe_de_tarage!$E$4:$E$44,1))))</f>
        <v/>
      </c>
      <c r="F29" s="19">
        <f>IF(A29="","",IFERROR(FORECAST(K28+B28+B29,INDEX(Courbe_de_tarage!$A$4:$A$44,MATCH(K28+B28+B29,Courbe_de_tarage!$I$4:$I$44,1)):INDEX(Courbe_de_tarage!$A$4:$A$44,MATCH(K28+B28+B29,Courbe_de_tarage!$I$4:$I$44,1)+1),INDEX(Courbe_de_tarage!$I$4:$I$44,MATCH(K28+B28+B29,Courbe_de_tarage!$I$4:$I$44,1)):INDEX(Courbe_de_tarage!$I$4:$I$44,MATCH(K28+B28+B29,Courbe_de_tarage!$I$4:$I$44,1)+1)),IFERROR(INDEX(Courbe_de_tarage!$A$4:$A$44,MATCH(K28+B28+B29,Courbe_de_tarage!$I$4:$I$44,1)),INDEX(Courbe_de_tarage!$A$4:$A$44,1))))</f>
        <v/>
      </c>
      <c r="G29" s="19">
        <f>IF(A29="","",35.36+F29)</f>
        <v/>
      </c>
      <c r="H29" s="19">
        <f>IF(A29="","",IFERROR(FORECAST(K28+B28+B29,INDEX(Courbe_de_tarage!$H$4:$H$44,MATCH(K28+B28+B29,Courbe_de_tarage!$I$4:$I$44,1)):INDEX(Courbe_de_tarage!$H$4:$H$44,MATCH(K28+B28+B29,Courbe_de_tarage!$I$4:$I$44,1)+1),INDEX(Courbe_de_tarage!$I$4:$I$44,MATCH(K28+B28+B29,Courbe_de_tarage!$I$4:$I$44,1)):INDEX(Courbe_de_tarage!$I$4:$I$44,MATCH(K28+B28+B29,Courbe_de_tarage!$I$4:$I$44,1)+1)),IFERROR(INDEX(Courbe_de_tarage!$H$4:$H$44,MATCH(K28+B28+B29,Courbe_de_tarage!$I$4:$I$44,1)),INDEX(Courbe_de_tarage!$H$4:$H$44,1))))</f>
        <v/>
      </c>
      <c r="I29" s="4">
        <f>IF(G29="","",IF(G29&gt;37.4,"OUI",""))</f>
        <v/>
      </c>
      <c r="J29" s="19">
        <f>IF(A29="","",K28+B28+B29)</f>
        <v/>
      </c>
      <c r="K29" s="19">
        <f>IF(A29="","",2*H29/(Hydrogramme_entree!$B$8*60)-E29)</f>
        <v/>
      </c>
    </row>
    <row r="30">
      <c r="A30" s="4">
        <f>Hydrogramme_entree!A36</f>
        <v/>
      </c>
      <c r="B30" s="19">
        <f>Hydrogramme_entree!B36</f>
        <v/>
      </c>
      <c r="C30" s="19">
        <f>IF(A30="","",IFERROR(FORECAST(K29+B29+B30,INDEX(Courbe_de_tarage!$C$4:$C$44,MATCH(K29+B29+B30,Courbe_de_tarage!$I$4:$I$44,1)):INDEX(Courbe_de_tarage!$C$4:$C$44,MATCH(K29+B29+B30,Courbe_de_tarage!$I$4:$I$44,1)+1),INDEX(Courbe_de_tarage!$I$4:$I$44,MATCH(K29+B29+B30,Courbe_de_tarage!$I$4:$I$44,1)):INDEX(Courbe_de_tarage!$I$4:$I$44,MATCH(K29+B29+B30,Courbe_de_tarage!$I$4:$I$44,1)+1)),IFERROR(INDEX(Courbe_de_tarage!$C$4:$C$44,MATCH(K29+B29+B30,Courbe_de_tarage!$I$4:$I$44,1)),INDEX(Courbe_de_tarage!$C$4:$C$44,1))))</f>
        <v/>
      </c>
      <c r="D30" s="19">
        <f>IF(A30="","",IFERROR(FORECAST(K29+B29+B30,INDEX(Courbe_de_tarage!$D$4:$D$44,MATCH(K29+B29+B30,Courbe_de_tarage!$I$4:$I$44,1)):INDEX(Courbe_de_tarage!$D$4:$D$44,MATCH(K29+B29+B30,Courbe_de_tarage!$I$4:$I$44,1)+1),INDEX(Courbe_de_tarage!$I$4:$I$44,MATCH(K29+B29+B30,Courbe_de_tarage!$I$4:$I$44,1)):INDEX(Courbe_de_tarage!$I$4:$I$44,MATCH(K29+B29+B30,Courbe_de_tarage!$I$4:$I$44,1)+1)),IFERROR(INDEX(Courbe_de_tarage!$D$4:$D$44,MATCH(K29+B29+B30,Courbe_de_tarage!$I$4:$I$44,1)),INDEX(Courbe_de_tarage!$D$4:$D$44,1))))</f>
        <v/>
      </c>
      <c r="E30" s="19">
        <f>IF(A30="","",IFERROR(FORECAST(K29+B29+B30,INDEX(Courbe_de_tarage!$E$4:$E$44,MATCH(K29+B29+B30,Courbe_de_tarage!$I$4:$I$44,1)):INDEX(Courbe_de_tarage!$E$4:$E$44,MATCH(K29+B29+B30,Courbe_de_tarage!$I$4:$I$44,1)+1),INDEX(Courbe_de_tarage!$I$4:$I$44,MATCH(K29+B29+B30,Courbe_de_tarage!$I$4:$I$44,1)):INDEX(Courbe_de_tarage!$I$4:$I$44,MATCH(K29+B29+B30,Courbe_de_tarage!$I$4:$I$44,1)+1)),IFERROR(INDEX(Courbe_de_tarage!$E$4:$E$44,MATCH(K29+B29+B30,Courbe_de_tarage!$I$4:$I$44,1)),INDEX(Courbe_de_tarage!$E$4:$E$44,1))))</f>
        <v/>
      </c>
      <c r="F30" s="19">
        <f>IF(A30="","",IFERROR(FORECAST(K29+B29+B30,INDEX(Courbe_de_tarage!$A$4:$A$44,MATCH(K29+B29+B30,Courbe_de_tarage!$I$4:$I$44,1)):INDEX(Courbe_de_tarage!$A$4:$A$44,MATCH(K29+B29+B30,Courbe_de_tarage!$I$4:$I$44,1)+1),INDEX(Courbe_de_tarage!$I$4:$I$44,MATCH(K29+B29+B30,Courbe_de_tarage!$I$4:$I$44,1)):INDEX(Courbe_de_tarage!$I$4:$I$44,MATCH(K29+B29+B30,Courbe_de_tarage!$I$4:$I$44,1)+1)),IFERROR(INDEX(Courbe_de_tarage!$A$4:$A$44,MATCH(K29+B29+B30,Courbe_de_tarage!$I$4:$I$44,1)),INDEX(Courbe_de_tarage!$A$4:$A$44,1))))</f>
        <v/>
      </c>
      <c r="G30" s="19">
        <f>IF(A30="","",35.36+F30)</f>
        <v/>
      </c>
      <c r="H30" s="19">
        <f>IF(A30="","",IFERROR(FORECAST(K29+B29+B30,INDEX(Courbe_de_tarage!$H$4:$H$44,MATCH(K29+B29+B30,Courbe_de_tarage!$I$4:$I$44,1)):INDEX(Courbe_de_tarage!$H$4:$H$44,MATCH(K29+B29+B30,Courbe_de_tarage!$I$4:$I$44,1)+1),INDEX(Courbe_de_tarage!$I$4:$I$44,MATCH(K29+B29+B30,Courbe_de_tarage!$I$4:$I$44,1)):INDEX(Courbe_de_tarage!$I$4:$I$44,MATCH(K29+B29+B30,Courbe_de_tarage!$I$4:$I$44,1)+1)),IFERROR(INDEX(Courbe_de_tarage!$H$4:$H$44,MATCH(K29+B29+B30,Courbe_de_tarage!$I$4:$I$44,1)),INDEX(Courbe_de_tarage!$H$4:$H$44,1))))</f>
        <v/>
      </c>
      <c r="I30" s="4">
        <f>IF(G30="","",IF(G30&gt;37.4,"OUI",""))</f>
        <v/>
      </c>
      <c r="J30" s="19">
        <f>IF(A30="","",K29+B29+B30)</f>
        <v/>
      </c>
      <c r="K30" s="19">
        <f>IF(A30="","",2*H30/(Hydrogramme_entree!$B$8*60)-E30)</f>
        <v/>
      </c>
    </row>
    <row r="31">
      <c r="A31" s="4">
        <f>Hydrogramme_entree!A37</f>
        <v/>
      </c>
      <c r="B31" s="19">
        <f>Hydrogramme_entree!B37</f>
        <v/>
      </c>
      <c r="C31" s="19">
        <f>IF(A31="","",IFERROR(FORECAST(K30+B30+B31,INDEX(Courbe_de_tarage!$C$4:$C$44,MATCH(K30+B30+B31,Courbe_de_tarage!$I$4:$I$44,1)):INDEX(Courbe_de_tarage!$C$4:$C$44,MATCH(K30+B30+B31,Courbe_de_tarage!$I$4:$I$44,1)+1),INDEX(Courbe_de_tarage!$I$4:$I$44,MATCH(K30+B30+B31,Courbe_de_tarage!$I$4:$I$44,1)):INDEX(Courbe_de_tarage!$I$4:$I$44,MATCH(K30+B30+B31,Courbe_de_tarage!$I$4:$I$44,1)+1)),IFERROR(INDEX(Courbe_de_tarage!$C$4:$C$44,MATCH(K30+B30+B31,Courbe_de_tarage!$I$4:$I$44,1)),INDEX(Courbe_de_tarage!$C$4:$C$44,1))))</f>
        <v/>
      </c>
      <c r="D31" s="19">
        <f>IF(A31="","",IFERROR(FORECAST(K30+B30+B31,INDEX(Courbe_de_tarage!$D$4:$D$44,MATCH(K30+B30+B31,Courbe_de_tarage!$I$4:$I$44,1)):INDEX(Courbe_de_tarage!$D$4:$D$44,MATCH(K30+B30+B31,Courbe_de_tarage!$I$4:$I$44,1)+1),INDEX(Courbe_de_tarage!$I$4:$I$44,MATCH(K30+B30+B31,Courbe_de_tarage!$I$4:$I$44,1)):INDEX(Courbe_de_tarage!$I$4:$I$44,MATCH(K30+B30+B31,Courbe_de_tarage!$I$4:$I$44,1)+1)),IFERROR(INDEX(Courbe_de_tarage!$D$4:$D$44,MATCH(K30+B30+B31,Courbe_de_tarage!$I$4:$I$44,1)),INDEX(Courbe_de_tarage!$D$4:$D$44,1))))</f>
        <v/>
      </c>
      <c r="E31" s="19">
        <f>IF(A31="","",IFERROR(FORECAST(K30+B30+B31,INDEX(Courbe_de_tarage!$E$4:$E$44,MATCH(K30+B30+B31,Courbe_de_tarage!$I$4:$I$44,1)):INDEX(Courbe_de_tarage!$E$4:$E$44,MATCH(K30+B30+B31,Courbe_de_tarage!$I$4:$I$44,1)+1),INDEX(Courbe_de_tarage!$I$4:$I$44,MATCH(K30+B30+B31,Courbe_de_tarage!$I$4:$I$44,1)):INDEX(Courbe_de_tarage!$I$4:$I$44,MATCH(K30+B30+B31,Courbe_de_tarage!$I$4:$I$44,1)+1)),IFERROR(INDEX(Courbe_de_tarage!$E$4:$E$44,MATCH(K30+B30+B31,Courbe_de_tarage!$I$4:$I$44,1)),INDEX(Courbe_de_tarage!$E$4:$E$44,1))))</f>
        <v/>
      </c>
      <c r="F31" s="19">
        <f>IF(A31="","",IFERROR(FORECAST(K30+B30+B31,INDEX(Courbe_de_tarage!$A$4:$A$44,MATCH(K30+B30+B31,Courbe_de_tarage!$I$4:$I$44,1)):INDEX(Courbe_de_tarage!$A$4:$A$44,MATCH(K30+B30+B31,Courbe_de_tarage!$I$4:$I$44,1)+1),INDEX(Courbe_de_tarage!$I$4:$I$44,MATCH(K30+B30+B31,Courbe_de_tarage!$I$4:$I$44,1)):INDEX(Courbe_de_tarage!$I$4:$I$44,MATCH(K30+B30+B31,Courbe_de_tarage!$I$4:$I$44,1)+1)),IFERROR(INDEX(Courbe_de_tarage!$A$4:$A$44,MATCH(K30+B30+B31,Courbe_de_tarage!$I$4:$I$44,1)),INDEX(Courbe_de_tarage!$A$4:$A$44,1))))</f>
        <v/>
      </c>
      <c r="G31" s="19">
        <f>IF(A31="","",35.36+F31)</f>
        <v/>
      </c>
      <c r="H31" s="19">
        <f>IF(A31="","",IFERROR(FORECAST(K30+B30+B31,INDEX(Courbe_de_tarage!$H$4:$H$44,MATCH(K30+B30+B31,Courbe_de_tarage!$I$4:$I$44,1)):INDEX(Courbe_de_tarage!$H$4:$H$44,MATCH(K30+B30+B31,Courbe_de_tarage!$I$4:$I$44,1)+1),INDEX(Courbe_de_tarage!$I$4:$I$44,MATCH(K30+B30+B31,Courbe_de_tarage!$I$4:$I$44,1)):INDEX(Courbe_de_tarage!$I$4:$I$44,MATCH(K30+B30+B31,Courbe_de_tarage!$I$4:$I$44,1)+1)),IFERROR(INDEX(Courbe_de_tarage!$H$4:$H$44,MATCH(K30+B30+B31,Courbe_de_tarage!$I$4:$I$44,1)),INDEX(Courbe_de_tarage!$H$4:$H$44,1))))</f>
        <v/>
      </c>
      <c r="I31" s="4">
        <f>IF(G31="","",IF(G31&gt;37.4,"OUI",""))</f>
        <v/>
      </c>
      <c r="J31" s="19">
        <f>IF(A31="","",K30+B30+B31)</f>
        <v/>
      </c>
      <c r="K31" s="19">
        <f>IF(A31="","",2*H31/(Hydrogramme_entree!$B$8*60)-E31)</f>
        <v/>
      </c>
    </row>
    <row r="32">
      <c r="A32" s="4">
        <f>Hydrogramme_entree!A38</f>
        <v/>
      </c>
      <c r="B32" s="19">
        <f>Hydrogramme_entree!B38</f>
        <v/>
      </c>
      <c r="C32" s="19">
        <f>IF(A32="","",IFERROR(FORECAST(K31+B31+B32,INDEX(Courbe_de_tarage!$C$4:$C$44,MATCH(K31+B31+B32,Courbe_de_tarage!$I$4:$I$44,1)):INDEX(Courbe_de_tarage!$C$4:$C$44,MATCH(K31+B31+B32,Courbe_de_tarage!$I$4:$I$44,1)+1),INDEX(Courbe_de_tarage!$I$4:$I$44,MATCH(K31+B31+B32,Courbe_de_tarage!$I$4:$I$44,1)):INDEX(Courbe_de_tarage!$I$4:$I$44,MATCH(K31+B31+B32,Courbe_de_tarage!$I$4:$I$44,1)+1)),IFERROR(INDEX(Courbe_de_tarage!$C$4:$C$44,MATCH(K31+B31+B32,Courbe_de_tarage!$I$4:$I$44,1)),INDEX(Courbe_de_tarage!$C$4:$C$44,1))))</f>
        <v/>
      </c>
      <c r="D32" s="19">
        <f>IF(A32="","",IFERROR(FORECAST(K31+B31+B32,INDEX(Courbe_de_tarage!$D$4:$D$44,MATCH(K31+B31+B32,Courbe_de_tarage!$I$4:$I$44,1)):INDEX(Courbe_de_tarage!$D$4:$D$44,MATCH(K31+B31+B32,Courbe_de_tarage!$I$4:$I$44,1)+1),INDEX(Courbe_de_tarage!$I$4:$I$44,MATCH(K31+B31+B32,Courbe_de_tarage!$I$4:$I$44,1)):INDEX(Courbe_de_tarage!$I$4:$I$44,MATCH(K31+B31+B32,Courbe_de_tarage!$I$4:$I$44,1)+1)),IFERROR(INDEX(Courbe_de_tarage!$D$4:$D$44,MATCH(K31+B31+B32,Courbe_de_tarage!$I$4:$I$44,1)),INDEX(Courbe_de_tarage!$D$4:$D$44,1))))</f>
        <v/>
      </c>
      <c r="E32" s="19">
        <f>IF(A32="","",IFERROR(FORECAST(K31+B31+B32,INDEX(Courbe_de_tarage!$E$4:$E$44,MATCH(K31+B31+B32,Courbe_de_tarage!$I$4:$I$44,1)):INDEX(Courbe_de_tarage!$E$4:$E$44,MATCH(K31+B31+B32,Courbe_de_tarage!$I$4:$I$44,1)+1),INDEX(Courbe_de_tarage!$I$4:$I$44,MATCH(K31+B31+B32,Courbe_de_tarage!$I$4:$I$44,1)):INDEX(Courbe_de_tarage!$I$4:$I$44,MATCH(K31+B31+B32,Courbe_de_tarage!$I$4:$I$44,1)+1)),IFERROR(INDEX(Courbe_de_tarage!$E$4:$E$44,MATCH(K31+B31+B32,Courbe_de_tarage!$I$4:$I$44,1)),INDEX(Courbe_de_tarage!$E$4:$E$44,1))))</f>
        <v/>
      </c>
      <c r="F32" s="19">
        <f>IF(A32="","",IFERROR(FORECAST(K31+B31+B32,INDEX(Courbe_de_tarage!$A$4:$A$44,MATCH(K31+B31+B32,Courbe_de_tarage!$I$4:$I$44,1)):INDEX(Courbe_de_tarage!$A$4:$A$44,MATCH(K31+B31+B32,Courbe_de_tarage!$I$4:$I$44,1)+1),INDEX(Courbe_de_tarage!$I$4:$I$44,MATCH(K31+B31+B32,Courbe_de_tarage!$I$4:$I$44,1)):INDEX(Courbe_de_tarage!$I$4:$I$44,MATCH(K31+B31+B32,Courbe_de_tarage!$I$4:$I$44,1)+1)),IFERROR(INDEX(Courbe_de_tarage!$A$4:$A$44,MATCH(K31+B31+B32,Courbe_de_tarage!$I$4:$I$44,1)),INDEX(Courbe_de_tarage!$A$4:$A$44,1))))</f>
        <v/>
      </c>
      <c r="G32" s="19">
        <f>IF(A32="","",35.36+F32)</f>
        <v/>
      </c>
      <c r="H32" s="19">
        <f>IF(A32="","",IFERROR(FORECAST(K31+B31+B32,INDEX(Courbe_de_tarage!$H$4:$H$44,MATCH(K31+B31+B32,Courbe_de_tarage!$I$4:$I$44,1)):INDEX(Courbe_de_tarage!$H$4:$H$44,MATCH(K31+B31+B32,Courbe_de_tarage!$I$4:$I$44,1)+1),INDEX(Courbe_de_tarage!$I$4:$I$44,MATCH(K31+B31+B32,Courbe_de_tarage!$I$4:$I$44,1)):INDEX(Courbe_de_tarage!$I$4:$I$44,MATCH(K31+B31+B32,Courbe_de_tarage!$I$4:$I$44,1)+1)),IFERROR(INDEX(Courbe_de_tarage!$H$4:$H$44,MATCH(K31+B31+B32,Courbe_de_tarage!$I$4:$I$44,1)),INDEX(Courbe_de_tarage!$H$4:$H$44,1))))</f>
        <v/>
      </c>
      <c r="I32" s="4">
        <f>IF(G32="","",IF(G32&gt;37.4,"OUI",""))</f>
        <v/>
      </c>
      <c r="J32" s="19">
        <f>IF(A32="","",K31+B31+B32)</f>
        <v/>
      </c>
      <c r="K32" s="19">
        <f>IF(A32="","",2*H32/(Hydrogramme_entree!$B$8*60)-E32)</f>
        <v/>
      </c>
    </row>
    <row r="33">
      <c r="A33" s="4">
        <f>Hydrogramme_entree!A39</f>
        <v/>
      </c>
      <c r="B33" s="19">
        <f>Hydrogramme_entree!B39</f>
        <v/>
      </c>
      <c r="C33" s="19">
        <f>IF(A33="","",IFERROR(FORECAST(K32+B32+B33,INDEX(Courbe_de_tarage!$C$4:$C$44,MATCH(K32+B32+B33,Courbe_de_tarage!$I$4:$I$44,1)):INDEX(Courbe_de_tarage!$C$4:$C$44,MATCH(K32+B32+B33,Courbe_de_tarage!$I$4:$I$44,1)+1),INDEX(Courbe_de_tarage!$I$4:$I$44,MATCH(K32+B32+B33,Courbe_de_tarage!$I$4:$I$44,1)):INDEX(Courbe_de_tarage!$I$4:$I$44,MATCH(K32+B32+B33,Courbe_de_tarage!$I$4:$I$44,1)+1)),IFERROR(INDEX(Courbe_de_tarage!$C$4:$C$44,MATCH(K32+B32+B33,Courbe_de_tarage!$I$4:$I$44,1)),INDEX(Courbe_de_tarage!$C$4:$C$44,1))))</f>
        <v/>
      </c>
      <c r="D33" s="19">
        <f>IF(A33="","",IFERROR(FORECAST(K32+B32+B33,INDEX(Courbe_de_tarage!$D$4:$D$44,MATCH(K32+B32+B33,Courbe_de_tarage!$I$4:$I$44,1)):INDEX(Courbe_de_tarage!$D$4:$D$44,MATCH(K32+B32+B33,Courbe_de_tarage!$I$4:$I$44,1)+1),INDEX(Courbe_de_tarage!$I$4:$I$44,MATCH(K32+B32+B33,Courbe_de_tarage!$I$4:$I$44,1)):INDEX(Courbe_de_tarage!$I$4:$I$44,MATCH(K32+B32+B33,Courbe_de_tarage!$I$4:$I$44,1)+1)),IFERROR(INDEX(Courbe_de_tarage!$D$4:$D$44,MATCH(K32+B32+B33,Courbe_de_tarage!$I$4:$I$44,1)),INDEX(Courbe_de_tarage!$D$4:$D$44,1))))</f>
        <v/>
      </c>
      <c r="E33" s="19">
        <f>IF(A33="","",IFERROR(FORECAST(K32+B32+B33,INDEX(Courbe_de_tarage!$E$4:$E$44,MATCH(K32+B32+B33,Courbe_de_tarage!$I$4:$I$44,1)):INDEX(Courbe_de_tarage!$E$4:$E$44,MATCH(K32+B32+B33,Courbe_de_tarage!$I$4:$I$44,1)+1),INDEX(Courbe_de_tarage!$I$4:$I$44,MATCH(K32+B32+B33,Courbe_de_tarage!$I$4:$I$44,1)):INDEX(Courbe_de_tarage!$I$4:$I$44,MATCH(K32+B32+B33,Courbe_de_tarage!$I$4:$I$44,1)+1)),IFERROR(INDEX(Courbe_de_tarage!$E$4:$E$44,MATCH(K32+B32+B33,Courbe_de_tarage!$I$4:$I$44,1)),INDEX(Courbe_de_tarage!$E$4:$E$44,1))))</f>
        <v/>
      </c>
      <c r="F33" s="19">
        <f>IF(A33="","",IFERROR(FORECAST(K32+B32+B33,INDEX(Courbe_de_tarage!$A$4:$A$44,MATCH(K32+B32+B33,Courbe_de_tarage!$I$4:$I$44,1)):INDEX(Courbe_de_tarage!$A$4:$A$44,MATCH(K32+B32+B33,Courbe_de_tarage!$I$4:$I$44,1)+1),INDEX(Courbe_de_tarage!$I$4:$I$44,MATCH(K32+B32+B33,Courbe_de_tarage!$I$4:$I$44,1)):INDEX(Courbe_de_tarage!$I$4:$I$44,MATCH(K32+B32+B33,Courbe_de_tarage!$I$4:$I$44,1)+1)),IFERROR(INDEX(Courbe_de_tarage!$A$4:$A$44,MATCH(K32+B32+B33,Courbe_de_tarage!$I$4:$I$44,1)),INDEX(Courbe_de_tarage!$A$4:$A$44,1))))</f>
        <v/>
      </c>
      <c r="G33" s="19">
        <f>IF(A33="","",35.36+F33)</f>
        <v/>
      </c>
      <c r="H33" s="19">
        <f>IF(A33="","",IFERROR(FORECAST(K32+B32+B33,INDEX(Courbe_de_tarage!$H$4:$H$44,MATCH(K32+B32+B33,Courbe_de_tarage!$I$4:$I$44,1)):INDEX(Courbe_de_tarage!$H$4:$H$44,MATCH(K32+B32+B33,Courbe_de_tarage!$I$4:$I$44,1)+1),INDEX(Courbe_de_tarage!$I$4:$I$44,MATCH(K32+B32+B33,Courbe_de_tarage!$I$4:$I$44,1)):INDEX(Courbe_de_tarage!$I$4:$I$44,MATCH(K32+B32+B33,Courbe_de_tarage!$I$4:$I$44,1)+1)),IFERROR(INDEX(Courbe_de_tarage!$H$4:$H$44,MATCH(K32+B32+B33,Courbe_de_tarage!$I$4:$I$44,1)),INDEX(Courbe_de_tarage!$H$4:$H$44,1))))</f>
        <v/>
      </c>
      <c r="I33" s="4">
        <f>IF(G33="","",IF(G33&gt;37.4,"OUI",""))</f>
        <v/>
      </c>
      <c r="J33" s="19">
        <f>IF(A33="","",K32+B32+B33)</f>
        <v/>
      </c>
      <c r="K33" s="19">
        <f>IF(A33="","",2*H33/(Hydrogramme_entree!$B$8*60)-E33)</f>
        <v/>
      </c>
    </row>
    <row r="34">
      <c r="A34" s="4">
        <f>Hydrogramme_entree!A40</f>
        <v/>
      </c>
      <c r="B34" s="19">
        <f>Hydrogramme_entree!B40</f>
        <v/>
      </c>
      <c r="C34" s="19">
        <f>IF(A34="","",IFERROR(FORECAST(K33+B33+B34,INDEX(Courbe_de_tarage!$C$4:$C$44,MATCH(K33+B33+B34,Courbe_de_tarage!$I$4:$I$44,1)):INDEX(Courbe_de_tarage!$C$4:$C$44,MATCH(K33+B33+B34,Courbe_de_tarage!$I$4:$I$44,1)+1),INDEX(Courbe_de_tarage!$I$4:$I$44,MATCH(K33+B33+B34,Courbe_de_tarage!$I$4:$I$44,1)):INDEX(Courbe_de_tarage!$I$4:$I$44,MATCH(K33+B33+B34,Courbe_de_tarage!$I$4:$I$44,1)+1)),IFERROR(INDEX(Courbe_de_tarage!$C$4:$C$44,MATCH(K33+B33+B34,Courbe_de_tarage!$I$4:$I$44,1)),INDEX(Courbe_de_tarage!$C$4:$C$44,1))))</f>
        <v/>
      </c>
      <c r="D34" s="19">
        <f>IF(A34="","",IFERROR(FORECAST(K33+B33+B34,INDEX(Courbe_de_tarage!$D$4:$D$44,MATCH(K33+B33+B34,Courbe_de_tarage!$I$4:$I$44,1)):INDEX(Courbe_de_tarage!$D$4:$D$44,MATCH(K33+B33+B34,Courbe_de_tarage!$I$4:$I$44,1)+1),INDEX(Courbe_de_tarage!$I$4:$I$44,MATCH(K33+B33+B34,Courbe_de_tarage!$I$4:$I$44,1)):INDEX(Courbe_de_tarage!$I$4:$I$44,MATCH(K33+B33+B34,Courbe_de_tarage!$I$4:$I$44,1)+1)),IFERROR(INDEX(Courbe_de_tarage!$D$4:$D$44,MATCH(K33+B33+B34,Courbe_de_tarage!$I$4:$I$44,1)),INDEX(Courbe_de_tarage!$D$4:$D$44,1))))</f>
        <v/>
      </c>
      <c r="E34" s="19">
        <f>IF(A34="","",IFERROR(FORECAST(K33+B33+B34,INDEX(Courbe_de_tarage!$E$4:$E$44,MATCH(K33+B33+B34,Courbe_de_tarage!$I$4:$I$44,1)):INDEX(Courbe_de_tarage!$E$4:$E$44,MATCH(K33+B33+B34,Courbe_de_tarage!$I$4:$I$44,1)+1),INDEX(Courbe_de_tarage!$I$4:$I$44,MATCH(K33+B33+B34,Courbe_de_tarage!$I$4:$I$44,1)):INDEX(Courbe_de_tarage!$I$4:$I$44,MATCH(K33+B33+B34,Courbe_de_tarage!$I$4:$I$44,1)+1)),IFERROR(INDEX(Courbe_de_tarage!$E$4:$E$44,MATCH(K33+B33+B34,Courbe_de_tarage!$I$4:$I$44,1)),INDEX(Courbe_de_tarage!$E$4:$E$44,1))))</f>
        <v/>
      </c>
      <c r="F34" s="19">
        <f>IF(A34="","",IFERROR(FORECAST(K33+B33+B34,INDEX(Courbe_de_tarage!$A$4:$A$44,MATCH(K33+B33+B34,Courbe_de_tarage!$I$4:$I$44,1)):INDEX(Courbe_de_tarage!$A$4:$A$44,MATCH(K33+B33+B34,Courbe_de_tarage!$I$4:$I$44,1)+1),INDEX(Courbe_de_tarage!$I$4:$I$44,MATCH(K33+B33+B34,Courbe_de_tarage!$I$4:$I$44,1)):INDEX(Courbe_de_tarage!$I$4:$I$44,MATCH(K33+B33+B34,Courbe_de_tarage!$I$4:$I$44,1)+1)),IFERROR(INDEX(Courbe_de_tarage!$A$4:$A$44,MATCH(K33+B33+B34,Courbe_de_tarage!$I$4:$I$44,1)),INDEX(Courbe_de_tarage!$A$4:$A$44,1))))</f>
        <v/>
      </c>
      <c r="G34" s="19">
        <f>IF(A34="","",35.36+F34)</f>
        <v/>
      </c>
      <c r="H34" s="19">
        <f>IF(A34="","",IFERROR(FORECAST(K33+B33+B34,INDEX(Courbe_de_tarage!$H$4:$H$44,MATCH(K33+B33+B34,Courbe_de_tarage!$I$4:$I$44,1)):INDEX(Courbe_de_tarage!$H$4:$H$44,MATCH(K33+B33+B34,Courbe_de_tarage!$I$4:$I$44,1)+1),INDEX(Courbe_de_tarage!$I$4:$I$44,MATCH(K33+B33+B34,Courbe_de_tarage!$I$4:$I$44,1)):INDEX(Courbe_de_tarage!$I$4:$I$44,MATCH(K33+B33+B34,Courbe_de_tarage!$I$4:$I$44,1)+1)),IFERROR(INDEX(Courbe_de_tarage!$H$4:$H$44,MATCH(K33+B33+B34,Courbe_de_tarage!$I$4:$I$44,1)),INDEX(Courbe_de_tarage!$H$4:$H$44,1))))</f>
        <v/>
      </c>
      <c r="I34" s="4">
        <f>IF(G34="","",IF(G34&gt;37.4,"OUI",""))</f>
        <v/>
      </c>
      <c r="J34" s="19">
        <f>IF(A34="","",K33+B33+B34)</f>
        <v/>
      </c>
      <c r="K34" s="19">
        <f>IF(A34="","",2*H34/(Hydrogramme_entree!$B$8*60)-E34)</f>
        <v/>
      </c>
    </row>
    <row r="35">
      <c r="A35" s="4">
        <f>Hydrogramme_entree!A41</f>
        <v/>
      </c>
      <c r="B35" s="19">
        <f>Hydrogramme_entree!B41</f>
        <v/>
      </c>
      <c r="C35" s="19">
        <f>IF(A35="","",IFERROR(FORECAST(K34+B34+B35,INDEX(Courbe_de_tarage!$C$4:$C$44,MATCH(K34+B34+B35,Courbe_de_tarage!$I$4:$I$44,1)):INDEX(Courbe_de_tarage!$C$4:$C$44,MATCH(K34+B34+B35,Courbe_de_tarage!$I$4:$I$44,1)+1),INDEX(Courbe_de_tarage!$I$4:$I$44,MATCH(K34+B34+B35,Courbe_de_tarage!$I$4:$I$44,1)):INDEX(Courbe_de_tarage!$I$4:$I$44,MATCH(K34+B34+B35,Courbe_de_tarage!$I$4:$I$44,1)+1)),IFERROR(INDEX(Courbe_de_tarage!$C$4:$C$44,MATCH(K34+B34+B35,Courbe_de_tarage!$I$4:$I$44,1)),INDEX(Courbe_de_tarage!$C$4:$C$44,1))))</f>
        <v/>
      </c>
      <c r="D35" s="19">
        <f>IF(A35="","",IFERROR(FORECAST(K34+B34+B35,INDEX(Courbe_de_tarage!$D$4:$D$44,MATCH(K34+B34+B35,Courbe_de_tarage!$I$4:$I$44,1)):INDEX(Courbe_de_tarage!$D$4:$D$44,MATCH(K34+B34+B35,Courbe_de_tarage!$I$4:$I$44,1)+1),INDEX(Courbe_de_tarage!$I$4:$I$44,MATCH(K34+B34+B35,Courbe_de_tarage!$I$4:$I$44,1)):INDEX(Courbe_de_tarage!$I$4:$I$44,MATCH(K34+B34+B35,Courbe_de_tarage!$I$4:$I$44,1)+1)),IFERROR(INDEX(Courbe_de_tarage!$D$4:$D$44,MATCH(K34+B34+B35,Courbe_de_tarage!$I$4:$I$44,1)),INDEX(Courbe_de_tarage!$D$4:$D$44,1))))</f>
        <v/>
      </c>
      <c r="E35" s="19">
        <f>IF(A35="","",IFERROR(FORECAST(K34+B34+B35,INDEX(Courbe_de_tarage!$E$4:$E$44,MATCH(K34+B34+B35,Courbe_de_tarage!$I$4:$I$44,1)):INDEX(Courbe_de_tarage!$E$4:$E$44,MATCH(K34+B34+B35,Courbe_de_tarage!$I$4:$I$44,1)+1),INDEX(Courbe_de_tarage!$I$4:$I$44,MATCH(K34+B34+B35,Courbe_de_tarage!$I$4:$I$44,1)):INDEX(Courbe_de_tarage!$I$4:$I$44,MATCH(K34+B34+B35,Courbe_de_tarage!$I$4:$I$44,1)+1)),IFERROR(INDEX(Courbe_de_tarage!$E$4:$E$44,MATCH(K34+B34+B35,Courbe_de_tarage!$I$4:$I$44,1)),INDEX(Courbe_de_tarage!$E$4:$E$44,1))))</f>
        <v/>
      </c>
      <c r="F35" s="19">
        <f>IF(A35="","",IFERROR(FORECAST(K34+B34+B35,INDEX(Courbe_de_tarage!$A$4:$A$44,MATCH(K34+B34+B35,Courbe_de_tarage!$I$4:$I$44,1)):INDEX(Courbe_de_tarage!$A$4:$A$44,MATCH(K34+B34+B35,Courbe_de_tarage!$I$4:$I$44,1)+1),INDEX(Courbe_de_tarage!$I$4:$I$44,MATCH(K34+B34+B35,Courbe_de_tarage!$I$4:$I$44,1)):INDEX(Courbe_de_tarage!$I$4:$I$44,MATCH(K34+B34+B35,Courbe_de_tarage!$I$4:$I$44,1)+1)),IFERROR(INDEX(Courbe_de_tarage!$A$4:$A$44,MATCH(K34+B34+B35,Courbe_de_tarage!$I$4:$I$44,1)),INDEX(Courbe_de_tarage!$A$4:$A$44,1))))</f>
        <v/>
      </c>
      <c r="G35" s="19">
        <f>IF(A35="","",35.36+F35)</f>
        <v/>
      </c>
      <c r="H35" s="19">
        <f>IF(A35="","",IFERROR(FORECAST(K34+B34+B35,INDEX(Courbe_de_tarage!$H$4:$H$44,MATCH(K34+B34+B35,Courbe_de_tarage!$I$4:$I$44,1)):INDEX(Courbe_de_tarage!$H$4:$H$44,MATCH(K34+B34+B35,Courbe_de_tarage!$I$4:$I$44,1)+1),INDEX(Courbe_de_tarage!$I$4:$I$44,MATCH(K34+B34+B35,Courbe_de_tarage!$I$4:$I$44,1)):INDEX(Courbe_de_tarage!$I$4:$I$44,MATCH(K34+B34+B35,Courbe_de_tarage!$I$4:$I$44,1)+1)),IFERROR(INDEX(Courbe_de_tarage!$H$4:$H$44,MATCH(K34+B34+B35,Courbe_de_tarage!$I$4:$I$44,1)),INDEX(Courbe_de_tarage!$H$4:$H$44,1))))</f>
        <v/>
      </c>
      <c r="I35" s="4">
        <f>IF(G35="","",IF(G35&gt;37.4,"OUI",""))</f>
        <v/>
      </c>
      <c r="J35" s="19">
        <f>IF(A35="","",K34+B34+B35)</f>
        <v/>
      </c>
      <c r="K35" s="19">
        <f>IF(A35="","",2*H35/(Hydrogramme_entree!$B$8*60)-E35)</f>
        <v/>
      </c>
    </row>
    <row r="36">
      <c r="A36" s="4">
        <f>Hydrogramme_entree!A42</f>
        <v/>
      </c>
      <c r="B36" s="19">
        <f>Hydrogramme_entree!B42</f>
        <v/>
      </c>
      <c r="C36" s="19">
        <f>IF(A36="","",IFERROR(FORECAST(K35+B35+B36,INDEX(Courbe_de_tarage!$C$4:$C$44,MATCH(K35+B35+B36,Courbe_de_tarage!$I$4:$I$44,1)):INDEX(Courbe_de_tarage!$C$4:$C$44,MATCH(K35+B35+B36,Courbe_de_tarage!$I$4:$I$44,1)+1),INDEX(Courbe_de_tarage!$I$4:$I$44,MATCH(K35+B35+B36,Courbe_de_tarage!$I$4:$I$44,1)):INDEX(Courbe_de_tarage!$I$4:$I$44,MATCH(K35+B35+B36,Courbe_de_tarage!$I$4:$I$44,1)+1)),IFERROR(INDEX(Courbe_de_tarage!$C$4:$C$44,MATCH(K35+B35+B36,Courbe_de_tarage!$I$4:$I$44,1)),INDEX(Courbe_de_tarage!$C$4:$C$44,1))))</f>
        <v/>
      </c>
      <c r="D36" s="19">
        <f>IF(A36="","",IFERROR(FORECAST(K35+B35+B36,INDEX(Courbe_de_tarage!$D$4:$D$44,MATCH(K35+B35+B36,Courbe_de_tarage!$I$4:$I$44,1)):INDEX(Courbe_de_tarage!$D$4:$D$44,MATCH(K35+B35+B36,Courbe_de_tarage!$I$4:$I$44,1)+1),INDEX(Courbe_de_tarage!$I$4:$I$44,MATCH(K35+B35+B36,Courbe_de_tarage!$I$4:$I$44,1)):INDEX(Courbe_de_tarage!$I$4:$I$44,MATCH(K35+B35+B36,Courbe_de_tarage!$I$4:$I$44,1)+1)),IFERROR(INDEX(Courbe_de_tarage!$D$4:$D$44,MATCH(K35+B35+B36,Courbe_de_tarage!$I$4:$I$44,1)),INDEX(Courbe_de_tarage!$D$4:$D$44,1))))</f>
        <v/>
      </c>
      <c r="E36" s="19">
        <f>IF(A36="","",IFERROR(FORECAST(K35+B35+B36,INDEX(Courbe_de_tarage!$E$4:$E$44,MATCH(K35+B35+B36,Courbe_de_tarage!$I$4:$I$44,1)):INDEX(Courbe_de_tarage!$E$4:$E$44,MATCH(K35+B35+B36,Courbe_de_tarage!$I$4:$I$44,1)+1),INDEX(Courbe_de_tarage!$I$4:$I$44,MATCH(K35+B35+B36,Courbe_de_tarage!$I$4:$I$44,1)):INDEX(Courbe_de_tarage!$I$4:$I$44,MATCH(K35+B35+B36,Courbe_de_tarage!$I$4:$I$44,1)+1)),IFERROR(INDEX(Courbe_de_tarage!$E$4:$E$44,MATCH(K35+B35+B36,Courbe_de_tarage!$I$4:$I$44,1)),INDEX(Courbe_de_tarage!$E$4:$E$44,1))))</f>
        <v/>
      </c>
      <c r="F36" s="19">
        <f>IF(A36="","",IFERROR(FORECAST(K35+B35+B36,INDEX(Courbe_de_tarage!$A$4:$A$44,MATCH(K35+B35+B36,Courbe_de_tarage!$I$4:$I$44,1)):INDEX(Courbe_de_tarage!$A$4:$A$44,MATCH(K35+B35+B36,Courbe_de_tarage!$I$4:$I$44,1)+1),INDEX(Courbe_de_tarage!$I$4:$I$44,MATCH(K35+B35+B36,Courbe_de_tarage!$I$4:$I$44,1)):INDEX(Courbe_de_tarage!$I$4:$I$44,MATCH(K35+B35+B36,Courbe_de_tarage!$I$4:$I$44,1)+1)),IFERROR(INDEX(Courbe_de_tarage!$A$4:$A$44,MATCH(K35+B35+B36,Courbe_de_tarage!$I$4:$I$44,1)),INDEX(Courbe_de_tarage!$A$4:$A$44,1))))</f>
        <v/>
      </c>
      <c r="G36" s="19">
        <f>IF(A36="","",35.36+F36)</f>
        <v/>
      </c>
      <c r="H36" s="19">
        <f>IF(A36="","",IFERROR(FORECAST(K35+B35+B36,INDEX(Courbe_de_tarage!$H$4:$H$44,MATCH(K35+B35+B36,Courbe_de_tarage!$I$4:$I$44,1)):INDEX(Courbe_de_tarage!$H$4:$H$44,MATCH(K35+B35+B36,Courbe_de_tarage!$I$4:$I$44,1)+1),INDEX(Courbe_de_tarage!$I$4:$I$44,MATCH(K35+B35+B36,Courbe_de_tarage!$I$4:$I$44,1)):INDEX(Courbe_de_tarage!$I$4:$I$44,MATCH(K35+B35+B36,Courbe_de_tarage!$I$4:$I$44,1)+1)),IFERROR(INDEX(Courbe_de_tarage!$H$4:$H$44,MATCH(K35+B35+B36,Courbe_de_tarage!$I$4:$I$44,1)),INDEX(Courbe_de_tarage!$H$4:$H$44,1))))</f>
        <v/>
      </c>
      <c r="I36" s="4">
        <f>IF(G36="","",IF(G36&gt;37.4,"OUI",""))</f>
        <v/>
      </c>
      <c r="J36" s="19">
        <f>IF(A36="","",K35+B35+B36)</f>
        <v/>
      </c>
      <c r="K36" s="19">
        <f>IF(A36="","",2*H36/(Hydrogramme_entree!$B$8*60)-E36)</f>
        <v/>
      </c>
    </row>
    <row r="37">
      <c r="A37" s="4">
        <f>Hydrogramme_entree!A43</f>
        <v/>
      </c>
      <c r="B37" s="19">
        <f>Hydrogramme_entree!B43</f>
        <v/>
      </c>
      <c r="C37" s="19">
        <f>IF(A37="","",IFERROR(FORECAST(K36+B36+B37,INDEX(Courbe_de_tarage!$C$4:$C$44,MATCH(K36+B36+B37,Courbe_de_tarage!$I$4:$I$44,1)):INDEX(Courbe_de_tarage!$C$4:$C$44,MATCH(K36+B36+B37,Courbe_de_tarage!$I$4:$I$44,1)+1),INDEX(Courbe_de_tarage!$I$4:$I$44,MATCH(K36+B36+B37,Courbe_de_tarage!$I$4:$I$44,1)):INDEX(Courbe_de_tarage!$I$4:$I$44,MATCH(K36+B36+B37,Courbe_de_tarage!$I$4:$I$44,1)+1)),IFERROR(INDEX(Courbe_de_tarage!$C$4:$C$44,MATCH(K36+B36+B37,Courbe_de_tarage!$I$4:$I$44,1)),INDEX(Courbe_de_tarage!$C$4:$C$44,1))))</f>
        <v/>
      </c>
      <c r="D37" s="19">
        <f>IF(A37="","",IFERROR(FORECAST(K36+B36+B37,INDEX(Courbe_de_tarage!$D$4:$D$44,MATCH(K36+B36+B37,Courbe_de_tarage!$I$4:$I$44,1)):INDEX(Courbe_de_tarage!$D$4:$D$44,MATCH(K36+B36+B37,Courbe_de_tarage!$I$4:$I$44,1)+1),INDEX(Courbe_de_tarage!$I$4:$I$44,MATCH(K36+B36+B37,Courbe_de_tarage!$I$4:$I$44,1)):INDEX(Courbe_de_tarage!$I$4:$I$44,MATCH(K36+B36+B37,Courbe_de_tarage!$I$4:$I$44,1)+1)),IFERROR(INDEX(Courbe_de_tarage!$D$4:$D$44,MATCH(K36+B36+B37,Courbe_de_tarage!$I$4:$I$44,1)),INDEX(Courbe_de_tarage!$D$4:$D$44,1))))</f>
        <v/>
      </c>
      <c r="E37" s="19">
        <f>IF(A37="","",IFERROR(FORECAST(K36+B36+B37,INDEX(Courbe_de_tarage!$E$4:$E$44,MATCH(K36+B36+B37,Courbe_de_tarage!$I$4:$I$44,1)):INDEX(Courbe_de_tarage!$E$4:$E$44,MATCH(K36+B36+B37,Courbe_de_tarage!$I$4:$I$44,1)+1),INDEX(Courbe_de_tarage!$I$4:$I$44,MATCH(K36+B36+B37,Courbe_de_tarage!$I$4:$I$44,1)):INDEX(Courbe_de_tarage!$I$4:$I$44,MATCH(K36+B36+B37,Courbe_de_tarage!$I$4:$I$44,1)+1)),IFERROR(INDEX(Courbe_de_tarage!$E$4:$E$44,MATCH(K36+B36+B37,Courbe_de_tarage!$I$4:$I$44,1)),INDEX(Courbe_de_tarage!$E$4:$E$44,1))))</f>
        <v/>
      </c>
      <c r="F37" s="19">
        <f>IF(A37="","",IFERROR(FORECAST(K36+B36+B37,INDEX(Courbe_de_tarage!$A$4:$A$44,MATCH(K36+B36+B37,Courbe_de_tarage!$I$4:$I$44,1)):INDEX(Courbe_de_tarage!$A$4:$A$44,MATCH(K36+B36+B37,Courbe_de_tarage!$I$4:$I$44,1)+1),INDEX(Courbe_de_tarage!$I$4:$I$44,MATCH(K36+B36+B37,Courbe_de_tarage!$I$4:$I$44,1)):INDEX(Courbe_de_tarage!$I$4:$I$44,MATCH(K36+B36+B37,Courbe_de_tarage!$I$4:$I$44,1)+1)),IFERROR(INDEX(Courbe_de_tarage!$A$4:$A$44,MATCH(K36+B36+B37,Courbe_de_tarage!$I$4:$I$44,1)),INDEX(Courbe_de_tarage!$A$4:$A$44,1))))</f>
        <v/>
      </c>
      <c r="G37" s="19">
        <f>IF(A37="","",35.36+F37)</f>
        <v/>
      </c>
      <c r="H37" s="19">
        <f>IF(A37="","",IFERROR(FORECAST(K36+B36+B37,INDEX(Courbe_de_tarage!$H$4:$H$44,MATCH(K36+B36+B37,Courbe_de_tarage!$I$4:$I$44,1)):INDEX(Courbe_de_tarage!$H$4:$H$44,MATCH(K36+B36+B37,Courbe_de_tarage!$I$4:$I$44,1)+1),INDEX(Courbe_de_tarage!$I$4:$I$44,MATCH(K36+B36+B37,Courbe_de_tarage!$I$4:$I$44,1)):INDEX(Courbe_de_tarage!$I$4:$I$44,MATCH(K36+B36+B37,Courbe_de_tarage!$I$4:$I$44,1)+1)),IFERROR(INDEX(Courbe_de_tarage!$H$4:$H$44,MATCH(K36+B36+B37,Courbe_de_tarage!$I$4:$I$44,1)),INDEX(Courbe_de_tarage!$H$4:$H$44,1))))</f>
        <v/>
      </c>
      <c r="I37" s="4">
        <f>IF(G37="","",IF(G37&gt;37.4,"OUI",""))</f>
        <v/>
      </c>
      <c r="J37" s="19">
        <f>IF(A37="","",K36+B36+B37)</f>
        <v/>
      </c>
      <c r="K37" s="19">
        <f>IF(A37="","",2*H37/(Hydrogramme_entree!$B$8*60)-E37)</f>
        <v/>
      </c>
    </row>
    <row r="38">
      <c r="A38" s="4">
        <f>Hydrogramme_entree!A44</f>
        <v/>
      </c>
      <c r="B38" s="19">
        <f>Hydrogramme_entree!B44</f>
        <v/>
      </c>
      <c r="C38" s="19">
        <f>IF(A38="","",IFERROR(FORECAST(K37+B37+B38,INDEX(Courbe_de_tarage!$C$4:$C$44,MATCH(K37+B37+B38,Courbe_de_tarage!$I$4:$I$44,1)):INDEX(Courbe_de_tarage!$C$4:$C$44,MATCH(K37+B37+B38,Courbe_de_tarage!$I$4:$I$44,1)+1),INDEX(Courbe_de_tarage!$I$4:$I$44,MATCH(K37+B37+B38,Courbe_de_tarage!$I$4:$I$44,1)):INDEX(Courbe_de_tarage!$I$4:$I$44,MATCH(K37+B37+B38,Courbe_de_tarage!$I$4:$I$44,1)+1)),IFERROR(INDEX(Courbe_de_tarage!$C$4:$C$44,MATCH(K37+B37+B38,Courbe_de_tarage!$I$4:$I$44,1)),INDEX(Courbe_de_tarage!$C$4:$C$44,1))))</f>
        <v/>
      </c>
      <c r="D38" s="19">
        <f>IF(A38="","",IFERROR(FORECAST(K37+B37+B38,INDEX(Courbe_de_tarage!$D$4:$D$44,MATCH(K37+B37+B38,Courbe_de_tarage!$I$4:$I$44,1)):INDEX(Courbe_de_tarage!$D$4:$D$44,MATCH(K37+B37+B38,Courbe_de_tarage!$I$4:$I$44,1)+1),INDEX(Courbe_de_tarage!$I$4:$I$44,MATCH(K37+B37+B38,Courbe_de_tarage!$I$4:$I$44,1)):INDEX(Courbe_de_tarage!$I$4:$I$44,MATCH(K37+B37+B38,Courbe_de_tarage!$I$4:$I$44,1)+1)),IFERROR(INDEX(Courbe_de_tarage!$D$4:$D$44,MATCH(K37+B37+B38,Courbe_de_tarage!$I$4:$I$44,1)),INDEX(Courbe_de_tarage!$D$4:$D$44,1))))</f>
        <v/>
      </c>
      <c r="E38" s="19">
        <f>IF(A38="","",IFERROR(FORECAST(K37+B37+B38,INDEX(Courbe_de_tarage!$E$4:$E$44,MATCH(K37+B37+B38,Courbe_de_tarage!$I$4:$I$44,1)):INDEX(Courbe_de_tarage!$E$4:$E$44,MATCH(K37+B37+B38,Courbe_de_tarage!$I$4:$I$44,1)+1),INDEX(Courbe_de_tarage!$I$4:$I$44,MATCH(K37+B37+B38,Courbe_de_tarage!$I$4:$I$44,1)):INDEX(Courbe_de_tarage!$I$4:$I$44,MATCH(K37+B37+B38,Courbe_de_tarage!$I$4:$I$44,1)+1)),IFERROR(INDEX(Courbe_de_tarage!$E$4:$E$44,MATCH(K37+B37+B38,Courbe_de_tarage!$I$4:$I$44,1)),INDEX(Courbe_de_tarage!$E$4:$E$44,1))))</f>
        <v/>
      </c>
      <c r="F38" s="19">
        <f>IF(A38="","",IFERROR(FORECAST(K37+B37+B38,INDEX(Courbe_de_tarage!$A$4:$A$44,MATCH(K37+B37+B38,Courbe_de_tarage!$I$4:$I$44,1)):INDEX(Courbe_de_tarage!$A$4:$A$44,MATCH(K37+B37+B38,Courbe_de_tarage!$I$4:$I$44,1)+1),INDEX(Courbe_de_tarage!$I$4:$I$44,MATCH(K37+B37+B38,Courbe_de_tarage!$I$4:$I$44,1)):INDEX(Courbe_de_tarage!$I$4:$I$44,MATCH(K37+B37+B38,Courbe_de_tarage!$I$4:$I$44,1)+1)),IFERROR(INDEX(Courbe_de_tarage!$A$4:$A$44,MATCH(K37+B37+B38,Courbe_de_tarage!$I$4:$I$44,1)),INDEX(Courbe_de_tarage!$A$4:$A$44,1))))</f>
        <v/>
      </c>
      <c r="G38" s="19">
        <f>IF(A38="","",35.36+F38)</f>
        <v/>
      </c>
      <c r="H38" s="19">
        <f>IF(A38="","",IFERROR(FORECAST(K37+B37+B38,INDEX(Courbe_de_tarage!$H$4:$H$44,MATCH(K37+B37+B38,Courbe_de_tarage!$I$4:$I$44,1)):INDEX(Courbe_de_tarage!$H$4:$H$44,MATCH(K37+B37+B38,Courbe_de_tarage!$I$4:$I$44,1)+1),INDEX(Courbe_de_tarage!$I$4:$I$44,MATCH(K37+B37+B38,Courbe_de_tarage!$I$4:$I$44,1)):INDEX(Courbe_de_tarage!$I$4:$I$44,MATCH(K37+B37+B38,Courbe_de_tarage!$I$4:$I$44,1)+1)),IFERROR(INDEX(Courbe_de_tarage!$H$4:$H$44,MATCH(K37+B37+B38,Courbe_de_tarage!$I$4:$I$44,1)),INDEX(Courbe_de_tarage!$H$4:$H$44,1))))</f>
        <v/>
      </c>
      <c r="I38" s="4">
        <f>IF(G38="","",IF(G38&gt;37.4,"OUI",""))</f>
        <v/>
      </c>
      <c r="J38" s="19">
        <f>IF(A38="","",K37+B37+B38)</f>
        <v/>
      </c>
      <c r="K38" s="19">
        <f>IF(A38="","",2*H38/(Hydrogramme_entree!$B$8*60)-E38)</f>
        <v/>
      </c>
    </row>
    <row r="39">
      <c r="A39" s="4">
        <f>Hydrogramme_entree!A45</f>
        <v/>
      </c>
      <c r="B39" s="19">
        <f>Hydrogramme_entree!B45</f>
        <v/>
      </c>
      <c r="C39" s="19">
        <f>IF(A39="","",IFERROR(FORECAST(K38+B38+B39,INDEX(Courbe_de_tarage!$C$4:$C$44,MATCH(K38+B38+B39,Courbe_de_tarage!$I$4:$I$44,1)):INDEX(Courbe_de_tarage!$C$4:$C$44,MATCH(K38+B38+B39,Courbe_de_tarage!$I$4:$I$44,1)+1),INDEX(Courbe_de_tarage!$I$4:$I$44,MATCH(K38+B38+B39,Courbe_de_tarage!$I$4:$I$44,1)):INDEX(Courbe_de_tarage!$I$4:$I$44,MATCH(K38+B38+B39,Courbe_de_tarage!$I$4:$I$44,1)+1)),IFERROR(INDEX(Courbe_de_tarage!$C$4:$C$44,MATCH(K38+B38+B39,Courbe_de_tarage!$I$4:$I$44,1)),INDEX(Courbe_de_tarage!$C$4:$C$44,1))))</f>
        <v/>
      </c>
      <c r="D39" s="19">
        <f>IF(A39="","",IFERROR(FORECAST(K38+B38+B39,INDEX(Courbe_de_tarage!$D$4:$D$44,MATCH(K38+B38+B39,Courbe_de_tarage!$I$4:$I$44,1)):INDEX(Courbe_de_tarage!$D$4:$D$44,MATCH(K38+B38+B39,Courbe_de_tarage!$I$4:$I$44,1)+1),INDEX(Courbe_de_tarage!$I$4:$I$44,MATCH(K38+B38+B39,Courbe_de_tarage!$I$4:$I$44,1)):INDEX(Courbe_de_tarage!$I$4:$I$44,MATCH(K38+B38+B39,Courbe_de_tarage!$I$4:$I$44,1)+1)),IFERROR(INDEX(Courbe_de_tarage!$D$4:$D$44,MATCH(K38+B38+B39,Courbe_de_tarage!$I$4:$I$44,1)),INDEX(Courbe_de_tarage!$D$4:$D$44,1))))</f>
        <v/>
      </c>
      <c r="E39" s="19">
        <f>IF(A39="","",IFERROR(FORECAST(K38+B38+B39,INDEX(Courbe_de_tarage!$E$4:$E$44,MATCH(K38+B38+B39,Courbe_de_tarage!$I$4:$I$44,1)):INDEX(Courbe_de_tarage!$E$4:$E$44,MATCH(K38+B38+B39,Courbe_de_tarage!$I$4:$I$44,1)+1),INDEX(Courbe_de_tarage!$I$4:$I$44,MATCH(K38+B38+B39,Courbe_de_tarage!$I$4:$I$44,1)):INDEX(Courbe_de_tarage!$I$4:$I$44,MATCH(K38+B38+B39,Courbe_de_tarage!$I$4:$I$44,1)+1)),IFERROR(INDEX(Courbe_de_tarage!$E$4:$E$44,MATCH(K38+B38+B39,Courbe_de_tarage!$I$4:$I$44,1)),INDEX(Courbe_de_tarage!$E$4:$E$44,1))))</f>
        <v/>
      </c>
      <c r="F39" s="19">
        <f>IF(A39="","",IFERROR(FORECAST(K38+B38+B39,INDEX(Courbe_de_tarage!$A$4:$A$44,MATCH(K38+B38+B39,Courbe_de_tarage!$I$4:$I$44,1)):INDEX(Courbe_de_tarage!$A$4:$A$44,MATCH(K38+B38+B39,Courbe_de_tarage!$I$4:$I$44,1)+1),INDEX(Courbe_de_tarage!$I$4:$I$44,MATCH(K38+B38+B39,Courbe_de_tarage!$I$4:$I$44,1)):INDEX(Courbe_de_tarage!$I$4:$I$44,MATCH(K38+B38+B39,Courbe_de_tarage!$I$4:$I$44,1)+1)),IFERROR(INDEX(Courbe_de_tarage!$A$4:$A$44,MATCH(K38+B38+B39,Courbe_de_tarage!$I$4:$I$44,1)),INDEX(Courbe_de_tarage!$A$4:$A$44,1))))</f>
        <v/>
      </c>
      <c r="G39" s="19">
        <f>IF(A39="","",35.36+F39)</f>
        <v/>
      </c>
      <c r="H39" s="19">
        <f>IF(A39="","",IFERROR(FORECAST(K38+B38+B39,INDEX(Courbe_de_tarage!$H$4:$H$44,MATCH(K38+B38+B39,Courbe_de_tarage!$I$4:$I$44,1)):INDEX(Courbe_de_tarage!$H$4:$H$44,MATCH(K38+B38+B39,Courbe_de_tarage!$I$4:$I$44,1)+1),INDEX(Courbe_de_tarage!$I$4:$I$44,MATCH(K38+B38+B39,Courbe_de_tarage!$I$4:$I$44,1)):INDEX(Courbe_de_tarage!$I$4:$I$44,MATCH(K38+B38+B39,Courbe_de_tarage!$I$4:$I$44,1)+1)),IFERROR(INDEX(Courbe_de_tarage!$H$4:$H$44,MATCH(K38+B38+B39,Courbe_de_tarage!$I$4:$I$44,1)),INDEX(Courbe_de_tarage!$H$4:$H$44,1))))</f>
        <v/>
      </c>
      <c r="I39" s="4">
        <f>IF(G39="","",IF(G39&gt;37.4,"OUI",""))</f>
        <v/>
      </c>
      <c r="J39" s="19">
        <f>IF(A39="","",K38+B38+B39)</f>
        <v/>
      </c>
      <c r="K39" s="19">
        <f>IF(A39="","",2*H39/(Hydrogramme_entree!$B$8*60)-E39)</f>
        <v/>
      </c>
    </row>
    <row r="40">
      <c r="A40" s="4">
        <f>Hydrogramme_entree!A46</f>
        <v/>
      </c>
      <c r="B40" s="19">
        <f>Hydrogramme_entree!B46</f>
        <v/>
      </c>
      <c r="C40" s="19">
        <f>IF(A40="","",IFERROR(FORECAST(K39+B39+B40,INDEX(Courbe_de_tarage!$C$4:$C$44,MATCH(K39+B39+B40,Courbe_de_tarage!$I$4:$I$44,1)):INDEX(Courbe_de_tarage!$C$4:$C$44,MATCH(K39+B39+B40,Courbe_de_tarage!$I$4:$I$44,1)+1),INDEX(Courbe_de_tarage!$I$4:$I$44,MATCH(K39+B39+B40,Courbe_de_tarage!$I$4:$I$44,1)):INDEX(Courbe_de_tarage!$I$4:$I$44,MATCH(K39+B39+B40,Courbe_de_tarage!$I$4:$I$44,1)+1)),IFERROR(INDEX(Courbe_de_tarage!$C$4:$C$44,MATCH(K39+B39+B40,Courbe_de_tarage!$I$4:$I$44,1)),INDEX(Courbe_de_tarage!$C$4:$C$44,1))))</f>
        <v/>
      </c>
      <c r="D40" s="19">
        <f>IF(A40="","",IFERROR(FORECAST(K39+B39+B40,INDEX(Courbe_de_tarage!$D$4:$D$44,MATCH(K39+B39+B40,Courbe_de_tarage!$I$4:$I$44,1)):INDEX(Courbe_de_tarage!$D$4:$D$44,MATCH(K39+B39+B40,Courbe_de_tarage!$I$4:$I$44,1)+1),INDEX(Courbe_de_tarage!$I$4:$I$44,MATCH(K39+B39+B40,Courbe_de_tarage!$I$4:$I$44,1)):INDEX(Courbe_de_tarage!$I$4:$I$44,MATCH(K39+B39+B40,Courbe_de_tarage!$I$4:$I$44,1)+1)),IFERROR(INDEX(Courbe_de_tarage!$D$4:$D$44,MATCH(K39+B39+B40,Courbe_de_tarage!$I$4:$I$44,1)),INDEX(Courbe_de_tarage!$D$4:$D$44,1))))</f>
        <v/>
      </c>
      <c r="E40" s="19">
        <f>IF(A40="","",IFERROR(FORECAST(K39+B39+B40,INDEX(Courbe_de_tarage!$E$4:$E$44,MATCH(K39+B39+B40,Courbe_de_tarage!$I$4:$I$44,1)):INDEX(Courbe_de_tarage!$E$4:$E$44,MATCH(K39+B39+B40,Courbe_de_tarage!$I$4:$I$44,1)+1),INDEX(Courbe_de_tarage!$I$4:$I$44,MATCH(K39+B39+B40,Courbe_de_tarage!$I$4:$I$44,1)):INDEX(Courbe_de_tarage!$I$4:$I$44,MATCH(K39+B39+B40,Courbe_de_tarage!$I$4:$I$44,1)+1)),IFERROR(INDEX(Courbe_de_tarage!$E$4:$E$44,MATCH(K39+B39+B40,Courbe_de_tarage!$I$4:$I$44,1)),INDEX(Courbe_de_tarage!$E$4:$E$44,1))))</f>
        <v/>
      </c>
      <c r="F40" s="19">
        <f>IF(A40="","",IFERROR(FORECAST(K39+B39+B40,INDEX(Courbe_de_tarage!$A$4:$A$44,MATCH(K39+B39+B40,Courbe_de_tarage!$I$4:$I$44,1)):INDEX(Courbe_de_tarage!$A$4:$A$44,MATCH(K39+B39+B40,Courbe_de_tarage!$I$4:$I$44,1)+1),INDEX(Courbe_de_tarage!$I$4:$I$44,MATCH(K39+B39+B40,Courbe_de_tarage!$I$4:$I$44,1)):INDEX(Courbe_de_tarage!$I$4:$I$44,MATCH(K39+B39+B40,Courbe_de_tarage!$I$4:$I$44,1)+1)),IFERROR(INDEX(Courbe_de_tarage!$A$4:$A$44,MATCH(K39+B39+B40,Courbe_de_tarage!$I$4:$I$44,1)),INDEX(Courbe_de_tarage!$A$4:$A$44,1))))</f>
        <v/>
      </c>
      <c r="G40" s="19">
        <f>IF(A40="","",35.36+F40)</f>
        <v/>
      </c>
      <c r="H40" s="19">
        <f>IF(A40="","",IFERROR(FORECAST(K39+B39+B40,INDEX(Courbe_de_tarage!$H$4:$H$44,MATCH(K39+B39+B40,Courbe_de_tarage!$I$4:$I$44,1)):INDEX(Courbe_de_tarage!$H$4:$H$44,MATCH(K39+B39+B40,Courbe_de_tarage!$I$4:$I$44,1)+1),INDEX(Courbe_de_tarage!$I$4:$I$44,MATCH(K39+B39+B40,Courbe_de_tarage!$I$4:$I$44,1)):INDEX(Courbe_de_tarage!$I$4:$I$44,MATCH(K39+B39+B40,Courbe_de_tarage!$I$4:$I$44,1)+1)),IFERROR(INDEX(Courbe_de_tarage!$H$4:$H$44,MATCH(K39+B39+B40,Courbe_de_tarage!$I$4:$I$44,1)),INDEX(Courbe_de_tarage!$H$4:$H$44,1))))</f>
        <v/>
      </c>
      <c r="I40" s="4">
        <f>IF(G40="","",IF(G40&gt;37.4,"OUI",""))</f>
        <v/>
      </c>
      <c r="J40" s="19">
        <f>IF(A40="","",K39+B39+B40)</f>
        <v/>
      </c>
      <c r="K40" s="19">
        <f>IF(A40="","",2*H40/(Hydrogramme_entree!$B$8*60)-E40)</f>
        <v/>
      </c>
    </row>
    <row r="41">
      <c r="A41" s="4">
        <f>Hydrogramme_entree!A47</f>
        <v/>
      </c>
      <c r="B41" s="19">
        <f>Hydrogramme_entree!B47</f>
        <v/>
      </c>
      <c r="C41" s="19">
        <f>IF(A41="","",IFERROR(FORECAST(K40+B40+B41,INDEX(Courbe_de_tarage!$C$4:$C$44,MATCH(K40+B40+B41,Courbe_de_tarage!$I$4:$I$44,1)):INDEX(Courbe_de_tarage!$C$4:$C$44,MATCH(K40+B40+B41,Courbe_de_tarage!$I$4:$I$44,1)+1),INDEX(Courbe_de_tarage!$I$4:$I$44,MATCH(K40+B40+B41,Courbe_de_tarage!$I$4:$I$44,1)):INDEX(Courbe_de_tarage!$I$4:$I$44,MATCH(K40+B40+B41,Courbe_de_tarage!$I$4:$I$44,1)+1)),IFERROR(INDEX(Courbe_de_tarage!$C$4:$C$44,MATCH(K40+B40+B41,Courbe_de_tarage!$I$4:$I$44,1)),INDEX(Courbe_de_tarage!$C$4:$C$44,1))))</f>
        <v/>
      </c>
      <c r="D41" s="19">
        <f>IF(A41="","",IFERROR(FORECAST(K40+B40+B41,INDEX(Courbe_de_tarage!$D$4:$D$44,MATCH(K40+B40+B41,Courbe_de_tarage!$I$4:$I$44,1)):INDEX(Courbe_de_tarage!$D$4:$D$44,MATCH(K40+B40+B41,Courbe_de_tarage!$I$4:$I$44,1)+1),INDEX(Courbe_de_tarage!$I$4:$I$44,MATCH(K40+B40+B41,Courbe_de_tarage!$I$4:$I$44,1)):INDEX(Courbe_de_tarage!$I$4:$I$44,MATCH(K40+B40+B41,Courbe_de_tarage!$I$4:$I$44,1)+1)),IFERROR(INDEX(Courbe_de_tarage!$D$4:$D$44,MATCH(K40+B40+B41,Courbe_de_tarage!$I$4:$I$44,1)),INDEX(Courbe_de_tarage!$D$4:$D$44,1))))</f>
        <v/>
      </c>
      <c r="E41" s="19">
        <f>IF(A41="","",IFERROR(FORECAST(K40+B40+B41,INDEX(Courbe_de_tarage!$E$4:$E$44,MATCH(K40+B40+B41,Courbe_de_tarage!$I$4:$I$44,1)):INDEX(Courbe_de_tarage!$E$4:$E$44,MATCH(K40+B40+B41,Courbe_de_tarage!$I$4:$I$44,1)+1),INDEX(Courbe_de_tarage!$I$4:$I$44,MATCH(K40+B40+B41,Courbe_de_tarage!$I$4:$I$44,1)):INDEX(Courbe_de_tarage!$I$4:$I$44,MATCH(K40+B40+B41,Courbe_de_tarage!$I$4:$I$44,1)+1)),IFERROR(INDEX(Courbe_de_tarage!$E$4:$E$44,MATCH(K40+B40+B41,Courbe_de_tarage!$I$4:$I$44,1)),INDEX(Courbe_de_tarage!$E$4:$E$44,1))))</f>
        <v/>
      </c>
      <c r="F41" s="19">
        <f>IF(A41="","",IFERROR(FORECAST(K40+B40+B41,INDEX(Courbe_de_tarage!$A$4:$A$44,MATCH(K40+B40+B41,Courbe_de_tarage!$I$4:$I$44,1)):INDEX(Courbe_de_tarage!$A$4:$A$44,MATCH(K40+B40+B41,Courbe_de_tarage!$I$4:$I$44,1)+1),INDEX(Courbe_de_tarage!$I$4:$I$44,MATCH(K40+B40+B41,Courbe_de_tarage!$I$4:$I$44,1)):INDEX(Courbe_de_tarage!$I$4:$I$44,MATCH(K40+B40+B41,Courbe_de_tarage!$I$4:$I$44,1)+1)),IFERROR(INDEX(Courbe_de_tarage!$A$4:$A$44,MATCH(K40+B40+B41,Courbe_de_tarage!$I$4:$I$44,1)),INDEX(Courbe_de_tarage!$A$4:$A$44,1))))</f>
        <v/>
      </c>
      <c r="G41" s="19">
        <f>IF(A41="","",35.36+F41)</f>
        <v/>
      </c>
      <c r="H41" s="19">
        <f>IF(A41="","",IFERROR(FORECAST(K40+B40+B41,INDEX(Courbe_de_tarage!$H$4:$H$44,MATCH(K40+B40+B41,Courbe_de_tarage!$I$4:$I$44,1)):INDEX(Courbe_de_tarage!$H$4:$H$44,MATCH(K40+B40+B41,Courbe_de_tarage!$I$4:$I$44,1)+1),INDEX(Courbe_de_tarage!$I$4:$I$44,MATCH(K40+B40+B41,Courbe_de_tarage!$I$4:$I$44,1)):INDEX(Courbe_de_tarage!$I$4:$I$44,MATCH(K40+B40+B41,Courbe_de_tarage!$I$4:$I$44,1)+1)),IFERROR(INDEX(Courbe_de_tarage!$H$4:$H$44,MATCH(K40+B40+B41,Courbe_de_tarage!$I$4:$I$44,1)),INDEX(Courbe_de_tarage!$H$4:$H$44,1))))</f>
        <v/>
      </c>
      <c r="I41" s="4">
        <f>IF(G41="","",IF(G41&gt;37.4,"OUI",""))</f>
        <v/>
      </c>
      <c r="J41" s="19">
        <f>IF(A41="","",K40+B40+B41)</f>
        <v/>
      </c>
      <c r="K41" s="19">
        <f>IF(A41="","",2*H41/(Hydrogramme_entree!$B$8*60)-E41)</f>
        <v/>
      </c>
    </row>
    <row r="42">
      <c r="A42" s="4">
        <f>Hydrogramme_entree!A48</f>
        <v/>
      </c>
      <c r="B42" s="19">
        <f>Hydrogramme_entree!B48</f>
        <v/>
      </c>
      <c r="C42" s="19">
        <f>IF(A42="","",IFERROR(FORECAST(K41+B41+B42,INDEX(Courbe_de_tarage!$C$4:$C$44,MATCH(K41+B41+B42,Courbe_de_tarage!$I$4:$I$44,1)):INDEX(Courbe_de_tarage!$C$4:$C$44,MATCH(K41+B41+B42,Courbe_de_tarage!$I$4:$I$44,1)+1),INDEX(Courbe_de_tarage!$I$4:$I$44,MATCH(K41+B41+B42,Courbe_de_tarage!$I$4:$I$44,1)):INDEX(Courbe_de_tarage!$I$4:$I$44,MATCH(K41+B41+B42,Courbe_de_tarage!$I$4:$I$44,1)+1)),IFERROR(INDEX(Courbe_de_tarage!$C$4:$C$44,MATCH(K41+B41+B42,Courbe_de_tarage!$I$4:$I$44,1)),INDEX(Courbe_de_tarage!$C$4:$C$44,1))))</f>
        <v/>
      </c>
      <c r="D42" s="19">
        <f>IF(A42="","",IFERROR(FORECAST(K41+B41+B42,INDEX(Courbe_de_tarage!$D$4:$D$44,MATCH(K41+B41+B42,Courbe_de_tarage!$I$4:$I$44,1)):INDEX(Courbe_de_tarage!$D$4:$D$44,MATCH(K41+B41+B42,Courbe_de_tarage!$I$4:$I$44,1)+1),INDEX(Courbe_de_tarage!$I$4:$I$44,MATCH(K41+B41+B42,Courbe_de_tarage!$I$4:$I$44,1)):INDEX(Courbe_de_tarage!$I$4:$I$44,MATCH(K41+B41+B42,Courbe_de_tarage!$I$4:$I$44,1)+1)),IFERROR(INDEX(Courbe_de_tarage!$D$4:$D$44,MATCH(K41+B41+B42,Courbe_de_tarage!$I$4:$I$44,1)),INDEX(Courbe_de_tarage!$D$4:$D$44,1))))</f>
        <v/>
      </c>
      <c r="E42" s="19">
        <f>IF(A42="","",IFERROR(FORECAST(K41+B41+B42,INDEX(Courbe_de_tarage!$E$4:$E$44,MATCH(K41+B41+B42,Courbe_de_tarage!$I$4:$I$44,1)):INDEX(Courbe_de_tarage!$E$4:$E$44,MATCH(K41+B41+B42,Courbe_de_tarage!$I$4:$I$44,1)+1),INDEX(Courbe_de_tarage!$I$4:$I$44,MATCH(K41+B41+B42,Courbe_de_tarage!$I$4:$I$44,1)):INDEX(Courbe_de_tarage!$I$4:$I$44,MATCH(K41+B41+B42,Courbe_de_tarage!$I$4:$I$44,1)+1)),IFERROR(INDEX(Courbe_de_tarage!$E$4:$E$44,MATCH(K41+B41+B42,Courbe_de_tarage!$I$4:$I$44,1)),INDEX(Courbe_de_tarage!$E$4:$E$44,1))))</f>
        <v/>
      </c>
      <c r="F42" s="19">
        <f>IF(A42="","",IFERROR(FORECAST(K41+B41+B42,INDEX(Courbe_de_tarage!$A$4:$A$44,MATCH(K41+B41+B42,Courbe_de_tarage!$I$4:$I$44,1)):INDEX(Courbe_de_tarage!$A$4:$A$44,MATCH(K41+B41+B42,Courbe_de_tarage!$I$4:$I$44,1)+1),INDEX(Courbe_de_tarage!$I$4:$I$44,MATCH(K41+B41+B42,Courbe_de_tarage!$I$4:$I$44,1)):INDEX(Courbe_de_tarage!$I$4:$I$44,MATCH(K41+B41+B42,Courbe_de_tarage!$I$4:$I$44,1)+1)),IFERROR(INDEX(Courbe_de_tarage!$A$4:$A$44,MATCH(K41+B41+B42,Courbe_de_tarage!$I$4:$I$44,1)),INDEX(Courbe_de_tarage!$A$4:$A$44,1))))</f>
        <v/>
      </c>
      <c r="G42" s="19">
        <f>IF(A42="","",35.36+F42)</f>
        <v/>
      </c>
      <c r="H42" s="19">
        <f>IF(A42="","",IFERROR(FORECAST(K41+B41+B42,INDEX(Courbe_de_tarage!$H$4:$H$44,MATCH(K41+B41+B42,Courbe_de_tarage!$I$4:$I$44,1)):INDEX(Courbe_de_tarage!$H$4:$H$44,MATCH(K41+B41+B42,Courbe_de_tarage!$I$4:$I$44,1)+1),INDEX(Courbe_de_tarage!$I$4:$I$44,MATCH(K41+B41+B42,Courbe_de_tarage!$I$4:$I$44,1)):INDEX(Courbe_de_tarage!$I$4:$I$44,MATCH(K41+B41+B42,Courbe_de_tarage!$I$4:$I$44,1)+1)),IFERROR(INDEX(Courbe_de_tarage!$H$4:$H$44,MATCH(K41+B41+B42,Courbe_de_tarage!$I$4:$I$44,1)),INDEX(Courbe_de_tarage!$H$4:$H$44,1))))</f>
        <v/>
      </c>
      <c r="I42" s="4">
        <f>IF(G42="","",IF(G42&gt;37.4,"OUI",""))</f>
        <v/>
      </c>
      <c r="J42" s="19">
        <f>IF(A42="","",K41+B41+B42)</f>
        <v/>
      </c>
      <c r="K42" s="19">
        <f>IF(A42="","",2*H42/(Hydrogramme_entree!$B$8*60)-E42)</f>
        <v/>
      </c>
    </row>
    <row r="43">
      <c r="A43" s="4">
        <f>Hydrogramme_entree!A49</f>
        <v/>
      </c>
      <c r="B43" s="19">
        <f>Hydrogramme_entree!B49</f>
        <v/>
      </c>
      <c r="C43" s="19">
        <f>IF(A43="","",IFERROR(FORECAST(K42+B42+B43,INDEX(Courbe_de_tarage!$C$4:$C$44,MATCH(K42+B42+B43,Courbe_de_tarage!$I$4:$I$44,1)):INDEX(Courbe_de_tarage!$C$4:$C$44,MATCH(K42+B42+B43,Courbe_de_tarage!$I$4:$I$44,1)+1),INDEX(Courbe_de_tarage!$I$4:$I$44,MATCH(K42+B42+B43,Courbe_de_tarage!$I$4:$I$44,1)):INDEX(Courbe_de_tarage!$I$4:$I$44,MATCH(K42+B42+B43,Courbe_de_tarage!$I$4:$I$44,1)+1)),IFERROR(INDEX(Courbe_de_tarage!$C$4:$C$44,MATCH(K42+B42+B43,Courbe_de_tarage!$I$4:$I$44,1)),INDEX(Courbe_de_tarage!$C$4:$C$44,1))))</f>
        <v/>
      </c>
      <c r="D43" s="19">
        <f>IF(A43="","",IFERROR(FORECAST(K42+B42+B43,INDEX(Courbe_de_tarage!$D$4:$D$44,MATCH(K42+B42+B43,Courbe_de_tarage!$I$4:$I$44,1)):INDEX(Courbe_de_tarage!$D$4:$D$44,MATCH(K42+B42+B43,Courbe_de_tarage!$I$4:$I$44,1)+1),INDEX(Courbe_de_tarage!$I$4:$I$44,MATCH(K42+B42+B43,Courbe_de_tarage!$I$4:$I$44,1)):INDEX(Courbe_de_tarage!$I$4:$I$44,MATCH(K42+B42+B43,Courbe_de_tarage!$I$4:$I$44,1)+1)),IFERROR(INDEX(Courbe_de_tarage!$D$4:$D$44,MATCH(K42+B42+B43,Courbe_de_tarage!$I$4:$I$44,1)),INDEX(Courbe_de_tarage!$D$4:$D$44,1))))</f>
        <v/>
      </c>
      <c r="E43" s="19">
        <f>IF(A43="","",IFERROR(FORECAST(K42+B42+B43,INDEX(Courbe_de_tarage!$E$4:$E$44,MATCH(K42+B42+B43,Courbe_de_tarage!$I$4:$I$44,1)):INDEX(Courbe_de_tarage!$E$4:$E$44,MATCH(K42+B42+B43,Courbe_de_tarage!$I$4:$I$44,1)+1),INDEX(Courbe_de_tarage!$I$4:$I$44,MATCH(K42+B42+B43,Courbe_de_tarage!$I$4:$I$44,1)):INDEX(Courbe_de_tarage!$I$4:$I$44,MATCH(K42+B42+B43,Courbe_de_tarage!$I$4:$I$44,1)+1)),IFERROR(INDEX(Courbe_de_tarage!$E$4:$E$44,MATCH(K42+B42+B43,Courbe_de_tarage!$I$4:$I$44,1)),INDEX(Courbe_de_tarage!$E$4:$E$44,1))))</f>
        <v/>
      </c>
      <c r="F43" s="19">
        <f>IF(A43="","",IFERROR(FORECAST(K42+B42+B43,INDEX(Courbe_de_tarage!$A$4:$A$44,MATCH(K42+B42+B43,Courbe_de_tarage!$I$4:$I$44,1)):INDEX(Courbe_de_tarage!$A$4:$A$44,MATCH(K42+B42+B43,Courbe_de_tarage!$I$4:$I$44,1)+1),INDEX(Courbe_de_tarage!$I$4:$I$44,MATCH(K42+B42+B43,Courbe_de_tarage!$I$4:$I$44,1)):INDEX(Courbe_de_tarage!$I$4:$I$44,MATCH(K42+B42+B43,Courbe_de_tarage!$I$4:$I$44,1)+1)),IFERROR(INDEX(Courbe_de_tarage!$A$4:$A$44,MATCH(K42+B42+B43,Courbe_de_tarage!$I$4:$I$44,1)),INDEX(Courbe_de_tarage!$A$4:$A$44,1))))</f>
        <v/>
      </c>
      <c r="G43" s="19">
        <f>IF(A43="","",35.36+F43)</f>
        <v/>
      </c>
      <c r="H43" s="19">
        <f>IF(A43="","",IFERROR(FORECAST(K42+B42+B43,INDEX(Courbe_de_tarage!$H$4:$H$44,MATCH(K42+B42+B43,Courbe_de_tarage!$I$4:$I$44,1)):INDEX(Courbe_de_tarage!$H$4:$H$44,MATCH(K42+B42+B43,Courbe_de_tarage!$I$4:$I$44,1)+1),INDEX(Courbe_de_tarage!$I$4:$I$44,MATCH(K42+B42+B43,Courbe_de_tarage!$I$4:$I$44,1)):INDEX(Courbe_de_tarage!$I$4:$I$44,MATCH(K42+B42+B43,Courbe_de_tarage!$I$4:$I$44,1)+1)),IFERROR(INDEX(Courbe_de_tarage!$H$4:$H$44,MATCH(K42+B42+B43,Courbe_de_tarage!$I$4:$I$44,1)),INDEX(Courbe_de_tarage!$H$4:$H$44,1))))</f>
        <v/>
      </c>
      <c r="I43" s="4">
        <f>IF(G43="","",IF(G43&gt;37.4,"OUI",""))</f>
        <v/>
      </c>
      <c r="J43" s="19">
        <f>IF(A43="","",K42+B42+B43)</f>
        <v/>
      </c>
      <c r="K43" s="19">
        <f>IF(A43="","",2*H43/(Hydrogramme_entree!$B$8*60)-E43)</f>
        <v/>
      </c>
    </row>
    <row r="44">
      <c r="A44" s="4">
        <f>Hydrogramme_entree!A50</f>
        <v/>
      </c>
      <c r="B44" s="19">
        <f>Hydrogramme_entree!B50</f>
        <v/>
      </c>
      <c r="C44" s="19">
        <f>IF(A44="","",IFERROR(FORECAST(K43+B43+B44,INDEX(Courbe_de_tarage!$C$4:$C$44,MATCH(K43+B43+B44,Courbe_de_tarage!$I$4:$I$44,1)):INDEX(Courbe_de_tarage!$C$4:$C$44,MATCH(K43+B43+B44,Courbe_de_tarage!$I$4:$I$44,1)+1),INDEX(Courbe_de_tarage!$I$4:$I$44,MATCH(K43+B43+B44,Courbe_de_tarage!$I$4:$I$44,1)):INDEX(Courbe_de_tarage!$I$4:$I$44,MATCH(K43+B43+B44,Courbe_de_tarage!$I$4:$I$44,1)+1)),IFERROR(INDEX(Courbe_de_tarage!$C$4:$C$44,MATCH(K43+B43+B44,Courbe_de_tarage!$I$4:$I$44,1)),INDEX(Courbe_de_tarage!$C$4:$C$44,1))))</f>
        <v/>
      </c>
      <c r="D44" s="19">
        <f>IF(A44="","",IFERROR(FORECAST(K43+B43+B44,INDEX(Courbe_de_tarage!$D$4:$D$44,MATCH(K43+B43+B44,Courbe_de_tarage!$I$4:$I$44,1)):INDEX(Courbe_de_tarage!$D$4:$D$44,MATCH(K43+B43+B44,Courbe_de_tarage!$I$4:$I$44,1)+1),INDEX(Courbe_de_tarage!$I$4:$I$44,MATCH(K43+B43+B44,Courbe_de_tarage!$I$4:$I$44,1)):INDEX(Courbe_de_tarage!$I$4:$I$44,MATCH(K43+B43+B44,Courbe_de_tarage!$I$4:$I$44,1)+1)),IFERROR(INDEX(Courbe_de_tarage!$D$4:$D$44,MATCH(K43+B43+B44,Courbe_de_tarage!$I$4:$I$44,1)),INDEX(Courbe_de_tarage!$D$4:$D$44,1))))</f>
        <v/>
      </c>
      <c r="E44" s="19">
        <f>IF(A44="","",IFERROR(FORECAST(K43+B43+B44,INDEX(Courbe_de_tarage!$E$4:$E$44,MATCH(K43+B43+B44,Courbe_de_tarage!$I$4:$I$44,1)):INDEX(Courbe_de_tarage!$E$4:$E$44,MATCH(K43+B43+B44,Courbe_de_tarage!$I$4:$I$44,1)+1),INDEX(Courbe_de_tarage!$I$4:$I$44,MATCH(K43+B43+B44,Courbe_de_tarage!$I$4:$I$44,1)):INDEX(Courbe_de_tarage!$I$4:$I$44,MATCH(K43+B43+B44,Courbe_de_tarage!$I$4:$I$44,1)+1)),IFERROR(INDEX(Courbe_de_tarage!$E$4:$E$44,MATCH(K43+B43+B44,Courbe_de_tarage!$I$4:$I$44,1)),INDEX(Courbe_de_tarage!$E$4:$E$44,1))))</f>
        <v/>
      </c>
      <c r="F44" s="19">
        <f>IF(A44="","",IFERROR(FORECAST(K43+B43+B44,INDEX(Courbe_de_tarage!$A$4:$A$44,MATCH(K43+B43+B44,Courbe_de_tarage!$I$4:$I$44,1)):INDEX(Courbe_de_tarage!$A$4:$A$44,MATCH(K43+B43+B44,Courbe_de_tarage!$I$4:$I$44,1)+1),INDEX(Courbe_de_tarage!$I$4:$I$44,MATCH(K43+B43+B44,Courbe_de_tarage!$I$4:$I$44,1)):INDEX(Courbe_de_tarage!$I$4:$I$44,MATCH(K43+B43+B44,Courbe_de_tarage!$I$4:$I$44,1)+1)),IFERROR(INDEX(Courbe_de_tarage!$A$4:$A$44,MATCH(K43+B43+B44,Courbe_de_tarage!$I$4:$I$44,1)),INDEX(Courbe_de_tarage!$A$4:$A$44,1))))</f>
        <v/>
      </c>
      <c r="G44" s="19">
        <f>IF(A44="","",35.36+F44)</f>
        <v/>
      </c>
      <c r="H44" s="19">
        <f>IF(A44="","",IFERROR(FORECAST(K43+B43+B44,INDEX(Courbe_de_tarage!$H$4:$H$44,MATCH(K43+B43+B44,Courbe_de_tarage!$I$4:$I$44,1)):INDEX(Courbe_de_tarage!$H$4:$H$44,MATCH(K43+B43+B44,Courbe_de_tarage!$I$4:$I$44,1)+1),INDEX(Courbe_de_tarage!$I$4:$I$44,MATCH(K43+B43+B44,Courbe_de_tarage!$I$4:$I$44,1)):INDEX(Courbe_de_tarage!$I$4:$I$44,MATCH(K43+B43+B44,Courbe_de_tarage!$I$4:$I$44,1)+1)),IFERROR(INDEX(Courbe_de_tarage!$H$4:$H$44,MATCH(K43+B43+B44,Courbe_de_tarage!$I$4:$I$44,1)),INDEX(Courbe_de_tarage!$H$4:$H$44,1))))</f>
        <v/>
      </c>
      <c r="I44" s="4">
        <f>IF(G44="","",IF(G44&gt;37.4,"OUI",""))</f>
        <v/>
      </c>
      <c r="J44" s="19">
        <f>IF(A44="","",K43+B43+B44)</f>
        <v/>
      </c>
      <c r="K44" s="19">
        <f>IF(A44="","",2*H44/(Hydrogramme_entree!$B$8*60)-E44)</f>
        <v/>
      </c>
    </row>
    <row r="45">
      <c r="A45" s="4">
        <f>Hydrogramme_entree!A51</f>
        <v/>
      </c>
      <c r="B45" s="19">
        <f>Hydrogramme_entree!B51</f>
        <v/>
      </c>
      <c r="C45" s="19">
        <f>IF(A45="","",IFERROR(FORECAST(K44+B44+B45,INDEX(Courbe_de_tarage!$C$4:$C$44,MATCH(K44+B44+B45,Courbe_de_tarage!$I$4:$I$44,1)):INDEX(Courbe_de_tarage!$C$4:$C$44,MATCH(K44+B44+B45,Courbe_de_tarage!$I$4:$I$44,1)+1),INDEX(Courbe_de_tarage!$I$4:$I$44,MATCH(K44+B44+B45,Courbe_de_tarage!$I$4:$I$44,1)):INDEX(Courbe_de_tarage!$I$4:$I$44,MATCH(K44+B44+B45,Courbe_de_tarage!$I$4:$I$44,1)+1)),IFERROR(INDEX(Courbe_de_tarage!$C$4:$C$44,MATCH(K44+B44+B45,Courbe_de_tarage!$I$4:$I$44,1)),INDEX(Courbe_de_tarage!$C$4:$C$44,1))))</f>
        <v/>
      </c>
      <c r="D45" s="19">
        <f>IF(A45="","",IFERROR(FORECAST(K44+B44+B45,INDEX(Courbe_de_tarage!$D$4:$D$44,MATCH(K44+B44+B45,Courbe_de_tarage!$I$4:$I$44,1)):INDEX(Courbe_de_tarage!$D$4:$D$44,MATCH(K44+B44+B45,Courbe_de_tarage!$I$4:$I$44,1)+1),INDEX(Courbe_de_tarage!$I$4:$I$44,MATCH(K44+B44+B45,Courbe_de_tarage!$I$4:$I$44,1)):INDEX(Courbe_de_tarage!$I$4:$I$44,MATCH(K44+B44+B45,Courbe_de_tarage!$I$4:$I$44,1)+1)),IFERROR(INDEX(Courbe_de_tarage!$D$4:$D$44,MATCH(K44+B44+B45,Courbe_de_tarage!$I$4:$I$44,1)),INDEX(Courbe_de_tarage!$D$4:$D$44,1))))</f>
        <v/>
      </c>
      <c r="E45" s="19">
        <f>IF(A45="","",IFERROR(FORECAST(K44+B44+B45,INDEX(Courbe_de_tarage!$E$4:$E$44,MATCH(K44+B44+B45,Courbe_de_tarage!$I$4:$I$44,1)):INDEX(Courbe_de_tarage!$E$4:$E$44,MATCH(K44+B44+B45,Courbe_de_tarage!$I$4:$I$44,1)+1),INDEX(Courbe_de_tarage!$I$4:$I$44,MATCH(K44+B44+B45,Courbe_de_tarage!$I$4:$I$44,1)):INDEX(Courbe_de_tarage!$I$4:$I$44,MATCH(K44+B44+B45,Courbe_de_tarage!$I$4:$I$44,1)+1)),IFERROR(INDEX(Courbe_de_tarage!$E$4:$E$44,MATCH(K44+B44+B45,Courbe_de_tarage!$I$4:$I$44,1)),INDEX(Courbe_de_tarage!$E$4:$E$44,1))))</f>
        <v/>
      </c>
      <c r="F45" s="19">
        <f>IF(A45="","",IFERROR(FORECAST(K44+B44+B45,INDEX(Courbe_de_tarage!$A$4:$A$44,MATCH(K44+B44+B45,Courbe_de_tarage!$I$4:$I$44,1)):INDEX(Courbe_de_tarage!$A$4:$A$44,MATCH(K44+B44+B45,Courbe_de_tarage!$I$4:$I$44,1)+1),INDEX(Courbe_de_tarage!$I$4:$I$44,MATCH(K44+B44+B45,Courbe_de_tarage!$I$4:$I$44,1)):INDEX(Courbe_de_tarage!$I$4:$I$44,MATCH(K44+B44+B45,Courbe_de_tarage!$I$4:$I$44,1)+1)),IFERROR(INDEX(Courbe_de_tarage!$A$4:$A$44,MATCH(K44+B44+B45,Courbe_de_tarage!$I$4:$I$44,1)),INDEX(Courbe_de_tarage!$A$4:$A$44,1))))</f>
        <v/>
      </c>
      <c r="G45" s="19">
        <f>IF(A45="","",35.36+F45)</f>
        <v/>
      </c>
      <c r="H45" s="19">
        <f>IF(A45="","",IFERROR(FORECAST(K44+B44+B45,INDEX(Courbe_de_tarage!$H$4:$H$44,MATCH(K44+B44+B45,Courbe_de_tarage!$I$4:$I$44,1)):INDEX(Courbe_de_tarage!$H$4:$H$44,MATCH(K44+B44+B45,Courbe_de_tarage!$I$4:$I$44,1)+1),INDEX(Courbe_de_tarage!$I$4:$I$44,MATCH(K44+B44+B45,Courbe_de_tarage!$I$4:$I$44,1)):INDEX(Courbe_de_tarage!$I$4:$I$44,MATCH(K44+B44+B45,Courbe_de_tarage!$I$4:$I$44,1)+1)),IFERROR(INDEX(Courbe_de_tarage!$H$4:$H$44,MATCH(K44+B44+B45,Courbe_de_tarage!$I$4:$I$44,1)),INDEX(Courbe_de_tarage!$H$4:$H$44,1))))</f>
        <v/>
      </c>
      <c r="I45" s="4">
        <f>IF(G45="","",IF(G45&gt;37.4,"OUI",""))</f>
        <v/>
      </c>
      <c r="J45" s="19">
        <f>IF(A45="","",K44+B44+B45)</f>
        <v/>
      </c>
      <c r="K45" s="19">
        <f>IF(A45="","",2*H45/(Hydrogramme_entree!$B$8*60)-E45)</f>
        <v/>
      </c>
    </row>
    <row r="46">
      <c r="A46" s="4">
        <f>Hydrogramme_entree!A52</f>
        <v/>
      </c>
      <c r="B46" s="19">
        <f>Hydrogramme_entree!B52</f>
        <v/>
      </c>
      <c r="C46" s="19">
        <f>IF(A46="","",IFERROR(FORECAST(K45+B45+B46,INDEX(Courbe_de_tarage!$C$4:$C$44,MATCH(K45+B45+B46,Courbe_de_tarage!$I$4:$I$44,1)):INDEX(Courbe_de_tarage!$C$4:$C$44,MATCH(K45+B45+B46,Courbe_de_tarage!$I$4:$I$44,1)+1),INDEX(Courbe_de_tarage!$I$4:$I$44,MATCH(K45+B45+B46,Courbe_de_tarage!$I$4:$I$44,1)):INDEX(Courbe_de_tarage!$I$4:$I$44,MATCH(K45+B45+B46,Courbe_de_tarage!$I$4:$I$44,1)+1)),IFERROR(INDEX(Courbe_de_tarage!$C$4:$C$44,MATCH(K45+B45+B46,Courbe_de_tarage!$I$4:$I$44,1)),INDEX(Courbe_de_tarage!$C$4:$C$44,1))))</f>
        <v/>
      </c>
      <c r="D46" s="19">
        <f>IF(A46="","",IFERROR(FORECAST(K45+B45+B46,INDEX(Courbe_de_tarage!$D$4:$D$44,MATCH(K45+B45+B46,Courbe_de_tarage!$I$4:$I$44,1)):INDEX(Courbe_de_tarage!$D$4:$D$44,MATCH(K45+B45+B46,Courbe_de_tarage!$I$4:$I$44,1)+1),INDEX(Courbe_de_tarage!$I$4:$I$44,MATCH(K45+B45+B46,Courbe_de_tarage!$I$4:$I$44,1)):INDEX(Courbe_de_tarage!$I$4:$I$44,MATCH(K45+B45+B46,Courbe_de_tarage!$I$4:$I$44,1)+1)),IFERROR(INDEX(Courbe_de_tarage!$D$4:$D$44,MATCH(K45+B45+B46,Courbe_de_tarage!$I$4:$I$44,1)),INDEX(Courbe_de_tarage!$D$4:$D$44,1))))</f>
        <v/>
      </c>
      <c r="E46" s="19">
        <f>IF(A46="","",IFERROR(FORECAST(K45+B45+B46,INDEX(Courbe_de_tarage!$E$4:$E$44,MATCH(K45+B45+B46,Courbe_de_tarage!$I$4:$I$44,1)):INDEX(Courbe_de_tarage!$E$4:$E$44,MATCH(K45+B45+B46,Courbe_de_tarage!$I$4:$I$44,1)+1),INDEX(Courbe_de_tarage!$I$4:$I$44,MATCH(K45+B45+B46,Courbe_de_tarage!$I$4:$I$44,1)):INDEX(Courbe_de_tarage!$I$4:$I$44,MATCH(K45+B45+B46,Courbe_de_tarage!$I$4:$I$44,1)+1)),IFERROR(INDEX(Courbe_de_tarage!$E$4:$E$44,MATCH(K45+B45+B46,Courbe_de_tarage!$I$4:$I$44,1)),INDEX(Courbe_de_tarage!$E$4:$E$44,1))))</f>
        <v/>
      </c>
      <c r="F46" s="19">
        <f>IF(A46="","",IFERROR(FORECAST(K45+B45+B46,INDEX(Courbe_de_tarage!$A$4:$A$44,MATCH(K45+B45+B46,Courbe_de_tarage!$I$4:$I$44,1)):INDEX(Courbe_de_tarage!$A$4:$A$44,MATCH(K45+B45+B46,Courbe_de_tarage!$I$4:$I$44,1)+1),INDEX(Courbe_de_tarage!$I$4:$I$44,MATCH(K45+B45+B46,Courbe_de_tarage!$I$4:$I$44,1)):INDEX(Courbe_de_tarage!$I$4:$I$44,MATCH(K45+B45+B46,Courbe_de_tarage!$I$4:$I$44,1)+1)),IFERROR(INDEX(Courbe_de_tarage!$A$4:$A$44,MATCH(K45+B45+B46,Courbe_de_tarage!$I$4:$I$44,1)),INDEX(Courbe_de_tarage!$A$4:$A$44,1))))</f>
        <v/>
      </c>
      <c r="G46" s="19">
        <f>IF(A46="","",35.36+F46)</f>
        <v/>
      </c>
      <c r="H46" s="19">
        <f>IF(A46="","",IFERROR(FORECAST(K45+B45+B46,INDEX(Courbe_de_tarage!$H$4:$H$44,MATCH(K45+B45+B46,Courbe_de_tarage!$I$4:$I$44,1)):INDEX(Courbe_de_tarage!$H$4:$H$44,MATCH(K45+B45+B46,Courbe_de_tarage!$I$4:$I$44,1)+1),INDEX(Courbe_de_tarage!$I$4:$I$44,MATCH(K45+B45+B46,Courbe_de_tarage!$I$4:$I$44,1)):INDEX(Courbe_de_tarage!$I$4:$I$44,MATCH(K45+B45+B46,Courbe_de_tarage!$I$4:$I$44,1)+1)),IFERROR(INDEX(Courbe_de_tarage!$H$4:$H$44,MATCH(K45+B45+B46,Courbe_de_tarage!$I$4:$I$44,1)),INDEX(Courbe_de_tarage!$H$4:$H$44,1))))</f>
        <v/>
      </c>
      <c r="I46" s="4">
        <f>IF(G46="","",IF(G46&gt;37.4,"OUI",""))</f>
        <v/>
      </c>
      <c r="J46" s="19">
        <f>IF(A46="","",K45+B45+B46)</f>
        <v/>
      </c>
      <c r="K46" s="19">
        <f>IF(A46="","",2*H46/(Hydrogramme_entree!$B$8*60)-E46)</f>
        <v/>
      </c>
    </row>
    <row r="47">
      <c r="A47" s="4">
        <f>Hydrogramme_entree!A53</f>
        <v/>
      </c>
      <c r="B47" s="19">
        <f>Hydrogramme_entree!B53</f>
        <v/>
      </c>
      <c r="C47" s="19">
        <f>IF(A47="","",IFERROR(FORECAST(K46+B46+B47,INDEX(Courbe_de_tarage!$C$4:$C$44,MATCH(K46+B46+B47,Courbe_de_tarage!$I$4:$I$44,1)):INDEX(Courbe_de_tarage!$C$4:$C$44,MATCH(K46+B46+B47,Courbe_de_tarage!$I$4:$I$44,1)+1),INDEX(Courbe_de_tarage!$I$4:$I$44,MATCH(K46+B46+B47,Courbe_de_tarage!$I$4:$I$44,1)):INDEX(Courbe_de_tarage!$I$4:$I$44,MATCH(K46+B46+B47,Courbe_de_tarage!$I$4:$I$44,1)+1)),IFERROR(INDEX(Courbe_de_tarage!$C$4:$C$44,MATCH(K46+B46+B47,Courbe_de_tarage!$I$4:$I$44,1)),INDEX(Courbe_de_tarage!$C$4:$C$44,1))))</f>
        <v/>
      </c>
      <c r="D47" s="19">
        <f>IF(A47="","",IFERROR(FORECAST(K46+B46+B47,INDEX(Courbe_de_tarage!$D$4:$D$44,MATCH(K46+B46+B47,Courbe_de_tarage!$I$4:$I$44,1)):INDEX(Courbe_de_tarage!$D$4:$D$44,MATCH(K46+B46+B47,Courbe_de_tarage!$I$4:$I$44,1)+1),INDEX(Courbe_de_tarage!$I$4:$I$44,MATCH(K46+B46+B47,Courbe_de_tarage!$I$4:$I$44,1)):INDEX(Courbe_de_tarage!$I$4:$I$44,MATCH(K46+B46+B47,Courbe_de_tarage!$I$4:$I$44,1)+1)),IFERROR(INDEX(Courbe_de_tarage!$D$4:$D$44,MATCH(K46+B46+B47,Courbe_de_tarage!$I$4:$I$44,1)),INDEX(Courbe_de_tarage!$D$4:$D$44,1))))</f>
        <v/>
      </c>
      <c r="E47" s="19">
        <f>IF(A47="","",IFERROR(FORECAST(K46+B46+B47,INDEX(Courbe_de_tarage!$E$4:$E$44,MATCH(K46+B46+B47,Courbe_de_tarage!$I$4:$I$44,1)):INDEX(Courbe_de_tarage!$E$4:$E$44,MATCH(K46+B46+B47,Courbe_de_tarage!$I$4:$I$44,1)+1),INDEX(Courbe_de_tarage!$I$4:$I$44,MATCH(K46+B46+B47,Courbe_de_tarage!$I$4:$I$44,1)):INDEX(Courbe_de_tarage!$I$4:$I$44,MATCH(K46+B46+B47,Courbe_de_tarage!$I$4:$I$44,1)+1)),IFERROR(INDEX(Courbe_de_tarage!$E$4:$E$44,MATCH(K46+B46+B47,Courbe_de_tarage!$I$4:$I$44,1)),INDEX(Courbe_de_tarage!$E$4:$E$44,1))))</f>
        <v/>
      </c>
      <c r="F47" s="19">
        <f>IF(A47="","",IFERROR(FORECAST(K46+B46+B47,INDEX(Courbe_de_tarage!$A$4:$A$44,MATCH(K46+B46+B47,Courbe_de_tarage!$I$4:$I$44,1)):INDEX(Courbe_de_tarage!$A$4:$A$44,MATCH(K46+B46+B47,Courbe_de_tarage!$I$4:$I$44,1)+1),INDEX(Courbe_de_tarage!$I$4:$I$44,MATCH(K46+B46+B47,Courbe_de_tarage!$I$4:$I$44,1)):INDEX(Courbe_de_tarage!$I$4:$I$44,MATCH(K46+B46+B47,Courbe_de_tarage!$I$4:$I$44,1)+1)),IFERROR(INDEX(Courbe_de_tarage!$A$4:$A$44,MATCH(K46+B46+B47,Courbe_de_tarage!$I$4:$I$44,1)),INDEX(Courbe_de_tarage!$A$4:$A$44,1))))</f>
        <v/>
      </c>
      <c r="G47" s="19">
        <f>IF(A47="","",35.36+F47)</f>
        <v/>
      </c>
      <c r="H47" s="19">
        <f>IF(A47="","",IFERROR(FORECAST(K46+B46+B47,INDEX(Courbe_de_tarage!$H$4:$H$44,MATCH(K46+B46+B47,Courbe_de_tarage!$I$4:$I$44,1)):INDEX(Courbe_de_tarage!$H$4:$H$44,MATCH(K46+B46+B47,Courbe_de_tarage!$I$4:$I$44,1)+1),INDEX(Courbe_de_tarage!$I$4:$I$44,MATCH(K46+B46+B47,Courbe_de_tarage!$I$4:$I$44,1)):INDEX(Courbe_de_tarage!$I$4:$I$44,MATCH(K46+B46+B47,Courbe_de_tarage!$I$4:$I$44,1)+1)),IFERROR(INDEX(Courbe_de_tarage!$H$4:$H$44,MATCH(K46+B46+B47,Courbe_de_tarage!$I$4:$I$44,1)),INDEX(Courbe_de_tarage!$H$4:$H$44,1))))</f>
        <v/>
      </c>
      <c r="I47" s="4">
        <f>IF(G47="","",IF(G47&gt;37.4,"OUI",""))</f>
        <v/>
      </c>
      <c r="J47" s="19">
        <f>IF(A47="","",K46+B46+B47)</f>
        <v/>
      </c>
      <c r="K47" s="19">
        <f>IF(A47="","",2*H47/(Hydrogramme_entree!$B$8*60)-E47)</f>
        <v/>
      </c>
    </row>
    <row r="48">
      <c r="A48" s="4">
        <f>Hydrogramme_entree!A54</f>
        <v/>
      </c>
      <c r="B48" s="19">
        <f>Hydrogramme_entree!B54</f>
        <v/>
      </c>
      <c r="C48" s="19">
        <f>IF(A48="","",IFERROR(FORECAST(K47+B47+B48,INDEX(Courbe_de_tarage!$C$4:$C$44,MATCH(K47+B47+B48,Courbe_de_tarage!$I$4:$I$44,1)):INDEX(Courbe_de_tarage!$C$4:$C$44,MATCH(K47+B47+B48,Courbe_de_tarage!$I$4:$I$44,1)+1),INDEX(Courbe_de_tarage!$I$4:$I$44,MATCH(K47+B47+B48,Courbe_de_tarage!$I$4:$I$44,1)):INDEX(Courbe_de_tarage!$I$4:$I$44,MATCH(K47+B47+B48,Courbe_de_tarage!$I$4:$I$44,1)+1)),IFERROR(INDEX(Courbe_de_tarage!$C$4:$C$44,MATCH(K47+B47+B48,Courbe_de_tarage!$I$4:$I$44,1)),INDEX(Courbe_de_tarage!$C$4:$C$44,1))))</f>
        <v/>
      </c>
      <c r="D48" s="19">
        <f>IF(A48="","",IFERROR(FORECAST(K47+B47+B48,INDEX(Courbe_de_tarage!$D$4:$D$44,MATCH(K47+B47+B48,Courbe_de_tarage!$I$4:$I$44,1)):INDEX(Courbe_de_tarage!$D$4:$D$44,MATCH(K47+B47+B48,Courbe_de_tarage!$I$4:$I$44,1)+1),INDEX(Courbe_de_tarage!$I$4:$I$44,MATCH(K47+B47+B48,Courbe_de_tarage!$I$4:$I$44,1)):INDEX(Courbe_de_tarage!$I$4:$I$44,MATCH(K47+B47+B48,Courbe_de_tarage!$I$4:$I$44,1)+1)),IFERROR(INDEX(Courbe_de_tarage!$D$4:$D$44,MATCH(K47+B47+B48,Courbe_de_tarage!$I$4:$I$44,1)),INDEX(Courbe_de_tarage!$D$4:$D$44,1))))</f>
        <v/>
      </c>
      <c r="E48" s="19">
        <f>IF(A48="","",IFERROR(FORECAST(K47+B47+B48,INDEX(Courbe_de_tarage!$E$4:$E$44,MATCH(K47+B47+B48,Courbe_de_tarage!$I$4:$I$44,1)):INDEX(Courbe_de_tarage!$E$4:$E$44,MATCH(K47+B47+B48,Courbe_de_tarage!$I$4:$I$44,1)+1),INDEX(Courbe_de_tarage!$I$4:$I$44,MATCH(K47+B47+B48,Courbe_de_tarage!$I$4:$I$44,1)):INDEX(Courbe_de_tarage!$I$4:$I$44,MATCH(K47+B47+B48,Courbe_de_tarage!$I$4:$I$44,1)+1)),IFERROR(INDEX(Courbe_de_tarage!$E$4:$E$44,MATCH(K47+B47+B48,Courbe_de_tarage!$I$4:$I$44,1)),INDEX(Courbe_de_tarage!$E$4:$E$44,1))))</f>
        <v/>
      </c>
      <c r="F48" s="19">
        <f>IF(A48="","",IFERROR(FORECAST(K47+B47+B48,INDEX(Courbe_de_tarage!$A$4:$A$44,MATCH(K47+B47+B48,Courbe_de_tarage!$I$4:$I$44,1)):INDEX(Courbe_de_tarage!$A$4:$A$44,MATCH(K47+B47+B48,Courbe_de_tarage!$I$4:$I$44,1)+1),INDEX(Courbe_de_tarage!$I$4:$I$44,MATCH(K47+B47+B48,Courbe_de_tarage!$I$4:$I$44,1)):INDEX(Courbe_de_tarage!$I$4:$I$44,MATCH(K47+B47+B48,Courbe_de_tarage!$I$4:$I$44,1)+1)),IFERROR(INDEX(Courbe_de_tarage!$A$4:$A$44,MATCH(K47+B47+B48,Courbe_de_tarage!$I$4:$I$44,1)),INDEX(Courbe_de_tarage!$A$4:$A$44,1))))</f>
        <v/>
      </c>
      <c r="G48" s="19">
        <f>IF(A48="","",35.36+F48)</f>
        <v/>
      </c>
      <c r="H48" s="19">
        <f>IF(A48="","",IFERROR(FORECAST(K47+B47+B48,INDEX(Courbe_de_tarage!$H$4:$H$44,MATCH(K47+B47+B48,Courbe_de_tarage!$I$4:$I$44,1)):INDEX(Courbe_de_tarage!$H$4:$H$44,MATCH(K47+B47+B48,Courbe_de_tarage!$I$4:$I$44,1)+1),INDEX(Courbe_de_tarage!$I$4:$I$44,MATCH(K47+B47+B48,Courbe_de_tarage!$I$4:$I$44,1)):INDEX(Courbe_de_tarage!$I$4:$I$44,MATCH(K47+B47+B48,Courbe_de_tarage!$I$4:$I$44,1)+1)),IFERROR(INDEX(Courbe_de_tarage!$H$4:$H$44,MATCH(K47+B47+B48,Courbe_de_tarage!$I$4:$I$44,1)),INDEX(Courbe_de_tarage!$H$4:$H$44,1))))</f>
        <v/>
      </c>
      <c r="I48" s="4">
        <f>IF(G48="","",IF(G48&gt;37.4,"OUI",""))</f>
        <v/>
      </c>
      <c r="J48" s="19">
        <f>IF(A48="","",K47+B47+B48)</f>
        <v/>
      </c>
      <c r="K48" s="19">
        <f>IF(A48="","",2*H48/(Hydrogramme_entree!$B$8*60)-E48)</f>
        <v/>
      </c>
    </row>
    <row r="49">
      <c r="A49" s="4">
        <f>Hydrogramme_entree!A55</f>
        <v/>
      </c>
      <c r="B49" s="19">
        <f>Hydrogramme_entree!B55</f>
        <v/>
      </c>
      <c r="C49" s="19">
        <f>IF(A49="","",IFERROR(FORECAST(K48+B48+B49,INDEX(Courbe_de_tarage!$C$4:$C$44,MATCH(K48+B48+B49,Courbe_de_tarage!$I$4:$I$44,1)):INDEX(Courbe_de_tarage!$C$4:$C$44,MATCH(K48+B48+B49,Courbe_de_tarage!$I$4:$I$44,1)+1),INDEX(Courbe_de_tarage!$I$4:$I$44,MATCH(K48+B48+B49,Courbe_de_tarage!$I$4:$I$44,1)):INDEX(Courbe_de_tarage!$I$4:$I$44,MATCH(K48+B48+B49,Courbe_de_tarage!$I$4:$I$44,1)+1)),IFERROR(INDEX(Courbe_de_tarage!$C$4:$C$44,MATCH(K48+B48+B49,Courbe_de_tarage!$I$4:$I$44,1)),INDEX(Courbe_de_tarage!$C$4:$C$44,1))))</f>
        <v/>
      </c>
      <c r="D49" s="19">
        <f>IF(A49="","",IFERROR(FORECAST(K48+B48+B49,INDEX(Courbe_de_tarage!$D$4:$D$44,MATCH(K48+B48+B49,Courbe_de_tarage!$I$4:$I$44,1)):INDEX(Courbe_de_tarage!$D$4:$D$44,MATCH(K48+B48+B49,Courbe_de_tarage!$I$4:$I$44,1)+1),INDEX(Courbe_de_tarage!$I$4:$I$44,MATCH(K48+B48+B49,Courbe_de_tarage!$I$4:$I$44,1)):INDEX(Courbe_de_tarage!$I$4:$I$44,MATCH(K48+B48+B49,Courbe_de_tarage!$I$4:$I$44,1)+1)),IFERROR(INDEX(Courbe_de_tarage!$D$4:$D$44,MATCH(K48+B48+B49,Courbe_de_tarage!$I$4:$I$44,1)),INDEX(Courbe_de_tarage!$D$4:$D$44,1))))</f>
        <v/>
      </c>
      <c r="E49" s="19">
        <f>IF(A49="","",IFERROR(FORECAST(K48+B48+B49,INDEX(Courbe_de_tarage!$E$4:$E$44,MATCH(K48+B48+B49,Courbe_de_tarage!$I$4:$I$44,1)):INDEX(Courbe_de_tarage!$E$4:$E$44,MATCH(K48+B48+B49,Courbe_de_tarage!$I$4:$I$44,1)+1),INDEX(Courbe_de_tarage!$I$4:$I$44,MATCH(K48+B48+B49,Courbe_de_tarage!$I$4:$I$44,1)):INDEX(Courbe_de_tarage!$I$4:$I$44,MATCH(K48+B48+B49,Courbe_de_tarage!$I$4:$I$44,1)+1)),IFERROR(INDEX(Courbe_de_tarage!$E$4:$E$44,MATCH(K48+B48+B49,Courbe_de_tarage!$I$4:$I$44,1)),INDEX(Courbe_de_tarage!$E$4:$E$44,1))))</f>
        <v/>
      </c>
      <c r="F49" s="19">
        <f>IF(A49="","",IFERROR(FORECAST(K48+B48+B49,INDEX(Courbe_de_tarage!$A$4:$A$44,MATCH(K48+B48+B49,Courbe_de_tarage!$I$4:$I$44,1)):INDEX(Courbe_de_tarage!$A$4:$A$44,MATCH(K48+B48+B49,Courbe_de_tarage!$I$4:$I$44,1)+1),INDEX(Courbe_de_tarage!$I$4:$I$44,MATCH(K48+B48+B49,Courbe_de_tarage!$I$4:$I$44,1)):INDEX(Courbe_de_tarage!$I$4:$I$44,MATCH(K48+B48+B49,Courbe_de_tarage!$I$4:$I$44,1)+1)),IFERROR(INDEX(Courbe_de_tarage!$A$4:$A$44,MATCH(K48+B48+B49,Courbe_de_tarage!$I$4:$I$44,1)),INDEX(Courbe_de_tarage!$A$4:$A$44,1))))</f>
        <v/>
      </c>
      <c r="G49" s="19">
        <f>IF(A49="","",35.36+F49)</f>
        <v/>
      </c>
      <c r="H49" s="19">
        <f>IF(A49="","",IFERROR(FORECAST(K48+B48+B49,INDEX(Courbe_de_tarage!$H$4:$H$44,MATCH(K48+B48+B49,Courbe_de_tarage!$I$4:$I$44,1)):INDEX(Courbe_de_tarage!$H$4:$H$44,MATCH(K48+B48+B49,Courbe_de_tarage!$I$4:$I$44,1)+1),INDEX(Courbe_de_tarage!$I$4:$I$44,MATCH(K48+B48+B49,Courbe_de_tarage!$I$4:$I$44,1)):INDEX(Courbe_de_tarage!$I$4:$I$44,MATCH(K48+B48+B49,Courbe_de_tarage!$I$4:$I$44,1)+1)),IFERROR(INDEX(Courbe_de_tarage!$H$4:$H$44,MATCH(K48+B48+B49,Courbe_de_tarage!$I$4:$I$44,1)),INDEX(Courbe_de_tarage!$H$4:$H$44,1))))</f>
        <v/>
      </c>
      <c r="I49" s="4">
        <f>IF(G49="","",IF(G49&gt;37.4,"OUI",""))</f>
        <v/>
      </c>
      <c r="J49" s="19">
        <f>IF(A49="","",K48+B48+B49)</f>
        <v/>
      </c>
      <c r="K49" s="19">
        <f>IF(A49="","",2*H49/(Hydrogramme_entree!$B$8*60)-E49)</f>
        <v/>
      </c>
    </row>
    <row r="50">
      <c r="A50" s="4">
        <f>Hydrogramme_entree!A56</f>
        <v/>
      </c>
      <c r="B50" s="19">
        <f>Hydrogramme_entree!B56</f>
        <v/>
      </c>
      <c r="C50" s="19">
        <f>IF(A50="","",IFERROR(FORECAST(K49+B49+B50,INDEX(Courbe_de_tarage!$C$4:$C$44,MATCH(K49+B49+B50,Courbe_de_tarage!$I$4:$I$44,1)):INDEX(Courbe_de_tarage!$C$4:$C$44,MATCH(K49+B49+B50,Courbe_de_tarage!$I$4:$I$44,1)+1),INDEX(Courbe_de_tarage!$I$4:$I$44,MATCH(K49+B49+B50,Courbe_de_tarage!$I$4:$I$44,1)):INDEX(Courbe_de_tarage!$I$4:$I$44,MATCH(K49+B49+B50,Courbe_de_tarage!$I$4:$I$44,1)+1)),IFERROR(INDEX(Courbe_de_tarage!$C$4:$C$44,MATCH(K49+B49+B50,Courbe_de_tarage!$I$4:$I$44,1)),INDEX(Courbe_de_tarage!$C$4:$C$44,1))))</f>
        <v/>
      </c>
      <c r="D50" s="19">
        <f>IF(A50="","",IFERROR(FORECAST(K49+B49+B50,INDEX(Courbe_de_tarage!$D$4:$D$44,MATCH(K49+B49+B50,Courbe_de_tarage!$I$4:$I$44,1)):INDEX(Courbe_de_tarage!$D$4:$D$44,MATCH(K49+B49+B50,Courbe_de_tarage!$I$4:$I$44,1)+1),INDEX(Courbe_de_tarage!$I$4:$I$44,MATCH(K49+B49+B50,Courbe_de_tarage!$I$4:$I$44,1)):INDEX(Courbe_de_tarage!$I$4:$I$44,MATCH(K49+B49+B50,Courbe_de_tarage!$I$4:$I$44,1)+1)),IFERROR(INDEX(Courbe_de_tarage!$D$4:$D$44,MATCH(K49+B49+B50,Courbe_de_tarage!$I$4:$I$44,1)),INDEX(Courbe_de_tarage!$D$4:$D$44,1))))</f>
        <v/>
      </c>
      <c r="E50" s="19">
        <f>IF(A50="","",IFERROR(FORECAST(K49+B49+B50,INDEX(Courbe_de_tarage!$E$4:$E$44,MATCH(K49+B49+B50,Courbe_de_tarage!$I$4:$I$44,1)):INDEX(Courbe_de_tarage!$E$4:$E$44,MATCH(K49+B49+B50,Courbe_de_tarage!$I$4:$I$44,1)+1),INDEX(Courbe_de_tarage!$I$4:$I$44,MATCH(K49+B49+B50,Courbe_de_tarage!$I$4:$I$44,1)):INDEX(Courbe_de_tarage!$I$4:$I$44,MATCH(K49+B49+B50,Courbe_de_tarage!$I$4:$I$44,1)+1)),IFERROR(INDEX(Courbe_de_tarage!$E$4:$E$44,MATCH(K49+B49+B50,Courbe_de_tarage!$I$4:$I$44,1)),INDEX(Courbe_de_tarage!$E$4:$E$44,1))))</f>
        <v/>
      </c>
      <c r="F50" s="19">
        <f>IF(A50="","",IFERROR(FORECAST(K49+B49+B50,INDEX(Courbe_de_tarage!$A$4:$A$44,MATCH(K49+B49+B50,Courbe_de_tarage!$I$4:$I$44,1)):INDEX(Courbe_de_tarage!$A$4:$A$44,MATCH(K49+B49+B50,Courbe_de_tarage!$I$4:$I$44,1)+1),INDEX(Courbe_de_tarage!$I$4:$I$44,MATCH(K49+B49+B50,Courbe_de_tarage!$I$4:$I$44,1)):INDEX(Courbe_de_tarage!$I$4:$I$44,MATCH(K49+B49+B50,Courbe_de_tarage!$I$4:$I$44,1)+1)),IFERROR(INDEX(Courbe_de_tarage!$A$4:$A$44,MATCH(K49+B49+B50,Courbe_de_tarage!$I$4:$I$44,1)),INDEX(Courbe_de_tarage!$A$4:$A$44,1))))</f>
        <v/>
      </c>
      <c r="G50" s="19">
        <f>IF(A50="","",35.36+F50)</f>
        <v/>
      </c>
      <c r="H50" s="19">
        <f>IF(A50="","",IFERROR(FORECAST(K49+B49+B50,INDEX(Courbe_de_tarage!$H$4:$H$44,MATCH(K49+B49+B50,Courbe_de_tarage!$I$4:$I$44,1)):INDEX(Courbe_de_tarage!$H$4:$H$44,MATCH(K49+B49+B50,Courbe_de_tarage!$I$4:$I$44,1)+1),INDEX(Courbe_de_tarage!$I$4:$I$44,MATCH(K49+B49+B50,Courbe_de_tarage!$I$4:$I$44,1)):INDEX(Courbe_de_tarage!$I$4:$I$44,MATCH(K49+B49+B50,Courbe_de_tarage!$I$4:$I$44,1)+1)),IFERROR(INDEX(Courbe_de_tarage!$H$4:$H$44,MATCH(K49+B49+B50,Courbe_de_tarage!$I$4:$I$44,1)),INDEX(Courbe_de_tarage!$H$4:$H$44,1))))</f>
        <v/>
      </c>
      <c r="I50" s="4">
        <f>IF(G50="","",IF(G50&gt;37.4,"OUI",""))</f>
        <v/>
      </c>
      <c r="J50" s="19">
        <f>IF(A50="","",K49+B49+B50)</f>
        <v/>
      </c>
      <c r="K50" s="19">
        <f>IF(A50="","",2*H50/(Hydrogramme_entree!$B$8*60)-E50)</f>
        <v/>
      </c>
    </row>
    <row r="51">
      <c r="A51" s="4">
        <f>Hydrogramme_entree!A57</f>
        <v/>
      </c>
      <c r="B51" s="19">
        <f>Hydrogramme_entree!B57</f>
        <v/>
      </c>
      <c r="C51" s="19">
        <f>IF(A51="","",IFERROR(FORECAST(K50+B50+B51,INDEX(Courbe_de_tarage!$C$4:$C$44,MATCH(K50+B50+B51,Courbe_de_tarage!$I$4:$I$44,1)):INDEX(Courbe_de_tarage!$C$4:$C$44,MATCH(K50+B50+B51,Courbe_de_tarage!$I$4:$I$44,1)+1),INDEX(Courbe_de_tarage!$I$4:$I$44,MATCH(K50+B50+B51,Courbe_de_tarage!$I$4:$I$44,1)):INDEX(Courbe_de_tarage!$I$4:$I$44,MATCH(K50+B50+B51,Courbe_de_tarage!$I$4:$I$44,1)+1)),IFERROR(INDEX(Courbe_de_tarage!$C$4:$C$44,MATCH(K50+B50+B51,Courbe_de_tarage!$I$4:$I$44,1)),INDEX(Courbe_de_tarage!$C$4:$C$44,1))))</f>
        <v/>
      </c>
      <c r="D51" s="19">
        <f>IF(A51="","",IFERROR(FORECAST(K50+B50+B51,INDEX(Courbe_de_tarage!$D$4:$D$44,MATCH(K50+B50+B51,Courbe_de_tarage!$I$4:$I$44,1)):INDEX(Courbe_de_tarage!$D$4:$D$44,MATCH(K50+B50+B51,Courbe_de_tarage!$I$4:$I$44,1)+1),INDEX(Courbe_de_tarage!$I$4:$I$44,MATCH(K50+B50+B51,Courbe_de_tarage!$I$4:$I$44,1)):INDEX(Courbe_de_tarage!$I$4:$I$44,MATCH(K50+B50+B51,Courbe_de_tarage!$I$4:$I$44,1)+1)),IFERROR(INDEX(Courbe_de_tarage!$D$4:$D$44,MATCH(K50+B50+B51,Courbe_de_tarage!$I$4:$I$44,1)),INDEX(Courbe_de_tarage!$D$4:$D$44,1))))</f>
        <v/>
      </c>
      <c r="E51" s="19">
        <f>IF(A51="","",IFERROR(FORECAST(K50+B50+B51,INDEX(Courbe_de_tarage!$E$4:$E$44,MATCH(K50+B50+B51,Courbe_de_tarage!$I$4:$I$44,1)):INDEX(Courbe_de_tarage!$E$4:$E$44,MATCH(K50+B50+B51,Courbe_de_tarage!$I$4:$I$44,1)+1),INDEX(Courbe_de_tarage!$I$4:$I$44,MATCH(K50+B50+B51,Courbe_de_tarage!$I$4:$I$44,1)):INDEX(Courbe_de_tarage!$I$4:$I$44,MATCH(K50+B50+B51,Courbe_de_tarage!$I$4:$I$44,1)+1)),IFERROR(INDEX(Courbe_de_tarage!$E$4:$E$44,MATCH(K50+B50+B51,Courbe_de_tarage!$I$4:$I$44,1)),INDEX(Courbe_de_tarage!$E$4:$E$44,1))))</f>
        <v/>
      </c>
      <c r="F51" s="19">
        <f>IF(A51="","",IFERROR(FORECAST(K50+B50+B51,INDEX(Courbe_de_tarage!$A$4:$A$44,MATCH(K50+B50+B51,Courbe_de_tarage!$I$4:$I$44,1)):INDEX(Courbe_de_tarage!$A$4:$A$44,MATCH(K50+B50+B51,Courbe_de_tarage!$I$4:$I$44,1)+1),INDEX(Courbe_de_tarage!$I$4:$I$44,MATCH(K50+B50+B51,Courbe_de_tarage!$I$4:$I$44,1)):INDEX(Courbe_de_tarage!$I$4:$I$44,MATCH(K50+B50+B51,Courbe_de_tarage!$I$4:$I$44,1)+1)),IFERROR(INDEX(Courbe_de_tarage!$A$4:$A$44,MATCH(K50+B50+B51,Courbe_de_tarage!$I$4:$I$44,1)),INDEX(Courbe_de_tarage!$A$4:$A$44,1))))</f>
        <v/>
      </c>
      <c r="G51" s="19">
        <f>IF(A51="","",35.36+F51)</f>
        <v/>
      </c>
      <c r="H51" s="19">
        <f>IF(A51="","",IFERROR(FORECAST(K50+B50+B51,INDEX(Courbe_de_tarage!$H$4:$H$44,MATCH(K50+B50+B51,Courbe_de_tarage!$I$4:$I$44,1)):INDEX(Courbe_de_tarage!$H$4:$H$44,MATCH(K50+B50+B51,Courbe_de_tarage!$I$4:$I$44,1)+1),INDEX(Courbe_de_tarage!$I$4:$I$44,MATCH(K50+B50+B51,Courbe_de_tarage!$I$4:$I$44,1)):INDEX(Courbe_de_tarage!$I$4:$I$44,MATCH(K50+B50+B51,Courbe_de_tarage!$I$4:$I$44,1)+1)),IFERROR(INDEX(Courbe_de_tarage!$H$4:$H$44,MATCH(K50+B50+B51,Courbe_de_tarage!$I$4:$I$44,1)),INDEX(Courbe_de_tarage!$H$4:$H$44,1))))</f>
        <v/>
      </c>
      <c r="I51" s="4">
        <f>IF(G51="","",IF(G51&gt;37.4,"OUI",""))</f>
        <v/>
      </c>
      <c r="J51" s="19">
        <f>IF(A51="","",K50+B50+B51)</f>
        <v/>
      </c>
      <c r="K51" s="19">
        <f>IF(A51="","",2*H51/(Hydrogramme_entree!$B$8*60)-E51)</f>
        <v/>
      </c>
    </row>
    <row r="52">
      <c r="A52" s="4">
        <f>Hydrogramme_entree!A58</f>
        <v/>
      </c>
      <c r="B52" s="19">
        <f>Hydrogramme_entree!B58</f>
        <v/>
      </c>
      <c r="C52" s="19">
        <f>IF(A52="","",IFERROR(FORECAST(K51+B51+B52,INDEX(Courbe_de_tarage!$C$4:$C$44,MATCH(K51+B51+B52,Courbe_de_tarage!$I$4:$I$44,1)):INDEX(Courbe_de_tarage!$C$4:$C$44,MATCH(K51+B51+B52,Courbe_de_tarage!$I$4:$I$44,1)+1),INDEX(Courbe_de_tarage!$I$4:$I$44,MATCH(K51+B51+B52,Courbe_de_tarage!$I$4:$I$44,1)):INDEX(Courbe_de_tarage!$I$4:$I$44,MATCH(K51+B51+B52,Courbe_de_tarage!$I$4:$I$44,1)+1)),IFERROR(INDEX(Courbe_de_tarage!$C$4:$C$44,MATCH(K51+B51+B52,Courbe_de_tarage!$I$4:$I$44,1)),INDEX(Courbe_de_tarage!$C$4:$C$44,1))))</f>
        <v/>
      </c>
      <c r="D52" s="19">
        <f>IF(A52="","",IFERROR(FORECAST(K51+B51+B52,INDEX(Courbe_de_tarage!$D$4:$D$44,MATCH(K51+B51+B52,Courbe_de_tarage!$I$4:$I$44,1)):INDEX(Courbe_de_tarage!$D$4:$D$44,MATCH(K51+B51+B52,Courbe_de_tarage!$I$4:$I$44,1)+1),INDEX(Courbe_de_tarage!$I$4:$I$44,MATCH(K51+B51+B52,Courbe_de_tarage!$I$4:$I$44,1)):INDEX(Courbe_de_tarage!$I$4:$I$44,MATCH(K51+B51+B52,Courbe_de_tarage!$I$4:$I$44,1)+1)),IFERROR(INDEX(Courbe_de_tarage!$D$4:$D$44,MATCH(K51+B51+B52,Courbe_de_tarage!$I$4:$I$44,1)),INDEX(Courbe_de_tarage!$D$4:$D$44,1))))</f>
        <v/>
      </c>
      <c r="E52" s="19">
        <f>IF(A52="","",IFERROR(FORECAST(K51+B51+B52,INDEX(Courbe_de_tarage!$E$4:$E$44,MATCH(K51+B51+B52,Courbe_de_tarage!$I$4:$I$44,1)):INDEX(Courbe_de_tarage!$E$4:$E$44,MATCH(K51+B51+B52,Courbe_de_tarage!$I$4:$I$44,1)+1),INDEX(Courbe_de_tarage!$I$4:$I$44,MATCH(K51+B51+B52,Courbe_de_tarage!$I$4:$I$44,1)):INDEX(Courbe_de_tarage!$I$4:$I$44,MATCH(K51+B51+B52,Courbe_de_tarage!$I$4:$I$44,1)+1)),IFERROR(INDEX(Courbe_de_tarage!$E$4:$E$44,MATCH(K51+B51+B52,Courbe_de_tarage!$I$4:$I$44,1)),INDEX(Courbe_de_tarage!$E$4:$E$44,1))))</f>
        <v/>
      </c>
      <c r="F52" s="19">
        <f>IF(A52="","",IFERROR(FORECAST(K51+B51+B52,INDEX(Courbe_de_tarage!$A$4:$A$44,MATCH(K51+B51+B52,Courbe_de_tarage!$I$4:$I$44,1)):INDEX(Courbe_de_tarage!$A$4:$A$44,MATCH(K51+B51+B52,Courbe_de_tarage!$I$4:$I$44,1)+1),INDEX(Courbe_de_tarage!$I$4:$I$44,MATCH(K51+B51+B52,Courbe_de_tarage!$I$4:$I$44,1)):INDEX(Courbe_de_tarage!$I$4:$I$44,MATCH(K51+B51+B52,Courbe_de_tarage!$I$4:$I$44,1)+1)),IFERROR(INDEX(Courbe_de_tarage!$A$4:$A$44,MATCH(K51+B51+B52,Courbe_de_tarage!$I$4:$I$44,1)),INDEX(Courbe_de_tarage!$A$4:$A$44,1))))</f>
        <v/>
      </c>
      <c r="G52" s="19">
        <f>IF(A52="","",35.36+F52)</f>
        <v/>
      </c>
      <c r="H52" s="19">
        <f>IF(A52="","",IFERROR(FORECAST(K51+B51+B52,INDEX(Courbe_de_tarage!$H$4:$H$44,MATCH(K51+B51+B52,Courbe_de_tarage!$I$4:$I$44,1)):INDEX(Courbe_de_tarage!$H$4:$H$44,MATCH(K51+B51+B52,Courbe_de_tarage!$I$4:$I$44,1)+1),INDEX(Courbe_de_tarage!$I$4:$I$44,MATCH(K51+B51+B52,Courbe_de_tarage!$I$4:$I$44,1)):INDEX(Courbe_de_tarage!$I$4:$I$44,MATCH(K51+B51+B52,Courbe_de_tarage!$I$4:$I$44,1)+1)),IFERROR(INDEX(Courbe_de_tarage!$H$4:$H$44,MATCH(K51+B51+B52,Courbe_de_tarage!$I$4:$I$44,1)),INDEX(Courbe_de_tarage!$H$4:$H$44,1))))</f>
        <v/>
      </c>
      <c r="I52" s="4">
        <f>IF(G52="","",IF(G52&gt;37.4,"OUI",""))</f>
        <v/>
      </c>
      <c r="J52" s="19">
        <f>IF(A52="","",K51+B51+B52)</f>
        <v/>
      </c>
      <c r="K52" s="19">
        <f>IF(A52="","",2*H52/(Hydrogramme_entree!$B$8*60)-E52)</f>
        <v/>
      </c>
    </row>
    <row r="53">
      <c r="A53" s="4">
        <f>Hydrogramme_entree!A59</f>
        <v/>
      </c>
      <c r="B53" s="19">
        <f>Hydrogramme_entree!B59</f>
        <v/>
      </c>
      <c r="C53" s="19">
        <f>IF(A53="","",IFERROR(FORECAST(K52+B52+B53,INDEX(Courbe_de_tarage!$C$4:$C$44,MATCH(K52+B52+B53,Courbe_de_tarage!$I$4:$I$44,1)):INDEX(Courbe_de_tarage!$C$4:$C$44,MATCH(K52+B52+B53,Courbe_de_tarage!$I$4:$I$44,1)+1),INDEX(Courbe_de_tarage!$I$4:$I$44,MATCH(K52+B52+B53,Courbe_de_tarage!$I$4:$I$44,1)):INDEX(Courbe_de_tarage!$I$4:$I$44,MATCH(K52+B52+B53,Courbe_de_tarage!$I$4:$I$44,1)+1)),IFERROR(INDEX(Courbe_de_tarage!$C$4:$C$44,MATCH(K52+B52+B53,Courbe_de_tarage!$I$4:$I$44,1)),INDEX(Courbe_de_tarage!$C$4:$C$44,1))))</f>
        <v/>
      </c>
      <c r="D53" s="19">
        <f>IF(A53="","",IFERROR(FORECAST(K52+B52+B53,INDEX(Courbe_de_tarage!$D$4:$D$44,MATCH(K52+B52+B53,Courbe_de_tarage!$I$4:$I$44,1)):INDEX(Courbe_de_tarage!$D$4:$D$44,MATCH(K52+B52+B53,Courbe_de_tarage!$I$4:$I$44,1)+1),INDEX(Courbe_de_tarage!$I$4:$I$44,MATCH(K52+B52+B53,Courbe_de_tarage!$I$4:$I$44,1)):INDEX(Courbe_de_tarage!$I$4:$I$44,MATCH(K52+B52+B53,Courbe_de_tarage!$I$4:$I$44,1)+1)),IFERROR(INDEX(Courbe_de_tarage!$D$4:$D$44,MATCH(K52+B52+B53,Courbe_de_tarage!$I$4:$I$44,1)),INDEX(Courbe_de_tarage!$D$4:$D$44,1))))</f>
        <v/>
      </c>
      <c r="E53" s="19">
        <f>IF(A53="","",IFERROR(FORECAST(K52+B52+B53,INDEX(Courbe_de_tarage!$E$4:$E$44,MATCH(K52+B52+B53,Courbe_de_tarage!$I$4:$I$44,1)):INDEX(Courbe_de_tarage!$E$4:$E$44,MATCH(K52+B52+B53,Courbe_de_tarage!$I$4:$I$44,1)+1),INDEX(Courbe_de_tarage!$I$4:$I$44,MATCH(K52+B52+B53,Courbe_de_tarage!$I$4:$I$44,1)):INDEX(Courbe_de_tarage!$I$4:$I$44,MATCH(K52+B52+B53,Courbe_de_tarage!$I$4:$I$44,1)+1)),IFERROR(INDEX(Courbe_de_tarage!$E$4:$E$44,MATCH(K52+B52+B53,Courbe_de_tarage!$I$4:$I$44,1)),INDEX(Courbe_de_tarage!$E$4:$E$44,1))))</f>
        <v/>
      </c>
      <c r="F53" s="19">
        <f>IF(A53="","",IFERROR(FORECAST(K52+B52+B53,INDEX(Courbe_de_tarage!$A$4:$A$44,MATCH(K52+B52+B53,Courbe_de_tarage!$I$4:$I$44,1)):INDEX(Courbe_de_tarage!$A$4:$A$44,MATCH(K52+B52+B53,Courbe_de_tarage!$I$4:$I$44,1)+1),INDEX(Courbe_de_tarage!$I$4:$I$44,MATCH(K52+B52+B53,Courbe_de_tarage!$I$4:$I$44,1)):INDEX(Courbe_de_tarage!$I$4:$I$44,MATCH(K52+B52+B53,Courbe_de_tarage!$I$4:$I$44,1)+1)),IFERROR(INDEX(Courbe_de_tarage!$A$4:$A$44,MATCH(K52+B52+B53,Courbe_de_tarage!$I$4:$I$44,1)),INDEX(Courbe_de_tarage!$A$4:$A$44,1))))</f>
        <v/>
      </c>
      <c r="G53" s="19">
        <f>IF(A53="","",35.36+F53)</f>
        <v/>
      </c>
      <c r="H53" s="19">
        <f>IF(A53="","",IFERROR(FORECAST(K52+B52+B53,INDEX(Courbe_de_tarage!$H$4:$H$44,MATCH(K52+B52+B53,Courbe_de_tarage!$I$4:$I$44,1)):INDEX(Courbe_de_tarage!$H$4:$H$44,MATCH(K52+B52+B53,Courbe_de_tarage!$I$4:$I$44,1)+1),INDEX(Courbe_de_tarage!$I$4:$I$44,MATCH(K52+B52+B53,Courbe_de_tarage!$I$4:$I$44,1)):INDEX(Courbe_de_tarage!$I$4:$I$44,MATCH(K52+B52+B53,Courbe_de_tarage!$I$4:$I$44,1)+1)),IFERROR(INDEX(Courbe_de_tarage!$H$4:$H$44,MATCH(K52+B52+B53,Courbe_de_tarage!$I$4:$I$44,1)),INDEX(Courbe_de_tarage!$H$4:$H$44,1))))</f>
        <v/>
      </c>
      <c r="I53" s="4">
        <f>IF(G53="","",IF(G53&gt;37.4,"OUI",""))</f>
        <v/>
      </c>
      <c r="J53" s="19">
        <f>IF(A53="","",K52+B52+B53)</f>
        <v/>
      </c>
      <c r="K53" s="19">
        <f>IF(A53="","",2*H53/(Hydrogramme_entree!$B$8*60)-E53)</f>
        <v/>
      </c>
    </row>
    <row r="54">
      <c r="A54" s="4">
        <f>Hydrogramme_entree!A60</f>
        <v/>
      </c>
      <c r="B54" s="19">
        <f>Hydrogramme_entree!B60</f>
        <v/>
      </c>
      <c r="C54" s="19">
        <f>IF(A54="","",IFERROR(FORECAST(K53+B53+B54,INDEX(Courbe_de_tarage!$C$4:$C$44,MATCH(K53+B53+B54,Courbe_de_tarage!$I$4:$I$44,1)):INDEX(Courbe_de_tarage!$C$4:$C$44,MATCH(K53+B53+B54,Courbe_de_tarage!$I$4:$I$44,1)+1),INDEX(Courbe_de_tarage!$I$4:$I$44,MATCH(K53+B53+B54,Courbe_de_tarage!$I$4:$I$44,1)):INDEX(Courbe_de_tarage!$I$4:$I$44,MATCH(K53+B53+B54,Courbe_de_tarage!$I$4:$I$44,1)+1)),IFERROR(INDEX(Courbe_de_tarage!$C$4:$C$44,MATCH(K53+B53+B54,Courbe_de_tarage!$I$4:$I$44,1)),INDEX(Courbe_de_tarage!$C$4:$C$44,1))))</f>
        <v/>
      </c>
      <c r="D54" s="19">
        <f>IF(A54="","",IFERROR(FORECAST(K53+B53+B54,INDEX(Courbe_de_tarage!$D$4:$D$44,MATCH(K53+B53+B54,Courbe_de_tarage!$I$4:$I$44,1)):INDEX(Courbe_de_tarage!$D$4:$D$44,MATCH(K53+B53+B54,Courbe_de_tarage!$I$4:$I$44,1)+1),INDEX(Courbe_de_tarage!$I$4:$I$44,MATCH(K53+B53+B54,Courbe_de_tarage!$I$4:$I$44,1)):INDEX(Courbe_de_tarage!$I$4:$I$44,MATCH(K53+B53+B54,Courbe_de_tarage!$I$4:$I$44,1)+1)),IFERROR(INDEX(Courbe_de_tarage!$D$4:$D$44,MATCH(K53+B53+B54,Courbe_de_tarage!$I$4:$I$44,1)),INDEX(Courbe_de_tarage!$D$4:$D$44,1))))</f>
        <v/>
      </c>
      <c r="E54" s="19">
        <f>IF(A54="","",IFERROR(FORECAST(K53+B53+B54,INDEX(Courbe_de_tarage!$E$4:$E$44,MATCH(K53+B53+B54,Courbe_de_tarage!$I$4:$I$44,1)):INDEX(Courbe_de_tarage!$E$4:$E$44,MATCH(K53+B53+B54,Courbe_de_tarage!$I$4:$I$44,1)+1),INDEX(Courbe_de_tarage!$I$4:$I$44,MATCH(K53+B53+B54,Courbe_de_tarage!$I$4:$I$44,1)):INDEX(Courbe_de_tarage!$I$4:$I$44,MATCH(K53+B53+B54,Courbe_de_tarage!$I$4:$I$44,1)+1)),IFERROR(INDEX(Courbe_de_tarage!$E$4:$E$44,MATCH(K53+B53+B54,Courbe_de_tarage!$I$4:$I$44,1)),INDEX(Courbe_de_tarage!$E$4:$E$44,1))))</f>
        <v/>
      </c>
      <c r="F54" s="19">
        <f>IF(A54="","",IFERROR(FORECAST(K53+B53+B54,INDEX(Courbe_de_tarage!$A$4:$A$44,MATCH(K53+B53+B54,Courbe_de_tarage!$I$4:$I$44,1)):INDEX(Courbe_de_tarage!$A$4:$A$44,MATCH(K53+B53+B54,Courbe_de_tarage!$I$4:$I$44,1)+1),INDEX(Courbe_de_tarage!$I$4:$I$44,MATCH(K53+B53+B54,Courbe_de_tarage!$I$4:$I$44,1)):INDEX(Courbe_de_tarage!$I$4:$I$44,MATCH(K53+B53+B54,Courbe_de_tarage!$I$4:$I$44,1)+1)),IFERROR(INDEX(Courbe_de_tarage!$A$4:$A$44,MATCH(K53+B53+B54,Courbe_de_tarage!$I$4:$I$44,1)),INDEX(Courbe_de_tarage!$A$4:$A$44,1))))</f>
        <v/>
      </c>
      <c r="G54" s="19">
        <f>IF(A54="","",35.36+F54)</f>
        <v/>
      </c>
      <c r="H54" s="19">
        <f>IF(A54="","",IFERROR(FORECAST(K53+B53+B54,INDEX(Courbe_de_tarage!$H$4:$H$44,MATCH(K53+B53+B54,Courbe_de_tarage!$I$4:$I$44,1)):INDEX(Courbe_de_tarage!$H$4:$H$44,MATCH(K53+B53+B54,Courbe_de_tarage!$I$4:$I$44,1)+1),INDEX(Courbe_de_tarage!$I$4:$I$44,MATCH(K53+B53+B54,Courbe_de_tarage!$I$4:$I$44,1)):INDEX(Courbe_de_tarage!$I$4:$I$44,MATCH(K53+B53+B54,Courbe_de_tarage!$I$4:$I$44,1)+1)),IFERROR(INDEX(Courbe_de_tarage!$H$4:$H$44,MATCH(K53+B53+B54,Courbe_de_tarage!$I$4:$I$44,1)),INDEX(Courbe_de_tarage!$H$4:$H$44,1))))</f>
        <v/>
      </c>
      <c r="I54" s="4">
        <f>IF(G54="","",IF(G54&gt;37.4,"OUI",""))</f>
        <v/>
      </c>
      <c r="J54" s="19">
        <f>IF(A54="","",K53+B53+B54)</f>
        <v/>
      </c>
      <c r="K54" s="19">
        <f>IF(A54="","",2*H54/(Hydrogramme_entree!$B$8*60)-E54)</f>
        <v/>
      </c>
    </row>
    <row r="55">
      <c r="A55" s="4">
        <f>Hydrogramme_entree!A61</f>
        <v/>
      </c>
      <c r="B55" s="19">
        <f>Hydrogramme_entree!B61</f>
        <v/>
      </c>
      <c r="C55" s="19">
        <f>IF(A55="","",IFERROR(FORECAST(K54+B54+B55,INDEX(Courbe_de_tarage!$C$4:$C$44,MATCH(K54+B54+B55,Courbe_de_tarage!$I$4:$I$44,1)):INDEX(Courbe_de_tarage!$C$4:$C$44,MATCH(K54+B54+B55,Courbe_de_tarage!$I$4:$I$44,1)+1),INDEX(Courbe_de_tarage!$I$4:$I$44,MATCH(K54+B54+B55,Courbe_de_tarage!$I$4:$I$44,1)):INDEX(Courbe_de_tarage!$I$4:$I$44,MATCH(K54+B54+B55,Courbe_de_tarage!$I$4:$I$44,1)+1)),IFERROR(INDEX(Courbe_de_tarage!$C$4:$C$44,MATCH(K54+B54+B55,Courbe_de_tarage!$I$4:$I$44,1)),INDEX(Courbe_de_tarage!$C$4:$C$44,1))))</f>
        <v/>
      </c>
      <c r="D55" s="19">
        <f>IF(A55="","",IFERROR(FORECAST(K54+B54+B55,INDEX(Courbe_de_tarage!$D$4:$D$44,MATCH(K54+B54+B55,Courbe_de_tarage!$I$4:$I$44,1)):INDEX(Courbe_de_tarage!$D$4:$D$44,MATCH(K54+B54+B55,Courbe_de_tarage!$I$4:$I$44,1)+1),INDEX(Courbe_de_tarage!$I$4:$I$44,MATCH(K54+B54+B55,Courbe_de_tarage!$I$4:$I$44,1)):INDEX(Courbe_de_tarage!$I$4:$I$44,MATCH(K54+B54+B55,Courbe_de_tarage!$I$4:$I$44,1)+1)),IFERROR(INDEX(Courbe_de_tarage!$D$4:$D$44,MATCH(K54+B54+B55,Courbe_de_tarage!$I$4:$I$44,1)),INDEX(Courbe_de_tarage!$D$4:$D$44,1))))</f>
        <v/>
      </c>
      <c r="E55" s="19">
        <f>IF(A55="","",IFERROR(FORECAST(K54+B54+B55,INDEX(Courbe_de_tarage!$E$4:$E$44,MATCH(K54+B54+B55,Courbe_de_tarage!$I$4:$I$44,1)):INDEX(Courbe_de_tarage!$E$4:$E$44,MATCH(K54+B54+B55,Courbe_de_tarage!$I$4:$I$44,1)+1),INDEX(Courbe_de_tarage!$I$4:$I$44,MATCH(K54+B54+B55,Courbe_de_tarage!$I$4:$I$44,1)):INDEX(Courbe_de_tarage!$I$4:$I$44,MATCH(K54+B54+B55,Courbe_de_tarage!$I$4:$I$44,1)+1)),IFERROR(INDEX(Courbe_de_tarage!$E$4:$E$44,MATCH(K54+B54+B55,Courbe_de_tarage!$I$4:$I$44,1)),INDEX(Courbe_de_tarage!$E$4:$E$44,1))))</f>
        <v/>
      </c>
      <c r="F55" s="19">
        <f>IF(A55="","",IFERROR(FORECAST(K54+B54+B55,INDEX(Courbe_de_tarage!$A$4:$A$44,MATCH(K54+B54+B55,Courbe_de_tarage!$I$4:$I$44,1)):INDEX(Courbe_de_tarage!$A$4:$A$44,MATCH(K54+B54+B55,Courbe_de_tarage!$I$4:$I$44,1)+1),INDEX(Courbe_de_tarage!$I$4:$I$44,MATCH(K54+B54+B55,Courbe_de_tarage!$I$4:$I$44,1)):INDEX(Courbe_de_tarage!$I$4:$I$44,MATCH(K54+B54+B55,Courbe_de_tarage!$I$4:$I$44,1)+1)),IFERROR(INDEX(Courbe_de_tarage!$A$4:$A$44,MATCH(K54+B54+B55,Courbe_de_tarage!$I$4:$I$44,1)),INDEX(Courbe_de_tarage!$A$4:$A$44,1))))</f>
        <v/>
      </c>
      <c r="G55" s="19">
        <f>IF(A55="","",35.36+F55)</f>
        <v/>
      </c>
      <c r="H55" s="19">
        <f>IF(A55="","",IFERROR(FORECAST(K54+B54+B55,INDEX(Courbe_de_tarage!$H$4:$H$44,MATCH(K54+B54+B55,Courbe_de_tarage!$I$4:$I$44,1)):INDEX(Courbe_de_tarage!$H$4:$H$44,MATCH(K54+B54+B55,Courbe_de_tarage!$I$4:$I$44,1)+1),INDEX(Courbe_de_tarage!$I$4:$I$44,MATCH(K54+B54+B55,Courbe_de_tarage!$I$4:$I$44,1)):INDEX(Courbe_de_tarage!$I$4:$I$44,MATCH(K54+B54+B55,Courbe_de_tarage!$I$4:$I$44,1)+1)),IFERROR(INDEX(Courbe_de_tarage!$H$4:$H$44,MATCH(K54+B54+B55,Courbe_de_tarage!$I$4:$I$44,1)),INDEX(Courbe_de_tarage!$H$4:$H$44,1))))</f>
        <v/>
      </c>
      <c r="I55" s="4">
        <f>IF(G55="","",IF(G55&gt;37.4,"OUI",""))</f>
        <v/>
      </c>
      <c r="J55" s="19">
        <f>IF(A55="","",K54+B54+B55)</f>
        <v/>
      </c>
      <c r="K55" s="19">
        <f>IF(A55="","",2*H55/(Hydrogramme_entree!$B$8*60)-E55)</f>
        <v/>
      </c>
    </row>
    <row r="56">
      <c r="A56" s="4">
        <f>Hydrogramme_entree!A62</f>
        <v/>
      </c>
      <c r="B56" s="19">
        <f>Hydrogramme_entree!B62</f>
        <v/>
      </c>
      <c r="C56" s="19">
        <f>IF(A56="","",IFERROR(FORECAST(K55+B55+B56,INDEX(Courbe_de_tarage!$C$4:$C$44,MATCH(K55+B55+B56,Courbe_de_tarage!$I$4:$I$44,1)):INDEX(Courbe_de_tarage!$C$4:$C$44,MATCH(K55+B55+B56,Courbe_de_tarage!$I$4:$I$44,1)+1),INDEX(Courbe_de_tarage!$I$4:$I$44,MATCH(K55+B55+B56,Courbe_de_tarage!$I$4:$I$44,1)):INDEX(Courbe_de_tarage!$I$4:$I$44,MATCH(K55+B55+B56,Courbe_de_tarage!$I$4:$I$44,1)+1)),IFERROR(INDEX(Courbe_de_tarage!$C$4:$C$44,MATCH(K55+B55+B56,Courbe_de_tarage!$I$4:$I$44,1)),INDEX(Courbe_de_tarage!$C$4:$C$44,1))))</f>
        <v/>
      </c>
      <c r="D56" s="19">
        <f>IF(A56="","",IFERROR(FORECAST(K55+B55+B56,INDEX(Courbe_de_tarage!$D$4:$D$44,MATCH(K55+B55+B56,Courbe_de_tarage!$I$4:$I$44,1)):INDEX(Courbe_de_tarage!$D$4:$D$44,MATCH(K55+B55+B56,Courbe_de_tarage!$I$4:$I$44,1)+1),INDEX(Courbe_de_tarage!$I$4:$I$44,MATCH(K55+B55+B56,Courbe_de_tarage!$I$4:$I$44,1)):INDEX(Courbe_de_tarage!$I$4:$I$44,MATCH(K55+B55+B56,Courbe_de_tarage!$I$4:$I$44,1)+1)),IFERROR(INDEX(Courbe_de_tarage!$D$4:$D$44,MATCH(K55+B55+B56,Courbe_de_tarage!$I$4:$I$44,1)),INDEX(Courbe_de_tarage!$D$4:$D$44,1))))</f>
        <v/>
      </c>
      <c r="E56" s="19">
        <f>IF(A56="","",IFERROR(FORECAST(K55+B55+B56,INDEX(Courbe_de_tarage!$E$4:$E$44,MATCH(K55+B55+B56,Courbe_de_tarage!$I$4:$I$44,1)):INDEX(Courbe_de_tarage!$E$4:$E$44,MATCH(K55+B55+B56,Courbe_de_tarage!$I$4:$I$44,1)+1),INDEX(Courbe_de_tarage!$I$4:$I$44,MATCH(K55+B55+B56,Courbe_de_tarage!$I$4:$I$44,1)):INDEX(Courbe_de_tarage!$I$4:$I$44,MATCH(K55+B55+B56,Courbe_de_tarage!$I$4:$I$44,1)+1)),IFERROR(INDEX(Courbe_de_tarage!$E$4:$E$44,MATCH(K55+B55+B56,Courbe_de_tarage!$I$4:$I$44,1)),INDEX(Courbe_de_tarage!$E$4:$E$44,1))))</f>
        <v/>
      </c>
      <c r="F56" s="19">
        <f>IF(A56="","",IFERROR(FORECAST(K55+B55+B56,INDEX(Courbe_de_tarage!$A$4:$A$44,MATCH(K55+B55+B56,Courbe_de_tarage!$I$4:$I$44,1)):INDEX(Courbe_de_tarage!$A$4:$A$44,MATCH(K55+B55+B56,Courbe_de_tarage!$I$4:$I$44,1)+1),INDEX(Courbe_de_tarage!$I$4:$I$44,MATCH(K55+B55+B56,Courbe_de_tarage!$I$4:$I$44,1)):INDEX(Courbe_de_tarage!$I$4:$I$44,MATCH(K55+B55+B56,Courbe_de_tarage!$I$4:$I$44,1)+1)),IFERROR(INDEX(Courbe_de_tarage!$A$4:$A$44,MATCH(K55+B55+B56,Courbe_de_tarage!$I$4:$I$44,1)),INDEX(Courbe_de_tarage!$A$4:$A$44,1))))</f>
        <v/>
      </c>
      <c r="G56" s="19">
        <f>IF(A56="","",35.36+F56)</f>
        <v/>
      </c>
      <c r="H56" s="19">
        <f>IF(A56="","",IFERROR(FORECAST(K55+B55+B56,INDEX(Courbe_de_tarage!$H$4:$H$44,MATCH(K55+B55+B56,Courbe_de_tarage!$I$4:$I$44,1)):INDEX(Courbe_de_tarage!$H$4:$H$44,MATCH(K55+B55+B56,Courbe_de_tarage!$I$4:$I$44,1)+1),INDEX(Courbe_de_tarage!$I$4:$I$44,MATCH(K55+B55+B56,Courbe_de_tarage!$I$4:$I$44,1)):INDEX(Courbe_de_tarage!$I$4:$I$44,MATCH(K55+B55+B56,Courbe_de_tarage!$I$4:$I$44,1)+1)),IFERROR(INDEX(Courbe_de_tarage!$H$4:$H$44,MATCH(K55+B55+B56,Courbe_de_tarage!$I$4:$I$44,1)),INDEX(Courbe_de_tarage!$H$4:$H$44,1))))</f>
        <v/>
      </c>
      <c r="I56" s="4">
        <f>IF(G56="","",IF(G56&gt;37.4,"OUI",""))</f>
        <v/>
      </c>
      <c r="J56" s="19">
        <f>IF(A56="","",K55+B55+B56)</f>
        <v/>
      </c>
      <c r="K56" s="19">
        <f>IF(A56="","",2*H56/(Hydrogramme_entree!$B$8*60)-E56)</f>
        <v/>
      </c>
    </row>
    <row r="57">
      <c r="A57" s="4">
        <f>Hydrogramme_entree!A63</f>
        <v/>
      </c>
      <c r="B57" s="19">
        <f>Hydrogramme_entree!B63</f>
        <v/>
      </c>
      <c r="C57" s="19">
        <f>IF(A57="","",IFERROR(FORECAST(K56+B56+B57,INDEX(Courbe_de_tarage!$C$4:$C$44,MATCH(K56+B56+B57,Courbe_de_tarage!$I$4:$I$44,1)):INDEX(Courbe_de_tarage!$C$4:$C$44,MATCH(K56+B56+B57,Courbe_de_tarage!$I$4:$I$44,1)+1),INDEX(Courbe_de_tarage!$I$4:$I$44,MATCH(K56+B56+B57,Courbe_de_tarage!$I$4:$I$44,1)):INDEX(Courbe_de_tarage!$I$4:$I$44,MATCH(K56+B56+B57,Courbe_de_tarage!$I$4:$I$44,1)+1)),IFERROR(INDEX(Courbe_de_tarage!$C$4:$C$44,MATCH(K56+B56+B57,Courbe_de_tarage!$I$4:$I$44,1)),INDEX(Courbe_de_tarage!$C$4:$C$44,1))))</f>
        <v/>
      </c>
      <c r="D57" s="19">
        <f>IF(A57="","",IFERROR(FORECAST(K56+B56+B57,INDEX(Courbe_de_tarage!$D$4:$D$44,MATCH(K56+B56+B57,Courbe_de_tarage!$I$4:$I$44,1)):INDEX(Courbe_de_tarage!$D$4:$D$44,MATCH(K56+B56+B57,Courbe_de_tarage!$I$4:$I$44,1)+1),INDEX(Courbe_de_tarage!$I$4:$I$44,MATCH(K56+B56+B57,Courbe_de_tarage!$I$4:$I$44,1)):INDEX(Courbe_de_tarage!$I$4:$I$44,MATCH(K56+B56+B57,Courbe_de_tarage!$I$4:$I$44,1)+1)),IFERROR(INDEX(Courbe_de_tarage!$D$4:$D$44,MATCH(K56+B56+B57,Courbe_de_tarage!$I$4:$I$44,1)),INDEX(Courbe_de_tarage!$D$4:$D$44,1))))</f>
        <v/>
      </c>
      <c r="E57" s="19">
        <f>IF(A57="","",IFERROR(FORECAST(K56+B56+B57,INDEX(Courbe_de_tarage!$E$4:$E$44,MATCH(K56+B56+B57,Courbe_de_tarage!$I$4:$I$44,1)):INDEX(Courbe_de_tarage!$E$4:$E$44,MATCH(K56+B56+B57,Courbe_de_tarage!$I$4:$I$44,1)+1),INDEX(Courbe_de_tarage!$I$4:$I$44,MATCH(K56+B56+B57,Courbe_de_tarage!$I$4:$I$44,1)):INDEX(Courbe_de_tarage!$I$4:$I$44,MATCH(K56+B56+B57,Courbe_de_tarage!$I$4:$I$44,1)+1)),IFERROR(INDEX(Courbe_de_tarage!$E$4:$E$44,MATCH(K56+B56+B57,Courbe_de_tarage!$I$4:$I$44,1)),INDEX(Courbe_de_tarage!$E$4:$E$44,1))))</f>
        <v/>
      </c>
      <c r="F57" s="19">
        <f>IF(A57="","",IFERROR(FORECAST(K56+B56+B57,INDEX(Courbe_de_tarage!$A$4:$A$44,MATCH(K56+B56+B57,Courbe_de_tarage!$I$4:$I$44,1)):INDEX(Courbe_de_tarage!$A$4:$A$44,MATCH(K56+B56+B57,Courbe_de_tarage!$I$4:$I$44,1)+1),INDEX(Courbe_de_tarage!$I$4:$I$44,MATCH(K56+B56+B57,Courbe_de_tarage!$I$4:$I$44,1)):INDEX(Courbe_de_tarage!$I$4:$I$44,MATCH(K56+B56+B57,Courbe_de_tarage!$I$4:$I$44,1)+1)),IFERROR(INDEX(Courbe_de_tarage!$A$4:$A$44,MATCH(K56+B56+B57,Courbe_de_tarage!$I$4:$I$44,1)),INDEX(Courbe_de_tarage!$A$4:$A$44,1))))</f>
        <v/>
      </c>
      <c r="G57" s="19">
        <f>IF(A57="","",35.36+F57)</f>
        <v/>
      </c>
      <c r="H57" s="19">
        <f>IF(A57="","",IFERROR(FORECAST(K56+B56+B57,INDEX(Courbe_de_tarage!$H$4:$H$44,MATCH(K56+B56+B57,Courbe_de_tarage!$I$4:$I$44,1)):INDEX(Courbe_de_tarage!$H$4:$H$44,MATCH(K56+B56+B57,Courbe_de_tarage!$I$4:$I$44,1)+1),INDEX(Courbe_de_tarage!$I$4:$I$44,MATCH(K56+B56+B57,Courbe_de_tarage!$I$4:$I$44,1)):INDEX(Courbe_de_tarage!$I$4:$I$44,MATCH(K56+B56+B57,Courbe_de_tarage!$I$4:$I$44,1)+1)),IFERROR(INDEX(Courbe_de_tarage!$H$4:$H$44,MATCH(K56+B56+B57,Courbe_de_tarage!$I$4:$I$44,1)),INDEX(Courbe_de_tarage!$H$4:$H$44,1))))</f>
        <v/>
      </c>
      <c r="I57" s="4">
        <f>IF(G57="","",IF(G57&gt;37.4,"OUI",""))</f>
        <v/>
      </c>
      <c r="J57" s="19">
        <f>IF(A57="","",K56+B56+B57)</f>
        <v/>
      </c>
      <c r="K57" s="19">
        <f>IF(A57="","",2*H57/(Hydrogramme_entree!$B$8*60)-E57)</f>
        <v/>
      </c>
    </row>
    <row r="58">
      <c r="A58" s="4">
        <f>Hydrogramme_entree!A64</f>
        <v/>
      </c>
      <c r="B58" s="19">
        <f>Hydrogramme_entree!B64</f>
        <v/>
      </c>
      <c r="C58" s="19">
        <f>IF(A58="","",IFERROR(FORECAST(K57+B57+B58,INDEX(Courbe_de_tarage!$C$4:$C$44,MATCH(K57+B57+B58,Courbe_de_tarage!$I$4:$I$44,1)):INDEX(Courbe_de_tarage!$C$4:$C$44,MATCH(K57+B57+B58,Courbe_de_tarage!$I$4:$I$44,1)+1),INDEX(Courbe_de_tarage!$I$4:$I$44,MATCH(K57+B57+B58,Courbe_de_tarage!$I$4:$I$44,1)):INDEX(Courbe_de_tarage!$I$4:$I$44,MATCH(K57+B57+B58,Courbe_de_tarage!$I$4:$I$44,1)+1)),IFERROR(INDEX(Courbe_de_tarage!$C$4:$C$44,MATCH(K57+B57+B58,Courbe_de_tarage!$I$4:$I$44,1)),INDEX(Courbe_de_tarage!$C$4:$C$44,1))))</f>
        <v/>
      </c>
      <c r="D58" s="19">
        <f>IF(A58="","",IFERROR(FORECAST(K57+B57+B58,INDEX(Courbe_de_tarage!$D$4:$D$44,MATCH(K57+B57+B58,Courbe_de_tarage!$I$4:$I$44,1)):INDEX(Courbe_de_tarage!$D$4:$D$44,MATCH(K57+B57+B58,Courbe_de_tarage!$I$4:$I$44,1)+1),INDEX(Courbe_de_tarage!$I$4:$I$44,MATCH(K57+B57+B58,Courbe_de_tarage!$I$4:$I$44,1)):INDEX(Courbe_de_tarage!$I$4:$I$44,MATCH(K57+B57+B58,Courbe_de_tarage!$I$4:$I$44,1)+1)),IFERROR(INDEX(Courbe_de_tarage!$D$4:$D$44,MATCH(K57+B57+B58,Courbe_de_tarage!$I$4:$I$44,1)),INDEX(Courbe_de_tarage!$D$4:$D$44,1))))</f>
        <v/>
      </c>
      <c r="E58" s="19">
        <f>IF(A58="","",IFERROR(FORECAST(K57+B57+B58,INDEX(Courbe_de_tarage!$E$4:$E$44,MATCH(K57+B57+B58,Courbe_de_tarage!$I$4:$I$44,1)):INDEX(Courbe_de_tarage!$E$4:$E$44,MATCH(K57+B57+B58,Courbe_de_tarage!$I$4:$I$44,1)+1),INDEX(Courbe_de_tarage!$I$4:$I$44,MATCH(K57+B57+B58,Courbe_de_tarage!$I$4:$I$44,1)):INDEX(Courbe_de_tarage!$I$4:$I$44,MATCH(K57+B57+B58,Courbe_de_tarage!$I$4:$I$44,1)+1)),IFERROR(INDEX(Courbe_de_tarage!$E$4:$E$44,MATCH(K57+B57+B58,Courbe_de_tarage!$I$4:$I$44,1)),INDEX(Courbe_de_tarage!$E$4:$E$44,1))))</f>
        <v/>
      </c>
      <c r="F58" s="19">
        <f>IF(A58="","",IFERROR(FORECAST(K57+B57+B58,INDEX(Courbe_de_tarage!$A$4:$A$44,MATCH(K57+B57+B58,Courbe_de_tarage!$I$4:$I$44,1)):INDEX(Courbe_de_tarage!$A$4:$A$44,MATCH(K57+B57+B58,Courbe_de_tarage!$I$4:$I$44,1)+1),INDEX(Courbe_de_tarage!$I$4:$I$44,MATCH(K57+B57+B58,Courbe_de_tarage!$I$4:$I$44,1)):INDEX(Courbe_de_tarage!$I$4:$I$44,MATCH(K57+B57+B58,Courbe_de_tarage!$I$4:$I$44,1)+1)),IFERROR(INDEX(Courbe_de_tarage!$A$4:$A$44,MATCH(K57+B57+B58,Courbe_de_tarage!$I$4:$I$44,1)),INDEX(Courbe_de_tarage!$A$4:$A$44,1))))</f>
        <v/>
      </c>
      <c r="G58" s="19">
        <f>IF(A58="","",35.36+F58)</f>
        <v/>
      </c>
      <c r="H58" s="19">
        <f>IF(A58="","",IFERROR(FORECAST(K57+B57+B58,INDEX(Courbe_de_tarage!$H$4:$H$44,MATCH(K57+B57+B58,Courbe_de_tarage!$I$4:$I$44,1)):INDEX(Courbe_de_tarage!$H$4:$H$44,MATCH(K57+B57+B58,Courbe_de_tarage!$I$4:$I$44,1)+1),INDEX(Courbe_de_tarage!$I$4:$I$44,MATCH(K57+B57+B58,Courbe_de_tarage!$I$4:$I$44,1)):INDEX(Courbe_de_tarage!$I$4:$I$44,MATCH(K57+B57+B58,Courbe_de_tarage!$I$4:$I$44,1)+1)),IFERROR(INDEX(Courbe_de_tarage!$H$4:$H$44,MATCH(K57+B57+B58,Courbe_de_tarage!$I$4:$I$44,1)),INDEX(Courbe_de_tarage!$H$4:$H$44,1))))</f>
        <v/>
      </c>
      <c r="I58" s="4">
        <f>IF(G58="","",IF(G58&gt;37.4,"OUI",""))</f>
        <v/>
      </c>
      <c r="J58" s="19">
        <f>IF(A58="","",K57+B57+B58)</f>
        <v/>
      </c>
      <c r="K58" s="19">
        <f>IF(A58="","",2*H58/(Hydrogramme_entree!$B$8*60)-E58)</f>
        <v/>
      </c>
    </row>
    <row r="59">
      <c r="A59" s="4">
        <f>Hydrogramme_entree!A65</f>
        <v/>
      </c>
      <c r="B59" s="19">
        <f>Hydrogramme_entree!B65</f>
        <v/>
      </c>
      <c r="C59" s="19">
        <f>IF(A59="","",IFERROR(FORECAST(K58+B58+B59,INDEX(Courbe_de_tarage!$C$4:$C$44,MATCH(K58+B58+B59,Courbe_de_tarage!$I$4:$I$44,1)):INDEX(Courbe_de_tarage!$C$4:$C$44,MATCH(K58+B58+B59,Courbe_de_tarage!$I$4:$I$44,1)+1),INDEX(Courbe_de_tarage!$I$4:$I$44,MATCH(K58+B58+B59,Courbe_de_tarage!$I$4:$I$44,1)):INDEX(Courbe_de_tarage!$I$4:$I$44,MATCH(K58+B58+B59,Courbe_de_tarage!$I$4:$I$44,1)+1)),IFERROR(INDEX(Courbe_de_tarage!$C$4:$C$44,MATCH(K58+B58+B59,Courbe_de_tarage!$I$4:$I$44,1)),INDEX(Courbe_de_tarage!$C$4:$C$44,1))))</f>
        <v/>
      </c>
      <c r="D59" s="19">
        <f>IF(A59="","",IFERROR(FORECAST(K58+B58+B59,INDEX(Courbe_de_tarage!$D$4:$D$44,MATCH(K58+B58+B59,Courbe_de_tarage!$I$4:$I$44,1)):INDEX(Courbe_de_tarage!$D$4:$D$44,MATCH(K58+B58+B59,Courbe_de_tarage!$I$4:$I$44,1)+1),INDEX(Courbe_de_tarage!$I$4:$I$44,MATCH(K58+B58+B59,Courbe_de_tarage!$I$4:$I$44,1)):INDEX(Courbe_de_tarage!$I$4:$I$44,MATCH(K58+B58+B59,Courbe_de_tarage!$I$4:$I$44,1)+1)),IFERROR(INDEX(Courbe_de_tarage!$D$4:$D$44,MATCH(K58+B58+B59,Courbe_de_tarage!$I$4:$I$44,1)),INDEX(Courbe_de_tarage!$D$4:$D$44,1))))</f>
        <v/>
      </c>
      <c r="E59" s="19">
        <f>IF(A59="","",IFERROR(FORECAST(K58+B58+B59,INDEX(Courbe_de_tarage!$E$4:$E$44,MATCH(K58+B58+B59,Courbe_de_tarage!$I$4:$I$44,1)):INDEX(Courbe_de_tarage!$E$4:$E$44,MATCH(K58+B58+B59,Courbe_de_tarage!$I$4:$I$44,1)+1),INDEX(Courbe_de_tarage!$I$4:$I$44,MATCH(K58+B58+B59,Courbe_de_tarage!$I$4:$I$44,1)):INDEX(Courbe_de_tarage!$I$4:$I$44,MATCH(K58+B58+B59,Courbe_de_tarage!$I$4:$I$44,1)+1)),IFERROR(INDEX(Courbe_de_tarage!$E$4:$E$44,MATCH(K58+B58+B59,Courbe_de_tarage!$I$4:$I$44,1)),INDEX(Courbe_de_tarage!$E$4:$E$44,1))))</f>
        <v/>
      </c>
      <c r="F59" s="19">
        <f>IF(A59="","",IFERROR(FORECAST(K58+B58+B59,INDEX(Courbe_de_tarage!$A$4:$A$44,MATCH(K58+B58+B59,Courbe_de_tarage!$I$4:$I$44,1)):INDEX(Courbe_de_tarage!$A$4:$A$44,MATCH(K58+B58+B59,Courbe_de_tarage!$I$4:$I$44,1)+1),INDEX(Courbe_de_tarage!$I$4:$I$44,MATCH(K58+B58+B59,Courbe_de_tarage!$I$4:$I$44,1)):INDEX(Courbe_de_tarage!$I$4:$I$44,MATCH(K58+B58+B59,Courbe_de_tarage!$I$4:$I$44,1)+1)),IFERROR(INDEX(Courbe_de_tarage!$A$4:$A$44,MATCH(K58+B58+B59,Courbe_de_tarage!$I$4:$I$44,1)),INDEX(Courbe_de_tarage!$A$4:$A$44,1))))</f>
        <v/>
      </c>
      <c r="G59" s="19">
        <f>IF(A59="","",35.36+F59)</f>
        <v/>
      </c>
      <c r="H59" s="19">
        <f>IF(A59="","",IFERROR(FORECAST(K58+B58+B59,INDEX(Courbe_de_tarage!$H$4:$H$44,MATCH(K58+B58+B59,Courbe_de_tarage!$I$4:$I$44,1)):INDEX(Courbe_de_tarage!$H$4:$H$44,MATCH(K58+B58+B59,Courbe_de_tarage!$I$4:$I$44,1)+1),INDEX(Courbe_de_tarage!$I$4:$I$44,MATCH(K58+B58+B59,Courbe_de_tarage!$I$4:$I$44,1)):INDEX(Courbe_de_tarage!$I$4:$I$44,MATCH(K58+B58+B59,Courbe_de_tarage!$I$4:$I$44,1)+1)),IFERROR(INDEX(Courbe_de_tarage!$H$4:$H$44,MATCH(K58+B58+B59,Courbe_de_tarage!$I$4:$I$44,1)),INDEX(Courbe_de_tarage!$H$4:$H$44,1))))</f>
        <v/>
      </c>
      <c r="I59" s="4">
        <f>IF(G59="","",IF(G59&gt;37.4,"OUI",""))</f>
        <v/>
      </c>
      <c r="J59" s="19">
        <f>IF(A59="","",K58+B58+B59)</f>
        <v/>
      </c>
      <c r="K59" s="19">
        <f>IF(A59="","",2*H59/(Hydrogramme_entree!$B$8*60)-E59)</f>
        <v/>
      </c>
    </row>
    <row r="60">
      <c r="A60" s="4">
        <f>Hydrogramme_entree!A66</f>
        <v/>
      </c>
      <c r="B60" s="19">
        <f>Hydrogramme_entree!B66</f>
        <v/>
      </c>
      <c r="C60" s="19">
        <f>IF(A60="","",IFERROR(FORECAST(K59+B59+B60,INDEX(Courbe_de_tarage!$C$4:$C$44,MATCH(K59+B59+B60,Courbe_de_tarage!$I$4:$I$44,1)):INDEX(Courbe_de_tarage!$C$4:$C$44,MATCH(K59+B59+B60,Courbe_de_tarage!$I$4:$I$44,1)+1),INDEX(Courbe_de_tarage!$I$4:$I$44,MATCH(K59+B59+B60,Courbe_de_tarage!$I$4:$I$44,1)):INDEX(Courbe_de_tarage!$I$4:$I$44,MATCH(K59+B59+B60,Courbe_de_tarage!$I$4:$I$44,1)+1)),IFERROR(INDEX(Courbe_de_tarage!$C$4:$C$44,MATCH(K59+B59+B60,Courbe_de_tarage!$I$4:$I$44,1)),INDEX(Courbe_de_tarage!$C$4:$C$44,1))))</f>
        <v/>
      </c>
      <c r="D60" s="19">
        <f>IF(A60="","",IFERROR(FORECAST(K59+B59+B60,INDEX(Courbe_de_tarage!$D$4:$D$44,MATCH(K59+B59+B60,Courbe_de_tarage!$I$4:$I$44,1)):INDEX(Courbe_de_tarage!$D$4:$D$44,MATCH(K59+B59+B60,Courbe_de_tarage!$I$4:$I$44,1)+1),INDEX(Courbe_de_tarage!$I$4:$I$44,MATCH(K59+B59+B60,Courbe_de_tarage!$I$4:$I$44,1)):INDEX(Courbe_de_tarage!$I$4:$I$44,MATCH(K59+B59+B60,Courbe_de_tarage!$I$4:$I$44,1)+1)),IFERROR(INDEX(Courbe_de_tarage!$D$4:$D$44,MATCH(K59+B59+B60,Courbe_de_tarage!$I$4:$I$44,1)),INDEX(Courbe_de_tarage!$D$4:$D$44,1))))</f>
        <v/>
      </c>
      <c r="E60" s="19">
        <f>IF(A60="","",IFERROR(FORECAST(K59+B59+B60,INDEX(Courbe_de_tarage!$E$4:$E$44,MATCH(K59+B59+B60,Courbe_de_tarage!$I$4:$I$44,1)):INDEX(Courbe_de_tarage!$E$4:$E$44,MATCH(K59+B59+B60,Courbe_de_tarage!$I$4:$I$44,1)+1),INDEX(Courbe_de_tarage!$I$4:$I$44,MATCH(K59+B59+B60,Courbe_de_tarage!$I$4:$I$44,1)):INDEX(Courbe_de_tarage!$I$4:$I$44,MATCH(K59+B59+B60,Courbe_de_tarage!$I$4:$I$44,1)+1)),IFERROR(INDEX(Courbe_de_tarage!$E$4:$E$44,MATCH(K59+B59+B60,Courbe_de_tarage!$I$4:$I$44,1)),INDEX(Courbe_de_tarage!$E$4:$E$44,1))))</f>
        <v/>
      </c>
      <c r="F60" s="19">
        <f>IF(A60="","",IFERROR(FORECAST(K59+B59+B60,INDEX(Courbe_de_tarage!$A$4:$A$44,MATCH(K59+B59+B60,Courbe_de_tarage!$I$4:$I$44,1)):INDEX(Courbe_de_tarage!$A$4:$A$44,MATCH(K59+B59+B60,Courbe_de_tarage!$I$4:$I$44,1)+1),INDEX(Courbe_de_tarage!$I$4:$I$44,MATCH(K59+B59+B60,Courbe_de_tarage!$I$4:$I$44,1)):INDEX(Courbe_de_tarage!$I$4:$I$44,MATCH(K59+B59+B60,Courbe_de_tarage!$I$4:$I$44,1)+1)),IFERROR(INDEX(Courbe_de_tarage!$A$4:$A$44,MATCH(K59+B59+B60,Courbe_de_tarage!$I$4:$I$44,1)),INDEX(Courbe_de_tarage!$A$4:$A$44,1))))</f>
        <v/>
      </c>
      <c r="G60" s="19">
        <f>IF(A60="","",35.36+F60)</f>
        <v/>
      </c>
      <c r="H60" s="19">
        <f>IF(A60="","",IFERROR(FORECAST(K59+B59+B60,INDEX(Courbe_de_tarage!$H$4:$H$44,MATCH(K59+B59+B60,Courbe_de_tarage!$I$4:$I$44,1)):INDEX(Courbe_de_tarage!$H$4:$H$44,MATCH(K59+B59+B60,Courbe_de_tarage!$I$4:$I$44,1)+1),INDEX(Courbe_de_tarage!$I$4:$I$44,MATCH(K59+B59+B60,Courbe_de_tarage!$I$4:$I$44,1)):INDEX(Courbe_de_tarage!$I$4:$I$44,MATCH(K59+B59+B60,Courbe_de_tarage!$I$4:$I$44,1)+1)),IFERROR(INDEX(Courbe_de_tarage!$H$4:$H$44,MATCH(K59+B59+B60,Courbe_de_tarage!$I$4:$I$44,1)),INDEX(Courbe_de_tarage!$H$4:$H$44,1))))</f>
        <v/>
      </c>
      <c r="I60" s="4">
        <f>IF(G60="","",IF(G60&gt;37.4,"OUI",""))</f>
        <v/>
      </c>
      <c r="J60" s="19">
        <f>IF(A60="","",K59+B59+B60)</f>
        <v/>
      </c>
      <c r="K60" s="19">
        <f>IF(A60="","",2*H60/(Hydrogramme_entree!$B$8*60)-E60)</f>
        <v/>
      </c>
    </row>
    <row r="61">
      <c r="A61" s="4">
        <f>Hydrogramme_entree!A67</f>
        <v/>
      </c>
      <c r="B61" s="19">
        <f>Hydrogramme_entree!B67</f>
        <v/>
      </c>
      <c r="C61" s="19">
        <f>IF(A61="","",IFERROR(FORECAST(K60+B60+B61,INDEX(Courbe_de_tarage!$C$4:$C$44,MATCH(K60+B60+B61,Courbe_de_tarage!$I$4:$I$44,1)):INDEX(Courbe_de_tarage!$C$4:$C$44,MATCH(K60+B60+B61,Courbe_de_tarage!$I$4:$I$44,1)+1),INDEX(Courbe_de_tarage!$I$4:$I$44,MATCH(K60+B60+B61,Courbe_de_tarage!$I$4:$I$44,1)):INDEX(Courbe_de_tarage!$I$4:$I$44,MATCH(K60+B60+B61,Courbe_de_tarage!$I$4:$I$44,1)+1)),IFERROR(INDEX(Courbe_de_tarage!$C$4:$C$44,MATCH(K60+B60+B61,Courbe_de_tarage!$I$4:$I$44,1)),INDEX(Courbe_de_tarage!$C$4:$C$44,1))))</f>
        <v/>
      </c>
      <c r="D61" s="19">
        <f>IF(A61="","",IFERROR(FORECAST(K60+B60+B61,INDEX(Courbe_de_tarage!$D$4:$D$44,MATCH(K60+B60+B61,Courbe_de_tarage!$I$4:$I$44,1)):INDEX(Courbe_de_tarage!$D$4:$D$44,MATCH(K60+B60+B61,Courbe_de_tarage!$I$4:$I$44,1)+1),INDEX(Courbe_de_tarage!$I$4:$I$44,MATCH(K60+B60+B61,Courbe_de_tarage!$I$4:$I$44,1)):INDEX(Courbe_de_tarage!$I$4:$I$44,MATCH(K60+B60+B61,Courbe_de_tarage!$I$4:$I$44,1)+1)),IFERROR(INDEX(Courbe_de_tarage!$D$4:$D$44,MATCH(K60+B60+B61,Courbe_de_tarage!$I$4:$I$44,1)),INDEX(Courbe_de_tarage!$D$4:$D$44,1))))</f>
        <v/>
      </c>
      <c r="E61" s="19">
        <f>IF(A61="","",IFERROR(FORECAST(K60+B60+B61,INDEX(Courbe_de_tarage!$E$4:$E$44,MATCH(K60+B60+B61,Courbe_de_tarage!$I$4:$I$44,1)):INDEX(Courbe_de_tarage!$E$4:$E$44,MATCH(K60+B60+B61,Courbe_de_tarage!$I$4:$I$44,1)+1),INDEX(Courbe_de_tarage!$I$4:$I$44,MATCH(K60+B60+B61,Courbe_de_tarage!$I$4:$I$44,1)):INDEX(Courbe_de_tarage!$I$4:$I$44,MATCH(K60+B60+B61,Courbe_de_tarage!$I$4:$I$44,1)+1)),IFERROR(INDEX(Courbe_de_tarage!$E$4:$E$44,MATCH(K60+B60+B61,Courbe_de_tarage!$I$4:$I$44,1)),INDEX(Courbe_de_tarage!$E$4:$E$44,1))))</f>
        <v/>
      </c>
      <c r="F61" s="19">
        <f>IF(A61="","",IFERROR(FORECAST(K60+B60+B61,INDEX(Courbe_de_tarage!$A$4:$A$44,MATCH(K60+B60+B61,Courbe_de_tarage!$I$4:$I$44,1)):INDEX(Courbe_de_tarage!$A$4:$A$44,MATCH(K60+B60+B61,Courbe_de_tarage!$I$4:$I$44,1)+1),INDEX(Courbe_de_tarage!$I$4:$I$44,MATCH(K60+B60+B61,Courbe_de_tarage!$I$4:$I$44,1)):INDEX(Courbe_de_tarage!$I$4:$I$44,MATCH(K60+B60+B61,Courbe_de_tarage!$I$4:$I$44,1)+1)),IFERROR(INDEX(Courbe_de_tarage!$A$4:$A$44,MATCH(K60+B60+B61,Courbe_de_tarage!$I$4:$I$44,1)),INDEX(Courbe_de_tarage!$A$4:$A$44,1))))</f>
        <v/>
      </c>
      <c r="G61" s="19">
        <f>IF(A61="","",35.36+F61)</f>
        <v/>
      </c>
      <c r="H61" s="19">
        <f>IF(A61="","",IFERROR(FORECAST(K60+B60+B61,INDEX(Courbe_de_tarage!$H$4:$H$44,MATCH(K60+B60+B61,Courbe_de_tarage!$I$4:$I$44,1)):INDEX(Courbe_de_tarage!$H$4:$H$44,MATCH(K60+B60+B61,Courbe_de_tarage!$I$4:$I$44,1)+1),INDEX(Courbe_de_tarage!$I$4:$I$44,MATCH(K60+B60+B61,Courbe_de_tarage!$I$4:$I$44,1)):INDEX(Courbe_de_tarage!$I$4:$I$44,MATCH(K60+B60+B61,Courbe_de_tarage!$I$4:$I$44,1)+1)),IFERROR(INDEX(Courbe_de_tarage!$H$4:$H$44,MATCH(K60+B60+B61,Courbe_de_tarage!$I$4:$I$44,1)),INDEX(Courbe_de_tarage!$H$4:$H$44,1))))</f>
        <v/>
      </c>
      <c r="I61" s="4">
        <f>IF(G61="","",IF(G61&gt;37.4,"OUI",""))</f>
        <v/>
      </c>
      <c r="J61" s="19">
        <f>IF(A61="","",K60+B60+B61)</f>
        <v/>
      </c>
      <c r="K61" s="19">
        <f>IF(A61="","",2*H61/(Hydrogramme_entree!$B$8*60)-E61)</f>
        <v/>
      </c>
    </row>
    <row r="62">
      <c r="A62" s="4">
        <f>Hydrogramme_entree!A68</f>
        <v/>
      </c>
      <c r="B62" s="19">
        <f>Hydrogramme_entree!B68</f>
        <v/>
      </c>
      <c r="C62" s="19">
        <f>IF(A62="","",IFERROR(FORECAST(K61+B61+B62,INDEX(Courbe_de_tarage!$C$4:$C$44,MATCH(K61+B61+B62,Courbe_de_tarage!$I$4:$I$44,1)):INDEX(Courbe_de_tarage!$C$4:$C$44,MATCH(K61+B61+B62,Courbe_de_tarage!$I$4:$I$44,1)+1),INDEX(Courbe_de_tarage!$I$4:$I$44,MATCH(K61+B61+B62,Courbe_de_tarage!$I$4:$I$44,1)):INDEX(Courbe_de_tarage!$I$4:$I$44,MATCH(K61+B61+B62,Courbe_de_tarage!$I$4:$I$44,1)+1)),IFERROR(INDEX(Courbe_de_tarage!$C$4:$C$44,MATCH(K61+B61+B62,Courbe_de_tarage!$I$4:$I$44,1)),INDEX(Courbe_de_tarage!$C$4:$C$44,1))))</f>
        <v/>
      </c>
      <c r="D62" s="19">
        <f>IF(A62="","",IFERROR(FORECAST(K61+B61+B62,INDEX(Courbe_de_tarage!$D$4:$D$44,MATCH(K61+B61+B62,Courbe_de_tarage!$I$4:$I$44,1)):INDEX(Courbe_de_tarage!$D$4:$D$44,MATCH(K61+B61+B62,Courbe_de_tarage!$I$4:$I$44,1)+1),INDEX(Courbe_de_tarage!$I$4:$I$44,MATCH(K61+B61+B62,Courbe_de_tarage!$I$4:$I$44,1)):INDEX(Courbe_de_tarage!$I$4:$I$44,MATCH(K61+B61+B62,Courbe_de_tarage!$I$4:$I$44,1)+1)),IFERROR(INDEX(Courbe_de_tarage!$D$4:$D$44,MATCH(K61+B61+B62,Courbe_de_tarage!$I$4:$I$44,1)),INDEX(Courbe_de_tarage!$D$4:$D$44,1))))</f>
        <v/>
      </c>
      <c r="E62" s="19">
        <f>IF(A62="","",IFERROR(FORECAST(K61+B61+B62,INDEX(Courbe_de_tarage!$E$4:$E$44,MATCH(K61+B61+B62,Courbe_de_tarage!$I$4:$I$44,1)):INDEX(Courbe_de_tarage!$E$4:$E$44,MATCH(K61+B61+B62,Courbe_de_tarage!$I$4:$I$44,1)+1),INDEX(Courbe_de_tarage!$I$4:$I$44,MATCH(K61+B61+B62,Courbe_de_tarage!$I$4:$I$44,1)):INDEX(Courbe_de_tarage!$I$4:$I$44,MATCH(K61+B61+B62,Courbe_de_tarage!$I$4:$I$44,1)+1)),IFERROR(INDEX(Courbe_de_tarage!$E$4:$E$44,MATCH(K61+B61+B62,Courbe_de_tarage!$I$4:$I$44,1)),INDEX(Courbe_de_tarage!$E$4:$E$44,1))))</f>
        <v/>
      </c>
      <c r="F62" s="19">
        <f>IF(A62="","",IFERROR(FORECAST(K61+B61+B62,INDEX(Courbe_de_tarage!$A$4:$A$44,MATCH(K61+B61+B62,Courbe_de_tarage!$I$4:$I$44,1)):INDEX(Courbe_de_tarage!$A$4:$A$44,MATCH(K61+B61+B62,Courbe_de_tarage!$I$4:$I$44,1)+1),INDEX(Courbe_de_tarage!$I$4:$I$44,MATCH(K61+B61+B62,Courbe_de_tarage!$I$4:$I$44,1)):INDEX(Courbe_de_tarage!$I$4:$I$44,MATCH(K61+B61+B62,Courbe_de_tarage!$I$4:$I$44,1)+1)),IFERROR(INDEX(Courbe_de_tarage!$A$4:$A$44,MATCH(K61+B61+B62,Courbe_de_tarage!$I$4:$I$44,1)),INDEX(Courbe_de_tarage!$A$4:$A$44,1))))</f>
        <v/>
      </c>
      <c r="G62" s="19">
        <f>IF(A62="","",35.36+F62)</f>
        <v/>
      </c>
      <c r="H62" s="19">
        <f>IF(A62="","",IFERROR(FORECAST(K61+B61+B62,INDEX(Courbe_de_tarage!$H$4:$H$44,MATCH(K61+B61+B62,Courbe_de_tarage!$I$4:$I$44,1)):INDEX(Courbe_de_tarage!$H$4:$H$44,MATCH(K61+B61+B62,Courbe_de_tarage!$I$4:$I$44,1)+1),INDEX(Courbe_de_tarage!$I$4:$I$44,MATCH(K61+B61+B62,Courbe_de_tarage!$I$4:$I$44,1)):INDEX(Courbe_de_tarage!$I$4:$I$44,MATCH(K61+B61+B62,Courbe_de_tarage!$I$4:$I$44,1)+1)),IFERROR(INDEX(Courbe_de_tarage!$H$4:$H$44,MATCH(K61+B61+B62,Courbe_de_tarage!$I$4:$I$44,1)),INDEX(Courbe_de_tarage!$H$4:$H$44,1))))</f>
        <v/>
      </c>
      <c r="I62" s="4">
        <f>IF(G62="","",IF(G62&gt;37.4,"OUI",""))</f>
        <v/>
      </c>
      <c r="J62" s="19">
        <f>IF(A62="","",K61+B61+B62)</f>
        <v/>
      </c>
      <c r="K62" s="19">
        <f>IF(A62="","",2*H62/(Hydrogramme_entree!$B$8*60)-E62)</f>
        <v/>
      </c>
    </row>
    <row r="63">
      <c r="A63" s="4">
        <f>Hydrogramme_entree!A69</f>
        <v/>
      </c>
      <c r="B63" s="19">
        <f>Hydrogramme_entree!B69</f>
        <v/>
      </c>
      <c r="C63" s="19">
        <f>IF(A63="","",IFERROR(FORECAST(K62+B62+B63,INDEX(Courbe_de_tarage!$C$4:$C$44,MATCH(K62+B62+B63,Courbe_de_tarage!$I$4:$I$44,1)):INDEX(Courbe_de_tarage!$C$4:$C$44,MATCH(K62+B62+B63,Courbe_de_tarage!$I$4:$I$44,1)+1),INDEX(Courbe_de_tarage!$I$4:$I$44,MATCH(K62+B62+B63,Courbe_de_tarage!$I$4:$I$44,1)):INDEX(Courbe_de_tarage!$I$4:$I$44,MATCH(K62+B62+B63,Courbe_de_tarage!$I$4:$I$44,1)+1)),IFERROR(INDEX(Courbe_de_tarage!$C$4:$C$44,MATCH(K62+B62+B63,Courbe_de_tarage!$I$4:$I$44,1)),INDEX(Courbe_de_tarage!$C$4:$C$44,1))))</f>
        <v/>
      </c>
      <c r="D63" s="19">
        <f>IF(A63="","",IFERROR(FORECAST(K62+B62+B63,INDEX(Courbe_de_tarage!$D$4:$D$44,MATCH(K62+B62+B63,Courbe_de_tarage!$I$4:$I$44,1)):INDEX(Courbe_de_tarage!$D$4:$D$44,MATCH(K62+B62+B63,Courbe_de_tarage!$I$4:$I$44,1)+1),INDEX(Courbe_de_tarage!$I$4:$I$44,MATCH(K62+B62+B63,Courbe_de_tarage!$I$4:$I$44,1)):INDEX(Courbe_de_tarage!$I$4:$I$44,MATCH(K62+B62+B63,Courbe_de_tarage!$I$4:$I$44,1)+1)),IFERROR(INDEX(Courbe_de_tarage!$D$4:$D$44,MATCH(K62+B62+B63,Courbe_de_tarage!$I$4:$I$44,1)),INDEX(Courbe_de_tarage!$D$4:$D$44,1))))</f>
        <v/>
      </c>
      <c r="E63" s="19">
        <f>IF(A63="","",IFERROR(FORECAST(K62+B62+B63,INDEX(Courbe_de_tarage!$E$4:$E$44,MATCH(K62+B62+B63,Courbe_de_tarage!$I$4:$I$44,1)):INDEX(Courbe_de_tarage!$E$4:$E$44,MATCH(K62+B62+B63,Courbe_de_tarage!$I$4:$I$44,1)+1),INDEX(Courbe_de_tarage!$I$4:$I$44,MATCH(K62+B62+B63,Courbe_de_tarage!$I$4:$I$44,1)):INDEX(Courbe_de_tarage!$I$4:$I$44,MATCH(K62+B62+B63,Courbe_de_tarage!$I$4:$I$44,1)+1)),IFERROR(INDEX(Courbe_de_tarage!$E$4:$E$44,MATCH(K62+B62+B63,Courbe_de_tarage!$I$4:$I$44,1)),INDEX(Courbe_de_tarage!$E$4:$E$44,1))))</f>
        <v/>
      </c>
      <c r="F63" s="19">
        <f>IF(A63="","",IFERROR(FORECAST(K62+B62+B63,INDEX(Courbe_de_tarage!$A$4:$A$44,MATCH(K62+B62+B63,Courbe_de_tarage!$I$4:$I$44,1)):INDEX(Courbe_de_tarage!$A$4:$A$44,MATCH(K62+B62+B63,Courbe_de_tarage!$I$4:$I$44,1)+1),INDEX(Courbe_de_tarage!$I$4:$I$44,MATCH(K62+B62+B63,Courbe_de_tarage!$I$4:$I$44,1)):INDEX(Courbe_de_tarage!$I$4:$I$44,MATCH(K62+B62+B63,Courbe_de_tarage!$I$4:$I$44,1)+1)),IFERROR(INDEX(Courbe_de_tarage!$A$4:$A$44,MATCH(K62+B62+B63,Courbe_de_tarage!$I$4:$I$44,1)),INDEX(Courbe_de_tarage!$A$4:$A$44,1))))</f>
        <v/>
      </c>
      <c r="G63" s="19">
        <f>IF(A63="","",35.36+F63)</f>
        <v/>
      </c>
      <c r="H63" s="19">
        <f>IF(A63="","",IFERROR(FORECAST(K62+B62+B63,INDEX(Courbe_de_tarage!$H$4:$H$44,MATCH(K62+B62+B63,Courbe_de_tarage!$I$4:$I$44,1)):INDEX(Courbe_de_tarage!$H$4:$H$44,MATCH(K62+B62+B63,Courbe_de_tarage!$I$4:$I$44,1)+1),INDEX(Courbe_de_tarage!$I$4:$I$44,MATCH(K62+B62+B63,Courbe_de_tarage!$I$4:$I$44,1)):INDEX(Courbe_de_tarage!$I$4:$I$44,MATCH(K62+B62+B63,Courbe_de_tarage!$I$4:$I$44,1)+1)),IFERROR(INDEX(Courbe_de_tarage!$H$4:$H$44,MATCH(K62+B62+B63,Courbe_de_tarage!$I$4:$I$44,1)),INDEX(Courbe_de_tarage!$H$4:$H$44,1))))</f>
        <v/>
      </c>
      <c r="I63" s="4">
        <f>IF(G63="","",IF(G63&gt;37.4,"OUI",""))</f>
        <v/>
      </c>
      <c r="J63" s="19">
        <f>IF(A63="","",K62+B62+B63)</f>
        <v/>
      </c>
      <c r="K63" s="19">
        <f>IF(A63="","",2*H63/(Hydrogramme_entree!$B$8*60)-E63)</f>
        <v/>
      </c>
    </row>
    <row r="64">
      <c r="A64" s="4">
        <f>Hydrogramme_entree!A70</f>
        <v/>
      </c>
      <c r="B64" s="19">
        <f>Hydrogramme_entree!B70</f>
        <v/>
      </c>
      <c r="C64" s="19">
        <f>IF(A64="","",IFERROR(FORECAST(K63+B63+B64,INDEX(Courbe_de_tarage!$C$4:$C$44,MATCH(K63+B63+B64,Courbe_de_tarage!$I$4:$I$44,1)):INDEX(Courbe_de_tarage!$C$4:$C$44,MATCH(K63+B63+B64,Courbe_de_tarage!$I$4:$I$44,1)+1),INDEX(Courbe_de_tarage!$I$4:$I$44,MATCH(K63+B63+B64,Courbe_de_tarage!$I$4:$I$44,1)):INDEX(Courbe_de_tarage!$I$4:$I$44,MATCH(K63+B63+B64,Courbe_de_tarage!$I$4:$I$44,1)+1)),IFERROR(INDEX(Courbe_de_tarage!$C$4:$C$44,MATCH(K63+B63+B64,Courbe_de_tarage!$I$4:$I$44,1)),INDEX(Courbe_de_tarage!$C$4:$C$44,1))))</f>
        <v/>
      </c>
      <c r="D64" s="19">
        <f>IF(A64="","",IFERROR(FORECAST(K63+B63+B64,INDEX(Courbe_de_tarage!$D$4:$D$44,MATCH(K63+B63+B64,Courbe_de_tarage!$I$4:$I$44,1)):INDEX(Courbe_de_tarage!$D$4:$D$44,MATCH(K63+B63+B64,Courbe_de_tarage!$I$4:$I$44,1)+1),INDEX(Courbe_de_tarage!$I$4:$I$44,MATCH(K63+B63+B64,Courbe_de_tarage!$I$4:$I$44,1)):INDEX(Courbe_de_tarage!$I$4:$I$44,MATCH(K63+B63+B64,Courbe_de_tarage!$I$4:$I$44,1)+1)),IFERROR(INDEX(Courbe_de_tarage!$D$4:$D$44,MATCH(K63+B63+B64,Courbe_de_tarage!$I$4:$I$44,1)),INDEX(Courbe_de_tarage!$D$4:$D$44,1))))</f>
        <v/>
      </c>
      <c r="E64" s="19">
        <f>IF(A64="","",IFERROR(FORECAST(K63+B63+B64,INDEX(Courbe_de_tarage!$E$4:$E$44,MATCH(K63+B63+B64,Courbe_de_tarage!$I$4:$I$44,1)):INDEX(Courbe_de_tarage!$E$4:$E$44,MATCH(K63+B63+B64,Courbe_de_tarage!$I$4:$I$44,1)+1),INDEX(Courbe_de_tarage!$I$4:$I$44,MATCH(K63+B63+B64,Courbe_de_tarage!$I$4:$I$44,1)):INDEX(Courbe_de_tarage!$I$4:$I$44,MATCH(K63+B63+B64,Courbe_de_tarage!$I$4:$I$44,1)+1)),IFERROR(INDEX(Courbe_de_tarage!$E$4:$E$44,MATCH(K63+B63+B64,Courbe_de_tarage!$I$4:$I$44,1)),INDEX(Courbe_de_tarage!$E$4:$E$44,1))))</f>
        <v/>
      </c>
      <c r="F64" s="19">
        <f>IF(A64="","",IFERROR(FORECAST(K63+B63+B64,INDEX(Courbe_de_tarage!$A$4:$A$44,MATCH(K63+B63+B64,Courbe_de_tarage!$I$4:$I$44,1)):INDEX(Courbe_de_tarage!$A$4:$A$44,MATCH(K63+B63+B64,Courbe_de_tarage!$I$4:$I$44,1)+1),INDEX(Courbe_de_tarage!$I$4:$I$44,MATCH(K63+B63+B64,Courbe_de_tarage!$I$4:$I$44,1)):INDEX(Courbe_de_tarage!$I$4:$I$44,MATCH(K63+B63+B64,Courbe_de_tarage!$I$4:$I$44,1)+1)),IFERROR(INDEX(Courbe_de_tarage!$A$4:$A$44,MATCH(K63+B63+B64,Courbe_de_tarage!$I$4:$I$44,1)),INDEX(Courbe_de_tarage!$A$4:$A$44,1))))</f>
        <v/>
      </c>
      <c r="G64" s="19">
        <f>IF(A64="","",35.36+F64)</f>
        <v/>
      </c>
      <c r="H64" s="19">
        <f>IF(A64="","",IFERROR(FORECAST(K63+B63+B64,INDEX(Courbe_de_tarage!$H$4:$H$44,MATCH(K63+B63+B64,Courbe_de_tarage!$I$4:$I$44,1)):INDEX(Courbe_de_tarage!$H$4:$H$44,MATCH(K63+B63+B64,Courbe_de_tarage!$I$4:$I$44,1)+1),INDEX(Courbe_de_tarage!$I$4:$I$44,MATCH(K63+B63+B64,Courbe_de_tarage!$I$4:$I$44,1)):INDEX(Courbe_de_tarage!$I$4:$I$44,MATCH(K63+B63+B64,Courbe_de_tarage!$I$4:$I$44,1)+1)),IFERROR(INDEX(Courbe_de_tarage!$H$4:$H$44,MATCH(K63+B63+B64,Courbe_de_tarage!$I$4:$I$44,1)),INDEX(Courbe_de_tarage!$H$4:$H$44,1))))</f>
        <v/>
      </c>
      <c r="I64" s="4">
        <f>IF(G64="","",IF(G64&gt;37.4,"OUI",""))</f>
        <v/>
      </c>
      <c r="J64" s="19">
        <f>IF(A64="","",K63+B63+B64)</f>
        <v/>
      </c>
      <c r="K64" s="19">
        <f>IF(A64="","",2*H64/(Hydrogramme_entree!$B$8*60)-E64)</f>
        <v/>
      </c>
    </row>
    <row r="65">
      <c r="A65" s="4">
        <f>Hydrogramme_entree!A71</f>
        <v/>
      </c>
      <c r="B65" s="19">
        <f>Hydrogramme_entree!B71</f>
        <v/>
      </c>
      <c r="C65" s="19">
        <f>IF(A65="","",IFERROR(FORECAST(K64+B64+B65,INDEX(Courbe_de_tarage!$C$4:$C$44,MATCH(K64+B64+B65,Courbe_de_tarage!$I$4:$I$44,1)):INDEX(Courbe_de_tarage!$C$4:$C$44,MATCH(K64+B64+B65,Courbe_de_tarage!$I$4:$I$44,1)+1),INDEX(Courbe_de_tarage!$I$4:$I$44,MATCH(K64+B64+B65,Courbe_de_tarage!$I$4:$I$44,1)):INDEX(Courbe_de_tarage!$I$4:$I$44,MATCH(K64+B64+B65,Courbe_de_tarage!$I$4:$I$44,1)+1)),IFERROR(INDEX(Courbe_de_tarage!$C$4:$C$44,MATCH(K64+B64+B65,Courbe_de_tarage!$I$4:$I$44,1)),INDEX(Courbe_de_tarage!$C$4:$C$44,1))))</f>
        <v/>
      </c>
      <c r="D65" s="19">
        <f>IF(A65="","",IFERROR(FORECAST(K64+B64+B65,INDEX(Courbe_de_tarage!$D$4:$D$44,MATCH(K64+B64+B65,Courbe_de_tarage!$I$4:$I$44,1)):INDEX(Courbe_de_tarage!$D$4:$D$44,MATCH(K64+B64+B65,Courbe_de_tarage!$I$4:$I$44,1)+1),INDEX(Courbe_de_tarage!$I$4:$I$44,MATCH(K64+B64+B65,Courbe_de_tarage!$I$4:$I$44,1)):INDEX(Courbe_de_tarage!$I$4:$I$44,MATCH(K64+B64+B65,Courbe_de_tarage!$I$4:$I$44,1)+1)),IFERROR(INDEX(Courbe_de_tarage!$D$4:$D$44,MATCH(K64+B64+B65,Courbe_de_tarage!$I$4:$I$44,1)),INDEX(Courbe_de_tarage!$D$4:$D$44,1))))</f>
        <v/>
      </c>
      <c r="E65" s="19">
        <f>IF(A65="","",IFERROR(FORECAST(K64+B64+B65,INDEX(Courbe_de_tarage!$E$4:$E$44,MATCH(K64+B64+B65,Courbe_de_tarage!$I$4:$I$44,1)):INDEX(Courbe_de_tarage!$E$4:$E$44,MATCH(K64+B64+B65,Courbe_de_tarage!$I$4:$I$44,1)+1),INDEX(Courbe_de_tarage!$I$4:$I$44,MATCH(K64+B64+B65,Courbe_de_tarage!$I$4:$I$44,1)):INDEX(Courbe_de_tarage!$I$4:$I$44,MATCH(K64+B64+B65,Courbe_de_tarage!$I$4:$I$44,1)+1)),IFERROR(INDEX(Courbe_de_tarage!$E$4:$E$44,MATCH(K64+B64+B65,Courbe_de_tarage!$I$4:$I$44,1)),INDEX(Courbe_de_tarage!$E$4:$E$44,1))))</f>
        <v/>
      </c>
      <c r="F65" s="19">
        <f>IF(A65="","",IFERROR(FORECAST(K64+B64+B65,INDEX(Courbe_de_tarage!$A$4:$A$44,MATCH(K64+B64+B65,Courbe_de_tarage!$I$4:$I$44,1)):INDEX(Courbe_de_tarage!$A$4:$A$44,MATCH(K64+B64+B65,Courbe_de_tarage!$I$4:$I$44,1)+1),INDEX(Courbe_de_tarage!$I$4:$I$44,MATCH(K64+B64+B65,Courbe_de_tarage!$I$4:$I$44,1)):INDEX(Courbe_de_tarage!$I$4:$I$44,MATCH(K64+B64+B65,Courbe_de_tarage!$I$4:$I$44,1)+1)),IFERROR(INDEX(Courbe_de_tarage!$A$4:$A$44,MATCH(K64+B64+B65,Courbe_de_tarage!$I$4:$I$44,1)),INDEX(Courbe_de_tarage!$A$4:$A$44,1))))</f>
        <v/>
      </c>
      <c r="G65" s="19">
        <f>IF(A65="","",35.36+F65)</f>
        <v/>
      </c>
      <c r="H65" s="19">
        <f>IF(A65="","",IFERROR(FORECAST(K64+B64+B65,INDEX(Courbe_de_tarage!$H$4:$H$44,MATCH(K64+B64+B65,Courbe_de_tarage!$I$4:$I$44,1)):INDEX(Courbe_de_tarage!$H$4:$H$44,MATCH(K64+B64+B65,Courbe_de_tarage!$I$4:$I$44,1)+1),INDEX(Courbe_de_tarage!$I$4:$I$44,MATCH(K64+B64+B65,Courbe_de_tarage!$I$4:$I$44,1)):INDEX(Courbe_de_tarage!$I$4:$I$44,MATCH(K64+B64+B65,Courbe_de_tarage!$I$4:$I$44,1)+1)),IFERROR(INDEX(Courbe_de_tarage!$H$4:$H$44,MATCH(K64+B64+B65,Courbe_de_tarage!$I$4:$I$44,1)),INDEX(Courbe_de_tarage!$H$4:$H$44,1))))</f>
        <v/>
      </c>
      <c r="I65" s="4">
        <f>IF(G65="","",IF(G65&gt;37.4,"OUI",""))</f>
        <v/>
      </c>
      <c r="J65" s="19">
        <f>IF(A65="","",K64+B64+B65)</f>
        <v/>
      </c>
      <c r="K65" s="19">
        <f>IF(A65="","",2*H65/(Hydrogramme_entree!$B$8*60)-E65)</f>
        <v/>
      </c>
    </row>
    <row r="66">
      <c r="A66" s="4">
        <f>Hydrogramme_entree!A72</f>
        <v/>
      </c>
      <c r="B66" s="19">
        <f>Hydrogramme_entree!B72</f>
        <v/>
      </c>
      <c r="C66" s="19">
        <f>IF(A66="","",IFERROR(FORECAST(K65+B65+B66,INDEX(Courbe_de_tarage!$C$4:$C$44,MATCH(K65+B65+B66,Courbe_de_tarage!$I$4:$I$44,1)):INDEX(Courbe_de_tarage!$C$4:$C$44,MATCH(K65+B65+B66,Courbe_de_tarage!$I$4:$I$44,1)+1),INDEX(Courbe_de_tarage!$I$4:$I$44,MATCH(K65+B65+B66,Courbe_de_tarage!$I$4:$I$44,1)):INDEX(Courbe_de_tarage!$I$4:$I$44,MATCH(K65+B65+B66,Courbe_de_tarage!$I$4:$I$44,1)+1)),IFERROR(INDEX(Courbe_de_tarage!$C$4:$C$44,MATCH(K65+B65+B66,Courbe_de_tarage!$I$4:$I$44,1)),INDEX(Courbe_de_tarage!$C$4:$C$44,1))))</f>
        <v/>
      </c>
      <c r="D66" s="19">
        <f>IF(A66="","",IFERROR(FORECAST(K65+B65+B66,INDEX(Courbe_de_tarage!$D$4:$D$44,MATCH(K65+B65+B66,Courbe_de_tarage!$I$4:$I$44,1)):INDEX(Courbe_de_tarage!$D$4:$D$44,MATCH(K65+B65+B66,Courbe_de_tarage!$I$4:$I$44,1)+1),INDEX(Courbe_de_tarage!$I$4:$I$44,MATCH(K65+B65+B66,Courbe_de_tarage!$I$4:$I$44,1)):INDEX(Courbe_de_tarage!$I$4:$I$44,MATCH(K65+B65+B66,Courbe_de_tarage!$I$4:$I$44,1)+1)),IFERROR(INDEX(Courbe_de_tarage!$D$4:$D$44,MATCH(K65+B65+B66,Courbe_de_tarage!$I$4:$I$44,1)),INDEX(Courbe_de_tarage!$D$4:$D$44,1))))</f>
        <v/>
      </c>
      <c r="E66" s="19">
        <f>IF(A66="","",IFERROR(FORECAST(K65+B65+B66,INDEX(Courbe_de_tarage!$E$4:$E$44,MATCH(K65+B65+B66,Courbe_de_tarage!$I$4:$I$44,1)):INDEX(Courbe_de_tarage!$E$4:$E$44,MATCH(K65+B65+B66,Courbe_de_tarage!$I$4:$I$44,1)+1),INDEX(Courbe_de_tarage!$I$4:$I$44,MATCH(K65+B65+B66,Courbe_de_tarage!$I$4:$I$44,1)):INDEX(Courbe_de_tarage!$I$4:$I$44,MATCH(K65+B65+B66,Courbe_de_tarage!$I$4:$I$44,1)+1)),IFERROR(INDEX(Courbe_de_tarage!$E$4:$E$44,MATCH(K65+B65+B66,Courbe_de_tarage!$I$4:$I$44,1)),INDEX(Courbe_de_tarage!$E$4:$E$44,1))))</f>
        <v/>
      </c>
      <c r="F66" s="19">
        <f>IF(A66="","",IFERROR(FORECAST(K65+B65+B66,INDEX(Courbe_de_tarage!$A$4:$A$44,MATCH(K65+B65+B66,Courbe_de_tarage!$I$4:$I$44,1)):INDEX(Courbe_de_tarage!$A$4:$A$44,MATCH(K65+B65+B66,Courbe_de_tarage!$I$4:$I$44,1)+1),INDEX(Courbe_de_tarage!$I$4:$I$44,MATCH(K65+B65+B66,Courbe_de_tarage!$I$4:$I$44,1)):INDEX(Courbe_de_tarage!$I$4:$I$44,MATCH(K65+B65+B66,Courbe_de_tarage!$I$4:$I$44,1)+1)),IFERROR(INDEX(Courbe_de_tarage!$A$4:$A$44,MATCH(K65+B65+B66,Courbe_de_tarage!$I$4:$I$44,1)),INDEX(Courbe_de_tarage!$A$4:$A$44,1))))</f>
        <v/>
      </c>
      <c r="G66" s="19">
        <f>IF(A66="","",35.36+F66)</f>
        <v/>
      </c>
      <c r="H66" s="19">
        <f>IF(A66="","",IFERROR(FORECAST(K65+B65+B66,INDEX(Courbe_de_tarage!$H$4:$H$44,MATCH(K65+B65+B66,Courbe_de_tarage!$I$4:$I$44,1)):INDEX(Courbe_de_tarage!$H$4:$H$44,MATCH(K65+B65+B66,Courbe_de_tarage!$I$4:$I$44,1)+1),INDEX(Courbe_de_tarage!$I$4:$I$44,MATCH(K65+B65+B66,Courbe_de_tarage!$I$4:$I$44,1)):INDEX(Courbe_de_tarage!$I$4:$I$44,MATCH(K65+B65+B66,Courbe_de_tarage!$I$4:$I$44,1)+1)),IFERROR(INDEX(Courbe_de_tarage!$H$4:$H$44,MATCH(K65+B65+B66,Courbe_de_tarage!$I$4:$I$44,1)),INDEX(Courbe_de_tarage!$H$4:$H$44,1))))</f>
        <v/>
      </c>
      <c r="I66" s="4">
        <f>IF(G66="","",IF(G66&gt;37.4,"OUI",""))</f>
        <v/>
      </c>
      <c r="J66" s="19">
        <f>IF(A66="","",K65+B65+B66)</f>
        <v/>
      </c>
      <c r="K66" s="19">
        <f>IF(A66="","",2*H66/(Hydrogramme_entree!$B$8*60)-E66)</f>
        <v/>
      </c>
    </row>
    <row r="67">
      <c r="A67" s="4">
        <f>Hydrogramme_entree!A73</f>
        <v/>
      </c>
      <c r="B67" s="19">
        <f>Hydrogramme_entree!B73</f>
        <v/>
      </c>
      <c r="C67" s="19">
        <f>IF(A67="","",IFERROR(FORECAST(K66+B66+B67,INDEX(Courbe_de_tarage!$C$4:$C$44,MATCH(K66+B66+B67,Courbe_de_tarage!$I$4:$I$44,1)):INDEX(Courbe_de_tarage!$C$4:$C$44,MATCH(K66+B66+B67,Courbe_de_tarage!$I$4:$I$44,1)+1),INDEX(Courbe_de_tarage!$I$4:$I$44,MATCH(K66+B66+B67,Courbe_de_tarage!$I$4:$I$44,1)):INDEX(Courbe_de_tarage!$I$4:$I$44,MATCH(K66+B66+B67,Courbe_de_tarage!$I$4:$I$44,1)+1)),IFERROR(INDEX(Courbe_de_tarage!$C$4:$C$44,MATCH(K66+B66+B67,Courbe_de_tarage!$I$4:$I$44,1)),INDEX(Courbe_de_tarage!$C$4:$C$44,1))))</f>
        <v/>
      </c>
      <c r="D67" s="19">
        <f>IF(A67="","",IFERROR(FORECAST(K66+B66+B67,INDEX(Courbe_de_tarage!$D$4:$D$44,MATCH(K66+B66+B67,Courbe_de_tarage!$I$4:$I$44,1)):INDEX(Courbe_de_tarage!$D$4:$D$44,MATCH(K66+B66+B67,Courbe_de_tarage!$I$4:$I$44,1)+1),INDEX(Courbe_de_tarage!$I$4:$I$44,MATCH(K66+B66+B67,Courbe_de_tarage!$I$4:$I$44,1)):INDEX(Courbe_de_tarage!$I$4:$I$44,MATCH(K66+B66+B67,Courbe_de_tarage!$I$4:$I$44,1)+1)),IFERROR(INDEX(Courbe_de_tarage!$D$4:$D$44,MATCH(K66+B66+B67,Courbe_de_tarage!$I$4:$I$44,1)),INDEX(Courbe_de_tarage!$D$4:$D$44,1))))</f>
        <v/>
      </c>
      <c r="E67" s="19">
        <f>IF(A67="","",IFERROR(FORECAST(K66+B66+B67,INDEX(Courbe_de_tarage!$E$4:$E$44,MATCH(K66+B66+B67,Courbe_de_tarage!$I$4:$I$44,1)):INDEX(Courbe_de_tarage!$E$4:$E$44,MATCH(K66+B66+B67,Courbe_de_tarage!$I$4:$I$44,1)+1),INDEX(Courbe_de_tarage!$I$4:$I$44,MATCH(K66+B66+B67,Courbe_de_tarage!$I$4:$I$44,1)):INDEX(Courbe_de_tarage!$I$4:$I$44,MATCH(K66+B66+B67,Courbe_de_tarage!$I$4:$I$44,1)+1)),IFERROR(INDEX(Courbe_de_tarage!$E$4:$E$44,MATCH(K66+B66+B67,Courbe_de_tarage!$I$4:$I$44,1)),INDEX(Courbe_de_tarage!$E$4:$E$44,1))))</f>
        <v/>
      </c>
      <c r="F67" s="19">
        <f>IF(A67="","",IFERROR(FORECAST(K66+B66+B67,INDEX(Courbe_de_tarage!$A$4:$A$44,MATCH(K66+B66+B67,Courbe_de_tarage!$I$4:$I$44,1)):INDEX(Courbe_de_tarage!$A$4:$A$44,MATCH(K66+B66+B67,Courbe_de_tarage!$I$4:$I$44,1)+1),INDEX(Courbe_de_tarage!$I$4:$I$44,MATCH(K66+B66+B67,Courbe_de_tarage!$I$4:$I$44,1)):INDEX(Courbe_de_tarage!$I$4:$I$44,MATCH(K66+B66+B67,Courbe_de_tarage!$I$4:$I$44,1)+1)),IFERROR(INDEX(Courbe_de_tarage!$A$4:$A$44,MATCH(K66+B66+B67,Courbe_de_tarage!$I$4:$I$44,1)),INDEX(Courbe_de_tarage!$A$4:$A$44,1))))</f>
        <v/>
      </c>
      <c r="G67" s="19">
        <f>IF(A67="","",35.36+F67)</f>
        <v/>
      </c>
      <c r="H67" s="19">
        <f>IF(A67="","",IFERROR(FORECAST(K66+B66+B67,INDEX(Courbe_de_tarage!$H$4:$H$44,MATCH(K66+B66+B67,Courbe_de_tarage!$I$4:$I$44,1)):INDEX(Courbe_de_tarage!$H$4:$H$44,MATCH(K66+B66+B67,Courbe_de_tarage!$I$4:$I$44,1)+1),INDEX(Courbe_de_tarage!$I$4:$I$44,MATCH(K66+B66+B67,Courbe_de_tarage!$I$4:$I$44,1)):INDEX(Courbe_de_tarage!$I$4:$I$44,MATCH(K66+B66+B67,Courbe_de_tarage!$I$4:$I$44,1)+1)),IFERROR(INDEX(Courbe_de_tarage!$H$4:$H$44,MATCH(K66+B66+B67,Courbe_de_tarage!$I$4:$I$44,1)),INDEX(Courbe_de_tarage!$H$4:$H$44,1))))</f>
        <v/>
      </c>
      <c r="I67" s="4">
        <f>IF(G67="","",IF(G67&gt;37.4,"OUI",""))</f>
        <v/>
      </c>
      <c r="J67" s="19">
        <f>IF(A67="","",K66+B66+B67)</f>
        <v/>
      </c>
      <c r="K67" s="19">
        <f>IF(A67="","",2*H67/(Hydrogramme_entree!$B$8*60)-E67)</f>
        <v/>
      </c>
    </row>
    <row r="68">
      <c r="A68" s="4">
        <f>Hydrogramme_entree!A74</f>
        <v/>
      </c>
      <c r="B68" s="19">
        <f>Hydrogramme_entree!B74</f>
        <v/>
      </c>
      <c r="C68" s="19">
        <f>IF(A68="","",IFERROR(FORECAST(K67+B67+B68,INDEX(Courbe_de_tarage!$C$4:$C$44,MATCH(K67+B67+B68,Courbe_de_tarage!$I$4:$I$44,1)):INDEX(Courbe_de_tarage!$C$4:$C$44,MATCH(K67+B67+B68,Courbe_de_tarage!$I$4:$I$44,1)+1),INDEX(Courbe_de_tarage!$I$4:$I$44,MATCH(K67+B67+B68,Courbe_de_tarage!$I$4:$I$44,1)):INDEX(Courbe_de_tarage!$I$4:$I$44,MATCH(K67+B67+B68,Courbe_de_tarage!$I$4:$I$44,1)+1)),IFERROR(INDEX(Courbe_de_tarage!$C$4:$C$44,MATCH(K67+B67+B68,Courbe_de_tarage!$I$4:$I$44,1)),INDEX(Courbe_de_tarage!$C$4:$C$44,1))))</f>
        <v/>
      </c>
      <c r="D68" s="19">
        <f>IF(A68="","",IFERROR(FORECAST(K67+B67+B68,INDEX(Courbe_de_tarage!$D$4:$D$44,MATCH(K67+B67+B68,Courbe_de_tarage!$I$4:$I$44,1)):INDEX(Courbe_de_tarage!$D$4:$D$44,MATCH(K67+B67+B68,Courbe_de_tarage!$I$4:$I$44,1)+1),INDEX(Courbe_de_tarage!$I$4:$I$44,MATCH(K67+B67+B68,Courbe_de_tarage!$I$4:$I$44,1)):INDEX(Courbe_de_tarage!$I$4:$I$44,MATCH(K67+B67+B68,Courbe_de_tarage!$I$4:$I$44,1)+1)),IFERROR(INDEX(Courbe_de_tarage!$D$4:$D$44,MATCH(K67+B67+B68,Courbe_de_tarage!$I$4:$I$44,1)),INDEX(Courbe_de_tarage!$D$4:$D$44,1))))</f>
        <v/>
      </c>
      <c r="E68" s="19">
        <f>IF(A68="","",IFERROR(FORECAST(K67+B67+B68,INDEX(Courbe_de_tarage!$E$4:$E$44,MATCH(K67+B67+B68,Courbe_de_tarage!$I$4:$I$44,1)):INDEX(Courbe_de_tarage!$E$4:$E$44,MATCH(K67+B67+B68,Courbe_de_tarage!$I$4:$I$44,1)+1),INDEX(Courbe_de_tarage!$I$4:$I$44,MATCH(K67+B67+B68,Courbe_de_tarage!$I$4:$I$44,1)):INDEX(Courbe_de_tarage!$I$4:$I$44,MATCH(K67+B67+B68,Courbe_de_tarage!$I$4:$I$44,1)+1)),IFERROR(INDEX(Courbe_de_tarage!$E$4:$E$44,MATCH(K67+B67+B68,Courbe_de_tarage!$I$4:$I$44,1)),INDEX(Courbe_de_tarage!$E$4:$E$44,1))))</f>
        <v/>
      </c>
      <c r="F68" s="19">
        <f>IF(A68="","",IFERROR(FORECAST(K67+B67+B68,INDEX(Courbe_de_tarage!$A$4:$A$44,MATCH(K67+B67+B68,Courbe_de_tarage!$I$4:$I$44,1)):INDEX(Courbe_de_tarage!$A$4:$A$44,MATCH(K67+B67+B68,Courbe_de_tarage!$I$4:$I$44,1)+1),INDEX(Courbe_de_tarage!$I$4:$I$44,MATCH(K67+B67+B68,Courbe_de_tarage!$I$4:$I$44,1)):INDEX(Courbe_de_tarage!$I$4:$I$44,MATCH(K67+B67+B68,Courbe_de_tarage!$I$4:$I$44,1)+1)),IFERROR(INDEX(Courbe_de_tarage!$A$4:$A$44,MATCH(K67+B67+B68,Courbe_de_tarage!$I$4:$I$44,1)),INDEX(Courbe_de_tarage!$A$4:$A$44,1))))</f>
        <v/>
      </c>
      <c r="G68" s="19">
        <f>IF(A68="","",35.36+F68)</f>
        <v/>
      </c>
      <c r="H68" s="19">
        <f>IF(A68="","",IFERROR(FORECAST(K67+B67+B68,INDEX(Courbe_de_tarage!$H$4:$H$44,MATCH(K67+B67+B68,Courbe_de_tarage!$I$4:$I$44,1)):INDEX(Courbe_de_tarage!$H$4:$H$44,MATCH(K67+B67+B68,Courbe_de_tarage!$I$4:$I$44,1)+1),INDEX(Courbe_de_tarage!$I$4:$I$44,MATCH(K67+B67+B68,Courbe_de_tarage!$I$4:$I$44,1)):INDEX(Courbe_de_tarage!$I$4:$I$44,MATCH(K67+B67+B68,Courbe_de_tarage!$I$4:$I$44,1)+1)),IFERROR(INDEX(Courbe_de_tarage!$H$4:$H$44,MATCH(K67+B67+B68,Courbe_de_tarage!$I$4:$I$44,1)),INDEX(Courbe_de_tarage!$H$4:$H$44,1))))</f>
        <v/>
      </c>
      <c r="I68" s="4">
        <f>IF(G68="","",IF(G68&gt;37.4,"OUI",""))</f>
        <v/>
      </c>
      <c r="J68" s="19">
        <f>IF(A68="","",K67+B67+B68)</f>
        <v/>
      </c>
      <c r="K68" s="19">
        <f>IF(A68="","",2*H68/(Hydrogramme_entree!$B$8*60)-E68)</f>
        <v/>
      </c>
    </row>
    <row r="69">
      <c r="A69" s="4">
        <f>Hydrogramme_entree!A75</f>
        <v/>
      </c>
      <c r="B69" s="19">
        <f>Hydrogramme_entree!B75</f>
        <v/>
      </c>
      <c r="C69" s="19">
        <f>IF(A69="","",IFERROR(FORECAST(K68+B68+B69,INDEX(Courbe_de_tarage!$C$4:$C$44,MATCH(K68+B68+B69,Courbe_de_tarage!$I$4:$I$44,1)):INDEX(Courbe_de_tarage!$C$4:$C$44,MATCH(K68+B68+B69,Courbe_de_tarage!$I$4:$I$44,1)+1),INDEX(Courbe_de_tarage!$I$4:$I$44,MATCH(K68+B68+B69,Courbe_de_tarage!$I$4:$I$44,1)):INDEX(Courbe_de_tarage!$I$4:$I$44,MATCH(K68+B68+B69,Courbe_de_tarage!$I$4:$I$44,1)+1)),IFERROR(INDEX(Courbe_de_tarage!$C$4:$C$44,MATCH(K68+B68+B69,Courbe_de_tarage!$I$4:$I$44,1)),INDEX(Courbe_de_tarage!$C$4:$C$44,1))))</f>
        <v/>
      </c>
      <c r="D69" s="19">
        <f>IF(A69="","",IFERROR(FORECAST(K68+B68+B69,INDEX(Courbe_de_tarage!$D$4:$D$44,MATCH(K68+B68+B69,Courbe_de_tarage!$I$4:$I$44,1)):INDEX(Courbe_de_tarage!$D$4:$D$44,MATCH(K68+B68+B69,Courbe_de_tarage!$I$4:$I$44,1)+1),INDEX(Courbe_de_tarage!$I$4:$I$44,MATCH(K68+B68+B69,Courbe_de_tarage!$I$4:$I$44,1)):INDEX(Courbe_de_tarage!$I$4:$I$44,MATCH(K68+B68+B69,Courbe_de_tarage!$I$4:$I$44,1)+1)),IFERROR(INDEX(Courbe_de_tarage!$D$4:$D$44,MATCH(K68+B68+B69,Courbe_de_tarage!$I$4:$I$44,1)),INDEX(Courbe_de_tarage!$D$4:$D$44,1))))</f>
        <v/>
      </c>
      <c r="E69" s="19">
        <f>IF(A69="","",IFERROR(FORECAST(K68+B68+B69,INDEX(Courbe_de_tarage!$E$4:$E$44,MATCH(K68+B68+B69,Courbe_de_tarage!$I$4:$I$44,1)):INDEX(Courbe_de_tarage!$E$4:$E$44,MATCH(K68+B68+B69,Courbe_de_tarage!$I$4:$I$44,1)+1),INDEX(Courbe_de_tarage!$I$4:$I$44,MATCH(K68+B68+B69,Courbe_de_tarage!$I$4:$I$44,1)):INDEX(Courbe_de_tarage!$I$4:$I$44,MATCH(K68+B68+B69,Courbe_de_tarage!$I$4:$I$44,1)+1)),IFERROR(INDEX(Courbe_de_tarage!$E$4:$E$44,MATCH(K68+B68+B69,Courbe_de_tarage!$I$4:$I$44,1)),INDEX(Courbe_de_tarage!$E$4:$E$44,1))))</f>
        <v/>
      </c>
      <c r="F69" s="19">
        <f>IF(A69="","",IFERROR(FORECAST(K68+B68+B69,INDEX(Courbe_de_tarage!$A$4:$A$44,MATCH(K68+B68+B69,Courbe_de_tarage!$I$4:$I$44,1)):INDEX(Courbe_de_tarage!$A$4:$A$44,MATCH(K68+B68+B69,Courbe_de_tarage!$I$4:$I$44,1)+1),INDEX(Courbe_de_tarage!$I$4:$I$44,MATCH(K68+B68+B69,Courbe_de_tarage!$I$4:$I$44,1)):INDEX(Courbe_de_tarage!$I$4:$I$44,MATCH(K68+B68+B69,Courbe_de_tarage!$I$4:$I$44,1)+1)),IFERROR(INDEX(Courbe_de_tarage!$A$4:$A$44,MATCH(K68+B68+B69,Courbe_de_tarage!$I$4:$I$44,1)),INDEX(Courbe_de_tarage!$A$4:$A$44,1))))</f>
        <v/>
      </c>
      <c r="G69" s="19">
        <f>IF(A69="","",35.36+F69)</f>
        <v/>
      </c>
      <c r="H69" s="19">
        <f>IF(A69="","",IFERROR(FORECAST(K68+B68+B69,INDEX(Courbe_de_tarage!$H$4:$H$44,MATCH(K68+B68+B69,Courbe_de_tarage!$I$4:$I$44,1)):INDEX(Courbe_de_tarage!$H$4:$H$44,MATCH(K68+B68+B69,Courbe_de_tarage!$I$4:$I$44,1)+1),INDEX(Courbe_de_tarage!$I$4:$I$44,MATCH(K68+B68+B69,Courbe_de_tarage!$I$4:$I$44,1)):INDEX(Courbe_de_tarage!$I$4:$I$44,MATCH(K68+B68+B69,Courbe_de_tarage!$I$4:$I$44,1)+1)),IFERROR(INDEX(Courbe_de_tarage!$H$4:$H$44,MATCH(K68+B68+B69,Courbe_de_tarage!$I$4:$I$44,1)),INDEX(Courbe_de_tarage!$H$4:$H$44,1))))</f>
        <v/>
      </c>
      <c r="I69" s="4">
        <f>IF(G69="","",IF(G69&gt;37.4,"OUI",""))</f>
        <v/>
      </c>
      <c r="J69" s="19">
        <f>IF(A69="","",K68+B68+B69)</f>
        <v/>
      </c>
      <c r="K69" s="19">
        <f>IF(A69="","",2*H69/(Hydrogramme_entree!$B$8*60)-E69)</f>
        <v/>
      </c>
    </row>
    <row r="70">
      <c r="A70" s="4">
        <f>Hydrogramme_entree!A76</f>
        <v/>
      </c>
      <c r="B70" s="19">
        <f>Hydrogramme_entree!B76</f>
        <v/>
      </c>
      <c r="C70" s="19">
        <f>IF(A70="","",IFERROR(FORECAST(K69+B69+B70,INDEX(Courbe_de_tarage!$C$4:$C$44,MATCH(K69+B69+B70,Courbe_de_tarage!$I$4:$I$44,1)):INDEX(Courbe_de_tarage!$C$4:$C$44,MATCH(K69+B69+B70,Courbe_de_tarage!$I$4:$I$44,1)+1),INDEX(Courbe_de_tarage!$I$4:$I$44,MATCH(K69+B69+B70,Courbe_de_tarage!$I$4:$I$44,1)):INDEX(Courbe_de_tarage!$I$4:$I$44,MATCH(K69+B69+B70,Courbe_de_tarage!$I$4:$I$44,1)+1)),IFERROR(INDEX(Courbe_de_tarage!$C$4:$C$44,MATCH(K69+B69+B70,Courbe_de_tarage!$I$4:$I$44,1)),INDEX(Courbe_de_tarage!$C$4:$C$44,1))))</f>
        <v/>
      </c>
      <c r="D70" s="19">
        <f>IF(A70="","",IFERROR(FORECAST(K69+B69+B70,INDEX(Courbe_de_tarage!$D$4:$D$44,MATCH(K69+B69+B70,Courbe_de_tarage!$I$4:$I$44,1)):INDEX(Courbe_de_tarage!$D$4:$D$44,MATCH(K69+B69+B70,Courbe_de_tarage!$I$4:$I$44,1)+1),INDEX(Courbe_de_tarage!$I$4:$I$44,MATCH(K69+B69+B70,Courbe_de_tarage!$I$4:$I$44,1)):INDEX(Courbe_de_tarage!$I$4:$I$44,MATCH(K69+B69+B70,Courbe_de_tarage!$I$4:$I$44,1)+1)),IFERROR(INDEX(Courbe_de_tarage!$D$4:$D$44,MATCH(K69+B69+B70,Courbe_de_tarage!$I$4:$I$44,1)),INDEX(Courbe_de_tarage!$D$4:$D$44,1))))</f>
        <v/>
      </c>
      <c r="E70" s="19">
        <f>IF(A70="","",IFERROR(FORECAST(K69+B69+B70,INDEX(Courbe_de_tarage!$E$4:$E$44,MATCH(K69+B69+B70,Courbe_de_tarage!$I$4:$I$44,1)):INDEX(Courbe_de_tarage!$E$4:$E$44,MATCH(K69+B69+B70,Courbe_de_tarage!$I$4:$I$44,1)+1),INDEX(Courbe_de_tarage!$I$4:$I$44,MATCH(K69+B69+B70,Courbe_de_tarage!$I$4:$I$44,1)):INDEX(Courbe_de_tarage!$I$4:$I$44,MATCH(K69+B69+B70,Courbe_de_tarage!$I$4:$I$44,1)+1)),IFERROR(INDEX(Courbe_de_tarage!$E$4:$E$44,MATCH(K69+B69+B70,Courbe_de_tarage!$I$4:$I$44,1)),INDEX(Courbe_de_tarage!$E$4:$E$44,1))))</f>
        <v/>
      </c>
      <c r="F70" s="19">
        <f>IF(A70="","",IFERROR(FORECAST(K69+B69+B70,INDEX(Courbe_de_tarage!$A$4:$A$44,MATCH(K69+B69+B70,Courbe_de_tarage!$I$4:$I$44,1)):INDEX(Courbe_de_tarage!$A$4:$A$44,MATCH(K69+B69+B70,Courbe_de_tarage!$I$4:$I$44,1)+1),INDEX(Courbe_de_tarage!$I$4:$I$44,MATCH(K69+B69+B70,Courbe_de_tarage!$I$4:$I$44,1)):INDEX(Courbe_de_tarage!$I$4:$I$44,MATCH(K69+B69+B70,Courbe_de_tarage!$I$4:$I$44,1)+1)),IFERROR(INDEX(Courbe_de_tarage!$A$4:$A$44,MATCH(K69+B69+B70,Courbe_de_tarage!$I$4:$I$44,1)),INDEX(Courbe_de_tarage!$A$4:$A$44,1))))</f>
        <v/>
      </c>
      <c r="G70" s="19">
        <f>IF(A70="","",35.36+F70)</f>
        <v/>
      </c>
      <c r="H70" s="19">
        <f>IF(A70="","",IFERROR(FORECAST(K69+B69+B70,INDEX(Courbe_de_tarage!$H$4:$H$44,MATCH(K69+B69+B70,Courbe_de_tarage!$I$4:$I$44,1)):INDEX(Courbe_de_tarage!$H$4:$H$44,MATCH(K69+B69+B70,Courbe_de_tarage!$I$4:$I$44,1)+1),INDEX(Courbe_de_tarage!$I$4:$I$44,MATCH(K69+B69+B70,Courbe_de_tarage!$I$4:$I$44,1)):INDEX(Courbe_de_tarage!$I$4:$I$44,MATCH(K69+B69+B70,Courbe_de_tarage!$I$4:$I$44,1)+1)),IFERROR(INDEX(Courbe_de_tarage!$H$4:$H$44,MATCH(K69+B69+B70,Courbe_de_tarage!$I$4:$I$44,1)),INDEX(Courbe_de_tarage!$H$4:$H$44,1))))</f>
        <v/>
      </c>
      <c r="I70" s="4">
        <f>IF(G70="","",IF(G70&gt;37.4,"OUI",""))</f>
        <v/>
      </c>
      <c r="J70" s="19">
        <f>IF(A70="","",K69+B69+B70)</f>
        <v/>
      </c>
      <c r="K70" s="19">
        <f>IF(A70="","",2*H70/(Hydrogramme_entree!$B$8*60)-E70)</f>
        <v/>
      </c>
    </row>
    <row r="71">
      <c r="A71" s="4">
        <f>Hydrogramme_entree!A77</f>
        <v/>
      </c>
      <c r="B71" s="19">
        <f>Hydrogramme_entree!B77</f>
        <v/>
      </c>
      <c r="C71" s="19">
        <f>IF(A71="","",IFERROR(FORECAST(K70+B70+B71,INDEX(Courbe_de_tarage!$C$4:$C$44,MATCH(K70+B70+B71,Courbe_de_tarage!$I$4:$I$44,1)):INDEX(Courbe_de_tarage!$C$4:$C$44,MATCH(K70+B70+B71,Courbe_de_tarage!$I$4:$I$44,1)+1),INDEX(Courbe_de_tarage!$I$4:$I$44,MATCH(K70+B70+B71,Courbe_de_tarage!$I$4:$I$44,1)):INDEX(Courbe_de_tarage!$I$4:$I$44,MATCH(K70+B70+B71,Courbe_de_tarage!$I$4:$I$44,1)+1)),IFERROR(INDEX(Courbe_de_tarage!$C$4:$C$44,MATCH(K70+B70+B71,Courbe_de_tarage!$I$4:$I$44,1)),INDEX(Courbe_de_tarage!$C$4:$C$44,1))))</f>
        <v/>
      </c>
      <c r="D71" s="19">
        <f>IF(A71="","",IFERROR(FORECAST(K70+B70+B71,INDEX(Courbe_de_tarage!$D$4:$D$44,MATCH(K70+B70+B71,Courbe_de_tarage!$I$4:$I$44,1)):INDEX(Courbe_de_tarage!$D$4:$D$44,MATCH(K70+B70+B71,Courbe_de_tarage!$I$4:$I$44,1)+1),INDEX(Courbe_de_tarage!$I$4:$I$44,MATCH(K70+B70+B71,Courbe_de_tarage!$I$4:$I$44,1)):INDEX(Courbe_de_tarage!$I$4:$I$44,MATCH(K70+B70+B71,Courbe_de_tarage!$I$4:$I$44,1)+1)),IFERROR(INDEX(Courbe_de_tarage!$D$4:$D$44,MATCH(K70+B70+B71,Courbe_de_tarage!$I$4:$I$44,1)),INDEX(Courbe_de_tarage!$D$4:$D$44,1))))</f>
        <v/>
      </c>
      <c r="E71" s="19">
        <f>IF(A71="","",IFERROR(FORECAST(K70+B70+B71,INDEX(Courbe_de_tarage!$E$4:$E$44,MATCH(K70+B70+B71,Courbe_de_tarage!$I$4:$I$44,1)):INDEX(Courbe_de_tarage!$E$4:$E$44,MATCH(K70+B70+B71,Courbe_de_tarage!$I$4:$I$44,1)+1),INDEX(Courbe_de_tarage!$I$4:$I$44,MATCH(K70+B70+B71,Courbe_de_tarage!$I$4:$I$44,1)):INDEX(Courbe_de_tarage!$I$4:$I$44,MATCH(K70+B70+B71,Courbe_de_tarage!$I$4:$I$44,1)+1)),IFERROR(INDEX(Courbe_de_tarage!$E$4:$E$44,MATCH(K70+B70+B71,Courbe_de_tarage!$I$4:$I$44,1)),INDEX(Courbe_de_tarage!$E$4:$E$44,1))))</f>
        <v/>
      </c>
      <c r="F71" s="19">
        <f>IF(A71="","",IFERROR(FORECAST(K70+B70+B71,INDEX(Courbe_de_tarage!$A$4:$A$44,MATCH(K70+B70+B71,Courbe_de_tarage!$I$4:$I$44,1)):INDEX(Courbe_de_tarage!$A$4:$A$44,MATCH(K70+B70+B71,Courbe_de_tarage!$I$4:$I$44,1)+1),INDEX(Courbe_de_tarage!$I$4:$I$44,MATCH(K70+B70+B71,Courbe_de_tarage!$I$4:$I$44,1)):INDEX(Courbe_de_tarage!$I$4:$I$44,MATCH(K70+B70+B71,Courbe_de_tarage!$I$4:$I$44,1)+1)),IFERROR(INDEX(Courbe_de_tarage!$A$4:$A$44,MATCH(K70+B70+B71,Courbe_de_tarage!$I$4:$I$44,1)),INDEX(Courbe_de_tarage!$A$4:$A$44,1))))</f>
        <v/>
      </c>
      <c r="G71" s="19">
        <f>IF(A71="","",35.36+F71)</f>
        <v/>
      </c>
      <c r="H71" s="19">
        <f>IF(A71="","",IFERROR(FORECAST(K70+B70+B71,INDEX(Courbe_de_tarage!$H$4:$H$44,MATCH(K70+B70+B71,Courbe_de_tarage!$I$4:$I$44,1)):INDEX(Courbe_de_tarage!$H$4:$H$44,MATCH(K70+B70+B71,Courbe_de_tarage!$I$4:$I$44,1)+1),INDEX(Courbe_de_tarage!$I$4:$I$44,MATCH(K70+B70+B71,Courbe_de_tarage!$I$4:$I$44,1)):INDEX(Courbe_de_tarage!$I$4:$I$44,MATCH(K70+B70+B71,Courbe_de_tarage!$I$4:$I$44,1)+1)),IFERROR(INDEX(Courbe_de_tarage!$H$4:$H$44,MATCH(K70+B70+B71,Courbe_de_tarage!$I$4:$I$44,1)),INDEX(Courbe_de_tarage!$H$4:$H$44,1))))</f>
        <v/>
      </c>
      <c r="I71" s="4">
        <f>IF(G71="","",IF(G71&gt;37.4,"OUI",""))</f>
        <v/>
      </c>
      <c r="J71" s="19">
        <f>IF(A71="","",K70+B70+B71)</f>
        <v/>
      </c>
      <c r="K71" s="19">
        <f>IF(A71="","",2*H71/(Hydrogramme_entree!$B$8*60)-E71)</f>
        <v/>
      </c>
    </row>
    <row r="72">
      <c r="A72" s="4">
        <f>Hydrogramme_entree!A78</f>
        <v/>
      </c>
      <c r="B72" s="19">
        <f>Hydrogramme_entree!B78</f>
        <v/>
      </c>
      <c r="C72" s="19">
        <f>IF(A72="","",IFERROR(FORECAST(K71+B71+B72,INDEX(Courbe_de_tarage!$C$4:$C$44,MATCH(K71+B71+B72,Courbe_de_tarage!$I$4:$I$44,1)):INDEX(Courbe_de_tarage!$C$4:$C$44,MATCH(K71+B71+B72,Courbe_de_tarage!$I$4:$I$44,1)+1),INDEX(Courbe_de_tarage!$I$4:$I$44,MATCH(K71+B71+B72,Courbe_de_tarage!$I$4:$I$44,1)):INDEX(Courbe_de_tarage!$I$4:$I$44,MATCH(K71+B71+B72,Courbe_de_tarage!$I$4:$I$44,1)+1)),IFERROR(INDEX(Courbe_de_tarage!$C$4:$C$44,MATCH(K71+B71+B72,Courbe_de_tarage!$I$4:$I$44,1)),INDEX(Courbe_de_tarage!$C$4:$C$44,1))))</f>
        <v/>
      </c>
      <c r="D72" s="19">
        <f>IF(A72="","",IFERROR(FORECAST(K71+B71+B72,INDEX(Courbe_de_tarage!$D$4:$D$44,MATCH(K71+B71+B72,Courbe_de_tarage!$I$4:$I$44,1)):INDEX(Courbe_de_tarage!$D$4:$D$44,MATCH(K71+B71+B72,Courbe_de_tarage!$I$4:$I$44,1)+1),INDEX(Courbe_de_tarage!$I$4:$I$44,MATCH(K71+B71+B72,Courbe_de_tarage!$I$4:$I$44,1)):INDEX(Courbe_de_tarage!$I$4:$I$44,MATCH(K71+B71+B72,Courbe_de_tarage!$I$4:$I$44,1)+1)),IFERROR(INDEX(Courbe_de_tarage!$D$4:$D$44,MATCH(K71+B71+B72,Courbe_de_tarage!$I$4:$I$44,1)),INDEX(Courbe_de_tarage!$D$4:$D$44,1))))</f>
        <v/>
      </c>
      <c r="E72" s="19">
        <f>IF(A72="","",IFERROR(FORECAST(K71+B71+B72,INDEX(Courbe_de_tarage!$E$4:$E$44,MATCH(K71+B71+B72,Courbe_de_tarage!$I$4:$I$44,1)):INDEX(Courbe_de_tarage!$E$4:$E$44,MATCH(K71+B71+B72,Courbe_de_tarage!$I$4:$I$44,1)+1),INDEX(Courbe_de_tarage!$I$4:$I$44,MATCH(K71+B71+B72,Courbe_de_tarage!$I$4:$I$44,1)):INDEX(Courbe_de_tarage!$I$4:$I$44,MATCH(K71+B71+B72,Courbe_de_tarage!$I$4:$I$44,1)+1)),IFERROR(INDEX(Courbe_de_tarage!$E$4:$E$44,MATCH(K71+B71+B72,Courbe_de_tarage!$I$4:$I$44,1)),INDEX(Courbe_de_tarage!$E$4:$E$44,1))))</f>
        <v/>
      </c>
      <c r="F72" s="19">
        <f>IF(A72="","",IFERROR(FORECAST(K71+B71+B72,INDEX(Courbe_de_tarage!$A$4:$A$44,MATCH(K71+B71+B72,Courbe_de_tarage!$I$4:$I$44,1)):INDEX(Courbe_de_tarage!$A$4:$A$44,MATCH(K71+B71+B72,Courbe_de_tarage!$I$4:$I$44,1)+1),INDEX(Courbe_de_tarage!$I$4:$I$44,MATCH(K71+B71+B72,Courbe_de_tarage!$I$4:$I$44,1)):INDEX(Courbe_de_tarage!$I$4:$I$44,MATCH(K71+B71+B72,Courbe_de_tarage!$I$4:$I$44,1)+1)),IFERROR(INDEX(Courbe_de_tarage!$A$4:$A$44,MATCH(K71+B71+B72,Courbe_de_tarage!$I$4:$I$44,1)),INDEX(Courbe_de_tarage!$A$4:$A$44,1))))</f>
        <v/>
      </c>
      <c r="G72" s="19">
        <f>IF(A72="","",35.36+F72)</f>
        <v/>
      </c>
      <c r="H72" s="19">
        <f>IF(A72="","",IFERROR(FORECAST(K71+B71+B72,INDEX(Courbe_de_tarage!$H$4:$H$44,MATCH(K71+B71+B72,Courbe_de_tarage!$I$4:$I$44,1)):INDEX(Courbe_de_tarage!$H$4:$H$44,MATCH(K71+B71+B72,Courbe_de_tarage!$I$4:$I$44,1)+1),INDEX(Courbe_de_tarage!$I$4:$I$44,MATCH(K71+B71+B72,Courbe_de_tarage!$I$4:$I$44,1)):INDEX(Courbe_de_tarage!$I$4:$I$44,MATCH(K71+B71+B72,Courbe_de_tarage!$I$4:$I$44,1)+1)),IFERROR(INDEX(Courbe_de_tarage!$H$4:$H$44,MATCH(K71+B71+B72,Courbe_de_tarage!$I$4:$I$44,1)),INDEX(Courbe_de_tarage!$H$4:$H$44,1))))</f>
        <v/>
      </c>
      <c r="I72" s="4">
        <f>IF(G72="","",IF(G72&gt;37.4,"OUI",""))</f>
        <v/>
      </c>
      <c r="J72" s="19">
        <f>IF(A72="","",K71+B71+B72)</f>
        <v/>
      </c>
      <c r="K72" s="19">
        <f>IF(A72="","",2*H72/(Hydrogramme_entree!$B$8*60)-E72)</f>
        <v/>
      </c>
    </row>
    <row r="73">
      <c r="A73" s="4">
        <f>Hydrogramme_entree!A79</f>
        <v/>
      </c>
      <c r="B73" s="19">
        <f>Hydrogramme_entree!B79</f>
        <v/>
      </c>
      <c r="C73" s="19">
        <f>IF(A73="","",IFERROR(FORECAST(K72+B72+B73,INDEX(Courbe_de_tarage!$C$4:$C$44,MATCH(K72+B72+B73,Courbe_de_tarage!$I$4:$I$44,1)):INDEX(Courbe_de_tarage!$C$4:$C$44,MATCH(K72+B72+B73,Courbe_de_tarage!$I$4:$I$44,1)+1),INDEX(Courbe_de_tarage!$I$4:$I$44,MATCH(K72+B72+B73,Courbe_de_tarage!$I$4:$I$44,1)):INDEX(Courbe_de_tarage!$I$4:$I$44,MATCH(K72+B72+B73,Courbe_de_tarage!$I$4:$I$44,1)+1)),IFERROR(INDEX(Courbe_de_tarage!$C$4:$C$44,MATCH(K72+B72+B73,Courbe_de_tarage!$I$4:$I$44,1)),INDEX(Courbe_de_tarage!$C$4:$C$44,1))))</f>
        <v/>
      </c>
      <c r="D73" s="19">
        <f>IF(A73="","",IFERROR(FORECAST(K72+B72+B73,INDEX(Courbe_de_tarage!$D$4:$D$44,MATCH(K72+B72+B73,Courbe_de_tarage!$I$4:$I$44,1)):INDEX(Courbe_de_tarage!$D$4:$D$44,MATCH(K72+B72+B73,Courbe_de_tarage!$I$4:$I$44,1)+1),INDEX(Courbe_de_tarage!$I$4:$I$44,MATCH(K72+B72+B73,Courbe_de_tarage!$I$4:$I$44,1)):INDEX(Courbe_de_tarage!$I$4:$I$44,MATCH(K72+B72+B73,Courbe_de_tarage!$I$4:$I$44,1)+1)),IFERROR(INDEX(Courbe_de_tarage!$D$4:$D$44,MATCH(K72+B72+B73,Courbe_de_tarage!$I$4:$I$44,1)),INDEX(Courbe_de_tarage!$D$4:$D$44,1))))</f>
        <v/>
      </c>
      <c r="E73" s="19">
        <f>IF(A73="","",IFERROR(FORECAST(K72+B72+B73,INDEX(Courbe_de_tarage!$E$4:$E$44,MATCH(K72+B72+B73,Courbe_de_tarage!$I$4:$I$44,1)):INDEX(Courbe_de_tarage!$E$4:$E$44,MATCH(K72+B72+B73,Courbe_de_tarage!$I$4:$I$44,1)+1),INDEX(Courbe_de_tarage!$I$4:$I$44,MATCH(K72+B72+B73,Courbe_de_tarage!$I$4:$I$44,1)):INDEX(Courbe_de_tarage!$I$4:$I$44,MATCH(K72+B72+B73,Courbe_de_tarage!$I$4:$I$44,1)+1)),IFERROR(INDEX(Courbe_de_tarage!$E$4:$E$44,MATCH(K72+B72+B73,Courbe_de_tarage!$I$4:$I$44,1)),INDEX(Courbe_de_tarage!$E$4:$E$44,1))))</f>
        <v/>
      </c>
      <c r="F73" s="19">
        <f>IF(A73="","",IFERROR(FORECAST(K72+B72+B73,INDEX(Courbe_de_tarage!$A$4:$A$44,MATCH(K72+B72+B73,Courbe_de_tarage!$I$4:$I$44,1)):INDEX(Courbe_de_tarage!$A$4:$A$44,MATCH(K72+B72+B73,Courbe_de_tarage!$I$4:$I$44,1)+1),INDEX(Courbe_de_tarage!$I$4:$I$44,MATCH(K72+B72+B73,Courbe_de_tarage!$I$4:$I$44,1)):INDEX(Courbe_de_tarage!$I$4:$I$44,MATCH(K72+B72+B73,Courbe_de_tarage!$I$4:$I$44,1)+1)),IFERROR(INDEX(Courbe_de_tarage!$A$4:$A$44,MATCH(K72+B72+B73,Courbe_de_tarage!$I$4:$I$44,1)),INDEX(Courbe_de_tarage!$A$4:$A$44,1))))</f>
        <v/>
      </c>
      <c r="G73" s="19">
        <f>IF(A73="","",35.36+F73)</f>
        <v/>
      </c>
      <c r="H73" s="19">
        <f>IF(A73="","",IFERROR(FORECAST(K72+B72+B73,INDEX(Courbe_de_tarage!$H$4:$H$44,MATCH(K72+B72+B73,Courbe_de_tarage!$I$4:$I$44,1)):INDEX(Courbe_de_tarage!$H$4:$H$44,MATCH(K72+B72+B73,Courbe_de_tarage!$I$4:$I$44,1)+1),INDEX(Courbe_de_tarage!$I$4:$I$44,MATCH(K72+B72+B73,Courbe_de_tarage!$I$4:$I$44,1)):INDEX(Courbe_de_tarage!$I$4:$I$44,MATCH(K72+B72+B73,Courbe_de_tarage!$I$4:$I$44,1)+1)),IFERROR(INDEX(Courbe_de_tarage!$H$4:$H$44,MATCH(K72+B72+B73,Courbe_de_tarage!$I$4:$I$44,1)),INDEX(Courbe_de_tarage!$H$4:$H$44,1))))</f>
        <v/>
      </c>
      <c r="I73" s="4">
        <f>IF(G73="","",IF(G73&gt;37.4,"OUI",""))</f>
        <v/>
      </c>
      <c r="J73" s="19">
        <f>IF(A73="","",K72+B72+B73)</f>
        <v/>
      </c>
      <c r="K73" s="19">
        <f>IF(A73="","",2*H73/(Hydrogramme_entree!$B$8*60)-E73)</f>
        <v/>
      </c>
    </row>
    <row r="74">
      <c r="A74" s="4">
        <f>Hydrogramme_entree!A80</f>
        <v/>
      </c>
      <c r="B74" s="19">
        <f>Hydrogramme_entree!B80</f>
        <v/>
      </c>
      <c r="C74" s="19">
        <f>IF(A74="","",IFERROR(FORECAST(K73+B73+B74,INDEX(Courbe_de_tarage!$C$4:$C$44,MATCH(K73+B73+B74,Courbe_de_tarage!$I$4:$I$44,1)):INDEX(Courbe_de_tarage!$C$4:$C$44,MATCH(K73+B73+B74,Courbe_de_tarage!$I$4:$I$44,1)+1),INDEX(Courbe_de_tarage!$I$4:$I$44,MATCH(K73+B73+B74,Courbe_de_tarage!$I$4:$I$44,1)):INDEX(Courbe_de_tarage!$I$4:$I$44,MATCH(K73+B73+B74,Courbe_de_tarage!$I$4:$I$44,1)+1)),IFERROR(INDEX(Courbe_de_tarage!$C$4:$C$44,MATCH(K73+B73+B74,Courbe_de_tarage!$I$4:$I$44,1)),INDEX(Courbe_de_tarage!$C$4:$C$44,1))))</f>
        <v/>
      </c>
      <c r="D74" s="19">
        <f>IF(A74="","",IFERROR(FORECAST(K73+B73+B74,INDEX(Courbe_de_tarage!$D$4:$D$44,MATCH(K73+B73+B74,Courbe_de_tarage!$I$4:$I$44,1)):INDEX(Courbe_de_tarage!$D$4:$D$44,MATCH(K73+B73+B74,Courbe_de_tarage!$I$4:$I$44,1)+1),INDEX(Courbe_de_tarage!$I$4:$I$44,MATCH(K73+B73+B74,Courbe_de_tarage!$I$4:$I$44,1)):INDEX(Courbe_de_tarage!$I$4:$I$44,MATCH(K73+B73+B74,Courbe_de_tarage!$I$4:$I$44,1)+1)),IFERROR(INDEX(Courbe_de_tarage!$D$4:$D$44,MATCH(K73+B73+B74,Courbe_de_tarage!$I$4:$I$44,1)),INDEX(Courbe_de_tarage!$D$4:$D$44,1))))</f>
        <v/>
      </c>
      <c r="E74" s="19">
        <f>IF(A74="","",IFERROR(FORECAST(K73+B73+B74,INDEX(Courbe_de_tarage!$E$4:$E$44,MATCH(K73+B73+B74,Courbe_de_tarage!$I$4:$I$44,1)):INDEX(Courbe_de_tarage!$E$4:$E$44,MATCH(K73+B73+B74,Courbe_de_tarage!$I$4:$I$44,1)+1),INDEX(Courbe_de_tarage!$I$4:$I$44,MATCH(K73+B73+B74,Courbe_de_tarage!$I$4:$I$44,1)):INDEX(Courbe_de_tarage!$I$4:$I$44,MATCH(K73+B73+B74,Courbe_de_tarage!$I$4:$I$44,1)+1)),IFERROR(INDEX(Courbe_de_tarage!$E$4:$E$44,MATCH(K73+B73+B74,Courbe_de_tarage!$I$4:$I$44,1)),INDEX(Courbe_de_tarage!$E$4:$E$44,1))))</f>
        <v/>
      </c>
      <c r="F74" s="19">
        <f>IF(A74="","",IFERROR(FORECAST(K73+B73+B74,INDEX(Courbe_de_tarage!$A$4:$A$44,MATCH(K73+B73+B74,Courbe_de_tarage!$I$4:$I$44,1)):INDEX(Courbe_de_tarage!$A$4:$A$44,MATCH(K73+B73+B74,Courbe_de_tarage!$I$4:$I$44,1)+1),INDEX(Courbe_de_tarage!$I$4:$I$44,MATCH(K73+B73+B74,Courbe_de_tarage!$I$4:$I$44,1)):INDEX(Courbe_de_tarage!$I$4:$I$44,MATCH(K73+B73+B74,Courbe_de_tarage!$I$4:$I$44,1)+1)),IFERROR(INDEX(Courbe_de_tarage!$A$4:$A$44,MATCH(K73+B73+B74,Courbe_de_tarage!$I$4:$I$44,1)),INDEX(Courbe_de_tarage!$A$4:$A$44,1))))</f>
        <v/>
      </c>
      <c r="G74" s="19">
        <f>IF(A74="","",35.36+F74)</f>
        <v/>
      </c>
      <c r="H74" s="19">
        <f>IF(A74="","",IFERROR(FORECAST(K73+B73+B74,INDEX(Courbe_de_tarage!$H$4:$H$44,MATCH(K73+B73+B74,Courbe_de_tarage!$I$4:$I$44,1)):INDEX(Courbe_de_tarage!$H$4:$H$44,MATCH(K73+B73+B74,Courbe_de_tarage!$I$4:$I$44,1)+1),INDEX(Courbe_de_tarage!$I$4:$I$44,MATCH(K73+B73+B74,Courbe_de_tarage!$I$4:$I$44,1)):INDEX(Courbe_de_tarage!$I$4:$I$44,MATCH(K73+B73+B74,Courbe_de_tarage!$I$4:$I$44,1)+1)),IFERROR(INDEX(Courbe_de_tarage!$H$4:$H$44,MATCH(K73+B73+B74,Courbe_de_tarage!$I$4:$I$44,1)),INDEX(Courbe_de_tarage!$H$4:$H$44,1))))</f>
        <v/>
      </c>
      <c r="I74" s="4">
        <f>IF(G74="","",IF(G74&gt;37.4,"OUI",""))</f>
        <v/>
      </c>
      <c r="J74" s="19">
        <f>IF(A74="","",K73+B73+B74)</f>
        <v/>
      </c>
      <c r="K74" s="19">
        <f>IF(A74="","",2*H74/(Hydrogramme_entree!$B$8*60)-E74)</f>
        <v/>
      </c>
    </row>
    <row r="75">
      <c r="A75" s="4">
        <f>Hydrogramme_entree!A81</f>
        <v/>
      </c>
      <c r="B75" s="19">
        <f>Hydrogramme_entree!B81</f>
        <v/>
      </c>
      <c r="C75" s="19">
        <f>IF(A75="","",IFERROR(FORECAST(K74+B74+B75,INDEX(Courbe_de_tarage!$C$4:$C$44,MATCH(K74+B74+B75,Courbe_de_tarage!$I$4:$I$44,1)):INDEX(Courbe_de_tarage!$C$4:$C$44,MATCH(K74+B74+B75,Courbe_de_tarage!$I$4:$I$44,1)+1),INDEX(Courbe_de_tarage!$I$4:$I$44,MATCH(K74+B74+B75,Courbe_de_tarage!$I$4:$I$44,1)):INDEX(Courbe_de_tarage!$I$4:$I$44,MATCH(K74+B74+B75,Courbe_de_tarage!$I$4:$I$44,1)+1)),IFERROR(INDEX(Courbe_de_tarage!$C$4:$C$44,MATCH(K74+B74+B75,Courbe_de_tarage!$I$4:$I$44,1)),INDEX(Courbe_de_tarage!$C$4:$C$44,1))))</f>
        <v/>
      </c>
      <c r="D75" s="19">
        <f>IF(A75="","",IFERROR(FORECAST(K74+B74+B75,INDEX(Courbe_de_tarage!$D$4:$D$44,MATCH(K74+B74+B75,Courbe_de_tarage!$I$4:$I$44,1)):INDEX(Courbe_de_tarage!$D$4:$D$44,MATCH(K74+B74+B75,Courbe_de_tarage!$I$4:$I$44,1)+1),INDEX(Courbe_de_tarage!$I$4:$I$44,MATCH(K74+B74+B75,Courbe_de_tarage!$I$4:$I$44,1)):INDEX(Courbe_de_tarage!$I$4:$I$44,MATCH(K74+B74+B75,Courbe_de_tarage!$I$4:$I$44,1)+1)),IFERROR(INDEX(Courbe_de_tarage!$D$4:$D$44,MATCH(K74+B74+B75,Courbe_de_tarage!$I$4:$I$44,1)),INDEX(Courbe_de_tarage!$D$4:$D$44,1))))</f>
        <v/>
      </c>
      <c r="E75" s="19">
        <f>IF(A75="","",IFERROR(FORECAST(K74+B74+B75,INDEX(Courbe_de_tarage!$E$4:$E$44,MATCH(K74+B74+B75,Courbe_de_tarage!$I$4:$I$44,1)):INDEX(Courbe_de_tarage!$E$4:$E$44,MATCH(K74+B74+B75,Courbe_de_tarage!$I$4:$I$44,1)+1),INDEX(Courbe_de_tarage!$I$4:$I$44,MATCH(K74+B74+B75,Courbe_de_tarage!$I$4:$I$44,1)):INDEX(Courbe_de_tarage!$I$4:$I$44,MATCH(K74+B74+B75,Courbe_de_tarage!$I$4:$I$44,1)+1)),IFERROR(INDEX(Courbe_de_tarage!$E$4:$E$44,MATCH(K74+B74+B75,Courbe_de_tarage!$I$4:$I$44,1)),INDEX(Courbe_de_tarage!$E$4:$E$44,1))))</f>
        <v/>
      </c>
      <c r="F75" s="19">
        <f>IF(A75="","",IFERROR(FORECAST(K74+B74+B75,INDEX(Courbe_de_tarage!$A$4:$A$44,MATCH(K74+B74+B75,Courbe_de_tarage!$I$4:$I$44,1)):INDEX(Courbe_de_tarage!$A$4:$A$44,MATCH(K74+B74+B75,Courbe_de_tarage!$I$4:$I$44,1)+1),INDEX(Courbe_de_tarage!$I$4:$I$44,MATCH(K74+B74+B75,Courbe_de_tarage!$I$4:$I$44,1)):INDEX(Courbe_de_tarage!$I$4:$I$44,MATCH(K74+B74+B75,Courbe_de_tarage!$I$4:$I$44,1)+1)),IFERROR(INDEX(Courbe_de_tarage!$A$4:$A$44,MATCH(K74+B74+B75,Courbe_de_tarage!$I$4:$I$44,1)),INDEX(Courbe_de_tarage!$A$4:$A$44,1))))</f>
        <v/>
      </c>
      <c r="G75" s="19">
        <f>IF(A75="","",35.36+F75)</f>
        <v/>
      </c>
      <c r="H75" s="19">
        <f>IF(A75="","",IFERROR(FORECAST(K74+B74+B75,INDEX(Courbe_de_tarage!$H$4:$H$44,MATCH(K74+B74+B75,Courbe_de_tarage!$I$4:$I$44,1)):INDEX(Courbe_de_tarage!$H$4:$H$44,MATCH(K74+B74+B75,Courbe_de_tarage!$I$4:$I$44,1)+1),INDEX(Courbe_de_tarage!$I$4:$I$44,MATCH(K74+B74+B75,Courbe_de_tarage!$I$4:$I$44,1)):INDEX(Courbe_de_tarage!$I$4:$I$44,MATCH(K74+B74+B75,Courbe_de_tarage!$I$4:$I$44,1)+1)),IFERROR(INDEX(Courbe_de_tarage!$H$4:$H$44,MATCH(K74+B74+B75,Courbe_de_tarage!$I$4:$I$44,1)),INDEX(Courbe_de_tarage!$H$4:$H$44,1))))</f>
        <v/>
      </c>
      <c r="I75" s="4">
        <f>IF(G75="","",IF(G75&gt;37.4,"OUI",""))</f>
        <v/>
      </c>
      <c r="J75" s="19">
        <f>IF(A75="","",K74+B74+B75)</f>
        <v/>
      </c>
      <c r="K75" s="19">
        <f>IF(A75="","",2*H75/(Hydrogramme_entree!$B$8*60)-E75)</f>
        <v/>
      </c>
    </row>
    <row r="76">
      <c r="A76" s="4">
        <f>Hydrogramme_entree!A82</f>
        <v/>
      </c>
      <c r="B76" s="19">
        <f>Hydrogramme_entree!B82</f>
        <v/>
      </c>
      <c r="C76" s="19">
        <f>IF(A76="","",IFERROR(FORECAST(K75+B75+B76,INDEX(Courbe_de_tarage!$C$4:$C$44,MATCH(K75+B75+B76,Courbe_de_tarage!$I$4:$I$44,1)):INDEX(Courbe_de_tarage!$C$4:$C$44,MATCH(K75+B75+B76,Courbe_de_tarage!$I$4:$I$44,1)+1),INDEX(Courbe_de_tarage!$I$4:$I$44,MATCH(K75+B75+B76,Courbe_de_tarage!$I$4:$I$44,1)):INDEX(Courbe_de_tarage!$I$4:$I$44,MATCH(K75+B75+B76,Courbe_de_tarage!$I$4:$I$44,1)+1)),IFERROR(INDEX(Courbe_de_tarage!$C$4:$C$44,MATCH(K75+B75+B76,Courbe_de_tarage!$I$4:$I$44,1)),INDEX(Courbe_de_tarage!$C$4:$C$44,1))))</f>
        <v/>
      </c>
      <c r="D76" s="19">
        <f>IF(A76="","",IFERROR(FORECAST(K75+B75+B76,INDEX(Courbe_de_tarage!$D$4:$D$44,MATCH(K75+B75+B76,Courbe_de_tarage!$I$4:$I$44,1)):INDEX(Courbe_de_tarage!$D$4:$D$44,MATCH(K75+B75+B76,Courbe_de_tarage!$I$4:$I$44,1)+1),INDEX(Courbe_de_tarage!$I$4:$I$44,MATCH(K75+B75+B76,Courbe_de_tarage!$I$4:$I$44,1)):INDEX(Courbe_de_tarage!$I$4:$I$44,MATCH(K75+B75+B76,Courbe_de_tarage!$I$4:$I$44,1)+1)),IFERROR(INDEX(Courbe_de_tarage!$D$4:$D$44,MATCH(K75+B75+B76,Courbe_de_tarage!$I$4:$I$44,1)),INDEX(Courbe_de_tarage!$D$4:$D$44,1))))</f>
        <v/>
      </c>
      <c r="E76" s="19">
        <f>IF(A76="","",IFERROR(FORECAST(K75+B75+B76,INDEX(Courbe_de_tarage!$E$4:$E$44,MATCH(K75+B75+B76,Courbe_de_tarage!$I$4:$I$44,1)):INDEX(Courbe_de_tarage!$E$4:$E$44,MATCH(K75+B75+B76,Courbe_de_tarage!$I$4:$I$44,1)+1),INDEX(Courbe_de_tarage!$I$4:$I$44,MATCH(K75+B75+B76,Courbe_de_tarage!$I$4:$I$44,1)):INDEX(Courbe_de_tarage!$I$4:$I$44,MATCH(K75+B75+B76,Courbe_de_tarage!$I$4:$I$44,1)+1)),IFERROR(INDEX(Courbe_de_tarage!$E$4:$E$44,MATCH(K75+B75+B76,Courbe_de_tarage!$I$4:$I$44,1)),INDEX(Courbe_de_tarage!$E$4:$E$44,1))))</f>
        <v/>
      </c>
      <c r="F76" s="19">
        <f>IF(A76="","",IFERROR(FORECAST(K75+B75+B76,INDEX(Courbe_de_tarage!$A$4:$A$44,MATCH(K75+B75+B76,Courbe_de_tarage!$I$4:$I$44,1)):INDEX(Courbe_de_tarage!$A$4:$A$44,MATCH(K75+B75+B76,Courbe_de_tarage!$I$4:$I$44,1)+1),INDEX(Courbe_de_tarage!$I$4:$I$44,MATCH(K75+B75+B76,Courbe_de_tarage!$I$4:$I$44,1)):INDEX(Courbe_de_tarage!$I$4:$I$44,MATCH(K75+B75+B76,Courbe_de_tarage!$I$4:$I$44,1)+1)),IFERROR(INDEX(Courbe_de_tarage!$A$4:$A$44,MATCH(K75+B75+B76,Courbe_de_tarage!$I$4:$I$44,1)),INDEX(Courbe_de_tarage!$A$4:$A$44,1))))</f>
        <v/>
      </c>
      <c r="G76" s="19">
        <f>IF(A76="","",35.36+F76)</f>
        <v/>
      </c>
      <c r="H76" s="19">
        <f>IF(A76="","",IFERROR(FORECAST(K75+B75+B76,INDEX(Courbe_de_tarage!$H$4:$H$44,MATCH(K75+B75+B76,Courbe_de_tarage!$I$4:$I$44,1)):INDEX(Courbe_de_tarage!$H$4:$H$44,MATCH(K75+B75+B76,Courbe_de_tarage!$I$4:$I$44,1)+1),INDEX(Courbe_de_tarage!$I$4:$I$44,MATCH(K75+B75+B76,Courbe_de_tarage!$I$4:$I$44,1)):INDEX(Courbe_de_tarage!$I$4:$I$44,MATCH(K75+B75+B76,Courbe_de_tarage!$I$4:$I$44,1)+1)),IFERROR(INDEX(Courbe_de_tarage!$H$4:$H$44,MATCH(K75+B75+B76,Courbe_de_tarage!$I$4:$I$44,1)),INDEX(Courbe_de_tarage!$H$4:$H$44,1))))</f>
        <v/>
      </c>
      <c r="I76" s="4">
        <f>IF(G76="","",IF(G76&gt;37.4,"OUI",""))</f>
        <v/>
      </c>
      <c r="J76" s="19">
        <f>IF(A76="","",K75+B75+B76)</f>
        <v/>
      </c>
      <c r="K76" s="19">
        <f>IF(A76="","",2*H76/(Hydrogramme_entree!$B$8*60)-E76)</f>
        <v/>
      </c>
    </row>
    <row r="77">
      <c r="A77" s="4">
        <f>Hydrogramme_entree!A83</f>
        <v/>
      </c>
      <c r="B77" s="19">
        <f>Hydrogramme_entree!B83</f>
        <v/>
      </c>
      <c r="C77" s="19">
        <f>IF(A77="","",IFERROR(FORECAST(K76+B76+B77,INDEX(Courbe_de_tarage!$C$4:$C$44,MATCH(K76+B76+B77,Courbe_de_tarage!$I$4:$I$44,1)):INDEX(Courbe_de_tarage!$C$4:$C$44,MATCH(K76+B76+B77,Courbe_de_tarage!$I$4:$I$44,1)+1),INDEX(Courbe_de_tarage!$I$4:$I$44,MATCH(K76+B76+B77,Courbe_de_tarage!$I$4:$I$44,1)):INDEX(Courbe_de_tarage!$I$4:$I$44,MATCH(K76+B76+B77,Courbe_de_tarage!$I$4:$I$44,1)+1)),IFERROR(INDEX(Courbe_de_tarage!$C$4:$C$44,MATCH(K76+B76+B77,Courbe_de_tarage!$I$4:$I$44,1)),INDEX(Courbe_de_tarage!$C$4:$C$44,1))))</f>
        <v/>
      </c>
      <c r="D77" s="19">
        <f>IF(A77="","",IFERROR(FORECAST(K76+B76+B77,INDEX(Courbe_de_tarage!$D$4:$D$44,MATCH(K76+B76+B77,Courbe_de_tarage!$I$4:$I$44,1)):INDEX(Courbe_de_tarage!$D$4:$D$44,MATCH(K76+B76+B77,Courbe_de_tarage!$I$4:$I$44,1)+1),INDEX(Courbe_de_tarage!$I$4:$I$44,MATCH(K76+B76+B77,Courbe_de_tarage!$I$4:$I$44,1)):INDEX(Courbe_de_tarage!$I$4:$I$44,MATCH(K76+B76+B77,Courbe_de_tarage!$I$4:$I$44,1)+1)),IFERROR(INDEX(Courbe_de_tarage!$D$4:$D$44,MATCH(K76+B76+B77,Courbe_de_tarage!$I$4:$I$44,1)),INDEX(Courbe_de_tarage!$D$4:$D$44,1))))</f>
        <v/>
      </c>
      <c r="E77" s="19">
        <f>IF(A77="","",IFERROR(FORECAST(K76+B76+B77,INDEX(Courbe_de_tarage!$E$4:$E$44,MATCH(K76+B76+B77,Courbe_de_tarage!$I$4:$I$44,1)):INDEX(Courbe_de_tarage!$E$4:$E$44,MATCH(K76+B76+B77,Courbe_de_tarage!$I$4:$I$44,1)+1),INDEX(Courbe_de_tarage!$I$4:$I$44,MATCH(K76+B76+B77,Courbe_de_tarage!$I$4:$I$44,1)):INDEX(Courbe_de_tarage!$I$4:$I$44,MATCH(K76+B76+B77,Courbe_de_tarage!$I$4:$I$44,1)+1)),IFERROR(INDEX(Courbe_de_tarage!$E$4:$E$44,MATCH(K76+B76+B77,Courbe_de_tarage!$I$4:$I$44,1)),INDEX(Courbe_de_tarage!$E$4:$E$44,1))))</f>
        <v/>
      </c>
      <c r="F77" s="19">
        <f>IF(A77="","",IFERROR(FORECAST(K76+B76+B77,INDEX(Courbe_de_tarage!$A$4:$A$44,MATCH(K76+B76+B77,Courbe_de_tarage!$I$4:$I$44,1)):INDEX(Courbe_de_tarage!$A$4:$A$44,MATCH(K76+B76+B77,Courbe_de_tarage!$I$4:$I$44,1)+1),INDEX(Courbe_de_tarage!$I$4:$I$44,MATCH(K76+B76+B77,Courbe_de_tarage!$I$4:$I$44,1)):INDEX(Courbe_de_tarage!$I$4:$I$44,MATCH(K76+B76+B77,Courbe_de_tarage!$I$4:$I$44,1)+1)),IFERROR(INDEX(Courbe_de_tarage!$A$4:$A$44,MATCH(K76+B76+B77,Courbe_de_tarage!$I$4:$I$44,1)),INDEX(Courbe_de_tarage!$A$4:$A$44,1))))</f>
        <v/>
      </c>
      <c r="G77" s="19">
        <f>IF(A77="","",35.36+F77)</f>
        <v/>
      </c>
      <c r="H77" s="19">
        <f>IF(A77="","",IFERROR(FORECAST(K76+B76+B77,INDEX(Courbe_de_tarage!$H$4:$H$44,MATCH(K76+B76+B77,Courbe_de_tarage!$I$4:$I$44,1)):INDEX(Courbe_de_tarage!$H$4:$H$44,MATCH(K76+B76+B77,Courbe_de_tarage!$I$4:$I$44,1)+1),INDEX(Courbe_de_tarage!$I$4:$I$44,MATCH(K76+B76+B77,Courbe_de_tarage!$I$4:$I$44,1)):INDEX(Courbe_de_tarage!$I$4:$I$44,MATCH(K76+B76+B77,Courbe_de_tarage!$I$4:$I$44,1)+1)),IFERROR(INDEX(Courbe_de_tarage!$H$4:$H$44,MATCH(K76+B76+B77,Courbe_de_tarage!$I$4:$I$44,1)),INDEX(Courbe_de_tarage!$H$4:$H$44,1))))</f>
        <v/>
      </c>
      <c r="I77" s="4">
        <f>IF(G77="","",IF(G77&gt;37.4,"OUI",""))</f>
        <v/>
      </c>
      <c r="J77" s="19">
        <f>IF(A77="","",K76+B76+B77)</f>
        <v/>
      </c>
      <c r="K77" s="19">
        <f>IF(A77="","",2*H77/(Hydrogramme_entree!$B$8*60)-E77)</f>
        <v/>
      </c>
    </row>
    <row r="78">
      <c r="A78" s="4">
        <f>Hydrogramme_entree!A84</f>
        <v/>
      </c>
      <c r="B78" s="19">
        <f>Hydrogramme_entree!B84</f>
        <v/>
      </c>
      <c r="C78" s="19">
        <f>IF(A78="","",IFERROR(FORECAST(K77+B77+B78,INDEX(Courbe_de_tarage!$C$4:$C$44,MATCH(K77+B77+B78,Courbe_de_tarage!$I$4:$I$44,1)):INDEX(Courbe_de_tarage!$C$4:$C$44,MATCH(K77+B77+B78,Courbe_de_tarage!$I$4:$I$44,1)+1),INDEX(Courbe_de_tarage!$I$4:$I$44,MATCH(K77+B77+B78,Courbe_de_tarage!$I$4:$I$44,1)):INDEX(Courbe_de_tarage!$I$4:$I$44,MATCH(K77+B77+B78,Courbe_de_tarage!$I$4:$I$44,1)+1)),IFERROR(INDEX(Courbe_de_tarage!$C$4:$C$44,MATCH(K77+B77+B78,Courbe_de_tarage!$I$4:$I$44,1)),INDEX(Courbe_de_tarage!$C$4:$C$44,1))))</f>
        <v/>
      </c>
      <c r="D78" s="19">
        <f>IF(A78="","",IFERROR(FORECAST(K77+B77+B78,INDEX(Courbe_de_tarage!$D$4:$D$44,MATCH(K77+B77+B78,Courbe_de_tarage!$I$4:$I$44,1)):INDEX(Courbe_de_tarage!$D$4:$D$44,MATCH(K77+B77+B78,Courbe_de_tarage!$I$4:$I$44,1)+1),INDEX(Courbe_de_tarage!$I$4:$I$44,MATCH(K77+B77+B78,Courbe_de_tarage!$I$4:$I$44,1)):INDEX(Courbe_de_tarage!$I$4:$I$44,MATCH(K77+B77+B78,Courbe_de_tarage!$I$4:$I$44,1)+1)),IFERROR(INDEX(Courbe_de_tarage!$D$4:$D$44,MATCH(K77+B77+B78,Courbe_de_tarage!$I$4:$I$44,1)),INDEX(Courbe_de_tarage!$D$4:$D$44,1))))</f>
        <v/>
      </c>
      <c r="E78" s="19">
        <f>IF(A78="","",IFERROR(FORECAST(K77+B77+B78,INDEX(Courbe_de_tarage!$E$4:$E$44,MATCH(K77+B77+B78,Courbe_de_tarage!$I$4:$I$44,1)):INDEX(Courbe_de_tarage!$E$4:$E$44,MATCH(K77+B77+B78,Courbe_de_tarage!$I$4:$I$44,1)+1),INDEX(Courbe_de_tarage!$I$4:$I$44,MATCH(K77+B77+B78,Courbe_de_tarage!$I$4:$I$44,1)):INDEX(Courbe_de_tarage!$I$4:$I$44,MATCH(K77+B77+B78,Courbe_de_tarage!$I$4:$I$44,1)+1)),IFERROR(INDEX(Courbe_de_tarage!$E$4:$E$44,MATCH(K77+B77+B78,Courbe_de_tarage!$I$4:$I$44,1)),INDEX(Courbe_de_tarage!$E$4:$E$44,1))))</f>
        <v/>
      </c>
      <c r="F78" s="19">
        <f>IF(A78="","",IFERROR(FORECAST(K77+B77+B78,INDEX(Courbe_de_tarage!$A$4:$A$44,MATCH(K77+B77+B78,Courbe_de_tarage!$I$4:$I$44,1)):INDEX(Courbe_de_tarage!$A$4:$A$44,MATCH(K77+B77+B78,Courbe_de_tarage!$I$4:$I$44,1)+1),INDEX(Courbe_de_tarage!$I$4:$I$44,MATCH(K77+B77+B78,Courbe_de_tarage!$I$4:$I$44,1)):INDEX(Courbe_de_tarage!$I$4:$I$44,MATCH(K77+B77+B78,Courbe_de_tarage!$I$4:$I$44,1)+1)),IFERROR(INDEX(Courbe_de_tarage!$A$4:$A$44,MATCH(K77+B77+B78,Courbe_de_tarage!$I$4:$I$44,1)),INDEX(Courbe_de_tarage!$A$4:$A$44,1))))</f>
        <v/>
      </c>
      <c r="G78" s="19">
        <f>IF(A78="","",35.36+F78)</f>
        <v/>
      </c>
      <c r="H78" s="19">
        <f>IF(A78="","",IFERROR(FORECAST(K77+B77+B78,INDEX(Courbe_de_tarage!$H$4:$H$44,MATCH(K77+B77+B78,Courbe_de_tarage!$I$4:$I$44,1)):INDEX(Courbe_de_tarage!$H$4:$H$44,MATCH(K77+B77+B78,Courbe_de_tarage!$I$4:$I$44,1)+1),INDEX(Courbe_de_tarage!$I$4:$I$44,MATCH(K77+B77+B78,Courbe_de_tarage!$I$4:$I$44,1)):INDEX(Courbe_de_tarage!$I$4:$I$44,MATCH(K77+B77+B78,Courbe_de_tarage!$I$4:$I$44,1)+1)),IFERROR(INDEX(Courbe_de_tarage!$H$4:$H$44,MATCH(K77+B77+B78,Courbe_de_tarage!$I$4:$I$44,1)),INDEX(Courbe_de_tarage!$H$4:$H$44,1))))</f>
        <v/>
      </c>
      <c r="I78" s="4">
        <f>IF(G78="","",IF(G78&gt;37.4,"OUI",""))</f>
        <v/>
      </c>
      <c r="J78" s="19">
        <f>IF(A78="","",K77+B77+B78)</f>
        <v/>
      </c>
      <c r="K78" s="19">
        <f>IF(A78="","",2*H78/(Hydrogramme_entree!$B$8*60)-E78)</f>
        <v/>
      </c>
    </row>
    <row r="79">
      <c r="A79" s="4">
        <f>Hydrogramme_entree!A85</f>
        <v/>
      </c>
      <c r="B79" s="19">
        <f>Hydrogramme_entree!B85</f>
        <v/>
      </c>
      <c r="C79" s="19">
        <f>IF(A79="","",IFERROR(FORECAST(K78+B78+B79,INDEX(Courbe_de_tarage!$C$4:$C$44,MATCH(K78+B78+B79,Courbe_de_tarage!$I$4:$I$44,1)):INDEX(Courbe_de_tarage!$C$4:$C$44,MATCH(K78+B78+B79,Courbe_de_tarage!$I$4:$I$44,1)+1),INDEX(Courbe_de_tarage!$I$4:$I$44,MATCH(K78+B78+B79,Courbe_de_tarage!$I$4:$I$44,1)):INDEX(Courbe_de_tarage!$I$4:$I$44,MATCH(K78+B78+B79,Courbe_de_tarage!$I$4:$I$44,1)+1)),IFERROR(INDEX(Courbe_de_tarage!$C$4:$C$44,MATCH(K78+B78+B79,Courbe_de_tarage!$I$4:$I$44,1)),INDEX(Courbe_de_tarage!$C$4:$C$44,1))))</f>
        <v/>
      </c>
      <c r="D79" s="19">
        <f>IF(A79="","",IFERROR(FORECAST(K78+B78+B79,INDEX(Courbe_de_tarage!$D$4:$D$44,MATCH(K78+B78+B79,Courbe_de_tarage!$I$4:$I$44,1)):INDEX(Courbe_de_tarage!$D$4:$D$44,MATCH(K78+B78+B79,Courbe_de_tarage!$I$4:$I$44,1)+1),INDEX(Courbe_de_tarage!$I$4:$I$44,MATCH(K78+B78+B79,Courbe_de_tarage!$I$4:$I$44,1)):INDEX(Courbe_de_tarage!$I$4:$I$44,MATCH(K78+B78+B79,Courbe_de_tarage!$I$4:$I$44,1)+1)),IFERROR(INDEX(Courbe_de_tarage!$D$4:$D$44,MATCH(K78+B78+B79,Courbe_de_tarage!$I$4:$I$44,1)),INDEX(Courbe_de_tarage!$D$4:$D$44,1))))</f>
        <v/>
      </c>
      <c r="E79" s="19">
        <f>IF(A79="","",IFERROR(FORECAST(K78+B78+B79,INDEX(Courbe_de_tarage!$E$4:$E$44,MATCH(K78+B78+B79,Courbe_de_tarage!$I$4:$I$44,1)):INDEX(Courbe_de_tarage!$E$4:$E$44,MATCH(K78+B78+B79,Courbe_de_tarage!$I$4:$I$44,1)+1),INDEX(Courbe_de_tarage!$I$4:$I$44,MATCH(K78+B78+B79,Courbe_de_tarage!$I$4:$I$44,1)):INDEX(Courbe_de_tarage!$I$4:$I$44,MATCH(K78+B78+B79,Courbe_de_tarage!$I$4:$I$44,1)+1)),IFERROR(INDEX(Courbe_de_tarage!$E$4:$E$44,MATCH(K78+B78+B79,Courbe_de_tarage!$I$4:$I$44,1)),INDEX(Courbe_de_tarage!$E$4:$E$44,1))))</f>
        <v/>
      </c>
      <c r="F79" s="19">
        <f>IF(A79="","",IFERROR(FORECAST(K78+B78+B79,INDEX(Courbe_de_tarage!$A$4:$A$44,MATCH(K78+B78+B79,Courbe_de_tarage!$I$4:$I$44,1)):INDEX(Courbe_de_tarage!$A$4:$A$44,MATCH(K78+B78+B79,Courbe_de_tarage!$I$4:$I$44,1)+1),INDEX(Courbe_de_tarage!$I$4:$I$44,MATCH(K78+B78+B79,Courbe_de_tarage!$I$4:$I$44,1)):INDEX(Courbe_de_tarage!$I$4:$I$44,MATCH(K78+B78+B79,Courbe_de_tarage!$I$4:$I$44,1)+1)),IFERROR(INDEX(Courbe_de_tarage!$A$4:$A$44,MATCH(K78+B78+B79,Courbe_de_tarage!$I$4:$I$44,1)),INDEX(Courbe_de_tarage!$A$4:$A$44,1))))</f>
        <v/>
      </c>
      <c r="G79" s="19">
        <f>IF(A79="","",35.36+F79)</f>
        <v/>
      </c>
      <c r="H79" s="19">
        <f>IF(A79="","",IFERROR(FORECAST(K78+B78+B79,INDEX(Courbe_de_tarage!$H$4:$H$44,MATCH(K78+B78+B79,Courbe_de_tarage!$I$4:$I$44,1)):INDEX(Courbe_de_tarage!$H$4:$H$44,MATCH(K78+B78+B79,Courbe_de_tarage!$I$4:$I$44,1)+1),INDEX(Courbe_de_tarage!$I$4:$I$44,MATCH(K78+B78+B79,Courbe_de_tarage!$I$4:$I$44,1)):INDEX(Courbe_de_tarage!$I$4:$I$44,MATCH(K78+B78+B79,Courbe_de_tarage!$I$4:$I$44,1)+1)),IFERROR(INDEX(Courbe_de_tarage!$H$4:$H$44,MATCH(K78+B78+B79,Courbe_de_tarage!$I$4:$I$44,1)),INDEX(Courbe_de_tarage!$H$4:$H$44,1))))</f>
        <v/>
      </c>
      <c r="I79" s="4">
        <f>IF(G79="","",IF(G79&gt;37.4,"OUI",""))</f>
        <v/>
      </c>
      <c r="J79" s="19">
        <f>IF(A79="","",K78+B78+B79)</f>
        <v/>
      </c>
      <c r="K79" s="19">
        <f>IF(A79="","",2*H79/(Hydrogramme_entree!$B$8*60)-E79)</f>
        <v/>
      </c>
    </row>
    <row r="80">
      <c r="A80" s="4">
        <f>Hydrogramme_entree!A86</f>
        <v/>
      </c>
      <c r="B80" s="19">
        <f>Hydrogramme_entree!B86</f>
        <v/>
      </c>
      <c r="C80" s="19">
        <f>IF(A80="","",IFERROR(FORECAST(K79+B79+B80,INDEX(Courbe_de_tarage!$C$4:$C$44,MATCH(K79+B79+B80,Courbe_de_tarage!$I$4:$I$44,1)):INDEX(Courbe_de_tarage!$C$4:$C$44,MATCH(K79+B79+B80,Courbe_de_tarage!$I$4:$I$44,1)+1),INDEX(Courbe_de_tarage!$I$4:$I$44,MATCH(K79+B79+B80,Courbe_de_tarage!$I$4:$I$44,1)):INDEX(Courbe_de_tarage!$I$4:$I$44,MATCH(K79+B79+B80,Courbe_de_tarage!$I$4:$I$44,1)+1)),IFERROR(INDEX(Courbe_de_tarage!$C$4:$C$44,MATCH(K79+B79+B80,Courbe_de_tarage!$I$4:$I$44,1)),INDEX(Courbe_de_tarage!$C$4:$C$44,1))))</f>
        <v/>
      </c>
      <c r="D80" s="19">
        <f>IF(A80="","",IFERROR(FORECAST(K79+B79+B80,INDEX(Courbe_de_tarage!$D$4:$D$44,MATCH(K79+B79+B80,Courbe_de_tarage!$I$4:$I$44,1)):INDEX(Courbe_de_tarage!$D$4:$D$44,MATCH(K79+B79+B80,Courbe_de_tarage!$I$4:$I$44,1)+1),INDEX(Courbe_de_tarage!$I$4:$I$44,MATCH(K79+B79+B80,Courbe_de_tarage!$I$4:$I$44,1)):INDEX(Courbe_de_tarage!$I$4:$I$44,MATCH(K79+B79+B80,Courbe_de_tarage!$I$4:$I$44,1)+1)),IFERROR(INDEX(Courbe_de_tarage!$D$4:$D$44,MATCH(K79+B79+B80,Courbe_de_tarage!$I$4:$I$44,1)),INDEX(Courbe_de_tarage!$D$4:$D$44,1))))</f>
        <v/>
      </c>
      <c r="E80" s="19">
        <f>IF(A80="","",IFERROR(FORECAST(K79+B79+B80,INDEX(Courbe_de_tarage!$E$4:$E$44,MATCH(K79+B79+B80,Courbe_de_tarage!$I$4:$I$44,1)):INDEX(Courbe_de_tarage!$E$4:$E$44,MATCH(K79+B79+B80,Courbe_de_tarage!$I$4:$I$44,1)+1),INDEX(Courbe_de_tarage!$I$4:$I$44,MATCH(K79+B79+B80,Courbe_de_tarage!$I$4:$I$44,1)):INDEX(Courbe_de_tarage!$I$4:$I$44,MATCH(K79+B79+B80,Courbe_de_tarage!$I$4:$I$44,1)+1)),IFERROR(INDEX(Courbe_de_tarage!$E$4:$E$44,MATCH(K79+B79+B80,Courbe_de_tarage!$I$4:$I$44,1)),INDEX(Courbe_de_tarage!$E$4:$E$44,1))))</f>
        <v/>
      </c>
      <c r="F80" s="19">
        <f>IF(A80="","",IFERROR(FORECAST(K79+B79+B80,INDEX(Courbe_de_tarage!$A$4:$A$44,MATCH(K79+B79+B80,Courbe_de_tarage!$I$4:$I$44,1)):INDEX(Courbe_de_tarage!$A$4:$A$44,MATCH(K79+B79+B80,Courbe_de_tarage!$I$4:$I$44,1)+1),INDEX(Courbe_de_tarage!$I$4:$I$44,MATCH(K79+B79+B80,Courbe_de_tarage!$I$4:$I$44,1)):INDEX(Courbe_de_tarage!$I$4:$I$44,MATCH(K79+B79+B80,Courbe_de_tarage!$I$4:$I$44,1)+1)),IFERROR(INDEX(Courbe_de_tarage!$A$4:$A$44,MATCH(K79+B79+B80,Courbe_de_tarage!$I$4:$I$44,1)),INDEX(Courbe_de_tarage!$A$4:$A$44,1))))</f>
        <v/>
      </c>
      <c r="G80" s="19">
        <f>IF(A80="","",35.36+F80)</f>
        <v/>
      </c>
      <c r="H80" s="19">
        <f>IF(A80="","",IFERROR(FORECAST(K79+B79+B80,INDEX(Courbe_de_tarage!$H$4:$H$44,MATCH(K79+B79+B80,Courbe_de_tarage!$I$4:$I$44,1)):INDEX(Courbe_de_tarage!$H$4:$H$44,MATCH(K79+B79+B80,Courbe_de_tarage!$I$4:$I$44,1)+1),INDEX(Courbe_de_tarage!$I$4:$I$44,MATCH(K79+B79+B80,Courbe_de_tarage!$I$4:$I$44,1)):INDEX(Courbe_de_tarage!$I$4:$I$44,MATCH(K79+B79+B80,Courbe_de_tarage!$I$4:$I$44,1)+1)),IFERROR(INDEX(Courbe_de_tarage!$H$4:$H$44,MATCH(K79+B79+B80,Courbe_de_tarage!$I$4:$I$44,1)),INDEX(Courbe_de_tarage!$H$4:$H$44,1))))</f>
        <v/>
      </c>
      <c r="I80" s="4">
        <f>IF(G80="","",IF(G80&gt;37.4,"OUI",""))</f>
        <v/>
      </c>
      <c r="J80" s="19">
        <f>IF(A80="","",K79+B79+B80)</f>
        <v/>
      </c>
      <c r="K80" s="19">
        <f>IF(A80="","",2*H80/(Hydrogramme_entree!$B$8*60)-E80)</f>
        <v/>
      </c>
    </row>
    <row r="81">
      <c r="A81" s="4">
        <f>Hydrogramme_entree!A87</f>
        <v/>
      </c>
      <c r="B81" s="19">
        <f>Hydrogramme_entree!B87</f>
        <v/>
      </c>
      <c r="C81" s="19">
        <f>IF(A81="","",IFERROR(FORECAST(K80+B80+B81,INDEX(Courbe_de_tarage!$C$4:$C$44,MATCH(K80+B80+B81,Courbe_de_tarage!$I$4:$I$44,1)):INDEX(Courbe_de_tarage!$C$4:$C$44,MATCH(K80+B80+B81,Courbe_de_tarage!$I$4:$I$44,1)+1),INDEX(Courbe_de_tarage!$I$4:$I$44,MATCH(K80+B80+B81,Courbe_de_tarage!$I$4:$I$44,1)):INDEX(Courbe_de_tarage!$I$4:$I$44,MATCH(K80+B80+B81,Courbe_de_tarage!$I$4:$I$44,1)+1)),IFERROR(INDEX(Courbe_de_tarage!$C$4:$C$44,MATCH(K80+B80+B81,Courbe_de_tarage!$I$4:$I$44,1)),INDEX(Courbe_de_tarage!$C$4:$C$44,1))))</f>
        <v/>
      </c>
      <c r="D81" s="19">
        <f>IF(A81="","",IFERROR(FORECAST(K80+B80+B81,INDEX(Courbe_de_tarage!$D$4:$D$44,MATCH(K80+B80+B81,Courbe_de_tarage!$I$4:$I$44,1)):INDEX(Courbe_de_tarage!$D$4:$D$44,MATCH(K80+B80+B81,Courbe_de_tarage!$I$4:$I$44,1)+1),INDEX(Courbe_de_tarage!$I$4:$I$44,MATCH(K80+B80+B81,Courbe_de_tarage!$I$4:$I$44,1)):INDEX(Courbe_de_tarage!$I$4:$I$44,MATCH(K80+B80+B81,Courbe_de_tarage!$I$4:$I$44,1)+1)),IFERROR(INDEX(Courbe_de_tarage!$D$4:$D$44,MATCH(K80+B80+B81,Courbe_de_tarage!$I$4:$I$44,1)),INDEX(Courbe_de_tarage!$D$4:$D$44,1))))</f>
        <v/>
      </c>
      <c r="E81" s="19">
        <f>IF(A81="","",IFERROR(FORECAST(K80+B80+B81,INDEX(Courbe_de_tarage!$E$4:$E$44,MATCH(K80+B80+B81,Courbe_de_tarage!$I$4:$I$44,1)):INDEX(Courbe_de_tarage!$E$4:$E$44,MATCH(K80+B80+B81,Courbe_de_tarage!$I$4:$I$44,1)+1),INDEX(Courbe_de_tarage!$I$4:$I$44,MATCH(K80+B80+B81,Courbe_de_tarage!$I$4:$I$44,1)):INDEX(Courbe_de_tarage!$I$4:$I$44,MATCH(K80+B80+B81,Courbe_de_tarage!$I$4:$I$44,1)+1)),IFERROR(INDEX(Courbe_de_tarage!$E$4:$E$44,MATCH(K80+B80+B81,Courbe_de_tarage!$I$4:$I$44,1)),INDEX(Courbe_de_tarage!$E$4:$E$44,1))))</f>
        <v/>
      </c>
      <c r="F81" s="19">
        <f>IF(A81="","",IFERROR(FORECAST(K80+B80+B81,INDEX(Courbe_de_tarage!$A$4:$A$44,MATCH(K80+B80+B81,Courbe_de_tarage!$I$4:$I$44,1)):INDEX(Courbe_de_tarage!$A$4:$A$44,MATCH(K80+B80+B81,Courbe_de_tarage!$I$4:$I$44,1)+1),INDEX(Courbe_de_tarage!$I$4:$I$44,MATCH(K80+B80+B81,Courbe_de_tarage!$I$4:$I$44,1)):INDEX(Courbe_de_tarage!$I$4:$I$44,MATCH(K80+B80+B81,Courbe_de_tarage!$I$4:$I$44,1)+1)),IFERROR(INDEX(Courbe_de_tarage!$A$4:$A$44,MATCH(K80+B80+B81,Courbe_de_tarage!$I$4:$I$44,1)),INDEX(Courbe_de_tarage!$A$4:$A$44,1))))</f>
        <v/>
      </c>
      <c r="G81" s="19">
        <f>IF(A81="","",35.36+F81)</f>
        <v/>
      </c>
      <c r="H81" s="19">
        <f>IF(A81="","",IFERROR(FORECAST(K80+B80+B81,INDEX(Courbe_de_tarage!$H$4:$H$44,MATCH(K80+B80+B81,Courbe_de_tarage!$I$4:$I$44,1)):INDEX(Courbe_de_tarage!$H$4:$H$44,MATCH(K80+B80+B81,Courbe_de_tarage!$I$4:$I$44,1)+1),INDEX(Courbe_de_tarage!$I$4:$I$44,MATCH(K80+B80+B81,Courbe_de_tarage!$I$4:$I$44,1)):INDEX(Courbe_de_tarage!$I$4:$I$44,MATCH(K80+B80+B81,Courbe_de_tarage!$I$4:$I$44,1)+1)),IFERROR(INDEX(Courbe_de_tarage!$H$4:$H$44,MATCH(K80+B80+B81,Courbe_de_tarage!$I$4:$I$44,1)),INDEX(Courbe_de_tarage!$H$4:$H$44,1))))</f>
        <v/>
      </c>
      <c r="I81" s="4">
        <f>IF(G81="","",IF(G81&gt;37.4,"OUI",""))</f>
        <v/>
      </c>
      <c r="J81" s="19">
        <f>IF(A81="","",K80+B80+B81)</f>
        <v/>
      </c>
      <c r="K81" s="19">
        <f>IF(A81="","",2*H81/(Hydrogramme_entree!$B$8*60)-E81)</f>
        <v/>
      </c>
    </row>
    <row r="82">
      <c r="A82" s="4">
        <f>Hydrogramme_entree!A88</f>
        <v/>
      </c>
      <c r="B82" s="19">
        <f>Hydrogramme_entree!B88</f>
        <v/>
      </c>
      <c r="C82" s="19">
        <f>IF(A82="","",IFERROR(FORECAST(K81+B81+B82,INDEX(Courbe_de_tarage!$C$4:$C$44,MATCH(K81+B81+B82,Courbe_de_tarage!$I$4:$I$44,1)):INDEX(Courbe_de_tarage!$C$4:$C$44,MATCH(K81+B81+B82,Courbe_de_tarage!$I$4:$I$44,1)+1),INDEX(Courbe_de_tarage!$I$4:$I$44,MATCH(K81+B81+B82,Courbe_de_tarage!$I$4:$I$44,1)):INDEX(Courbe_de_tarage!$I$4:$I$44,MATCH(K81+B81+B82,Courbe_de_tarage!$I$4:$I$44,1)+1)),IFERROR(INDEX(Courbe_de_tarage!$C$4:$C$44,MATCH(K81+B81+B82,Courbe_de_tarage!$I$4:$I$44,1)),INDEX(Courbe_de_tarage!$C$4:$C$44,1))))</f>
        <v/>
      </c>
      <c r="D82" s="19">
        <f>IF(A82="","",IFERROR(FORECAST(K81+B81+B82,INDEX(Courbe_de_tarage!$D$4:$D$44,MATCH(K81+B81+B82,Courbe_de_tarage!$I$4:$I$44,1)):INDEX(Courbe_de_tarage!$D$4:$D$44,MATCH(K81+B81+B82,Courbe_de_tarage!$I$4:$I$44,1)+1),INDEX(Courbe_de_tarage!$I$4:$I$44,MATCH(K81+B81+B82,Courbe_de_tarage!$I$4:$I$44,1)):INDEX(Courbe_de_tarage!$I$4:$I$44,MATCH(K81+B81+B82,Courbe_de_tarage!$I$4:$I$44,1)+1)),IFERROR(INDEX(Courbe_de_tarage!$D$4:$D$44,MATCH(K81+B81+B82,Courbe_de_tarage!$I$4:$I$44,1)),INDEX(Courbe_de_tarage!$D$4:$D$44,1))))</f>
        <v/>
      </c>
      <c r="E82" s="19">
        <f>IF(A82="","",IFERROR(FORECAST(K81+B81+B82,INDEX(Courbe_de_tarage!$E$4:$E$44,MATCH(K81+B81+B82,Courbe_de_tarage!$I$4:$I$44,1)):INDEX(Courbe_de_tarage!$E$4:$E$44,MATCH(K81+B81+B82,Courbe_de_tarage!$I$4:$I$44,1)+1),INDEX(Courbe_de_tarage!$I$4:$I$44,MATCH(K81+B81+B82,Courbe_de_tarage!$I$4:$I$44,1)):INDEX(Courbe_de_tarage!$I$4:$I$44,MATCH(K81+B81+B82,Courbe_de_tarage!$I$4:$I$44,1)+1)),IFERROR(INDEX(Courbe_de_tarage!$E$4:$E$44,MATCH(K81+B81+B82,Courbe_de_tarage!$I$4:$I$44,1)),INDEX(Courbe_de_tarage!$E$4:$E$44,1))))</f>
        <v/>
      </c>
      <c r="F82" s="19">
        <f>IF(A82="","",IFERROR(FORECAST(K81+B81+B82,INDEX(Courbe_de_tarage!$A$4:$A$44,MATCH(K81+B81+B82,Courbe_de_tarage!$I$4:$I$44,1)):INDEX(Courbe_de_tarage!$A$4:$A$44,MATCH(K81+B81+B82,Courbe_de_tarage!$I$4:$I$44,1)+1),INDEX(Courbe_de_tarage!$I$4:$I$44,MATCH(K81+B81+B82,Courbe_de_tarage!$I$4:$I$44,1)):INDEX(Courbe_de_tarage!$I$4:$I$44,MATCH(K81+B81+B82,Courbe_de_tarage!$I$4:$I$44,1)+1)),IFERROR(INDEX(Courbe_de_tarage!$A$4:$A$44,MATCH(K81+B81+B82,Courbe_de_tarage!$I$4:$I$44,1)),INDEX(Courbe_de_tarage!$A$4:$A$44,1))))</f>
        <v/>
      </c>
      <c r="G82" s="19">
        <f>IF(A82="","",35.36+F82)</f>
        <v/>
      </c>
      <c r="H82" s="19">
        <f>IF(A82="","",IFERROR(FORECAST(K81+B81+B82,INDEX(Courbe_de_tarage!$H$4:$H$44,MATCH(K81+B81+B82,Courbe_de_tarage!$I$4:$I$44,1)):INDEX(Courbe_de_tarage!$H$4:$H$44,MATCH(K81+B81+B82,Courbe_de_tarage!$I$4:$I$44,1)+1),INDEX(Courbe_de_tarage!$I$4:$I$44,MATCH(K81+B81+B82,Courbe_de_tarage!$I$4:$I$44,1)):INDEX(Courbe_de_tarage!$I$4:$I$44,MATCH(K81+B81+B82,Courbe_de_tarage!$I$4:$I$44,1)+1)),IFERROR(INDEX(Courbe_de_tarage!$H$4:$H$44,MATCH(K81+B81+B82,Courbe_de_tarage!$I$4:$I$44,1)),INDEX(Courbe_de_tarage!$H$4:$H$44,1))))</f>
        <v/>
      </c>
      <c r="I82" s="4">
        <f>IF(G82="","",IF(G82&gt;37.4,"OUI",""))</f>
        <v/>
      </c>
      <c r="J82" s="19">
        <f>IF(A82="","",K81+B81+B82)</f>
        <v/>
      </c>
      <c r="K82" s="19">
        <f>IF(A82="","",2*H82/(Hydrogramme_entree!$B$8*60)-E82)</f>
        <v/>
      </c>
    </row>
    <row r="83">
      <c r="A83" s="4">
        <f>Hydrogramme_entree!A89</f>
        <v/>
      </c>
      <c r="B83" s="19">
        <f>Hydrogramme_entree!B89</f>
        <v/>
      </c>
      <c r="C83" s="19">
        <f>IF(A83="","",IFERROR(FORECAST(K82+B82+B83,INDEX(Courbe_de_tarage!$C$4:$C$44,MATCH(K82+B82+B83,Courbe_de_tarage!$I$4:$I$44,1)):INDEX(Courbe_de_tarage!$C$4:$C$44,MATCH(K82+B82+B83,Courbe_de_tarage!$I$4:$I$44,1)+1),INDEX(Courbe_de_tarage!$I$4:$I$44,MATCH(K82+B82+B83,Courbe_de_tarage!$I$4:$I$44,1)):INDEX(Courbe_de_tarage!$I$4:$I$44,MATCH(K82+B82+B83,Courbe_de_tarage!$I$4:$I$44,1)+1)),IFERROR(INDEX(Courbe_de_tarage!$C$4:$C$44,MATCH(K82+B82+B83,Courbe_de_tarage!$I$4:$I$44,1)),INDEX(Courbe_de_tarage!$C$4:$C$44,1))))</f>
        <v/>
      </c>
      <c r="D83" s="19">
        <f>IF(A83="","",IFERROR(FORECAST(K82+B82+B83,INDEX(Courbe_de_tarage!$D$4:$D$44,MATCH(K82+B82+B83,Courbe_de_tarage!$I$4:$I$44,1)):INDEX(Courbe_de_tarage!$D$4:$D$44,MATCH(K82+B82+B83,Courbe_de_tarage!$I$4:$I$44,1)+1),INDEX(Courbe_de_tarage!$I$4:$I$44,MATCH(K82+B82+B83,Courbe_de_tarage!$I$4:$I$44,1)):INDEX(Courbe_de_tarage!$I$4:$I$44,MATCH(K82+B82+B83,Courbe_de_tarage!$I$4:$I$44,1)+1)),IFERROR(INDEX(Courbe_de_tarage!$D$4:$D$44,MATCH(K82+B82+B83,Courbe_de_tarage!$I$4:$I$44,1)),INDEX(Courbe_de_tarage!$D$4:$D$44,1))))</f>
        <v/>
      </c>
      <c r="E83" s="19">
        <f>IF(A83="","",IFERROR(FORECAST(K82+B82+B83,INDEX(Courbe_de_tarage!$E$4:$E$44,MATCH(K82+B82+B83,Courbe_de_tarage!$I$4:$I$44,1)):INDEX(Courbe_de_tarage!$E$4:$E$44,MATCH(K82+B82+B83,Courbe_de_tarage!$I$4:$I$44,1)+1),INDEX(Courbe_de_tarage!$I$4:$I$44,MATCH(K82+B82+B83,Courbe_de_tarage!$I$4:$I$44,1)):INDEX(Courbe_de_tarage!$I$4:$I$44,MATCH(K82+B82+B83,Courbe_de_tarage!$I$4:$I$44,1)+1)),IFERROR(INDEX(Courbe_de_tarage!$E$4:$E$44,MATCH(K82+B82+B83,Courbe_de_tarage!$I$4:$I$44,1)),INDEX(Courbe_de_tarage!$E$4:$E$44,1))))</f>
        <v/>
      </c>
      <c r="F83" s="19">
        <f>IF(A83="","",IFERROR(FORECAST(K82+B82+B83,INDEX(Courbe_de_tarage!$A$4:$A$44,MATCH(K82+B82+B83,Courbe_de_tarage!$I$4:$I$44,1)):INDEX(Courbe_de_tarage!$A$4:$A$44,MATCH(K82+B82+B83,Courbe_de_tarage!$I$4:$I$44,1)+1),INDEX(Courbe_de_tarage!$I$4:$I$44,MATCH(K82+B82+B83,Courbe_de_tarage!$I$4:$I$44,1)):INDEX(Courbe_de_tarage!$I$4:$I$44,MATCH(K82+B82+B83,Courbe_de_tarage!$I$4:$I$44,1)+1)),IFERROR(INDEX(Courbe_de_tarage!$A$4:$A$44,MATCH(K82+B82+B83,Courbe_de_tarage!$I$4:$I$44,1)),INDEX(Courbe_de_tarage!$A$4:$A$44,1))))</f>
        <v/>
      </c>
      <c r="G83" s="19">
        <f>IF(A83="","",35.36+F83)</f>
        <v/>
      </c>
      <c r="H83" s="19">
        <f>IF(A83="","",IFERROR(FORECAST(K82+B82+B83,INDEX(Courbe_de_tarage!$H$4:$H$44,MATCH(K82+B82+B83,Courbe_de_tarage!$I$4:$I$44,1)):INDEX(Courbe_de_tarage!$H$4:$H$44,MATCH(K82+B82+B83,Courbe_de_tarage!$I$4:$I$44,1)+1),INDEX(Courbe_de_tarage!$I$4:$I$44,MATCH(K82+B82+B83,Courbe_de_tarage!$I$4:$I$44,1)):INDEX(Courbe_de_tarage!$I$4:$I$44,MATCH(K82+B82+B83,Courbe_de_tarage!$I$4:$I$44,1)+1)),IFERROR(INDEX(Courbe_de_tarage!$H$4:$H$44,MATCH(K82+B82+B83,Courbe_de_tarage!$I$4:$I$44,1)),INDEX(Courbe_de_tarage!$H$4:$H$44,1))))</f>
        <v/>
      </c>
      <c r="I83" s="4">
        <f>IF(G83="","",IF(G83&gt;37.4,"OUI",""))</f>
        <v/>
      </c>
      <c r="J83" s="19">
        <f>IF(A83="","",K82+B82+B83)</f>
        <v/>
      </c>
      <c r="K83" s="19">
        <f>IF(A83="","",2*H83/(Hydrogramme_entree!$B$8*60)-E83)</f>
        <v/>
      </c>
    </row>
    <row r="84">
      <c r="A84" s="4">
        <f>Hydrogramme_entree!A90</f>
        <v/>
      </c>
      <c r="B84" s="19">
        <f>Hydrogramme_entree!B90</f>
        <v/>
      </c>
      <c r="C84" s="19">
        <f>IF(A84="","",IFERROR(FORECAST(K83+B83+B84,INDEX(Courbe_de_tarage!$C$4:$C$44,MATCH(K83+B83+B84,Courbe_de_tarage!$I$4:$I$44,1)):INDEX(Courbe_de_tarage!$C$4:$C$44,MATCH(K83+B83+B84,Courbe_de_tarage!$I$4:$I$44,1)+1),INDEX(Courbe_de_tarage!$I$4:$I$44,MATCH(K83+B83+B84,Courbe_de_tarage!$I$4:$I$44,1)):INDEX(Courbe_de_tarage!$I$4:$I$44,MATCH(K83+B83+B84,Courbe_de_tarage!$I$4:$I$44,1)+1)),IFERROR(INDEX(Courbe_de_tarage!$C$4:$C$44,MATCH(K83+B83+B84,Courbe_de_tarage!$I$4:$I$44,1)),INDEX(Courbe_de_tarage!$C$4:$C$44,1))))</f>
        <v/>
      </c>
      <c r="D84" s="19">
        <f>IF(A84="","",IFERROR(FORECAST(K83+B83+B84,INDEX(Courbe_de_tarage!$D$4:$D$44,MATCH(K83+B83+B84,Courbe_de_tarage!$I$4:$I$44,1)):INDEX(Courbe_de_tarage!$D$4:$D$44,MATCH(K83+B83+B84,Courbe_de_tarage!$I$4:$I$44,1)+1),INDEX(Courbe_de_tarage!$I$4:$I$44,MATCH(K83+B83+B84,Courbe_de_tarage!$I$4:$I$44,1)):INDEX(Courbe_de_tarage!$I$4:$I$44,MATCH(K83+B83+B84,Courbe_de_tarage!$I$4:$I$44,1)+1)),IFERROR(INDEX(Courbe_de_tarage!$D$4:$D$44,MATCH(K83+B83+B84,Courbe_de_tarage!$I$4:$I$44,1)),INDEX(Courbe_de_tarage!$D$4:$D$44,1))))</f>
        <v/>
      </c>
      <c r="E84" s="19">
        <f>IF(A84="","",IFERROR(FORECAST(K83+B83+B84,INDEX(Courbe_de_tarage!$E$4:$E$44,MATCH(K83+B83+B84,Courbe_de_tarage!$I$4:$I$44,1)):INDEX(Courbe_de_tarage!$E$4:$E$44,MATCH(K83+B83+B84,Courbe_de_tarage!$I$4:$I$44,1)+1),INDEX(Courbe_de_tarage!$I$4:$I$44,MATCH(K83+B83+B84,Courbe_de_tarage!$I$4:$I$44,1)):INDEX(Courbe_de_tarage!$I$4:$I$44,MATCH(K83+B83+B84,Courbe_de_tarage!$I$4:$I$44,1)+1)),IFERROR(INDEX(Courbe_de_tarage!$E$4:$E$44,MATCH(K83+B83+B84,Courbe_de_tarage!$I$4:$I$44,1)),INDEX(Courbe_de_tarage!$E$4:$E$44,1))))</f>
        <v/>
      </c>
      <c r="F84" s="19">
        <f>IF(A84="","",IFERROR(FORECAST(K83+B83+B84,INDEX(Courbe_de_tarage!$A$4:$A$44,MATCH(K83+B83+B84,Courbe_de_tarage!$I$4:$I$44,1)):INDEX(Courbe_de_tarage!$A$4:$A$44,MATCH(K83+B83+B84,Courbe_de_tarage!$I$4:$I$44,1)+1),INDEX(Courbe_de_tarage!$I$4:$I$44,MATCH(K83+B83+B84,Courbe_de_tarage!$I$4:$I$44,1)):INDEX(Courbe_de_tarage!$I$4:$I$44,MATCH(K83+B83+B84,Courbe_de_tarage!$I$4:$I$44,1)+1)),IFERROR(INDEX(Courbe_de_tarage!$A$4:$A$44,MATCH(K83+B83+B84,Courbe_de_tarage!$I$4:$I$44,1)),INDEX(Courbe_de_tarage!$A$4:$A$44,1))))</f>
        <v/>
      </c>
      <c r="G84" s="19">
        <f>IF(A84="","",35.36+F84)</f>
        <v/>
      </c>
      <c r="H84" s="19">
        <f>IF(A84="","",IFERROR(FORECAST(K83+B83+B84,INDEX(Courbe_de_tarage!$H$4:$H$44,MATCH(K83+B83+B84,Courbe_de_tarage!$I$4:$I$44,1)):INDEX(Courbe_de_tarage!$H$4:$H$44,MATCH(K83+B83+B84,Courbe_de_tarage!$I$4:$I$44,1)+1),INDEX(Courbe_de_tarage!$I$4:$I$44,MATCH(K83+B83+B84,Courbe_de_tarage!$I$4:$I$44,1)):INDEX(Courbe_de_tarage!$I$4:$I$44,MATCH(K83+B83+B84,Courbe_de_tarage!$I$4:$I$44,1)+1)),IFERROR(INDEX(Courbe_de_tarage!$H$4:$H$44,MATCH(K83+B83+B84,Courbe_de_tarage!$I$4:$I$44,1)),INDEX(Courbe_de_tarage!$H$4:$H$44,1))))</f>
        <v/>
      </c>
      <c r="I84" s="4">
        <f>IF(G84="","",IF(G84&gt;37.4,"OUI",""))</f>
        <v/>
      </c>
      <c r="J84" s="19">
        <f>IF(A84="","",K83+B83+B84)</f>
        <v/>
      </c>
      <c r="K84" s="19">
        <f>IF(A84="","",2*H84/(Hydrogramme_entree!$B$8*60)-E84)</f>
        <v/>
      </c>
    </row>
    <row r="85">
      <c r="A85" s="4">
        <f>Hydrogramme_entree!A91</f>
        <v/>
      </c>
      <c r="B85" s="19">
        <f>Hydrogramme_entree!B91</f>
        <v/>
      </c>
      <c r="C85" s="19">
        <f>IF(A85="","",IFERROR(FORECAST(K84+B84+B85,INDEX(Courbe_de_tarage!$C$4:$C$44,MATCH(K84+B84+B85,Courbe_de_tarage!$I$4:$I$44,1)):INDEX(Courbe_de_tarage!$C$4:$C$44,MATCH(K84+B84+B85,Courbe_de_tarage!$I$4:$I$44,1)+1),INDEX(Courbe_de_tarage!$I$4:$I$44,MATCH(K84+B84+B85,Courbe_de_tarage!$I$4:$I$44,1)):INDEX(Courbe_de_tarage!$I$4:$I$44,MATCH(K84+B84+B85,Courbe_de_tarage!$I$4:$I$44,1)+1)),IFERROR(INDEX(Courbe_de_tarage!$C$4:$C$44,MATCH(K84+B84+B85,Courbe_de_tarage!$I$4:$I$44,1)),INDEX(Courbe_de_tarage!$C$4:$C$44,1))))</f>
        <v/>
      </c>
      <c r="D85" s="19">
        <f>IF(A85="","",IFERROR(FORECAST(K84+B84+B85,INDEX(Courbe_de_tarage!$D$4:$D$44,MATCH(K84+B84+B85,Courbe_de_tarage!$I$4:$I$44,1)):INDEX(Courbe_de_tarage!$D$4:$D$44,MATCH(K84+B84+B85,Courbe_de_tarage!$I$4:$I$44,1)+1),INDEX(Courbe_de_tarage!$I$4:$I$44,MATCH(K84+B84+B85,Courbe_de_tarage!$I$4:$I$44,1)):INDEX(Courbe_de_tarage!$I$4:$I$44,MATCH(K84+B84+B85,Courbe_de_tarage!$I$4:$I$44,1)+1)),IFERROR(INDEX(Courbe_de_tarage!$D$4:$D$44,MATCH(K84+B84+B85,Courbe_de_tarage!$I$4:$I$44,1)),INDEX(Courbe_de_tarage!$D$4:$D$44,1))))</f>
        <v/>
      </c>
      <c r="E85" s="19">
        <f>IF(A85="","",IFERROR(FORECAST(K84+B84+B85,INDEX(Courbe_de_tarage!$E$4:$E$44,MATCH(K84+B84+B85,Courbe_de_tarage!$I$4:$I$44,1)):INDEX(Courbe_de_tarage!$E$4:$E$44,MATCH(K84+B84+B85,Courbe_de_tarage!$I$4:$I$44,1)+1),INDEX(Courbe_de_tarage!$I$4:$I$44,MATCH(K84+B84+B85,Courbe_de_tarage!$I$4:$I$44,1)):INDEX(Courbe_de_tarage!$I$4:$I$44,MATCH(K84+B84+B85,Courbe_de_tarage!$I$4:$I$44,1)+1)),IFERROR(INDEX(Courbe_de_tarage!$E$4:$E$44,MATCH(K84+B84+B85,Courbe_de_tarage!$I$4:$I$44,1)),INDEX(Courbe_de_tarage!$E$4:$E$44,1))))</f>
        <v/>
      </c>
      <c r="F85" s="19">
        <f>IF(A85="","",IFERROR(FORECAST(K84+B84+B85,INDEX(Courbe_de_tarage!$A$4:$A$44,MATCH(K84+B84+B85,Courbe_de_tarage!$I$4:$I$44,1)):INDEX(Courbe_de_tarage!$A$4:$A$44,MATCH(K84+B84+B85,Courbe_de_tarage!$I$4:$I$44,1)+1),INDEX(Courbe_de_tarage!$I$4:$I$44,MATCH(K84+B84+B85,Courbe_de_tarage!$I$4:$I$44,1)):INDEX(Courbe_de_tarage!$I$4:$I$44,MATCH(K84+B84+B85,Courbe_de_tarage!$I$4:$I$44,1)+1)),IFERROR(INDEX(Courbe_de_tarage!$A$4:$A$44,MATCH(K84+B84+B85,Courbe_de_tarage!$I$4:$I$44,1)),INDEX(Courbe_de_tarage!$A$4:$A$44,1))))</f>
        <v/>
      </c>
      <c r="G85" s="19">
        <f>IF(A85="","",35.36+F85)</f>
        <v/>
      </c>
      <c r="H85" s="19">
        <f>IF(A85="","",IFERROR(FORECAST(K84+B84+B85,INDEX(Courbe_de_tarage!$H$4:$H$44,MATCH(K84+B84+B85,Courbe_de_tarage!$I$4:$I$44,1)):INDEX(Courbe_de_tarage!$H$4:$H$44,MATCH(K84+B84+B85,Courbe_de_tarage!$I$4:$I$44,1)+1),INDEX(Courbe_de_tarage!$I$4:$I$44,MATCH(K84+B84+B85,Courbe_de_tarage!$I$4:$I$44,1)):INDEX(Courbe_de_tarage!$I$4:$I$44,MATCH(K84+B84+B85,Courbe_de_tarage!$I$4:$I$44,1)+1)),IFERROR(INDEX(Courbe_de_tarage!$H$4:$H$44,MATCH(K84+B84+B85,Courbe_de_tarage!$I$4:$I$44,1)),INDEX(Courbe_de_tarage!$H$4:$H$44,1))))</f>
        <v/>
      </c>
      <c r="I85" s="4">
        <f>IF(G85="","",IF(G85&gt;37.4,"OUI",""))</f>
        <v/>
      </c>
      <c r="J85" s="19">
        <f>IF(A85="","",K84+B84+B85)</f>
        <v/>
      </c>
      <c r="K85" s="19">
        <f>IF(A85="","",2*H85/(Hydrogramme_entree!$B$8*60)-E85)</f>
        <v/>
      </c>
    </row>
    <row r="86">
      <c r="A86" s="4">
        <f>Hydrogramme_entree!A92</f>
        <v/>
      </c>
      <c r="B86" s="19">
        <f>Hydrogramme_entree!B92</f>
        <v/>
      </c>
      <c r="C86" s="19">
        <f>IF(A86="","",IFERROR(FORECAST(K85+B85+B86,INDEX(Courbe_de_tarage!$C$4:$C$44,MATCH(K85+B85+B86,Courbe_de_tarage!$I$4:$I$44,1)):INDEX(Courbe_de_tarage!$C$4:$C$44,MATCH(K85+B85+B86,Courbe_de_tarage!$I$4:$I$44,1)+1),INDEX(Courbe_de_tarage!$I$4:$I$44,MATCH(K85+B85+B86,Courbe_de_tarage!$I$4:$I$44,1)):INDEX(Courbe_de_tarage!$I$4:$I$44,MATCH(K85+B85+B86,Courbe_de_tarage!$I$4:$I$44,1)+1)),IFERROR(INDEX(Courbe_de_tarage!$C$4:$C$44,MATCH(K85+B85+B86,Courbe_de_tarage!$I$4:$I$44,1)),INDEX(Courbe_de_tarage!$C$4:$C$44,1))))</f>
        <v/>
      </c>
      <c r="D86" s="19">
        <f>IF(A86="","",IFERROR(FORECAST(K85+B85+B86,INDEX(Courbe_de_tarage!$D$4:$D$44,MATCH(K85+B85+B86,Courbe_de_tarage!$I$4:$I$44,1)):INDEX(Courbe_de_tarage!$D$4:$D$44,MATCH(K85+B85+B86,Courbe_de_tarage!$I$4:$I$44,1)+1),INDEX(Courbe_de_tarage!$I$4:$I$44,MATCH(K85+B85+B86,Courbe_de_tarage!$I$4:$I$44,1)):INDEX(Courbe_de_tarage!$I$4:$I$44,MATCH(K85+B85+B86,Courbe_de_tarage!$I$4:$I$44,1)+1)),IFERROR(INDEX(Courbe_de_tarage!$D$4:$D$44,MATCH(K85+B85+B86,Courbe_de_tarage!$I$4:$I$44,1)),INDEX(Courbe_de_tarage!$D$4:$D$44,1))))</f>
        <v/>
      </c>
      <c r="E86" s="19">
        <f>IF(A86="","",IFERROR(FORECAST(K85+B85+B86,INDEX(Courbe_de_tarage!$E$4:$E$44,MATCH(K85+B85+B86,Courbe_de_tarage!$I$4:$I$44,1)):INDEX(Courbe_de_tarage!$E$4:$E$44,MATCH(K85+B85+B86,Courbe_de_tarage!$I$4:$I$44,1)+1),INDEX(Courbe_de_tarage!$I$4:$I$44,MATCH(K85+B85+B86,Courbe_de_tarage!$I$4:$I$44,1)):INDEX(Courbe_de_tarage!$I$4:$I$44,MATCH(K85+B85+B86,Courbe_de_tarage!$I$4:$I$44,1)+1)),IFERROR(INDEX(Courbe_de_tarage!$E$4:$E$44,MATCH(K85+B85+B86,Courbe_de_tarage!$I$4:$I$44,1)),INDEX(Courbe_de_tarage!$E$4:$E$44,1))))</f>
        <v/>
      </c>
      <c r="F86" s="19">
        <f>IF(A86="","",IFERROR(FORECAST(K85+B85+B86,INDEX(Courbe_de_tarage!$A$4:$A$44,MATCH(K85+B85+B86,Courbe_de_tarage!$I$4:$I$44,1)):INDEX(Courbe_de_tarage!$A$4:$A$44,MATCH(K85+B85+B86,Courbe_de_tarage!$I$4:$I$44,1)+1),INDEX(Courbe_de_tarage!$I$4:$I$44,MATCH(K85+B85+B86,Courbe_de_tarage!$I$4:$I$44,1)):INDEX(Courbe_de_tarage!$I$4:$I$44,MATCH(K85+B85+B86,Courbe_de_tarage!$I$4:$I$44,1)+1)),IFERROR(INDEX(Courbe_de_tarage!$A$4:$A$44,MATCH(K85+B85+B86,Courbe_de_tarage!$I$4:$I$44,1)),INDEX(Courbe_de_tarage!$A$4:$A$44,1))))</f>
        <v/>
      </c>
      <c r="G86" s="19">
        <f>IF(A86="","",35.36+F86)</f>
        <v/>
      </c>
      <c r="H86" s="19">
        <f>IF(A86="","",IFERROR(FORECAST(K85+B85+B86,INDEX(Courbe_de_tarage!$H$4:$H$44,MATCH(K85+B85+B86,Courbe_de_tarage!$I$4:$I$44,1)):INDEX(Courbe_de_tarage!$H$4:$H$44,MATCH(K85+B85+B86,Courbe_de_tarage!$I$4:$I$44,1)+1),INDEX(Courbe_de_tarage!$I$4:$I$44,MATCH(K85+B85+B86,Courbe_de_tarage!$I$4:$I$44,1)):INDEX(Courbe_de_tarage!$I$4:$I$44,MATCH(K85+B85+B86,Courbe_de_tarage!$I$4:$I$44,1)+1)),IFERROR(INDEX(Courbe_de_tarage!$H$4:$H$44,MATCH(K85+B85+B86,Courbe_de_tarage!$I$4:$I$44,1)),INDEX(Courbe_de_tarage!$H$4:$H$44,1))))</f>
        <v/>
      </c>
      <c r="I86" s="4">
        <f>IF(G86="","",IF(G86&gt;37.4,"OUI",""))</f>
        <v/>
      </c>
      <c r="J86" s="19">
        <f>IF(A86="","",K85+B85+B86)</f>
        <v/>
      </c>
      <c r="K86" s="19">
        <f>IF(A86="","",2*H86/(Hydrogramme_entree!$B$8*60)-E86)</f>
        <v/>
      </c>
    </row>
    <row r="87">
      <c r="A87" s="4">
        <f>Hydrogramme_entree!A93</f>
        <v/>
      </c>
      <c r="B87" s="19">
        <f>Hydrogramme_entree!B93</f>
        <v/>
      </c>
      <c r="C87" s="19">
        <f>IF(A87="","",IFERROR(FORECAST(K86+B86+B87,INDEX(Courbe_de_tarage!$C$4:$C$44,MATCH(K86+B86+B87,Courbe_de_tarage!$I$4:$I$44,1)):INDEX(Courbe_de_tarage!$C$4:$C$44,MATCH(K86+B86+B87,Courbe_de_tarage!$I$4:$I$44,1)+1),INDEX(Courbe_de_tarage!$I$4:$I$44,MATCH(K86+B86+B87,Courbe_de_tarage!$I$4:$I$44,1)):INDEX(Courbe_de_tarage!$I$4:$I$44,MATCH(K86+B86+B87,Courbe_de_tarage!$I$4:$I$44,1)+1)),IFERROR(INDEX(Courbe_de_tarage!$C$4:$C$44,MATCH(K86+B86+B87,Courbe_de_tarage!$I$4:$I$44,1)),INDEX(Courbe_de_tarage!$C$4:$C$44,1))))</f>
        <v/>
      </c>
      <c r="D87" s="19">
        <f>IF(A87="","",IFERROR(FORECAST(K86+B86+B87,INDEX(Courbe_de_tarage!$D$4:$D$44,MATCH(K86+B86+B87,Courbe_de_tarage!$I$4:$I$44,1)):INDEX(Courbe_de_tarage!$D$4:$D$44,MATCH(K86+B86+B87,Courbe_de_tarage!$I$4:$I$44,1)+1),INDEX(Courbe_de_tarage!$I$4:$I$44,MATCH(K86+B86+B87,Courbe_de_tarage!$I$4:$I$44,1)):INDEX(Courbe_de_tarage!$I$4:$I$44,MATCH(K86+B86+B87,Courbe_de_tarage!$I$4:$I$44,1)+1)),IFERROR(INDEX(Courbe_de_tarage!$D$4:$D$44,MATCH(K86+B86+B87,Courbe_de_tarage!$I$4:$I$44,1)),INDEX(Courbe_de_tarage!$D$4:$D$44,1))))</f>
        <v/>
      </c>
      <c r="E87" s="19">
        <f>IF(A87="","",IFERROR(FORECAST(K86+B86+B87,INDEX(Courbe_de_tarage!$E$4:$E$44,MATCH(K86+B86+B87,Courbe_de_tarage!$I$4:$I$44,1)):INDEX(Courbe_de_tarage!$E$4:$E$44,MATCH(K86+B86+B87,Courbe_de_tarage!$I$4:$I$44,1)+1),INDEX(Courbe_de_tarage!$I$4:$I$44,MATCH(K86+B86+B87,Courbe_de_tarage!$I$4:$I$44,1)):INDEX(Courbe_de_tarage!$I$4:$I$44,MATCH(K86+B86+B87,Courbe_de_tarage!$I$4:$I$44,1)+1)),IFERROR(INDEX(Courbe_de_tarage!$E$4:$E$44,MATCH(K86+B86+B87,Courbe_de_tarage!$I$4:$I$44,1)),INDEX(Courbe_de_tarage!$E$4:$E$44,1))))</f>
        <v/>
      </c>
      <c r="F87" s="19">
        <f>IF(A87="","",IFERROR(FORECAST(K86+B86+B87,INDEX(Courbe_de_tarage!$A$4:$A$44,MATCH(K86+B86+B87,Courbe_de_tarage!$I$4:$I$44,1)):INDEX(Courbe_de_tarage!$A$4:$A$44,MATCH(K86+B86+B87,Courbe_de_tarage!$I$4:$I$44,1)+1),INDEX(Courbe_de_tarage!$I$4:$I$44,MATCH(K86+B86+B87,Courbe_de_tarage!$I$4:$I$44,1)):INDEX(Courbe_de_tarage!$I$4:$I$44,MATCH(K86+B86+B87,Courbe_de_tarage!$I$4:$I$44,1)+1)),IFERROR(INDEX(Courbe_de_tarage!$A$4:$A$44,MATCH(K86+B86+B87,Courbe_de_tarage!$I$4:$I$44,1)),INDEX(Courbe_de_tarage!$A$4:$A$44,1))))</f>
        <v/>
      </c>
      <c r="G87" s="19">
        <f>IF(A87="","",35.36+F87)</f>
        <v/>
      </c>
      <c r="H87" s="19">
        <f>IF(A87="","",IFERROR(FORECAST(K86+B86+B87,INDEX(Courbe_de_tarage!$H$4:$H$44,MATCH(K86+B86+B87,Courbe_de_tarage!$I$4:$I$44,1)):INDEX(Courbe_de_tarage!$H$4:$H$44,MATCH(K86+B86+B87,Courbe_de_tarage!$I$4:$I$44,1)+1),INDEX(Courbe_de_tarage!$I$4:$I$44,MATCH(K86+B86+B87,Courbe_de_tarage!$I$4:$I$44,1)):INDEX(Courbe_de_tarage!$I$4:$I$44,MATCH(K86+B86+B87,Courbe_de_tarage!$I$4:$I$44,1)+1)),IFERROR(INDEX(Courbe_de_tarage!$H$4:$H$44,MATCH(K86+B86+B87,Courbe_de_tarage!$I$4:$I$44,1)),INDEX(Courbe_de_tarage!$H$4:$H$44,1))))</f>
        <v/>
      </c>
      <c r="I87" s="4">
        <f>IF(G87="","",IF(G87&gt;37.4,"OUI",""))</f>
        <v/>
      </c>
      <c r="J87" s="19">
        <f>IF(A87="","",K86+B86+B87)</f>
        <v/>
      </c>
      <c r="K87" s="19">
        <f>IF(A87="","",2*H87/(Hydrogramme_entree!$B$8*60)-E87)</f>
        <v/>
      </c>
    </row>
    <row r="88">
      <c r="A88" s="4">
        <f>Hydrogramme_entree!A94</f>
        <v/>
      </c>
      <c r="B88" s="19">
        <f>Hydrogramme_entree!B94</f>
        <v/>
      </c>
      <c r="C88" s="19">
        <f>IF(A88="","",IFERROR(FORECAST(K87+B87+B88,INDEX(Courbe_de_tarage!$C$4:$C$44,MATCH(K87+B87+B88,Courbe_de_tarage!$I$4:$I$44,1)):INDEX(Courbe_de_tarage!$C$4:$C$44,MATCH(K87+B87+B88,Courbe_de_tarage!$I$4:$I$44,1)+1),INDEX(Courbe_de_tarage!$I$4:$I$44,MATCH(K87+B87+B88,Courbe_de_tarage!$I$4:$I$44,1)):INDEX(Courbe_de_tarage!$I$4:$I$44,MATCH(K87+B87+B88,Courbe_de_tarage!$I$4:$I$44,1)+1)),IFERROR(INDEX(Courbe_de_tarage!$C$4:$C$44,MATCH(K87+B87+B88,Courbe_de_tarage!$I$4:$I$44,1)),INDEX(Courbe_de_tarage!$C$4:$C$44,1))))</f>
        <v/>
      </c>
      <c r="D88" s="19">
        <f>IF(A88="","",IFERROR(FORECAST(K87+B87+B88,INDEX(Courbe_de_tarage!$D$4:$D$44,MATCH(K87+B87+B88,Courbe_de_tarage!$I$4:$I$44,1)):INDEX(Courbe_de_tarage!$D$4:$D$44,MATCH(K87+B87+B88,Courbe_de_tarage!$I$4:$I$44,1)+1),INDEX(Courbe_de_tarage!$I$4:$I$44,MATCH(K87+B87+B88,Courbe_de_tarage!$I$4:$I$44,1)):INDEX(Courbe_de_tarage!$I$4:$I$44,MATCH(K87+B87+B88,Courbe_de_tarage!$I$4:$I$44,1)+1)),IFERROR(INDEX(Courbe_de_tarage!$D$4:$D$44,MATCH(K87+B87+B88,Courbe_de_tarage!$I$4:$I$44,1)),INDEX(Courbe_de_tarage!$D$4:$D$44,1))))</f>
        <v/>
      </c>
      <c r="E88" s="19">
        <f>IF(A88="","",IFERROR(FORECAST(K87+B87+B88,INDEX(Courbe_de_tarage!$E$4:$E$44,MATCH(K87+B87+B88,Courbe_de_tarage!$I$4:$I$44,1)):INDEX(Courbe_de_tarage!$E$4:$E$44,MATCH(K87+B87+B88,Courbe_de_tarage!$I$4:$I$44,1)+1),INDEX(Courbe_de_tarage!$I$4:$I$44,MATCH(K87+B87+B88,Courbe_de_tarage!$I$4:$I$44,1)):INDEX(Courbe_de_tarage!$I$4:$I$44,MATCH(K87+B87+B88,Courbe_de_tarage!$I$4:$I$44,1)+1)),IFERROR(INDEX(Courbe_de_tarage!$E$4:$E$44,MATCH(K87+B87+B88,Courbe_de_tarage!$I$4:$I$44,1)),INDEX(Courbe_de_tarage!$E$4:$E$44,1))))</f>
        <v/>
      </c>
      <c r="F88" s="19">
        <f>IF(A88="","",IFERROR(FORECAST(K87+B87+B88,INDEX(Courbe_de_tarage!$A$4:$A$44,MATCH(K87+B87+B88,Courbe_de_tarage!$I$4:$I$44,1)):INDEX(Courbe_de_tarage!$A$4:$A$44,MATCH(K87+B87+B88,Courbe_de_tarage!$I$4:$I$44,1)+1),INDEX(Courbe_de_tarage!$I$4:$I$44,MATCH(K87+B87+B88,Courbe_de_tarage!$I$4:$I$44,1)):INDEX(Courbe_de_tarage!$I$4:$I$44,MATCH(K87+B87+B88,Courbe_de_tarage!$I$4:$I$44,1)+1)),IFERROR(INDEX(Courbe_de_tarage!$A$4:$A$44,MATCH(K87+B87+B88,Courbe_de_tarage!$I$4:$I$44,1)),INDEX(Courbe_de_tarage!$A$4:$A$44,1))))</f>
        <v/>
      </c>
      <c r="G88" s="19">
        <f>IF(A88="","",35.36+F88)</f>
        <v/>
      </c>
      <c r="H88" s="19">
        <f>IF(A88="","",IFERROR(FORECAST(K87+B87+B88,INDEX(Courbe_de_tarage!$H$4:$H$44,MATCH(K87+B87+B88,Courbe_de_tarage!$I$4:$I$44,1)):INDEX(Courbe_de_tarage!$H$4:$H$44,MATCH(K87+B87+B88,Courbe_de_tarage!$I$4:$I$44,1)+1),INDEX(Courbe_de_tarage!$I$4:$I$44,MATCH(K87+B87+B88,Courbe_de_tarage!$I$4:$I$44,1)):INDEX(Courbe_de_tarage!$I$4:$I$44,MATCH(K87+B87+B88,Courbe_de_tarage!$I$4:$I$44,1)+1)),IFERROR(INDEX(Courbe_de_tarage!$H$4:$H$44,MATCH(K87+B87+B88,Courbe_de_tarage!$I$4:$I$44,1)),INDEX(Courbe_de_tarage!$H$4:$H$44,1))))</f>
        <v/>
      </c>
      <c r="I88" s="4">
        <f>IF(G88="","",IF(G88&gt;37.4,"OUI",""))</f>
        <v/>
      </c>
      <c r="J88" s="19">
        <f>IF(A88="","",K87+B87+B88)</f>
        <v/>
      </c>
      <c r="K88" s="19">
        <f>IF(A88="","",2*H88/(Hydrogramme_entree!$B$8*60)-E88)</f>
        <v/>
      </c>
    </row>
    <row r="89">
      <c r="A89" s="4">
        <f>Hydrogramme_entree!A95</f>
        <v/>
      </c>
      <c r="B89" s="19">
        <f>Hydrogramme_entree!B95</f>
        <v/>
      </c>
      <c r="C89" s="19">
        <f>IF(A89="","",IFERROR(FORECAST(K88+B88+B89,INDEX(Courbe_de_tarage!$C$4:$C$44,MATCH(K88+B88+B89,Courbe_de_tarage!$I$4:$I$44,1)):INDEX(Courbe_de_tarage!$C$4:$C$44,MATCH(K88+B88+B89,Courbe_de_tarage!$I$4:$I$44,1)+1),INDEX(Courbe_de_tarage!$I$4:$I$44,MATCH(K88+B88+B89,Courbe_de_tarage!$I$4:$I$44,1)):INDEX(Courbe_de_tarage!$I$4:$I$44,MATCH(K88+B88+B89,Courbe_de_tarage!$I$4:$I$44,1)+1)),IFERROR(INDEX(Courbe_de_tarage!$C$4:$C$44,MATCH(K88+B88+B89,Courbe_de_tarage!$I$4:$I$44,1)),INDEX(Courbe_de_tarage!$C$4:$C$44,1))))</f>
        <v/>
      </c>
      <c r="D89" s="19">
        <f>IF(A89="","",IFERROR(FORECAST(K88+B88+B89,INDEX(Courbe_de_tarage!$D$4:$D$44,MATCH(K88+B88+B89,Courbe_de_tarage!$I$4:$I$44,1)):INDEX(Courbe_de_tarage!$D$4:$D$44,MATCH(K88+B88+B89,Courbe_de_tarage!$I$4:$I$44,1)+1),INDEX(Courbe_de_tarage!$I$4:$I$44,MATCH(K88+B88+B89,Courbe_de_tarage!$I$4:$I$44,1)):INDEX(Courbe_de_tarage!$I$4:$I$44,MATCH(K88+B88+B89,Courbe_de_tarage!$I$4:$I$44,1)+1)),IFERROR(INDEX(Courbe_de_tarage!$D$4:$D$44,MATCH(K88+B88+B89,Courbe_de_tarage!$I$4:$I$44,1)),INDEX(Courbe_de_tarage!$D$4:$D$44,1))))</f>
        <v/>
      </c>
      <c r="E89" s="19">
        <f>IF(A89="","",IFERROR(FORECAST(K88+B88+B89,INDEX(Courbe_de_tarage!$E$4:$E$44,MATCH(K88+B88+B89,Courbe_de_tarage!$I$4:$I$44,1)):INDEX(Courbe_de_tarage!$E$4:$E$44,MATCH(K88+B88+B89,Courbe_de_tarage!$I$4:$I$44,1)+1),INDEX(Courbe_de_tarage!$I$4:$I$44,MATCH(K88+B88+B89,Courbe_de_tarage!$I$4:$I$44,1)):INDEX(Courbe_de_tarage!$I$4:$I$44,MATCH(K88+B88+B89,Courbe_de_tarage!$I$4:$I$44,1)+1)),IFERROR(INDEX(Courbe_de_tarage!$E$4:$E$44,MATCH(K88+B88+B89,Courbe_de_tarage!$I$4:$I$44,1)),INDEX(Courbe_de_tarage!$E$4:$E$44,1))))</f>
        <v/>
      </c>
      <c r="F89" s="19">
        <f>IF(A89="","",IFERROR(FORECAST(K88+B88+B89,INDEX(Courbe_de_tarage!$A$4:$A$44,MATCH(K88+B88+B89,Courbe_de_tarage!$I$4:$I$44,1)):INDEX(Courbe_de_tarage!$A$4:$A$44,MATCH(K88+B88+B89,Courbe_de_tarage!$I$4:$I$44,1)+1),INDEX(Courbe_de_tarage!$I$4:$I$44,MATCH(K88+B88+B89,Courbe_de_tarage!$I$4:$I$44,1)):INDEX(Courbe_de_tarage!$I$4:$I$44,MATCH(K88+B88+B89,Courbe_de_tarage!$I$4:$I$44,1)+1)),IFERROR(INDEX(Courbe_de_tarage!$A$4:$A$44,MATCH(K88+B88+B89,Courbe_de_tarage!$I$4:$I$44,1)),INDEX(Courbe_de_tarage!$A$4:$A$44,1))))</f>
        <v/>
      </c>
      <c r="G89" s="19">
        <f>IF(A89="","",35.36+F89)</f>
        <v/>
      </c>
      <c r="H89" s="19">
        <f>IF(A89="","",IFERROR(FORECAST(K88+B88+B89,INDEX(Courbe_de_tarage!$H$4:$H$44,MATCH(K88+B88+B89,Courbe_de_tarage!$I$4:$I$44,1)):INDEX(Courbe_de_tarage!$H$4:$H$44,MATCH(K88+B88+B89,Courbe_de_tarage!$I$4:$I$44,1)+1),INDEX(Courbe_de_tarage!$I$4:$I$44,MATCH(K88+B88+B89,Courbe_de_tarage!$I$4:$I$44,1)):INDEX(Courbe_de_tarage!$I$4:$I$44,MATCH(K88+B88+B89,Courbe_de_tarage!$I$4:$I$44,1)+1)),IFERROR(INDEX(Courbe_de_tarage!$H$4:$H$44,MATCH(K88+B88+B89,Courbe_de_tarage!$I$4:$I$44,1)),INDEX(Courbe_de_tarage!$H$4:$H$44,1))))</f>
        <v/>
      </c>
      <c r="I89" s="4">
        <f>IF(G89="","",IF(G89&gt;37.4,"OUI",""))</f>
        <v/>
      </c>
      <c r="J89" s="19">
        <f>IF(A89="","",K88+B88+B89)</f>
        <v/>
      </c>
      <c r="K89" s="19">
        <f>IF(A89="","",2*H89/(Hydrogramme_entree!$B$8*60)-E89)</f>
        <v/>
      </c>
    </row>
    <row r="90">
      <c r="A90" s="4">
        <f>Hydrogramme_entree!A96</f>
        <v/>
      </c>
      <c r="B90" s="19">
        <f>Hydrogramme_entree!B96</f>
        <v/>
      </c>
      <c r="C90" s="19">
        <f>IF(A90="","",IFERROR(FORECAST(K89+B89+B90,INDEX(Courbe_de_tarage!$C$4:$C$44,MATCH(K89+B89+B90,Courbe_de_tarage!$I$4:$I$44,1)):INDEX(Courbe_de_tarage!$C$4:$C$44,MATCH(K89+B89+B90,Courbe_de_tarage!$I$4:$I$44,1)+1),INDEX(Courbe_de_tarage!$I$4:$I$44,MATCH(K89+B89+B90,Courbe_de_tarage!$I$4:$I$44,1)):INDEX(Courbe_de_tarage!$I$4:$I$44,MATCH(K89+B89+B90,Courbe_de_tarage!$I$4:$I$44,1)+1)),IFERROR(INDEX(Courbe_de_tarage!$C$4:$C$44,MATCH(K89+B89+B90,Courbe_de_tarage!$I$4:$I$44,1)),INDEX(Courbe_de_tarage!$C$4:$C$44,1))))</f>
        <v/>
      </c>
      <c r="D90" s="19">
        <f>IF(A90="","",IFERROR(FORECAST(K89+B89+B90,INDEX(Courbe_de_tarage!$D$4:$D$44,MATCH(K89+B89+B90,Courbe_de_tarage!$I$4:$I$44,1)):INDEX(Courbe_de_tarage!$D$4:$D$44,MATCH(K89+B89+B90,Courbe_de_tarage!$I$4:$I$44,1)+1),INDEX(Courbe_de_tarage!$I$4:$I$44,MATCH(K89+B89+B90,Courbe_de_tarage!$I$4:$I$44,1)):INDEX(Courbe_de_tarage!$I$4:$I$44,MATCH(K89+B89+B90,Courbe_de_tarage!$I$4:$I$44,1)+1)),IFERROR(INDEX(Courbe_de_tarage!$D$4:$D$44,MATCH(K89+B89+B90,Courbe_de_tarage!$I$4:$I$44,1)),INDEX(Courbe_de_tarage!$D$4:$D$44,1))))</f>
        <v/>
      </c>
      <c r="E90" s="19">
        <f>IF(A90="","",IFERROR(FORECAST(K89+B89+B90,INDEX(Courbe_de_tarage!$E$4:$E$44,MATCH(K89+B89+B90,Courbe_de_tarage!$I$4:$I$44,1)):INDEX(Courbe_de_tarage!$E$4:$E$44,MATCH(K89+B89+B90,Courbe_de_tarage!$I$4:$I$44,1)+1),INDEX(Courbe_de_tarage!$I$4:$I$44,MATCH(K89+B89+B90,Courbe_de_tarage!$I$4:$I$44,1)):INDEX(Courbe_de_tarage!$I$4:$I$44,MATCH(K89+B89+B90,Courbe_de_tarage!$I$4:$I$44,1)+1)),IFERROR(INDEX(Courbe_de_tarage!$E$4:$E$44,MATCH(K89+B89+B90,Courbe_de_tarage!$I$4:$I$44,1)),INDEX(Courbe_de_tarage!$E$4:$E$44,1))))</f>
        <v/>
      </c>
      <c r="F90" s="19">
        <f>IF(A90="","",IFERROR(FORECAST(K89+B89+B90,INDEX(Courbe_de_tarage!$A$4:$A$44,MATCH(K89+B89+B90,Courbe_de_tarage!$I$4:$I$44,1)):INDEX(Courbe_de_tarage!$A$4:$A$44,MATCH(K89+B89+B90,Courbe_de_tarage!$I$4:$I$44,1)+1),INDEX(Courbe_de_tarage!$I$4:$I$44,MATCH(K89+B89+B90,Courbe_de_tarage!$I$4:$I$44,1)):INDEX(Courbe_de_tarage!$I$4:$I$44,MATCH(K89+B89+B90,Courbe_de_tarage!$I$4:$I$44,1)+1)),IFERROR(INDEX(Courbe_de_tarage!$A$4:$A$44,MATCH(K89+B89+B90,Courbe_de_tarage!$I$4:$I$44,1)),INDEX(Courbe_de_tarage!$A$4:$A$44,1))))</f>
        <v/>
      </c>
      <c r="G90" s="19">
        <f>IF(A90="","",35.36+F90)</f>
        <v/>
      </c>
      <c r="H90" s="19">
        <f>IF(A90="","",IFERROR(FORECAST(K89+B89+B90,INDEX(Courbe_de_tarage!$H$4:$H$44,MATCH(K89+B89+B90,Courbe_de_tarage!$I$4:$I$44,1)):INDEX(Courbe_de_tarage!$H$4:$H$44,MATCH(K89+B89+B90,Courbe_de_tarage!$I$4:$I$44,1)+1),INDEX(Courbe_de_tarage!$I$4:$I$44,MATCH(K89+B89+B90,Courbe_de_tarage!$I$4:$I$44,1)):INDEX(Courbe_de_tarage!$I$4:$I$44,MATCH(K89+B89+B90,Courbe_de_tarage!$I$4:$I$44,1)+1)),IFERROR(INDEX(Courbe_de_tarage!$H$4:$H$44,MATCH(K89+B89+B90,Courbe_de_tarage!$I$4:$I$44,1)),INDEX(Courbe_de_tarage!$H$4:$H$44,1))))</f>
        <v/>
      </c>
      <c r="I90" s="4">
        <f>IF(G90="","",IF(G90&gt;37.4,"OUI",""))</f>
        <v/>
      </c>
      <c r="J90" s="19">
        <f>IF(A90="","",K89+B89+B90)</f>
        <v/>
      </c>
      <c r="K90" s="19">
        <f>IF(A90="","",2*H90/(Hydrogramme_entree!$B$8*60)-E90)</f>
        <v/>
      </c>
    </row>
    <row r="91">
      <c r="A91" s="4">
        <f>Hydrogramme_entree!A97</f>
        <v/>
      </c>
      <c r="B91" s="19">
        <f>Hydrogramme_entree!B97</f>
        <v/>
      </c>
      <c r="C91" s="19">
        <f>IF(A91="","",IFERROR(FORECAST(K90+B90+B91,INDEX(Courbe_de_tarage!$C$4:$C$44,MATCH(K90+B90+B91,Courbe_de_tarage!$I$4:$I$44,1)):INDEX(Courbe_de_tarage!$C$4:$C$44,MATCH(K90+B90+B91,Courbe_de_tarage!$I$4:$I$44,1)+1),INDEX(Courbe_de_tarage!$I$4:$I$44,MATCH(K90+B90+B91,Courbe_de_tarage!$I$4:$I$44,1)):INDEX(Courbe_de_tarage!$I$4:$I$44,MATCH(K90+B90+B91,Courbe_de_tarage!$I$4:$I$44,1)+1)),IFERROR(INDEX(Courbe_de_tarage!$C$4:$C$44,MATCH(K90+B90+B91,Courbe_de_tarage!$I$4:$I$44,1)),INDEX(Courbe_de_tarage!$C$4:$C$44,1))))</f>
        <v/>
      </c>
      <c r="D91" s="19">
        <f>IF(A91="","",IFERROR(FORECAST(K90+B90+B91,INDEX(Courbe_de_tarage!$D$4:$D$44,MATCH(K90+B90+B91,Courbe_de_tarage!$I$4:$I$44,1)):INDEX(Courbe_de_tarage!$D$4:$D$44,MATCH(K90+B90+B91,Courbe_de_tarage!$I$4:$I$44,1)+1),INDEX(Courbe_de_tarage!$I$4:$I$44,MATCH(K90+B90+B91,Courbe_de_tarage!$I$4:$I$44,1)):INDEX(Courbe_de_tarage!$I$4:$I$44,MATCH(K90+B90+B91,Courbe_de_tarage!$I$4:$I$44,1)+1)),IFERROR(INDEX(Courbe_de_tarage!$D$4:$D$44,MATCH(K90+B90+B91,Courbe_de_tarage!$I$4:$I$44,1)),INDEX(Courbe_de_tarage!$D$4:$D$44,1))))</f>
        <v/>
      </c>
      <c r="E91" s="19">
        <f>IF(A91="","",IFERROR(FORECAST(K90+B90+B91,INDEX(Courbe_de_tarage!$E$4:$E$44,MATCH(K90+B90+B91,Courbe_de_tarage!$I$4:$I$44,1)):INDEX(Courbe_de_tarage!$E$4:$E$44,MATCH(K90+B90+B91,Courbe_de_tarage!$I$4:$I$44,1)+1),INDEX(Courbe_de_tarage!$I$4:$I$44,MATCH(K90+B90+B91,Courbe_de_tarage!$I$4:$I$44,1)):INDEX(Courbe_de_tarage!$I$4:$I$44,MATCH(K90+B90+B91,Courbe_de_tarage!$I$4:$I$44,1)+1)),IFERROR(INDEX(Courbe_de_tarage!$E$4:$E$44,MATCH(K90+B90+B91,Courbe_de_tarage!$I$4:$I$44,1)),INDEX(Courbe_de_tarage!$E$4:$E$44,1))))</f>
        <v/>
      </c>
      <c r="F91" s="19">
        <f>IF(A91="","",IFERROR(FORECAST(K90+B90+B91,INDEX(Courbe_de_tarage!$A$4:$A$44,MATCH(K90+B90+B91,Courbe_de_tarage!$I$4:$I$44,1)):INDEX(Courbe_de_tarage!$A$4:$A$44,MATCH(K90+B90+B91,Courbe_de_tarage!$I$4:$I$44,1)+1),INDEX(Courbe_de_tarage!$I$4:$I$44,MATCH(K90+B90+B91,Courbe_de_tarage!$I$4:$I$44,1)):INDEX(Courbe_de_tarage!$I$4:$I$44,MATCH(K90+B90+B91,Courbe_de_tarage!$I$4:$I$44,1)+1)),IFERROR(INDEX(Courbe_de_tarage!$A$4:$A$44,MATCH(K90+B90+B91,Courbe_de_tarage!$I$4:$I$44,1)),INDEX(Courbe_de_tarage!$A$4:$A$44,1))))</f>
        <v/>
      </c>
      <c r="G91" s="19">
        <f>IF(A91="","",35.36+F91)</f>
        <v/>
      </c>
      <c r="H91" s="19">
        <f>IF(A91="","",IFERROR(FORECAST(K90+B90+B91,INDEX(Courbe_de_tarage!$H$4:$H$44,MATCH(K90+B90+B91,Courbe_de_tarage!$I$4:$I$44,1)):INDEX(Courbe_de_tarage!$H$4:$H$44,MATCH(K90+B90+B91,Courbe_de_tarage!$I$4:$I$44,1)+1),INDEX(Courbe_de_tarage!$I$4:$I$44,MATCH(K90+B90+B91,Courbe_de_tarage!$I$4:$I$44,1)):INDEX(Courbe_de_tarage!$I$4:$I$44,MATCH(K90+B90+B91,Courbe_de_tarage!$I$4:$I$44,1)+1)),IFERROR(INDEX(Courbe_de_tarage!$H$4:$H$44,MATCH(K90+B90+B91,Courbe_de_tarage!$I$4:$I$44,1)),INDEX(Courbe_de_tarage!$H$4:$H$44,1))))</f>
        <v/>
      </c>
      <c r="I91" s="4">
        <f>IF(G91="","",IF(G91&gt;37.4,"OUI",""))</f>
        <v/>
      </c>
      <c r="J91" s="19">
        <f>IF(A91="","",K90+B90+B91)</f>
        <v/>
      </c>
      <c r="K91" s="19">
        <f>IF(A91="","",2*H91/(Hydrogramme_entree!$B$8*60)-E91)</f>
        <v/>
      </c>
    </row>
    <row r="92">
      <c r="A92" s="4">
        <f>Hydrogramme_entree!A98</f>
        <v/>
      </c>
      <c r="B92" s="19">
        <f>Hydrogramme_entree!B98</f>
        <v/>
      </c>
      <c r="C92" s="19">
        <f>IF(A92="","",IFERROR(FORECAST(K91+B91+B92,INDEX(Courbe_de_tarage!$C$4:$C$44,MATCH(K91+B91+B92,Courbe_de_tarage!$I$4:$I$44,1)):INDEX(Courbe_de_tarage!$C$4:$C$44,MATCH(K91+B91+B92,Courbe_de_tarage!$I$4:$I$44,1)+1),INDEX(Courbe_de_tarage!$I$4:$I$44,MATCH(K91+B91+B92,Courbe_de_tarage!$I$4:$I$44,1)):INDEX(Courbe_de_tarage!$I$4:$I$44,MATCH(K91+B91+B92,Courbe_de_tarage!$I$4:$I$44,1)+1)),IFERROR(INDEX(Courbe_de_tarage!$C$4:$C$44,MATCH(K91+B91+B92,Courbe_de_tarage!$I$4:$I$44,1)),INDEX(Courbe_de_tarage!$C$4:$C$44,1))))</f>
        <v/>
      </c>
      <c r="D92" s="19">
        <f>IF(A92="","",IFERROR(FORECAST(K91+B91+B92,INDEX(Courbe_de_tarage!$D$4:$D$44,MATCH(K91+B91+B92,Courbe_de_tarage!$I$4:$I$44,1)):INDEX(Courbe_de_tarage!$D$4:$D$44,MATCH(K91+B91+B92,Courbe_de_tarage!$I$4:$I$44,1)+1),INDEX(Courbe_de_tarage!$I$4:$I$44,MATCH(K91+B91+B92,Courbe_de_tarage!$I$4:$I$44,1)):INDEX(Courbe_de_tarage!$I$4:$I$44,MATCH(K91+B91+B92,Courbe_de_tarage!$I$4:$I$44,1)+1)),IFERROR(INDEX(Courbe_de_tarage!$D$4:$D$44,MATCH(K91+B91+B92,Courbe_de_tarage!$I$4:$I$44,1)),INDEX(Courbe_de_tarage!$D$4:$D$44,1))))</f>
        <v/>
      </c>
      <c r="E92" s="19">
        <f>IF(A92="","",IFERROR(FORECAST(K91+B91+B92,INDEX(Courbe_de_tarage!$E$4:$E$44,MATCH(K91+B91+B92,Courbe_de_tarage!$I$4:$I$44,1)):INDEX(Courbe_de_tarage!$E$4:$E$44,MATCH(K91+B91+B92,Courbe_de_tarage!$I$4:$I$44,1)+1),INDEX(Courbe_de_tarage!$I$4:$I$44,MATCH(K91+B91+B92,Courbe_de_tarage!$I$4:$I$44,1)):INDEX(Courbe_de_tarage!$I$4:$I$44,MATCH(K91+B91+B92,Courbe_de_tarage!$I$4:$I$44,1)+1)),IFERROR(INDEX(Courbe_de_tarage!$E$4:$E$44,MATCH(K91+B91+B92,Courbe_de_tarage!$I$4:$I$44,1)),INDEX(Courbe_de_tarage!$E$4:$E$44,1))))</f>
        <v/>
      </c>
      <c r="F92" s="19">
        <f>IF(A92="","",IFERROR(FORECAST(K91+B91+B92,INDEX(Courbe_de_tarage!$A$4:$A$44,MATCH(K91+B91+B92,Courbe_de_tarage!$I$4:$I$44,1)):INDEX(Courbe_de_tarage!$A$4:$A$44,MATCH(K91+B91+B92,Courbe_de_tarage!$I$4:$I$44,1)+1),INDEX(Courbe_de_tarage!$I$4:$I$44,MATCH(K91+B91+B92,Courbe_de_tarage!$I$4:$I$44,1)):INDEX(Courbe_de_tarage!$I$4:$I$44,MATCH(K91+B91+B92,Courbe_de_tarage!$I$4:$I$44,1)+1)),IFERROR(INDEX(Courbe_de_tarage!$A$4:$A$44,MATCH(K91+B91+B92,Courbe_de_tarage!$I$4:$I$44,1)),INDEX(Courbe_de_tarage!$A$4:$A$44,1))))</f>
        <v/>
      </c>
      <c r="G92" s="19">
        <f>IF(A92="","",35.36+F92)</f>
        <v/>
      </c>
      <c r="H92" s="19">
        <f>IF(A92="","",IFERROR(FORECAST(K91+B91+B92,INDEX(Courbe_de_tarage!$H$4:$H$44,MATCH(K91+B91+B92,Courbe_de_tarage!$I$4:$I$44,1)):INDEX(Courbe_de_tarage!$H$4:$H$44,MATCH(K91+B91+B92,Courbe_de_tarage!$I$4:$I$44,1)+1),INDEX(Courbe_de_tarage!$I$4:$I$44,MATCH(K91+B91+B92,Courbe_de_tarage!$I$4:$I$44,1)):INDEX(Courbe_de_tarage!$I$4:$I$44,MATCH(K91+B91+B92,Courbe_de_tarage!$I$4:$I$44,1)+1)),IFERROR(INDEX(Courbe_de_tarage!$H$4:$H$44,MATCH(K91+B91+B92,Courbe_de_tarage!$I$4:$I$44,1)),INDEX(Courbe_de_tarage!$H$4:$H$44,1))))</f>
        <v/>
      </c>
      <c r="I92" s="4">
        <f>IF(G92="","",IF(G92&gt;37.4,"OUI",""))</f>
        <v/>
      </c>
      <c r="J92" s="19">
        <f>IF(A92="","",K91+B91+B92)</f>
        <v/>
      </c>
      <c r="K92" s="19">
        <f>IF(A92="","",2*H92/(Hydrogramme_entree!$B$8*60)-E92)</f>
        <v/>
      </c>
    </row>
    <row r="93">
      <c r="A93" s="4">
        <f>Hydrogramme_entree!A99</f>
        <v/>
      </c>
      <c r="B93" s="19">
        <f>Hydrogramme_entree!B99</f>
        <v/>
      </c>
      <c r="C93" s="19">
        <f>IF(A93="","",IFERROR(FORECAST(K92+B92+B93,INDEX(Courbe_de_tarage!$C$4:$C$44,MATCH(K92+B92+B93,Courbe_de_tarage!$I$4:$I$44,1)):INDEX(Courbe_de_tarage!$C$4:$C$44,MATCH(K92+B92+B93,Courbe_de_tarage!$I$4:$I$44,1)+1),INDEX(Courbe_de_tarage!$I$4:$I$44,MATCH(K92+B92+B93,Courbe_de_tarage!$I$4:$I$44,1)):INDEX(Courbe_de_tarage!$I$4:$I$44,MATCH(K92+B92+B93,Courbe_de_tarage!$I$4:$I$44,1)+1)),IFERROR(INDEX(Courbe_de_tarage!$C$4:$C$44,MATCH(K92+B92+B93,Courbe_de_tarage!$I$4:$I$44,1)),INDEX(Courbe_de_tarage!$C$4:$C$44,1))))</f>
        <v/>
      </c>
      <c r="D93" s="19">
        <f>IF(A93="","",IFERROR(FORECAST(K92+B92+B93,INDEX(Courbe_de_tarage!$D$4:$D$44,MATCH(K92+B92+B93,Courbe_de_tarage!$I$4:$I$44,1)):INDEX(Courbe_de_tarage!$D$4:$D$44,MATCH(K92+B92+B93,Courbe_de_tarage!$I$4:$I$44,1)+1),INDEX(Courbe_de_tarage!$I$4:$I$44,MATCH(K92+B92+B93,Courbe_de_tarage!$I$4:$I$44,1)):INDEX(Courbe_de_tarage!$I$4:$I$44,MATCH(K92+B92+B93,Courbe_de_tarage!$I$4:$I$44,1)+1)),IFERROR(INDEX(Courbe_de_tarage!$D$4:$D$44,MATCH(K92+B92+B93,Courbe_de_tarage!$I$4:$I$44,1)),INDEX(Courbe_de_tarage!$D$4:$D$44,1))))</f>
        <v/>
      </c>
      <c r="E93" s="19">
        <f>IF(A93="","",IFERROR(FORECAST(K92+B92+B93,INDEX(Courbe_de_tarage!$E$4:$E$44,MATCH(K92+B92+B93,Courbe_de_tarage!$I$4:$I$44,1)):INDEX(Courbe_de_tarage!$E$4:$E$44,MATCH(K92+B92+B93,Courbe_de_tarage!$I$4:$I$44,1)+1),INDEX(Courbe_de_tarage!$I$4:$I$44,MATCH(K92+B92+B93,Courbe_de_tarage!$I$4:$I$44,1)):INDEX(Courbe_de_tarage!$I$4:$I$44,MATCH(K92+B92+B93,Courbe_de_tarage!$I$4:$I$44,1)+1)),IFERROR(INDEX(Courbe_de_tarage!$E$4:$E$44,MATCH(K92+B92+B93,Courbe_de_tarage!$I$4:$I$44,1)),INDEX(Courbe_de_tarage!$E$4:$E$44,1))))</f>
        <v/>
      </c>
      <c r="F93" s="19">
        <f>IF(A93="","",IFERROR(FORECAST(K92+B92+B93,INDEX(Courbe_de_tarage!$A$4:$A$44,MATCH(K92+B92+B93,Courbe_de_tarage!$I$4:$I$44,1)):INDEX(Courbe_de_tarage!$A$4:$A$44,MATCH(K92+B92+B93,Courbe_de_tarage!$I$4:$I$44,1)+1),INDEX(Courbe_de_tarage!$I$4:$I$44,MATCH(K92+B92+B93,Courbe_de_tarage!$I$4:$I$44,1)):INDEX(Courbe_de_tarage!$I$4:$I$44,MATCH(K92+B92+B93,Courbe_de_tarage!$I$4:$I$44,1)+1)),IFERROR(INDEX(Courbe_de_tarage!$A$4:$A$44,MATCH(K92+B92+B93,Courbe_de_tarage!$I$4:$I$44,1)),INDEX(Courbe_de_tarage!$A$4:$A$44,1))))</f>
        <v/>
      </c>
      <c r="G93" s="19">
        <f>IF(A93="","",35.36+F93)</f>
        <v/>
      </c>
      <c r="H93" s="19">
        <f>IF(A93="","",IFERROR(FORECAST(K92+B92+B93,INDEX(Courbe_de_tarage!$H$4:$H$44,MATCH(K92+B92+B93,Courbe_de_tarage!$I$4:$I$44,1)):INDEX(Courbe_de_tarage!$H$4:$H$44,MATCH(K92+B92+B93,Courbe_de_tarage!$I$4:$I$44,1)+1),INDEX(Courbe_de_tarage!$I$4:$I$44,MATCH(K92+B92+B93,Courbe_de_tarage!$I$4:$I$44,1)):INDEX(Courbe_de_tarage!$I$4:$I$44,MATCH(K92+B92+B93,Courbe_de_tarage!$I$4:$I$44,1)+1)),IFERROR(INDEX(Courbe_de_tarage!$H$4:$H$44,MATCH(K92+B92+B93,Courbe_de_tarage!$I$4:$I$44,1)),INDEX(Courbe_de_tarage!$H$4:$H$44,1))))</f>
        <v/>
      </c>
      <c r="I93" s="4">
        <f>IF(G93="","",IF(G93&gt;37.4,"OUI",""))</f>
        <v/>
      </c>
      <c r="J93" s="19">
        <f>IF(A93="","",K92+B92+B93)</f>
        <v/>
      </c>
      <c r="K93" s="19">
        <f>IF(A93="","",2*H93/(Hydrogramme_entree!$B$8*60)-E93)</f>
        <v/>
      </c>
    </row>
    <row r="94">
      <c r="A94" s="4">
        <f>Hydrogramme_entree!A100</f>
        <v/>
      </c>
      <c r="B94" s="19">
        <f>Hydrogramme_entree!B100</f>
        <v/>
      </c>
      <c r="C94" s="19">
        <f>IF(A94="","",IFERROR(FORECAST(K93+B93+B94,INDEX(Courbe_de_tarage!$C$4:$C$44,MATCH(K93+B93+B94,Courbe_de_tarage!$I$4:$I$44,1)):INDEX(Courbe_de_tarage!$C$4:$C$44,MATCH(K93+B93+B94,Courbe_de_tarage!$I$4:$I$44,1)+1),INDEX(Courbe_de_tarage!$I$4:$I$44,MATCH(K93+B93+B94,Courbe_de_tarage!$I$4:$I$44,1)):INDEX(Courbe_de_tarage!$I$4:$I$44,MATCH(K93+B93+B94,Courbe_de_tarage!$I$4:$I$44,1)+1)),IFERROR(INDEX(Courbe_de_tarage!$C$4:$C$44,MATCH(K93+B93+B94,Courbe_de_tarage!$I$4:$I$44,1)),INDEX(Courbe_de_tarage!$C$4:$C$44,1))))</f>
        <v/>
      </c>
      <c r="D94" s="19">
        <f>IF(A94="","",IFERROR(FORECAST(K93+B93+B94,INDEX(Courbe_de_tarage!$D$4:$D$44,MATCH(K93+B93+B94,Courbe_de_tarage!$I$4:$I$44,1)):INDEX(Courbe_de_tarage!$D$4:$D$44,MATCH(K93+B93+B94,Courbe_de_tarage!$I$4:$I$44,1)+1),INDEX(Courbe_de_tarage!$I$4:$I$44,MATCH(K93+B93+B94,Courbe_de_tarage!$I$4:$I$44,1)):INDEX(Courbe_de_tarage!$I$4:$I$44,MATCH(K93+B93+B94,Courbe_de_tarage!$I$4:$I$44,1)+1)),IFERROR(INDEX(Courbe_de_tarage!$D$4:$D$44,MATCH(K93+B93+B94,Courbe_de_tarage!$I$4:$I$44,1)),INDEX(Courbe_de_tarage!$D$4:$D$44,1))))</f>
        <v/>
      </c>
      <c r="E94" s="19">
        <f>IF(A94="","",IFERROR(FORECAST(K93+B93+B94,INDEX(Courbe_de_tarage!$E$4:$E$44,MATCH(K93+B93+B94,Courbe_de_tarage!$I$4:$I$44,1)):INDEX(Courbe_de_tarage!$E$4:$E$44,MATCH(K93+B93+B94,Courbe_de_tarage!$I$4:$I$44,1)+1),INDEX(Courbe_de_tarage!$I$4:$I$44,MATCH(K93+B93+B94,Courbe_de_tarage!$I$4:$I$44,1)):INDEX(Courbe_de_tarage!$I$4:$I$44,MATCH(K93+B93+B94,Courbe_de_tarage!$I$4:$I$44,1)+1)),IFERROR(INDEX(Courbe_de_tarage!$E$4:$E$44,MATCH(K93+B93+B94,Courbe_de_tarage!$I$4:$I$44,1)),INDEX(Courbe_de_tarage!$E$4:$E$44,1))))</f>
        <v/>
      </c>
      <c r="F94" s="19">
        <f>IF(A94="","",IFERROR(FORECAST(K93+B93+B94,INDEX(Courbe_de_tarage!$A$4:$A$44,MATCH(K93+B93+B94,Courbe_de_tarage!$I$4:$I$44,1)):INDEX(Courbe_de_tarage!$A$4:$A$44,MATCH(K93+B93+B94,Courbe_de_tarage!$I$4:$I$44,1)+1),INDEX(Courbe_de_tarage!$I$4:$I$44,MATCH(K93+B93+B94,Courbe_de_tarage!$I$4:$I$44,1)):INDEX(Courbe_de_tarage!$I$4:$I$44,MATCH(K93+B93+B94,Courbe_de_tarage!$I$4:$I$44,1)+1)),IFERROR(INDEX(Courbe_de_tarage!$A$4:$A$44,MATCH(K93+B93+B94,Courbe_de_tarage!$I$4:$I$44,1)),INDEX(Courbe_de_tarage!$A$4:$A$44,1))))</f>
        <v/>
      </c>
      <c r="G94" s="19">
        <f>IF(A94="","",35.36+F94)</f>
        <v/>
      </c>
      <c r="H94" s="19">
        <f>IF(A94="","",IFERROR(FORECAST(K93+B93+B94,INDEX(Courbe_de_tarage!$H$4:$H$44,MATCH(K93+B93+B94,Courbe_de_tarage!$I$4:$I$44,1)):INDEX(Courbe_de_tarage!$H$4:$H$44,MATCH(K93+B93+B94,Courbe_de_tarage!$I$4:$I$44,1)+1),INDEX(Courbe_de_tarage!$I$4:$I$44,MATCH(K93+B93+B94,Courbe_de_tarage!$I$4:$I$44,1)):INDEX(Courbe_de_tarage!$I$4:$I$44,MATCH(K93+B93+B94,Courbe_de_tarage!$I$4:$I$44,1)+1)),IFERROR(INDEX(Courbe_de_tarage!$H$4:$H$44,MATCH(K93+B93+B94,Courbe_de_tarage!$I$4:$I$44,1)),INDEX(Courbe_de_tarage!$H$4:$H$44,1))))</f>
        <v/>
      </c>
      <c r="I94" s="4">
        <f>IF(G94="","",IF(G94&gt;37.4,"OUI",""))</f>
        <v/>
      </c>
      <c r="J94" s="19">
        <f>IF(A94="","",K93+B93+B94)</f>
        <v/>
      </c>
      <c r="K94" s="19">
        <f>IF(A94="","",2*H94/(Hydrogramme_entree!$B$8*60)-E94)</f>
        <v/>
      </c>
    </row>
    <row r="95">
      <c r="A95" s="4">
        <f>Hydrogramme_entree!A101</f>
        <v/>
      </c>
      <c r="B95" s="19">
        <f>Hydrogramme_entree!B101</f>
        <v/>
      </c>
      <c r="C95" s="19">
        <f>IF(A95="","",IFERROR(FORECAST(K94+B94+B95,INDEX(Courbe_de_tarage!$C$4:$C$44,MATCH(K94+B94+B95,Courbe_de_tarage!$I$4:$I$44,1)):INDEX(Courbe_de_tarage!$C$4:$C$44,MATCH(K94+B94+B95,Courbe_de_tarage!$I$4:$I$44,1)+1),INDEX(Courbe_de_tarage!$I$4:$I$44,MATCH(K94+B94+B95,Courbe_de_tarage!$I$4:$I$44,1)):INDEX(Courbe_de_tarage!$I$4:$I$44,MATCH(K94+B94+B95,Courbe_de_tarage!$I$4:$I$44,1)+1)),IFERROR(INDEX(Courbe_de_tarage!$C$4:$C$44,MATCH(K94+B94+B95,Courbe_de_tarage!$I$4:$I$44,1)),INDEX(Courbe_de_tarage!$C$4:$C$44,1))))</f>
        <v/>
      </c>
      <c r="D95" s="19">
        <f>IF(A95="","",IFERROR(FORECAST(K94+B94+B95,INDEX(Courbe_de_tarage!$D$4:$D$44,MATCH(K94+B94+B95,Courbe_de_tarage!$I$4:$I$44,1)):INDEX(Courbe_de_tarage!$D$4:$D$44,MATCH(K94+B94+B95,Courbe_de_tarage!$I$4:$I$44,1)+1),INDEX(Courbe_de_tarage!$I$4:$I$44,MATCH(K94+B94+B95,Courbe_de_tarage!$I$4:$I$44,1)):INDEX(Courbe_de_tarage!$I$4:$I$44,MATCH(K94+B94+B95,Courbe_de_tarage!$I$4:$I$44,1)+1)),IFERROR(INDEX(Courbe_de_tarage!$D$4:$D$44,MATCH(K94+B94+B95,Courbe_de_tarage!$I$4:$I$44,1)),INDEX(Courbe_de_tarage!$D$4:$D$44,1))))</f>
        <v/>
      </c>
      <c r="E95" s="19">
        <f>IF(A95="","",IFERROR(FORECAST(K94+B94+B95,INDEX(Courbe_de_tarage!$E$4:$E$44,MATCH(K94+B94+B95,Courbe_de_tarage!$I$4:$I$44,1)):INDEX(Courbe_de_tarage!$E$4:$E$44,MATCH(K94+B94+B95,Courbe_de_tarage!$I$4:$I$44,1)+1),INDEX(Courbe_de_tarage!$I$4:$I$44,MATCH(K94+B94+B95,Courbe_de_tarage!$I$4:$I$44,1)):INDEX(Courbe_de_tarage!$I$4:$I$44,MATCH(K94+B94+B95,Courbe_de_tarage!$I$4:$I$44,1)+1)),IFERROR(INDEX(Courbe_de_tarage!$E$4:$E$44,MATCH(K94+B94+B95,Courbe_de_tarage!$I$4:$I$44,1)),INDEX(Courbe_de_tarage!$E$4:$E$44,1))))</f>
        <v/>
      </c>
      <c r="F95" s="19">
        <f>IF(A95="","",IFERROR(FORECAST(K94+B94+B95,INDEX(Courbe_de_tarage!$A$4:$A$44,MATCH(K94+B94+B95,Courbe_de_tarage!$I$4:$I$44,1)):INDEX(Courbe_de_tarage!$A$4:$A$44,MATCH(K94+B94+B95,Courbe_de_tarage!$I$4:$I$44,1)+1),INDEX(Courbe_de_tarage!$I$4:$I$44,MATCH(K94+B94+B95,Courbe_de_tarage!$I$4:$I$44,1)):INDEX(Courbe_de_tarage!$I$4:$I$44,MATCH(K94+B94+B95,Courbe_de_tarage!$I$4:$I$44,1)+1)),IFERROR(INDEX(Courbe_de_tarage!$A$4:$A$44,MATCH(K94+B94+B95,Courbe_de_tarage!$I$4:$I$44,1)),INDEX(Courbe_de_tarage!$A$4:$A$44,1))))</f>
        <v/>
      </c>
      <c r="G95" s="19">
        <f>IF(A95="","",35.36+F95)</f>
        <v/>
      </c>
      <c r="H95" s="19">
        <f>IF(A95="","",IFERROR(FORECAST(K94+B94+B95,INDEX(Courbe_de_tarage!$H$4:$H$44,MATCH(K94+B94+B95,Courbe_de_tarage!$I$4:$I$44,1)):INDEX(Courbe_de_tarage!$H$4:$H$44,MATCH(K94+B94+B95,Courbe_de_tarage!$I$4:$I$44,1)+1),INDEX(Courbe_de_tarage!$I$4:$I$44,MATCH(K94+B94+B95,Courbe_de_tarage!$I$4:$I$44,1)):INDEX(Courbe_de_tarage!$I$4:$I$44,MATCH(K94+B94+B95,Courbe_de_tarage!$I$4:$I$44,1)+1)),IFERROR(INDEX(Courbe_de_tarage!$H$4:$H$44,MATCH(K94+B94+B95,Courbe_de_tarage!$I$4:$I$44,1)),INDEX(Courbe_de_tarage!$H$4:$H$44,1))))</f>
        <v/>
      </c>
      <c r="I95" s="4">
        <f>IF(G95="","",IF(G95&gt;37.4,"OUI",""))</f>
        <v/>
      </c>
      <c r="J95" s="19">
        <f>IF(A95="","",K94+B94+B95)</f>
        <v/>
      </c>
      <c r="K95" s="19">
        <f>IF(A95="","",2*H95/(Hydrogramme_entree!$B$8*60)-E95)</f>
        <v/>
      </c>
    </row>
    <row r="96">
      <c r="A96" s="4">
        <f>Hydrogramme_entree!A102</f>
        <v/>
      </c>
      <c r="B96" s="19">
        <f>Hydrogramme_entree!B102</f>
        <v/>
      </c>
      <c r="C96" s="19">
        <f>IF(A96="","",IFERROR(FORECAST(K95+B95+B96,INDEX(Courbe_de_tarage!$C$4:$C$44,MATCH(K95+B95+B96,Courbe_de_tarage!$I$4:$I$44,1)):INDEX(Courbe_de_tarage!$C$4:$C$44,MATCH(K95+B95+B96,Courbe_de_tarage!$I$4:$I$44,1)+1),INDEX(Courbe_de_tarage!$I$4:$I$44,MATCH(K95+B95+B96,Courbe_de_tarage!$I$4:$I$44,1)):INDEX(Courbe_de_tarage!$I$4:$I$44,MATCH(K95+B95+B96,Courbe_de_tarage!$I$4:$I$44,1)+1)),IFERROR(INDEX(Courbe_de_tarage!$C$4:$C$44,MATCH(K95+B95+B96,Courbe_de_tarage!$I$4:$I$44,1)),INDEX(Courbe_de_tarage!$C$4:$C$44,1))))</f>
        <v/>
      </c>
      <c r="D96" s="19">
        <f>IF(A96="","",IFERROR(FORECAST(K95+B95+B96,INDEX(Courbe_de_tarage!$D$4:$D$44,MATCH(K95+B95+B96,Courbe_de_tarage!$I$4:$I$44,1)):INDEX(Courbe_de_tarage!$D$4:$D$44,MATCH(K95+B95+B96,Courbe_de_tarage!$I$4:$I$44,1)+1),INDEX(Courbe_de_tarage!$I$4:$I$44,MATCH(K95+B95+B96,Courbe_de_tarage!$I$4:$I$44,1)):INDEX(Courbe_de_tarage!$I$4:$I$44,MATCH(K95+B95+B96,Courbe_de_tarage!$I$4:$I$44,1)+1)),IFERROR(INDEX(Courbe_de_tarage!$D$4:$D$44,MATCH(K95+B95+B96,Courbe_de_tarage!$I$4:$I$44,1)),INDEX(Courbe_de_tarage!$D$4:$D$44,1))))</f>
        <v/>
      </c>
      <c r="E96" s="19">
        <f>IF(A96="","",IFERROR(FORECAST(K95+B95+B96,INDEX(Courbe_de_tarage!$E$4:$E$44,MATCH(K95+B95+B96,Courbe_de_tarage!$I$4:$I$44,1)):INDEX(Courbe_de_tarage!$E$4:$E$44,MATCH(K95+B95+B96,Courbe_de_tarage!$I$4:$I$44,1)+1),INDEX(Courbe_de_tarage!$I$4:$I$44,MATCH(K95+B95+B96,Courbe_de_tarage!$I$4:$I$44,1)):INDEX(Courbe_de_tarage!$I$4:$I$44,MATCH(K95+B95+B96,Courbe_de_tarage!$I$4:$I$44,1)+1)),IFERROR(INDEX(Courbe_de_tarage!$E$4:$E$44,MATCH(K95+B95+B96,Courbe_de_tarage!$I$4:$I$44,1)),INDEX(Courbe_de_tarage!$E$4:$E$44,1))))</f>
        <v/>
      </c>
      <c r="F96" s="19">
        <f>IF(A96="","",IFERROR(FORECAST(K95+B95+B96,INDEX(Courbe_de_tarage!$A$4:$A$44,MATCH(K95+B95+B96,Courbe_de_tarage!$I$4:$I$44,1)):INDEX(Courbe_de_tarage!$A$4:$A$44,MATCH(K95+B95+B96,Courbe_de_tarage!$I$4:$I$44,1)+1),INDEX(Courbe_de_tarage!$I$4:$I$44,MATCH(K95+B95+B96,Courbe_de_tarage!$I$4:$I$44,1)):INDEX(Courbe_de_tarage!$I$4:$I$44,MATCH(K95+B95+B96,Courbe_de_tarage!$I$4:$I$44,1)+1)),IFERROR(INDEX(Courbe_de_tarage!$A$4:$A$44,MATCH(K95+B95+B96,Courbe_de_tarage!$I$4:$I$44,1)),INDEX(Courbe_de_tarage!$A$4:$A$44,1))))</f>
        <v/>
      </c>
      <c r="G96" s="19">
        <f>IF(A96="","",35.36+F96)</f>
        <v/>
      </c>
      <c r="H96" s="19">
        <f>IF(A96="","",IFERROR(FORECAST(K95+B95+B96,INDEX(Courbe_de_tarage!$H$4:$H$44,MATCH(K95+B95+B96,Courbe_de_tarage!$I$4:$I$44,1)):INDEX(Courbe_de_tarage!$H$4:$H$44,MATCH(K95+B95+B96,Courbe_de_tarage!$I$4:$I$44,1)+1),INDEX(Courbe_de_tarage!$I$4:$I$44,MATCH(K95+B95+B96,Courbe_de_tarage!$I$4:$I$44,1)):INDEX(Courbe_de_tarage!$I$4:$I$44,MATCH(K95+B95+B96,Courbe_de_tarage!$I$4:$I$44,1)+1)),IFERROR(INDEX(Courbe_de_tarage!$H$4:$H$44,MATCH(K95+B95+B96,Courbe_de_tarage!$I$4:$I$44,1)),INDEX(Courbe_de_tarage!$H$4:$H$44,1))))</f>
        <v/>
      </c>
      <c r="I96" s="4">
        <f>IF(G96="","",IF(G96&gt;37.4,"OUI",""))</f>
        <v/>
      </c>
      <c r="J96" s="19">
        <f>IF(A96="","",K95+B95+B96)</f>
        <v/>
      </c>
      <c r="K96" s="19">
        <f>IF(A96="","",2*H96/(Hydrogramme_entree!$B$8*60)-E96)</f>
        <v/>
      </c>
    </row>
    <row r="97">
      <c r="A97" s="4">
        <f>Hydrogramme_entree!A103</f>
        <v/>
      </c>
      <c r="B97" s="19">
        <f>Hydrogramme_entree!B103</f>
        <v/>
      </c>
      <c r="C97" s="19">
        <f>IF(A97="","",IFERROR(FORECAST(K96+B96+B97,INDEX(Courbe_de_tarage!$C$4:$C$44,MATCH(K96+B96+B97,Courbe_de_tarage!$I$4:$I$44,1)):INDEX(Courbe_de_tarage!$C$4:$C$44,MATCH(K96+B96+B97,Courbe_de_tarage!$I$4:$I$44,1)+1),INDEX(Courbe_de_tarage!$I$4:$I$44,MATCH(K96+B96+B97,Courbe_de_tarage!$I$4:$I$44,1)):INDEX(Courbe_de_tarage!$I$4:$I$44,MATCH(K96+B96+B97,Courbe_de_tarage!$I$4:$I$44,1)+1)),IFERROR(INDEX(Courbe_de_tarage!$C$4:$C$44,MATCH(K96+B96+B97,Courbe_de_tarage!$I$4:$I$44,1)),INDEX(Courbe_de_tarage!$C$4:$C$44,1))))</f>
        <v/>
      </c>
      <c r="D97" s="19">
        <f>IF(A97="","",IFERROR(FORECAST(K96+B96+B97,INDEX(Courbe_de_tarage!$D$4:$D$44,MATCH(K96+B96+B97,Courbe_de_tarage!$I$4:$I$44,1)):INDEX(Courbe_de_tarage!$D$4:$D$44,MATCH(K96+B96+B97,Courbe_de_tarage!$I$4:$I$44,1)+1),INDEX(Courbe_de_tarage!$I$4:$I$44,MATCH(K96+B96+B97,Courbe_de_tarage!$I$4:$I$44,1)):INDEX(Courbe_de_tarage!$I$4:$I$44,MATCH(K96+B96+B97,Courbe_de_tarage!$I$4:$I$44,1)+1)),IFERROR(INDEX(Courbe_de_tarage!$D$4:$D$44,MATCH(K96+B96+B97,Courbe_de_tarage!$I$4:$I$44,1)),INDEX(Courbe_de_tarage!$D$4:$D$44,1))))</f>
        <v/>
      </c>
      <c r="E97" s="19">
        <f>IF(A97="","",IFERROR(FORECAST(K96+B96+B97,INDEX(Courbe_de_tarage!$E$4:$E$44,MATCH(K96+B96+B97,Courbe_de_tarage!$I$4:$I$44,1)):INDEX(Courbe_de_tarage!$E$4:$E$44,MATCH(K96+B96+B97,Courbe_de_tarage!$I$4:$I$44,1)+1),INDEX(Courbe_de_tarage!$I$4:$I$44,MATCH(K96+B96+B97,Courbe_de_tarage!$I$4:$I$44,1)):INDEX(Courbe_de_tarage!$I$4:$I$44,MATCH(K96+B96+B97,Courbe_de_tarage!$I$4:$I$44,1)+1)),IFERROR(INDEX(Courbe_de_tarage!$E$4:$E$44,MATCH(K96+B96+B97,Courbe_de_tarage!$I$4:$I$44,1)),INDEX(Courbe_de_tarage!$E$4:$E$44,1))))</f>
        <v/>
      </c>
      <c r="F97" s="19">
        <f>IF(A97="","",IFERROR(FORECAST(K96+B96+B97,INDEX(Courbe_de_tarage!$A$4:$A$44,MATCH(K96+B96+B97,Courbe_de_tarage!$I$4:$I$44,1)):INDEX(Courbe_de_tarage!$A$4:$A$44,MATCH(K96+B96+B97,Courbe_de_tarage!$I$4:$I$44,1)+1),INDEX(Courbe_de_tarage!$I$4:$I$44,MATCH(K96+B96+B97,Courbe_de_tarage!$I$4:$I$44,1)):INDEX(Courbe_de_tarage!$I$4:$I$44,MATCH(K96+B96+B97,Courbe_de_tarage!$I$4:$I$44,1)+1)),IFERROR(INDEX(Courbe_de_tarage!$A$4:$A$44,MATCH(K96+B96+B97,Courbe_de_tarage!$I$4:$I$44,1)),INDEX(Courbe_de_tarage!$A$4:$A$44,1))))</f>
        <v/>
      </c>
      <c r="G97" s="19">
        <f>IF(A97="","",35.36+F97)</f>
        <v/>
      </c>
      <c r="H97" s="19">
        <f>IF(A97="","",IFERROR(FORECAST(K96+B96+B97,INDEX(Courbe_de_tarage!$H$4:$H$44,MATCH(K96+B96+B97,Courbe_de_tarage!$I$4:$I$44,1)):INDEX(Courbe_de_tarage!$H$4:$H$44,MATCH(K96+B96+B97,Courbe_de_tarage!$I$4:$I$44,1)+1),INDEX(Courbe_de_tarage!$I$4:$I$44,MATCH(K96+B96+B97,Courbe_de_tarage!$I$4:$I$44,1)):INDEX(Courbe_de_tarage!$I$4:$I$44,MATCH(K96+B96+B97,Courbe_de_tarage!$I$4:$I$44,1)+1)),IFERROR(INDEX(Courbe_de_tarage!$H$4:$H$44,MATCH(K96+B96+B97,Courbe_de_tarage!$I$4:$I$44,1)),INDEX(Courbe_de_tarage!$H$4:$H$44,1))))</f>
        <v/>
      </c>
      <c r="I97" s="4">
        <f>IF(G97="","",IF(G97&gt;37.4,"OUI",""))</f>
        <v/>
      </c>
      <c r="J97" s="19">
        <f>IF(A97="","",K96+B96+B97)</f>
        <v/>
      </c>
      <c r="K97" s="19">
        <f>IF(A97="","",2*H97/(Hydrogramme_entree!$B$8*60)-E97)</f>
        <v/>
      </c>
    </row>
    <row r="98">
      <c r="A98" s="4">
        <f>Hydrogramme_entree!A104</f>
        <v/>
      </c>
      <c r="B98" s="19">
        <f>Hydrogramme_entree!B104</f>
        <v/>
      </c>
      <c r="C98" s="19">
        <f>IF(A98="","",IFERROR(FORECAST(K97+B97+B98,INDEX(Courbe_de_tarage!$C$4:$C$44,MATCH(K97+B97+B98,Courbe_de_tarage!$I$4:$I$44,1)):INDEX(Courbe_de_tarage!$C$4:$C$44,MATCH(K97+B97+B98,Courbe_de_tarage!$I$4:$I$44,1)+1),INDEX(Courbe_de_tarage!$I$4:$I$44,MATCH(K97+B97+B98,Courbe_de_tarage!$I$4:$I$44,1)):INDEX(Courbe_de_tarage!$I$4:$I$44,MATCH(K97+B97+B98,Courbe_de_tarage!$I$4:$I$44,1)+1)),IFERROR(INDEX(Courbe_de_tarage!$C$4:$C$44,MATCH(K97+B97+B98,Courbe_de_tarage!$I$4:$I$44,1)),INDEX(Courbe_de_tarage!$C$4:$C$44,1))))</f>
        <v/>
      </c>
      <c r="D98" s="19">
        <f>IF(A98="","",IFERROR(FORECAST(K97+B97+B98,INDEX(Courbe_de_tarage!$D$4:$D$44,MATCH(K97+B97+B98,Courbe_de_tarage!$I$4:$I$44,1)):INDEX(Courbe_de_tarage!$D$4:$D$44,MATCH(K97+B97+B98,Courbe_de_tarage!$I$4:$I$44,1)+1),INDEX(Courbe_de_tarage!$I$4:$I$44,MATCH(K97+B97+B98,Courbe_de_tarage!$I$4:$I$44,1)):INDEX(Courbe_de_tarage!$I$4:$I$44,MATCH(K97+B97+B98,Courbe_de_tarage!$I$4:$I$44,1)+1)),IFERROR(INDEX(Courbe_de_tarage!$D$4:$D$44,MATCH(K97+B97+B98,Courbe_de_tarage!$I$4:$I$44,1)),INDEX(Courbe_de_tarage!$D$4:$D$44,1))))</f>
        <v/>
      </c>
      <c r="E98" s="19">
        <f>IF(A98="","",IFERROR(FORECAST(K97+B97+B98,INDEX(Courbe_de_tarage!$E$4:$E$44,MATCH(K97+B97+B98,Courbe_de_tarage!$I$4:$I$44,1)):INDEX(Courbe_de_tarage!$E$4:$E$44,MATCH(K97+B97+B98,Courbe_de_tarage!$I$4:$I$44,1)+1),INDEX(Courbe_de_tarage!$I$4:$I$44,MATCH(K97+B97+B98,Courbe_de_tarage!$I$4:$I$44,1)):INDEX(Courbe_de_tarage!$I$4:$I$44,MATCH(K97+B97+B98,Courbe_de_tarage!$I$4:$I$44,1)+1)),IFERROR(INDEX(Courbe_de_tarage!$E$4:$E$44,MATCH(K97+B97+B98,Courbe_de_tarage!$I$4:$I$44,1)),INDEX(Courbe_de_tarage!$E$4:$E$44,1))))</f>
        <v/>
      </c>
      <c r="F98" s="19">
        <f>IF(A98="","",IFERROR(FORECAST(K97+B97+B98,INDEX(Courbe_de_tarage!$A$4:$A$44,MATCH(K97+B97+B98,Courbe_de_tarage!$I$4:$I$44,1)):INDEX(Courbe_de_tarage!$A$4:$A$44,MATCH(K97+B97+B98,Courbe_de_tarage!$I$4:$I$44,1)+1),INDEX(Courbe_de_tarage!$I$4:$I$44,MATCH(K97+B97+B98,Courbe_de_tarage!$I$4:$I$44,1)):INDEX(Courbe_de_tarage!$I$4:$I$44,MATCH(K97+B97+B98,Courbe_de_tarage!$I$4:$I$44,1)+1)),IFERROR(INDEX(Courbe_de_tarage!$A$4:$A$44,MATCH(K97+B97+B98,Courbe_de_tarage!$I$4:$I$44,1)),INDEX(Courbe_de_tarage!$A$4:$A$44,1))))</f>
        <v/>
      </c>
      <c r="G98" s="19">
        <f>IF(A98="","",35.36+F98)</f>
        <v/>
      </c>
      <c r="H98" s="19">
        <f>IF(A98="","",IFERROR(FORECAST(K97+B97+B98,INDEX(Courbe_de_tarage!$H$4:$H$44,MATCH(K97+B97+B98,Courbe_de_tarage!$I$4:$I$44,1)):INDEX(Courbe_de_tarage!$H$4:$H$44,MATCH(K97+B97+B98,Courbe_de_tarage!$I$4:$I$44,1)+1),INDEX(Courbe_de_tarage!$I$4:$I$44,MATCH(K97+B97+B98,Courbe_de_tarage!$I$4:$I$44,1)):INDEX(Courbe_de_tarage!$I$4:$I$44,MATCH(K97+B97+B98,Courbe_de_tarage!$I$4:$I$44,1)+1)),IFERROR(INDEX(Courbe_de_tarage!$H$4:$H$44,MATCH(K97+B97+B98,Courbe_de_tarage!$I$4:$I$44,1)),INDEX(Courbe_de_tarage!$H$4:$H$44,1))))</f>
        <v/>
      </c>
      <c r="I98" s="4">
        <f>IF(G98="","",IF(G98&gt;37.4,"OUI",""))</f>
        <v/>
      </c>
      <c r="J98" s="19">
        <f>IF(A98="","",K97+B97+B98)</f>
        <v/>
      </c>
      <c r="K98" s="19">
        <f>IF(A98="","",2*H98/(Hydrogramme_entree!$B$8*60)-E98)</f>
        <v/>
      </c>
    </row>
    <row r="99">
      <c r="A99" s="4">
        <f>Hydrogramme_entree!A105</f>
        <v/>
      </c>
      <c r="B99" s="19">
        <f>Hydrogramme_entree!B105</f>
        <v/>
      </c>
      <c r="C99" s="19">
        <f>IF(A99="","",IFERROR(FORECAST(K98+B98+B99,INDEX(Courbe_de_tarage!$C$4:$C$44,MATCH(K98+B98+B99,Courbe_de_tarage!$I$4:$I$44,1)):INDEX(Courbe_de_tarage!$C$4:$C$44,MATCH(K98+B98+B99,Courbe_de_tarage!$I$4:$I$44,1)+1),INDEX(Courbe_de_tarage!$I$4:$I$44,MATCH(K98+B98+B99,Courbe_de_tarage!$I$4:$I$44,1)):INDEX(Courbe_de_tarage!$I$4:$I$44,MATCH(K98+B98+B99,Courbe_de_tarage!$I$4:$I$44,1)+1)),IFERROR(INDEX(Courbe_de_tarage!$C$4:$C$44,MATCH(K98+B98+B99,Courbe_de_tarage!$I$4:$I$44,1)),INDEX(Courbe_de_tarage!$C$4:$C$44,1))))</f>
        <v/>
      </c>
      <c r="D99" s="19">
        <f>IF(A99="","",IFERROR(FORECAST(K98+B98+B99,INDEX(Courbe_de_tarage!$D$4:$D$44,MATCH(K98+B98+B99,Courbe_de_tarage!$I$4:$I$44,1)):INDEX(Courbe_de_tarage!$D$4:$D$44,MATCH(K98+B98+B99,Courbe_de_tarage!$I$4:$I$44,1)+1),INDEX(Courbe_de_tarage!$I$4:$I$44,MATCH(K98+B98+B99,Courbe_de_tarage!$I$4:$I$44,1)):INDEX(Courbe_de_tarage!$I$4:$I$44,MATCH(K98+B98+B99,Courbe_de_tarage!$I$4:$I$44,1)+1)),IFERROR(INDEX(Courbe_de_tarage!$D$4:$D$44,MATCH(K98+B98+B99,Courbe_de_tarage!$I$4:$I$44,1)),INDEX(Courbe_de_tarage!$D$4:$D$44,1))))</f>
        <v/>
      </c>
      <c r="E99" s="19">
        <f>IF(A99="","",IFERROR(FORECAST(K98+B98+B99,INDEX(Courbe_de_tarage!$E$4:$E$44,MATCH(K98+B98+B99,Courbe_de_tarage!$I$4:$I$44,1)):INDEX(Courbe_de_tarage!$E$4:$E$44,MATCH(K98+B98+B99,Courbe_de_tarage!$I$4:$I$44,1)+1),INDEX(Courbe_de_tarage!$I$4:$I$44,MATCH(K98+B98+B99,Courbe_de_tarage!$I$4:$I$44,1)):INDEX(Courbe_de_tarage!$I$4:$I$44,MATCH(K98+B98+B99,Courbe_de_tarage!$I$4:$I$44,1)+1)),IFERROR(INDEX(Courbe_de_tarage!$E$4:$E$44,MATCH(K98+B98+B99,Courbe_de_tarage!$I$4:$I$44,1)),INDEX(Courbe_de_tarage!$E$4:$E$44,1))))</f>
        <v/>
      </c>
      <c r="F99" s="19">
        <f>IF(A99="","",IFERROR(FORECAST(K98+B98+B99,INDEX(Courbe_de_tarage!$A$4:$A$44,MATCH(K98+B98+B99,Courbe_de_tarage!$I$4:$I$44,1)):INDEX(Courbe_de_tarage!$A$4:$A$44,MATCH(K98+B98+B99,Courbe_de_tarage!$I$4:$I$44,1)+1),INDEX(Courbe_de_tarage!$I$4:$I$44,MATCH(K98+B98+B99,Courbe_de_tarage!$I$4:$I$44,1)):INDEX(Courbe_de_tarage!$I$4:$I$44,MATCH(K98+B98+B99,Courbe_de_tarage!$I$4:$I$44,1)+1)),IFERROR(INDEX(Courbe_de_tarage!$A$4:$A$44,MATCH(K98+B98+B99,Courbe_de_tarage!$I$4:$I$44,1)),INDEX(Courbe_de_tarage!$A$4:$A$44,1))))</f>
        <v/>
      </c>
      <c r="G99" s="19">
        <f>IF(A99="","",35.36+F99)</f>
        <v/>
      </c>
      <c r="H99" s="19">
        <f>IF(A99="","",IFERROR(FORECAST(K98+B98+B99,INDEX(Courbe_de_tarage!$H$4:$H$44,MATCH(K98+B98+B99,Courbe_de_tarage!$I$4:$I$44,1)):INDEX(Courbe_de_tarage!$H$4:$H$44,MATCH(K98+B98+B99,Courbe_de_tarage!$I$4:$I$44,1)+1),INDEX(Courbe_de_tarage!$I$4:$I$44,MATCH(K98+B98+B99,Courbe_de_tarage!$I$4:$I$44,1)):INDEX(Courbe_de_tarage!$I$4:$I$44,MATCH(K98+B98+B99,Courbe_de_tarage!$I$4:$I$44,1)+1)),IFERROR(INDEX(Courbe_de_tarage!$H$4:$H$44,MATCH(K98+B98+B99,Courbe_de_tarage!$I$4:$I$44,1)),INDEX(Courbe_de_tarage!$H$4:$H$44,1))))</f>
        <v/>
      </c>
      <c r="I99" s="4">
        <f>IF(G99="","",IF(G99&gt;37.4,"OUI",""))</f>
        <v/>
      </c>
      <c r="J99" s="19">
        <f>IF(A99="","",K98+B98+B99)</f>
        <v/>
      </c>
      <c r="K99" s="19">
        <f>IF(A99="","",2*H99/(Hydrogramme_entree!$B$8*60)-E99)</f>
        <v/>
      </c>
    </row>
    <row r="100">
      <c r="A100" s="4">
        <f>Hydrogramme_entree!A106</f>
        <v/>
      </c>
      <c r="B100" s="19">
        <f>Hydrogramme_entree!B106</f>
        <v/>
      </c>
      <c r="C100" s="19">
        <f>IF(A100="","",IFERROR(FORECAST(K99+B99+B100,INDEX(Courbe_de_tarage!$C$4:$C$44,MATCH(K99+B99+B100,Courbe_de_tarage!$I$4:$I$44,1)):INDEX(Courbe_de_tarage!$C$4:$C$44,MATCH(K99+B99+B100,Courbe_de_tarage!$I$4:$I$44,1)+1),INDEX(Courbe_de_tarage!$I$4:$I$44,MATCH(K99+B99+B100,Courbe_de_tarage!$I$4:$I$44,1)):INDEX(Courbe_de_tarage!$I$4:$I$44,MATCH(K99+B99+B100,Courbe_de_tarage!$I$4:$I$44,1)+1)),IFERROR(INDEX(Courbe_de_tarage!$C$4:$C$44,MATCH(K99+B99+B100,Courbe_de_tarage!$I$4:$I$44,1)),INDEX(Courbe_de_tarage!$C$4:$C$44,1))))</f>
        <v/>
      </c>
      <c r="D100" s="19">
        <f>IF(A100="","",IFERROR(FORECAST(K99+B99+B100,INDEX(Courbe_de_tarage!$D$4:$D$44,MATCH(K99+B99+B100,Courbe_de_tarage!$I$4:$I$44,1)):INDEX(Courbe_de_tarage!$D$4:$D$44,MATCH(K99+B99+B100,Courbe_de_tarage!$I$4:$I$44,1)+1),INDEX(Courbe_de_tarage!$I$4:$I$44,MATCH(K99+B99+B100,Courbe_de_tarage!$I$4:$I$44,1)):INDEX(Courbe_de_tarage!$I$4:$I$44,MATCH(K99+B99+B100,Courbe_de_tarage!$I$4:$I$44,1)+1)),IFERROR(INDEX(Courbe_de_tarage!$D$4:$D$44,MATCH(K99+B99+B100,Courbe_de_tarage!$I$4:$I$44,1)),INDEX(Courbe_de_tarage!$D$4:$D$44,1))))</f>
        <v/>
      </c>
      <c r="E100" s="19">
        <f>IF(A100="","",IFERROR(FORECAST(K99+B99+B100,INDEX(Courbe_de_tarage!$E$4:$E$44,MATCH(K99+B99+B100,Courbe_de_tarage!$I$4:$I$44,1)):INDEX(Courbe_de_tarage!$E$4:$E$44,MATCH(K99+B99+B100,Courbe_de_tarage!$I$4:$I$44,1)+1),INDEX(Courbe_de_tarage!$I$4:$I$44,MATCH(K99+B99+B100,Courbe_de_tarage!$I$4:$I$44,1)):INDEX(Courbe_de_tarage!$I$4:$I$44,MATCH(K99+B99+B100,Courbe_de_tarage!$I$4:$I$44,1)+1)),IFERROR(INDEX(Courbe_de_tarage!$E$4:$E$44,MATCH(K99+B99+B100,Courbe_de_tarage!$I$4:$I$44,1)),INDEX(Courbe_de_tarage!$E$4:$E$44,1))))</f>
        <v/>
      </c>
      <c r="F100" s="19">
        <f>IF(A100="","",IFERROR(FORECAST(K99+B99+B100,INDEX(Courbe_de_tarage!$A$4:$A$44,MATCH(K99+B99+B100,Courbe_de_tarage!$I$4:$I$44,1)):INDEX(Courbe_de_tarage!$A$4:$A$44,MATCH(K99+B99+B100,Courbe_de_tarage!$I$4:$I$44,1)+1),INDEX(Courbe_de_tarage!$I$4:$I$44,MATCH(K99+B99+B100,Courbe_de_tarage!$I$4:$I$44,1)):INDEX(Courbe_de_tarage!$I$4:$I$44,MATCH(K99+B99+B100,Courbe_de_tarage!$I$4:$I$44,1)+1)),IFERROR(INDEX(Courbe_de_tarage!$A$4:$A$44,MATCH(K99+B99+B100,Courbe_de_tarage!$I$4:$I$44,1)),INDEX(Courbe_de_tarage!$A$4:$A$44,1))))</f>
        <v/>
      </c>
      <c r="G100" s="19">
        <f>IF(A100="","",35.36+F100)</f>
        <v/>
      </c>
      <c r="H100" s="19">
        <f>IF(A100="","",IFERROR(FORECAST(K99+B99+B100,INDEX(Courbe_de_tarage!$H$4:$H$44,MATCH(K99+B99+B100,Courbe_de_tarage!$I$4:$I$44,1)):INDEX(Courbe_de_tarage!$H$4:$H$44,MATCH(K99+B99+B100,Courbe_de_tarage!$I$4:$I$44,1)+1),INDEX(Courbe_de_tarage!$I$4:$I$44,MATCH(K99+B99+B100,Courbe_de_tarage!$I$4:$I$44,1)):INDEX(Courbe_de_tarage!$I$4:$I$44,MATCH(K99+B99+B100,Courbe_de_tarage!$I$4:$I$44,1)+1)),IFERROR(INDEX(Courbe_de_tarage!$H$4:$H$44,MATCH(K99+B99+B100,Courbe_de_tarage!$I$4:$I$44,1)),INDEX(Courbe_de_tarage!$H$4:$H$44,1))))</f>
        <v/>
      </c>
      <c r="I100" s="4">
        <f>IF(G100="","",IF(G100&gt;37.4,"OUI",""))</f>
        <v/>
      </c>
      <c r="J100" s="19">
        <f>IF(A100="","",K99+B99+B100)</f>
        <v/>
      </c>
      <c r="K100" s="19">
        <f>IF(A100="","",2*H100/(Hydrogramme_entree!$B$8*60)-E100)</f>
        <v/>
      </c>
    </row>
    <row r="101">
      <c r="A101" s="4">
        <f>Hydrogramme_entree!A107</f>
        <v/>
      </c>
      <c r="B101" s="19">
        <f>Hydrogramme_entree!B107</f>
        <v/>
      </c>
      <c r="C101" s="19">
        <f>IF(A101="","",IFERROR(FORECAST(K100+B100+B101,INDEX(Courbe_de_tarage!$C$4:$C$44,MATCH(K100+B100+B101,Courbe_de_tarage!$I$4:$I$44,1)):INDEX(Courbe_de_tarage!$C$4:$C$44,MATCH(K100+B100+B101,Courbe_de_tarage!$I$4:$I$44,1)+1),INDEX(Courbe_de_tarage!$I$4:$I$44,MATCH(K100+B100+B101,Courbe_de_tarage!$I$4:$I$44,1)):INDEX(Courbe_de_tarage!$I$4:$I$44,MATCH(K100+B100+B101,Courbe_de_tarage!$I$4:$I$44,1)+1)),IFERROR(INDEX(Courbe_de_tarage!$C$4:$C$44,MATCH(K100+B100+B101,Courbe_de_tarage!$I$4:$I$44,1)),INDEX(Courbe_de_tarage!$C$4:$C$44,1))))</f>
        <v/>
      </c>
      <c r="D101" s="19">
        <f>IF(A101="","",IFERROR(FORECAST(K100+B100+B101,INDEX(Courbe_de_tarage!$D$4:$D$44,MATCH(K100+B100+B101,Courbe_de_tarage!$I$4:$I$44,1)):INDEX(Courbe_de_tarage!$D$4:$D$44,MATCH(K100+B100+B101,Courbe_de_tarage!$I$4:$I$44,1)+1),INDEX(Courbe_de_tarage!$I$4:$I$44,MATCH(K100+B100+B101,Courbe_de_tarage!$I$4:$I$44,1)):INDEX(Courbe_de_tarage!$I$4:$I$44,MATCH(K100+B100+B101,Courbe_de_tarage!$I$4:$I$44,1)+1)),IFERROR(INDEX(Courbe_de_tarage!$D$4:$D$44,MATCH(K100+B100+B101,Courbe_de_tarage!$I$4:$I$44,1)),INDEX(Courbe_de_tarage!$D$4:$D$44,1))))</f>
        <v/>
      </c>
      <c r="E101" s="19">
        <f>IF(A101="","",IFERROR(FORECAST(K100+B100+B101,INDEX(Courbe_de_tarage!$E$4:$E$44,MATCH(K100+B100+B101,Courbe_de_tarage!$I$4:$I$44,1)):INDEX(Courbe_de_tarage!$E$4:$E$44,MATCH(K100+B100+B101,Courbe_de_tarage!$I$4:$I$44,1)+1),INDEX(Courbe_de_tarage!$I$4:$I$44,MATCH(K100+B100+B101,Courbe_de_tarage!$I$4:$I$44,1)):INDEX(Courbe_de_tarage!$I$4:$I$44,MATCH(K100+B100+B101,Courbe_de_tarage!$I$4:$I$44,1)+1)),IFERROR(INDEX(Courbe_de_tarage!$E$4:$E$44,MATCH(K100+B100+B101,Courbe_de_tarage!$I$4:$I$44,1)),INDEX(Courbe_de_tarage!$E$4:$E$44,1))))</f>
        <v/>
      </c>
      <c r="F101" s="19">
        <f>IF(A101="","",IFERROR(FORECAST(K100+B100+B101,INDEX(Courbe_de_tarage!$A$4:$A$44,MATCH(K100+B100+B101,Courbe_de_tarage!$I$4:$I$44,1)):INDEX(Courbe_de_tarage!$A$4:$A$44,MATCH(K100+B100+B101,Courbe_de_tarage!$I$4:$I$44,1)+1),INDEX(Courbe_de_tarage!$I$4:$I$44,MATCH(K100+B100+B101,Courbe_de_tarage!$I$4:$I$44,1)):INDEX(Courbe_de_tarage!$I$4:$I$44,MATCH(K100+B100+B101,Courbe_de_tarage!$I$4:$I$44,1)+1)),IFERROR(INDEX(Courbe_de_tarage!$A$4:$A$44,MATCH(K100+B100+B101,Courbe_de_tarage!$I$4:$I$44,1)),INDEX(Courbe_de_tarage!$A$4:$A$44,1))))</f>
        <v/>
      </c>
      <c r="G101" s="19">
        <f>IF(A101="","",35.36+F101)</f>
        <v/>
      </c>
      <c r="H101" s="19">
        <f>IF(A101="","",IFERROR(FORECAST(K100+B100+B101,INDEX(Courbe_de_tarage!$H$4:$H$44,MATCH(K100+B100+B101,Courbe_de_tarage!$I$4:$I$44,1)):INDEX(Courbe_de_tarage!$H$4:$H$44,MATCH(K100+B100+B101,Courbe_de_tarage!$I$4:$I$44,1)+1),INDEX(Courbe_de_tarage!$I$4:$I$44,MATCH(K100+B100+B101,Courbe_de_tarage!$I$4:$I$44,1)):INDEX(Courbe_de_tarage!$I$4:$I$44,MATCH(K100+B100+B101,Courbe_de_tarage!$I$4:$I$44,1)+1)),IFERROR(INDEX(Courbe_de_tarage!$H$4:$H$44,MATCH(K100+B100+B101,Courbe_de_tarage!$I$4:$I$44,1)),INDEX(Courbe_de_tarage!$H$4:$H$44,1))))</f>
        <v/>
      </c>
      <c r="I101" s="4">
        <f>IF(G101="","",IF(G101&gt;37.4,"OUI",""))</f>
        <v/>
      </c>
      <c r="J101" s="19">
        <f>IF(A101="","",K100+B100+B101)</f>
        <v/>
      </c>
      <c r="K101" s="19">
        <f>IF(A101="","",2*H101/(Hydrogramme_entree!$B$8*60)-E101)</f>
        <v/>
      </c>
    </row>
    <row r="102">
      <c r="A102" s="4">
        <f>Hydrogramme_entree!A108</f>
        <v/>
      </c>
      <c r="B102" s="19">
        <f>Hydrogramme_entree!B108</f>
        <v/>
      </c>
      <c r="C102" s="19">
        <f>IF(A102="","",IFERROR(FORECAST(K101+B101+B102,INDEX(Courbe_de_tarage!$C$4:$C$44,MATCH(K101+B101+B102,Courbe_de_tarage!$I$4:$I$44,1)):INDEX(Courbe_de_tarage!$C$4:$C$44,MATCH(K101+B101+B102,Courbe_de_tarage!$I$4:$I$44,1)+1),INDEX(Courbe_de_tarage!$I$4:$I$44,MATCH(K101+B101+B102,Courbe_de_tarage!$I$4:$I$44,1)):INDEX(Courbe_de_tarage!$I$4:$I$44,MATCH(K101+B101+B102,Courbe_de_tarage!$I$4:$I$44,1)+1)),IFERROR(INDEX(Courbe_de_tarage!$C$4:$C$44,MATCH(K101+B101+B102,Courbe_de_tarage!$I$4:$I$44,1)),INDEX(Courbe_de_tarage!$C$4:$C$44,1))))</f>
        <v/>
      </c>
      <c r="D102" s="19">
        <f>IF(A102="","",IFERROR(FORECAST(K101+B101+B102,INDEX(Courbe_de_tarage!$D$4:$D$44,MATCH(K101+B101+B102,Courbe_de_tarage!$I$4:$I$44,1)):INDEX(Courbe_de_tarage!$D$4:$D$44,MATCH(K101+B101+B102,Courbe_de_tarage!$I$4:$I$44,1)+1),INDEX(Courbe_de_tarage!$I$4:$I$44,MATCH(K101+B101+B102,Courbe_de_tarage!$I$4:$I$44,1)):INDEX(Courbe_de_tarage!$I$4:$I$44,MATCH(K101+B101+B102,Courbe_de_tarage!$I$4:$I$44,1)+1)),IFERROR(INDEX(Courbe_de_tarage!$D$4:$D$44,MATCH(K101+B101+B102,Courbe_de_tarage!$I$4:$I$44,1)),INDEX(Courbe_de_tarage!$D$4:$D$44,1))))</f>
        <v/>
      </c>
      <c r="E102" s="19">
        <f>IF(A102="","",IFERROR(FORECAST(K101+B101+B102,INDEX(Courbe_de_tarage!$E$4:$E$44,MATCH(K101+B101+B102,Courbe_de_tarage!$I$4:$I$44,1)):INDEX(Courbe_de_tarage!$E$4:$E$44,MATCH(K101+B101+B102,Courbe_de_tarage!$I$4:$I$44,1)+1),INDEX(Courbe_de_tarage!$I$4:$I$44,MATCH(K101+B101+B102,Courbe_de_tarage!$I$4:$I$44,1)):INDEX(Courbe_de_tarage!$I$4:$I$44,MATCH(K101+B101+B102,Courbe_de_tarage!$I$4:$I$44,1)+1)),IFERROR(INDEX(Courbe_de_tarage!$E$4:$E$44,MATCH(K101+B101+B102,Courbe_de_tarage!$I$4:$I$44,1)),INDEX(Courbe_de_tarage!$E$4:$E$44,1))))</f>
        <v/>
      </c>
      <c r="F102" s="19">
        <f>IF(A102="","",IFERROR(FORECAST(K101+B101+B102,INDEX(Courbe_de_tarage!$A$4:$A$44,MATCH(K101+B101+B102,Courbe_de_tarage!$I$4:$I$44,1)):INDEX(Courbe_de_tarage!$A$4:$A$44,MATCH(K101+B101+B102,Courbe_de_tarage!$I$4:$I$44,1)+1),INDEX(Courbe_de_tarage!$I$4:$I$44,MATCH(K101+B101+B102,Courbe_de_tarage!$I$4:$I$44,1)):INDEX(Courbe_de_tarage!$I$4:$I$44,MATCH(K101+B101+B102,Courbe_de_tarage!$I$4:$I$44,1)+1)),IFERROR(INDEX(Courbe_de_tarage!$A$4:$A$44,MATCH(K101+B101+B102,Courbe_de_tarage!$I$4:$I$44,1)),INDEX(Courbe_de_tarage!$A$4:$A$44,1))))</f>
        <v/>
      </c>
      <c r="G102" s="19">
        <f>IF(A102="","",35.36+F102)</f>
        <v/>
      </c>
      <c r="H102" s="19">
        <f>IF(A102="","",IFERROR(FORECAST(K101+B101+B102,INDEX(Courbe_de_tarage!$H$4:$H$44,MATCH(K101+B101+B102,Courbe_de_tarage!$I$4:$I$44,1)):INDEX(Courbe_de_tarage!$H$4:$H$44,MATCH(K101+B101+B102,Courbe_de_tarage!$I$4:$I$44,1)+1),INDEX(Courbe_de_tarage!$I$4:$I$44,MATCH(K101+B101+B102,Courbe_de_tarage!$I$4:$I$44,1)):INDEX(Courbe_de_tarage!$I$4:$I$44,MATCH(K101+B101+B102,Courbe_de_tarage!$I$4:$I$44,1)+1)),IFERROR(INDEX(Courbe_de_tarage!$H$4:$H$44,MATCH(K101+B101+B102,Courbe_de_tarage!$I$4:$I$44,1)),INDEX(Courbe_de_tarage!$H$4:$H$44,1))))</f>
        <v/>
      </c>
      <c r="I102" s="4">
        <f>IF(G102="","",IF(G102&gt;37.4,"OUI",""))</f>
        <v/>
      </c>
      <c r="J102" s="19">
        <f>IF(A102="","",K101+B101+B102)</f>
        <v/>
      </c>
      <c r="K102" s="19">
        <f>IF(A102="","",2*H102/(Hydrogramme_entree!$B$8*60)-E102)</f>
        <v/>
      </c>
    </row>
    <row r="103">
      <c r="A103" s="4">
        <f>Hydrogramme_entree!A109</f>
        <v/>
      </c>
      <c r="B103" s="19">
        <f>Hydrogramme_entree!B109</f>
        <v/>
      </c>
      <c r="C103" s="19">
        <f>IF(A103="","",IFERROR(FORECAST(K102+B102+B103,INDEX(Courbe_de_tarage!$C$4:$C$44,MATCH(K102+B102+B103,Courbe_de_tarage!$I$4:$I$44,1)):INDEX(Courbe_de_tarage!$C$4:$C$44,MATCH(K102+B102+B103,Courbe_de_tarage!$I$4:$I$44,1)+1),INDEX(Courbe_de_tarage!$I$4:$I$44,MATCH(K102+B102+B103,Courbe_de_tarage!$I$4:$I$44,1)):INDEX(Courbe_de_tarage!$I$4:$I$44,MATCH(K102+B102+B103,Courbe_de_tarage!$I$4:$I$44,1)+1)),IFERROR(INDEX(Courbe_de_tarage!$C$4:$C$44,MATCH(K102+B102+B103,Courbe_de_tarage!$I$4:$I$44,1)),INDEX(Courbe_de_tarage!$C$4:$C$44,1))))</f>
        <v/>
      </c>
      <c r="D103" s="19">
        <f>IF(A103="","",IFERROR(FORECAST(K102+B102+B103,INDEX(Courbe_de_tarage!$D$4:$D$44,MATCH(K102+B102+B103,Courbe_de_tarage!$I$4:$I$44,1)):INDEX(Courbe_de_tarage!$D$4:$D$44,MATCH(K102+B102+B103,Courbe_de_tarage!$I$4:$I$44,1)+1),INDEX(Courbe_de_tarage!$I$4:$I$44,MATCH(K102+B102+B103,Courbe_de_tarage!$I$4:$I$44,1)):INDEX(Courbe_de_tarage!$I$4:$I$44,MATCH(K102+B102+B103,Courbe_de_tarage!$I$4:$I$44,1)+1)),IFERROR(INDEX(Courbe_de_tarage!$D$4:$D$44,MATCH(K102+B102+B103,Courbe_de_tarage!$I$4:$I$44,1)),INDEX(Courbe_de_tarage!$D$4:$D$44,1))))</f>
        <v/>
      </c>
      <c r="E103" s="19">
        <f>IF(A103="","",IFERROR(FORECAST(K102+B102+B103,INDEX(Courbe_de_tarage!$E$4:$E$44,MATCH(K102+B102+B103,Courbe_de_tarage!$I$4:$I$44,1)):INDEX(Courbe_de_tarage!$E$4:$E$44,MATCH(K102+B102+B103,Courbe_de_tarage!$I$4:$I$44,1)+1),INDEX(Courbe_de_tarage!$I$4:$I$44,MATCH(K102+B102+B103,Courbe_de_tarage!$I$4:$I$44,1)):INDEX(Courbe_de_tarage!$I$4:$I$44,MATCH(K102+B102+B103,Courbe_de_tarage!$I$4:$I$44,1)+1)),IFERROR(INDEX(Courbe_de_tarage!$E$4:$E$44,MATCH(K102+B102+B103,Courbe_de_tarage!$I$4:$I$44,1)),INDEX(Courbe_de_tarage!$E$4:$E$44,1))))</f>
        <v/>
      </c>
      <c r="F103" s="19">
        <f>IF(A103="","",IFERROR(FORECAST(K102+B102+B103,INDEX(Courbe_de_tarage!$A$4:$A$44,MATCH(K102+B102+B103,Courbe_de_tarage!$I$4:$I$44,1)):INDEX(Courbe_de_tarage!$A$4:$A$44,MATCH(K102+B102+B103,Courbe_de_tarage!$I$4:$I$44,1)+1),INDEX(Courbe_de_tarage!$I$4:$I$44,MATCH(K102+B102+B103,Courbe_de_tarage!$I$4:$I$44,1)):INDEX(Courbe_de_tarage!$I$4:$I$44,MATCH(K102+B102+B103,Courbe_de_tarage!$I$4:$I$44,1)+1)),IFERROR(INDEX(Courbe_de_tarage!$A$4:$A$44,MATCH(K102+B102+B103,Courbe_de_tarage!$I$4:$I$44,1)),INDEX(Courbe_de_tarage!$A$4:$A$44,1))))</f>
        <v/>
      </c>
      <c r="G103" s="19">
        <f>IF(A103="","",35.36+F103)</f>
        <v/>
      </c>
      <c r="H103" s="19">
        <f>IF(A103="","",IFERROR(FORECAST(K102+B102+B103,INDEX(Courbe_de_tarage!$H$4:$H$44,MATCH(K102+B102+B103,Courbe_de_tarage!$I$4:$I$44,1)):INDEX(Courbe_de_tarage!$H$4:$H$44,MATCH(K102+B102+B103,Courbe_de_tarage!$I$4:$I$44,1)+1),INDEX(Courbe_de_tarage!$I$4:$I$44,MATCH(K102+B102+B103,Courbe_de_tarage!$I$4:$I$44,1)):INDEX(Courbe_de_tarage!$I$4:$I$44,MATCH(K102+B102+B103,Courbe_de_tarage!$I$4:$I$44,1)+1)),IFERROR(INDEX(Courbe_de_tarage!$H$4:$H$44,MATCH(K102+B102+B103,Courbe_de_tarage!$I$4:$I$44,1)),INDEX(Courbe_de_tarage!$H$4:$H$44,1))))</f>
        <v/>
      </c>
      <c r="I103" s="4">
        <f>IF(G103="","",IF(G103&gt;37.4,"OUI",""))</f>
        <v/>
      </c>
      <c r="J103" s="19">
        <f>IF(A103="","",K102+B102+B103)</f>
        <v/>
      </c>
      <c r="K103" s="19">
        <f>IF(A103="","",2*H103/(Hydrogramme_entree!$B$8*60)-E103)</f>
        <v/>
      </c>
    </row>
    <row r="104">
      <c r="A104" s="4">
        <f>Hydrogramme_entree!A110</f>
        <v/>
      </c>
      <c r="B104" s="19">
        <f>Hydrogramme_entree!B110</f>
        <v/>
      </c>
      <c r="C104" s="19">
        <f>IF(A104="","",IFERROR(FORECAST(K103+B103+B104,INDEX(Courbe_de_tarage!$C$4:$C$44,MATCH(K103+B103+B104,Courbe_de_tarage!$I$4:$I$44,1)):INDEX(Courbe_de_tarage!$C$4:$C$44,MATCH(K103+B103+B104,Courbe_de_tarage!$I$4:$I$44,1)+1),INDEX(Courbe_de_tarage!$I$4:$I$44,MATCH(K103+B103+B104,Courbe_de_tarage!$I$4:$I$44,1)):INDEX(Courbe_de_tarage!$I$4:$I$44,MATCH(K103+B103+B104,Courbe_de_tarage!$I$4:$I$44,1)+1)),IFERROR(INDEX(Courbe_de_tarage!$C$4:$C$44,MATCH(K103+B103+B104,Courbe_de_tarage!$I$4:$I$44,1)),INDEX(Courbe_de_tarage!$C$4:$C$44,1))))</f>
        <v/>
      </c>
      <c r="D104" s="19">
        <f>IF(A104="","",IFERROR(FORECAST(K103+B103+B104,INDEX(Courbe_de_tarage!$D$4:$D$44,MATCH(K103+B103+B104,Courbe_de_tarage!$I$4:$I$44,1)):INDEX(Courbe_de_tarage!$D$4:$D$44,MATCH(K103+B103+B104,Courbe_de_tarage!$I$4:$I$44,1)+1),INDEX(Courbe_de_tarage!$I$4:$I$44,MATCH(K103+B103+B104,Courbe_de_tarage!$I$4:$I$44,1)):INDEX(Courbe_de_tarage!$I$4:$I$44,MATCH(K103+B103+B104,Courbe_de_tarage!$I$4:$I$44,1)+1)),IFERROR(INDEX(Courbe_de_tarage!$D$4:$D$44,MATCH(K103+B103+B104,Courbe_de_tarage!$I$4:$I$44,1)),INDEX(Courbe_de_tarage!$D$4:$D$44,1))))</f>
        <v/>
      </c>
      <c r="E104" s="19">
        <f>IF(A104="","",IFERROR(FORECAST(K103+B103+B104,INDEX(Courbe_de_tarage!$E$4:$E$44,MATCH(K103+B103+B104,Courbe_de_tarage!$I$4:$I$44,1)):INDEX(Courbe_de_tarage!$E$4:$E$44,MATCH(K103+B103+B104,Courbe_de_tarage!$I$4:$I$44,1)+1),INDEX(Courbe_de_tarage!$I$4:$I$44,MATCH(K103+B103+B104,Courbe_de_tarage!$I$4:$I$44,1)):INDEX(Courbe_de_tarage!$I$4:$I$44,MATCH(K103+B103+B104,Courbe_de_tarage!$I$4:$I$44,1)+1)),IFERROR(INDEX(Courbe_de_tarage!$E$4:$E$44,MATCH(K103+B103+B104,Courbe_de_tarage!$I$4:$I$44,1)),INDEX(Courbe_de_tarage!$E$4:$E$44,1))))</f>
        <v/>
      </c>
      <c r="F104" s="19">
        <f>IF(A104="","",IFERROR(FORECAST(K103+B103+B104,INDEX(Courbe_de_tarage!$A$4:$A$44,MATCH(K103+B103+B104,Courbe_de_tarage!$I$4:$I$44,1)):INDEX(Courbe_de_tarage!$A$4:$A$44,MATCH(K103+B103+B104,Courbe_de_tarage!$I$4:$I$44,1)+1),INDEX(Courbe_de_tarage!$I$4:$I$44,MATCH(K103+B103+B104,Courbe_de_tarage!$I$4:$I$44,1)):INDEX(Courbe_de_tarage!$I$4:$I$44,MATCH(K103+B103+B104,Courbe_de_tarage!$I$4:$I$44,1)+1)),IFERROR(INDEX(Courbe_de_tarage!$A$4:$A$44,MATCH(K103+B103+B104,Courbe_de_tarage!$I$4:$I$44,1)),INDEX(Courbe_de_tarage!$A$4:$A$44,1))))</f>
        <v/>
      </c>
      <c r="G104" s="19">
        <f>IF(A104="","",35.36+F104)</f>
        <v/>
      </c>
      <c r="H104" s="19">
        <f>IF(A104="","",IFERROR(FORECAST(K103+B103+B104,INDEX(Courbe_de_tarage!$H$4:$H$44,MATCH(K103+B103+B104,Courbe_de_tarage!$I$4:$I$44,1)):INDEX(Courbe_de_tarage!$H$4:$H$44,MATCH(K103+B103+B104,Courbe_de_tarage!$I$4:$I$44,1)+1),INDEX(Courbe_de_tarage!$I$4:$I$44,MATCH(K103+B103+B104,Courbe_de_tarage!$I$4:$I$44,1)):INDEX(Courbe_de_tarage!$I$4:$I$44,MATCH(K103+B103+B104,Courbe_de_tarage!$I$4:$I$44,1)+1)),IFERROR(INDEX(Courbe_de_tarage!$H$4:$H$44,MATCH(K103+B103+B104,Courbe_de_tarage!$I$4:$I$44,1)),INDEX(Courbe_de_tarage!$H$4:$H$44,1))))</f>
        <v/>
      </c>
      <c r="I104" s="4">
        <f>IF(G104="","",IF(G104&gt;37.4,"OUI",""))</f>
        <v/>
      </c>
      <c r="J104" s="19">
        <f>IF(A104="","",K103+B103+B104)</f>
        <v/>
      </c>
      <c r="K104" s="19">
        <f>IF(A104="","",2*H104/(Hydrogramme_entree!$B$8*60)-E104)</f>
        <v/>
      </c>
    </row>
    <row r="105">
      <c r="A105" s="4">
        <f>Hydrogramme_entree!A111</f>
        <v/>
      </c>
      <c r="B105" s="19">
        <f>Hydrogramme_entree!B111</f>
        <v/>
      </c>
      <c r="C105" s="19">
        <f>IF(A105="","",IFERROR(FORECAST(K104+B104+B105,INDEX(Courbe_de_tarage!$C$4:$C$44,MATCH(K104+B104+B105,Courbe_de_tarage!$I$4:$I$44,1)):INDEX(Courbe_de_tarage!$C$4:$C$44,MATCH(K104+B104+B105,Courbe_de_tarage!$I$4:$I$44,1)+1),INDEX(Courbe_de_tarage!$I$4:$I$44,MATCH(K104+B104+B105,Courbe_de_tarage!$I$4:$I$44,1)):INDEX(Courbe_de_tarage!$I$4:$I$44,MATCH(K104+B104+B105,Courbe_de_tarage!$I$4:$I$44,1)+1)),IFERROR(INDEX(Courbe_de_tarage!$C$4:$C$44,MATCH(K104+B104+B105,Courbe_de_tarage!$I$4:$I$44,1)),INDEX(Courbe_de_tarage!$C$4:$C$44,1))))</f>
        <v/>
      </c>
      <c r="D105" s="19">
        <f>IF(A105="","",IFERROR(FORECAST(K104+B104+B105,INDEX(Courbe_de_tarage!$D$4:$D$44,MATCH(K104+B104+B105,Courbe_de_tarage!$I$4:$I$44,1)):INDEX(Courbe_de_tarage!$D$4:$D$44,MATCH(K104+B104+B105,Courbe_de_tarage!$I$4:$I$44,1)+1),INDEX(Courbe_de_tarage!$I$4:$I$44,MATCH(K104+B104+B105,Courbe_de_tarage!$I$4:$I$44,1)):INDEX(Courbe_de_tarage!$I$4:$I$44,MATCH(K104+B104+B105,Courbe_de_tarage!$I$4:$I$44,1)+1)),IFERROR(INDEX(Courbe_de_tarage!$D$4:$D$44,MATCH(K104+B104+B105,Courbe_de_tarage!$I$4:$I$44,1)),INDEX(Courbe_de_tarage!$D$4:$D$44,1))))</f>
        <v/>
      </c>
      <c r="E105" s="19">
        <f>IF(A105="","",IFERROR(FORECAST(K104+B104+B105,INDEX(Courbe_de_tarage!$E$4:$E$44,MATCH(K104+B104+B105,Courbe_de_tarage!$I$4:$I$44,1)):INDEX(Courbe_de_tarage!$E$4:$E$44,MATCH(K104+B104+B105,Courbe_de_tarage!$I$4:$I$44,1)+1),INDEX(Courbe_de_tarage!$I$4:$I$44,MATCH(K104+B104+B105,Courbe_de_tarage!$I$4:$I$44,1)):INDEX(Courbe_de_tarage!$I$4:$I$44,MATCH(K104+B104+B105,Courbe_de_tarage!$I$4:$I$44,1)+1)),IFERROR(INDEX(Courbe_de_tarage!$E$4:$E$44,MATCH(K104+B104+B105,Courbe_de_tarage!$I$4:$I$44,1)),INDEX(Courbe_de_tarage!$E$4:$E$44,1))))</f>
        <v/>
      </c>
      <c r="F105" s="19">
        <f>IF(A105="","",IFERROR(FORECAST(K104+B104+B105,INDEX(Courbe_de_tarage!$A$4:$A$44,MATCH(K104+B104+B105,Courbe_de_tarage!$I$4:$I$44,1)):INDEX(Courbe_de_tarage!$A$4:$A$44,MATCH(K104+B104+B105,Courbe_de_tarage!$I$4:$I$44,1)+1),INDEX(Courbe_de_tarage!$I$4:$I$44,MATCH(K104+B104+B105,Courbe_de_tarage!$I$4:$I$44,1)):INDEX(Courbe_de_tarage!$I$4:$I$44,MATCH(K104+B104+B105,Courbe_de_tarage!$I$4:$I$44,1)+1)),IFERROR(INDEX(Courbe_de_tarage!$A$4:$A$44,MATCH(K104+B104+B105,Courbe_de_tarage!$I$4:$I$44,1)),INDEX(Courbe_de_tarage!$A$4:$A$44,1))))</f>
        <v/>
      </c>
      <c r="G105" s="19">
        <f>IF(A105="","",35.36+F105)</f>
        <v/>
      </c>
      <c r="H105" s="19">
        <f>IF(A105="","",IFERROR(FORECAST(K104+B104+B105,INDEX(Courbe_de_tarage!$H$4:$H$44,MATCH(K104+B104+B105,Courbe_de_tarage!$I$4:$I$44,1)):INDEX(Courbe_de_tarage!$H$4:$H$44,MATCH(K104+B104+B105,Courbe_de_tarage!$I$4:$I$44,1)+1),INDEX(Courbe_de_tarage!$I$4:$I$44,MATCH(K104+B104+B105,Courbe_de_tarage!$I$4:$I$44,1)):INDEX(Courbe_de_tarage!$I$4:$I$44,MATCH(K104+B104+B105,Courbe_de_tarage!$I$4:$I$44,1)+1)),IFERROR(INDEX(Courbe_de_tarage!$H$4:$H$44,MATCH(K104+B104+B105,Courbe_de_tarage!$I$4:$I$44,1)),INDEX(Courbe_de_tarage!$H$4:$H$44,1))))</f>
        <v/>
      </c>
      <c r="I105" s="4">
        <f>IF(G105="","",IF(G105&gt;37.4,"OUI",""))</f>
        <v/>
      </c>
      <c r="J105" s="19">
        <f>IF(A105="","",K104+B104+B105)</f>
        <v/>
      </c>
      <c r="K105" s="19">
        <f>IF(A105="","",2*H105/(Hydrogramme_entree!$B$8*60)-E105)</f>
        <v/>
      </c>
    </row>
    <row r="106">
      <c r="A106" s="4">
        <f>Hydrogramme_entree!A112</f>
        <v/>
      </c>
      <c r="B106" s="19">
        <f>Hydrogramme_entree!B112</f>
        <v/>
      </c>
      <c r="C106" s="19">
        <f>IF(A106="","",IFERROR(FORECAST(K105+B105+B106,INDEX(Courbe_de_tarage!$C$4:$C$44,MATCH(K105+B105+B106,Courbe_de_tarage!$I$4:$I$44,1)):INDEX(Courbe_de_tarage!$C$4:$C$44,MATCH(K105+B105+B106,Courbe_de_tarage!$I$4:$I$44,1)+1),INDEX(Courbe_de_tarage!$I$4:$I$44,MATCH(K105+B105+B106,Courbe_de_tarage!$I$4:$I$44,1)):INDEX(Courbe_de_tarage!$I$4:$I$44,MATCH(K105+B105+B106,Courbe_de_tarage!$I$4:$I$44,1)+1)),IFERROR(INDEX(Courbe_de_tarage!$C$4:$C$44,MATCH(K105+B105+B106,Courbe_de_tarage!$I$4:$I$44,1)),INDEX(Courbe_de_tarage!$C$4:$C$44,1))))</f>
        <v/>
      </c>
      <c r="D106" s="19">
        <f>IF(A106="","",IFERROR(FORECAST(K105+B105+B106,INDEX(Courbe_de_tarage!$D$4:$D$44,MATCH(K105+B105+B106,Courbe_de_tarage!$I$4:$I$44,1)):INDEX(Courbe_de_tarage!$D$4:$D$44,MATCH(K105+B105+B106,Courbe_de_tarage!$I$4:$I$44,1)+1),INDEX(Courbe_de_tarage!$I$4:$I$44,MATCH(K105+B105+B106,Courbe_de_tarage!$I$4:$I$44,1)):INDEX(Courbe_de_tarage!$I$4:$I$44,MATCH(K105+B105+B106,Courbe_de_tarage!$I$4:$I$44,1)+1)),IFERROR(INDEX(Courbe_de_tarage!$D$4:$D$44,MATCH(K105+B105+B106,Courbe_de_tarage!$I$4:$I$44,1)),INDEX(Courbe_de_tarage!$D$4:$D$44,1))))</f>
        <v/>
      </c>
      <c r="E106" s="19">
        <f>IF(A106="","",IFERROR(FORECAST(K105+B105+B106,INDEX(Courbe_de_tarage!$E$4:$E$44,MATCH(K105+B105+B106,Courbe_de_tarage!$I$4:$I$44,1)):INDEX(Courbe_de_tarage!$E$4:$E$44,MATCH(K105+B105+B106,Courbe_de_tarage!$I$4:$I$44,1)+1),INDEX(Courbe_de_tarage!$I$4:$I$44,MATCH(K105+B105+B106,Courbe_de_tarage!$I$4:$I$44,1)):INDEX(Courbe_de_tarage!$I$4:$I$44,MATCH(K105+B105+B106,Courbe_de_tarage!$I$4:$I$44,1)+1)),IFERROR(INDEX(Courbe_de_tarage!$E$4:$E$44,MATCH(K105+B105+B106,Courbe_de_tarage!$I$4:$I$44,1)),INDEX(Courbe_de_tarage!$E$4:$E$44,1))))</f>
        <v/>
      </c>
      <c r="F106" s="19">
        <f>IF(A106="","",IFERROR(FORECAST(K105+B105+B106,INDEX(Courbe_de_tarage!$A$4:$A$44,MATCH(K105+B105+B106,Courbe_de_tarage!$I$4:$I$44,1)):INDEX(Courbe_de_tarage!$A$4:$A$44,MATCH(K105+B105+B106,Courbe_de_tarage!$I$4:$I$44,1)+1),INDEX(Courbe_de_tarage!$I$4:$I$44,MATCH(K105+B105+B106,Courbe_de_tarage!$I$4:$I$44,1)):INDEX(Courbe_de_tarage!$I$4:$I$44,MATCH(K105+B105+B106,Courbe_de_tarage!$I$4:$I$44,1)+1)),IFERROR(INDEX(Courbe_de_tarage!$A$4:$A$44,MATCH(K105+B105+B106,Courbe_de_tarage!$I$4:$I$44,1)),INDEX(Courbe_de_tarage!$A$4:$A$44,1))))</f>
        <v/>
      </c>
      <c r="G106" s="19">
        <f>IF(A106="","",35.36+F106)</f>
        <v/>
      </c>
      <c r="H106" s="19">
        <f>IF(A106="","",IFERROR(FORECAST(K105+B105+B106,INDEX(Courbe_de_tarage!$H$4:$H$44,MATCH(K105+B105+B106,Courbe_de_tarage!$I$4:$I$44,1)):INDEX(Courbe_de_tarage!$H$4:$H$44,MATCH(K105+B105+B106,Courbe_de_tarage!$I$4:$I$44,1)+1),INDEX(Courbe_de_tarage!$I$4:$I$44,MATCH(K105+B105+B106,Courbe_de_tarage!$I$4:$I$44,1)):INDEX(Courbe_de_tarage!$I$4:$I$44,MATCH(K105+B105+B106,Courbe_de_tarage!$I$4:$I$44,1)+1)),IFERROR(INDEX(Courbe_de_tarage!$H$4:$H$44,MATCH(K105+B105+B106,Courbe_de_tarage!$I$4:$I$44,1)),INDEX(Courbe_de_tarage!$H$4:$H$44,1))))</f>
        <v/>
      </c>
      <c r="I106" s="4">
        <f>IF(G106="","",IF(G106&gt;37.4,"OUI",""))</f>
        <v/>
      </c>
      <c r="J106" s="19">
        <f>IF(A106="","",K105+B105+B106)</f>
        <v/>
      </c>
      <c r="K106" s="19">
        <f>IF(A106="","",2*H106/(Hydrogramme_entree!$B$8*60)-E106)</f>
        <v/>
      </c>
    </row>
    <row r="107">
      <c r="A107" s="4">
        <f>Hydrogramme_entree!A113</f>
        <v/>
      </c>
      <c r="B107" s="19">
        <f>Hydrogramme_entree!B113</f>
        <v/>
      </c>
      <c r="C107" s="19">
        <f>IF(A107="","",IFERROR(FORECAST(K106+B106+B107,INDEX(Courbe_de_tarage!$C$4:$C$44,MATCH(K106+B106+B107,Courbe_de_tarage!$I$4:$I$44,1)):INDEX(Courbe_de_tarage!$C$4:$C$44,MATCH(K106+B106+B107,Courbe_de_tarage!$I$4:$I$44,1)+1),INDEX(Courbe_de_tarage!$I$4:$I$44,MATCH(K106+B106+B107,Courbe_de_tarage!$I$4:$I$44,1)):INDEX(Courbe_de_tarage!$I$4:$I$44,MATCH(K106+B106+B107,Courbe_de_tarage!$I$4:$I$44,1)+1)),IFERROR(INDEX(Courbe_de_tarage!$C$4:$C$44,MATCH(K106+B106+B107,Courbe_de_tarage!$I$4:$I$44,1)),INDEX(Courbe_de_tarage!$C$4:$C$44,1))))</f>
        <v/>
      </c>
      <c r="D107" s="19">
        <f>IF(A107="","",IFERROR(FORECAST(K106+B106+B107,INDEX(Courbe_de_tarage!$D$4:$D$44,MATCH(K106+B106+B107,Courbe_de_tarage!$I$4:$I$44,1)):INDEX(Courbe_de_tarage!$D$4:$D$44,MATCH(K106+B106+B107,Courbe_de_tarage!$I$4:$I$44,1)+1),INDEX(Courbe_de_tarage!$I$4:$I$44,MATCH(K106+B106+B107,Courbe_de_tarage!$I$4:$I$44,1)):INDEX(Courbe_de_tarage!$I$4:$I$44,MATCH(K106+B106+B107,Courbe_de_tarage!$I$4:$I$44,1)+1)),IFERROR(INDEX(Courbe_de_tarage!$D$4:$D$44,MATCH(K106+B106+B107,Courbe_de_tarage!$I$4:$I$44,1)),INDEX(Courbe_de_tarage!$D$4:$D$44,1))))</f>
        <v/>
      </c>
      <c r="E107" s="19">
        <f>IF(A107="","",IFERROR(FORECAST(K106+B106+B107,INDEX(Courbe_de_tarage!$E$4:$E$44,MATCH(K106+B106+B107,Courbe_de_tarage!$I$4:$I$44,1)):INDEX(Courbe_de_tarage!$E$4:$E$44,MATCH(K106+B106+B107,Courbe_de_tarage!$I$4:$I$44,1)+1),INDEX(Courbe_de_tarage!$I$4:$I$44,MATCH(K106+B106+B107,Courbe_de_tarage!$I$4:$I$44,1)):INDEX(Courbe_de_tarage!$I$4:$I$44,MATCH(K106+B106+B107,Courbe_de_tarage!$I$4:$I$44,1)+1)),IFERROR(INDEX(Courbe_de_tarage!$E$4:$E$44,MATCH(K106+B106+B107,Courbe_de_tarage!$I$4:$I$44,1)),INDEX(Courbe_de_tarage!$E$4:$E$44,1))))</f>
        <v/>
      </c>
      <c r="F107" s="19">
        <f>IF(A107="","",IFERROR(FORECAST(K106+B106+B107,INDEX(Courbe_de_tarage!$A$4:$A$44,MATCH(K106+B106+B107,Courbe_de_tarage!$I$4:$I$44,1)):INDEX(Courbe_de_tarage!$A$4:$A$44,MATCH(K106+B106+B107,Courbe_de_tarage!$I$4:$I$44,1)+1),INDEX(Courbe_de_tarage!$I$4:$I$44,MATCH(K106+B106+B107,Courbe_de_tarage!$I$4:$I$44,1)):INDEX(Courbe_de_tarage!$I$4:$I$44,MATCH(K106+B106+B107,Courbe_de_tarage!$I$4:$I$44,1)+1)),IFERROR(INDEX(Courbe_de_tarage!$A$4:$A$44,MATCH(K106+B106+B107,Courbe_de_tarage!$I$4:$I$44,1)),INDEX(Courbe_de_tarage!$A$4:$A$44,1))))</f>
        <v/>
      </c>
      <c r="G107" s="19">
        <f>IF(A107="","",35.36+F107)</f>
        <v/>
      </c>
      <c r="H107" s="19">
        <f>IF(A107="","",IFERROR(FORECAST(K106+B106+B107,INDEX(Courbe_de_tarage!$H$4:$H$44,MATCH(K106+B106+B107,Courbe_de_tarage!$I$4:$I$44,1)):INDEX(Courbe_de_tarage!$H$4:$H$44,MATCH(K106+B106+B107,Courbe_de_tarage!$I$4:$I$44,1)+1),INDEX(Courbe_de_tarage!$I$4:$I$44,MATCH(K106+B106+B107,Courbe_de_tarage!$I$4:$I$44,1)):INDEX(Courbe_de_tarage!$I$4:$I$44,MATCH(K106+B106+B107,Courbe_de_tarage!$I$4:$I$44,1)+1)),IFERROR(INDEX(Courbe_de_tarage!$H$4:$H$44,MATCH(K106+B106+B107,Courbe_de_tarage!$I$4:$I$44,1)),INDEX(Courbe_de_tarage!$H$4:$H$44,1))))</f>
        <v/>
      </c>
      <c r="I107" s="4">
        <f>IF(G107="","",IF(G107&gt;37.4,"OUI",""))</f>
        <v/>
      </c>
      <c r="J107" s="19">
        <f>IF(A107="","",K106+B106+B107)</f>
        <v/>
      </c>
      <c r="K107" s="19">
        <f>IF(A107="","",2*H107/(Hydrogramme_entree!$B$8*60)-E107)</f>
        <v/>
      </c>
    </row>
    <row r="108">
      <c r="A108" s="4">
        <f>Hydrogramme_entree!A114</f>
        <v/>
      </c>
      <c r="B108" s="19">
        <f>Hydrogramme_entree!B114</f>
        <v/>
      </c>
      <c r="C108" s="19">
        <f>IF(A108="","",IFERROR(FORECAST(K107+B107+B108,INDEX(Courbe_de_tarage!$C$4:$C$44,MATCH(K107+B107+B108,Courbe_de_tarage!$I$4:$I$44,1)):INDEX(Courbe_de_tarage!$C$4:$C$44,MATCH(K107+B107+B108,Courbe_de_tarage!$I$4:$I$44,1)+1),INDEX(Courbe_de_tarage!$I$4:$I$44,MATCH(K107+B107+B108,Courbe_de_tarage!$I$4:$I$44,1)):INDEX(Courbe_de_tarage!$I$4:$I$44,MATCH(K107+B107+B108,Courbe_de_tarage!$I$4:$I$44,1)+1)),IFERROR(INDEX(Courbe_de_tarage!$C$4:$C$44,MATCH(K107+B107+B108,Courbe_de_tarage!$I$4:$I$44,1)),INDEX(Courbe_de_tarage!$C$4:$C$44,1))))</f>
        <v/>
      </c>
      <c r="D108" s="19">
        <f>IF(A108="","",IFERROR(FORECAST(K107+B107+B108,INDEX(Courbe_de_tarage!$D$4:$D$44,MATCH(K107+B107+B108,Courbe_de_tarage!$I$4:$I$44,1)):INDEX(Courbe_de_tarage!$D$4:$D$44,MATCH(K107+B107+B108,Courbe_de_tarage!$I$4:$I$44,1)+1),INDEX(Courbe_de_tarage!$I$4:$I$44,MATCH(K107+B107+B108,Courbe_de_tarage!$I$4:$I$44,1)):INDEX(Courbe_de_tarage!$I$4:$I$44,MATCH(K107+B107+B108,Courbe_de_tarage!$I$4:$I$44,1)+1)),IFERROR(INDEX(Courbe_de_tarage!$D$4:$D$44,MATCH(K107+B107+B108,Courbe_de_tarage!$I$4:$I$44,1)),INDEX(Courbe_de_tarage!$D$4:$D$44,1))))</f>
        <v/>
      </c>
      <c r="E108" s="19">
        <f>IF(A108="","",IFERROR(FORECAST(K107+B107+B108,INDEX(Courbe_de_tarage!$E$4:$E$44,MATCH(K107+B107+B108,Courbe_de_tarage!$I$4:$I$44,1)):INDEX(Courbe_de_tarage!$E$4:$E$44,MATCH(K107+B107+B108,Courbe_de_tarage!$I$4:$I$44,1)+1),INDEX(Courbe_de_tarage!$I$4:$I$44,MATCH(K107+B107+B108,Courbe_de_tarage!$I$4:$I$44,1)):INDEX(Courbe_de_tarage!$I$4:$I$44,MATCH(K107+B107+B108,Courbe_de_tarage!$I$4:$I$44,1)+1)),IFERROR(INDEX(Courbe_de_tarage!$E$4:$E$44,MATCH(K107+B107+B108,Courbe_de_tarage!$I$4:$I$44,1)),INDEX(Courbe_de_tarage!$E$4:$E$44,1))))</f>
        <v/>
      </c>
      <c r="F108" s="19">
        <f>IF(A108="","",IFERROR(FORECAST(K107+B107+B108,INDEX(Courbe_de_tarage!$A$4:$A$44,MATCH(K107+B107+B108,Courbe_de_tarage!$I$4:$I$44,1)):INDEX(Courbe_de_tarage!$A$4:$A$44,MATCH(K107+B107+B108,Courbe_de_tarage!$I$4:$I$44,1)+1),INDEX(Courbe_de_tarage!$I$4:$I$44,MATCH(K107+B107+B108,Courbe_de_tarage!$I$4:$I$44,1)):INDEX(Courbe_de_tarage!$I$4:$I$44,MATCH(K107+B107+B108,Courbe_de_tarage!$I$4:$I$44,1)+1)),IFERROR(INDEX(Courbe_de_tarage!$A$4:$A$44,MATCH(K107+B107+B108,Courbe_de_tarage!$I$4:$I$44,1)),INDEX(Courbe_de_tarage!$A$4:$A$44,1))))</f>
        <v/>
      </c>
      <c r="G108" s="19">
        <f>IF(A108="","",35.36+F108)</f>
        <v/>
      </c>
      <c r="H108" s="19">
        <f>IF(A108="","",IFERROR(FORECAST(K107+B107+B108,INDEX(Courbe_de_tarage!$H$4:$H$44,MATCH(K107+B107+B108,Courbe_de_tarage!$I$4:$I$44,1)):INDEX(Courbe_de_tarage!$H$4:$H$44,MATCH(K107+B107+B108,Courbe_de_tarage!$I$4:$I$44,1)+1),INDEX(Courbe_de_tarage!$I$4:$I$44,MATCH(K107+B107+B108,Courbe_de_tarage!$I$4:$I$44,1)):INDEX(Courbe_de_tarage!$I$4:$I$44,MATCH(K107+B107+B108,Courbe_de_tarage!$I$4:$I$44,1)+1)),IFERROR(INDEX(Courbe_de_tarage!$H$4:$H$44,MATCH(K107+B107+B108,Courbe_de_tarage!$I$4:$I$44,1)),INDEX(Courbe_de_tarage!$H$4:$H$44,1))))</f>
        <v/>
      </c>
      <c r="I108" s="4">
        <f>IF(G108="","",IF(G108&gt;37.4,"OUI",""))</f>
        <v/>
      </c>
      <c r="J108" s="19">
        <f>IF(A108="","",K107+B107+B108)</f>
        <v/>
      </c>
      <c r="K108" s="19">
        <f>IF(A108="","",2*H108/(Hydrogramme_entree!$B$8*60)-E108)</f>
        <v/>
      </c>
    </row>
    <row r="109">
      <c r="A109" s="4">
        <f>Hydrogramme_entree!A115</f>
        <v/>
      </c>
      <c r="B109" s="19">
        <f>Hydrogramme_entree!B115</f>
        <v/>
      </c>
      <c r="C109" s="19">
        <f>IF(A109="","",IFERROR(FORECAST(K108+B108+B109,INDEX(Courbe_de_tarage!$C$4:$C$44,MATCH(K108+B108+B109,Courbe_de_tarage!$I$4:$I$44,1)):INDEX(Courbe_de_tarage!$C$4:$C$44,MATCH(K108+B108+B109,Courbe_de_tarage!$I$4:$I$44,1)+1),INDEX(Courbe_de_tarage!$I$4:$I$44,MATCH(K108+B108+B109,Courbe_de_tarage!$I$4:$I$44,1)):INDEX(Courbe_de_tarage!$I$4:$I$44,MATCH(K108+B108+B109,Courbe_de_tarage!$I$4:$I$44,1)+1)),IFERROR(INDEX(Courbe_de_tarage!$C$4:$C$44,MATCH(K108+B108+B109,Courbe_de_tarage!$I$4:$I$44,1)),INDEX(Courbe_de_tarage!$C$4:$C$44,1))))</f>
        <v/>
      </c>
      <c r="D109" s="19">
        <f>IF(A109="","",IFERROR(FORECAST(K108+B108+B109,INDEX(Courbe_de_tarage!$D$4:$D$44,MATCH(K108+B108+B109,Courbe_de_tarage!$I$4:$I$44,1)):INDEX(Courbe_de_tarage!$D$4:$D$44,MATCH(K108+B108+B109,Courbe_de_tarage!$I$4:$I$44,1)+1),INDEX(Courbe_de_tarage!$I$4:$I$44,MATCH(K108+B108+B109,Courbe_de_tarage!$I$4:$I$44,1)):INDEX(Courbe_de_tarage!$I$4:$I$44,MATCH(K108+B108+B109,Courbe_de_tarage!$I$4:$I$44,1)+1)),IFERROR(INDEX(Courbe_de_tarage!$D$4:$D$44,MATCH(K108+B108+B109,Courbe_de_tarage!$I$4:$I$44,1)),INDEX(Courbe_de_tarage!$D$4:$D$44,1))))</f>
        <v/>
      </c>
      <c r="E109" s="19">
        <f>IF(A109="","",IFERROR(FORECAST(K108+B108+B109,INDEX(Courbe_de_tarage!$E$4:$E$44,MATCH(K108+B108+B109,Courbe_de_tarage!$I$4:$I$44,1)):INDEX(Courbe_de_tarage!$E$4:$E$44,MATCH(K108+B108+B109,Courbe_de_tarage!$I$4:$I$44,1)+1),INDEX(Courbe_de_tarage!$I$4:$I$44,MATCH(K108+B108+B109,Courbe_de_tarage!$I$4:$I$44,1)):INDEX(Courbe_de_tarage!$I$4:$I$44,MATCH(K108+B108+B109,Courbe_de_tarage!$I$4:$I$44,1)+1)),IFERROR(INDEX(Courbe_de_tarage!$E$4:$E$44,MATCH(K108+B108+B109,Courbe_de_tarage!$I$4:$I$44,1)),INDEX(Courbe_de_tarage!$E$4:$E$44,1))))</f>
        <v/>
      </c>
      <c r="F109" s="19">
        <f>IF(A109="","",IFERROR(FORECAST(K108+B108+B109,INDEX(Courbe_de_tarage!$A$4:$A$44,MATCH(K108+B108+B109,Courbe_de_tarage!$I$4:$I$44,1)):INDEX(Courbe_de_tarage!$A$4:$A$44,MATCH(K108+B108+B109,Courbe_de_tarage!$I$4:$I$44,1)+1),INDEX(Courbe_de_tarage!$I$4:$I$44,MATCH(K108+B108+B109,Courbe_de_tarage!$I$4:$I$44,1)):INDEX(Courbe_de_tarage!$I$4:$I$44,MATCH(K108+B108+B109,Courbe_de_tarage!$I$4:$I$44,1)+1)),IFERROR(INDEX(Courbe_de_tarage!$A$4:$A$44,MATCH(K108+B108+B109,Courbe_de_tarage!$I$4:$I$44,1)),INDEX(Courbe_de_tarage!$A$4:$A$44,1))))</f>
        <v/>
      </c>
      <c r="G109" s="19">
        <f>IF(A109="","",35.36+F109)</f>
        <v/>
      </c>
      <c r="H109" s="19">
        <f>IF(A109="","",IFERROR(FORECAST(K108+B108+B109,INDEX(Courbe_de_tarage!$H$4:$H$44,MATCH(K108+B108+B109,Courbe_de_tarage!$I$4:$I$44,1)):INDEX(Courbe_de_tarage!$H$4:$H$44,MATCH(K108+B108+B109,Courbe_de_tarage!$I$4:$I$44,1)+1),INDEX(Courbe_de_tarage!$I$4:$I$44,MATCH(K108+B108+B109,Courbe_de_tarage!$I$4:$I$44,1)):INDEX(Courbe_de_tarage!$I$4:$I$44,MATCH(K108+B108+B109,Courbe_de_tarage!$I$4:$I$44,1)+1)),IFERROR(INDEX(Courbe_de_tarage!$H$4:$H$44,MATCH(K108+B108+B109,Courbe_de_tarage!$I$4:$I$44,1)),INDEX(Courbe_de_tarage!$H$4:$H$44,1))))</f>
        <v/>
      </c>
      <c r="I109" s="4">
        <f>IF(G109="","",IF(G109&gt;37.4,"OUI",""))</f>
        <v/>
      </c>
      <c r="J109" s="19">
        <f>IF(A109="","",K108+B108+B109)</f>
        <v/>
      </c>
      <c r="K109" s="19">
        <f>IF(A109="","",2*H109/(Hydrogramme_entree!$B$8*60)-E109)</f>
        <v/>
      </c>
    </row>
    <row r="110">
      <c r="A110" s="4">
        <f>Hydrogramme_entree!A116</f>
        <v/>
      </c>
      <c r="B110" s="19">
        <f>Hydrogramme_entree!B116</f>
        <v/>
      </c>
      <c r="C110" s="19">
        <f>IF(A110="","",IFERROR(FORECAST(K109+B109+B110,INDEX(Courbe_de_tarage!$C$4:$C$44,MATCH(K109+B109+B110,Courbe_de_tarage!$I$4:$I$44,1)):INDEX(Courbe_de_tarage!$C$4:$C$44,MATCH(K109+B109+B110,Courbe_de_tarage!$I$4:$I$44,1)+1),INDEX(Courbe_de_tarage!$I$4:$I$44,MATCH(K109+B109+B110,Courbe_de_tarage!$I$4:$I$44,1)):INDEX(Courbe_de_tarage!$I$4:$I$44,MATCH(K109+B109+B110,Courbe_de_tarage!$I$4:$I$44,1)+1)),IFERROR(INDEX(Courbe_de_tarage!$C$4:$C$44,MATCH(K109+B109+B110,Courbe_de_tarage!$I$4:$I$44,1)),INDEX(Courbe_de_tarage!$C$4:$C$44,1))))</f>
        <v/>
      </c>
      <c r="D110" s="19">
        <f>IF(A110="","",IFERROR(FORECAST(K109+B109+B110,INDEX(Courbe_de_tarage!$D$4:$D$44,MATCH(K109+B109+B110,Courbe_de_tarage!$I$4:$I$44,1)):INDEX(Courbe_de_tarage!$D$4:$D$44,MATCH(K109+B109+B110,Courbe_de_tarage!$I$4:$I$44,1)+1),INDEX(Courbe_de_tarage!$I$4:$I$44,MATCH(K109+B109+B110,Courbe_de_tarage!$I$4:$I$44,1)):INDEX(Courbe_de_tarage!$I$4:$I$44,MATCH(K109+B109+B110,Courbe_de_tarage!$I$4:$I$44,1)+1)),IFERROR(INDEX(Courbe_de_tarage!$D$4:$D$44,MATCH(K109+B109+B110,Courbe_de_tarage!$I$4:$I$44,1)),INDEX(Courbe_de_tarage!$D$4:$D$44,1))))</f>
        <v/>
      </c>
      <c r="E110" s="19">
        <f>IF(A110="","",IFERROR(FORECAST(K109+B109+B110,INDEX(Courbe_de_tarage!$E$4:$E$44,MATCH(K109+B109+B110,Courbe_de_tarage!$I$4:$I$44,1)):INDEX(Courbe_de_tarage!$E$4:$E$44,MATCH(K109+B109+B110,Courbe_de_tarage!$I$4:$I$44,1)+1),INDEX(Courbe_de_tarage!$I$4:$I$44,MATCH(K109+B109+B110,Courbe_de_tarage!$I$4:$I$44,1)):INDEX(Courbe_de_tarage!$I$4:$I$44,MATCH(K109+B109+B110,Courbe_de_tarage!$I$4:$I$44,1)+1)),IFERROR(INDEX(Courbe_de_tarage!$E$4:$E$44,MATCH(K109+B109+B110,Courbe_de_tarage!$I$4:$I$44,1)),INDEX(Courbe_de_tarage!$E$4:$E$44,1))))</f>
        <v/>
      </c>
      <c r="F110" s="19">
        <f>IF(A110="","",IFERROR(FORECAST(K109+B109+B110,INDEX(Courbe_de_tarage!$A$4:$A$44,MATCH(K109+B109+B110,Courbe_de_tarage!$I$4:$I$44,1)):INDEX(Courbe_de_tarage!$A$4:$A$44,MATCH(K109+B109+B110,Courbe_de_tarage!$I$4:$I$44,1)+1),INDEX(Courbe_de_tarage!$I$4:$I$44,MATCH(K109+B109+B110,Courbe_de_tarage!$I$4:$I$44,1)):INDEX(Courbe_de_tarage!$I$4:$I$44,MATCH(K109+B109+B110,Courbe_de_tarage!$I$4:$I$44,1)+1)),IFERROR(INDEX(Courbe_de_tarage!$A$4:$A$44,MATCH(K109+B109+B110,Courbe_de_tarage!$I$4:$I$44,1)),INDEX(Courbe_de_tarage!$A$4:$A$44,1))))</f>
        <v/>
      </c>
      <c r="G110" s="19">
        <f>IF(A110="","",35.36+F110)</f>
        <v/>
      </c>
      <c r="H110" s="19">
        <f>IF(A110="","",IFERROR(FORECAST(K109+B109+B110,INDEX(Courbe_de_tarage!$H$4:$H$44,MATCH(K109+B109+B110,Courbe_de_tarage!$I$4:$I$44,1)):INDEX(Courbe_de_tarage!$H$4:$H$44,MATCH(K109+B109+B110,Courbe_de_tarage!$I$4:$I$44,1)+1),INDEX(Courbe_de_tarage!$I$4:$I$44,MATCH(K109+B109+B110,Courbe_de_tarage!$I$4:$I$44,1)):INDEX(Courbe_de_tarage!$I$4:$I$44,MATCH(K109+B109+B110,Courbe_de_tarage!$I$4:$I$44,1)+1)),IFERROR(INDEX(Courbe_de_tarage!$H$4:$H$44,MATCH(K109+B109+B110,Courbe_de_tarage!$I$4:$I$44,1)),INDEX(Courbe_de_tarage!$H$4:$H$44,1))))</f>
        <v/>
      </c>
      <c r="I110" s="4">
        <f>IF(G110="","",IF(G110&gt;37.4,"OUI",""))</f>
        <v/>
      </c>
      <c r="J110" s="19">
        <f>IF(A110="","",K109+B109+B110)</f>
        <v/>
      </c>
      <c r="K110" s="19">
        <f>IF(A110="","",2*H110/(Hydrogramme_entree!$B$8*60)-E110)</f>
        <v/>
      </c>
    </row>
    <row r="111">
      <c r="A111" s="4">
        <f>Hydrogramme_entree!A117</f>
        <v/>
      </c>
      <c r="B111" s="19">
        <f>Hydrogramme_entree!B117</f>
        <v/>
      </c>
      <c r="C111" s="19">
        <f>IF(A111="","",IFERROR(FORECAST(K110+B110+B111,INDEX(Courbe_de_tarage!$C$4:$C$44,MATCH(K110+B110+B111,Courbe_de_tarage!$I$4:$I$44,1)):INDEX(Courbe_de_tarage!$C$4:$C$44,MATCH(K110+B110+B111,Courbe_de_tarage!$I$4:$I$44,1)+1),INDEX(Courbe_de_tarage!$I$4:$I$44,MATCH(K110+B110+B111,Courbe_de_tarage!$I$4:$I$44,1)):INDEX(Courbe_de_tarage!$I$4:$I$44,MATCH(K110+B110+B111,Courbe_de_tarage!$I$4:$I$44,1)+1)),IFERROR(INDEX(Courbe_de_tarage!$C$4:$C$44,MATCH(K110+B110+B111,Courbe_de_tarage!$I$4:$I$44,1)),INDEX(Courbe_de_tarage!$C$4:$C$44,1))))</f>
        <v/>
      </c>
      <c r="D111" s="19">
        <f>IF(A111="","",IFERROR(FORECAST(K110+B110+B111,INDEX(Courbe_de_tarage!$D$4:$D$44,MATCH(K110+B110+B111,Courbe_de_tarage!$I$4:$I$44,1)):INDEX(Courbe_de_tarage!$D$4:$D$44,MATCH(K110+B110+B111,Courbe_de_tarage!$I$4:$I$44,1)+1),INDEX(Courbe_de_tarage!$I$4:$I$44,MATCH(K110+B110+B111,Courbe_de_tarage!$I$4:$I$44,1)):INDEX(Courbe_de_tarage!$I$4:$I$44,MATCH(K110+B110+B111,Courbe_de_tarage!$I$4:$I$44,1)+1)),IFERROR(INDEX(Courbe_de_tarage!$D$4:$D$44,MATCH(K110+B110+B111,Courbe_de_tarage!$I$4:$I$44,1)),INDEX(Courbe_de_tarage!$D$4:$D$44,1))))</f>
        <v/>
      </c>
      <c r="E111" s="19">
        <f>IF(A111="","",IFERROR(FORECAST(K110+B110+B111,INDEX(Courbe_de_tarage!$E$4:$E$44,MATCH(K110+B110+B111,Courbe_de_tarage!$I$4:$I$44,1)):INDEX(Courbe_de_tarage!$E$4:$E$44,MATCH(K110+B110+B111,Courbe_de_tarage!$I$4:$I$44,1)+1),INDEX(Courbe_de_tarage!$I$4:$I$44,MATCH(K110+B110+B111,Courbe_de_tarage!$I$4:$I$44,1)):INDEX(Courbe_de_tarage!$I$4:$I$44,MATCH(K110+B110+B111,Courbe_de_tarage!$I$4:$I$44,1)+1)),IFERROR(INDEX(Courbe_de_tarage!$E$4:$E$44,MATCH(K110+B110+B111,Courbe_de_tarage!$I$4:$I$44,1)),INDEX(Courbe_de_tarage!$E$4:$E$44,1))))</f>
        <v/>
      </c>
      <c r="F111" s="19">
        <f>IF(A111="","",IFERROR(FORECAST(K110+B110+B111,INDEX(Courbe_de_tarage!$A$4:$A$44,MATCH(K110+B110+B111,Courbe_de_tarage!$I$4:$I$44,1)):INDEX(Courbe_de_tarage!$A$4:$A$44,MATCH(K110+B110+B111,Courbe_de_tarage!$I$4:$I$44,1)+1),INDEX(Courbe_de_tarage!$I$4:$I$44,MATCH(K110+B110+B111,Courbe_de_tarage!$I$4:$I$44,1)):INDEX(Courbe_de_tarage!$I$4:$I$44,MATCH(K110+B110+B111,Courbe_de_tarage!$I$4:$I$44,1)+1)),IFERROR(INDEX(Courbe_de_tarage!$A$4:$A$44,MATCH(K110+B110+B111,Courbe_de_tarage!$I$4:$I$44,1)),INDEX(Courbe_de_tarage!$A$4:$A$44,1))))</f>
        <v/>
      </c>
      <c r="G111" s="19">
        <f>IF(A111="","",35.36+F111)</f>
        <v/>
      </c>
      <c r="H111" s="19">
        <f>IF(A111="","",IFERROR(FORECAST(K110+B110+B111,INDEX(Courbe_de_tarage!$H$4:$H$44,MATCH(K110+B110+B111,Courbe_de_tarage!$I$4:$I$44,1)):INDEX(Courbe_de_tarage!$H$4:$H$44,MATCH(K110+B110+B111,Courbe_de_tarage!$I$4:$I$44,1)+1),INDEX(Courbe_de_tarage!$I$4:$I$44,MATCH(K110+B110+B111,Courbe_de_tarage!$I$4:$I$44,1)):INDEX(Courbe_de_tarage!$I$4:$I$44,MATCH(K110+B110+B111,Courbe_de_tarage!$I$4:$I$44,1)+1)),IFERROR(INDEX(Courbe_de_tarage!$H$4:$H$44,MATCH(K110+B110+B111,Courbe_de_tarage!$I$4:$I$44,1)),INDEX(Courbe_de_tarage!$H$4:$H$44,1))))</f>
        <v/>
      </c>
      <c r="I111" s="4">
        <f>IF(G111="","",IF(G111&gt;37.4,"OUI",""))</f>
        <v/>
      </c>
      <c r="J111" s="19">
        <f>IF(A111="","",K110+B110+B111)</f>
        <v/>
      </c>
      <c r="K111" s="19">
        <f>IF(A111="","",2*H111/(Hydrogramme_entree!$B$8*60)-E111)</f>
        <v/>
      </c>
    </row>
    <row r="112">
      <c r="A112" s="4">
        <f>Hydrogramme_entree!A118</f>
        <v/>
      </c>
      <c r="B112" s="19">
        <f>Hydrogramme_entree!B118</f>
        <v/>
      </c>
      <c r="C112" s="19">
        <f>IF(A112="","",IFERROR(FORECAST(K111+B111+B112,INDEX(Courbe_de_tarage!$C$4:$C$44,MATCH(K111+B111+B112,Courbe_de_tarage!$I$4:$I$44,1)):INDEX(Courbe_de_tarage!$C$4:$C$44,MATCH(K111+B111+B112,Courbe_de_tarage!$I$4:$I$44,1)+1),INDEX(Courbe_de_tarage!$I$4:$I$44,MATCH(K111+B111+B112,Courbe_de_tarage!$I$4:$I$44,1)):INDEX(Courbe_de_tarage!$I$4:$I$44,MATCH(K111+B111+B112,Courbe_de_tarage!$I$4:$I$44,1)+1)),IFERROR(INDEX(Courbe_de_tarage!$C$4:$C$44,MATCH(K111+B111+B112,Courbe_de_tarage!$I$4:$I$44,1)),INDEX(Courbe_de_tarage!$C$4:$C$44,1))))</f>
        <v/>
      </c>
      <c r="D112" s="19">
        <f>IF(A112="","",IFERROR(FORECAST(K111+B111+B112,INDEX(Courbe_de_tarage!$D$4:$D$44,MATCH(K111+B111+B112,Courbe_de_tarage!$I$4:$I$44,1)):INDEX(Courbe_de_tarage!$D$4:$D$44,MATCH(K111+B111+B112,Courbe_de_tarage!$I$4:$I$44,1)+1),INDEX(Courbe_de_tarage!$I$4:$I$44,MATCH(K111+B111+B112,Courbe_de_tarage!$I$4:$I$44,1)):INDEX(Courbe_de_tarage!$I$4:$I$44,MATCH(K111+B111+B112,Courbe_de_tarage!$I$4:$I$44,1)+1)),IFERROR(INDEX(Courbe_de_tarage!$D$4:$D$44,MATCH(K111+B111+B112,Courbe_de_tarage!$I$4:$I$44,1)),INDEX(Courbe_de_tarage!$D$4:$D$44,1))))</f>
        <v/>
      </c>
      <c r="E112" s="19">
        <f>IF(A112="","",IFERROR(FORECAST(K111+B111+B112,INDEX(Courbe_de_tarage!$E$4:$E$44,MATCH(K111+B111+B112,Courbe_de_tarage!$I$4:$I$44,1)):INDEX(Courbe_de_tarage!$E$4:$E$44,MATCH(K111+B111+B112,Courbe_de_tarage!$I$4:$I$44,1)+1),INDEX(Courbe_de_tarage!$I$4:$I$44,MATCH(K111+B111+B112,Courbe_de_tarage!$I$4:$I$44,1)):INDEX(Courbe_de_tarage!$I$4:$I$44,MATCH(K111+B111+B112,Courbe_de_tarage!$I$4:$I$44,1)+1)),IFERROR(INDEX(Courbe_de_tarage!$E$4:$E$44,MATCH(K111+B111+B112,Courbe_de_tarage!$I$4:$I$44,1)),INDEX(Courbe_de_tarage!$E$4:$E$44,1))))</f>
        <v/>
      </c>
      <c r="F112" s="19">
        <f>IF(A112="","",IFERROR(FORECAST(K111+B111+B112,INDEX(Courbe_de_tarage!$A$4:$A$44,MATCH(K111+B111+B112,Courbe_de_tarage!$I$4:$I$44,1)):INDEX(Courbe_de_tarage!$A$4:$A$44,MATCH(K111+B111+B112,Courbe_de_tarage!$I$4:$I$44,1)+1),INDEX(Courbe_de_tarage!$I$4:$I$44,MATCH(K111+B111+B112,Courbe_de_tarage!$I$4:$I$44,1)):INDEX(Courbe_de_tarage!$I$4:$I$44,MATCH(K111+B111+B112,Courbe_de_tarage!$I$4:$I$44,1)+1)),IFERROR(INDEX(Courbe_de_tarage!$A$4:$A$44,MATCH(K111+B111+B112,Courbe_de_tarage!$I$4:$I$44,1)),INDEX(Courbe_de_tarage!$A$4:$A$44,1))))</f>
        <v/>
      </c>
      <c r="G112" s="19">
        <f>IF(A112="","",35.36+F112)</f>
        <v/>
      </c>
      <c r="H112" s="19">
        <f>IF(A112="","",IFERROR(FORECAST(K111+B111+B112,INDEX(Courbe_de_tarage!$H$4:$H$44,MATCH(K111+B111+B112,Courbe_de_tarage!$I$4:$I$44,1)):INDEX(Courbe_de_tarage!$H$4:$H$44,MATCH(K111+B111+B112,Courbe_de_tarage!$I$4:$I$44,1)+1),INDEX(Courbe_de_tarage!$I$4:$I$44,MATCH(K111+B111+B112,Courbe_de_tarage!$I$4:$I$44,1)):INDEX(Courbe_de_tarage!$I$4:$I$44,MATCH(K111+B111+B112,Courbe_de_tarage!$I$4:$I$44,1)+1)),IFERROR(INDEX(Courbe_de_tarage!$H$4:$H$44,MATCH(K111+B111+B112,Courbe_de_tarage!$I$4:$I$44,1)),INDEX(Courbe_de_tarage!$H$4:$H$44,1))))</f>
        <v/>
      </c>
      <c r="I112" s="4">
        <f>IF(G112="","",IF(G112&gt;37.4,"OUI",""))</f>
        <v/>
      </c>
      <c r="J112" s="19">
        <f>IF(A112="","",K111+B111+B112)</f>
        <v/>
      </c>
      <c r="K112" s="19">
        <f>IF(A112="","",2*H112/(Hydrogramme_entree!$B$8*60)-E112)</f>
        <v/>
      </c>
    </row>
    <row r="113">
      <c r="A113" s="4">
        <f>Hydrogramme_entree!A119</f>
        <v/>
      </c>
      <c r="B113" s="19">
        <f>Hydrogramme_entree!B119</f>
        <v/>
      </c>
      <c r="C113" s="19">
        <f>IF(A113="","",IFERROR(FORECAST(K112+B112+B113,INDEX(Courbe_de_tarage!$C$4:$C$44,MATCH(K112+B112+B113,Courbe_de_tarage!$I$4:$I$44,1)):INDEX(Courbe_de_tarage!$C$4:$C$44,MATCH(K112+B112+B113,Courbe_de_tarage!$I$4:$I$44,1)+1),INDEX(Courbe_de_tarage!$I$4:$I$44,MATCH(K112+B112+B113,Courbe_de_tarage!$I$4:$I$44,1)):INDEX(Courbe_de_tarage!$I$4:$I$44,MATCH(K112+B112+B113,Courbe_de_tarage!$I$4:$I$44,1)+1)),IFERROR(INDEX(Courbe_de_tarage!$C$4:$C$44,MATCH(K112+B112+B113,Courbe_de_tarage!$I$4:$I$44,1)),INDEX(Courbe_de_tarage!$C$4:$C$44,1))))</f>
        <v/>
      </c>
      <c r="D113" s="19">
        <f>IF(A113="","",IFERROR(FORECAST(K112+B112+B113,INDEX(Courbe_de_tarage!$D$4:$D$44,MATCH(K112+B112+B113,Courbe_de_tarage!$I$4:$I$44,1)):INDEX(Courbe_de_tarage!$D$4:$D$44,MATCH(K112+B112+B113,Courbe_de_tarage!$I$4:$I$44,1)+1),INDEX(Courbe_de_tarage!$I$4:$I$44,MATCH(K112+B112+B113,Courbe_de_tarage!$I$4:$I$44,1)):INDEX(Courbe_de_tarage!$I$4:$I$44,MATCH(K112+B112+B113,Courbe_de_tarage!$I$4:$I$44,1)+1)),IFERROR(INDEX(Courbe_de_tarage!$D$4:$D$44,MATCH(K112+B112+B113,Courbe_de_tarage!$I$4:$I$44,1)),INDEX(Courbe_de_tarage!$D$4:$D$44,1))))</f>
        <v/>
      </c>
      <c r="E113" s="19">
        <f>IF(A113="","",IFERROR(FORECAST(K112+B112+B113,INDEX(Courbe_de_tarage!$E$4:$E$44,MATCH(K112+B112+B113,Courbe_de_tarage!$I$4:$I$44,1)):INDEX(Courbe_de_tarage!$E$4:$E$44,MATCH(K112+B112+B113,Courbe_de_tarage!$I$4:$I$44,1)+1),INDEX(Courbe_de_tarage!$I$4:$I$44,MATCH(K112+B112+B113,Courbe_de_tarage!$I$4:$I$44,1)):INDEX(Courbe_de_tarage!$I$4:$I$44,MATCH(K112+B112+B113,Courbe_de_tarage!$I$4:$I$44,1)+1)),IFERROR(INDEX(Courbe_de_tarage!$E$4:$E$44,MATCH(K112+B112+B113,Courbe_de_tarage!$I$4:$I$44,1)),INDEX(Courbe_de_tarage!$E$4:$E$44,1))))</f>
        <v/>
      </c>
      <c r="F113" s="19">
        <f>IF(A113="","",IFERROR(FORECAST(K112+B112+B113,INDEX(Courbe_de_tarage!$A$4:$A$44,MATCH(K112+B112+B113,Courbe_de_tarage!$I$4:$I$44,1)):INDEX(Courbe_de_tarage!$A$4:$A$44,MATCH(K112+B112+B113,Courbe_de_tarage!$I$4:$I$44,1)+1),INDEX(Courbe_de_tarage!$I$4:$I$44,MATCH(K112+B112+B113,Courbe_de_tarage!$I$4:$I$44,1)):INDEX(Courbe_de_tarage!$I$4:$I$44,MATCH(K112+B112+B113,Courbe_de_tarage!$I$4:$I$44,1)+1)),IFERROR(INDEX(Courbe_de_tarage!$A$4:$A$44,MATCH(K112+B112+B113,Courbe_de_tarage!$I$4:$I$44,1)),INDEX(Courbe_de_tarage!$A$4:$A$44,1))))</f>
        <v/>
      </c>
      <c r="G113" s="19">
        <f>IF(A113="","",35.36+F113)</f>
        <v/>
      </c>
      <c r="H113" s="19">
        <f>IF(A113="","",IFERROR(FORECAST(K112+B112+B113,INDEX(Courbe_de_tarage!$H$4:$H$44,MATCH(K112+B112+B113,Courbe_de_tarage!$I$4:$I$44,1)):INDEX(Courbe_de_tarage!$H$4:$H$44,MATCH(K112+B112+B113,Courbe_de_tarage!$I$4:$I$44,1)+1),INDEX(Courbe_de_tarage!$I$4:$I$44,MATCH(K112+B112+B113,Courbe_de_tarage!$I$4:$I$44,1)):INDEX(Courbe_de_tarage!$I$4:$I$44,MATCH(K112+B112+B113,Courbe_de_tarage!$I$4:$I$44,1)+1)),IFERROR(INDEX(Courbe_de_tarage!$H$4:$H$44,MATCH(K112+B112+B113,Courbe_de_tarage!$I$4:$I$44,1)),INDEX(Courbe_de_tarage!$H$4:$H$44,1))))</f>
        <v/>
      </c>
      <c r="I113" s="4">
        <f>IF(G113="","",IF(G113&gt;37.4,"OUI",""))</f>
        <v/>
      </c>
      <c r="J113" s="19">
        <f>IF(A113="","",K112+B112+B113)</f>
        <v/>
      </c>
      <c r="K113" s="19">
        <f>IF(A113="","",2*H113/(Hydrogramme_entree!$B$8*60)-E113)</f>
        <v/>
      </c>
    </row>
    <row r="114">
      <c r="A114" s="4">
        <f>Hydrogramme_entree!A120</f>
        <v/>
      </c>
      <c r="B114" s="19">
        <f>Hydrogramme_entree!B120</f>
        <v/>
      </c>
      <c r="C114" s="19">
        <f>IF(A114="","",IFERROR(FORECAST(K113+B113+B114,INDEX(Courbe_de_tarage!$C$4:$C$44,MATCH(K113+B113+B114,Courbe_de_tarage!$I$4:$I$44,1)):INDEX(Courbe_de_tarage!$C$4:$C$44,MATCH(K113+B113+B114,Courbe_de_tarage!$I$4:$I$44,1)+1),INDEX(Courbe_de_tarage!$I$4:$I$44,MATCH(K113+B113+B114,Courbe_de_tarage!$I$4:$I$44,1)):INDEX(Courbe_de_tarage!$I$4:$I$44,MATCH(K113+B113+B114,Courbe_de_tarage!$I$4:$I$44,1)+1)),IFERROR(INDEX(Courbe_de_tarage!$C$4:$C$44,MATCH(K113+B113+B114,Courbe_de_tarage!$I$4:$I$44,1)),INDEX(Courbe_de_tarage!$C$4:$C$44,1))))</f>
        <v/>
      </c>
      <c r="D114" s="19">
        <f>IF(A114="","",IFERROR(FORECAST(K113+B113+B114,INDEX(Courbe_de_tarage!$D$4:$D$44,MATCH(K113+B113+B114,Courbe_de_tarage!$I$4:$I$44,1)):INDEX(Courbe_de_tarage!$D$4:$D$44,MATCH(K113+B113+B114,Courbe_de_tarage!$I$4:$I$44,1)+1),INDEX(Courbe_de_tarage!$I$4:$I$44,MATCH(K113+B113+B114,Courbe_de_tarage!$I$4:$I$44,1)):INDEX(Courbe_de_tarage!$I$4:$I$44,MATCH(K113+B113+B114,Courbe_de_tarage!$I$4:$I$44,1)+1)),IFERROR(INDEX(Courbe_de_tarage!$D$4:$D$44,MATCH(K113+B113+B114,Courbe_de_tarage!$I$4:$I$44,1)),INDEX(Courbe_de_tarage!$D$4:$D$44,1))))</f>
        <v/>
      </c>
      <c r="E114" s="19">
        <f>IF(A114="","",IFERROR(FORECAST(K113+B113+B114,INDEX(Courbe_de_tarage!$E$4:$E$44,MATCH(K113+B113+B114,Courbe_de_tarage!$I$4:$I$44,1)):INDEX(Courbe_de_tarage!$E$4:$E$44,MATCH(K113+B113+B114,Courbe_de_tarage!$I$4:$I$44,1)+1),INDEX(Courbe_de_tarage!$I$4:$I$44,MATCH(K113+B113+B114,Courbe_de_tarage!$I$4:$I$44,1)):INDEX(Courbe_de_tarage!$I$4:$I$44,MATCH(K113+B113+B114,Courbe_de_tarage!$I$4:$I$44,1)+1)),IFERROR(INDEX(Courbe_de_tarage!$E$4:$E$44,MATCH(K113+B113+B114,Courbe_de_tarage!$I$4:$I$44,1)),INDEX(Courbe_de_tarage!$E$4:$E$44,1))))</f>
        <v/>
      </c>
      <c r="F114" s="19">
        <f>IF(A114="","",IFERROR(FORECAST(K113+B113+B114,INDEX(Courbe_de_tarage!$A$4:$A$44,MATCH(K113+B113+B114,Courbe_de_tarage!$I$4:$I$44,1)):INDEX(Courbe_de_tarage!$A$4:$A$44,MATCH(K113+B113+B114,Courbe_de_tarage!$I$4:$I$44,1)+1),INDEX(Courbe_de_tarage!$I$4:$I$44,MATCH(K113+B113+B114,Courbe_de_tarage!$I$4:$I$44,1)):INDEX(Courbe_de_tarage!$I$4:$I$44,MATCH(K113+B113+B114,Courbe_de_tarage!$I$4:$I$44,1)+1)),IFERROR(INDEX(Courbe_de_tarage!$A$4:$A$44,MATCH(K113+B113+B114,Courbe_de_tarage!$I$4:$I$44,1)),INDEX(Courbe_de_tarage!$A$4:$A$44,1))))</f>
        <v/>
      </c>
      <c r="G114" s="19">
        <f>IF(A114="","",35.36+F114)</f>
        <v/>
      </c>
      <c r="H114" s="19">
        <f>IF(A114="","",IFERROR(FORECAST(K113+B113+B114,INDEX(Courbe_de_tarage!$H$4:$H$44,MATCH(K113+B113+B114,Courbe_de_tarage!$I$4:$I$44,1)):INDEX(Courbe_de_tarage!$H$4:$H$44,MATCH(K113+B113+B114,Courbe_de_tarage!$I$4:$I$44,1)+1),INDEX(Courbe_de_tarage!$I$4:$I$44,MATCH(K113+B113+B114,Courbe_de_tarage!$I$4:$I$44,1)):INDEX(Courbe_de_tarage!$I$4:$I$44,MATCH(K113+B113+B114,Courbe_de_tarage!$I$4:$I$44,1)+1)),IFERROR(INDEX(Courbe_de_tarage!$H$4:$H$44,MATCH(K113+B113+B114,Courbe_de_tarage!$I$4:$I$44,1)),INDEX(Courbe_de_tarage!$H$4:$H$44,1))))</f>
        <v/>
      </c>
      <c r="I114" s="4">
        <f>IF(G114="","",IF(G114&gt;37.4,"OUI",""))</f>
        <v/>
      </c>
      <c r="J114" s="19">
        <f>IF(A114="","",K113+B113+B114)</f>
        <v/>
      </c>
      <c r="K114" s="19">
        <f>IF(A114="","",2*H114/(Hydrogramme_entree!$B$8*60)-E114)</f>
        <v/>
      </c>
    </row>
    <row r="115">
      <c r="A115" s="4">
        <f>Hydrogramme_entree!A121</f>
        <v/>
      </c>
      <c r="B115" s="19">
        <f>Hydrogramme_entree!B121</f>
        <v/>
      </c>
      <c r="C115" s="19">
        <f>IF(A115="","",IFERROR(FORECAST(K114+B114+B115,INDEX(Courbe_de_tarage!$C$4:$C$44,MATCH(K114+B114+B115,Courbe_de_tarage!$I$4:$I$44,1)):INDEX(Courbe_de_tarage!$C$4:$C$44,MATCH(K114+B114+B115,Courbe_de_tarage!$I$4:$I$44,1)+1),INDEX(Courbe_de_tarage!$I$4:$I$44,MATCH(K114+B114+B115,Courbe_de_tarage!$I$4:$I$44,1)):INDEX(Courbe_de_tarage!$I$4:$I$44,MATCH(K114+B114+B115,Courbe_de_tarage!$I$4:$I$44,1)+1)),IFERROR(INDEX(Courbe_de_tarage!$C$4:$C$44,MATCH(K114+B114+B115,Courbe_de_tarage!$I$4:$I$44,1)),INDEX(Courbe_de_tarage!$C$4:$C$44,1))))</f>
        <v/>
      </c>
      <c r="D115" s="19">
        <f>IF(A115="","",IFERROR(FORECAST(K114+B114+B115,INDEX(Courbe_de_tarage!$D$4:$D$44,MATCH(K114+B114+B115,Courbe_de_tarage!$I$4:$I$44,1)):INDEX(Courbe_de_tarage!$D$4:$D$44,MATCH(K114+B114+B115,Courbe_de_tarage!$I$4:$I$44,1)+1),INDEX(Courbe_de_tarage!$I$4:$I$44,MATCH(K114+B114+B115,Courbe_de_tarage!$I$4:$I$44,1)):INDEX(Courbe_de_tarage!$I$4:$I$44,MATCH(K114+B114+B115,Courbe_de_tarage!$I$4:$I$44,1)+1)),IFERROR(INDEX(Courbe_de_tarage!$D$4:$D$44,MATCH(K114+B114+B115,Courbe_de_tarage!$I$4:$I$44,1)),INDEX(Courbe_de_tarage!$D$4:$D$44,1))))</f>
        <v/>
      </c>
      <c r="E115" s="19">
        <f>IF(A115="","",IFERROR(FORECAST(K114+B114+B115,INDEX(Courbe_de_tarage!$E$4:$E$44,MATCH(K114+B114+B115,Courbe_de_tarage!$I$4:$I$44,1)):INDEX(Courbe_de_tarage!$E$4:$E$44,MATCH(K114+B114+B115,Courbe_de_tarage!$I$4:$I$44,1)+1),INDEX(Courbe_de_tarage!$I$4:$I$44,MATCH(K114+B114+B115,Courbe_de_tarage!$I$4:$I$44,1)):INDEX(Courbe_de_tarage!$I$4:$I$44,MATCH(K114+B114+B115,Courbe_de_tarage!$I$4:$I$44,1)+1)),IFERROR(INDEX(Courbe_de_tarage!$E$4:$E$44,MATCH(K114+B114+B115,Courbe_de_tarage!$I$4:$I$44,1)),INDEX(Courbe_de_tarage!$E$4:$E$44,1))))</f>
        <v/>
      </c>
      <c r="F115" s="19">
        <f>IF(A115="","",IFERROR(FORECAST(K114+B114+B115,INDEX(Courbe_de_tarage!$A$4:$A$44,MATCH(K114+B114+B115,Courbe_de_tarage!$I$4:$I$44,1)):INDEX(Courbe_de_tarage!$A$4:$A$44,MATCH(K114+B114+B115,Courbe_de_tarage!$I$4:$I$44,1)+1),INDEX(Courbe_de_tarage!$I$4:$I$44,MATCH(K114+B114+B115,Courbe_de_tarage!$I$4:$I$44,1)):INDEX(Courbe_de_tarage!$I$4:$I$44,MATCH(K114+B114+B115,Courbe_de_tarage!$I$4:$I$44,1)+1)),IFERROR(INDEX(Courbe_de_tarage!$A$4:$A$44,MATCH(K114+B114+B115,Courbe_de_tarage!$I$4:$I$44,1)),INDEX(Courbe_de_tarage!$A$4:$A$44,1))))</f>
        <v/>
      </c>
      <c r="G115" s="19">
        <f>IF(A115="","",35.36+F115)</f>
        <v/>
      </c>
      <c r="H115" s="19">
        <f>IF(A115="","",IFERROR(FORECAST(K114+B114+B115,INDEX(Courbe_de_tarage!$H$4:$H$44,MATCH(K114+B114+B115,Courbe_de_tarage!$I$4:$I$44,1)):INDEX(Courbe_de_tarage!$H$4:$H$44,MATCH(K114+B114+B115,Courbe_de_tarage!$I$4:$I$44,1)+1),INDEX(Courbe_de_tarage!$I$4:$I$44,MATCH(K114+B114+B115,Courbe_de_tarage!$I$4:$I$44,1)):INDEX(Courbe_de_tarage!$I$4:$I$44,MATCH(K114+B114+B115,Courbe_de_tarage!$I$4:$I$44,1)+1)),IFERROR(INDEX(Courbe_de_tarage!$H$4:$H$44,MATCH(K114+B114+B115,Courbe_de_tarage!$I$4:$I$44,1)),INDEX(Courbe_de_tarage!$H$4:$H$44,1))))</f>
        <v/>
      </c>
      <c r="I115" s="4">
        <f>IF(G115="","",IF(G115&gt;37.4,"OUI",""))</f>
        <v/>
      </c>
      <c r="J115" s="19">
        <f>IF(A115="","",K114+B114+B115)</f>
        <v/>
      </c>
      <c r="K115" s="19">
        <f>IF(A115="","",2*H115/(Hydrogramme_entree!$B$8*60)-E115)</f>
        <v/>
      </c>
    </row>
    <row r="116">
      <c r="A116" s="4">
        <f>Hydrogramme_entree!A122</f>
        <v/>
      </c>
      <c r="B116" s="19">
        <f>Hydrogramme_entree!B122</f>
        <v/>
      </c>
      <c r="C116" s="19">
        <f>IF(A116="","",IFERROR(FORECAST(K115+B115+B116,INDEX(Courbe_de_tarage!$C$4:$C$44,MATCH(K115+B115+B116,Courbe_de_tarage!$I$4:$I$44,1)):INDEX(Courbe_de_tarage!$C$4:$C$44,MATCH(K115+B115+B116,Courbe_de_tarage!$I$4:$I$44,1)+1),INDEX(Courbe_de_tarage!$I$4:$I$44,MATCH(K115+B115+B116,Courbe_de_tarage!$I$4:$I$44,1)):INDEX(Courbe_de_tarage!$I$4:$I$44,MATCH(K115+B115+B116,Courbe_de_tarage!$I$4:$I$44,1)+1)),IFERROR(INDEX(Courbe_de_tarage!$C$4:$C$44,MATCH(K115+B115+B116,Courbe_de_tarage!$I$4:$I$44,1)),INDEX(Courbe_de_tarage!$C$4:$C$44,1))))</f>
        <v/>
      </c>
      <c r="D116" s="19">
        <f>IF(A116="","",IFERROR(FORECAST(K115+B115+B116,INDEX(Courbe_de_tarage!$D$4:$D$44,MATCH(K115+B115+B116,Courbe_de_tarage!$I$4:$I$44,1)):INDEX(Courbe_de_tarage!$D$4:$D$44,MATCH(K115+B115+B116,Courbe_de_tarage!$I$4:$I$44,1)+1),INDEX(Courbe_de_tarage!$I$4:$I$44,MATCH(K115+B115+B116,Courbe_de_tarage!$I$4:$I$44,1)):INDEX(Courbe_de_tarage!$I$4:$I$44,MATCH(K115+B115+B116,Courbe_de_tarage!$I$4:$I$44,1)+1)),IFERROR(INDEX(Courbe_de_tarage!$D$4:$D$44,MATCH(K115+B115+B116,Courbe_de_tarage!$I$4:$I$44,1)),INDEX(Courbe_de_tarage!$D$4:$D$44,1))))</f>
        <v/>
      </c>
      <c r="E116" s="19">
        <f>IF(A116="","",IFERROR(FORECAST(K115+B115+B116,INDEX(Courbe_de_tarage!$E$4:$E$44,MATCH(K115+B115+B116,Courbe_de_tarage!$I$4:$I$44,1)):INDEX(Courbe_de_tarage!$E$4:$E$44,MATCH(K115+B115+B116,Courbe_de_tarage!$I$4:$I$44,1)+1),INDEX(Courbe_de_tarage!$I$4:$I$44,MATCH(K115+B115+B116,Courbe_de_tarage!$I$4:$I$44,1)):INDEX(Courbe_de_tarage!$I$4:$I$44,MATCH(K115+B115+B116,Courbe_de_tarage!$I$4:$I$44,1)+1)),IFERROR(INDEX(Courbe_de_tarage!$E$4:$E$44,MATCH(K115+B115+B116,Courbe_de_tarage!$I$4:$I$44,1)),INDEX(Courbe_de_tarage!$E$4:$E$44,1))))</f>
        <v/>
      </c>
      <c r="F116" s="19">
        <f>IF(A116="","",IFERROR(FORECAST(K115+B115+B116,INDEX(Courbe_de_tarage!$A$4:$A$44,MATCH(K115+B115+B116,Courbe_de_tarage!$I$4:$I$44,1)):INDEX(Courbe_de_tarage!$A$4:$A$44,MATCH(K115+B115+B116,Courbe_de_tarage!$I$4:$I$44,1)+1),INDEX(Courbe_de_tarage!$I$4:$I$44,MATCH(K115+B115+B116,Courbe_de_tarage!$I$4:$I$44,1)):INDEX(Courbe_de_tarage!$I$4:$I$44,MATCH(K115+B115+B116,Courbe_de_tarage!$I$4:$I$44,1)+1)),IFERROR(INDEX(Courbe_de_tarage!$A$4:$A$44,MATCH(K115+B115+B116,Courbe_de_tarage!$I$4:$I$44,1)),INDEX(Courbe_de_tarage!$A$4:$A$44,1))))</f>
        <v/>
      </c>
      <c r="G116" s="19">
        <f>IF(A116="","",35.36+F116)</f>
        <v/>
      </c>
      <c r="H116" s="19">
        <f>IF(A116="","",IFERROR(FORECAST(K115+B115+B116,INDEX(Courbe_de_tarage!$H$4:$H$44,MATCH(K115+B115+B116,Courbe_de_tarage!$I$4:$I$44,1)):INDEX(Courbe_de_tarage!$H$4:$H$44,MATCH(K115+B115+B116,Courbe_de_tarage!$I$4:$I$44,1)+1),INDEX(Courbe_de_tarage!$I$4:$I$44,MATCH(K115+B115+B116,Courbe_de_tarage!$I$4:$I$44,1)):INDEX(Courbe_de_tarage!$I$4:$I$44,MATCH(K115+B115+B116,Courbe_de_tarage!$I$4:$I$44,1)+1)),IFERROR(INDEX(Courbe_de_tarage!$H$4:$H$44,MATCH(K115+B115+B116,Courbe_de_tarage!$I$4:$I$44,1)),INDEX(Courbe_de_tarage!$H$4:$H$44,1))))</f>
        <v/>
      </c>
      <c r="I116" s="4">
        <f>IF(G116="","",IF(G116&gt;37.4,"OUI",""))</f>
        <v/>
      </c>
      <c r="J116" s="19">
        <f>IF(A116="","",K115+B115+B116)</f>
        <v/>
      </c>
      <c r="K116" s="19">
        <f>IF(A116="","",2*H116/(Hydrogramme_entree!$B$8*60)-E116)</f>
        <v/>
      </c>
    </row>
    <row r="117">
      <c r="A117" s="4">
        <f>Hydrogramme_entree!A123</f>
        <v/>
      </c>
      <c r="B117" s="19">
        <f>Hydrogramme_entree!B123</f>
        <v/>
      </c>
      <c r="C117" s="19">
        <f>IF(A117="","",IFERROR(FORECAST(K116+B116+B117,INDEX(Courbe_de_tarage!$C$4:$C$44,MATCH(K116+B116+B117,Courbe_de_tarage!$I$4:$I$44,1)):INDEX(Courbe_de_tarage!$C$4:$C$44,MATCH(K116+B116+B117,Courbe_de_tarage!$I$4:$I$44,1)+1),INDEX(Courbe_de_tarage!$I$4:$I$44,MATCH(K116+B116+B117,Courbe_de_tarage!$I$4:$I$44,1)):INDEX(Courbe_de_tarage!$I$4:$I$44,MATCH(K116+B116+B117,Courbe_de_tarage!$I$4:$I$44,1)+1)),IFERROR(INDEX(Courbe_de_tarage!$C$4:$C$44,MATCH(K116+B116+B117,Courbe_de_tarage!$I$4:$I$44,1)),INDEX(Courbe_de_tarage!$C$4:$C$44,1))))</f>
        <v/>
      </c>
      <c r="D117" s="19">
        <f>IF(A117="","",IFERROR(FORECAST(K116+B116+B117,INDEX(Courbe_de_tarage!$D$4:$D$44,MATCH(K116+B116+B117,Courbe_de_tarage!$I$4:$I$44,1)):INDEX(Courbe_de_tarage!$D$4:$D$44,MATCH(K116+B116+B117,Courbe_de_tarage!$I$4:$I$44,1)+1),INDEX(Courbe_de_tarage!$I$4:$I$44,MATCH(K116+B116+B117,Courbe_de_tarage!$I$4:$I$44,1)):INDEX(Courbe_de_tarage!$I$4:$I$44,MATCH(K116+B116+B117,Courbe_de_tarage!$I$4:$I$44,1)+1)),IFERROR(INDEX(Courbe_de_tarage!$D$4:$D$44,MATCH(K116+B116+B117,Courbe_de_tarage!$I$4:$I$44,1)),INDEX(Courbe_de_tarage!$D$4:$D$44,1))))</f>
        <v/>
      </c>
      <c r="E117" s="19">
        <f>IF(A117="","",IFERROR(FORECAST(K116+B116+B117,INDEX(Courbe_de_tarage!$E$4:$E$44,MATCH(K116+B116+B117,Courbe_de_tarage!$I$4:$I$44,1)):INDEX(Courbe_de_tarage!$E$4:$E$44,MATCH(K116+B116+B117,Courbe_de_tarage!$I$4:$I$44,1)+1),INDEX(Courbe_de_tarage!$I$4:$I$44,MATCH(K116+B116+B117,Courbe_de_tarage!$I$4:$I$44,1)):INDEX(Courbe_de_tarage!$I$4:$I$44,MATCH(K116+B116+B117,Courbe_de_tarage!$I$4:$I$44,1)+1)),IFERROR(INDEX(Courbe_de_tarage!$E$4:$E$44,MATCH(K116+B116+B117,Courbe_de_tarage!$I$4:$I$44,1)),INDEX(Courbe_de_tarage!$E$4:$E$44,1))))</f>
        <v/>
      </c>
      <c r="F117" s="19">
        <f>IF(A117="","",IFERROR(FORECAST(K116+B116+B117,INDEX(Courbe_de_tarage!$A$4:$A$44,MATCH(K116+B116+B117,Courbe_de_tarage!$I$4:$I$44,1)):INDEX(Courbe_de_tarage!$A$4:$A$44,MATCH(K116+B116+B117,Courbe_de_tarage!$I$4:$I$44,1)+1),INDEX(Courbe_de_tarage!$I$4:$I$44,MATCH(K116+B116+B117,Courbe_de_tarage!$I$4:$I$44,1)):INDEX(Courbe_de_tarage!$I$4:$I$44,MATCH(K116+B116+B117,Courbe_de_tarage!$I$4:$I$44,1)+1)),IFERROR(INDEX(Courbe_de_tarage!$A$4:$A$44,MATCH(K116+B116+B117,Courbe_de_tarage!$I$4:$I$44,1)),INDEX(Courbe_de_tarage!$A$4:$A$44,1))))</f>
        <v/>
      </c>
      <c r="G117" s="19">
        <f>IF(A117="","",35.36+F117)</f>
        <v/>
      </c>
      <c r="H117" s="19">
        <f>IF(A117="","",IFERROR(FORECAST(K116+B116+B117,INDEX(Courbe_de_tarage!$H$4:$H$44,MATCH(K116+B116+B117,Courbe_de_tarage!$I$4:$I$44,1)):INDEX(Courbe_de_tarage!$H$4:$H$44,MATCH(K116+B116+B117,Courbe_de_tarage!$I$4:$I$44,1)+1),INDEX(Courbe_de_tarage!$I$4:$I$44,MATCH(K116+B116+B117,Courbe_de_tarage!$I$4:$I$44,1)):INDEX(Courbe_de_tarage!$I$4:$I$44,MATCH(K116+B116+B117,Courbe_de_tarage!$I$4:$I$44,1)+1)),IFERROR(INDEX(Courbe_de_tarage!$H$4:$H$44,MATCH(K116+B116+B117,Courbe_de_tarage!$I$4:$I$44,1)),INDEX(Courbe_de_tarage!$H$4:$H$44,1))))</f>
        <v/>
      </c>
      <c r="I117" s="4">
        <f>IF(G117="","",IF(G117&gt;37.4,"OUI",""))</f>
        <v/>
      </c>
      <c r="J117" s="19">
        <f>IF(A117="","",K116+B116+B117)</f>
        <v/>
      </c>
      <c r="K117" s="19">
        <f>IF(A117="","",2*H117/(Hydrogramme_entree!$B$8*60)-E117)</f>
        <v/>
      </c>
    </row>
    <row r="118">
      <c r="A118" s="4">
        <f>Hydrogramme_entree!A124</f>
        <v/>
      </c>
      <c r="B118" s="19">
        <f>Hydrogramme_entree!B124</f>
        <v/>
      </c>
      <c r="C118" s="19">
        <f>IF(A118="","",IFERROR(FORECAST(K117+B117+B118,INDEX(Courbe_de_tarage!$C$4:$C$44,MATCH(K117+B117+B118,Courbe_de_tarage!$I$4:$I$44,1)):INDEX(Courbe_de_tarage!$C$4:$C$44,MATCH(K117+B117+B118,Courbe_de_tarage!$I$4:$I$44,1)+1),INDEX(Courbe_de_tarage!$I$4:$I$44,MATCH(K117+B117+B118,Courbe_de_tarage!$I$4:$I$44,1)):INDEX(Courbe_de_tarage!$I$4:$I$44,MATCH(K117+B117+B118,Courbe_de_tarage!$I$4:$I$44,1)+1)),IFERROR(INDEX(Courbe_de_tarage!$C$4:$C$44,MATCH(K117+B117+B118,Courbe_de_tarage!$I$4:$I$44,1)),INDEX(Courbe_de_tarage!$C$4:$C$44,1))))</f>
        <v/>
      </c>
      <c r="D118" s="19">
        <f>IF(A118="","",IFERROR(FORECAST(K117+B117+B118,INDEX(Courbe_de_tarage!$D$4:$D$44,MATCH(K117+B117+B118,Courbe_de_tarage!$I$4:$I$44,1)):INDEX(Courbe_de_tarage!$D$4:$D$44,MATCH(K117+B117+B118,Courbe_de_tarage!$I$4:$I$44,1)+1),INDEX(Courbe_de_tarage!$I$4:$I$44,MATCH(K117+B117+B118,Courbe_de_tarage!$I$4:$I$44,1)):INDEX(Courbe_de_tarage!$I$4:$I$44,MATCH(K117+B117+B118,Courbe_de_tarage!$I$4:$I$44,1)+1)),IFERROR(INDEX(Courbe_de_tarage!$D$4:$D$44,MATCH(K117+B117+B118,Courbe_de_tarage!$I$4:$I$44,1)),INDEX(Courbe_de_tarage!$D$4:$D$44,1))))</f>
        <v/>
      </c>
      <c r="E118" s="19">
        <f>IF(A118="","",IFERROR(FORECAST(K117+B117+B118,INDEX(Courbe_de_tarage!$E$4:$E$44,MATCH(K117+B117+B118,Courbe_de_tarage!$I$4:$I$44,1)):INDEX(Courbe_de_tarage!$E$4:$E$44,MATCH(K117+B117+B118,Courbe_de_tarage!$I$4:$I$44,1)+1),INDEX(Courbe_de_tarage!$I$4:$I$44,MATCH(K117+B117+B118,Courbe_de_tarage!$I$4:$I$44,1)):INDEX(Courbe_de_tarage!$I$4:$I$44,MATCH(K117+B117+B118,Courbe_de_tarage!$I$4:$I$44,1)+1)),IFERROR(INDEX(Courbe_de_tarage!$E$4:$E$44,MATCH(K117+B117+B118,Courbe_de_tarage!$I$4:$I$44,1)),INDEX(Courbe_de_tarage!$E$4:$E$44,1))))</f>
        <v/>
      </c>
      <c r="F118" s="19">
        <f>IF(A118="","",IFERROR(FORECAST(K117+B117+B118,INDEX(Courbe_de_tarage!$A$4:$A$44,MATCH(K117+B117+B118,Courbe_de_tarage!$I$4:$I$44,1)):INDEX(Courbe_de_tarage!$A$4:$A$44,MATCH(K117+B117+B118,Courbe_de_tarage!$I$4:$I$44,1)+1),INDEX(Courbe_de_tarage!$I$4:$I$44,MATCH(K117+B117+B118,Courbe_de_tarage!$I$4:$I$44,1)):INDEX(Courbe_de_tarage!$I$4:$I$44,MATCH(K117+B117+B118,Courbe_de_tarage!$I$4:$I$44,1)+1)),IFERROR(INDEX(Courbe_de_tarage!$A$4:$A$44,MATCH(K117+B117+B118,Courbe_de_tarage!$I$4:$I$44,1)),INDEX(Courbe_de_tarage!$A$4:$A$44,1))))</f>
        <v/>
      </c>
      <c r="G118" s="19">
        <f>IF(A118="","",35.36+F118)</f>
        <v/>
      </c>
      <c r="H118" s="19">
        <f>IF(A118="","",IFERROR(FORECAST(K117+B117+B118,INDEX(Courbe_de_tarage!$H$4:$H$44,MATCH(K117+B117+B118,Courbe_de_tarage!$I$4:$I$44,1)):INDEX(Courbe_de_tarage!$H$4:$H$44,MATCH(K117+B117+B118,Courbe_de_tarage!$I$4:$I$44,1)+1),INDEX(Courbe_de_tarage!$I$4:$I$44,MATCH(K117+B117+B118,Courbe_de_tarage!$I$4:$I$44,1)):INDEX(Courbe_de_tarage!$I$4:$I$44,MATCH(K117+B117+B118,Courbe_de_tarage!$I$4:$I$44,1)+1)),IFERROR(INDEX(Courbe_de_tarage!$H$4:$H$44,MATCH(K117+B117+B118,Courbe_de_tarage!$I$4:$I$44,1)),INDEX(Courbe_de_tarage!$H$4:$H$44,1))))</f>
        <v/>
      </c>
      <c r="I118" s="4">
        <f>IF(G118="","",IF(G118&gt;37.4,"OUI",""))</f>
        <v/>
      </c>
      <c r="J118" s="19">
        <f>IF(A118="","",K117+B117+B118)</f>
        <v/>
      </c>
      <c r="K118" s="19">
        <f>IF(A118="","",2*H118/(Hydrogramme_entree!$B$8*60)-E118)</f>
        <v/>
      </c>
    </row>
    <row r="119">
      <c r="A119" s="4">
        <f>Hydrogramme_entree!A125</f>
        <v/>
      </c>
      <c r="B119" s="19">
        <f>Hydrogramme_entree!B125</f>
        <v/>
      </c>
      <c r="C119" s="19">
        <f>IF(A119="","",IFERROR(FORECAST(K118+B118+B119,INDEX(Courbe_de_tarage!$C$4:$C$44,MATCH(K118+B118+B119,Courbe_de_tarage!$I$4:$I$44,1)):INDEX(Courbe_de_tarage!$C$4:$C$44,MATCH(K118+B118+B119,Courbe_de_tarage!$I$4:$I$44,1)+1),INDEX(Courbe_de_tarage!$I$4:$I$44,MATCH(K118+B118+B119,Courbe_de_tarage!$I$4:$I$44,1)):INDEX(Courbe_de_tarage!$I$4:$I$44,MATCH(K118+B118+B119,Courbe_de_tarage!$I$4:$I$44,1)+1)),IFERROR(INDEX(Courbe_de_tarage!$C$4:$C$44,MATCH(K118+B118+B119,Courbe_de_tarage!$I$4:$I$44,1)),INDEX(Courbe_de_tarage!$C$4:$C$44,1))))</f>
        <v/>
      </c>
      <c r="D119" s="19">
        <f>IF(A119="","",IFERROR(FORECAST(K118+B118+B119,INDEX(Courbe_de_tarage!$D$4:$D$44,MATCH(K118+B118+B119,Courbe_de_tarage!$I$4:$I$44,1)):INDEX(Courbe_de_tarage!$D$4:$D$44,MATCH(K118+B118+B119,Courbe_de_tarage!$I$4:$I$44,1)+1),INDEX(Courbe_de_tarage!$I$4:$I$44,MATCH(K118+B118+B119,Courbe_de_tarage!$I$4:$I$44,1)):INDEX(Courbe_de_tarage!$I$4:$I$44,MATCH(K118+B118+B119,Courbe_de_tarage!$I$4:$I$44,1)+1)),IFERROR(INDEX(Courbe_de_tarage!$D$4:$D$44,MATCH(K118+B118+B119,Courbe_de_tarage!$I$4:$I$44,1)),INDEX(Courbe_de_tarage!$D$4:$D$44,1))))</f>
        <v/>
      </c>
      <c r="E119" s="19">
        <f>IF(A119="","",IFERROR(FORECAST(K118+B118+B119,INDEX(Courbe_de_tarage!$E$4:$E$44,MATCH(K118+B118+B119,Courbe_de_tarage!$I$4:$I$44,1)):INDEX(Courbe_de_tarage!$E$4:$E$44,MATCH(K118+B118+B119,Courbe_de_tarage!$I$4:$I$44,1)+1),INDEX(Courbe_de_tarage!$I$4:$I$44,MATCH(K118+B118+B119,Courbe_de_tarage!$I$4:$I$44,1)):INDEX(Courbe_de_tarage!$I$4:$I$44,MATCH(K118+B118+B119,Courbe_de_tarage!$I$4:$I$44,1)+1)),IFERROR(INDEX(Courbe_de_tarage!$E$4:$E$44,MATCH(K118+B118+B119,Courbe_de_tarage!$I$4:$I$44,1)),INDEX(Courbe_de_tarage!$E$4:$E$44,1))))</f>
        <v/>
      </c>
      <c r="F119" s="19">
        <f>IF(A119="","",IFERROR(FORECAST(K118+B118+B119,INDEX(Courbe_de_tarage!$A$4:$A$44,MATCH(K118+B118+B119,Courbe_de_tarage!$I$4:$I$44,1)):INDEX(Courbe_de_tarage!$A$4:$A$44,MATCH(K118+B118+B119,Courbe_de_tarage!$I$4:$I$44,1)+1),INDEX(Courbe_de_tarage!$I$4:$I$44,MATCH(K118+B118+B119,Courbe_de_tarage!$I$4:$I$44,1)):INDEX(Courbe_de_tarage!$I$4:$I$44,MATCH(K118+B118+B119,Courbe_de_tarage!$I$4:$I$44,1)+1)),IFERROR(INDEX(Courbe_de_tarage!$A$4:$A$44,MATCH(K118+B118+B119,Courbe_de_tarage!$I$4:$I$44,1)),INDEX(Courbe_de_tarage!$A$4:$A$44,1))))</f>
        <v/>
      </c>
      <c r="G119" s="19">
        <f>IF(A119="","",35.36+F119)</f>
        <v/>
      </c>
      <c r="H119" s="19">
        <f>IF(A119="","",IFERROR(FORECAST(K118+B118+B119,INDEX(Courbe_de_tarage!$H$4:$H$44,MATCH(K118+B118+B119,Courbe_de_tarage!$I$4:$I$44,1)):INDEX(Courbe_de_tarage!$H$4:$H$44,MATCH(K118+B118+B119,Courbe_de_tarage!$I$4:$I$44,1)+1),INDEX(Courbe_de_tarage!$I$4:$I$44,MATCH(K118+B118+B119,Courbe_de_tarage!$I$4:$I$44,1)):INDEX(Courbe_de_tarage!$I$4:$I$44,MATCH(K118+B118+B119,Courbe_de_tarage!$I$4:$I$44,1)+1)),IFERROR(INDEX(Courbe_de_tarage!$H$4:$H$44,MATCH(K118+B118+B119,Courbe_de_tarage!$I$4:$I$44,1)),INDEX(Courbe_de_tarage!$H$4:$H$44,1))))</f>
        <v/>
      </c>
      <c r="I119" s="4">
        <f>IF(G119="","",IF(G119&gt;37.4,"OUI",""))</f>
        <v/>
      </c>
      <c r="J119" s="19">
        <f>IF(A119="","",K118+B118+B119)</f>
        <v/>
      </c>
      <c r="K119" s="19">
        <f>IF(A119="","",2*H119/(Hydrogramme_entree!$B$8*60)-E119)</f>
        <v/>
      </c>
    </row>
    <row r="120">
      <c r="A120" s="4">
        <f>Hydrogramme_entree!A126</f>
        <v/>
      </c>
      <c r="B120" s="19">
        <f>Hydrogramme_entree!B126</f>
        <v/>
      </c>
      <c r="C120" s="19">
        <f>IF(A120="","",IFERROR(FORECAST(K119+B119+B120,INDEX(Courbe_de_tarage!$C$4:$C$44,MATCH(K119+B119+B120,Courbe_de_tarage!$I$4:$I$44,1)):INDEX(Courbe_de_tarage!$C$4:$C$44,MATCH(K119+B119+B120,Courbe_de_tarage!$I$4:$I$44,1)+1),INDEX(Courbe_de_tarage!$I$4:$I$44,MATCH(K119+B119+B120,Courbe_de_tarage!$I$4:$I$44,1)):INDEX(Courbe_de_tarage!$I$4:$I$44,MATCH(K119+B119+B120,Courbe_de_tarage!$I$4:$I$44,1)+1)),IFERROR(INDEX(Courbe_de_tarage!$C$4:$C$44,MATCH(K119+B119+B120,Courbe_de_tarage!$I$4:$I$44,1)),INDEX(Courbe_de_tarage!$C$4:$C$44,1))))</f>
        <v/>
      </c>
      <c r="D120" s="19">
        <f>IF(A120="","",IFERROR(FORECAST(K119+B119+B120,INDEX(Courbe_de_tarage!$D$4:$D$44,MATCH(K119+B119+B120,Courbe_de_tarage!$I$4:$I$44,1)):INDEX(Courbe_de_tarage!$D$4:$D$44,MATCH(K119+B119+B120,Courbe_de_tarage!$I$4:$I$44,1)+1),INDEX(Courbe_de_tarage!$I$4:$I$44,MATCH(K119+B119+B120,Courbe_de_tarage!$I$4:$I$44,1)):INDEX(Courbe_de_tarage!$I$4:$I$44,MATCH(K119+B119+B120,Courbe_de_tarage!$I$4:$I$44,1)+1)),IFERROR(INDEX(Courbe_de_tarage!$D$4:$D$44,MATCH(K119+B119+B120,Courbe_de_tarage!$I$4:$I$44,1)),INDEX(Courbe_de_tarage!$D$4:$D$44,1))))</f>
        <v/>
      </c>
      <c r="E120" s="19">
        <f>IF(A120="","",IFERROR(FORECAST(K119+B119+B120,INDEX(Courbe_de_tarage!$E$4:$E$44,MATCH(K119+B119+B120,Courbe_de_tarage!$I$4:$I$44,1)):INDEX(Courbe_de_tarage!$E$4:$E$44,MATCH(K119+B119+B120,Courbe_de_tarage!$I$4:$I$44,1)+1),INDEX(Courbe_de_tarage!$I$4:$I$44,MATCH(K119+B119+B120,Courbe_de_tarage!$I$4:$I$44,1)):INDEX(Courbe_de_tarage!$I$4:$I$44,MATCH(K119+B119+B120,Courbe_de_tarage!$I$4:$I$44,1)+1)),IFERROR(INDEX(Courbe_de_tarage!$E$4:$E$44,MATCH(K119+B119+B120,Courbe_de_tarage!$I$4:$I$44,1)),INDEX(Courbe_de_tarage!$E$4:$E$44,1))))</f>
        <v/>
      </c>
      <c r="F120" s="19">
        <f>IF(A120="","",IFERROR(FORECAST(K119+B119+B120,INDEX(Courbe_de_tarage!$A$4:$A$44,MATCH(K119+B119+B120,Courbe_de_tarage!$I$4:$I$44,1)):INDEX(Courbe_de_tarage!$A$4:$A$44,MATCH(K119+B119+B120,Courbe_de_tarage!$I$4:$I$44,1)+1),INDEX(Courbe_de_tarage!$I$4:$I$44,MATCH(K119+B119+B120,Courbe_de_tarage!$I$4:$I$44,1)):INDEX(Courbe_de_tarage!$I$4:$I$44,MATCH(K119+B119+B120,Courbe_de_tarage!$I$4:$I$44,1)+1)),IFERROR(INDEX(Courbe_de_tarage!$A$4:$A$44,MATCH(K119+B119+B120,Courbe_de_tarage!$I$4:$I$44,1)),INDEX(Courbe_de_tarage!$A$4:$A$44,1))))</f>
        <v/>
      </c>
      <c r="G120" s="19">
        <f>IF(A120="","",35.36+F120)</f>
        <v/>
      </c>
      <c r="H120" s="19">
        <f>IF(A120="","",IFERROR(FORECAST(K119+B119+B120,INDEX(Courbe_de_tarage!$H$4:$H$44,MATCH(K119+B119+B120,Courbe_de_tarage!$I$4:$I$44,1)):INDEX(Courbe_de_tarage!$H$4:$H$44,MATCH(K119+B119+B120,Courbe_de_tarage!$I$4:$I$44,1)+1),INDEX(Courbe_de_tarage!$I$4:$I$44,MATCH(K119+B119+B120,Courbe_de_tarage!$I$4:$I$44,1)):INDEX(Courbe_de_tarage!$I$4:$I$44,MATCH(K119+B119+B120,Courbe_de_tarage!$I$4:$I$44,1)+1)),IFERROR(INDEX(Courbe_de_tarage!$H$4:$H$44,MATCH(K119+B119+B120,Courbe_de_tarage!$I$4:$I$44,1)),INDEX(Courbe_de_tarage!$H$4:$H$44,1))))</f>
        <v/>
      </c>
      <c r="I120" s="4">
        <f>IF(G120="","",IF(G120&gt;37.4,"OUI",""))</f>
        <v/>
      </c>
      <c r="J120" s="19">
        <f>IF(A120="","",K119+B119+B120)</f>
        <v/>
      </c>
      <c r="K120" s="19">
        <f>IF(A120="","",2*H120/(Hydrogramme_entree!$B$8*60)-E120)</f>
        <v/>
      </c>
    </row>
    <row r="121">
      <c r="A121" s="4">
        <f>Hydrogramme_entree!A127</f>
        <v/>
      </c>
      <c r="B121" s="19">
        <f>Hydrogramme_entree!B127</f>
        <v/>
      </c>
      <c r="C121" s="19">
        <f>IF(A121="","",IFERROR(FORECAST(K120+B120+B121,INDEX(Courbe_de_tarage!$C$4:$C$44,MATCH(K120+B120+B121,Courbe_de_tarage!$I$4:$I$44,1)):INDEX(Courbe_de_tarage!$C$4:$C$44,MATCH(K120+B120+B121,Courbe_de_tarage!$I$4:$I$44,1)+1),INDEX(Courbe_de_tarage!$I$4:$I$44,MATCH(K120+B120+B121,Courbe_de_tarage!$I$4:$I$44,1)):INDEX(Courbe_de_tarage!$I$4:$I$44,MATCH(K120+B120+B121,Courbe_de_tarage!$I$4:$I$44,1)+1)),IFERROR(INDEX(Courbe_de_tarage!$C$4:$C$44,MATCH(K120+B120+B121,Courbe_de_tarage!$I$4:$I$44,1)),INDEX(Courbe_de_tarage!$C$4:$C$44,1))))</f>
        <v/>
      </c>
      <c r="D121" s="19">
        <f>IF(A121="","",IFERROR(FORECAST(K120+B120+B121,INDEX(Courbe_de_tarage!$D$4:$D$44,MATCH(K120+B120+B121,Courbe_de_tarage!$I$4:$I$44,1)):INDEX(Courbe_de_tarage!$D$4:$D$44,MATCH(K120+B120+B121,Courbe_de_tarage!$I$4:$I$44,1)+1),INDEX(Courbe_de_tarage!$I$4:$I$44,MATCH(K120+B120+B121,Courbe_de_tarage!$I$4:$I$44,1)):INDEX(Courbe_de_tarage!$I$4:$I$44,MATCH(K120+B120+B121,Courbe_de_tarage!$I$4:$I$44,1)+1)),IFERROR(INDEX(Courbe_de_tarage!$D$4:$D$44,MATCH(K120+B120+B121,Courbe_de_tarage!$I$4:$I$44,1)),INDEX(Courbe_de_tarage!$D$4:$D$44,1))))</f>
        <v/>
      </c>
      <c r="E121" s="19">
        <f>IF(A121="","",IFERROR(FORECAST(K120+B120+B121,INDEX(Courbe_de_tarage!$E$4:$E$44,MATCH(K120+B120+B121,Courbe_de_tarage!$I$4:$I$44,1)):INDEX(Courbe_de_tarage!$E$4:$E$44,MATCH(K120+B120+B121,Courbe_de_tarage!$I$4:$I$44,1)+1),INDEX(Courbe_de_tarage!$I$4:$I$44,MATCH(K120+B120+B121,Courbe_de_tarage!$I$4:$I$44,1)):INDEX(Courbe_de_tarage!$I$4:$I$44,MATCH(K120+B120+B121,Courbe_de_tarage!$I$4:$I$44,1)+1)),IFERROR(INDEX(Courbe_de_tarage!$E$4:$E$44,MATCH(K120+B120+B121,Courbe_de_tarage!$I$4:$I$44,1)),INDEX(Courbe_de_tarage!$E$4:$E$44,1))))</f>
        <v/>
      </c>
      <c r="F121" s="19">
        <f>IF(A121="","",IFERROR(FORECAST(K120+B120+B121,INDEX(Courbe_de_tarage!$A$4:$A$44,MATCH(K120+B120+B121,Courbe_de_tarage!$I$4:$I$44,1)):INDEX(Courbe_de_tarage!$A$4:$A$44,MATCH(K120+B120+B121,Courbe_de_tarage!$I$4:$I$44,1)+1),INDEX(Courbe_de_tarage!$I$4:$I$44,MATCH(K120+B120+B121,Courbe_de_tarage!$I$4:$I$44,1)):INDEX(Courbe_de_tarage!$I$4:$I$44,MATCH(K120+B120+B121,Courbe_de_tarage!$I$4:$I$44,1)+1)),IFERROR(INDEX(Courbe_de_tarage!$A$4:$A$44,MATCH(K120+B120+B121,Courbe_de_tarage!$I$4:$I$44,1)),INDEX(Courbe_de_tarage!$A$4:$A$44,1))))</f>
        <v/>
      </c>
      <c r="G121" s="19">
        <f>IF(A121="","",35.36+F121)</f>
        <v/>
      </c>
      <c r="H121" s="19">
        <f>IF(A121="","",IFERROR(FORECAST(K120+B120+B121,INDEX(Courbe_de_tarage!$H$4:$H$44,MATCH(K120+B120+B121,Courbe_de_tarage!$I$4:$I$44,1)):INDEX(Courbe_de_tarage!$H$4:$H$44,MATCH(K120+B120+B121,Courbe_de_tarage!$I$4:$I$44,1)+1),INDEX(Courbe_de_tarage!$I$4:$I$44,MATCH(K120+B120+B121,Courbe_de_tarage!$I$4:$I$44,1)):INDEX(Courbe_de_tarage!$I$4:$I$44,MATCH(K120+B120+B121,Courbe_de_tarage!$I$4:$I$44,1)+1)),IFERROR(INDEX(Courbe_de_tarage!$H$4:$H$44,MATCH(K120+B120+B121,Courbe_de_tarage!$I$4:$I$44,1)),INDEX(Courbe_de_tarage!$H$4:$H$44,1))))</f>
        <v/>
      </c>
      <c r="I121" s="4">
        <f>IF(G121="","",IF(G121&gt;37.4,"OUI",""))</f>
        <v/>
      </c>
      <c r="J121" s="19">
        <f>IF(A121="","",K120+B120+B121)</f>
        <v/>
      </c>
      <c r="K121" s="19">
        <f>IF(A121="","",2*H121/(Hydrogramme_entree!$B$8*60)-E121)</f>
        <v/>
      </c>
    </row>
    <row r="122">
      <c r="A122" s="4">
        <f>Hydrogramme_entree!A128</f>
        <v/>
      </c>
      <c r="B122" s="19">
        <f>Hydrogramme_entree!B128</f>
        <v/>
      </c>
      <c r="C122" s="19">
        <f>IF(A122="","",IFERROR(FORECAST(K121+B121+B122,INDEX(Courbe_de_tarage!$C$4:$C$44,MATCH(K121+B121+B122,Courbe_de_tarage!$I$4:$I$44,1)):INDEX(Courbe_de_tarage!$C$4:$C$44,MATCH(K121+B121+B122,Courbe_de_tarage!$I$4:$I$44,1)+1),INDEX(Courbe_de_tarage!$I$4:$I$44,MATCH(K121+B121+B122,Courbe_de_tarage!$I$4:$I$44,1)):INDEX(Courbe_de_tarage!$I$4:$I$44,MATCH(K121+B121+B122,Courbe_de_tarage!$I$4:$I$44,1)+1)),IFERROR(INDEX(Courbe_de_tarage!$C$4:$C$44,MATCH(K121+B121+B122,Courbe_de_tarage!$I$4:$I$44,1)),INDEX(Courbe_de_tarage!$C$4:$C$44,1))))</f>
        <v/>
      </c>
      <c r="D122" s="19">
        <f>IF(A122="","",IFERROR(FORECAST(K121+B121+B122,INDEX(Courbe_de_tarage!$D$4:$D$44,MATCH(K121+B121+B122,Courbe_de_tarage!$I$4:$I$44,1)):INDEX(Courbe_de_tarage!$D$4:$D$44,MATCH(K121+B121+B122,Courbe_de_tarage!$I$4:$I$44,1)+1),INDEX(Courbe_de_tarage!$I$4:$I$44,MATCH(K121+B121+B122,Courbe_de_tarage!$I$4:$I$44,1)):INDEX(Courbe_de_tarage!$I$4:$I$44,MATCH(K121+B121+B122,Courbe_de_tarage!$I$4:$I$44,1)+1)),IFERROR(INDEX(Courbe_de_tarage!$D$4:$D$44,MATCH(K121+B121+B122,Courbe_de_tarage!$I$4:$I$44,1)),INDEX(Courbe_de_tarage!$D$4:$D$44,1))))</f>
        <v/>
      </c>
      <c r="E122" s="19">
        <f>IF(A122="","",IFERROR(FORECAST(K121+B121+B122,INDEX(Courbe_de_tarage!$E$4:$E$44,MATCH(K121+B121+B122,Courbe_de_tarage!$I$4:$I$44,1)):INDEX(Courbe_de_tarage!$E$4:$E$44,MATCH(K121+B121+B122,Courbe_de_tarage!$I$4:$I$44,1)+1),INDEX(Courbe_de_tarage!$I$4:$I$44,MATCH(K121+B121+B122,Courbe_de_tarage!$I$4:$I$44,1)):INDEX(Courbe_de_tarage!$I$4:$I$44,MATCH(K121+B121+B122,Courbe_de_tarage!$I$4:$I$44,1)+1)),IFERROR(INDEX(Courbe_de_tarage!$E$4:$E$44,MATCH(K121+B121+B122,Courbe_de_tarage!$I$4:$I$44,1)),INDEX(Courbe_de_tarage!$E$4:$E$44,1))))</f>
        <v/>
      </c>
      <c r="F122" s="19">
        <f>IF(A122="","",IFERROR(FORECAST(K121+B121+B122,INDEX(Courbe_de_tarage!$A$4:$A$44,MATCH(K121+B121+B122,Courbe_de_tarage!$I$4:$I$44,1)):INDEX(Courbe_de_tarage!$A$4:$A$44,MATCH(K121+B121+B122,Courbe_de_tarage!$I$4:$I$44,1)+1),INDEX(Courbe_de_tarage!$I$4:$I$44,MATCH(K121+B121+B122,Courbe_de_tarage!$I$4:$I$44,1)):INDEX(Courbe_de_tarage!$I$4:$I$44,MATCH(K121+B121+B122,Courbe_de_tarage!$I$4:$I$44,1)+1)),IFERROR(INDEX(Courbe_de_tarage!$A$4:$A$44,MATCH(K121+B121+B122,Courbe_de_tarage!$I$4:$I$44,1)),INDEX(Courbe_de_tarage!$A$4:$A$44,1))))</f>
        <v/>
      </c>
      <c r="G122" s="19">
        <f>IF(A122="","",35.36+F122)</f>
        <v/>
      </c>
      <c r="H122" s="19">
        <f>IF(A122="","",IFERROR(FORECAST(K121+B121+B122,INDEX(Courbe_de_tarage!$H$4:$H$44,MATCH(K121+B121+B122,Courbe_de_tarage!$I$4:$I$44,1)):INDEX(Courbe_de_tarage!$H$4:$H$44,MATCH(K121+B121+B122,Courbe_de_tarage!$I$4:$I$44,1)+1),INDEX(Courbe_de_tarage!$I$4:$I$44,MATCH(K121+B121+B122,Courbe_de_tarage!$I$4:$I$44,1)):INDEX(Courbe_de_tarage!$I$4:$I$44,MATCH(K121+B121+B122,Courbe_de_tarage!$I$4:$I$44,1)+1)),IFERROR(INDEX(Courbe_de_tarage!$H$4:$H$44,MATCH(K121+B121+B122,Courbe_de_tarage!$I$4:$I$44,1)),INDEX(Courbe_de_tarage!$H$4:$H$44,1))))</f>
        <v/>
      </c>
      <c r="I122" s="4">
        <f>IF(G122="","",IF(G122&gt;37.4,"OUI",""))</f>
        <v/>
      </c>
      <c r="J122" s="19">
        <f>IF(A122="","",K121+B121+B122)</f>
        <v/>
      </c>
      <c r="K122" s="19">
        <f>IF(A122="","",2*H122/(Hydrogramme_entree!$B$8*60)-E122)</f>
        <v/>
      </c>
    </row>
    <row r="123">
      <c r="A123" s="4">
        <f>Hydrogramme_entree!A129</f>
        <v/>
      </c>
      <c r="B123" s="19">
        <f>Hydrogramme_entree!B129</f>
        <v/>
      </c>
      <c r="C123" s="19">
        <f>IF(A123="","",IFERROR(FORECAST(K122+B122+B123,INDEX(Courbe_de_tarage!$C$4:$C$44,MATCH(K122+B122+B123,Courbe_de_tarage!$I$4:$I$44,1)):INDEX(Courbe_de_tarage!$C$4:$C$44,MATCH(K122+B122+B123,Courbe_de_tarage!$I$4:$I$44,1)+1),INDEX(Courbe_de_tarage!$I$4:$I$44,MATCH(K122+B122+B123,Courbe_de_tarage!$I$4:$I$44,1)):INDEX(Courbe_de_tarage!$I$4:$I$44,MATCH(K122+B122+B123,Courbe_de_tarage!$I$4:$I$44,1)+1)),IFERROR(INDEX(Courbe_de_tarage!$C$4:$C$44,MATCH(K122+B122+B123,Courbe_de_tarage!$I$4:$I$44,1)),INDEX(Courbe_de_tarage!$C$4:$C$44,1))))</f>
        <v/>
      </c>
      <c r="D123" s="19">
        <f>IF(A123="","",IFERROR(FORECAST(K122+B122+B123,INDEX(Courbe_de_tarage!$D$4:$D$44,MATCH(K122+B122+B123,Courbe_de_tarage!$I$4:$I$44,1)):INDEX(Courbe_de_tarage!$D$4:$D$44,MATCH(K122+B122+B123,Courbe_de_tarage!$I$4:$I$44,1)+1),INDEX(Courbe_de_tarage!$I$4:$I$44,MATCH(K122+B122+B123,Courbe_de_tarage!$I$4:$I$44,1)):INDEX(Courbe_de_tarage!$I$4:$I$44,MATCH(K122+B122+B123,Courbe_de_tarage!$I$4:$I$44,1)+1)),IFERROR(INDEX(Courbe_de_tarage!$D$4:$D$44,MATCH(K122+B122+B123,Courbe_de_tarage!$I$4:$I$44,1)),INDEX(Courbe_de_tarage!$D$4:$D$44,1))))</f>
        <v/>
      </c>
      <c r="E123" s="19">
        <f>IF(A123="","",IFERROR(FORECAST(K122+B122+B123,INDEX(Courbe_de_tarage!$E$4:$E$44,MATCH(K122+B122+B123,Courbe_de_tarage!$I$4:$I$44,1)):INDEX(Courbe_de_tarage!$E$4:$E$44,MATCH(K122+B122+B123,Courbe_de_tarage!$I$4:$I$44,1)+1),INDEX(Courbe_de_tarage!$I$4:$I$44,MATCH(K122+B122+B123,Courbe_de_tarage!$I$4:$I$44,1)):INDEX(Courbe_de_tarage!$I$4:$I$44,MATCH(K122+B122+B123,Courbe_de_tarage!$I$4:$I$44,1)+1)),IFERROR(INDEX(Courbe_de_tarage!$E$4:$E$44,MATCH(K122+B122+B123,Courbe_de_tarage!$I$4:$I$44,1)),INDEX(Courbe_de_tarage!$E$4:$E$44,1))))</f>
        <v/>
      </c>
      <c r="F123" s="19">
        <f>IF(A123="","",IFERROR(FORECAST(K122+B122+B123,INDEX(Courbe_de_tarage!$A$4:$A$44,MATCH(K122+B122+B123,Courbe_de_tarage!$I$4:$I$44,1)):INDEX(Courbe_de_tarage!$A$4:$A$44,MATCH(K122+B122+B123,Courbe_de_tarage!$I$4:$I$44,1)+1),INDEX(Courbe_de_tarage!$I$4:$I$44,MATCH(K122+B122+B123,Courbe_de_tarage!$I$4:$I$44,1)):INDEX(Courbe_de_tarage!$I$4:$I$44,MATCH(K122+B122+B123,Courbe_de_tarage!$I$4:$I$44,1)+1)),IFERROR(INDEX(Courbe_de_tarage!$A$4:$A$44,MATCH(K122+B122+B123,Courbe_de_tarage!$I$4:$I$44,1)),INDEX(Courbe_de_tarage!$A$4:$A$44,1))))</f>
        <v/>
      </c>
      <c r="G123" s="19">
        <f>IF(A123="","",35.36+F123)</f>
        <v/>
      </c>
      <c r="H123" s="19">
        <f>IF(A123="","",IFERROR(FORECAST(K122+B122+B123,INDEX(Courbe_de_tarage!$H$4:$H$44,MATCH(K122+B122+B123,Courbe_de_tarage!$I$4:$I$44,1)):INDEX(Courbe_de_tarage!$H$4:$H$44,MATCH(K122+B122+B123,Courbe_de_tarage!$I$4:$I$44,1)+1),INDEX(Courbe_de_tarage!$I$4:$I$44,MATCH(K122+B122+B123,Courbe_de_tarage!$I$4:$I$44,1)):INDEX(Courbe_de_tarage!$I$4:$I$44,MATCH(K122+B122+B123,Courbe_de_tarage!$I$4:$I$44,1)+1)),IFERROR(INDEX(Courbe_de_tarage!$H$4:$H$44,MATCH(K122+B122+B123,Courbe_de_tarage!$I$4:$I$44,1)),INDEX(Courbe_de_tarage!$H$4:$H$44,1))))</f>
        <v/>
      </c>
      <c r="I123" s="4">
        <f>IF(G123="","",IF(G123&gt;37.4,"OUI",""))</f>
        <v/>
      </c>
      <c r="J123" s="19">
        <f>IF(A123="","",K122+B122+B123)</f>
        <v/>
      </c>
      <c r="K123" s="19">
        <f>IF(A123="","",2*H123/(Hydrogramme_entree!$B$8*60)-E123)</f>
        <v/>
      </c>
    </row>
    <row r="124">
      <c r="A124" s="4">
        <f>Hydrogramme_entree!A130</f>
        <v/>
      </c>
      <c r="B124" s="19">
        <f>Hydrogramme_entree!B130</f>
        <v/>
      </c>
      <c r="C124" s="19">
        <f>IF(A124="","",IFERROR(FORECAST(K123+B123+B124,INDEX(Courbe_de_tarage!$C$4:$C$44,MATCH(K123+B123+B124,Courbe_de_tarage!$I$4:$I$44,1)):INDEX(Courbe_de_tarage!$C$4:$C$44,MATCH(K123+B123+B124,Courbe_de_tarage!$I$4:$I$44,1)+1),INDEX(Courbe_de_tarage!$I$4:$I$44,MATCH(K123+B123+B124,Courbe_de_tarage!$I$4:$I$44,1)):INDEX(Courbe_de_tarage!$I$4:$I$44,MATCH(K123+B123+B124,Courbe_de_tarage!$I$4:$I$44,1)+1)),IFERROR(INDEX(Courbe_de_tarage!$C$4:$C$44,MATCH(K123+B123+B124,Courbe_de_tarage!$I$4:$I$44,1)),INDEX(Courbe_de_tarage!$C$4:$C$44,1))))</f>
        <v/>
      </c>
      <c r="D124" s="19">
        <f>IF(A124="","",IFERROR(FORECAST(K123+B123+B124,INDEX(Courbe_de_tarage!$D$4:$D$44,MATCH(K123+B123+B124,Courbe_de_tarage!$I$4:$I$44,1)):INDEX(Courbe_de_tarage!$D$4:$D$44,MATCH(K123+B123+B124,Courbe_de_tarage!$I$4:$I$44,1)+1),INDEX(Courbe_de_tarage!$I$4:$I$44,MATCH(K123+B123+B124,Courbe_de_tarage!$I$4:$I$44,1)):INDEX(Courbe_de_tarage!$I$4:$I$44,MATCH(K123+B123+B124,Courbe_de_tarage!$I$4:$I$44,1)+1)),IFERROR(INDEX(Courbe_de_tarage!$D$4:$D$44,MATCH(K123+B123+B124,Courbe_de_tarage!$I$4:$I$44,1)),INDEX(Courbe_de_tarage!$D$4:$D$44,1))))</f>
        <v/>
      </c>
      <c r="E124" s="19">
        <f>IF(A124="","",IFERROR(FORECAST(K123+B123+B124,INDEX(Courbe_de_tarage!$E$4:$E$44,MATCH(K123+B123+B124,Courbe_de_tarage!$I$4:$I$44,1)):INDEX(Courbe_de_tarage!$E$4:$E$44,MATCH(K123+B123+B124,Courbe_de_tarage!$I$4:$I$44,1)+1),INDEX(Courbe_de_tarage!$I$4:$I$44,MATCH(K123+B123+B124,Courbe_de_tarage!$I$4:$I$44,1)):INDEX(Courbe_de_tarage!$I$4:$I$44,MATCH(K123+B123+B124,Courbe_de_tarage!$I$4:$I$44,1)+1)),IFERROR(INDEX(Courbe_de_tarage!$E$4:$E$44,MATCH(K123+B123+B124,Courbe_de_tarage!$I$4:$I$44,1)),INDEX(Courbe_de_tarage!$E$4:$E$44,1))))</f>
        <v/>
      </c>
      <c r="F124" s="19">
        <f>IF(A124="","",IFERROR(FORECAST(K123+B123+B124,INDEX(Courbe_de_tarage!$A$4:$A$44,MATCH(K123+B123+B124,Courbe_de_tarage!$I$4:$I$44,1)):INDEX(Courbe_de_tarage!$A$4:$A$44,MATCH(K123+B123+B124,Courbe_de_tarage!$I$4:$I$44,1)+1),INDEX(Courbe_de_tarage!$I$4:$I$44,MATCH(K123+B123+B124,Courbe_de_tarage!$I$4:$I$44,1)):INDEX(Courbe_de_tarage!$I$4:$I$44,MATCH(K123+B123+B124,Courbe_de_tarage!$I$4:$I$44,1)+1)),IFERROR(INDEX(Courbe_de_tarage!$A$4:$A$44,MATCH(K123+B123+B124,Courbe_de_tarage!$I$4:$I$44,1)),INDEX(Courbe_de_tarage!$A$4:$A$44,1))))</f>
        <v/>
      </c>
      <c r="G124" s="19">
        <f>IF(A124="","",35.36+F124)</f>
        <v/>
      </c>
      <c r="H124" s="19">
        <f>IF(A124="","",IFERROR(FORECAST(K123+B123+B124,INDEX(Courbe_de_tarage!$H$4:$H$44,MATCH(K123+B123+B124,Courbe_de_tarage!$I$4:$I$44,1)):INDEX(Courbe_de_tarage!$H$4:$H$44,MATCH(K123+B123+B124,Courbe_de_tarage!$I$4:$I$44,1)+1),INDEX(Courbe_de_tarage!$I$4:$I$44,MATCH(K123+B123+B124,Courbe_de_tarage!$I$4:$I$44,1)):INDEX(Courbe_de_tarage!$I$4:$I$44,MATCH(K123+B123+B124,Courbe_de_tarage!$I$4:$I$44,1)+1)),IFERROR(INDEX(Courbe_de_tarage!$H$4:$H$44,MATCH(K123+B123+B124,Courbe_de_tarage!$I$4:$I$44,1)),INDEX(Courbe_de_tarage!$H$4:$H$44,1))))</f>
        <v/>
      </c>
      <c r="I124" s="4">
        <f>IF(G124="","",IF(G124&gt;37.4,"OUI",""))</f>
        <v/>
      </c>
      <c r="J124" s="19">
        <f>IF(A124="","",K123+B123+B124)</f>
        <v/>
      </c>
      <c r="K124" s="19">
        <f>IF(A124="","",2*H124/(Hydrogramme_entree!$B$8*60)-E124)</f>
        <v/>
      </c>
    </row>
    <row r="125"/>
    <row r="126">
      <c r="A126" s="15" t="inlineStr">
        <is>
          <t>Résumé (formules live)</t>
        </is>
      </c>
    </row>
    <row r="127">
      <c r="A127" t="inlineStr">
        <is>
          <t>WSE max</t>
        </is>
      </c>
      <c r="B127" s="20">
        <f>MAX(G5:G124)</f>
        <v/>
      </c>
      <c r="C127" t="inlineStr">
        <is>
          <t>m</t>
        </is>
      </c>
    </row>
    <row r="128">
      <c r="A128" t="inlineStr">
        <is>
          <t>S max</t>
        </is>
      </c>
      <c r="B128">
        <f>MAX(H5:H124)</f>
        <v/>
      </c>
      <c r="C128" t="inlineStr">
        <is>
          <t>m³</t>
        </is>
      </c>
    </row>
    <row r="129">
      <c r="A129" t="inlineStr">
        <is>
          <t>Q_in max</t>
        </is>
      </c>
      <c r="B129">
        <f>MAX(B5:B124)</f>
        <v/>
      </c>
      <c r="C129" t="inlineStr">
        <is>
          <t>m³/s</t>
        </is>
      </c>
    </row>
    <row r="130">
      <c r="A130" t="inlineStr">
        <is>
          <t>Réf. Python (build)</t>
        </is>
      </c>
      <c r="B130" t="n">
        <v>37.143</v>
      </c>
      <c r="C130" t="inlineStr">
        <is>
          <t>m WSE max au moment du build (Puls Excel ≈ ce nombre)</t>
        </is>
      </c>
    </row>
    <row r="131"/>
    <row r="132">
      <c r="A132" t="inlineStr">
        <is>
          <t>Ligne jaune (mise en forme conditionnelle) = pas où WSE = WSE max. Si vous changez Q pointe à 12 sur Hydrogramme_entree!B5, ce résumé change tout seul.</t>
        </is>
      </c>
    </row>
    <row r="133"/>
  </sheetData>
  <mergeCells count="2">
    <mergeCell ref="A2:K2"/>
    <mergeCell ref="A132:K133"/>
  </mergeCells>
  <conditionalFormatting sqref="A5:K124">
    <cfRule type="expression" priority="1" dxfId="0">
      <formula>AND($A5&lt;&gt;"",$G5=MAX($G$5:$G$124))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Hyétogramme vs hydrogramme — et ce que fait ce classeur</t>
        </is>
      </c>
    </row>
    <row r="2">
      <c r="A2" t="inlineStr"/>
    </row>
    <row r="3">
      <c r="A3" t="inlineStr">
        <is>
          <t>Hyétogramme = pluie i(t) [mm/h]. Hydrogramme = débit Q(t) [m³/s] à l'entrée du ponceau.</t>
        </is>
      </c>
    </row>
    <row r="4">
      <c r="A4" t="inlineStr"/>
    </row>
    <row r="5">
      <c r="A5" t="inlineStr">
        <is>
          <t>COMMENT CHANGER LE DÉBIT DE POINTE (ex. 9 → 12):</t>
        </is>
      </c>
    </row>
    <row r="6">
      <c r="A6" t="inlineStr">
        <is>
          <t xml:space="preserve">  1. Ouvrir Hydrogramme_entree</t>
        </is>
      </c>
    </row>
    <row r="7">
      <c r="A7" t="inlineStr">
        <is>
          <t xml:space="preserve">  2. Mettre 12 dans la cellule jaune B5 (Q pointe)</t>
        </is>
      </c>
    </row>
    <row r="8">
      <c r="A8" t="inlineStr">
        <is>
          <t xml:space="preserve">  3. La colonne Q_in et Routing_stockage se recalculent (formules Excel)</t>
        </is>
      </c>
    </row>
    <row r="9">
      <c r="A9" t="inlineStr"/>
    </row>
    <row r="10">
      <c r="A10" t="inlineStr">
        <is>
          <t>Autres jaunes: B4=Pond A, B6=Montée, B7=Descente, B8=dt.</t>
        </is>
      </c>
    </row>
    <row r="11">
      <c r="A11" t="inlineStr"/>
    </row>
    <row r="12">
      <c r="A12" t="inlineStr">
        <is>
          <t>Formule triangle:</t>
        </is>
      </c>
    </row>
    <row r="13">
      <c r="A13" t="inlineStr">
        <is>
          <t xml:space="preserve">  montée:   Qin = Qpointe * t / Montée</t>
        </is>
      </c>
    </row>
    <row r="14">
      <c r="A14" t="inlineStr">
        <is>
          <t xml:space="preserve">  descente: Qin = Qpointe * (1 - (t - Montée) / Descente)</t>
        </is>
      </c>
    </row>
    <row r="15">
      <c r="A15" t="inlineStr"/>
    </row>
    <row r="16">
      <c r="A16" t="inlineStr">
        <is>
          <t>Routing = méthode Puls (pas besoin de relancer Python pour Q pointe / pond / dt).</t>
        </is>
      </c>
    </row>
    <row r="17">
      <c r="A17" t="inlineStr">
        <is>
          <t>Si vous changez D, n, L, pente: relancer python build_excel.py (courbe de tarage).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>
      <c r="A1" s="21" t="inlineStr">
        <is>
          <t>Comparaison overflow porous vs surface pour Q=9 (mêmes géométrie/S0)</t>
        </is>
      </c>
    </row>
    <row r="2"/>
    <row r="3">
      <c r="A3" s="7" t="inlineStr">
        <is>
          <t>Mode</t>
        </is>
      </c>
      <c r="B3" s="7" t="inlineStr">
        <is>
          <t>WSE (m)</t>
        </is>
      </c>
      <c r="C3" s="7" t="inlineStr">
        <is>
          <t>Q_pipe</t>
        </is>
      </c>
      <c r="D3" s="7" t="inlineStr">
        <is>
          <t>Q_overflow</t>
        </is>
      </c>
      <c r="E3" s="7" t="inlineStr">
        <is>
          <t>Q_total</t>
        </is>
      </c>
      <c r="F3" s="7" t="inlineStr">
        <is>
          <t>Sous 37.4?</t>
        </is>
      </c>
    </row>
    <row r="4">
      <c r="A4" t="inlineStr">
        <is>
          <t>porous</t>
        </is>
      </c>
      <c r="B4" t="n">
        <v>37.4</v>
      </c>
      <c r="C4" t="n">
        <v>4.422</v>
      </c>
      <c r="D4" t="n">
        <v>0.16</v>
      </c>
      <c r="E4" t="n">
        <v>4.582</v>
      </c>
      <c r="F4" t="inlineStr">
        <is>
          <t>Non / limite</t>
        </is>
      </c>
    </row>
    <row r="5">
      <c r="A5" t="inlineStr">
        <is>
          <t>surface</t>
        </is>
      </c>
      <c r="B5" t="n">
        <v>37.157</v>
      </c>
      <c r="C5" t="n">
        <v>4.235</v>
      </c>
      <c r="D5" t="n">
        <v>4.764</v>
      </c>
      <c r="E5" t="n">
        <v>9</v>
      </c>
      <c r="F5" t="inlineStr">
        <is>
          <t>Oui</t>
        </is>
      </c>
    </row>
    <row r="6">
      <c r="A6" t="inlineStr">
        <is>
          <t>both</t>
        </is>
      </c>
      <c r="B6" t="n">
        <v>37.4</v>
      </c>
      <c r="C6" t="n">
        <v>4.422</v>
      </c>
      <c r="D6" t="n">
        <v>0.16</v>
      </c>
      <c r="E6" t="n">
        <v>4.582</v>
      </c>
      <c r="F6" t="inlineStr">
        <is>
          <t>Non / limite</t>
        </is>
      </c>
    </row>
    <row r="7"/>
    <row r="8">
      <c r="A8" s="11" t="inlineStr">
        <is>
          <t>Note: mode porous (Wilkins) seul ne passe pas ~9 m³/s sous 37.4 m. Mode surface (fossé rugueux / macropores dans 8–200 mm) est le défaut pratique.</t>
        </is>
      </c>
    </row>
    <row r="9"/>
    <row r="10"/>
  </sheetData>
  <mergeCells count="1">
    <mergeCell ref="A8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2026-08-16T21:29:08Z</dcterms:created>
  <dcterms:modified xsi:type="dcterms:W3CDTF">2026-08-16T21:29:08Z</dcterms:modified>
</cp:coreProperties>
</file>