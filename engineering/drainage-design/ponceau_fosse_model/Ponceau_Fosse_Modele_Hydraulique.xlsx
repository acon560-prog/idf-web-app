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Formules_explications" sheetId="2" state="visible" r:id="rId2"/>
    <sheet name="Resultat_Q9" sheetId="3" state="visible" r:id="rId3"/>
    <sheet name="Courbe_de_tarage" sheetId="4" state="visible" r:id="rId4"/>
    <sheet name="Hydrogramme_entree" sheetId="5" state="visible" r:id="rId5"/>
    <sheet name="Routing_stockage" sheetId="6" state="visible" r:id="rId6"/>
    <sheet name="Hydrogramme_notes" sheetId="7" state="visible" r:id="rId7"/>
    <sheet name="Comparaison_m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4748B"/>
    </font>
    <font>
      <b val="1"/>
      <color rgb="00FFFFFF"/>
    </font>
    <font>
      <i val="1"/>
      <color rgb="0064748B"/>
      <sz val="10"/>
    </font>
    <font>
      <b val="1"/>
      <color rgb="000F5C5C"/>
    </font>
    <font>
      <b val="1"/>
      <sz val="13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0F5C5C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4" borderId="1" pivotButton="0" quotePrefix="0" xfId="0"/>
    <xf numFmtId="0" fontId="0" fillId="0" borderId="0" applyAlignment="1" pivotButton="0" quotePrefix="0" xfId="0">
      <alignment wrapText="1"/>
    </xf>
    <xf numFmtId="164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42" customWidth="1" min="4" max="4"/>
  </cols>
  <sheetData>
    <row r="1">
      <c r="A1" s="1" t="inlineStr">
        <is>
          <t>Modèle composé — Ponceau + fossé (remblai)</t>
        </is>
      </c>
    </row>
    <row r="2">
      <c r="A2" s="2" t="inlineStr">
        <is>
          <t>Outil préliminaire 1D — pas un substitut à HEC-RAS / HY-8</t>
        </is>
      </c>
    </row>
    <row r="3"/>
    <row r="4">
      <c r="A4" s="3" t="inlineStr">
        <is>
          <t>Section</t>
        </is>
      </c>
      <c r="B4" s="3" t="inlineStr">
        <is>
          <t>Paramètre</t>
        </is>
      </c>
      <c r="C4" s="3" t="inlineStr">
        <is>
          <t>Valeur</t>
        </is>
      </c>
      <c r="D4" s="3" t="inlineStr">
        <is>
          <t>Unité / note</t>
        </is>
      </c>
    </row>
    <row r="5">
      <c r="A5" s="4" t="inlineStr">
        <is>
          <t>Géométrie</t>
        </is>
      </c>
      <c r="B5" s="4" t="inlineStr">
        <is>
          <t>Diamètre ponceau D</t>
        </is>
      </c>
      <c r="C5" s="5" t="n">
        <v>1.05</v>
      </c>
      <c r="D5" s="4" t="inlineStr">
        <is>
          <t>m (1050 mm)</t>
        </is>
      </c>
    </row>
    <row r="6">
      <c r="A6" s="4" t="inlineStr">
        <is>
          <t>Géométrie</t>
        </is>
      </c>
      <c r="B6" s="4" t="inlineStr">
        <is>
          <t>Longueur L</t>
        </is>
      </c>
      <c r="C6" s="5" t="n">
        <v>50.9</v>
      </c>
      <c r="D6" s="4" t="inlineStr">
        <is>
          <t>m</t>
        </is>
      </c>
    </row>
    <row r="7">
      <c r="A7" s="4" t="inlineStr">
        <is>
          <t>Géométrie</t>
        </is>
      </c>
      <c r="B7" s="4" t="inlineStr">
        <is>
          <t>Largeur fond fossé b</t>
        </is>
      </c>
      <c r="C7" s="5" t="n">
        <v>2</v>
      </c>
      <c r="D7" s="4" t="inlineStr">
        <is>
          <t>m</t>
        </is>
      </c>
    </row>
    <row r="8">
      <c r="A8" s="4" t="inlineStr">
        <is>
          <t>Géométrie</t>
        </is>
      </c>
      <c r="B8" s="4" t="inlineStr">
        <is>
          <t>Talus z</t>
        </is>
      </c>
      <c r="C8" s="5" t="n">
        <v>2</v>
      </c>
      <c r="D8" s="4" t="inlineStr">
        <is>
          <t>H:V</t>
        </is>
      </c>
    </row>
    <row r="9">
      <c r="A9" s="4" t="inlineStr">
        <is>
          <t>Cote</t>
        </is>
      </c>
      <c r="B9" s="4" t="inlineStr">
        <is>
          <t>Invert amont</t>
        </is>
      </c>
      <c r="C9" s="5" t="n">
        <v>35.36</v>
      </c>
      <c r="D9" s="4" t="inlineStr">
        <is>
          <t>m</t>
        </is>
      </c>
    </row>
    <row r="10">
      <c r="A10" s="4" t="inlineStr">
        <is>
          <t>Cote</t>
        </is>
      </c>
      <c r="B10" s="4" t="inlineStr">
        <is>
          <t>Invert aval</t>
        </is>
      </c>
      <c r="C10" s="5" t="n">
        <v>34.47</v>
      </c>
      <c r="D10" s="4" t="inlineStr">
        <is>
          <t>m</t>
        </is>
      </c>
    </row>
    <row r="11">
      <c r="A11" s="4" t="inlineStr">
        <is>
          <t>Cote</t>
        </is>
      </c>
      <c r="B11" s="4" t="inlineStr">
        <is>
          <t>Max hauteur d'eau</t>
        </is>
      </c>
      <c r="C11" s="5" t="n">
        <v>37.4</v>
      </c>
      <c r="D11" s="4" t="inlineStr">
        <is>
          <t>m</t>
        </is>
      </c>
    </row>
    <row r="12">
      <c r="A12" s="4" t="inlineStr">
        <is>
          <t>Cote</t>
        </is>
      </c>
      <c r="B12" s="4" t="inlineStr">
        <is>
          <t>Clé du tuyau (crown)</t>
        </is>
      </c>
      <c r="C12" s="5" t="n">
        <v>36.41</v>
      </c>
      <c r="D12" s="4" t="inlineStr">
        <is>
          <t>m = invert + D</t>
        </is>
      </c>
    </row>
    <row r="13">
      <c r="A13" s="4" t="inlineStr">
        <is>
          <t>Hydraulique</t>
        </is>
      </c>
      <c r="B13" s="4" t="inlineStr">
        <is>
          <t>Pente S0 = Δz/L</t>
        </is>
      </c>
      <c r="C13" s="5" t="n">
        <v>0.017485</v>
      </c>
      <c r="D13" s="4" t="inlineStr">
        <is>
          <t>m/m</t>
        </is>
      </c>
    </row>
    <row r="14">
      <c r="A14" s="4" t="inlineStr">
        <is>
          <t>Hydraulique</t>
        </is>
      </c>
      <c r="B14" s="4" t="inlineStr">
        <is>
          <t>n ponceau</t>
        </is>
      </c>
      <c r="C14" s="5" t="n">
        <v>0.013</v>
      </c>
      <c r="D14" s="4" t="inlineStr">
        <is>
          <t>Manning</t>
        </is>
      </c>
    </row>
    <row r="15">
      <c r="A15" s="4" t="inlineStr">
        <is>
          <t>Hydraulique</t>
        </is>
      </c>
      <c r="B15" s="4" t="inlineStr">
        <is>
          <t>Entrée</t>
        </is>
      </c>
      <c r="C15" s="5" t="inlineStr">
        <is>
          <t>beveled</t>
        </is>
      </c>
      <c r="D15" s="4" t="inlineStr">
        <is>
          <t>Ke=0.2; coeffs HDS-5 Form2</t>
        </is>
      </c>
    </row>
    <row r="16">
      <c r="A16" s="4" t="inlineStr">
        <is>
          <t>Hydraulique</t>
        </is>
      </c>
      <c r="B16" s="4" t="inlineStr">
        <is>
          <t>Tailwater TW</t>
        </is>
      </c>
      <c r="C16" s="5" t="n">
        <v>0</v>
      </c>
      <c r="D16" s="4" t="inlineStr">
        <is>
          <t>m au-dessus invert aval (inconnu → 0)</t>
        </is>
      </c>
    </row>
    <row r="17">
      <c r="A17" s="4" t="inlineStr">
        <is>
          <t>Débordement</t>
        </is>
      </c>
      <c r="B17" s="4" t="inlineStr">
        <is>
          <t>Mode</t>
        </is>
      </c>
      <c r="C17" s="5" t="inlineStr">
        <is>
          <t>surface</t>
        </is>
      </c>
      <c r="D17" s="4" t="inlineStr">
        <is>
          <t>surface = fossé enrochement / macropores</t>
        </is>
      </c>
    </row>
    <row r="18">
      <c r="A18" s="4" t="inlineStr">
        <is>
          <t>Débordement</t>
        </is>
      </c>
      <c r="B18" s="4" t="inlineStr">
        <is>
          <t>Début débordement</t>
        </is>
      </c>
      <c r="C18" s="5" t="n">
        <v>1.05</v>
      </c>
      <c r="D18" s="4" t="inlineStr">
        <is>
          <t>m au-dessus invert (= crown)</t>
        </is>
      </c>
    </row>
    <row r="19">
      <c r="A19" s="4" t="inlineStr">
        <is>
          <t>Débordement</t>
        </is>
      </c>
      <c r="B19" s="4" t="inlineStr">
        <is>
          <t>n surface (rocher)</t>
        </is>
      </c>
      <c r="C19" s="5" t="n">
        <v>0.045</v>
      </c>
      <c r="D19" s="4" t="inlineStr">
        <is>
          <t>si mode surface/both</t>
        </is>
      </c>
    </row>
    <row r="20">
      <c r="A20" s="4" t="inlineStr">
        <is>
          <t>Débordement</t>
        </is>
      </c>
      <c r="B20" s="4" t="inlineStr">
        <is>
          <t>d50 remblai</t>
        </is>
      </c>
      <c r="C20" s="5" t="n">
        <v>0.05</v>
      </c>
      <c r="D20" s="4" t="inlineStr">
        <is>
          <t>m (si mode porous)</t>
        </is>
      </c>
    </row>
    <row r="21">
      <c r="A21" s="4" t="inlineStr">
        <is>
          <t>Débordement</t>
        </is>
      </c>
      <c r="B21" s="4" t="inlineStr">
        <is>
          <t>Porosité</t>
        </is>
      </c>
      <c r="C21" s="5" t="n">
        <v>0.4</v>
      </c>
      <c r="D21" s="4" t="inlineStr">
        <is>
          <t>-</t>
        </is>
      </c>
    </row>
    <row r="22">
      <c r="A22" s="4" t="inlineStr">
        <is>
          <t>Débordement</t>
        </is>
      </c>
      <c r="B22" s="4" t="inlineStr">
        <is>
          <t>Cd_rock</t>
        </is>
      </c>
      <c r="C22" s="5" t="n">
        <v>0.85</v>
      </c>
      <c r="D22" s="4" t="inlineStr">
        <is>
          <t>calage poreux</t>
        </is>
      </c>
    </row>
    <row r="23">
      <c r="A23" s="4" t="inlineStr">
        <is>
          <t>Débit</t>
        </is>
      </c>
      <c r="B23" s="4" t="inlineStr">
        <is>
          <t>Q design (permanent)</t>
        </is>
      </c>
      <c r="C23" s="5" t="n">
        <v>9</v>
      </c>
      <c r="D23" s="4" t="inlineStr">
        <is>
          <t>m³/s — hydrogramme = amélioration future</t>
        </is>
      </c>
    </row>
    <row r="24"/>
    <row r="25"/>
    <row r="26">
      <c r="A26" s="6" t="inlineStr">
        <is>
          <t>Cellules jaunes = entrées principales (recalculer via run_model.py / build_excel.py après changement).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Comment les valeurs sont calculées (formules + méthode)</t>
        </is>
      </c>
    </row>
    <row r="3">
      <c r="A3" s="7" t="inlineStr">
        <is>
          <t>Sujet</t>
        </is>
      </c>
      <c r="B3" s="7" t="inlineStr">
        <is>
          <t>Formule / explication</t>
        </is>
      </c>
    </row>
    <row r="4" ht="35" customHeight="1">
      <c r="A4" t="inlineStr">
        <is>
          <t>Important</t>
        </is>
      </c>
      <c r="B4" s="8" t="inlineStr">
        <is>
          <t>Les débits Q_ponceau / Q_débordement sont calculés dans Python (hydraulics.py), puis écrits dans Excel. Ce ne sont pas des formules Excel « live » (trop complexes: HDS-5 + Manning + routing). Relancer: python build_excel.py</t>
        </is>
      </c>
    </row>
    <row r="5" ht="18" customHeight="1">
      <c r="A5" t="inlineStr"/>
      <c r="B5" s="8" t="inlineStr"/>
    </row>
    <row r="6" ht="18" customHeight="1">
      <c r="A6" s="9" t="inlineStr">
        <is>
          <t>1. Cotes</t>
        </is>
      </c>
      <c r="B6" s="8" t="inlineStr"/>
    </row>
    <row r="7" ht="18" customHeight="1">
      <c r="A7" t="inlineStr">
        <is>
          <t>HW</t>
        </is>
      </c>
      <c r="B7" s="8" t="inlineStr">
        <is>
          <t>Profondeur d'eau amont au-dessus de l'invert du ponceau (m)</t>
        </is>
      </c>
    </row>
    <row r="8" ht="18" customHeight="1">
      <c r="A8" t="inlineStr">
        <is>
          <t>WSE</t>
        </is>
      </c>
      <c r="B8" s="8" t="inlineStr">
        <is>
          <t>WSE = invert_amont + HW   →   35.36 + HW</t>
        </is>
      </c>
    </row>
    <row r="9" ht="18" customHeight="1">
      <c r="A9" t="inlineStr">
        <is>
          <t>Clé (crown)</t>
        </is>
      </c>
      <c r="B9" s="8" t="inlineStr">
        <is>
          <t>elev_clé = invert_amont + D = 35.36 + 1.05 = 36.41 m</t>
        </is>
      </c>
    </row>
    <row r="10" ht="18" customHeight="1">
      <c r="A10" t="inlineStr">
        <is>
          <t>S0</t>
        </is>
      </c>
      <c r="B10" s="8" t="inlineStr">
        <is>
          <t>S0 = (invert_amont − invert_aval) / L = (35.36 − 34.47) / 50.9 ≈ 0.0175 m/m</t>
        </is>
      </c>
    </row>
    <row r="11" ht="18" customHeight="1">
      <c r="A11" t="inlineStr"/>
      <c r="B11" s="8" t="inlineStr"/>
    </row>
    <row r="12" ht="18" customHeight="1">
      <c r="A12" s="9" t="inlineStr">
        <is>
          <t>2. Courbe de tarage = quoi?</t>
        </is>
      </c>
      <c r="B12" s="8" t="inlineStr"/>
    </row>
    <row r="13" ht="35" customHeight="1">
      <c r="A13" t="inlineStr">
        <is>
          <t>Définition</t>
        </is>
      </c>
      <c r="B13" s="8" t="inlineStr">
        <is>
          <t>Table qui donne le débit que le système PEUT évacuer pour chaque niveau d'eau HW. On fixe HW, on calcule Q. Ce n'est PAS un hydrogramme (qui est Q vs temps).</t>
        </is>
      </c>
    </row>
    <row r="14" ht="35" customHeight="1">
      <c r="A14" t="inlineStr">
        <is>
          <t>Construction</t>
        </is>
      </c>
      <c r="B14" s="8" t="inlineStr">
        <is>
          <t>Pour HW = 0, 0.05, 0.10, … jusqu'à Hmax=37.4−35.36=2.04 m : Q_total(HW) = Q_pipe(HW) + Q_overflow(HW)</t>
        </is>
      </c>
    </row>
    <row r="15" ht="18" customHeight="1">
      <c r="A15" t="inlineStr"/>
      <c r="B15" s="8" t="inlineStr"/>
    </row>
    <row r="16" ht="18" customHeight="1">
      <c r="A16" s="9" t="inlineStr">
        <is>
          <t>3. Q_ponceau (FHWA HDS-5 + Manning)</t>
        </is>
      </c>
      <c r="B16" s="8" t="inlineStr"/>
    </row>
    <row r="17" ht="35" customHeight="1">
      <c r="A17" t="inlineStr">
        <is>
          <t>Contrôle d'entrée</t>
        </is>
      </c>
      <c r="B17" s="8" t="inlineStr">
        <is>
          <t>Forme 2 (SI):  HW/D = K [Q / (Ku·A·√D)]^M   (non submergé) ;  HW/D = c [Q/(Ku·A·√D)]² + Y  (submergé). Ku=1.811. Entrée biseautée: K=0.0018, M=2.5, c=0.030, Y=0.74</t>
        </is>
      </c>
    </row>
    <row r="18" ht="35" customHeight="1">
      <c r="A18" t="inlineStr">
        <is>
          <t>Contrôle de sortie</t>
        </is>
      </c>
      <c r="B18" s="8" t="inlineStr">
        <is>
          <t>Plein tuyau: pertes H = (1+Ke) V²/(2g) + n² V² L / R^(4/3), R=D/4, Ke=0.2 (biseau). Partiellement plein: Manning circulaire.</t>
        </is>
      </c>
    </row>
    <row r="19" ht="18" customHeight="1">
      <c r="A19" t="inlineStr">
        <is>
          <t>Q retenu</t>
        </is>
      </c>
      <c r="B19" s="8" t="inlineStr">
        <is>
          <t>Q_pipe = min(Q_entrée, Q_sortie) au même HW  (le plus limitatif gouverne)</t>
        </is>
      </c>
    </row>
    <row r="20" ht="18" customHeight="1">
      <c r="A20" t="inlineStr"/>
      <c r="B20" s="8" t="inlineStr"/>
    </row>
    <row r="21" ht="18" customHeight="1">
      <c r="A21" s="9" t="inlineStr">
        <is>
          <t>4. Q_débordement (fossé / remblai)</t>
        </is>
      </c>
      <c r="B21" s="8" t="inlineStr"/>
    </row>
    <row r="22" ht="18" customHeight="1">
      <c r="A22" t="inlineStr">
        <is>
          <t>Seuil</t>
        </is>
      </c>
      <c r="B22" s="8" t="inlineStr">
        <is>
          <t>Débute quand HW &gt; D (au-dessus de la clé). y = HW − D</t>
        </is>
      </c>
    </row>
    <row r="23" ht="18" customHeight="1">
      <c r="A23" t="inlineStr">
        <is>
          <t>Géométrie fossé</t>
        </is>
      </c>
      <c r="B23" s="8" t="inlineStr">
        <is>
          <t>Trapèze: A = (b + z·y)·y ; P = b + 2y√(1+z²) ; R = A/P   avec b=2 m, z=2</t>
        </is>
      </c>
    </row>
    <row r="24" ht="35" customHeight="1">
      <c r="A24" t="inlineStr">
        <is>
          <t>Mode surface (défaut)</t>
        </is>
      </c>
      <c r="B24" s="8" t="inlineStr">
        <is>
          <t>Manning: Q = (1/n) A R^(2/3) √S0   avec n≈0.045 (rocher 8–200 mm, écoulement préférentiel)</t>
        </is>
      </c>
    </row>
    <row r="25" ht="35" customHeight="1">
      <c r="A25" t="inlineStr">
        <is>
          <t>Mode porous (option)</t>
        </is>
      </c>
      <c r="B25" s="8" t="inlineStr">
        <is>
          <t>Wilkins approx.: V_bulk ≈ Cd·n_por·√(g·d50·S0/(1−n_por)) ; Q = A·V_bulk  (beaucoup plus petit — insuffisant seul pour 9 m³/s)</t>
        </is>
      </c>
    </row>
    <row r="26" ht="18" customHeight="1">
      <c r="A26" t="inlineStr"/>
      <c r="B26" s="8" t="inlineStr"/>
    </row>
    <row r="27" ht="18" customHeight="1">
      <c r="A27" s="9" t="inlineStr">
        <is>
          <t>5. Régime permanent Q=9 (feuille Resultat_Q9)</t>
        </is>
      </c>
      <c r="B27" s="8" t="inlineStr"/>
    </row>
    <row r="28" ht="18" customHeight="1">
      <c r="A28" t="inlineStr">
        <is>
          <t>Méthode</t>
        </is>
      </c>
      <c r="B28" s="8" t="inlineStr">
        <is>
          <t>On cherche HW tel que Q_pipe(HW)+Q_overflow(HW) = 9  (dichotomie / bisection)</t>
        </is>
      </c>
    </row>
    <row r="29" ht="18" customHeight="1">
      <c r="A29" t="inlineStr">
        <is>
          <t>Résultat typique</t>
        </is>
      </c>
      <c r="B29" s="8" t="inlineStr">
        <is>
          <t>WSE≈37.16 m ; Q_pipe≈4.2 ; Q_overflow≈4.8 m³/s</t>
        </is>
      </c>
    </row>
    <row r="30" ht="18" customHeight="1">
      <c r="A30" t="inlineStr"/>
      <c r="B30" s="8" t="inlineStr"/>
    </row>
    <row r="31" ht="18" customHeight="1">
      <c r="A31" s="9" t="inlineStr">
        <is>
          <t>6. Hydrogramme d'entrée (triangle)</t>
        </is>
      </c>
      <c r="B31" s="8" t="inlineStr"/>
    </row>
    <row r="32" ht="18" customHeight="1">
      <c r="A32" t="inlineStr">
        <is>
          <t>Montée 0→Tmontée</t>
        </is>
      </c>
      <c r="B32" s="8" t="inlineStr">
        <is>
          <t>Q_in(t) = Qpointe · (t / Tmontée)     ex.: 9·(t/40)</t>
        </is>
      </c>
    </row>
    <row r="33" ht="18" customHeight="1">
      <c r="A33" t="inlineStr">
        <is>
          <t>Descente après pic</t>
        </is>
      </c>
      <c r="B33" s="8" t="inlineStr">
        <is>
          <t>Q_in(t) = Qpointe · (1 − (t−Tmontée)/Tdescente)</t>
        </is>
      </c>
    </row>
    <row r="34" ht="18" customHeight="1">
      <c r="A34" t="inlineStr">
        <is>
          <t>Exemple</t>
        </is>
      </c>
      <c r="B34" s="8" t="inlineStr">
        <is>
          <t>t=20 min → Qin=9·20/40=4.5 ; t=40 → 9 ; t=60 → 9·(1−20/80)=6.75</t>
        </is>
      </c>
    </row>
    <row r="35" ht="35" customHeight="1">
      <c r="A35" t="inlineStr">
        <is>
          <t>Pond amont A</t>
        </is>
      </c>
      <c r="B35" s="8" t="inlineStr">
        <is>
          <t>Surface fictive (m²) ajoutée au stockage: V_pond = A · HW. 0 = seulement tuyau+fossé. 50–500 = bassin/nappé amont simplifié.</t>
        </is>
      </c>
    </row>
    <row r="36" ht="18" customHeight="1">
      <c r="A36" t="inlineStr"/>
      <c r="B36" s="8" t="inlineStr"/>
    </row>
    <row r="37" ht="18" customHeight="1">
      <c r="A37" s="9" t="inlineStr">
        <is>
          <t>7. Routing stockage (feuille Routing_stockage)</t>
        </is>
      </c>
      <c r="B37" s="8" t="inlineStr"/>
    </row>
    <row r="38" ht="18" customHeight="1">
      <c r="A38" t="inlineStr">
        <is>
          <t>Bilan</t>
        </is>
      </c>
      <c r="B38" s="8" t="inlineStr">
        <is>
          <t>dS/dt = Q_in − Q_out(WSE)    (continuité / level-pool)</t>
        </is>
      </c>
    </row>
    <row r="39" ht="35" customHeight="1">
      <c r="A39" t="inlineStr">
        <is>
          <t>Stockage S(HW)</t>
        </is>
      </c>
      <c r="B39" s="8" t="inlineStr">
        <is>
          <t>S ≈ V_tuyau(HW)·(aire circulaire partielle × L) + V_fossé(max(0,HW−D)) + A_pond·HW</t>
        </is>
      </c>
    </row>
    <row r="40" ht="18" customHeight="1">
      <c r="A40" t="inlineStr">
        <is>
          <t>Q_out</t>
        </is>
      </c>
      <c r="B40" s="8" t="inlineStr">
        <is>
          <t>Q_out = Q_pipe(HW) + Q_overflow(HW)  (+ déversoir large si WSE&gt;37.4)</t>
        </is>
      </c>
    </row>
    <row r="41" ht="35" customHeight="1">
      <c r="A41" t="inlineStr">
        <is>
          <t>Numérique</t>
        </is>
      </c>
      <c r="B41" s="8" t="inlineStr">
        <is>
          <t>Pas de temps subdivisés; estimateur/correcteur sur Q_out. Voir hydraulics.py → route_level_pool()</t>
        </is>
      </c>
    </row>
    <row r="42" ht="18" customHeight="1">
      <c r="A42" t="inlineStr">
        <is>
          <t>Ligne jaune</t>
        </is>
      </c>
      <c r="B42" s="8" t="inlineStr">
        <is>
          <t>Pas de temps où WSE est maximal</t>
        </is>
      </c>
    </row>
    <row r="43" ht="18" customHeight="1">
      <c r="A43" t="inlineStr"/>
      <c r="B43" s="8" t="inlineStr"/>
    </row>
    <row r="44" ht="18" customHeight="1">
      <c r="A44" s="9" t="inlineStr">
        <is>
          <t>8. Fichiers source</t>
        </is>
      </c>
      <c r="B44" s="8" t="inlineStr"/>
    </row>
    <row r="45" ht="18" customHeight="1">
      <c r="A45" t="inlineStr">
        <is>
          <t>hydraulics.py</t>
        </is>
      </c>
      <c r="B45" s="8" t="inlineStr">
        <is>
          <t>Toutes les formules hydrauliques</t>
        </is>
      </c>
    </row>
    <row r="46" ht="18" customHeight="1">
      <c r="A46" t="inlineStr">
        <is>
          <t>build_excel.py</t>
        </is>
      </c>
      <c r="B46" s="8" t="inlineStr">
        <is>
          <t>Remplit ce classeur à partir de hydraulics.py</t>
        </is>
      </c>
    </row>
    <row r="47" ht="18" customHeight="1">
      <c r="A47" t="inlineStr">
        <is>
          <t>run_model.py</t>
        </is>
      </c>
      <c r="B47" s="8" t="inlineStr">
        <is>
          <t>Affiche le résultat permanent dans le terminal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2" customWidth="1" min="3" max="3"/>
    <col width="42" customWidth="1" min="4" max="4"/>
  </cols>
  <sheetData>
    <row r="1">
      <c r="A1" s="1" t="inlineStr">
        <is>
          <t>Résultat pour Q permanent = 9 m³/s</t>
        </is>
      </c>
    </row>
    <row r="2"/>
    <row r="3">
      <c r="A3" s="3" t="inlineStr">
        <is>
          <t>Grandeur</t>
        </is>
      </c>
      <c r="B3" s="3" t="inlineStr">
        <is>
          <t>Valeur</t>
        </is>
      </c>
      <c r="C3" s="3" t="inlineStr">
        <is>
          <t>Unité</t>
        </is>
      </c>
      <c r="D3" s="3" t="inlineStr">
        <is>
          <t>Comment obtenu</t>
        </is>
      </c>
    </row>
    <row r="4">
      <c r="A4" s="4" t="inlineStr">
        <is>
          <t>Q design</t>
        </is>
      </c>
      <c r="B4" s="10" t="n">
        <v>9</v>
      </c>
      <c r="C4" s="4" t="inlineStr">
        <is>
          <t>m³/s</t>
        </is>
      </c>
      <c r="D4" s="4" t="inlineStr">
        <is>
          <t>Entrée utilisateur (débit de pointe permanent)</t>
        </is>
      </c>
    </row>
    <row r="5">
      <c r="A5" s="4" t="inlineStr">
        <is>
          <t>HW (profondeur amont)</t>
        </is>
      </c>
      <c r="B5" s="10" t="n">
        <v>1.797</v>
      </c>
      <c r="C5" s="4" t="inlineStr">
        <is>
          <t>m</t>
        </is>
      </c>
      <c r="D5" s="4" t="inlineStr">
        <is>
          <t>Résolu pour Q_pipe+Q_overflow = 9</t>
        </is>
      </c>
    </row>
    <row r="6">
      <c r="A6" s="4" t="inlineStr">
        <is>
          <t>WSE amont</t>
        </is>
      </c>
      <c r="B6" s="10" t="n">
        <v>37.157</v>
      </c>
      <c r="C6" s="4" t="inlineStr">
        <is>
          <t>m</t>
        </is>
      </c>
      <c r="D6" s="4" t="inlineStr">
        <is>
          <t>WSE = 35.36 + HW</t>
        </is>
      </c>
    </row>
    <row r="7">
      <c r="A7" s="4" t="inlineStr">
        <is>
          <t>Q_ponceau</t>
        </is>
      </c>
      <c r="B7" s="10" t="n">
        <v>4.235</v>
      </c>
      <c r="C7" s="4" t="inlineStr">
        <is>
          <t>m³/s</t>
        </is>
      </c>
      <c r="D7" s="4" t="inlineStr">
        <is>
          <t>min(contrôle entrée HDS-5, contrôle sortie Manning)</t>
        </is>
      </c>
    </row>
    <row r="8">
      <c r="A8" s="4" t="inlineStr">
        <is>
          <t>Q_débordement (fossé/rocher)</t>
        </is>
      </c>
      <c r="B8" s="10" t="n">
        <v>4.764</v>
      </c>
      <c r="C8" s="4" t="inlineStr">
        <is>
          <t>m³/s</t>
        </is>
      </c>
      <c r="D8" s="4" t="inlineStr">
        <is>
          <t>Manning trapèze au-dessus de la clé (mode surface)</t>
        </is>
      </c>
    </row>
    <row r="9">
      <c r="A9" s="4" t="inlineStr">
        <is>
          <t>Q_total</t>
        </is>
      </c>
      <c r="B9" s="10" t="n">
        <v>9</v>
      </c>
      <c r="C9" s="4" t="inlineStr">
        <is>
          <t>m³/s</t>
        </is>
      </c>
      <c r="D9" s="4" t="inlineStr">
        <is>
          <t>Q_pipe + Q_débordement</t>
        </is>
      </c>
    </row>
    <row r="10">
      <c r="A10" s="4" t="inlineStr">
        <is>
          <t>Contrôle</t>
        </is>
      </c>
      <c r="B10" s="10" t="inlineStr">
        <is>
          <t>compound/outlet+surface</t>
        </is>
      </c>
      <c r="C10" s="4" t="inlineStr">
        <is>
          <t>-</t>
        </is>
      </c>
      <c r="D10" s="4" t="inlineStr">
        <is>
          <t>Quel mécanisme limite le débit</t>
        </is>
      </c>
    </row>
    <row r="11">
      <c r="A11" s="4" t="inlineStr">
        <is>
          <t>Capacité ponceau à la clé</t>
        </is>
      </c>
      <c r="B11" s="10" t="n">
        <v>3.598</v>
      </c>
      <c r="C11" s="4" t="inlineStr">
        <is>
          <t>m³/s</t>
        </is>
      </c>
      <c r="D11" s="4" t="inlineStr">
        <is>
          <t>Q_pipe quand HW = D = 1.05 m</t>
        </is>
      </c>
    </row>
    <row r="12">
      <c r="A12" s="4" t="inlineStr">
        <is>
          <t>Débordement actif?</t>
        </is>
      </c>
      <c r="B12" s="10" t="inlineStr">
        <is>
          <t>Oui</t>
        </is>
      </c>
      <c r="C12" s="4" t="inlineStr">
        <is>
          <t>-</t>
        </is>
      </c>
      <c r="D12" s="4" t="inlineStr">
        <is>
          <t>Oui si HW &gt; clé</t>
        </is>
      </c>
    </row>
    <row r="13">
      <c r="A13" s="4" t="inlineStr">
        <is>
          <t>Dépasse elev_max 37.4?</t>
        </is>
      </c>
      <c r="B13" s="10" t="inlineStr">
        <is>
          <t>Non</t>
        </is>
      </c>
      <c r="C13" s="4" t="inlineStr">
        <is>
          <t>-</t>
        </is>
      </c>
      <c r="D13" s="4" t="inlineStr">
        <is>
          <t>Capacité insuffisante sous 37.4 si Oui</t>
        </is>
      </c>
    </row>
    <row r="14"/>
    <row r="15"/>
    <row r="16">
      <c r="A16" s="11" t="inlineStr">
        <is>
          <t>Interprétation: le ponceau seul (~3.6 m³/s à la clé, ~4.2 m³/s au WSE de calcul) est insuffisant pour 9 m³/s. L'excédent (~4.8 m³/s) passe dans le fossé au-dessus de la clé (mode surface / écoulement préférentiel dans le remblai 8–200 mm). WSE ≈ 37.16 m &lt; 37.4 m.</t>
        </is>
      </c>
    </row>
    <row r="17"/>
    <row r="18"/>
    <row r="19"/>
    <row r="20">
      <c r="A20" s="11" t="inlineStr">
        <is>
          <t>Voir aussi la feuille Formules_explications. Pour l'événement dans le temps: Hydrogramme_entree + Routing_stockage.</t>
        </is>
      </c>
    </row>
    <row r="21"/>
  </sheetData>
  <mergeCells count="2">
    <mergeCell ref="A20:D21"/>
    <mergeCell ref="A16:D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7" customWidth="1" min="3" max="3"/>
    <col width="35" customWidth="1" min="4" max="4"/>
    <col width="17" customWidth="1" min="5" max="5"/>
    <col width="25" customWidth="1" min="6" max="6"/>
  </cols>
  <sheetData>
    <row r="1">
      <c r="A1" s="1" t="inlineStr">
        <is>
          <t>Courbe de tarage Q = f(HW) — ponceau + débordement</t>
        </is>
      </c>
    </row>
    <row r="2">
      <c r="A2" s="2" t="inlineStr">
        <is>
          <t>COMMENT LIRE: on impose HW (col A), on calcule les débits. WSE = 35.36+HW. Q_total = Q_ponceau + Q_débordement. Détail des formules → feuille Formules_explications §§2–4.</t>
        </is>
      </c>
    </row>
    <row r="3">
      <c r="A3" s="7" t="inlineStr">
        <is>
          <t>HW (m) imposé</t>
        </is>
      </c>
      <c r="B3" s="7" t="inlineStr">
        <is>
          <t>WSE=35.36+HW</t>
        </is>
      </c>
      <c r="C3" s="7" t="inlineStr">
        <is>
          <t>Q_ponceau (HDS-5/Manning)</t>
        </is>
      </c>
      <c r="D3" s="7" t="inlineStr">
        <is>
          <t>Q_débord. (Manning fossé si HW&gt;D)</t>
        </is>
      </c>
      <c r="E3" s="7" t="inlineStr">
        <is>
          <t>Q_total = somme</t>
        </is>
      </c>
      <c r="F3" s="7" t="inlineStr">
        <is>
          <t>Contrôle</t>
        </is>
      </c>
    </row>
    <row r="4">
      <c r="A4" s="4" t="n">
        <v>0</v>
      </c>
      <c r="B4" s="12">
        <f>35.36+A4</f>
        <v/>
      </c>
      <c r="C4" s="4" t="n">
        <v>0</v>
      </c>
      <c r="D4" s="4" t="n">
        <v>0</v>
      </c>
      <c r="E4" s="4" t="n">
        <v>0</v>
      </c>
      <c r="F4" s="4" t="inlineStr">
        <is>
          <t>inlet</t>
        </is>
      </c>
    </row>
    <row r="5">
      <c r="A5" s="4" t="n">
        <v>0.051</v>
      </c>
      <c r="B5" s="12">
        <f>35.36+A5</f>
        <v/>
      </c>
      <c r="C5" s="4" t="n">
        <v>0.0163</v>
      </c>
      <c r="D5" s="4" t="n">
        <v>0</v>
      </c>
      <c r="E5" s="4" t="n">
        <v>0.0163</v>
      </c>
      <c r="F5" s="4" t="inlineStr">
        <is>
          <t>outlet</t>
        </is>
      </c>
    </row>
    <row r="6">
      <c r="A6" s="4" t="n">
        <v>0.102</v>
      </c>
      <c r="B6" s="12">
        <f>35.36+A6</f>
        <v/>
      </c>
      <c r="C6" s="4" t="n">
        <v>0.0709</v>
      </c>
      <c r="D6" s="4" t="n">
        <v>0</v>
      </c>
      <c r="E6" s="4" t="n">
        <v>0.0709</v>
      </c>
      <c r="F6" s="4" t="inlineStr">
        <is>
          <t>outlet</t>
        </is>
      </c>
    </row>
    <row r="7">
      <c r="A7" s="4" t="n">
        <v>0.153</v>
      </c>
      <c r="B7" s="12">
        <f>35.36+A7</f>
        <v/>
      </c>
      <c r="C7" s="4" t="n">
        <v>0.1653</v>
      </c>
      <c r="D7" s="4" t="n">
        <v>0</v>
      </c>
      <c r="E7" s="4" t="n">
        <v>0.1653</v>
      </c>
      <c r="F7" s="4" t="inlineStr">
        <is>
          <t>outlet</t>
        </is>
      </c>
    </row>
    <row r="8">
      <c r="A8" s="4" t="n">
        <v>0.204</v>
      </c>
      <c r="B8" s="12">
        <f>35.36+A8</f>
        <v/>
      </c>
      <c r="C8" s="4" t="n">
        <v>0.2982</v>
      </c>
      <c r="D8" s="4" t="n">
        <v>0</v>
      </c>
      <c r="E8" s="4" t="n">
        <v>0.2982</v>
      </c>
      <c r="F8" s="4" t="inlineStr">
        <is>
          <t>outlet</t>
        </is>
      </c>
    </row>
    <row r="9">
      <c r="A9" s="4" t="n">
        <v>0.255</v>
      </c>
      <c r="B9" s="12">
        <f>35.36+A9</f>
        <v/>
      </c>
      <c r="C9" s="4" t="n">
        <v>0.467</v>
      </c>
      <c r="D9" s="4" t="n">
        <v>0</v>
      </c>
      <c r="E9" s="4" t="n">
        <v>0.467</v>
      </c>
      <c r="F9" s="4" t="inlineStr">
        <is>
          <t>outlet</t>
        </is>
      </c>
    </row>
    <row r="10">
      <c r="A10" s="4" t="n">
        <v>0.306</v>
      </c>
      <c r="B10" s="12">
        <f>35.36+A10</f>
        <v/>
      </c>
      <c r="C10" s="4" t="n">
        <v>0.6685</v>
      </c>
      <c r="D10" s="4" t="n">
        <v>0</v>
      </c>
      <c r="E10" s="4" t="n">
        <v>0.6685</v>
      </c>
      <c r="F10" s="4" t="inlineStr">
        <is>
          <t>outlet</t>
        </is>
      </c>
    </row>
    <row r="11">
      <c r="A11" s="4" t="n">
        <v>0.357</v>
      </c>
      <c r="B11" s="12">
        <f>35.36+A11</f>
        <v/>
      </c>
      <c r="C11" s="4" t="n">
        <v>0.8988</v>
      </c>
      <c r="D11" s="4" t="n">
        <v>0</v>
      </c>
      <c r="E11" s="4" t="n">
        <v>0.8988</v>
      </c>
      <c r="F11" s="4" t="inlineStr">
        <is>
          <t>outlet</t>
        </is>
      </c>
    </row>
    <row r="12">
      <c r="A12" s="4" t="n">
        <v>0.408</v>
      </c>
      <c r="B12" s="12">
        <f>35.36+A12</f>
        <v/>
      </c>
      <c r="C12" s="4" t="n">
        <v>1.1538</v>
      </c>
      <c r="D12" s="4" t="n">
        <v>0</v>
      </c>
      <c r="E12" s="4" t="n">
        <v>1.1538</v>
      </c>
      <c r="F12" s="4" t="inlineStr">
        <is>
          <t>outlet</t>
        </is>
      </c>
    </row>
    <row r="13">
      <c r="A13" s="4" t="n">
        <v>0.459</v>
      </c>
      <c r="B13" s="12">
        <f>35.36+A13</f>
        <v/>
      </c>
      <c r="C13" s="4" t="n">
        <v>1.4286</v>
      </c>
      <c r="D13" s="4" t="n">
        <v>0</v>
      </c>
      <c r="E13" s="4" t="n">
        <v>1.4286</v>
      </c>
      <c r="F13" s="4" t="inlineStr">
        <is>
          <t>outlet</t>
        </is>
      </c>
    </row>
    <row r="14">
      <c r="A14" s="4" t="n">
        <v>0.51</v>
      </c>
      <c r="B14" s="12">
        <f>35.36+A14</f>
        <v/>
      </c>
      <c r="C14" s="4" t="n">
        <v>1.7182</v>
      </c>
      <c r="D14" s="4" t="n">
        <v>0</v>
      </c>
      <c r="E14" s="4" t="n">
        <v>1.7182</v>
      </c>
      <c r="F14" s="4" t="inlineStr">
        <is>
          <t>outlet</t>
        </is>
      </c>
    </row>
    <row r="15">
      <c r="A15" s="4" t="n">
        <v>0.5610000000000001</v>
      </c>
      <c r="B15" s="12">
        <f>35.36+A15</f>
        <v/>
      </c>
      <c r="C15" s="4" t="n">
        <v>2.0172</v>
      </c>
      <c r="D15" s="4" t="n">
        <v>0</v>
      </c>
      <c r="E15" s="4" t="n">
        <v>2.0172</v>
      </c>
      <c r="F15" s="4" t="inlineStr">
        <is>
          <t>outlet</t>
        </is>
      </c>
    </row>
    <row r="16">
      <c r="A16" s="4" t="n">
        <v>0.612</v>
      </c>
      <c r="B16" s="12">
        <f>35.36+A16</f>
        <v/>
      </c>
      <c r="C16" s="4" t="n">
        <v>2.3196</v>
      </c>
      <c r="D16" s="4" t="n">
        <v>0</v>
      </c>
      <c r="E16" s="4" t="n">
        <v>2.3196</v>
      </c>
      <c r="F16" s="4" t="inlineStr">
        <is>
          <t>outlet</t>
        </is>
      </c>
    </row>
    <row r="17">
      <c r="A17" s="4" t="n">
        <v>0.663</v>
      </c>
      <c r="B17" s="12">
        <f>35.36+A17</f>
        <v/>
      </c>
      <c r="C17" s="4" t="n">
        <v>2.619</v>
      </c>
      <c r="D17" s="4" t="n">
        <v>0</v>
      </c>
      <c r="E17" s="4" t="n">
        <v>2.619</v>
      </c>
      <c r="F17" s="4" t="inlineStr">
        <is>
          <t>outlet</t>
        </is>
      </c>
    </row>
    <row r="18">
      <c r="A18" s="4" t="n">
        <v>0.714</v>
      </c>
      <c r="B18" s="12">
        <f>35.36+A18</f>
        <v/>
      </c>
      <c r="C18" s="4" t="n">
        <v>2.9086</v>
      </c>
      <c r="D18" s="4" t="n">
        <v>0</v>
      </c>
      <c r="E18" s="4" t="n">
        <v>2.9086</v>
      </c>
      <c r="F18" s="4" t="inlineStr">
        <is>
          <t>outlet</t>
        </is>
      </c>
    </row>
    <row r="19">
      <c r="A19" s="4" t="n">
        <v>0.765</v>
      </c>
      <c r="B19" s="12">
        <f>35.36+A19</f>
        <v/>
      </c>
      <c r="C19" s="4" t="n">
        <v>3.1805</v>
      </c>
      <c r="D19" s="4" t="n">
        <v>0</v>
      </c>
      <c r="E19" s="4" t="n">
        <v>3.1805</v>
      </c>
      <c r="F19" s="4" t="inlineStr">
        <is>
          <t>outlet</t>
        </is>
      </c>
    </row>
    <row r="20">
      <c r="A20" s="4" t="n">
        <v>0.8159999999999999</v>
      </c>
      <c r="B20" s="12">
        <f>35.36+A20</f>
        <v/>
      </c>
      <c r="C20" s="4" t="n">
        <v>3.4261</v>
      </c>
      <c r="D20" s="4" t="n">
        <v>0</v>
      </c>
      <c r="E20" s="4" t="n">
        <v>3.4261</v>
      </c>
      <c r="F20" s="4" t="inlineStr">
        <is>
          <t>outlet</t>
        </is>
      </c>
    </row>
    <row r="21">
      <c r="A21" s="4" t="n">
        <v>0.867</v>
      </c>
      <c r="B21" s="12">
        <f>35.36+A21</f>
        <v/>
      </c>
      <c r="C21" s="4" t="n">
        <v>3.6346</v>
      </c>
      <c r="D21" s="4" t="n">
        <v>0</v>
      </c>
      <c r="E21" s="4" t="n">
        <v>3.6346</v>
      </c>
      <c r="F21" s="4" t="inlineStr">
        <is>
          <t>outlet</t>
        </is>
      </c>
    </row>
    <row r="22">
      <c r="A22" s="4" t="n">
        <v>0.918</v>
      </c>
      <c r="B22" s="12">
        <f>35.36+A22</f>
        <v/>
      </c>
      <c r="C22" s="4" t="n">
        <v>3.7922</v>
      </c>
      <c r="D22" s="4" t="n">
        <v>0</v>
      </c>
      <c r="E22" s="4" t="n">
        <v>3.7922</v>
      </c>
      <c r="F22" s="4" t="inlineStr">
        <is>
          <t>outlet</t>
        </is>
      </c>
    </row>
    <row r="23">
      <c r="A23" s="4" t="n">
        <v>0.969</v>
      </c>
      <c r="B23" s="12">
        <f>35.36+A23</f>
        <v/>
      </c>
      <c r="C23" s="4" t="n">
        <v>3.8779</v>
      </c>
      <c r="D23" s="4" t="n">
        <v>0</v>
      </c>
      <c r="E23" s="4" t="n">
        <v>3.8779</v>
      </c>
      <c r="F23" s="4" t="inlineStr">
        <is>
          <t>outlet</t>
        </is>
      </c>
    </row>
    <row r="24">
      <c r="A24" s="4" t="n">
        <v>1.02</v>
      </c>
      <c r="B24" s="12">
        <f>35.36+A24</f>
        <v/>
      </c>
      <c r="C24" s="4" t="n">
        <v>3.8445</v>
      </c>
      <c r="D24" s="4" t="n">
        <v>0</v>
      </c>
      <c r="E24" s="4" t="n">
        <v>3.8445</v>
      </c>
      <c r="F24" s="4" t="inlineStr">
        <is>
          <t>outlet</t>
        </is>
      </c>
    </row>
    <row r="25">
      <c r="A25" s="4" t="n">
        <v>1.071</v>
      </c>
      <c r="B25" s="12">
        <f>35.36+A25</f>
        <v/>
      </c>
      <c r="C25" s="4" t="n">
        <v>3.6177</v>
      </c>
      <c r="D25" s="4" t="n">
        <v>0.0094</v>
      </c>
      <c r="E25" s="4" t="n">
        <v>3.6272</v>
      </c>
      <c r="F25" s="4" t="inlineStr">
        <is>
          <t>compound/outlet+surface</t>
        </is>
      </c>
    </row>
    <row r="26">
      <c r="A26" s="4" t="n">
        <v>1.122</v>
      </c>
      <c r="B26" s="12">
        <f>35.36+A26</f>
        <v/>
      </c>
      <c r="C26" s="4" t="n">
        <v>3.6645</v>
      </c>
      <c r="D26" s="4" t="n">
        <v>0.07439999999999999</v>
      </c>
      <c r="E26" s="4" t="n">
        <v>3.7389</v>
      </c>
      <c r="F26" s="4" t="inlineStr">
        <is>
          <t>compound/outlet+surface</t>
        </is>
      </c>
    </row>
    <row r="27">
      <c r="A27" s="4" t="n">
        <v>1.173</v>
      </c>
      <c r="B27" s="12">
        <f>35.36+A27</f>
        <v/>
      </c>
      <c r="C27" s="4" t="n">
        <v>3.7106</v>
      </c>
      <c r="D27" s="4" t="n">
        <v>0.1845</v>
      </c>
      <c r="E27" s="4" t="n">
        <v>3.8951</v>
      </c>
      <c r="F27" s="4" t="inlineStr">
        <is>
          <t>compound/outlet+surface</t>
        </is>
      </c>
    </row>
    <row r="28">
      <c r="A28" s="4" t="n">
        <v>1.224</v>
      </c>
      <c r="B28" s="12">
        <f>35.36+A28</f>
        <v/>
      </c>
      <c r="C28" s="4" t="n">
        <v>3.7562</v>
      </c>
      <c r="D28" s="4" t="n">
        <v>0.3345</v>
      </c>
      <c r="E28" s="4" t="n">
        <v>4.0907</v>
      </c>
      <c r="F28" s="4" t="inlineStr">
        <is>
          <t>compound/outlet+surface</t>
        </is>
      </c>
    </row>
    <row r="29">
      <c r="A29" s="4" t="n">
        <v>1.275</v>
      </c>
      <c r="B29" s="12">
        <f>35.36+A29</f>
        <v/>
      </c>
      <c r="C29" s="4" t="n">
        <v>3.8013</v>
      </c>
      <c r="D29" s="4" t="n">
        <v>0.5228</v>
      </c>
      <c r="E29" s="4" t="n">
        <v>4.3241</v>
      </c>
      <c r="F29" s="4" t="inlineStr">
        <is>
          <t>compound/outlet+surface</t>
        </is>
      </c>
    </row>
    <row r="30">
      <c r="A30" s="4" t="n">
        <v>1.326</v>
      </c>
      <c r="B30" s="12">
        <f>35.36+A30</f>
        <v/>
      </c>
      <c r="C30" s="4" t="n">
        <v>3.8458</v>
      </c>
      <c r="D30" s="4" t="n">
        <v>0.7492</v>
      </c>
      <c r="E30" s="4" t="n">
        <v>4.5949</v>
      </c>
      <c r="F30" s="4" t="inlineStr">
        <is>
          <t>compound/outlet+surface</t>
        </is>
      </c>
    </row>
    <row r="31">
      <c r="A31" s="4" t="n">
        <v>1.377</v>
      </c>
      <c r="B31" s="12">
        <f>35.36+A31</f>
        <v/>
      </c>
      <c r="C31" s="4" t="n">
        <v>3.8898</v>
      </c>
      <c r="D31" s="4" t="n">
        <v>1.0138</v>
      </c>
      <c r="E31" s="4" t="n">
        <v>4.9036</v>
      </c>
      <c r="F31" s="4" t="inlineStr">
        <is>
          <t>compound/outlet+surface</t>
        </is>
      </c>
    </row>
    <row r="32">
      <c r="A32" s="4" t="n">
        <v>1.428</v>
      </c>
      <c r="B32" s="12">
        <f>35.36+A32</f>
        <v/>
      </c>
      <c r="C32" s="4" t="n">
        <v>3.9333</v>
      </c>
      <c r="D32" s="4" t="n">
        <v>1.3173</v>
      </c>
      <c r="E32" s="4" t="n">
        <v>5.2506</v>
      </c>
      <c r="F32" s="4" t="inlineStr">
        <is>
          <t>compound/outlet+surface</t>
        </is>
      </c>
    </row>
    <row r="33">
      <c r="A33" s="4" t="n">
        <v>1.479</v>
      </c>
      <c r="B33" s="12">
        <f>35.36+A33</f>
        <v/>
      </c>
      <c r="C33" s="4" t="n">
        <v>3.9763</v>
      </c>
      <c r="D33" s="4" t="n">
        <v>1.6605</v>
      </c>
      <c r="E33" s="4" t="n">
        <v>5.6368</v>
      </c>
      <c r="F33" s="4" t="inlineStr">
        <is>
          <t>compound/outlet+surface</t>
        </is>
      </c>
    </row>
    <row r="34">
      <c r="A34" s="4" t="n">
        <v>1.53</v>
      </c>
      <c r="B34" s="12">
        <f>35.36+A34</f>
        <v/>
      </c>
      <c r="C34" s="4" t="n">
        <v>4.0189</v>
      </c>
      <c r="D34" s="4" t="n">
        <v>2.0443</v>
      </c>
      <c r="E34" s="4" t="n">
        <v>6.0632</v>
      </c>
      <c r="F34" s="4" t="inlineStr">
        <is>
          <t>compound/outlet+surface</t>
        </is>
      </c>
    </row>
    <row r="35">
      <c r="A35" s="4" t="n">
        <v>1.581</v>
      </c>
      <c r="B35" s="12">
        <f>35.36+A35</f>
        <v/>
      </c>
      <c r="C35" s="4" t="n">
        <v>4.061</v>
      </c>
      <c r="D35" s="4" t="n">
        <v>2.4698</v>
      </c>
      <c r="E35" s="4" t="n">
        <v>6.5308</v>
      </c>
      <c r="F35" s="4" t="inlineStr">
        <is>
          <t>compound/outlet+surface</t>
        </is>
      </c>
    </row>
    <row r="36">
      <c r="A36" s="4" t="n">
        <v>1.632</v>
      </c>
      <c r="B36" s="12">
        <f>35.36+A36</f>
        <v/>
      </c>
      <c r="C36" s="4" t="n">
        <v>4.1027</v>
      </c>
      <c r="D36" s="4" t="n">
        <v>2.9379</v>
      </c>
      <c r="E36" s="4" t="n">
        <v>7.0406</v>
      </c>
      <c r="F36" s="4" t="inlineStr">
        <is>
          <t>compound/outlet+surface</t>
        </is>
      </c>
    </row>
    <row r="37">
      <c r="A37" s="4" t="n">
        <v>1.683</v>
      </c>
      <c r="B37" s="12">
        <f>35.36+A37</f>
        <v/>
      </c>
      <c r="C37" s="4" t="n">
        <v>4.144</v>
      </c>
      <c r="D37" s="4" t="n">
        <v>3.4499</v>
      </c>
      <c r="E37" s="4" t="n">
        <v>7.5939</v>
      </c>
      <c r="F37" s="4" t="inlineStr">
        <is>
          <t>compound/outlet+surface</t>
        </is>
      </c>
    </row>
    <row r="38">
      <c r="A38" s="4" t="n">
        <v>1.734</v>
      </c>
      <c r="B38" s="12">
        <f>35.36+A38</f>
        <v/>
      </c>
      <c r="C38" s="4" t="n">
        <v>4.1848</v>
      </c>
      <c r="D38" s="4" t="n">
        <v>4.0068</v>
      </c>
      <c r="E38" s="4" t="n">
        <v>8.191599999999999</v>
      </c>
      <c r="F38" s="4" t="inlineStr">
        <is>
          <t>compound/outlet+surface</t>
        </is>
      </c>
    </row>
    <row r="39">
      <c r="A39" s="4" t="n">
        <v>1.785</v>
      </c>
      <c r="B39" s="12">
        <f>35.36+A39</f>
        <v/>
      </c>
      <c r="C39" s="4" t="n">
        <v>4.2253</v>
      </c>
      <c r="D39" s="4" t="n">
        <v>4.6098</v>
      </c>
      <c r="E39" s="4" t="n">
        <v>8.835100000000001</v>
      </c>
      <c r="F39" s="4" t="inlineStr">
        <is>
          <t>compound/outlet+surface</t>
        </is>
      </c>
    </row>
    <row r="40">
      <c r="A40" s="4" t="n">
        <v>1.836</v>
      </c>
      <c r="B40" s="12">
        <f>35.36+A40</f>
        <v/>
      </c>
      <c r="C40" s="4" t="n">
        <v>4.2654</v>
      </c>
      <c r="D40" s="4" t="n">
        <v>5.2599</v>
      </c>
      <c r="E40" s="4" t="n">
        <v>9.5253</v>
      </c>
      <c r="F40" s="4" t="inlineStr">
        <is>
          <t>compound/outlet+surface</t>
        </is>
      </c>
    </row>
    <row r="41">
      <c r="A41" s="4" t="n">
        <v>1.887</v>
      </c>
      <c r="B41" s="12">
        <f>35.36+A41</f>
        <v/>
      </c>
      <c r="C41" s="4" t="n">
        <v>4.3051</v>
      </c>
      <c r="D41" s="4" t="n">
        <v>5.9584</v>
      </c>
      <c r="E41" s="4" t="n">
        <v>10.2635</v>
      </c>
      <c r="F41" s="4" t="inlineStr">
        <is>
          <t>compound/outlet+surface</t>
        </is>
      </c>
    </row>
    <row r="42">
      <c r="A42" s="4" t="n">
        <v>1.938</v>
      </c>
      <c r="B42" s="12">
        <f>35.36+A42</f>
        <v/>
      </c>
      <c r="C42" s="4" t="n">
        <v>4.3445</v>
      </c>
      <c r="D42" s="4" t="n">
        <v>6.7064</v>
      </c>
      <c r="E42" s="4" t="n">
        <v>11.0509</v>
      </c>
      <c r="F42" s="4" t="inlineStr">
        <is>
          <t>compound/outlet+surface</t>
        </is>
      </c>
    </row>
    <row r="43">
      <c r="A43" s="4" t="n">
        <v>1.989</v>
      </c>
      <c r="B43" s="12">
        <f>35.36+A43</f>
        <v/>
      </c>
      <c r="C43" s="4" t="n">
        <v>4.3835</v>
      </c>
      <c r="D43" s="4" t="n">
        <v>7.505</v>
      </c>
      <c r="E43" s="4" t="n">
        <v>11.8884</v>
      </c>
      <c r="F43" s="4" t="inlineStr">
        <is>
          <t>compound/outlet+surface</t>
        </is>
      </c>
    </row>
    <row r="44">
      <c r="A44" s="4" t="n">
        <v>2.04</v>
      </c>
      <c r="B44" s="12">
        <f>35.36+A44</f>
        <v/>
      </c>
      <c r="C44" s="4" t="n">
        <v>4.4221</v>
      </c>
      <c r="D44" s="4" t="n">
        <v>8.3553</v>
      </c>
      <c r="E44" s="4" t="n">
        <v>12.7775</v>
      </c>
      <c r="F44" s="4" t="inlineStr">
        <is>
          <t>compound/outlet+surface</t>
        </is>
      </c>
    </row>
    <row r="45"/>
    <row r="46">
      <c r="A46" t="inlineStr">
        <is>
          <t>Ligne jaune ≈ Q_total ≈ 9 m³/s</t>
        </is>
      </c>
    </row>
    <row r="47">
      <c r="A47" s="6" t="inlineStr">
        <is>
          <t>Colonne B = formule Excel (=35.36+HW). Colonnes C–E = résultats Python (hydraulics.py).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42" customWidth="1" min="3" max="3"/>
    <col width="12" customWidth="1" min="4" max="4"/>
  </cols>
  <sheetData>
    <row r="1">
      <c r="A1" s="13" t="inlineStr">
        <is>
          <t>Hydrogramme d'entrée Q(t) — triangle par défaut (pointe = 9 m³/s)</t>
        </is>
      </c>
    </row>
    <row r="2">
      <c r="A2" s="2" t="inlineStr">
        <is>
          <t>FORMULE triangle: montée Qin=Qpointe*(t/Tmontée); descente Qin=Qpointe*(1-(t-Tmontée)/Tdescente). Ex: t=20 → 9*20/40=4.5. Colonnes jaunes générées par Python; pour changer: modifier B4–B8 puis relancer python build_excel.py. Détails → Formules_explications §§6–7.</t>
        </is>
      </c>
    </row>
    <row r="3">
      <c r="A3" s="14" t="inlineStr">
        <is>
          <t>Options routing</t>
        </is>
      </c>
    </row>
    <row r="4">
      <c r="A4" t="inlineStr">
        <is>
          <t>Pond amont A (m²)</t>
        </is>
      </c>
      <c r="B4" s="15" t="n">
        <v>50</v>
      </c>
      <c r="C4" t="inlineStr">
        <is>
          <t>0 = seulement stockage tuyau+fossé; &gt;0 ajoute un bassin amont simple</t>
        </is>
      </c>
    </row>
    <row r="5">
      <c r="A5" t="inlineStr">
        <is>
          <t>Q pointe triangle</t>
        </is>
      </c>
      <c r="B5" s="15" t="n">
        <v>9</v>
      </c>
    </row>
    <row r="6">
      <c r="A6" t="inlineStr">
        <is>
          <t>Montée (min)</t>
        </is>
      </c>
      <c r="B6" s="15" t="n">
        <v>40</v>
      </c>
    </row>
    <row r="7">
      <c r="A7" t="inlineStr">
        <is>
          <t>Descente (min)</t>
        </is>
      </c>
      <c r="B7" s="15" t="n">
        <v>80</v>
      </c>
    </row>
    <row r="8">
      <c r="A8" t="inlineStr">
        <is>
          <t>Pas dt (min)</t>
        </is>
      </c>
      <c r="B8" s="15" t="n">
        <v>5</v>
      </c>
    </row>
    <row r="9"/>
    <row r="10">
      <c r="A10" s="7" t="inlineStr">
        <is>
          <t>t (min)</t>
        </is>
      </c>
      <c r="B10" s="7" t="inlineStr">
        <is>
          <t>Q_in (m³/s)</t>
        </is>
      </c>
    </row>
    <row r="11">
      <c r="A11" s="4" t="n">
        <v>0</v>
      </c>
      <c r="B11" s="5" t="n">
        <v>0</v>
      </c>
    </row>
    <row r="12">
      <c r="A12" s="4" t="n">
        <v>5</v>
      </c>
      <c r="B12" s="5" t="n">
        <v>1.125</v>
      </c>
    </row>
    <row r="13">
      <c r="A13" s="4" t="n">
        <v>10</v>
      </c>
      <c r="B13" s="5" t="n">
        <v>2.25</v>
      </c>
    </row>
    <row r="14">
      <c r="A14" s="4" t="n">
        <v>15</v>
      </c>
      <c r="B14" s="5" t="n">
        <v>3.375</v>
      </c>
    </row>
    <row r="15">
      <c r="A15" s="4" t="n">
        <v>20</v>
      </c>
      <c r="B15" s="5" t="n">
        <v>4.5</v>
      </c>
    </row>
    <row r="16">
      <c r="A16" s="4" t="n">
        <v>25</v>
      </c>
      <c r="B16" s="5" t="n">
        <v>5.625</v>
      </c>
    </row>
    <row r="17">
      <c r="A17" s="4" t="n">
        <v>30</v>
      </c>
      <c r="B17" s="5" t="n">
        <v>6.75</v>
      </c>
    </row>
    <row r="18">
      <c r="A18" s="4" t="n">
        <v>35</v>
      </c>
      <c r="B18" s="5" t="n">
        <v>7.875</v>
      </c>
    </row>
    <row r="19">
      <c r="A19" s="4" t="n">
        <v>40</v>
      </c>
      <c r="B19" s="5" t="n">
        <v>9</v>
      </c>
    </row>
    <row r="20">
      <c r="A20" s="4" t="n">
        <v>45</v>
      </c>
      <c r="B20" s="5" t="n">
        <v>8.4375</v>
      </c>
    </row>
    <row r="21">
      <c r="A21" s="4" t="n">
        <v>50</v>
      </c>
      <c r="B21" s="5" t="n">
        <v>7.875</v>
      </c>
    </row>
    <row r="22">
      <c r="A22" s="4" t="n">
        <v>55</v>
      </c>
      <c r="B22" s="5" t="n">
        <v>7.3125</v>
      </c>
    </row>
    <row r="23">
      <c r="A23" s="4" t="n">
        <v>60</v>
      </c>
      <c r="B23" s="5" t="n">
        <v>6.75</v>
      </c>
    </row>
    <row r="24">
      <c r="A24" s="4" t="n">
        <v>65</v>
      </c>
      <c r="B24" s="5" t="n">
        <v>6.1875</v>
      </c>
    </row>
    <row r="25">
      <c r="A25" s="4" t="n">
        <v>70</v>
      </c>
      <c r="B25" s="5" t="n">
        <v>5.625</v>
      </c>
    </row>
    <row r="26">
      <c r="A26" s="4" t="n">
        <v>75</v>
      </c>
      <c r="B26" s="5" t="n">
        <v>5.0625</v>
      </c>
    </row>
    <row r="27">
      <c r="A27" s="4" t="n">
        <v>80</v>
      </c>
      <c r="B27" s="5" t="n">
        <v>4.5</v>
      </c>
    </row>
    <row r="28">
      <c r="A28" s="4" t="n">
        <v>85</v>
      </c>
      <c r="B28" s="5" t="n">
        <v>3.9375</v>
      </c>
    </row>
    <row r="29">
      <c r="A29" s="4" t="n">
        <v>90</v>
      </c>
      <c r="B29" s="5" t="n">
        <v>3.375</v>
      </c>
    </row>
    <row r="30">
      <c r="A30" s="4" t="n">
        <v>95</v>
      </c>
      <c r="B30" s="5" t="n">
        <v>2.8125</v>
      </c>
    </row>
    <row r="31">
      <c r="A31" s="4" t="n">
        <v>100</v>
      </c>
      <c r="B31" s="5" t="n">
        <v>2.25</v>
      </c>
    </row>
    <row r="32">
      <c r="A32" s="4" t="n">
        <v>105</v>
      </c>
      <c r="B32" s="5" t="n">
        <v>1.6875</v>
      </c>
    </row>
    <row r="33">
      <c r="A33" s="4" t="n">
        <v>110</v>
      </c>
      <c r="B33" s="5" t="n">
        <v>1.125</v>
      </c>
    </row>
    <row r="34">
      <c r="A34" s="4" t="n">
        <v>115</v>
      </c>
      <c r="B34" s="5" t="n">
        <v>0.5625</v>
      </c>
    </row>
    <row r="35">
      <c r="A35" s="4" t="n">
        <v>120</v>
      </c>
      <c r="B35" s="5" t="n">
        <v>0</v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5" customWidth="1" min="3" max="3"/>
    <col width="19" customWidth="1" min="4" max="4"/>
    <col width="14" customWidth="1" min="5" max="5"/>
    <col width="12" customWidth="1" min="6" max="6"/>
    <col width="12" customWidth="1" min="7" max="7"/>
    <col width="12" customWidth="1" min="8" max="8"/>
    <col width="13" customWidth="1" min="9" max="9"/>
  </cols>
  <sheetData>
    <row r="1">
      <c r="A1" s="13" t="inlineStr">
        <is>
          <t>Routing stockage — dS/dt = Q_in − Q_out(WSE)</t>
        </is>
      </c>
    </row>
    <row r="2">
      <c r="A2" s="2" t="inlineStr">
        <is>
          <t>Méthode Euler + 1 correcteur; stockage ≈ volume ponceau + fossé trapézoïdal × L + pond amont (50 m²). TW=0.0 m (libre).</t>
        </is>
      </c>
    </row>
    <row r="3"/>
    <row r="4">
      <c r="A4" s="7" t="inlineStr">
        <is>
          <t>t (min)</t>
        </is>
      </c>
      <c r="B4" s="7" t="inlineStr">
        <is>
          <t>Q_in (m³/s)</t>
        </is>
      </c>
      <c r="C4" s="7" t="inlineStr">
        <is>
          <t>Q_pipe (m³/s)</t>
        </is>
      </c>
      <c r="D4" s="7" t="inlineStr">
        <is>
          <t>Q_overflow (m³/s)</t>
        </is>
      </c>
      <c r="E4" s="7" t="inlineStr">
        <is>
          <t>Q_out (m³/s)</t>
        </is>
      </c>
      <c r="F4" s="7" t="inlineStr">
        <is>
          <t>HW (m)</t>
        </is>
      </c>
      <c r="G4" s="7" t="inlineStr">
        <is>
          <t>WSE (m)</t>
        </is>
      </c>
      <c r="H4" s="7" t="inlineStr">
        <is>
          <t>S (m³)</t>
        </is>
      </c>
      <c r="I4" s="7" t="inlineStr">
        <is>
          <t>WSE &gt; 37.4?</t>
        </is>
      </c>
    </row>
    <row r="5">
      <c r="A5" s="4" t="n">
        <v>0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35.36</v>
      </c>
      <c r="H5" s="4" t="n">
        <v>0</v>
      </c>
      <c r="I5" s="4" t="inlineStr"/>
    </row>
    <row r="6">
      <c r="A6" s="4" t="n">
        <v>5</v>
      </c>
      <c r="B6" s="4" t="n">
        <v>1.125</v>
      </c>
      <c r="C6" s="4" t="n">
        <v>0.9012</v>
      </c>
      <c r="D6" s="4" t="n">
        <v>0</v>
      </c>
      <c r="E6" s="4" t="n">
        <v>0.9012</v>
      </c>
      <c r="F6" s="4" t="n">
        <v>0.3575</v>
      </c>
      <c r="G6" s="4" t="n">
        <v>35.7175</v>
      </c>
      <c r="H6" s="4" t="n">
        <v>31.11</v>
      </c>
      <c r="I6" s="4" t="inlineStr"/>
    </row>
    <row r="7">
      <c r="A7" s="4" t="n">
        <v>10</v>
      </c>
      <c r="B7" s="4" t="n">
        <v>2.25</v>
      </c>
      <c r="C7" s="4" t="n">
        <v>1.8738</v>
      </c>
      <c r="D7" s="4" t="n">
        <v>0</v>
      </c>
      <c r="E7" s="4" t="n">
        <v>1.8738</v>
      </c>
      <c r="F7" s="4" t="n">
        <v>0.5367</v>
      </c>
      <c r="G7" s="4" t="n">
        <v>35.8967</v>
      </c>
      <c r="H7" s="4" t="n">
        <v>49.5</v>
      </c>
      <c r="I7" s="4" t="inlineStr"/>
    </row>
    <row r="8">
      <c r="A8" s="4" t="n">
        <v>15</v>
      </c>
      <c r="B8" s="4" t="n">
        <v>3.375</v>
      </c>
      <c r="C8" s="4" t="n">
        <v>3.0938</v>
      </c>
      <c r="D8" s="4" t="n">
        <v>0</v>
      </c>
      <c r="E8" s="4" t="n">
        <v>3.0938</v>
      </c>
      <c r="F8" s="4" t="n">
        <v>0.7483</v>
      </c>
      <c r="G8" s="4" t="n">
        <v>36.1083</v>
      </c>
      <c r="H8" s="4" t="n">
        <v>71.01000000000001</v>
      </c>
      <c r="I8" s="4" t="inlineStr"/>
    </row>
    <row r="9">
      <c r="A9" s="4" t="n">
        <v>20</v>
      </c>
      <c r="B9" s="4" t="n">
        <v>4.5</v>
      </c>
      <c r="C9" s="4" t="n">
        <v>3.7839</v>
      </c>
      <c r="D9" s="4" t="n">
        <v>0.4453</v>
      </c>
      <c r="E9" s="4" t="n">
        <v>4.2292</v>
      </c>
      <c r="F9" s="4" t="n">
        <v>1.2552</v>
      </c>
      <c r="G9" s="4" t="n">
        <v>36.6152</v>
      </c>
      <c r="H9" s="4" t="n">
        <v>132.02</v>
      </c>
      <c r="I9" s="4" t="inlineStr"/>
    </row>
    <row r="10">
      <c r="A10" s="4" t="n">
        <v>25</v>
      </c>
      <c r="B10" s="4" t="n">
        <v>5.625</v>
      </c>
      <c r="C10" s="4" t="n">
        <v>3.9565</v>
      </c>
      <c r="D10" s="4" t="n">
        <v>1.4971</v>
      </c>
      <c r="E10" s="4" t="n">
        <v>5.4536</v>
      </c>
      <c r="F10" s="4" t="n">
        <v>1.4555</v>
      </c>
      <c r="G10" s="4" t="n">
        <v>36.8155</v>
      </c>
      <c r="H10" s="4" t="n">
        <v>174.86</v>
      </c>
      <c r="I10" s="4" t="inlineStr"/>
    </row>
    <row r="11">
      <c r="A11" s="4" t="n">
        <v>30</v>
      </c>
      <c r="B11" s="4" t="n">
        <v>6.75</v>
      </c>
      <c r="C11" s="4" t="n">
        <v>4.065</v>
      </c>
      <c r="D11" s="4" t="n">
        <v>2.5124</v>
      </c>
      <c r="E11" s="4" t="n">
        <v>6.5774</v>
      </c>
      <c r="F11" s="4" t="n">
        <v>1.5858</v>
      </c>
      <c r="G11" s="4" t="n">
        <v>36.9458</v>
      </c>
      <c r="H11" s="4" t="n">
        <v>207.15</v>
      </c>
      <c r="I11" s="4" t="inlineStr"/>
    </row>
    <row r="12">
      <c r="A12" s="4" t="n">
        <v>35</v>
      </c>
      <c r="B12" s="4" t="n">
        <v>7.875</v>
      </c>
      <c r="C12" s="4" t="n">
        <v>4.1511</v>
      </c>
      <c r="D12" s="4" t="n">
        <v>3.5437</v>
      </c>
      <c r="E12" s="4" t="n">
        <v>7.6948</v>
      </c>
      <c r="F12" s="4" t="n">
        <v>1.6919</v>
      </c>
      <c r="G12" s="4" t="n">
        <v>37.0519</v>
      </c>
      <c r="H12" s="4" t="n">
        <v>235.96</v>
      </c>
      <c r="I12" s="4" t="inlineStr"/>
    </row>
    <row r="13">
      <c r="A13" s="5" t="n">
        <v>40</v>
      </c>
      <c r="B13" s="5" t="n">
        <v>9</v>
      </c>
      <c r="C13" s="5" t="n">
        <v>4.2237</v>
      </c>
      <c r="D13" s="5" t="n">
        <v>4.585</v>
      </c>
      <c r="E13" s="5" t="n">
        <v>8.8087</v>
      </c>
      <c r="F13" s="5" t="n">
        <v>1.783</v>
      </c>
      <c r="G13" s="5" t="n">
        <v>37.143</v>
      </c>
      <c r="H13" s="5" t="n">
        <v>262.53</v>
      </c>
      <c r="I13" s="5" t="inlineStr"/>
    </row>
    <row r="14">
      <c r="A14" s="4" t="n">
        <v>45</v>
      </c>
      <c r="B14" s="4" t="n">
        <v>8.4375</v>
      </c>
      <c r="C14" s="4" t="n">
        <v>4.2066</v>
      </c>
      <c r="D14" s="4" t="n">
        <v>4.3241</v>
      </c>
      <c r="E14" s="4" t="n">
        <v>8.5306</v>
      </c>
      <c r="F14" s="4" t="n">
        <v>1.7613</v>
      </c>
      <c r="G14" s="4" t="n">
        <v>37.1213</v>
      </c>
      <c r="H14" s="4" t="n">
        <v>256.06</v>
      </c>
      <c r="I14" s="4" t="inlineStr"/>
    </row>
    <row r="15">
      <c r="A15" s="4" t="n">
        <v>50</v>
      </c>
      <c r="B15" s="4" t="n">
        <v>7.875</v>
      </c>
      <c r="C15" s="4" t="n">
        <v>4.1698</v>
      </c>
      <c r="D15" s="4" t="n">
        <v>3.7961</v>
      </c>
      <c r="E15" s="4" t="n">
        <v>7.9659</v>
      </c>
      <c r="F15" s="4" t="n">
        <v>1.7152</v>
      </c>
      <c r="G15" s="4" t="n">
        <v>37.0752</v>
      </c>
      <c r="H15" s="4" t="n">
        <v>242.59</v>
      </c>
      <c r="I15" s="4" t="inlineStr"/>
    </row>
    <row r="16">
      <c r="A16" s="4" t="n">
        <v>55</v>
      </c>
      <c r="B16" s="4" t="n">
        <v>7.3125</v>
      </c>
      <c r="C16" s="4" t="n">
        <v>4.13</v>
      </c>
      <c r="D16" s="4" t="n">
        <v>3.2709</v>
      </c>
      <c r="E16" s="4" t="n">
        <v>7.4009</v>
      </c>
      <c r="F16" s="4" t="n">
        <v>1.6657</v>
      </c>
      <c r="G16" s="4" t="n">
        <v>37.0257</v>
      </c>
      <c r="H16" s="4" t="n">
        <v>228.62</v>
      </c>
      <c r="I16" s="4" t="inlineStr"/>
    </row>
    <row r="17">
      <c r="A17" s="4" t="n">
        <v>60</v>
      </c>
      <c r="B17" s="4" t="n">
        <v>6.75</v>
      </c>
      <c r="C17" s="4" t="n">
        <v>4.0865</v>
      </c>
      <c r="D17" s="4" t="n">
        <v>2.7499</v>
      </c>
      <c r="E17" s="4" t="n">
        <v>6.8363</v>
      </c>
      <c r="F17" s="4" t="n">
        <v>1.6121</v>
      </c>
      <c r="G17" s="4" t="n">
        <v>36.9721</v>
      </c>
      <c r="H17" s="4" t="n">
        <v>214.06</v>
      </c>
      <c r="I17" s="4" t="inlineStr"/>
    </row>
    <row r="18">
      <c r="A18" s="4" t="n">
        <v>65</v>
      </c>
      <c r="B18" s="4" t="n">
        <v>6.1875</v>
      </c>
      <c r="C18" s="4" t="n">
        <v>4.0382</v>
      </c>
      <c r="D18" s="4" t="n">
        <v>2.234</v>
      </c>
      <c r="E18" s="4" t="n">
        <v>6.2723</v>
      </c>
      <c r="F18" s="4" t="n">
        <v>1.5534</v>
      </c>
      <c r="G18" s="4" t="n">
        <v>36.9134</v>
      </c>
      <c r="H18" s="4" t="n">
        <v>198.78</v>
      </c>
      <c r="I18" s="4" t="inlineStr"/>
    </row>
    <row r="19">
      <c r="A19" s="4" t="n">
        <v>70</v>
      </c>
      <c r="B19" s="4" t="n">
        <v>5.625</v>
      </c>
      <c r="C19" s="4" t="n">
        <v>3.9838</v>
      </c>
      <c r="D19" s="4" t="n">
        <v>1.7252</v>
      </c>
      <c r="E19" s="4" t="n">
        <v>5.709</v>
      </c>
      <c r="F19" s="4" t="n">
        <v>1.488</v>
      </c>
      <c r="G19" s="4" t="n">
        <v>36.848</v>
      </c>
      <c r="H19" s="4" t="n">
        <v>182.59</v>
      </c>
      <c r="I19" s="4" t="inlineStr"/>
    </row>
    <row r="20">
      <c r="A20" s="4" t="n">
        <v>75</v>
      </c>
      <c r="B20" s="4" t="n">
        <v>5.0625</v>
      </c>
      <c r="C20" s="4" t="n">
        <v>3.9208</v>
      </c>
      <c r="D20" s="4" t="n">
        <v>1.2261</v>
      </c>
      <c r="E20" s="4" t="n">
        <v>5.1469</v>
      </c>
      <c r="F20" s="4" t="n">
        <v>1.4133</v>
      </c>
      <c r="G20" s="4" t="n">
        <v>36.7733</v>
      </c>
      <c r="H20" s="4" t="n">
        <v>165.17</v>
      </c>
      <c r="I20" s="4" t="inlineStr"/>
    </row>
    <row r="21">
      <c r="A21" s="4" t="n">
        <v>80</v>
      </c>
      <c r="B21" s="4" t="n">
        <v>4.5</v>
      </c>
      <c r="C21" s="4" t="n">
        <v>3.8446</v>
      </c>
      <c r="D21" s="4" t="n">
        <v>0.7425</v>
      </c>
      <c r="E21" s="4" t="n">
        <v>4.5871</v>
      </c>
      <c r="F21" s="4" t="n">
        <v>1.3246</v>
      </c>
      <c r="G21" s="4" t="n">
        <v>36.6846</v>
      </c>
      <c r="H21" s="4" t="n">
        <v>145.94</v>
      </c>
      <c r="I21" s="4" t="inlineStr"/>
    </row>
    <row r="22">
      <c r="A22" s="4" t="n">
        <v>85</v>
      </c>
      <c r="B22" s="4" t="n">
        <v>3.9375</v>
      </c>
      <c r="C22" s="4" t="n">
        <v>3.7439</v>
      </c>
      <c r="D22" s="4" t="n">
        <v>0.2899</v>
      </c>
      <c r="E22" s="4" t="n">
        <v>4.0338</v>
      </c>
      <c r="F22" s="4" t="n">
        <v>1.2102</v>
      </c>
      <c r="G22" s="4" t="n">
        <v>36.5702</v>
      </c>
      <c r="H22" s="4" t="n">
        <v>123.5</v>
      </c>
      <c r="I22" s="4" t="inlineStr"/>
    </row>
    <row r="23">
      <c r="A23" s="4" t="n">
        <v>90</v>
      </c>
      <c r="B23" s="4" t="n">
        <v>3.375</v>
      </c>
      <c r="C23" s="4" t="n">
        <v>3.7052</v>
      </c>
      <c r="D23" s="4" t="n">
        <v>0</v>
      </c>
      <c r="E23" s="4" t="n">
        <v>3.7052</v>
      </c>
      <c r="F23" s="4" t="n">
        <v>0.8875999999999999</v>
      </c>
      <c r="G23" s="4" t="n">
        <v>36.2476</v>
      </c>
      <c r="H23" s="4" t="n">
        <v>84.12</v>
      </c>
      <c r="I23" s="4" t="inlineStr"/>
    </row>
    <row r="24">
      <c r="A24" s="4" t="n">
        <v>95</v>
      </c>
      <c r="B24" s="4" t="n">
        <v>2.8125</v>
      </c>
      <c r="C24" s="4" t="n">
        <v>2.9803</v>
      </c>
      <c r="D24" s="4" t="n">
        <v>0</v>
      </c>
      <c r="E24" s="4" t="n">
        <v>2.9803</v>
      </c>
      <c r="F24" s="4" t="n">
        <v>0.7271</v>
      </c>
      <c r="G24" s="4" t="n">
        <v>36.0871</v>
      </c>
      <c r="H24" s="4" t="n">
        <v>68.92</v>
      </c>
      <c r="I24" s="4" t="inlineStr"/>
    </row>
    <row r="25">
      <c r="A25" s="4" t="n">
        <v>100</v>
      </c>
      <c r="B25" s="4" t="n">
        <v>2.25</v>
      </c>
      <c r="C25" s="4" t="n">
        <v>2.4552</v>
      </c>
      <c r="D25" s="4" t="n">
        <v>0</v>
      </c>
      <c r="E25" s="4" t="n">
        <v>2.4552</v>
      </c>
      <c r="F25" s="4" t="n">
        <v>0.635</v>
      </c>
      <c r="G25" s="4" t="n">
        <v>35.995</v>
      </c>
      <c r="H25" s="4" t="n">
        <v>59.62</v>
      </c>
      <c r="I25" s="4" t="inlineStr"/>
    </row>
    <row r="26">
      <c r="A26" s="4" t="n">
        <v>105</v>
      </c>
      <c r="B26" s="4" t="n">
        <v>1.6875</v>
      </c>
      <c r="C26" s="4" t="n">
        <v>1.878</v>
      </c>
      <c r="D26" s="4" t="n">
        <v>0</v>
      </c>
      <c r="E26" s="4" t="n">
        <v>1.878</v>
      </c>
      <c r="F26" s="4" t="n">
        <v>0.5374</v>
      </c>
      <c r="G26" s="4" t="n">
        <v>35.8974</v>
      </c>
      <c r="H26" s="4" t="n">
        <v>49.57</v>
      </c>
      <c r="I26" s="4" t="inlineStr"/>
    </row>
    <row r="27">
      <c r="A27" s="4" t="n">
        <v>110</v>
      </c>
      <c r="B27" s="4" t="n">
        <v>1.125</v>
      </c>
      <c r="C27" s="4" t="n">
        <v>1.2626</v>
      </c>
      <c r="D27" s="4" t="n">
        <v>0</v>
      </c>
      <c r="E27" s="4" t="n">
        <v>1.2626</v>
      </c>
      <c r="F27" s="4" t="n">
        <v>0.4286</v>
      </c>
      <c r="G27" s="4" t="n">
        <v>35.7886</v>
      </c>
      <c r="H27" s="4" t="n">
        <v>38.34</v>
      </c>
      <c r="I27" s="4" t="inlineStr"/>
    </row>
    <row r="28">
      <c r="A28" s="4" t="n">
        <v>115</v>
      </c>
      <c r="B28" s="4" t="n">
        <v>0.5625</v>
      </c>
      <c r="C28" s="4" t="n">
        <v>0.6561</v>
      </c>
      <c r="D28" s="4" t="n">
        <v>0</v>
      </c>
      <c r="E28" s="4" t="n">
        <v>0.6561</v>
      </c>
      <c r="F28" s="4" t="n">
        <v>0.3031</v>
      </c>
      <c r="G28" s="4" t="n">
        <v>35.6631</v>
      </c>
      <c r="H28" s="4" t="n">
        <v>25.69</v>
      </c>
      <c r="I28" s="4" t="inlineStr"/>
    </row>
    <row r="29">
      <c r="A29" s="4" t="n">
        <v>120</v>
      </c>
      <c r="B29" s="4" t="n">
        <v>0</v>
      </c>
      <c r="C29" s="4" t="n">
        <v>0.09039999999999999</v>
      </c>
      <c r="D29" s="4" t="n">
        <v>0</v>
      </c>
      <c r="E29" s="4" t="n">
        <v>0.09039999999999999</v>
      </c>
      <c r="F29" s="4" t="n">
        <v>0.1145</v>
      </c>
      <c r="G29" s="4" t="n">
        <v>35.4745</v>
      </c>
      <c r="H29" s="4" t="n">
        <v>8.33</v>
      </c>
      <c r="I29" s="4" t="inlineStr"/>
    </row>
    <row r="30"/>
    <row r="31">
      <c r="A31" s="14" t="inlineStr">
        <is>
          <t>Résumé</t>
        </is>
      </c>
    </row>
    <row r="32">
      <c r="A32" t="inlineStr">
        <is>
          <t>WSE max</t>
        </is>
      </c>
      <c r="B32" s="16" t="n">
        <v>37.143</v>
      </c>
      <c r="C32" t="inlineStr">
        <is>
          <t>m</t>
        </is>
      </c>
    </row>
    <row r="33">
      <c r="A33" t="inlineStr">
        <is>
          <t>t au pic de niveau</t>
        </is>
      </c>
      <c r="B33" s="16" t="n">
        <v>40</v>
      </c>
      <c r="C33" t="inlineStr">
        <is>
          <t>min</t>
        </is>
      </c>
    </row>
    <row r="34">
      <c r="A34" t="inlineStr">
        <is>
          <t>Q_in au même instant</t>
        </is>
      </c>
      <c r="B34" s="16" t="n">
        <v>9</v>
      </c>
    </row>
    <row r="35">
      <c r="A35" t="inlineStr">
        <is>
          <t>Q_out au même instant</t>
        </is>
      </c>
      <c r="B35" s="16" t="n">
        <v>8.808999999999999</v>
      </c>
    </row>
    <row r="36">
      <c r="A36" t="inlineStr">
        <is>
          <t>S max (approx)</t>
        </is>
      </c>
      <c r="B36" s="16" t="n">
        <v>262.5</v>
      </c>
      <c r="C36" t="inlineStr">
        <is>
          <t>m³</t>
        </is>
      </c>
    </row>
    <row r="37"/>
    <row r="38">
      <c r="A38" t="inlineStr">
        <is>
          <t>Ligne jaune = pas de temps du WSE max. Comparer au Resultat_Q9 (régime permanent): le pic transitoire peut être plus bas grâce au stockage.</t>
        </is>
      </c>
    </row>
    <row r="39"/>
  </sheetData>
  <mergeCells count="2">
    <mergeCell ref="A38:I39"/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Hyétogramme vs hydrogramme — et ce que fait ce classeur</t>
        </is>
      </c>
    </row>
    <row r="2">
      <c r="A2" t="inlineStr"/>
    </row>
    <row r="3">
      <c r="A3" t="inlineStr">
        <is>
          <t>Hyétogramme = pluie i(t) [mm/h]. Hydrogramme = débit Q(t) [m³/s] à l'entrée du ponceau.</t>
        </is>
      </c>
    </row>
    <row r="4">
      <c r="A4" t="inlineStr"/>
    </row>
    <row r="5">
      <c r="A5" t="inlineStr">
        <is>
          <t>Feuille Hydrogramme_entree : Q(t) triangulaire (pointe 9 m³/s, montée 40 min, descente 80 min).</t>
        </is>
      </c>
    </row>
    <row r="6">
      <c r="A6" t="inlineStr">
        <is>
          <t>Feuille Routing_stockage : résout dS/dt = Q_in − Q_out(WSE) avec S = f(HW).</t>
        </is>
      </c>
    </row>
    <row r="7">
      <c r="A7" t="inlineStr"/>
    </row>
    <row r="8">
      <c r="A8" t="inlineStr">
        <is>
          <t>Pour coller VOTRE hydrogramme: remplacez les Qin jaunes (idéalement via rebuild après édition du script,</t>
        </is>
      </c>
    </row>
    <row r="9">
      <c r="A9" t="inlineStr">
        <is>
          <t>ou demandez une version 100% formules Excel).</t>
        </is>
      </c>
    </row>
    <row r="10">
      <c r="A10" t="inlineStr"/>
    </row>
    <row r="11">
      <c r="A11" t="inlineStr">
        <is>
          <t>Chaîne complète future: hyétogramme → ruissellement (rationnel/SCS) → hydrogramme → ce routing.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7" t="inlineStr">
        <is>
          <t>Comparaison overflow porous vs surface pour Q=9 (mêmes géométrie/S0)</t>
        </is>
      </c>
    </row>
    <row r="2"/>
    <row r="3">
      <c r="A3" s="7" t="inlineStr">
        <is>
          <t>Mode</t>
        </is>
      </c>
      <c r="B3" s="7" t="inlineStr">
        <is>
          <t>WSE (m)</t>
        </is>
      </c>
      <c r="C3" s="7" t="inlineStr">
        <is>
          <t>Q_pipe</t>
        </is>
      </c>
      <c r="D3" s="7" t="inlineStr">
        <is>
          <t>Q_overflow</t>
        </is>
      </c>
      <c r="E3" s="7" t="inlineStr">
        <is>
          <t>Q_total</t>
        </is>
      </c>
      <c r="F3" s="7" t="inlineStr">
        <is>
          <t>Sous 37.4?</t>
        </is>
      </c>
    </row>
    <row r="4">
      <c r="A4" t="inlineStr">
        <is>
          <t>porous</t>
        </is>
      </c>
      <c r="B4" t="n">
        <v>37.4</v>
      </c>
      <c r="C4" t="n">
        <v>4.422</v>
      </c>
      <c r="D4" t="n">
        <v>0.16</v>
      </c>
      <c r="E4" t="n">
        <v>4.582</v>
      </c>
      <c r="F4" t="inlineStr">
        <is>
          <t>Non / limite</t>
        </is>
      </c>
    </row>
    <row r="5">
      <c r="A5" t="inlineStr">
        <is>
          <t>surface</t>
        </is>
      </c>
      <c r="B5" t="n">
        <v>37.157</v>
      </c>
      <c r="C5" t="n">
        <v>4.235</v>
      </c>
      <c r="D5" t="n">
        <v>4.764</v>
      </c>
      <c r="E5" t="n">
        <v>9</v>
      </c>
      <c r="F5" t="inlineStr">
        <is>
          <t>Oui</t>
        </is>
      </c>
    </row>
    <row r="6">
      <c r="A6" t="inlineStr">
        <is>
          <t>both</t>
        </is>
      </c>
      <c r="B6" t="n">
        <v>37.4</v>
      </c>
      <c r="C6" t="n">
        <v>4.422</v>
      </c>
      <c r="D6" t="n">
        <v>0.16</v>
      </c>
      <c r="E6" t="n">
        <v>4.582</v>
      </c>
      <c r="F6" t="inlineStr">
        <is>
          <t>Non / limite</t>
        </is>
      </c>
    </row>
    <row r="7"/>
    <row r="8">
      <c r="A8" s="11" t="inlineStr">
        <is>
          <t>Note: mode porous (Wilkins) seul ne passe pas ~9 m³/s sous 37.4 m. Mode surface (fossé rugueux / macropores dans 8–200 mm) est le défaut pratique.</t>
        </is>
      </c>
    </row>
    <row r="9"/>
    <row r="10"/>
  </sheetData>
  <mergeCells count="1">
    <mergeCell ref="A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2026-08-16T20:46:39Z</dcterms:created>
  <dcterms:modified xsi:type="dcterms:W3CDTF">2026-08-16T20:46:39Z</dcterms:modified>
</cp:coreProperties>
</file>