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Formules_explications" sheetId="2" state="visible" r:id="rId2"/>
    <sheet name="Guide_Sans_Python" sheetId="3" state="visible" r:id="rId3"/>
    <sheet name="Resultat_Q9" sheetId="4" state="visible" r:id="rId4"/>
    <sheet name="Courbe_de_tarage" sheetId="5" state="visible" r:id="rId5"/>
    <sheet name="Hydrogramme_entree" sheetId="6" state="visible" r:id="rId6"/>
    <sheet name="Routing_stockage" sheetId="7" state="visible" r:id="rId7"/>
    <sheet name="Hydrogramme_notes" sheetId="8" state="visible" r:id="rId8"/>
    <sheet name="Comparaison_mod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b val="1"/>
      <color rgb="000F5C5C"/>
    </font>
    <font>
      <i val="1"/>
      <color rgb="0064748B"/>
      <sz val="10"/>
    </font>
    <font>
      <b val="1"/>
      <sz val="13"/>
    </font>
    <font>
      <i val="1"/>
      <color rgb="0064748B"/>
      <sz val="9"/>
    </font>
    <font>
      <color rgb="000F5C5C"/>
      <sz val="9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E0F2FE"/>
      </patternFill>
    </fill>
    <fill>
      <patternFill patternType="solid">
        <fgColor rgb="00FDE6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3" fillId="2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0" fontId="0" fillId="4" borderId="1" pivotButton="0" quotePrefix="0" xfId="0"/>
    <xf numFmtId="165" fontId="0" fillId="0" borderId="1" pivotButton="0" quotePrefix="0" xfId="0"/>
    <xf numFmtId="164" fontId="0" fillId="0" borderId="1" pivotButton="0" quotePrefix="0" xfId="0"/>
    <xf numFmtId="2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5" borderId="1" pivotButton="0" quotePrefix="0" xfId="0"/>
    <xf numFmtId="0" fontId="9" fillId="0" borderId="0" pivotButton="0" quotePrefix="0" xfId="0"/>
    <xf numFmtId="0" fontId="0" fillId="4" borderId="0" pivotButton="0" quotePrefix="0" xfId="0"/>
    <xf numFmtId="0" fontId="10" fillId="0" borderId="0" pivotButton="0" quotePrefix="0" xfId="0"/>
    <xf numFmtId="0" fontId="0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DE68A"/>
          <bgColor rgb="00FDE68A"/>
        </patternFill>
      </fill>
    </dxf>
    <dxf>
      <fill>
        <patternFill patternType="solid">
          <fgColor rgb="00FFF59D"/>
          <bgColor rgb="00FFF59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41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Modèle composé — Ponceau + fossé (remblai) — TOUT LIVE DANS EXCEL</t>
        </is>
      </c>
    </row>
    <row r="2">
      <c r="A2" s="2" t="inlineStr">
        <is>
          <t>Cellules jaunes = entrées. Changez D, n, L, cotes… → Courbe_de_tarage + résultats se mettent à jour. Python (build_excel.py) reste disponible pour régénérer le classeur si besoin.</t>
        </is>
      </c>
    </row>
    <row r="3"/>
    <row r="4">
      <c r="A4" s="3" t="inlineStr">
        <is>
          <t>Section</t>
        </is>
      </c>
      <c r="B4" s="3" t="inlineStr">
        <is>
          <t>Paramètre</t>
        </is>
      </c>
      <c r="C4" s="3" t="inlineStr">
        <is>
          <t>Valeur</t>
        </is>
      </c>
      <c r="D4" s="3" t="inlineStr">
        <is>
          <t>Unité / note</t>
        </is>
      </c>
      <c r="E4" s="4" t="inlineStr">
        <is>
          <t>entrée</t>
        </is>
      </c>
      <c r="F4" s="4" t="inlineStr">
        <is>
          <t>K</t>
        </is>
      </c>
      <c r="G4" s="4" t="inlineStr">
        <is>
          <t>M</t>
        </is>
      </c>
      <c r="H4" s="4" t="inlineStr">
        <is>
          <t>c</t>
        </is>
      </c>
      <c r="I4" s="4" t="inlineStr">
        <is>
          <t>Y</t>
        </is>
      </c>
      <c r="J4" s="4" t="inlineStr">
        <is>
          <t>Ke</t>
        </is>
      </c>
    </row>
    <row r="5">
      <c r="A5" s="5" t="inlineStr">
        <is>
          <t>Géométrie</t>
        </is>
      </c>
      <c r="B5" s="5" t="inlineStr">
        <is>
          <t>Diamètre ponceau D</t>
        </is>
      </c>
      <c r="C5" s="6" t="n">
        <v>1.05</v>
      </c>
      <c r="D5" s="5" t="inlineStr">
        <is>
          <t>m — changez ici sans Python</t>
        </is>
      </c>
      <c r="E5" t="inlineStr">
        <is>
          <t>beveled</t>
        </is>
      </c>
      <c r="F5" t="n">
        <v>0.0018</v>
      </c>
      <c r="G5" t="n">
        <v>2.5</v>
      </c>
      <c r="H5" t="n">
        <v>0.03</v>
      </c>
      <c r="I5" t="n">
        <v>0.74</v>
      </c>
      <c r="J5" t="n">
        <v>0.2</v>
      </c>
    </row>
    <row r="6">
      <c r="A6" s="5" t="inlineStr">
        <is>
          <t>Géométrie</t>
        </is>
      </c>
      <c r="B6" s="5" t="inlineStr">
        <is>
          <t>Longueur L</t>
        </is>
      </c>
      <c r="C6" s="6" t="n">
        <v>50.9</v>
      </c>
      <c r="D6" s="5" t="inlineStr">
        <is>
          <t>m</t>
        </is>
      </c>
      <c r="E6" t="inlineStr">
        <is>
          <t>square_edge</t>
        </is>
      </c>
      <c r="F6" t="n">
        <v>0.0098</v>
      </c>
      <c r="G6" t="n">
        <v>2</v>
      </c>
      <c r="H6" t="n">
        <v>0.0398</v>
      </c>
      <c r="I6" t="n">
        <v>0.67</v>
      </c>
      <c r="J6" t="n">
        <v>0.5</v>
      </c>
    </row>
    <row r="7">
      <c r="A7" s="5" t="inlineStr">
        <is>
          <t>Géométrie</t>
        </is>
      </c>
      <c r="B7" s="5" t="inlineStr">
        <is>
          <t>Largeur fond fossé b</t>
        </is>
      </c>
      <c r="C7" s="6" t="n">
        <v>2</v>
      </c>
      <c r="D7" s="5" t="inlineStr">
        <is>
          <t>m</t>
        </is>
      </c>
      <c r="E7" t="inlineStr">
        <is>
          <t>groove_headwall</t>
        </is>
      </c>
      <c r="F7" t="n">
        <v>0.0078</v>
      </c>
      <c r="G7" t="n">
        <v>2</v>
      </c>
      <c r="H7" t="n">
        <v>0.0292</v>
      </c>
      <c r="I7" t="n">
        <v>0.74</v>
      </c>
      <c r="J7" t="n">
        <v>0.2</v>
      </c>
    </row>
    <row r="8">
      <c r="A8" s="5" t="inlineStr">
        <is>
          <t>Géométrie</t>
        </is>
      </c>
      <c r="B8" s="5" t="inlineStr">
        <is>
          <t>Talus z</t>
        </is>
      </c>
      <c r="C8" s="6" t="n">
        <v>2</v>
      </c>
      <c r="D8" s="5" t="inlineStr">
        <is>
          <t>H:V</t>
        </is>
      </c>
    </row>
    <row r="9">
      <c r="A9" s="5" t="inlineStr">
        <is>
          <t>Cote</t>
        </is>
      </c>
      <c r="B9" s="5" t="inlineStr">
        <is>
          <t>Invert amont</t>
        </is>
      </c>
      <c r="C9" s="6" t="n">
        <v>35.36</v>
      </c>
      <c r="D9" s="5" t="inlineStr">
        <is>
          <t>m</t>
        </is>
      </c>
    </row>
    <row r="10">
      <c r="A10" s="5" t="inlineStr">
        <is>
          <t>Cote</t>
        </is>
      </c>
      <c r="B10" s="5" t="inlineStr">
        <is>
          <t>Invert aval</t>
        </is>
      </c>
      <c r="C10" s="6" t="n">
        <v>34.47</v>
      </c>
      <c r="D10" s="5" t="inlineStr">
        <is>
          <t>m</t>
        </is>
      </c>
    </row>
    <row r="11">
      <c r="A11" s="5" t="inlineStr">
        <is>
          <t>Cote</t>
        </is>
      </c>
      <c r="B11" s="5" t="inlineStr">
        <is>
          <t>Max hauteur d'eau</t>
        </is>
      </c>
      <c r="C11" s="6" t="n">
        <v>37.4</v>
      </c>
      <c r="D11" s="5" t="inlineStr">
        <is>
          <t>m</t>
        </is>
      </c>
    </row>
    <row r="12">
      <c r="A12" s="5" t="inlineStr">
        <is>
          <t>Cote</t>
        </is>
      </c>
      <c r="B12" s="5" t="inlineStr">
        <is>
          <t>Clé du tuyau (crown)</t>
        </is>
      </c>
      <c r="C12" s="5">
        <f>C9+C5</f>
        <v/>
      </c>
      <c r="D12" s="5" t="inlineStr">
        <is>
          <t>formule = invert + D</t>
        </is>
      </c>
    </row>
    <row r="13">
      <c r="A13" s="5" t="inlineStr">
        <is>
          <t>Hydraulique</t>
        </is>
      </c>
      <c r="B13" s="5" t="inlineStr">
        <is>
          <t>Pente S0</t>
        </is>
      </c>
      <c r="C13" s="5">
        <f>MAX(0.000001,(C9-C10)/C6)</f>
        <v/>
      </c>
      <c r="D13" s="5" t="inlineStr">
        <is>
          <t>formule = Δz/L</t>
        </is>
      </c>
    </row>
    <row r="14">
      <c r="A14" s="5" t="inlineStr">
        <is>
          <t>Hydraulique</t>
        </is>
      </c>
      <c r="B14" s="5" t="inlineStr">
        <is>
          <t>n ponceau</t>
        </is>
      </c>
      <c r="C14" s="6" t="n">
        <v>0.013</v>
      </c>
      <c r="D14" s="5" t="inlineStr">
        <is>
          <t>Manning</t>
        </is>
      </c>
    </row>
    <row r="15">
      <c r="A15" s="5" t="inlineStr">
        <is>
          <t>Hydraulique</t>
        </is>
      </c>
      <c r="B15" s="5" t="inlineStr">
        <is>
          <t>Entrée</t>
        </is>
      </c>
      <c r="C15" s="6" t="inlineStr">
        <is>
          <t>beveled</t>
        </is>
      </c>
      <c r="D15" s="5" t="inlineStr">
        <is>
          <t>beveled | square_edge | groove_headwall</t>
        </is>
      </c>
    </row>
    <row r="16">
      <c r="A16" s="5" t="inlineStr">
        <is>
          <t>Hydraulique</t>
        </is>
      </c>
      <c r="B16" s="5" t="inlineStr">
        <is>
          <t>Tailwater TW</t>
        </is>
      </c>
      <c r="C16" s="6" t="n">
        <v>0</v>
      </c>
      <c r="D16" s="5" t="inlineStr">
        <is>
          <t>m au-dessus invert aval</t>
        </is>
      </c>
    </row>
    <row r="17">
      <c r="A17" s="5" t="inlineStr">
        <is>
          <t>Débordement</t>
        </is>
      </c>
      <c r="B17" s="5" t="inlineStr">
        <is>
          <t>Mode</t>
        </is>
      </c>
      <c r="C17" s="6" t="inlineStr">
        <is>
          <t>surface</t>
        </is>
      </c>
      <c r="D17" s="5" t="inlineStr">
        <is>
          <t>surface | porous | both</t>
        </is>
      </c>
    </row>
    <row r="18">
      <c r="A18" s="5" t="inlineStr">
        <is>
          <t>Débordement</t>
        </is>
      </c>
      <c r="B18" s="5" t="inlineStr">
        <is>
          <t>Début débordement y0</t>
        </is>
      </c>
      <c r="C18" s="5">
        <f>C5</f>
        <v/>
      </c>
      <c r="D18" s="5" t="inlineStr">
        <is>
          <t>m au-dessus invert (défaut = D)</t>
        </is>
      </c>
    </row>
    <row r="19">
      <c r="A19" s="5" t="inlineStr">
        <is>
          <t>Débordement</t>
        </is>
      </c>
      <c r="B19" s="5" t="inlineStr">
        <is>
          <t>n surface (rocher)</t>
        </is>
      </c>
      <c r="C19" s="6" t="n">
        <v>0.045</v>
      </c>
      <c r="D19" s="5" t="inlineStr">
        <is>
          <t>si mode surface/both</t>
        </is>
      </c>
    </row>
    <row r="20">
      <c r="A20" s="5" t="inlineStr">
        <is>
          <t>Débordement</t>
        </is>
      </c>
      <c r="B20" s="5" t="inlineStr">
        <is>
          <t>d50 remblai</t>
        </is>
      </c>
      <c r="C20" s="6" t="n">
        <v>0.05</v>
      </c>
      <c r="D20" s="5" t="inlineStr">
        <is>
          <t>m (si porous/both)</t>
        </is>
      </c>
    </row>
    <row r="21">
      <c r="A21" s="5" t="inlineStr">
        <is>
          <t>Débordement</t>
        </is>
      </c>
      <c r="B21" s="5" t="inlineStr">
        <is>
          <t>Porosité</t>
        </is>
      </c>
      <c r="C21" s="6" t="n">
        <v>0.4</v>
      </c>
      <c r="D21" s="5" t="inlineStr">
        <is>
          <t>-</t>
        </is>
      </c>
    </row>
    <row r="22">
      <c r="A22" s="5" t="inlineStr">
        <is>
          <t>Débordement</t>
        </is>
      </c>
      <c r="B22" s="5" t="inlineStr">
        <is>
          <t>Cd_rock</t>
        </is>
      </c>
      <c r="C22" s="6" t="n">
        <v>0.85</v>
      </c>
      <c r="D22" s="5" t="inlineStr">
        <is>
          <t>calage poreux</t>
        </is>
      </c>
    </row>
    <row r="23">
      <c r="A23" s="5" t="inlineStr">
        <is>
          <t>Débit</t>
        </is>
      </c>
      <c r="B23" s="5" t="inlineStr">
        <is>
          <t>Q design (permanent)</t>
        </is>
      </c>
      <c r="C23" s="5">
        <f>Resultat_Q9!B4</f>
        <v/>
      </c>
      <c r="D23" s="5" t="inlineStr">
        <is>
          <t>lié à Resultat_Q9</t>
        </is>
      </c>
    </row>
    <row r="24">
      <c r="A24" s="7" t="inlineStr">
        <is>
          <t>Coeffs HDS-5 Form-2 (auto selon Entrée C15)</t>
        </is>
      </c>
    </row>
    <row r="25">
      <c r="A25" s="5" t="inlineStr">
        <is>
          <t>HDS-5</t>
        </is>
      </c>
      <c r="B25" s="5" t="inlineStr">
        <is>
          <t>K</t>
        </is>
      </c>
      <c r="C25" s="5">
        <f>IFERROR(VLOOKUP(C15,$E$5:$J$7,2,FALSE),0.0018)</f>
        <v/>
      </c>
      <c r="D25" s="5" t="inlineStr">
        <is>
          <t>auto</t>
        </is>
      </c>
    </row>
    <row r="26">
      <c r="A26" s="5" t="inlineStr">
        <is>
          <t>HDS-5</t>
        </is>
      </c>
      <c r="B26" s="5" t="inlineStr">
        <is>
          <t>M</t>
        </is>
      </c>
      <c r="C26" s="5">
        <f>IFERROR(VLOOKUP(C15,$E$5:$J$7,3,FALSE),2.5)</f>
        <v/>
      </c>
      <c r="D26" s="5" t="inlineStr">
        <is>
          <t>auto</t>
        </is>
      </c>
    </row>
    <row r="27">
      <c r="A27" s="5" t="inlineStr">
        <is>
          <t>HDS-5</t>
        </is>
      </c>
      <c r="B27" s="5" t="inlineStr">
        <is>
          <t>c</t>
        </is>
      </c>
      <c r="C27" s="5">
        <f>IFERROR(VLOOKUP(C15,$E$5:$J$7,4,FALSE),0.03)</f>
        <v/>
      </c>
      <c r="D27" s="5" t="inlineStr">
        <is>
          <t>auto</t>
        </is>
      </c>
    </row>
    <row r="28">
      <c r="A28" s="5" t="inlineStr">
        <is>
          <t>HDS-5</t>
        </is>
      </c>
      <c r="B28" s="5" t="inlineStr">
        <is>
          <t>Y</t>
        </is>
      </c>
      <c r="C28" s="5">
        <f>IFERROR(VLOOKUP(C15,$E$5:$J$7,5,FALSE),0.74)</f>
        <v/>
      </c>
      <c r="D28" s="5" t="inlineStr">
        <is>
          <t>auto</t>
        </is>
      </c>
    </row>
    <row r="29">
      <c r="A29" s="5" t="inlineStr">
        <is>
          <t>HDS-5</t>
        </is>
      </c>
      <c r="B29" s="5" t="inlineStr">
        <is>
          <t>Ke</t>
        </is>
      </c>
      <c r="C29" s="5">
        <f>IFERROR(VLOOKUP(C15,$E$5:$J$7,6,FALSE),0.2)</f>
        <v/>
      </c>
      <c r="D29" s="5" t="inlineStr">
        <is>
          <t>auto</t>
        </is>
      </c>
    </row>
    <row r="30"/>
    <row r="31">
      <c r="A31" s="8" t="inlineStr">
        <is>
          <t>Sans Python: éditez les jaunes → Courbe_de_tarage / Resultat_Q9 / Routing_stockage (recalcul auto). Avec Python (optionnel): python build_excel.py régénère ce fichier depuis hydraulics.py.</t>
        </is>
      </c>
    </row>
    <row r="32"/>
  </sheetData>
  <mergeCells count="3">
    <mergeCell ref="A1:D1"/>
    <mergeCell ref="A31:D32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Comment les valeurs sont calculées (formules + méthode)</t>
        </is>
      </c>
    </row>
    <row r="3">
      <c r="A3" s="3" t="inlineStr">
        <is>
          <t>Sujet</t>
        </is>
      </c>
      <c r="B3" s="3" t="inlineStr">
        <is>
          <t>Formule / explication</t>
        </is>
      </c>
    </row>
    <row r="4" ht="32" customHeight="1">
      <c r="A4" t="inlineStr">
        <is>
          <t>Important</t>
        </is>
      </c>
      <c r="B4" s="9" t="inlineStr">
        <is>
          <t>Presque TOUT est en formules Excel. Changez D/n/L/cotes sur Parametres → la courbe se recalcule. Python reste pour régénérer/valider.</t>
        </is>
      </c>
    </row>
    <row r="5" ht="18" customHeight="1">
      <c r="A5" t="inlineStr"/>
      <c r="B5" s="9" t="inlineStr"/>
    </row>
    <row r="6" ht="18" customHeight="1">
      <c r="A6" s="7" t="inlineStr">
        <is>
          <t>0. Sans Python (bureau)</t>
        </is>
      </c>
      <c r="B6" s="9" t="inlineStr"/>
    </row>
    <row r="7" ht="18" customHeight="1">
      <c r="A7" t="inlineStr">
        <is>
          <t>Géométrie</t>
        </is>
      </c>
      <c r="B7" s="9" t="inlineStr">
        <is>
          <t>Parametres cellules jaunes C5–C22</t>
        </is>
      </c>
    </row>
    <row r="8" ht="18" customHeight="1">
      <c r="A8" t="inlineStr">
        <is>
          <t>Q permanent</t>
        </is>
      </c>
      <c r="B8" s="9" t="inlineStr">
        <is>
          <t>Resultat_Q9!B4</t>
        </is>
      </c>
    </row>
    <row r="9" ht="32" customHeight="1">
      <c r="A9" t="inlineStr">
        <is>
          <t>Hydrogramme</t>
        </is>
      </c>
      <c r="B9" s="9" t="inlineStr">
        <is>
          <t>Hydrogramme_entree: B3=Chicago|Triangle ; B5=Q pointe ; B9=Td ; B10=r ; B11–B13=IDF</t>
        </is>
      </c>
    </row>
    <row r="10" ht="18" customHeight="1">
      <c r="A10" t="inlineStr">
        <is>
          <t>WSE max orage</t>
        </is>
      </c>
      <c r="B10" s="9" t="inlineStr">
        <is>
          <t>Routing_stockage → WSE max</t>
        </is>
      </c>
    </row>
    <row r="11" ht="18" customHeight="1">
      <c r="A11" t="inlineStr"/>
      <c r="B11" s="9" t="inlineStr"/>
    </row>
    <row r="12" ht="18" customHeight="1">
      <c r="A12" s="7" t="inlineStr">
        <is>
          <t>Chicago (détail)</t>
        </is>
      </c>
      <c r="B12" s="9" t="inlineStr"/>
    </row>
    <row r="13" ht="18" customHeight="1">
      <c r="A13" t="inlineStr">
        <is>
          <t>IDF</t>
        </is>
      </c>
      <c r="B13" s="9" t="inlineStr">
        <is>
          <t>ī(td)=a/(td+b)^c</t>
        </is>
      </c>
    </row>
    <row r="14" ht="18" customHeight="1">
      <c r="A14" t="inlineStr">
        <is>
          <t>i(t) avant pic</t>
        </is>
      </c>
      <c r="B14" s="9" t="inlineStr">
        <is>
          <t>i=a*[(1-c)*(tb/r)+b]/(tb/r+b)^(c+1)   tb=tp-t   tp=r*Td</t>
        </is>
      </c>
    </row>
    <row r="15" ht="18" customHeight="1">
      <c r="A15" t="inlineStr">
        <is>
          <t>i(t) après pic</t>
        </is>
      </c>
      <c r="B15" s="9" t="inlineStr">
        <is>
          <t>i=a*[(1-c)*(ta/(1-r))+b]/(ta/(1-r)+b)^(c+1)   ta=t-tp</t>
        </is>
      </c>
    </row>
    <row r="16" ht="18" customHeight="1">
      <c r="A16" t="inlineStr">
        <is>
          <t>Q(t)</t>
        </is>
      </c>
      <c r="B16" s="9" t="inlineStr">
        <is>
          <t>Q=Qpointe*i(t)/i_max   i_max=a/b^c</t>
        </is>
      </c>
    </row>
    <row r="17" ht="18" customHeight="1">
      <c r="A17" t="inlineStr">
        <is>
          <t>Td choisi</t>
        </is>
      </c>
      <c r="B17" s="9" t="inlineStr">
        <is>
          <t>60 min pour ce site (ponceau court, Tc~10–20 min)</t>
        </is>
      </c>
    </row>
    <row r="18" ht="18" customHeight="1">
      <c r="A18" t="inlineStr"/>
      <c r="B18" s="9" t="inlineStr"/>
    </row>
    <row r="19" ht="18" customHeight="1">
      <c r="A19" s="7" t="inlineStr">
        <is>
          <t>1. Cotes</t>
        </is>
      </c>
      <c r="B19" s="9" t="inlineStr"/>
    </row>
    <row r="20" ht="18" customHeight="1">
      <c r="A20" t="inlineStr">
        <is>
          <t>WSE</t>
        </is>
      </c>
      <c r="B20" s="9" t="inlineStr">
        <is>
          <t>WSE = Parametres!C9 + HW</t>
        </is>
      </c>
    </row>
    <row r="21" ht="18" customHeight="1">
      <c r="A21" t="inlineStr">
        <is>
          <t>S0</t>
        </is>
      </c>
      <c r="B21" s="9" t="inlineStr">
        <is>
          <t>S0 = (invert_amont - invert_aval) / L  (Parametres!C13)</t>
        </is>
      </c>
    </row>
    <row r="22" ht="18" customHeight="1">
      <c r="A22" t="inlineStr"/>
      <c r="B22" s="9" t="inlineStr"/>
    </row>
    <row r="23" ht="18" customHeight="1">
      <c r="A23" s="7" t="inlineStr">
        <is>
          <t>2. Courbe de tarage</t>
        </is>
      </c>
      <c r="B23" s="9" t="inlineStr"/>
    </row>
    <row r="24" ht="32" customHeight="1">
      <c r="A24" t="inlineStr">
        <is>
          <t>Création</t>
        </is>
      </c>
      <c r="B24" s="9" t="inlineStr">
        <is>
          <t>Pour chaque HW: Q_total = Q_pipe + Q_overflow — formules Excel (plus de valeurs figées Python)</t>
        </is>
      </c>
    </row>
    <row r="25" ht="18" customHeight="1">
      <c r="A25" t="inlineStr">
        <is>
          <t>Q_pipe</t>
        </is>
      </c>
      <c r="B25" s="9" t="inlineStr">
        <is>
          <t>MIN(entrée HDS-5, sortie Manning/énergie)</t>
        </is>
      </c>
    </row>
    <row r="26" ht="18" customHeight="1">
      <c r="A26" t="inlineStr">
        <is>
          <t>Q_overflow</t>
        </is>
      </c>
      <c r="B26" s="9" t="inlineStr">
        <is>
          <t>Manning surface (défaut) ou Wilkins selon Parametres!C17</t>
        </is>
      </c>
    </row>
    <row r="27" ht="18" customHeight="1">
      <c r="A27" t="inlineStr">
        <is>
          <t>Ind</t>
        </is>
      </c>
      <c r="B27" s="9" t="inlineStr">
        <is>
          <t>Ind = 2*S/dt + Q_out  (lookup routing)</t>
        </is>
      </c>
    </row>
    <row r="28" ht="18" customHeight="1">
      <c r="A28" t="inlineStr"/>
      <c r="B28" s="9" t="inlineStr"/>
    </row>
    <row r="29" ht="18" customHeight="1">
      <c r="A29" s="7" t="inlineStr">
        <is>
          <t>3. RHS / 2S/dt−Q</t>
        </is>
      </c>
      <c r="B29" s="9" t="inlineStr"/>
    </row>
    <row r="30" ht="18" customHeight="1">
      <c r="A30" t="inlineStr">
        <is>
          <t>RHS</t>
        </is>
      </c>
      <c r="B30" s="9" t="inlineStr">
        <is>
          <t>RHS = (2S/dt - Q)_prev + Qin_prev + Qin_new</t>
        </is>
      </c>
    </row>
    <row r="31" ht="18" customHeight="1">
      <c r="A31" t="inlineStr">
        <is>
          <t>2S/dt−Q</t>
        </is>
      </c>
      <c r="B31" s="9" t="inlineStr">
        <is>
          <t>Terme de report Puls (pas un débit)</t>
        </is>
      </c>
    </row>
    <row r="32" ht="18" customHeight="1">
      <c r="A32" t="inlineStr"/>
      <c r="B32" s="9" t="inlineStr"/>
    </row>
    <row r="33" ht="18" customHeight="1">
      <c r="A33" s="7" t="inlineStr">
        <is>
          <t>4. Python conservé</t>
        </is>
      </c>
      <c r="B33" s="9" t="inlineStr"/>
    </row>
    <row r="34" ht="18" customHeight="1">
      <c r="A34" t="inlineStr">
        <is>
          <t>hydraulics.py</t>
        </is>
      </c>
      <c r="B34" s="9" t="inlineStr">
        <is>
          <t>Moteur de référence</t>
        </is>
      </c>
    </row>
    <row r="35" ht="18" customHeight="1">
      <c r="A35" t="inlineStr">
        <is>
          <t>build_excel.py</t>
        </is>
      </c>
      <c r="B35" s="9" t="inlineStr">
        <is>
          <t>Régénère le .xlsx</t>
        </is>
      </c>
    </row>
    <row r="36" ht="18" customHeight="1">
      <c r="A36" t="inlineStr">
        <is>
          <t>excel_rating_formulas.py</t>
        </is>
      </c>
      <c r="B36" s="9" t="inlineStr">
        <is>
          <t>Texte des formules de courbe</t>
        </is>
      </c>
    </row>
    <row r="37" ht="18" customHeight="1">
      <c r="A37" t="inlineStr">
        <is>
          <t>run_model.py</t>
        </is>
      </c>
      <c r="B37" s="9" t="inlineStr">
        <is>
          <t>Test terminal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Guide bureau — Excel seulement (Python optionnel)</t>
        </is>
      </c>
    </row>
    <row r="2">
      <c r="A2" t="inlineStr"/>
    </row>
    <row r="3">
      <c r="A3" t="inlineStr">
        <is>
          <t>1) Changer la géométrie (D, n, L, inverts…)</t>
        </is>
      </c>
    </row>
    <row r="4">
      <c r="A4" t="inlineStr">
        <is>
          <t xml:space="preserve">   → Parametres, cellules JAUNES → courbe + résultats se mettent à jour</t>
        </is>
      </c>
    </row>
    <row r="5">
      <c r="A5" t="inlineStr"/>
    </row>
    <row r="6">
      <c r="A6" t="inlineStr">
        <is>
          <t>2) Débit permanent (ex. 9 → 12)</t>
        </is>
      </c>
    </row>
    <row r="7">
      <c r="A7" t="inlineStr">
        <is>
          <t xml:space="preserve">   → Resultat_Q9!B4 jaune → lire WSE</t>
        </is>
      </c>
    </row>
    <row r="8">
      <c r="A8" t="inlineStr"/>
    </row>
    <row r="9">
      <c r="A9" t="inlineStr">
        <is>
          <t>3) Orage Chicago (défaut) ou Triangle</t>
        </is>
      </c>
    </row>
    <row r="10">
      <c r="A10" t="inlineStr">
        <is>
          <t xml:space="preserve">   → Hydrogramme_entree: B3=Chicago, B5=Q pointe (ex. 10), B9=Td=60 min</t>
        </is>
      </c>
    </row>
    <row r="11">
      <c r="A11" t="inlineStr">
        <is>
          <t xml:space="preserve">   → IDF a,b,c en B11–B13 (caler sur votre station)</t>
        </is>
      </c>
    </row>
    <row r="12">
      <c r="A12" t="inlineStr">
        <is>
          <t xml:space="preserve">   → Routing_stockage « WSE max »</t>
        </is>
      </c>
    </row>
    <row r="13">
      <c r="A13" t="inlineStr"/>
    </row>
    <row r="14">
      <c r="A14" t="inlineStr">
        <is>
          <t>Chicago en bref: hyétogramme Keifer–Chu → Q(t)=Qpointe*i(t)/i_max</t>
        </is>
      </c>
    </row>
    <row r="15">
      <c r="A15" t="inlineStr">
        <is>
          <t>Td=60 min choisi pour ce culvert/fossé (voir Hydrogramme_notes).</t>
        </is>
      </c>
    </row>
    <row r="16">
      <c r="A16" t="inlineStr"/>
    </row>
    <row r="17">
      <c r="A17" t="inlineStr">
        <is>
          <t>4) Mode débordement</t>
        </is>
      </c>
    </row>
    <row r="18">
      <c r="A18" t="inlineStr">
        <is>
          <t xml:space="preserve">   → Parametres C17 = surface | porous | both</t>
        </is>
      </c>
    </row>
    <row r="19">
      <c r="A19" t="inlineStr"/>
    </row>
    <row r="20">
      <c r="A20" t="inlineStr">
        <is>
          <t>Python N'EST PAS requis pour ces changements.</t>
        </is>
      </c>
    </row>
    <row r="21">
      <c r="A21" t="inlineStr">
        <is>
          <t>Gardez hydraulics.py / build_excel.py pour régénérer le classeur plus tard si besoin.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6" customWidth="1" min="4" max="4"/>
  </cols>
  <sheetData>
    <row r="1">
      <c r="A1" s="1" t="inlineStr">
        <is>
          <t>Résultat régime permanent — LIVE (B4 = Q design)</t>
        </is>
      </c>
    </row>
    <row r="2">
      <c r="A2" s="2" t="inlineStr">
        <is>
          <t>Lit Courbe_de_tarage (calculée depuis Parametres). Changez B4 et/ou D,n,L.</t>
        </is>
      </c>
    </row>
    <row r="3">
      <c r="A3" s="3" t="inlineStr">
        <is>
          <t>Grandeur</t>
        </is>
      </c>
      <c r="B3" s="3" t="inlineStr">
        <is>
          <t>Valeur</t>
        </is>
      </c>
      <c r="C3" s="3" t="inlineStr">
        <is>
          <t>Unité</t>
        </is>
      </c>
      <c r="D3" s="3" t="inlineStr">
        <is>
          <t>Comment obtenu</t>
        </is>
      </c>
    </row>
    <row r="4">
      <c r="A4" t="inlineStr">
        <is>
          <t>Q design</t>
        </is>
      </c>
      <c r="B4" s="6" t="n">
        <v>10</v>
      </c>
      <c r="C4" t="inlineStr">
        <is>
          <t>m³/s</t>
        </is>
      </c>
      <c r="D4" t="inlineStr">
        <is>
          <t>ÉDITER ICI</t>
        </is>
      </c>
    </row>
    <row r="5">
      <c r="A5" s="5" t="inlineStr">
        <is>
          <t>HW (profondeur amont)</t>
        </is>
      </c>
      <c r="B5" s="10">
        <f>IFERROR(FORECAST($B$4,INDEX(Courbe_de_tarage!$A$4:$A$44,MATCH($B$4,Courbe_de_tarage!$E$4:$E$44,1)):INDEX(Courbe_de_tarage!$A$4:$A$44,MATCH($B$4,Courbe_de_tarage!$E$4:$E$44,1)+1),INDEX(Courbe_de_tarage!$E$4:$E$44,MATCH($B$4,Courbe_de_tarage!$E$4:$E$44,1)):INDEX(Courbe_de_tarage!$E$4:$E$44,MATCH($B$4,Courbe_de_tarage!$E$4:$E$44,1)+1)),IFERROR(INDEX(Courbe_de_tarage!$A$4:$A$44,MATCH($B$4,Courbe_de_tarage!$E$4:$E$44,1)),INDEX(Courbe_de_tarage!$A$4:$A$44,1)))</f>
        <v/>
      </c>
      <c r="C5" s="5" t="inlineStr">
        <is>
          <t>m</t>
        </is>
      </c>
      <c r="D5" s="5" t="inlineStr">
        <is>
          <t>Q_total → HW</t>
        </is>
      </c>
    </row>
    <row r="6">
      <c r="A6" s="5" t="inlineStr">
        <is>
          <t>WSE amont</t>
        </is>
      </c>
      <c r="B6" s="10">
        <f>Parametres!$C$9+B5</f>
        <v/>
      </c>
      <c r="C6" s="5" t="inlineStr">
        <is>
          <t>m</t>
        </is>
      </c>
      <c r="D6" s="5" t="inlineStr">
        <is>
          <t>invert + HW</t>
        </is>
      </c>
    </row>
    <row r="7">
      <c r="A7" s="5" t="inlineStr">
        <is>
          <t>Q_ponceau</t>
        </is>
      </c>
      <c r="B7" s="10">
        <f>IFERROR(FORECAST($B$4,INDEX(Courbe_de_tarage!$C$4:$C$44,MATCH($B$4,Courbe_de_tarage!$E$4:$E$44,1)):INDEX(Courbe_de_tarage!$C$4:$C$44,MATCH($B$4,Courbe_de_tarage!$E$4:$E$44,1)+1),INDEX(Courbe_de_tarage!$E$4:$E$44,MATCH($B$4,Courbe_de_tarage!$E$4:$E$44,1)):INDEX(Courbe_de_tarage!$E$4:$E$44,MATCH($B$4,Courbe_de_tarage!$E$4:$E$44,1)+1)),IFERROR(INDEX(Courbe_de_tarage!$C$4:$C$44,MATCH($B$4,Courbe_de_tarage!$E$4:$E$44,1)),INDEX(Courbe_de_tarage!$C$4:$C$44,1)))</f>
        <v/>
      </c>
      <c r="C7" s="5" t="inlineStr">
        <is>
          <t>m³/s</t>
        </is>
      </c>
      <c r="D7" s="5" t="inlineStr">
        <is>
          <t>courbe</t>
        </is>
      </c>
    </row>
    <row r="8">
      <c r="A8" s="5" t="inlineStr">
        <is>
          <t>Q_débordement</t>
        </is>
      </c>
      <c r="B8" s="10">
        <f>IFERROR(FORECAST($B$4,INDEX(Courbe_de_tarage!$D$4:$D$44,MATCH($B$4,Courbe_de_tarage!$E$4:$E$44,1)):INDEX(Courbe_de_tarage!$D$4:$D$44,MATCH($B$4,Courbe_de_tarage!$E$4:$E$44,1)+1),INDEX(Courbe_de_tarage!$E$4:$E$44,MATCH($B$4,Courbe_de_tarage!$E$4:$E$44,1)):INDEX(Courbe_de_tarage!$E$4:$E$44,MATCH($B$4,Courbe_de_tarage!$E$4:$E$44,1)+1)),IFERROR(INDEX(Courbe_de_tarage!$D$4:$D$44,MATCH($B$4,Courbe_de_tarage!$E$4:$E$44,1)),INDEX(Courbe_de_tarage!$D$4:$D$44,1)))</f>
        <v/>
      </c>
      <c r="C8" s="5" t="inlineStr">
        <is>
          <t>m³/s</t>
        </is>
      </c>
      <c r="D8" s="5" t="inlineStr">
        <is>
          <t>courbe</t>
        </is>
      </c>
    </row>
    <row r="9">
      <c r="A9" s="5" t="inlineStr">
        <is>
          <t>Q_total</t>
        </is>
      </c>
      <c r="B9" s="10">
        <f>B7+B8</f>
        <v/>
      </c>
      <c r="C9" s="5" t="inlineStr">
        <is>
          <t>m³/s</t>
        </is>
      </c>
      <c r="D9" s="5" t="inlineStr">
        <is>
          <t>≈ B4</t>
        </is>
      </c>
    </row>
    <row r="10">
      <c r="A10" s="5" t="inlineStr">
        <is>
          <t>Contrôle (approx.)</t>
        </is>
      </c>
      <c r="B10" s="11">
        <f>IFERROR(INDEX(Courbe_de_tarage!$F$4:$F$44,MATCH($B$4,Courbe_de_tarage!$E$4:$E$44,1)),"-")</f>
        <v/>
      </c>
      <c r="C10" s="5" t="inlineStr">
        <is>
          <t>-</t>
        </is>
      </c>
      <c r="D10" s="5" t="inlineStr">
        <is>
          <t>inlet/outlet</t>
        </is>
      </c>
    </row>
    <row r="11">
      <c r="A11" s="5" t="inlineStr">
        <is>
          <t>Capacité ponceau à la clé</t>
        </is>
      </c>
      <c r="B11" s="10">
        <f>IFERROR(FORECAST(Parametres!$C$5,INDEX(Courbe_de_tarage!$C$4:$C$44,MATCH(Parametres!$C$5,Courbe_de_tarage!$A$4:$A$44,1)):INDEX(Courbe_de_tarage!$C$4:$C$44,MATCH(Parametres!$C$5,Courbe_de_tarage!$A$4:$A$44,1)+1),INDEX(Courbe_de_tarage!$A$4:$A$44,MATCH(Parametres!$C$5,Courbe_de_tarage!$A$4:$A$44,1)):INDEX(Courbe_de_tarage!$A$4:$A$44,MATCH(Parametres!$C$5,Courbe_de_tarage!$A$4:$A$44,1)+1)),IFERROR(INDEX(Courbe_de_tarage!$C$4:$C$44,MATCH(Parametres!$C$5,Courbe_de_tarage!$A$4:$A$44,1)),INDEX(Courbe_de_tarage!$C$4:$C$44,1)))</f>
        <v/>
      </c>
      <c r="C11" s="5" t="inlineStr">
        <is>
          <t>m³/s</t>
        </is>
      </c>
      <c r="D11" s="5" t="inlineStr">
        <is>
          <t>Q_pipe à HW=D</t>
        </is>
      </c>
    </row>
    <row r="12">
      <c r="A12" s="5" t="inlineStr">
        <is>
          <t>Débordement actif?</t>
        </is>
      </c>
      <c r="B12" s="11">
        <f>IF(B5&gt;Parametres!$C$18,"Oui","Non")</f>
        <v/>
      </c>
      <c r="C12" s="5" t="inlineStr">
        <is>
          <t>-</t>
        </is>
      </c>
      <c r="D12" s="5" t="inlineStr">
        <is>
          <t>HW &gt; y0</t>
        </is>
      </c>
    </row>
    <row r="13">
      <c r="A13" s="5" t="inlineStr">
        <is>
          <t>Dépasse elev_max?</t>
        </is>
      </c>
      <c r="B13" s="11">
        <f>IF(B6&gt;Parametres!$C$11,"Oui","Non")</f>
        <v/>
      </c>
      <c r="C13" s="5" t="inlineStr">
        <is>
          <t>-</t>
        </is>
      </c>
      <c r="D13" s="5" t="inlineStr">
        <is>
          <t>WSE &gt; max</t>
        </is>
      </c>
    </row>
    <row r="14"/>
    <row r="15">
      <c r="A15" t="inlineStr">
        <is>
          <t>WSE max d'orage → Routing_stockage (pas cette feuille).</t>
        </is>
      </c>
    </row>
  </sheetData>
  <mergeCells count="2">
    <mergeCell ref="A15:D15"/>
    <mergeCell ref="A2:D2"/>
  </mergeCells>
  <conditionalFormatting sqref="B13">
    <cfRule type="expression" priority="1" dxfId="0">
      <formula>B13="Oui"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42" customWidth="1" min="4" max="4"/>
    <col width="12" customWidth="1" min="5" max="5"/>
    <col width="42" customWidth="1" min="6" max="6"/>
    <col width="42" customWidth="1" min="7" max="7"/>
    <col width="34" customWidth="1" min="8" max="8"/>
    <col width="41" customWidth="1" min="9" max="9"/>
  </cols>
  <sheetData>
    <row r="1">
      <c r="A1" s="1" t="inlineStr">
        <is>
          <t>Courbe de tarage Q = f(HW) — FORMULES EXCEL depuis Parametres</t>
        </is>
      </c>
    </row>
    <row r="2">
      <c r="A2" s="2" t="inlineStr">
        <is>
          <t>Chaque ligne recalcule Q_pipe / Q_débord / S_geo quand vous changez D, n, L, cotes… Plus besoin de Python pour ça.</t>
        </is>
      </c>
    </row>
    <row r="3">
      <c r="A3" s="3" t="inlineStr">
        <is>
          <t>HW (m)</t>
        </is>
      </c>
      <c r="B3" s="3" t="inlineStr">
        <is>
          <t>WSE</t>
        </is>
      </c>
      <c r="C3" s="3" t="inlineStr">
        <is>
          <t>Q_ponceau</t>
        </is>
      </c>
      <c r="D3" s="3" t="inlineStr">
        <is>
          <t>Q_débord.</t>
        </is>
      </c>
      <c r="E3" s="3" t="inlineStr">
        <is>
          <t>Q_total</t>
        </is>
      </c>
      <c r="F3" s="3" t="inlineStr">
        <is>
          <t>Contrôle</t>
        </is>
      </c>
      <c r="G3" s="3" t="inlineStr">
        <is>
          <t>S_geo (m³)</t>
        </is>
      </c>
      <c r="H3" s="3" t="inlineStr">
        <is>
          <t>S=S_geo+Pond*HW</t>
        </is>
      </c>
      <c r="I3" s="3" t="inlineStr">
        <is>
          <t>Ind=2S/dt+Q</t>
        </is>
      </c>
    </row>
    <row r="4">
      <c r="A4" s="12">
        <f>(0/40)*(Parametres!$C$11-Parametres!$C$9)</f>
        <v/>
      </c>
      <c r="B4" s="13">
        <f>Parametres!$C$9+A4</f>
        <v/>
      </c>
      <c r="C4" s="12">
        <f>MIN(IF(A4&lt;=0,0,IF(A4&lt;0.95*Parametres!$C$5,1.811*PI()*(Parametres!$C$5/2)^2*SQRT(Parametres!$C$5)*IF(Parametres!$C$25*Parametres!$C$5&lt;=0,0,(A4/(Parametres!$C$25*Parametres!$C$5))^(1/Parametres!$C$26)),IF(A4&gt;1.2*Parametres!$C$5,1.811*PI()*(Parametres!$C$5/2)^2*SQRT(Parametres!$C$5)*SQRT(MAX(0,(A4/Parametres!$C$5-Parametres!$C$28)/Parametres!$C$27)),(1-(MIN(1,MAX(0,(A4/Parametres!$C$5-0.95)/(1.2-0.95)))))*(1.811*PI()*(Parametres!$C$5/2)^2*SQRT(Parametres!$C$5)*IF(Parametres!$C$25*Parametres!$C$5&lt;=0,0,(A4/(Parametres!$C$25*Parametres!$C$5))^(1/Parametres!$C$26)))+(MIN(1,MAX(0,(A4/Parametres!$C$5-0.95)/(1.2-0.95))))*(1.811*PI()*(Parametres!$C$5/2)^2*SQRT(Parametres!$C$5)*SQRT(MAX(0,(A4/Parametres!$C$5-Parametres!$C$28)/Parametres!$C$27)))))),IF(A4&lt;Parametres!$C$5,IF(Parametres!$C$14&lt;=0,0,(1/Parametres!$C$14)*(((Parametres!$C$5/2)^2/2)*((2*ACOS(1-2*(MIN(0.999,MAX(1E-6,A4/Parametres!$C$5)))))-SIN(2*ACOS(1-2*(MIN(0.999,MAX(1E-6,A4/Parametres!$C$5)))))))*IF(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&lt;=0,0,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^(2/3))*SQRT(Parametres!$C$13)),IF((A4-Parametres!$C$16+Parametres!$C$13*Parametres!$C$6)&lt;=0,0,PI()*(Parametres!$C$5/2)^2*SQRT((A4-Parametres!$C$16+Parametres!$C$13*Parametres!$C$6)/((1+Parametres!$C$29)/(2*9.81)+(Parametres!$C$14^2)*Parametres!$C$6/((Parametres!$C$5/4)^(4/3)))))))</f>
        <v/>
      </c>
      <c r="D4" s="12">
        <f>IF(LOWER(Parametres!$C$17)="porous",IF((MAX(0,A4-Parametres!$C$18))&lt;=0,0,((Parametres!$C$7+Parametres!$C$8*(MAX(0,A4-Parametres!$C$18)))*(MAX(0,A4-Parametres!$C$18)))*(Parametres!$C$22*Parametres!$C$21*SQRT(9.81*Parametres!$C$20*Parametres!$C$13/(1-Parametres!$C$21)))),IF(LOWER(Parametres!$C$17)="both",IF((MAX(0,A4-Parametres!$C$18))&lt;=0,0,((Parametres!$C$7+Parametres!$C$8*(MAX(0,A4-Parametres!$C$18)))*(MAX(0,A4-Parametres!$C$18)))*(Parametres!$C$22*Parametres!$C$21*SQRT(9.81*Parametres!$C$20*Parametres!$C$13/(1-Parametres!$C$21))))+IF((MAX(0,A4-Parametres!$C$18))&lt;=0,0,(1/Parametres!$C$19)*((Parametres!$C$7+Parametres!$C$8*(MAX(0,A4-Parametres!$C$18)))*(MAX(0,A4-Parametres!$C$18)))*IF((IF((Parametres!$C$7+2*(MAX(0,A4-Parametres!$C$18))*SQRT(1+Parametres!$C$8^2))&lt;=0,0,((Parametres!$C$7+Parametres!$C$8*(MAX(0,A4-Parametres!$C$18)))*(MAX(0,A4-Parametres!$C$18)))/(Parametres!$C$7+2*(MAX(0,A4-Parametres!$C$18))*SQRT(1+Parametres!$C$8^2))))&lt;=0,0,(IF((Parametres!$C$7+2*(MAX(0,A4-Parametres!$C$18))*SQRT(1+Parametres!$C$8^2))&lt;=0,0,((Parametres!$C$7+Parametres!$C$8*(MAX(0,A4-Parametres!$C$18)))*(MAX(0,A4-Parametres!$C$18)))/(Parametres!$C$7+2*(MAX(0,A4-Parametres!$C$18))*SQRT(1+Parametres!$C$8^2))))^(2/3))*SQRT(Parametres!$C$13)),IF((MAX(0,A4-Parametres!$C$18))&lt;=0,0,(1/Parametres!$C$19)*((Parametres!$C$7+Parametres!$C$8*(MAX(0,A4-Parametres!$C$18)))*(MAX(0,A4-Parametres!$C$18)))*IF((IF((Parametres!$C$7+2*(MAX(0,A4-Parametres!$C$18))*SQRT(1+Parametres!$C$8^2))&lt;=0,0,((Parametres!$C$7+Parametres!$C$8*(MAX(0,A4-Parametres!$C$18)))*(MAX(0,A4-Parametres!$C$18)))/(Parametres!$C$7+2*(MAX(0,A4-Parametres!$C$18))*SQRT(1+Parametres!$C$8^2))))&lt;=0,0,(IF((Parametres!$C$7+2*(MAX(0,A4-Parametres!$C$18))*SQRT(1+Parametres!$C$8^2))&lt;=0,0,((Parametres!$C$7+Parametres!$C$8*(MAX(0,A4-Parametres!$C$18)))*(MAX(0,A4-Parametres!$C$18)))/(Parametres!$C$7+2*(MAX(0,A4-Parametres!$C$18))*SQRT(1+Parametres!$C$8^2))))^(2/3))*SQRT(Parametres!$C$13))))</f>
        <v/>
      </c>
      <c r="E4" s="12">
        <f>C4+D4</f>
        <v/>
      </c>
      <c r="F4" s="5">
        <f>IF(IF(A4&lt;=0,0,IF(A4&lt;0.95*Parametres!$C$5,1.811*PI()*(Parametres!$C$5/2)^2*SQRT(Parametres!$C$5)*IF(Parametres!$C$25*Parametres!$C$5&lt;=0,0,(A4/(Parametres!$C$25*Parametres!$C$5))^(1/Parametres!$C$26)),IF(A4&gt;1.2*Parametres!$C$5,1.811*PI()*(Parametres!$C$5/2)^2*SQRT(Parametres!$C$5)*SQRT(MAX(0,(A4/Parametres!$C$5-Parametres!$C$28)/Parametres!$C$27)),(1-(MIN(1,MAX(0,(A4/Parametres!$C$5-0.95)/(1.2-0.95)))))*(1.811*PI()*(Parametres!$C$5/2)^2*SQRT(Parametres!$C$5)*IF(Parametres!$C$25*Parametres!$C$5&lt;=0,0,(A4/(Parametres!$C$25*Parametres!$C$5))^(1/Parametres!$C$26)))+(MIN(1,MAX(0,(A4/Parametres!$C$5-0.95)/(1.2-0.95))))*(1.811*PI()*(Parametres!$C$5/2)^2*SQRT(Parametres!$C$5)*SQRT(MAX(0,(A4/Parametres!$C$5-Parametres!$C$28)/Parametres!$C$27))))))&lt;=IF(A4&lt;Parametres!$C$5,IF(Parametres!$C$14&lt;=0,0,(1/Parametres!$C$14)*(((Parametres!$C$5/2)^2/2)*((2*ACOS(1-2*(MIN(0.999,MAX(1E-6,A4/Parametres!$C$5)))))-SIN(2*ACOS(1-2*(MIN(0.999,MAX(1E-6,A4/Parametres!$C$5)))))))*IF(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&lt;=0,0,(IF(((Parametres!$C$5/2)*(2*ACOS(1-2*(MIN(0.999,MAX(1E-6,A4/Parametres!$C$5))))))&lt;=0,0,(((Parametres!$C$5/2)^2/2)*((2*ACOS(1-2*(MIN(0.999,MAX(1E-6,A4/Parametres!$C$5)))))-SIN(2*ACOS(1-2*(MIN(0.999,MAX(1E-6,A4/Parametres!$C$5)))))))/((Parametres!$C$5/2)*(2*ACOS(1-2*(MIN(0.999,MAX(1E-6,A4/Parametres!$C$5))))))))^(2/3))*SQRT(Parametres!$C$13)),IF((A4-Parametres!$C$16+Parametres!$C$13*Parametres!$C$6)&lt;=0,0,PI()*(Parametres!$C$5/2)^2*SQRT((A4-Parametres!$C$16+Parametres!$C$13*Parametres!$C$6)/((1+Parametres!$C$29)/(2*9.81)+(Parametres!$C$14^2)*Parametres!$C$6/((Parametres!$C$5/4)^(4/3)))))),"inlet","outlet")</f>
        <v/>
      </c>
      <c r="G4" s="14">
        <f>(IF((MIN(0.999,MAX(0,MIN(A4,Parametres!$C$5)/Parametres!$C$5)))&lt;=0,0,IF(A4&gt;=Parametres!$C$5,PI()*(Parametres!$C$5/2)^2,((Parametres!$C$5/2)^2/2)*((IF((MIN(0.999,MAX(0,MIN(A4,Parametres!$C$5)/Parametres!$C$5)))&lt;=0,0,2*ACOS(1-2*(MIN(0.999,MAX(0,MIN(A4,Parametres!$C$5)/Parametres!$C$5))))))-SIN(IF((MIN(0.999,MAX(0,MIN(A4,Parametres!$C$5)/Parametres!$C$5)))&lt;=0,0,2*ACOS(1-2*(MIN(0.999,MAX(0,MIN(A4,Parametres!$C$5)/Parametres!$C$5))))))))))*Parametres!$C$6+IF((MAX(0,MIN(A4,(Parametres!$C$11-Parametres!$C$9))-(Parametres!$C$18)))&lt;=0,0,((Parametres!$C$7+Parametres!$C$8*(MAX(0,MIN(A4,(Parametres!$C$11-Parametres!$C$9))-(Parametres!$C$18))))*(MAX(0,MIN(A4,(Parametres!$C$11-Parametres!$C$9))-(Parametres!$C$18))))*Parametres!$C$6)</f>
        <v/>
      </c>
      <c r="H4" s="14">
        <f>G4+Hydrogramme_entree!$B$4*A4</f>
        <v/>
      </c>
      <c r="I4" s="14">
        <f>2*H4/(Hydrogramme_entree!$B$8*60)+E4</f>
        <v/>
      </c>
    </row>
    <row r="5">
      <c r="A5" s="12">
        <f>(1/40)*(Parametres!$C$11-Parametres!$C$9)</f>
        <v/>
      </c>
      <c r="B5" s="13">
        <f>Parametres!$C$9+A5</f>
        <v/>
      </c>
      <c r="C5" s="12">
        <f>MIN(IF(A5&lt;=0,0,IF(A5&lt;0.95*Parametres!$C$5,1.811*PI()*(Parametres!$C$5/2)^2*SQRT(Parametres!$C$5)*IF(Parametres!$C$25*Parametres!$C$5&lt;=0,0,(A5/(Parametres!$C$25*Parametres!$C$5))^(1/Parametres!$C$26)),IF(A5&gt;1.2*Parametres!$C$5,1.811*PI()*(Parametres!$C$5/2)^2*SQRT(Parametres!$C$5)*SQRT(MAX(0,(A5/Parametres!$C$5-Parametres!$C$28)/Parametres!$C$27)),(1-(MIN(1,MAX(0,(A5/Parametres!$C$5-0.95)/(1.2-0.95)))))*(1.811*PI()*(Parametres!$C$5/2)^2*SQRT(Parametres!$C$5)*IF(Parametres!$C$25*Parametres!$C$5&lt;=0,0,(A5/(Parametres!$C$25*Parametres!$C$5))^(1/Parametres!$C$26)))+(MIN(1,MAX(0,(A5/Parametres!$C$5-0.95)/(1.2-0.95))))*(1.811*PI()*(Parametres!$C$5/2)^2*SQRT(Parametres!$C$5)*SQRT(MAX(0,(A5/Parametres!$C$5-Parametres!$C$28)/Parametres!$C$27)))))),IF(A5&lt;Parametres!$C$5,IF(Parametres!$C$14&lt;=0,0,(1/Parametres!$C$14)*(((Parametres!$C$5/2)^2/2)*((2*ACOS(1-2*(MIN(0.999,MAX(1E-6,A5/Parametres!$C$5)))))-SIN(2*ACOS(1-2*(MIN(0.999,MAX(1E-6,A5/Parametres!$C$5)))))))*IF(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&lt;=0,0,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^(2/3))*SQRT(Parametres!$C$13)),IF((A5-Parametres!$C$16+Parametres!$C$13*Parametres!$C$6)&lt;=0,0,PI()*(Parametres!$C$5/2)^2*SQRT((A5-Parametres!$C$16+Parametres!$C$13*Parametres!$C$6)/((1+Parametres!$C$29)/(2*9.81)+(Parametres!$C$14^2)*Parametres!$C$6/((Parametres!$C$5/4)^(4/3)))))))</f>
        <v/>
      </c>
      <c r="D5" s="12">
        <f>IF(LOWER(Parametres!$C$17)="porous",IF((MAX(0,A5-Parametres!$C$18))&lt;=0,0,((Parametres!$C$7+Parametres!$C$8*(MAX(0,A5-Parametres!$C$18)))*(MAX(0,A5-Parametres!$C$18)))*(Parametres!$C$22*Parametres!$C$21*SQRT(9.81*Parametres!$C$20*Parametres!$C$13/(1-Parametres!$C$21)))),IF(LOWER(Parametres!$C$17)="both",IF((MAX(0,A5-Parametres!$C$18))&lt;=0,0,((Parametres!$C$7+Parametres!$C$8*(MAX(0,A5-Parametres!$C$18)))*(MAX(0,A5-Parametres!$C$18)))*(Parametres!$C$22*Parametres!$C$21*SQRT(9.81*Parametres!$C$20*Parametres!$C$13/(1-Parametres!$C$21))))+IF((MAX(0,A5-Parametres!$C$18))&lt;=0,0,(1/Parametres!$C$19)*((Parametres!$C$7+Parametres!$C$8*(MAX(0,A5-Parametres!$C$18)))*(MAX(0,A5-Parametres!$C$18)))*IF((IF((Parametres!$C$7+2*(MAX(0,A5-Parametres!$C$18))*SQRT(1+Parametres!$C$8^2))&lt;=0,0,((Parametres!$C$7+Parametres!$C$8*(MAX(0,A5-Parametres!$C$18)))*(MAX(0,A5-Parametres!$C$18)))/(Parametres!$C$7+2*(MAX(0,A5-Parametres!$C$18))*SQRT(1+Parametres!$C$8^2))))&lt;=0,0,(IF((Parametres!$C$7+2*(MAX(0,A5-Parametres!$C$18))*SQRT(1+Parametres!$C$8^2))&lt;=0,0,((Parametres!$C$7+Parametres!$C$8*(MAX(0,A5-Parametres!$C$18)))*(MAX(0,A5-Parametres!$C$18)))/(Parametres!$C$7+2*(MAX(0,A5-Parametres!$C$18))*SQRT(1+Parametres!$C$8^2))))^(2/3))*SQRT(Parametres!$C$13)),IF((MAX(0,A5-Parametres!$C$18))&lt;=0,0,(1/Parametres!$C$19)*((Parametres!$C$7+Parametres!$C$8*(MAX(0,A5-Parametres!$C$18)))*(MAX(0,A5-Parametres!$C$18)))*IF((IF((Parametres!$C$7+2*(MAX(0,A5-Parametres!$C$18))*SQRT(1+Parametres!$C$8^2))&lt;=0,0,((Parametres!$C$7+Parametres!$C$8*(MAX(0,A5-Parametres!$C$18)))*(MAX(0,A5-Parametres!$C$18)))/(Parametres!$C$7+2*(MAX(0,A5-Parametres!$C$18))*SQRT(1+Parametres!$C$8^2))))&lt;=0,0,(IF((Parametres!$C$7+2*(MAX(0,A5-Parametres!$C$18))*SQRT(1+Parametres!$C$8^2))&lt;=0,0,((Parametres!$C$7+Parametres!$C$8*(MAX(0,A5-Parametres!$C$18)))*(MAX(0,A5-Parametres!$C$18)))/(Parametres!$C$7+2*(MAX(0,A5-Parametres!$C$18))*SQRT(1+Parametres!$C$8^2))))^(2/3))*SQRT(Parametres!$C$13))))</f>
        <v/>
      </c>
      <c r="E5" s="12">
        <f>C5+D5</f>
        <v/>
      </c>
      <c r="F5" s="5">
        <f>IF(IF(A5&lt;=0,0,IF(A5&lt;0.95*Parametres!$C$5,1.811*PI()*(Parametres!$C$5/2)^2*SQRT(Parametres!$C$5)*IF(Parametres!$C$25*Parametres!$C$5&lt;=0,0,(A5/(Parametres!$C$25*Parametres!$C$5))^(1/Parametres!$C$26)),IF(A5&gt;1.2*Parametres!$C$5,1.811*PI()*(Parametres!$C$5/2)^2*SQRT(Parametres!$C$5)*SQRT(MAX(0,(A5/Parametres!$C$5-Parametres!$C$28)/Parametres!$C$27)),(1-(MIN(1,MAX(0,(A5/Parametres!$C$5-0.95)/(1.2-0.95)))))*(1.811*PI()*(Parametres!$C$5/2)^2*SQRT(Parametres!$C$5)*IF(Parametres!$C$25*Parametres!$C$5&lt;=0,0,(A5/(Parametres!$C$25*Parametres!$C$5))^(1/Parametres!$C$26)))+(MIN(1,MAX(0,(A5/Parametres!$C$5-0.95)/(1.2-0.95))))*(1.811*PI()*(Parametres!$C$5/2)^2*SQRT(Parametres!$C$5)*SQRT(MAX(0,(A5/Parametres!$C$5-Parametres!$C$28)/Parametres!$C$27))))))&lt;=IF(A5&lt;Parametres!$C$5,IF(Parametres!$C$14&lt;=0,0,(1/Parametres!$C$14)*(((Parametres!$C$5/2)^2/2)*((2*ACOS(1-2*(MIN(0.999,MAX(1E-6,A5/Parametres!$C$5)))))-SIN(2*ACOS(1-2*(MIN(0.999,MAX(1E-6,A5/Parametres!$C$5)))))))*IF(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&lt;=0,0,(IF(((Parametres!$C$5/2)*(2*ACOS(1-2*(MIN(0.999,MAX(1E-6,A5/Parametres!$C$5))))))&lt;=0,0,(((Parametres!$C$5/2)^2/2)*((2*ACOS(1-2*(MIN(0.999,MAX(1E-6,A5/Parametres!$C$5)))))-SIN(2*ACOS(1-2*(MIN(0.999,MAX(1E-6,A5/Parametres!$C$5)))))))/((Parametres!$C$5/2)*(2*ACOS(1-2*(MIN(0.999,MAX(1E-6,A5/Parametres!$C$5))))))))^(2/3))*SQRT(Parametres!$C$13)),IF((A5-Parametres!$C$16+Parametres!$C$13*Parametres!$C$6)&lt;=0,0,PI()*(Parametres!$C$5/2)^2*SQRT((A5-Parametres!$C$16+Parametres!$C$13*Parametres!$C$6)/((1+Parametres!$C$29)/(2*9.81)+(Parametres!$C$14^2)*Parametres!$C$6/((Parametres!$C$5/4)^(4/3)))))),"inlet","outlet")</f>
        <v/>
      </c>
      <c r="G5" s="14">
        <f>(IF((MIN(0.999,MAX(0,MIN(A5,Parametres!$C$5)/Parametres!$C$5)))&lt;=0,0,IF(A5&gt;=Parametres!$C$5,PI()*(Parametres!$C$5/2)^2,((Parametres!$C$5/2)^2/2)*((IF((MIN(0.999,MAX(0,MIN(A5,Parametres!$C$5)/Parametres!$C$5)))&lt;=0,0,2*ACOS(1-2*(MIN(0.999,MAX(0,MIN(A5,Parametres!$C$5)/Parametres!$C$5))))))-SIN(IF((MIN(0.999,MAX(0,MIN(A5,Parametres!$C$5)/Parametres!$C$5)))&lt;=0,0,2*ACOS(1-2*(MIN(0.999,MAX(0,MIN(A5,Parametres!$C$5)/Parametres!$C$5))))))))))*Parametres!$C$6+IF((MAX(0,MIN(A5,(Parametres!$C$11-Parametres!$C$9))-(Parametres!$C$18)))&lt;=0,0,((Parametres!$C$7+Parametres!$C$8*(MAX(0,MIN(A5,(Parametres!$C$11-Parametres!$C$9))-(Parametres!$C$18))))*(MAX(0,MIN(A5,(Parametres!$C$11-Parametres!$C$9))-(Parametres!$C$18))))*Parametres!$C$6)</f>
        <v/>
      </c>
      <c r="H5" s="14">
        <f>G5+Hydrogramme_entree!$B$4*A5</f>
        <v/>
      </c>
      <c r="I5" s="14">
        <f>2*H5/(Hydrogramme_entree!$B$8*60)+E5</f>
        <v/>
      </c>
    </row>
    <row r="6">
      <c r="A6" s="12">
        <f>(2/40)*(Parametres!$C$11-Parametres!$C$9)</f>
        <v/>
      </c>
      <c r="B6" s="13">
        <f>Parametres!$C$9+A6</f>
        <v/>
      </c>
      <c r="C6" s="12">
        <f>MIN(IF(A6&lt;=0,0,IF(A6&lt;0.95*Parametres!$C$5,1.811*PI()*(Parametres!$C$5/2)^2*SQRT(Parametres!$C$5)*IF(Parametres!$C$25*Parametres!$C$5&lt;=0,0,(A6/(Parametres!$C$25*Parametres!$C$5))^(1/Parametres!$C$26)),IF(A6&gt;1.2*Parametres!$C$5,1.811*PI()*(Parametres!$C$5/2)^2*SQRT(Parametres!$C$5)*SQRT(MAX(0,(A6/Parametres!$C$5-Parametres!$C$28)/Parametres!$C$27)),(1-(MIN(1,MAX(0,(A6/Parametres!$C$5-0.95)/(1.2-0.95)))))*(1.811*PI()*(Parametres!$C$5/2)^2*SQRT(Parametres!$C$5)*IF(Parametres!$C$25*Parametres!$C$5&lt;=0,0,(A6/(Parametres!$C$25*Parametres!$C$5))^(1/Parametres!$C$26)))+(MIN(1,MAX(0,(A6/Parametres!$C$5-0.95)/(1.2-0.95))))*(1.811*PI()*(Parametres!$C$5/2)^2*SQRT(Parametres!$C$5)*SQRT(MAX(0,(A6/Parametres!$C$5-Parametres!$C$28)/Parametres!$C$27)))))),IF(A6&lt;Parametres!$C$5,IF(Parametres!$C$14&lt;=0,0,(1/Parametres!$C$14)*(((Parametres!$C$5/2)^2/2)*((2*ACOS(1-2*(MIN(0.999,MAX(1E-6,A6/Parametres!$C$5)))))-SIN(2*ACOS(1-2*(MIN(0.999,MAX(1E-6,A6/Parametres!$C$5)))))))*IF(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&lt;=0,0,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^(2/3))*SQRT(Parametres!$C$13)),IF((A6-Parametres!$C$16+Parametres!$C$13*Parametres!$C$6)&lt;=0,0,PI()*(Parametres!$C$5/2)^2*SQRT((A6-Parametres!$C$16+Parametres!$C$13*Parametres!$C$6)/((1+Parametres!$C$29)/(2*9.81)+(Parametres!$C$14^2)*Parametres!$C$6/((Parametres!$C$5/4)^(4/3)))))))</f>
        <v/>
      </c>
      <c r="D6" s="12">
        <f>IF(LOWER(Parametres!$C$17)="porous",IF((MAX(0,A6-Parametres!$C$18))&lt;=0,0,((Parametres!$C$7+Parametres!$C$8*(MAX(0,A6-Parametres!$C$18)))*(MAX(0,A6-Parametres!$C$18)))*(Parametres!$C$22*Parametres!$C$21*SQRT(9.81*Parametres!$C$20*Parametres!$C$13/(1-Parametres!$C$21)))),IF(LOWER(Parametres!$C$17)="both",IF((MAX(0,A6-Parametres!$C$18))&lt;=0,0,((Parametres!$C$7+Parametres!$C$8*(MAX(0,A6-Parametres!$C$18)))*(MAX(0,A6-Parametres!$C$18)))*(Parametres!$C$22*Parametres!$C$21*SQRT(9.81*Parametres!$C$20*Parametres!$C$13/(1-Parametres!$C$21))))+IF((MAX(0,A6-Parametres!$C$18))&lt;=0,0,(1/Parametres!$C$19)*((Parametres!$C$7+Parametres!$C$8*(MAX(0,A6-Parametres!$C$18)))*(MAX(0,A6-Parametres!$C$18)))*IF((IF((Parametres!$C$7+2*(MAX(0,A6-Parametres!$C$18))*SQRT(1+Parametres!$C$8^2))&lt;=0,0,((Parametres!$C$7+Parametres!$C$8*(MAX(0,A6-Parametres!$C$18)))*(MAX(0,A6-Parametres!$C$18)))/(Parametres!$C$7+2*(MAX(0,A6-Parametres!$C$18))*SQRT(1+Parametres!$C$8^2))))&lt;=0,0,(IF((Parametres!$C$7+2*(MAX(0,A6-Parametres!$C$18))*SQRT(1+Parametres!$C$8^2))&lt;=0,0,((Parametres!$C$7+Parametres!$C$8*(MAX(0,A6-Parametres!$C$18)))*(MAX(0,A6-Parametres!$C$18)))/(Parametres!$C$7+2*(MAX(0,A6-Parametres!$C$18))*SQRT(1+Parametres!$C$8^2))))^(2/3))*SQRT(Parametres!$C$13)),IF((MAX(0,A6-Parametres!$C$18))&lt;=0,0,(1/Parametres!$C$19)*((Parametres!$C$7+Parametres!$C$8*(MAX(0,A6-Parametres!$C$18)))*(MAX(0,A6-Parametres!$C$18)))*IF((IF((Parametres!$C$7+2*(MAX(0,A6-Parametres!$C$18))*SQRT(1+Parametres!$C$8^2))&lt;=0,0,((Parametres!$C$7+Parametres!$C$8*(MAX(0,A6-Parametres!$C$18)))*(MAX(0,A6-Parametres!$C$18)))/(Parametres!$C$7+2*(MAX(0,A6-Parametres!$C$18))*SQRT(1+Parametres!$C$8^2))))&lt;=0,0,(IF((Parametres!$C$7+2*(MAX(0,A6-Parametres!$C$18))*SQRT(1+Parametres!$C$8^2))&lt;=0,0,((Parametres!$C$7+Parametres!$C$8*(MAX(0,A6-Parametres!$C$18)))*(MAX(0,A6-Parametres!$C$18)))/(Parametres!$C$7+2*(MAX(0,A6-Parametres!$C$18))*SQRT(1+Parametres!$C$8^2))))^(2/3))*SQRT(Parametres!$C$13))))</f>
        <v/>
      </c>
      <c r="E6" s="12">
        <f>C6+D6</f>
        <v/>
      </c>
      <c r="F6" s="5">
        <f>IF(IF(A6&lt;=0,0,IF(A6&lt;0.95*Parametres!$C$5,1.811*PI()*(Parametres!$C$5/2)^2*SQRT(Parametres!$C$5)*IF(Parametres!$C$25*Parametres!$C$5&lt;=0,0,(A6/(Parametres!$C$25*Parametres!$C$5))^(1/Parametres!$C$26)),IF(A6&gt;1.2*Parametres!$C$5,1.811*PI()*(Parametres!$C$5/2)^2*SQRT(Parametres!$C$5)*SQRT(MAX(0,(A6/Parametres!$C$5-Parametres!$C$28)/Parametres!$C$27)),(1-(MIN(1,MAX(0,(A6/Parametres!$C$5-0.95)/(1.2-0.95)))))*(1.811*PI()*(Parametres!$C$5/2)^2*SQRT(Parametres!$C$5)*IF(Parametres!$C$25*Parametres!$C$5&lt;=0,0,(A6/(Parametres!$C$25*Parametres!$C$5))^(1/Parametres!$C$26)))+(MIN(1,MAX(0,(A6/Parametres!$C$5-0.95)/(1.2-0.95))))*(1.811*PI()*(Parametres!$C$5/2)^2*SQRT(Parametres!$C$5)*SQRT(MAX(0,(A6/Parametres!$C$5-Parametres!$C$28)/Parametres!$C$27))))))&lt;=IF(A6&lt;Parametres!$C$5,IF(Parametres!$C$14&lt;=0,0,(1/Parametres!$C$14)*(((Parametres!$C$5/2)^2/2)*((2*ACOS(1-2*(MIN(0.999,MAX(1E-6,A6/Parametres!$C$5)))))-SIN(2*ACOS(1-2*(MIN(0.999,MAX(1E-6,A6/Parametres!$C$5)))))))*IF(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&lt;=0,0,(IF(((Parametres!$C$5/2)*(2*ACOS(1-2*(MIN(0.999,MAX(1E-6,A6/Parametres!$C$5))))))&lt;=0,0,(((Parametres!$C$5/2)^2/2)*((2*ACOS(1-2*(MIN(0.999,MAX(1E-6,A6/Parametres!$C$5)))))-SIN(2*ACOS(1-2*(MIN(0.999,MAX(1E-6,A6/Parametres!$C$5)))))))/((Parametres!$C$5/2)*(2*ACOS(1-2*(MIN(0.999,MAX(1E-6,A6/Parametres!$C$5))))))))^(2/3))*SQRT(Parametres!$C$13)),IF((A6-Parametres!$C$16+Parametres!$C$13*Parametres!$C$6)&lt;=0,0,PI()*(Parametres!$C$5/2)^2*SQRT((A6-Parametres!$C$16+Parametres!$C$13*Parametres!$C$6)/((1+Parametres!$C$29)/(2*9.81)+(Parametres!$C$14^2)*Parametres!$C$6/((Parametres!$C$5/4)^(4/3)))))),"inlet","outlet")</f>
        <v/>
      </c>
      <c r="G6" s="14">
        <f>(IF((MIN(0.999,MAX(0,MIN(A6,Parametres!$C$5)/Parametres!$C$5)))&lt;=0,0,IF(A6&gt;=Parametres!$C$5,PI()*(Parametres!$C$5/2)^2,((Parametres!$C$5/2)^2/2)*((IF((MIN(0.999,MAX(0,MIN(A6,Parametres!$C$5)/Parametres!$C$5)))&lt;=0,0,2*ACOS(1-2*(MIN(0.999,MAX(0,MIN(A6,Parametres!$C$5)/Parametres!$C$5))))))-SIN(IF((MIN(0.999,MAX(0,MIN(A6,Parametres!$C$5)/Parametres!$C$5)))&lt;=0,0,2*ACOS(1-2*(MIN(0.999,MAX(0,MIN(A6,Parametres!$C$5)/Parametres!$C$5))))))))))*Parametres!$C$6+IF((MAX(0,MIN(A6,(Parametres!$C$11-Parametres!$C$9))-(Parametres!$C$18)))&lt;=0,0,((Parametres!$C$7+Parametres!$C$8*(MAX(0,MIN(A6,(Parametres!$C$11-Parametres!$C$9))-(Parametres!$C$18))))*(MAX(0,MIN(A6,(Parametres!$C$11-Parametres!$C$9))-(Parametres!$C$18))))*Parametres!$C$6)</f>
        <v/>
      </c>
      <c r="H6" s="14">
        <f>G6+Hydrogramme_entree!$B$4*A6</f>
        <v/>
      </c>
      <c r="I6" s="14">
        <f>2*H6/(Hydrogramme_entree!$B$8*60)+E6</f>
        <v/>
      </c>
    </row>
    <row r="7">
      <c r="A7" s="12">
        <f>(3/40)*(Parametres!$C$11-Parametres!$C$9)</f>
        <v/>
      </c>
      <c r="B7" s="13">
        <f>Parametres!$C$9+A7</f>
        <v/>
      </c>
      <c r="C7" s="12">
        <f>MIN(IF(A7&lt;=0,0,IF(A7&lt;0.95*Parametres!$C$5,1.811*PI()*(Parametres!$C$5/2)^2*SQRT(Parametres!$C$5)*IF(Parametres!$C$25*Parametres!$C$5&lt;=0,0,(A7/(Parametres!$C$25*Parametres!$C$5))^(1/Parametres!$C$26)),IF(A7&gt;1.2*Parametres!$C$5,1.811*PI()*(Parametres!$C$5/2)^2*SQRT(Parametres!$C$5)*SQRT(MAX(0,(A7/Parametres!$C$5-Parametres!$C$28)/Parametres!$C$27)),(1-(MIN(1,MAX(0,(A7/Parametres!$C$5-0.95)/(1.2-0.95)))))*(1.811*PI()*(Parametres!$C$5/2)^2*SQRT(Parametres!$C$5)*IF(Parametres!$C$25*Parametres!$C$5&lt;=0,0,(A7/(Parametres!$C$25*Parametres!$C$5))^(1/Parametres!$C$26)))+(MIN(1,MAX(0,(A7/Parametres!$C$5-0.95)/(1.2-0.95))))*(1.811*PI()*(Parametres!$C$5/2)^2*SQRT(Parametres!$C$5)*SQRT(MAX(0,(A7/Parametres!$C$5-Parametres!$C$28)/Parametres!$C$27)))))),IF(A7&lt;Parametres!$C$5,IF(Parametres!$C$14&lt;=0,0,(1/Parametres!$C$14)*(((Parametres!$C$5/2)^2/2)*((2*ACOS(1-2*(MIN(0.999,MAX(1E-6,A7/Parametres!$C$5)))))-SIN(2*ACOS(1-2*(MIN(0.999,MAX(1E-6,A7/Parametres!$C$5)))))))*IF(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&lt;=0,0,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^(2/3))*SQRT(Parametres!$C$13)),IF((A7-Parametres!$C$16+Parametres!$C$13*Parametres!$C$6)&lt;=0,0,PI()*(Parametres!$C$5/2)^2*SQRT((A7-Parametres!$C$16+Parametres!$C$13*Parametres!$C$6)/((1+Parametres!$C$29)/(2*9.81)+(Parametres!$C$14^2)*Parametres!$C$6/((Parametres!$C$5/4)^(4/3)))))))</f>
        <v/>
      </c>
      <c r="D7" s="12">
        <f>IF(LOWER(Parametres!$C$17)="porous",IF((MAX(0,A7-Parametres!$C$18))&lt;=0,0,((Parametres!$C$7+Parametres!$C$8*(MAX(0,A7-Parametres!$C$18)))*(MAX(0,A7-Parametres!$C$18)))*(Parametres!$C$22*Parametres!$C$21*SQRT(9.81*Parametres!$C$20*Parametres!$C$13/(1-Parametres!$C$21)))),IF(LOWER(Parametres!$C$17)="both",IF((MAX(0,A7-Parametres!$C$18))&lt;=0,0,((Parametres!$C$7+Parametres!$C$8*(MAX(0,A7-Parametres!$C$18)))*(MAX(0,A7-Parametres!$C$18)))*(Parametres!$C$22*Parametres!$C$21*SQRT(9.81*Parametres!$C$20*Parametres!$C$13/(1-Parametres!$C$21))))+IF((MAX(0,A7-Parametres!$C$18))&lt;=0,0,(1/Parametres!$C$19)*((Parametres!$C$7+Parametres!$C$8*(MAX(0,A7-Parametres!$C$18)))*(MAX(0,A7-Parametres!$C$18)))*IF((IF((Parametres!$C$7+2*(MAX(0,A7-Parametres!$C$18))*SQRT(1+Parametres!$C$8^2))&lt;=0,0,((Parametres!$C$7+Parametres!$C$8*(MAX(0,A7-Parametres!$C$18)))*(MAX(0,A7-Parametres!$C$18)))/(Parametres!$C$7+2*(MAX(0,A7-Parametres!$C$18))*SQRT(1+Parametres!$C$8^2))))&lt;=0,0,(IF((Parametres!$C$7+2*(MAX(0,A7-Parametres!$C$18))*SQRT(1+Parametres!$C$8^2))&lt;=0,0,((Parametres!$C$7+Parametres!$C$8*(MAX(0,A7-Parametres!$C$18)))*(MAX(0,A7-Parametres!$C$18)))/(Parametres!$C$7+2*(MAX(0,A7-Parametres!$C$18))*SQRT(1+Parametres!$C$8^2))))^(2/3))*SQRT(Parametres!$C$13)),IF((MAX(0,A7-Parametres!$C$18))&lt;=0,0,(1/Parametres!$C$19)*((Parametres!$C$7+Parametres!$C$8*(MAX(0,A7-Parametres!$C$18)))*(MAX(0,A7-Parametres!$C$18)))*IF((IF((Parametres!$C$7+2*(MAX(0,A7-Parametres!$C$18))*SQRT(1+Parametres!$C$8^2))&lt;=0,0,((Parametres!$C$7+Parametres!$C$8*(MAX(0,A7-Parametres!$C$18)))*(MAX(0,A7-Parametres!$C$18)))/(Parametres!$C$7+2*(MAX(0,A7-Parametres!$C$18))*SQRT(1+Parametres!$C$8^2))))&lt;=0,0,(IF((Parametres!$C$7+2*(MAX(0,A7-Parametres!$C$18))*SQRT(1+Parametres!$C$8^2))&lt;=0,0,((Parametres!$C$7+Parametres!$C$8*(MAX(0,A7-Parametres!$C$18)))*(MAX(0,A7-Parametres!$C$18)))/(Parametres!$C$7+2*(MAX(0,A7-Parametres!$C$18))*SQRT(1+Parametres!$C$8^2))))^(2/3))*SQRT(Parametres!$C$13))))</f>
        <v/>
      </c>
      <c r="E7" s="12">
        <f>C7+D7</f>
        <v/>
      </c>
      <c r="F7" s="5">
        <f>IF(IF(A7&lt;=0,0,IF(A7&lt;0.95*Parametres!$C$5,1.811*PI()*(Parametres!$C$5/2)^2*SQRT(Parametres!$C$5)*IF(Parametres!$C$25*Parametres!$C$5&lt;=0,0,(A7/(Parametres!$C$25*Parametres!$C$5))^(1/Parametres!$C$26)),IF(A7&gt;1.2*Parametres!$C$5,1.811*PI()*(Parametres!$C$5/2)^2*SQRT(Parametres!$C$5)*SQRT(MAX(0,(A7/Parametres!$C$5-Parametres!$C$28)/Parametres!$C$27)),(1-(MIN(1,MAX(0,(A7/Parametres!$C$5-0.95)/(1.2-0.95)))))*(1.811*PI()*(Parametres!$C$5/2)^2*SQRT(Parametres!$C$5)*IF(Parametres!$C$25*Parametres!$C$5&lt;=0,0,(A7/(Parametres!$C$25*Parametres!$C$5))^(1/Parametres!$C$26)))+(MIN(1,MAX(0,(A7/Parametres!$C$5-0.95)/(1.2-0.95))))*(1.811*PI()*(Parametres!$C$5/2)^2*SQRT(Parametres!$C$5)*SQRT(MAX(0,(A7/Parametres!$C$5-Parametres!$C$28)/Parametres!$C$27))))))&lt;=IF(A7&lt;Parametres!$C$5,IF(Parametres!$C$14&lt;=0,0,(1/Parametres!$C$14)*(((Parametres!$C$5/2)^2/2)*((2*ACOS(1-2*(MIN(0.999,MAX(1E-6,A7/Parametres!$C$5)))))-SIN(2*ACOS(1-2*(MIN(0.999,MAX(1E-6,A7/Parametres!$C$5)))))))*IF(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&lt;=0,0,(IF(((Parametres!$C$5/2)*(2*ACOS(1-2*(MIN(0.999,MAX(1E-6,A7/Parametres!$C$5))))))&lt;=0,0,(((Parametres!$C$5/2)^2/2)*((2*ACOS(1-2*(MIN(0.999,MAX(1E-6,A7/Parametres!$C$5)))))-SIN(2*ACOS(1-2*(MIN(0.999,MAX(1E-6,A7/Parametres!$C$5)))))))/((Parametres!$C$5/2)*(2*ACOS(1-2*(MIN(0.999,MAX(1E-6,A7/Parametres!$C$5))))))))^(2/3))*SQRT(Parametres!$C$13)),IF((A7-Parametres!$C$16+Parametres!$C$13*Parametres!$C$6)&lt;=0,0,PI()*(Parametres!$C$5/2)^2*SQRT((A7-Parametres!$C$16+Parametres!$C$13*Parametres!$C$6)/((1+Parametres!$C$29)/(2*9.81)+(Parametres!$C$14^2)*Parametres!$C$6/((Parametres!$C$5/4)^(4/3)))))),"inlet","outlet")</f>
        <v/>
      </c>
      <c r="G7" s="14">
        <f>(IF((MIN(0.999,MAX(0,MIN(A7,Parametres!$C$5)/Parametres!$C$5)))&lt;=0,0,IF(A7&gt;=Parametres!$C$5,PI()*(Parametres!$C$5/2)^2,((Parametres!$C$5/2)^2/2)*((IF((MIN(0.999,MAX(0,MIN(A7,Parametres!$C$5)/Parametres!$C$5)))&lt;=0,0,2*ACOS(1-2*(MIN(0.999,MAX(0,MIN(A7,Parametres!$C$5)/Parametres!$C$5))))))-SIN(IF((MIN(0.999,MAX(0,MIN(A7,Parametres!$C$5)/Parametres!$C$5)))&lt;=0,0,2*ACOS(1-2*(MIN(0.999,MAX(0,MIN(A7,Parametres!$C$5)/Parametres!$C$5))))))))))*Parametres!$C$6+IF((MAX(0,MIN(A7,(Parametres!$C$11-Parametres!$C$9))-(Parametres!$C$18)))&lt;=0,0,((Parametres!$C$7+Parametres!$C$8*(MAX(0,MIN(A7,(Parametres!$C$11-Parametres!$C$9))-(Parametres!$C$18))))*(MAX(0,MIN(A7,(Parametres!$C$11-Parametres!$C$9))-(Parametres!$C$18))))*Parametres!$C$6)</f>
        <v/>
      </c>
      <c r="H7" s="14">
        <f>G7+Hydrogramme_entree!$B$4*A7</f>
        <v/>
      </c>
      <c r="I7" s="14">
        <f>2*H7/(Hydrogramme_entree!$B$8*60)+E7</f>
        <v/>
      </c>
    </row>
    <row r="8">
      <c r="A8" s="12">
        <f>(4/40)*(Parametres!$C$11-Parametres!$C$9)</f>
        <v/>
      </c>
      <c r="B8" s="13">
        <f>Parametres!$C$9+A8</f>
        <v/>
      </c>
      <c r="C8" s="12">
        <f>MIN(IF(A8&lt;=0,0,IF(A8&lt;0.95*Parametres!$C$5,1.811*PI()*(Parametres!$C$5/2)^2*SQRT(Parametres!$C$5)*IF(Parametres!$C$25*Parametres!$C$5&lt;=0,0,(A8/(Parametres!$C$25*Parametres!$C$5))^(1/Parametres!$C$26)),IF(A8&gt;1.2*Parametres!$C$5,1.811*PI()*(Parametres!$C$5/2)^2*SQRT(Parametres!$C$5)*SQRT(MAX(0,(A8/Parametres!$C$5-Parametres!$C$28)/Parametres!$C$27)),(1-(MIN(1,MAX(0,(A8/Parametres!$C$5-0.95)/(1.2-0.95)))))*(1.811*PI()*(Parametres!$C$5/2)^2*SQRT(Parametres!$C$5)*IF(Parametres!$C$25*Parametres!$C$5&lt;=0,0,(A8/(Parametres!$C$25*Parametres!$C$5))^(1/Parametres!$C$26)))+(MIN(1,MAX(0,(A8/Parametres!$C$5-0.95)/(1.2-0.95))))*(1.811*PI()*(Parametres!$C$5/2)^2*SQRT(Parametres!$C$5)*SQRT(MAX(0,(A8/Parametres!$C$5-Parametres!$C$28)/Parametres!$C$27)))))),IF(A8&lt;Parametres!$C$5,IF(Parametres!$C$14&lt;=0,0,(1/Parametres!$C$14)*(((Parametres!$C$5/2)^2/2)*((2*ACOS(1-2*(MIN(0.999,MAX(1E-6,A8/Parametres!$C$5)))))-SIN(2*ACOS(1-2*(MIN(0.999,MAX(1E-6,A8/Parametres!$C$5)))))))*IF(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&lt;=0,0,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^(2/3))*SQRT(Parametres!$C$13)),IF((A8-Parametres!$C$16+Parametres!$C$13*Parametres!$C$6)&lt;=0,0,PI()*(Parametres!$C$5/2)^2*SQRT((A8-Parametres!$C$16+Parametres!$C$13*Parametres!$C$6)/((1+Parametres!$C$29)/(2*9.81)+(Parametres!$C$14^2)*Parametres!$C$6/((Parametres!$C$5/4)^(4/3)))))))</f>
        <v/>
      </c>
      <c r="D8" s="12">
        <f>IF(LOWER(Parametres!$C$17)="porous",IF((MAX(0,A8-Parametres!$C$18))&lt;=0,0,((Parametres!$C$7+Parametres!$C$8*(MAX(0,A8-Parametres!$C$18)))*(MAX(0,A8-Parametres!$C$18)))*(Parametres!$C$22*Parametres!$C$21*SQRT(9.81*Parametres!$C$20*Parametres!$C$13/(1-Parametres!$C$21)))),IF(LOWER(Parametres!$C$17)="both",IF((MAX(0,A8-Parametres!$C$18))&lt;=0,0,((Parametres!$C$7+Parametres!$C$8*(MAX(0,A8-Parametres!$C$18)))*(MAX(0,A8-Parametres!$C$18)))*(Parametres!$C$22*Parametres!$C$21*SQRT(9.81*Parametres!$C$20*Parametres!$C$13/(1-Parametres!$C$21))))+IF((MAX(0,A8-Parametres!$C$18))&lt;=0,0,(1/Parametres!$C$19)*((Parametres!$C$7+Parametres!$C$8*(MAX(0,A8-Parametres!$C$18)))*(MAX(0,A8-Parametres!$C$18)))*IF((IF((Parametres!$C$7+2*(MAX(0,A8-Parametres!$C$18))*SQRT(1+Parametres!$C$8^2))&lt;=0,0,((Parametres!$C$7+Parametres!$C$8*(MAX(0,A8-Parametres!$C$18)))*(MAX(0,A8-Parametres!$C$18)))/(Parametres!$C$7+2*(MAX(0,A8-Parametres!$C$18))*SQRT(1+Parametres!$C$8^2))))&lt;=0,0,(IF((Parametres!$C$7+2*(MAX(0,A8-Parametres!$C$18))*SQRT(1+Parametres!$C$8^2))&lt;=0,0,((Parametres!$C$7+Parametres!$C$8*(MAX(0,A8-Parametres!$C$18)))*(MAX(0,A8-Parametres!$C$18)))/(Parametres!$C$7+2*(MAX(0,A8-Parametres!$C$18))*SQRT(1+Parametres!$C$8^2))))^(2/3))*SQRT(Parametres!$C$13)),IF((MAX(0,A8-Parametres!$C$18))&lt;=0,0,(1/Parametres!$C$19)*((Parametres!$C$7+Parametres!$C$8*(MAX(0,A8-Parametres!$C$18)))*(MAX(0,A8-Parametres!$C$18)))*IF((IF((Parametres!$C$7+2*(MAX(0,A8-Parametres!$C$18))*SQRT(1+Parametres!$C$8^2))&lt;=0,0,((Parametres!$C$7+Parametres!$C$8*(MAX(0,A8-Parametres!$C$18)))*(MAX(0,A8-Parametres!$C$18)))/(Parametres!$C$7+2*(MAX(0,A8-Parametres!$C$18))*SQRT(1+Parametres!$C$8^2))))&lt;=0,0,(IF((Parametres!$C$7+2*(MAX(0,A8-Parametres!$C$18))*SQRT(1+Parametres!$C$8^2))&lt;=0,0,((Parametres!$C$7+Parametres!$C$8*(MAX(0,A8-Parametres!$C$18)))*(MAX(0,A8-Parametres!$C$18)))/(Parametres!$C$7+2*(MAX(0,A8-Parametres!$C$18))*SQRT(1+Parametres!$C$8^2))))^(2/3))*SQRT(Parametres!$C$13))))</f>
        <v/>
      </c>
      <c r="E8" s="12">
        <f>C8+D8</f>
        <v/>
      </c>
      <c r="F8" s="5">
        <f>IF(IF(A8&lt;=0,0,IF(A8&lt;0.95*Parametres!$C$5,1.811*PI()*(Parametres!$C$5/2)^2*SQRT(Parametres!$C$5)*IF(Parametres!$C$25*Parametres!$C$5&lt;=0,0,(A8/(Parametres!$C$25*Parametres!$C$5))^(1/Parametres!$C$26)),IF(A8&gt;1.2*Parametres!$C$5,1.811*PI()*(Parametres!$C$5/2)^2*SQRT(Parametres!$C$5)*SQRT(MAX(0,(A8/Parametres!$C$5-Parametres!$C$28)/Parametres!$C$27)),(1-(MIN(1,MAX(0,(A8/Parametres!$C$5-0.95)/(1.2-0.95)))))*(1.811*PI()*(Parametres!$C$5/2)^2*SQRT(Parametres!$C$5)*IF(Parametres!$C$25*Parametres!$C$5&lt;=0,0,(A8/(Parametres!$C$25*Parametres!$C$5))^(1/Parametres!$C$26)))+(MIN(1,MAX(0,(A8/Parametres!$C$5-0.95)/(1.2-0.95))))*(1.811*PI()*(Parametres!$C$5/2)^2*SQRT(Parametres!$C$5)*SQRT(MAX(0,(A8/Parametres!$C$5-Parametres!$C$28)/Parametres!$C$27))))))&lt;=IF(A8&lt;Parametres!$C$5,IF(Parametres!$C$14&lt;=0,0,(1/Parametres!$C$14)*(((Parametres!$C$5/2)^2/2)*((2*ACOS(1-2*(MIN(0.999,MAX(1E-6,A8/Parametres!$C$5)))))-SIN(2*ACOS(1-2*(MIN(0.999,MAX(1E-6,A8/Parametres!$C$5)))))))*IF(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&lt;=0,0,(IF(((Parametres!$C$5/2)*(2*ACOS(1-2*(MIN(0.999,MAX(1E-6,A8/Parametres!$C$5))))))&lt;=0,0,(((Parametres!$C$5/2)^2/2)*((2*ACOS(1-2*(MIN(0.999,MAX(1E-6,A8/Parametres!$C$5)))))-SIN(2*ACOS(1-2*(MIN(0.999,MAX(1E-6,A8/Parametres!$C$5)))))))/((Parametres!$C$5/2)*(2*ACOS(1-2*(MIN(0.999,MAX(1E-6,A8/Parametres!$C$5))))))))^(2/3))*SQRT(Parametres!$C$13)),IF((A8-Parametres!$C$16+Parametres!$C$13*Parametres!$C$6)&lt;=0,0,PI()*(Parametres!$C$5/2)^2*SQRT((A8-Parametres!$C$16+Parametres!$C$13*Parametres!$C$6)/((1+Parametres!$C$29)/(2*9.81)+(Parametres!$C$14^2)*Parametres!$C$6/((Parametres!$C$5/4)^(4/3)))))),"inlet","outlet")</f>
        <v/>
      </c>
      <c r="G8" s="14">
        <f>(IF((MIN(0.999,MAX(0,MIN(A8,Parametres!$C$5)/Parametres!$C$5)))&lt;=0,0,IF(A8&gt;=Parametres!$C$5,PI()*(Parametres!$C$5/2)^2,((Parametres!$C$5/2)^2/2)*((IF((MIN(0.999,MAX(0,MIN(A8,Parametres!$C$5)/Parametres!$C$5)))&lt;=0,0,2*ACOS(1-2*(MIN(0.999,MAX(0,MIN(A8,Parametres!$C$5)/Parametres!$C$5))))))-SIN(IF((MIN(0.999,MAX(0,MIN(A8,Parametres!$C$5)/Parametres!$C$5)))&lt;=0,0,2*ACOS(1-2*(MIN(0.999,MAX(0,MIN(A8,Parametres!$C$5)/Parametres!$C$5))))))))))*Parametres!$C$6+IF((MAX(0,MIN(A8,(Parametres!$C$11-Parametres!$C$9))-(Parametres!$C$18)))&lt;=0,0,((Parametres!$C$7+Parametres!$C$8*(MAX(0,MIN(A8,(Parametres!$C$11-Parametres!$C$9))-(Parametres!$C$18))))*(MAX(0,MIN(A8,(Parametres!$C$11-Parametres!$C$9))-(Parametres!$C$18))))*Parametres!$C$6)</f>
        <v/>
      </c>
      <c r="H8" s="14">
        <f>G8+Hydrogramme_entree!$B$4*A8</f>
        <v/>
      </c>
      <c r="I8" s="14">
        <f>2*H8/(Hydrogramme_entree!$B$8*60)+E8</f>
        <v/>
      </c>
    </row>
    <row r="9">
      <c r="A9" s="12">
        <f>(5/40)*(Parametres!$C$11-Parametres!$C$9)</f>
        <v/>
      </c>
      <c r="B9" s="13">
        <f>Parametres!$C$9+A9</f>
        <v/>
      </c>
      <c r="C9" s="12">
        <f>MIN(IF(A9&lt;=0,0,IF(A9&lt;0.95*Parametres!$C$5,1.811*PI()*(Parametres!$C$5/2)^2*SQRT(Parametres!$C$5)*IF(Parametres!$C$25*Parametres!$C$5&lt;=0,0,(A9/(Parametres!$C$25*Parametres!$C$5))^(1/Parametres!$C$26)),IF(A9&gt;1.2*Parametres!$C$5,1.811*PI()*(Parametres!$C$5/2)^2*SQRT(Parametres!$C$5)*SQRT(MAX(0,(A9/Parametres!$C$5-Parametres!$C$28)/Parametres!$C$27)),(1-(MIN(1,MAX(0,(A9/Parametres!$C$5-0.95)/(1.2-0.95)))))*(1.811*PI()*(Parametres!$C$5/2)^2*SQRT(Parametres!$C$5)*IF(Parametres!$C$25*Parametres!$C$5&lt;=0,0,(A9/(Parametres!$C$25*Parametres!$C$5))^(1/Parametres!$C$26)))+(MIN(1,MAX(0,(A9/Parametres!$C$5-0.95)/(1.2-0.95))))*(1.811*PI()*(Parametres!$C$5/2)^2*SQRT(Parametres!$C$5)*SQRT(MAX(0,(A9/Parametres!$C$5-Parametres!$C$28)/Parametres!$C$27)))))),IF(A9&lt;Parametres!$C$5,IF(Parametres!$C$14&lt;=0,0,(1/Parametres!$C$14)*(((Parametres!$C$5/2)^2/2)*((2*ACOS(1-2*(MIN(0.999,MAX(1E-6,A9/Parametres!$C$5)))))-SIN(2*ACOS(1-2*(MIN(0.999,MAX(1E-6,A9/Parametres!$C$5)))))))*IF(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&lt;=0,0,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^(2/3))*SQRT(Parametres!$C$13)),IF((A9-Parametres!$C$16+Parametres!$C$13*Parametres!$C$6)&lt;=0,0,PI()*(Parametres!$C$5/2)^2*SQRT((A9-Parametres!$C$16+Parametres!$C$13*Parametres!$C$6)/((1+Parametres!$C$29)/(2*9.81)+(Parametres!$C$14^2)*Parametres!$C$6/((Parametres!$C$5/4)^(4/3)))))))</f>
        <v/>
      </c>
      <c r="D9" s="12">
        <f>IF(LOWER(Parametres!$C$17)="porous",IF((MAX(0,A9-Parametres!$C$18))&lt;=0,0,((Parametres!$C$7+Parametres!$C$8*(MAX(0,A9-Parametres!$C$18)))*(MAX(0,A9-Parametres!$C$18)))*(Parametres!$C$22*Parametres!$C$21*SQRT(9.81*Parametres!$C$20*Parametres!$C$13/(1-Parametres!$C$21)))),IF(LOWER(Parametres!$C$17)="both",IF((MAX(0,A9-Parametres!$C$18))&lt;=0,0,((Parametres!$C$7+Parametres!$C$8*(MAX(0,A9-Parametres!$C$18)))*(MAX(0,A9-Parametres!$C$18)))*(Parametres!$C$22*Parametres!$C$21*SQRT(9.81*Parametres!$C$20*Parametres!$C$13/(1-Parametres!$C$21))))+IF((MAX(0,A9-Parametres!$C$18))&lt;=0,0,(1/Parametres!$C$19)*((Parametres!$C$7+Parametres!$C$8*(MAX(0,A9-Parametres!$C$18)))*(MAX(0,A9-Parametres!$C$18)))*IF((IF((Parametres!$C$7+2*(MAX(0,A9-Parametres!$C$18))*SQRT(1+Parametres!$C$8^2))&lt;=0,0,((Parametres!$C$7+Parametres!$C$8*(MAX(0,A9-Parametres!$C$18)))*(MAX(0,A9-Parametres!$C$18)))/(Parametres!$C$7+2*(MAX(0,A9-Parametres!$C$18))*SQRT(1+Parametres!$C$8^2))))&lt;=0,0,(IF((Parametres!$C$7+2*(MAX(0,A9-Parametres!$C$18))*SQRT(1+Parametres!$C$8^2))&lt;=0,0,((Parametres!$C$7+Parametres!$C$8*(MAX(0,A9-Parametres!$C$18)))*(MAX(0,A9-Parametres!$C$18)))/(Parametres!$C$7+2*(MAX(0,A9-Parametres!$C$18))*SQRT(1+Parametres!$C$8^2))))^(2/3))*SQRT(Parametres!$C$13)),IF((MAX(0,A9-Parametres!$C$18))&lt;=0,0,(1/Parametres!$C$19)*((Parametres!$C$7+Parametres!$C$8*(MAX(0,A9-Parametres!$C$18)))*(MAX(0,A9-Parametres!$C$18)))*IF((IF((Parametres!$C$7+2*(MAX(0,A9-Parametres!$C$18))*SQRT(1+Parametres!$C$8^2))&lt;=0,0,((Parametres!$C$7+Parametres!$C$8*(MAX(0,A9-Parametres!$C$18)))*(MAX(0,A9-Parametres!$C$18)))/(Parametres!$C$7+2*(MAX(0,A9-Parametres!$C$18))*SQRT(1+Parametres!$C$8^2))))&lt;=0,0,(IF((Parametres!$C$7+2*(MAX(0,A9-Parametres!$C$18))*SQRT(1+Parametres!$C$8^2))&lt;=0,0,((Parametres!$C$7+Parametres!$C$8*(MAX(0,A9-Parametres!$C$18)))*(MAX(0,A9-Parametres!$C$18)))/(Parametres!$C$7+2*(MAX(0,A9-Parametres!$C$18))*SQRT(1+Parametres!$C$8^2))))^(2/3))*SQRT(Parametres!$C$13))))</f>
        <v/>
      </c>
      <c r="E9" s="12">
        <f>C9+D9</f>
        <v/>
      </c>
      <c r="F9" s="5">
        <f>IF(IF(A9&lt;=0,0,IF(A9&lt;0.95*Parametres!$C$5,1.811*PI()*(Parametres!$C$5/2)^2*SQRT(Parametres!$C$5)*IF(Parametres!$C$25*Parametres!$C$5&lt;=0,0,(A9/(Parametres!$C$25*Parametres!$C$5))^(1/Parametres!$C$26)),IF(A9&gt;1.2*Parametres!$C$5,1.811*PI()*(Parametres!$C$5/2)^2*SQRT(Parametres!$C$5)*SQRT(MAX(0,(A9/Parametres!$C$5-Parametres!$C$28)/Parametres!$C$27)),(1-(MIN(1,MAX(0,(A9/Parametres!$C$5-0.95)/(1.2-0.95)))))*(1.811*PI()*(Parametres!$C$5/2)^2*SQRT(Parametres!$C$5)*IF(Parametres!$C$25*Parametres!$C$5&lt;=0,0,(A9/(Parametres!$C$25*Parametres!$C$5))^(1/Parametres!$C$26)))+(MIN(1,MAX(0,(A9/Parametres!$C$5-0.95)/(1.2-0.95))))*(1.811*PI()*(Parametres!$C$5/2)^2*SQRT(Parametres!$C$5)*SQRT(MAX(0,(A9/Parametres!$C$5-Parametres!$C$28)/Parametres!$C$27))))))&lt;=IF(A9&lt;Parametres!$C$5,IF(Parametres!$C$14&lt;=0,0,(1/Parametres!$C$14)*(((Parametres!$C$5/2)^2/2)*((2*ACOS(1-2*(MIN(0.999,MAX(1E-6,A9/Parametres!$C$5)))))-SIN(2*ACOS(1-2*(MIN(0.999,MAX(1E-6,A9/Parametres!$C$5)))))))*IF(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&lt;=0,0,(IF(((Parametres!$C$5/2)*(2*ACOS(1-2*(MIN(0.999,MAX(1E-6,A9/Parametres!$C$5))))))&lt;=0,0,(((Parametres!$C$5/2)^2/2)*((2*ACOS(1-2*(MIN(0.999,MAX(1E-6,A9/Parametres!$C$5)))))-SIN(2*ACOS(1-2*(MIN(0.999,MAX(1E-6,A9/Parametres!$C$5)))))))/((Parametres!$C$5/2)*(2*ACOS(1-2*(MIN(0.999,MAX(1E-6,A9/Parametres!$C$5))))))))^(2/3))*SQRT(Parametres!$C$13)),IF((A9-Parametres!$C$16+Parametres!$C$13*Parametres!$C$6)&lt;=0,0,PI()*(Parametres!$C$5/2)^2*SQRT((A9-Parametres!$C$16+Parametres!$C$13*Parametres!$C$6)/((1+Parametres!$C$29)/(2*9.81)+(Parametres!$C$14^2)*Parametres!$C$6/((Parametres!$C$5/4)^(4/3)))))),"inlet","outlet")</f>
        <v/>
      </c>
      <c r="G9" s="14">
        <f>(IF((MIN(0.999,MAX(0,MIN(A9,Parametres!$C$5)/Parametres!$C$5)))&lt;=0,0,IF(A9&gt;=Parametres!$C$5,PI()*(Parametres!$C$5/2)^2,((Parametres!$C$5/2)^2/2)*((IF((MIN(0.999,MAX(0,MIN(A9,Parametres!$C$5)/Parametres!$C$5)))&lt;=0,0,2*ACOS(1-2*(MIN(0.999,MAX(0,MIN(A9,Parametres!$C$5)/Parametres!$C$5))))))-SIN(IF((MIN(0.999,MAX(0,MIN(A9,Parametres!$C$5)/Parametres!$C$5)))&lt;=0,0,2*ACOS(1-2*(MIN(0.999,MAX(0,MIN(A9,Parametres!$C$5)/Parametres!$C$5))))))))))*Parametres!$C$6+IF((MAX(0,MIN(A9,(Parametres!$C$11-Parametres!$C$9))-(Parametres!$C$18)))&lt;=0,0,((Parametres!$C$7+Parametres!$C$8*(MAX(0,MIN(A9,(Parametres!$C$11-Parametres!$C$9))-(Parametres!$C$18))))*(MAX(0,MIN(A9,(Parametres!$C$11-Parametres!$C$9))-(Parametres!$C$18))))*Parametres!$C$6)</f>
        <v/>
      </c>
      <c r="H9" s="14">
        <f>G9+Hydrogramme_entree!$B$4*A9</f>
        <v/>
      </c>
      <c r="I9" s="14">
        <f>2*H9/(Hydrogramme_entree!$B$8*60)+E9</f>
        <v/>
      </c>
    </row>
    <row r="10">
      <c r="A10" s="12">
        <f>(6/40)*(Parametres!$C$11-Parametres!$C$9)</f>
        <v/>
      </c>
      <c r="B10" s="13">
        <f>Parametres!$C$9+A10</f>
        <v/>
      </c>
      <c r="C10" s="12">
        <f>MIN(IF(A10&lt;=0,0,IF(A10&lt;0.95*Parametres!$C$5,1.811*PI()*(Parametres!$C$5/2)^2*SQRT(Parametres!$C$5)*IF(Parametres!$C$25*Parametres!$C$5&lt;=0,0,(A10/(Parametres!$C$25*Parametres!$C$5))^(1/Parametres!$C$26)),IF(A10&gt;1.2*Parametres!$C$5,1.811*PI()*(Parametres!$C$5/2)^2*SQRT(Parametres!$C$5)*SQRT(MAX(0,(A10/Parametres!$C$5-Parametres!$C$28)/Parametres!$C$27)),(1-(MIN(1,MAX(0,(A10/Parametres!$C$5-0.95)/(1.2-0.95)))))*(1.811*PI()*(Parametres!$C$5/2)^2*SQRT(Parametres!$C$5)*IF(Parametres!$C$25*Parametres!$C$5&lt;=0,0,(A10/(Parametres!$C$25*Parametres!$C$5))^(1/Parametres!$C$26)))+(MIN(1,MAX(0,(A10/Parametres!$C$5-0.95)/(1.2-0.95))))*(1.811*PI()*(Parametres!$C$5/2)^2*SQRT(Parametres!$C$5)*SQRT(MAX(0,(A10/Parametres!$C$5-Parametres!$C$28)/Parametres!$C$27)))))),IF(A10&lt;Parametres!$C$5,IF(Parametres!$C$14&lt;=0,0,(1/Parametres!$C$14)*(((Parametres!$C$5/2)^2/2)*((2*ACOS(1-2*(MIN(0.999,MAX(1E-6,A10/Parametres!$C$5)))))-SIN(2*ACOS(1-2*(MIN(0.999,MAX(1E-6,A10/Parametres!$C$5)))))))*IF(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&lt;=0,0,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^(2/3))*SQRT(Parametres!$C$13)),IF((A10-Parametres!$C$16+Parametres!$C$13*Parametres!$C$6)&lt;=0,0,PI()*(Parametres!$C$5/2)^2*SQRT((A10-Parametres!$C$16+Parametres!$C$13*Parametres!$C$6)/((1+Parametres!$C$29)/(2*9.81)+(Parametres!$C$14^2)*Parametres!$C$6/((Parametres!$C$5/4)^(4/3)))))))</f>
        <v/>
      </c>
      <c r="D10" s="12">
        <f>IF(LOWER(Parametres!$C$17)="porous",IF((MAX(0,A10-Parametres!$C$18))&lt;=0,0,((Parametres!$C$7+Parametres!$C$8*(MAX(0,A10-Parametres!$C$18)))*(MAX(0,A10-Parametres!$C$18)))*(Parametres!$C$22*Parametres!$C$21*SQRT(9.81*Parametres!$C$20*Parametres!$C$13/(1-Parametres!$C$21)))),IF(LOWER(Parametres!$C$17)="both",IF((MAX(0,A10-Parametres!$C$18))&lt;=0,0,((Parametres!$C$7+Parametres!$C$8*(MAX(0,A10-Parametres!$C$18)))*(MAX(0,A10-Parametres!$C$18)))*(Parametres!$C$22*Parametres!$C$21*SQRT(9.81*Parametres!$C$20*Parametres!$C$13/(1-Parametres!$C$21))))+IF((MAX(0,A10-Parametres!$C$18))&lt;=0,0,(1/Parametres!$C$19)*((Parametres!$C$7+Parametres!$C$8*(MAX(0,A10-Parametres!$C$18)))*(MAX(0,A10-Parametres!$C$18)))*IF((IF((Parametres!$C$7+2*(MAX(0,A10-Parametres!$C$18))*SQRT(1+Parametres!$C$8^2))&lt;=0,0,((Parametres!$C$7+Parametres!$C$8*(MAX(0,A10-Parametres!$C$18)))*(MAX(0,A10-Parametres!$C$18)))/(Parametres!$C$7+2*(MAX(0,A10-Parametres!$C$18))*SQRT(1+Parametres!$C$8^2))))&lt;=0,0,(IF((Parametres!$C$7+2*(MAX(0,A10-Parametres!$C$18))*SQRT(1+Parametres!$C$8^2))&lt;=0,0,((Parametres!$C$7+Parametres!$C$8*(MAX(0,A10-Parametres!$C$18)))*(MAX(0,A10-Parametres!$C$18)))/(Parametres!$C$7+2*(MAX(0,A10-Parametres!$C$18))*SQRT(1+Parametres!$C$8^2))))^(2/3))*SQRT(Parametres!$C$13)),IF((MAX(0,A10-Parametres!$C$18))&lt;=0,0,(1/Parametres!$C$19)*((Parametres!$C$7+Parametres!$C$8*(MAX(0,A10-Parametres!$C$18)))*(MAX(0,A10-Parametres!$C$18)))*IF((IF((Parametres!$C$7+2*(MAX(0,A10-Parametres!$C$18))*SQRT(1+Parametres!$C$8^2))&lt;=0,0,((Parametres!$C$7+Parametres!$C$8*(MAX(0,A10-Parametres!$C$18)))*(MAX(0,A10-Parametres!$C$18)))/(Parametres!$C$7+2*(MAX(0,A10-Parametres!$C$18))*SQRT(1+Parametres!$C$8^2))))&lt;=0,0,(IF((Parametres!$C$7+2*(MAX(0,A10-Parametres!$C$18))*SQRT(1+Parametres!$C$8^2))&lt;=0,0,((Parametres!$C$7+Parametres!$C$8*(MAX(0,A10-Parametres!$C$18)))*(MAX(0,A10-Parametres!$C$18)))/(Parametres!$C$7+2*(MAX(0,A10-Parametres!$C$18))*SQRT(1+Parametres!$C$8^2))))^(2/3))*SQRT(Parametres!$C$13))))</f>
        <v/>
      </c>
      <c r="E10" s="12">
        <f>C10+D10</f>
        <v/>
      </c>
      <c r="F10" s="5">
        <f>IF(IF(A10&lt;=0,0,IF(A10&lt;0.95*Parametres!$C$5,1.811*PI()*(Parametres!$C$5/2)^2*SQRT(Parametres!$C$5)*IF(Parametres!$C$25*Parametres!$C$5&lt;=0,0,(A10/(Parametres!$C$25*Parametres!$C$5))^(1/Parametres!$C$26)),IF(A10&gt;1.2*Parametres!$C$5,1.811*PI()*(Parametres!$C$5/2)^2*SQRT(Parametres!$C$5)*SQRT(MAX(0,(A10/Parametres!$C$5-Parametres!$C$28)/Parametres!$C$27)),(1-(MIN(1,MAX(0,(A10/Parametres!$C$5-0.95)/(1.2-0.95)))))*(1.811*PI()*(Parametres!$C$5/2)^2*SQRT(Parametres!$C$5)*IF(Parametres!$C$25*Parametres!$C$5&lt;=0,0,(A10/(Parametres!$C$25*Parametres!$C$5))^(1/Parametres!$C$26)))+(MIN(1,MAX(0,(A10/Parametres!$C$5-0.95)/(1.2-0.95))))*(1.811*PI()*(Parametres!$C$5/2)^2*SQRT(Parametres!$C$5)*SQRT(MAX(0,(A10/Parametres!$C$5-Parametres!$C$28)/Parametres!$C$27))))))&lt;=IF(A10&lt;Parametres!$C$5,IF(Parametres!$C$14&lt;=0,0,(1/Parametres!$C$14)*(((Parametres!$C$5/2)^2/2)*((2*ACOS(1-2*(MIN(0.999,MAX(1E-6,A10/Parametres!$C$5)))))-SIN(2*ACOS(1-2*(MIN(0.999,MAX(1E-6,A10/Parametres!$C$5)))))))*IF(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&lt;=0,0,(IF(((Parametres!$C$5/2)*(2*ACOS(1-2*(MIN(0.999,MAX(1E-6,A10/Parametres!$C$5))))))&lt;=0,0,(((Parametres!$C$5/2)^2/2)*((2*ACOS(1-2*(MIN(0.999,MAX(1E-6,A10/Parametres!$C$5)))))-SIN(2*ACOS(1-2*(MIN(0.999,MAX(1E-6,A10/Parametres!$C$5)))))))/((Parametres!$C$5/2)*(2*ACOS(1-2*(MIN(0.999,MAX(1E-6,A10/Parametres!$C$5))))))))^(2/3))*SQRT(Parametres!$C$13)),IF((A10-Parametres!$C$16+Parametres!$C$13*Parametres!$C$6)&lt;=0,0,PI()*(Parametres!$C$5/2)^2*SQRT((A10-Parametres!$C$16+Parametres!$C$13*Parametres!$C$6)/((1+Parametres!$C$29)/(2*9.81)+(Parametres!$C$14^2)*Parametres!$C$6/((Parametres!$C$5/4)^(4/3)))))),"inlet","outlet")</f>
        <v/>
      </c>
      <c r="G10" s="14">
        <f>(IF((MIN(0.999,MAX(0,MIN(A10,Parametres!$C$5)/Parametres!$C$5)))&lt;=0,0,IF(A10&gt;=Parametres!$C$5,PI()*(Parametres!$C$5/2)^2,((Parametres!$C$5/2)^2/2)*((IF((MIN(0.999,MAX(0,MIN(A10,Parametres!$C$5)/Parametres!$C$5)))&lt;=0,0,2*ACOS(1-2*(MIN(0.999,MAX(0,MIN(A10,Parametres!$C$5)/Parametres!$C$5))))))-SIN(IF((MIN(0.999,MAX(0,MIN(A10,Parametres!$C$5)/Parametres!$C$5)))&lt;=0,0,2*ACOS(1-2*(MIN(0.999,MAX(0,MIN(A10,Parametres!$C$5)/Parametres!$C$5))))))))))*Parametres!$C$6+IF((MAX(0,MIN(A10,(Parametres!$C$11-Parametres!$C$9))-(Parametres!$C$18)))&lt;=0,0,((Parametres!$C$7+Parametres!$C$8*(MAX(0,MIN(A10,(Parametres!$C$11-Parametres!$C$9))-(Parametres!$C$18))))*(MAX(0,MIN(A10,(Parametres!$C$11-Parametres!$C$9))-(Parametres!$C$18))))*Parametres!$C$6)</f>
        <v/>
      </c>
      <c r="H10" s="14">
        <f>G10+Hydrogramme_entree!$B$4*A10</f>
        <v/>
      </c>
      <c r="I10" s="14">
        <f>2*H10/(Hydrogramme_entree!$B$8*60)+E10</f>
        <v/>
      </c>
    </row>
    <row r="11">
      <c r="A11" s="12">
        <f>(7/40)*(Parametres!$C$11-Parametres!$C$9)</f>
        <v/>
      </c>
      <c r="B11" s="13">
        <f>Parametres!$C$9+A11</f>
        <v/>
      </c>
      <c r="C11" s="12">
        <f>MIN(IF(A11&lt;=0,0,IF(A11&lt;0.95*Parametres!$C$5,1.811*PI()*(Parametres!$C$5/2)^2*SQRT(Parametres!$C$5)*IF(Parametres!$C$25*Parametres!$C$5&lt;=0,0,(A11/(Parametres!$C$25*Parametres!$C$5))^(1/Parametres!$C$26)),IF(A11&gt;1.2*Parametres!$C$5,1.811*PI()*(Parametres!$C$5/2)^2*SQRT(Parametres!$C$5)*SQRT(MAX(0,(A11/Parametres!$C$5-Parametres!$C$28)/Parametres!$C$27)),(1-(MIN(1,MAX(0,(A11/Parametres!$C$5-0.95)/(1.2-0.95)))))*(1.811*PI()*(Parametres!$C$5/2)^2*SQRT(Parametres!$C$5)*IF(Parametres!$C$25*Parametres!$C$5&lt;=0,0,(A11/(Parametres!$C$25*Parametres!$C$5))^(1/Parametres!$C$26)))+(MIN(1,MAX(0,(A11/Parametres!$C$5-0.95)/(1.2-0.95))))*(1.811*PI()*(Parametres!$C$5/2)^2*SQRT(Parametres!$C$5)*SQRT(MAX(0,(A11/Parametres!$C$5-Parametres!$C$28)/Parametres!$C$27)))))),IF(A11&lt;Parametres!$C$5,IF(Parametres!$C$14&lt;=0,0,(1/Parametres!$C$14)*(((Parametres!$C$5/2)^2/2)*((2*ACOS(1-2*(MIN(0.999,MAX(1E-6,A11/Parametres!$C$5)))))-SIN(2*ACOS(1-2*(MIN(0.999,MAX(1E-6,A11/Parametres!$C$5)))))))*IF(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&lt;=0,0,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^(2/3))*SQRT(Parametres!$C$13)),IF((A11-Parametres!$C$16+Parametres!$C$13*Parametres!$C$6)&lt;=0,0,PI()*(Parametres!$C$5/2)^2*SQRT((A11-Parametres!$C$16+Parametres!$C$13*Parametres!$C$6)/((1+Parametres!$C$29)/(2*9.81)+(Parametres!$C$14^2)*Parametres!$C$6/((Parametres!$C$5/4)^(4/3)))))))</f>
        <v/>
      </c>
      <c r="D11" s="12">
        <f>IF(LOWER(Parametres!$C$17)="porous",IF((MAX(0,A11-Parametres!$C$18))&lt;=0,0,((Parametres!$C$7+Parametres!$C$8*(MAX(0,A11-Parametres!$C$18)))*(MAX(0,A11-Parametres!$C$18)))*(Parametres!$C$22*Parametres!$C$21*SQRT(9.81*Parametres!$C$20*Parametres!$C$13/(1-Parametres!$C$21)))),IF(LOWER(Parametres!$C$17)="both",IF((MAX(0,A11-Parametres!$C$18))&lt;=0,0,((Parametres!$C$7+Parametres!$C$8*(MAX(0,A11-Parametres!$C$18)))*(MAX(0,A11-Parametres!$C$18)))*(Parametres!$C$22*Parametres!$C$21*SQRT(9.81*Parametres!$C$20*Parametres!$C$13/(1-Parametres!$C$21))))+IF((MAX(0,A11-Parametres!$C$18))&lt;=0,0,(1/Parametres!$C$19)*((Parametres!$C$7+Parametres!$C$8*(MAX(0,A11-Parametres!$C$18)))*(MAX(0,A11-Parametres!$C$18)))*IF((IF((Parametres!$C$7+2*(MAX(0,A11-Parametres!$C$18))*SQRT(1+Parametres!$C$8^2))&lt;=0,0,((Parametres!$C$7+Parametres!$C$8*(MAX(0,A11-Parametres!$C$18)))*(MAX(0,A11-Parametres!$C$18)))/(Parametres!$C$7+2*(MAX(0,A11-Parametres!$C$18))*SQRT(1+Parametres!$C$8^2))))&lt;=0,0,(IF((Parametres!$C$7+2*(MAX(0,A11-Parametres!$C$18))*SQRT(1+Parametres!$C$8^2))&lt;=0,0,((Parametres!$C$7+Parametres!$C$8*(MAX(0,A11-Parametres!$C$18)))*(MAX(0,A11-Parametres!$C$18)))/(Parametres!$C$7+2*(MAX(0,A11-Parametres!$C$18))*SQRT(1+Parametres!$C$8^2))))^(2/3))*SQRT(Parametres!$C$13)),IF((MAX(0,A11-Parametres!$C$18))&lt;=0,0,(1/Parametres!$C$19)*((Parametres!$C$7+Parametres!$C$8*(MAX(0,A11-Parametres!$C$18)))*(MAX(0,A11-Parametres!$C$18)))*IF((IF((Parametres!$C$7+2*(MAX(0,A11-Parametres!$C$18))*SQRT(1+Parametres!$C$8^2))&lt;=0,0,((Parametres!$C$7+Parametres!$C$8*(MAX(0,A11-Parametres!$C$18)))*(MAX(0,A11-Parametres!$C$18)))/(Parametres!$C$7+2*(MAX(0,A11-Parametres!$C$18))*SQRT(1+Parametres!$C$8^2))))&lt;=0,0,(IF((Parametres!$C$7+2*(MAX(0,A11-Parametres!$C$18))*SQRT(1+Parametres!$C$8^2))&lt;=0,0,((Parametres!$C$7+Parametres!$C$8*(MAX(0,A11-Parametres!$C$18)))*(MAX(0,A11-Parametres!$C$18)))/(Parametres!$C$7+2*(MAX(0,A11-Parametres!$C$18))*SQRT(1+Parametres!$C$8^2))))^(2/3))*SQRT(Parametres!$C$13))))</f>
        <v/>
      </c>
      <c r="E11" s="12">
        <f>C11+D11</f>
        <v/>
      </c>
      <c r="F11" s="5">
        <f>IF(IF(A11&lt;=0,0,IF(A11&lt;0.95*Parametres!$C$5,1.811*PI()*(Parametres!$C$5/2)^2*SQRT(Parametres!$C$5)*IF(Parametres!$C$25*Parametres!$C$5&lt;=0,0,(A11/(Parametres!$C$25*Parametres!$C$5))^(1/Parametres!$C$26)),IF(A11&gt;1.2*Parametres!$C$5,1.811*PI()*(Parametres!$C$5/2)^2*SQRT(Parametres!$C$5)*SQRT(MAX(0,(A11/Parametres!$C$5-Parametres!$C$28)/Parametres!$C$27)),(1-(MIN(1,MAX(0,(A11/Parametres!$C$5-0.95)/(1.2-0.95)))))*(1.811*PI()*(Parametres!$C$5/2)^2*SQRT(Parametres!$C$5)*IF(Parametres!$C$25*Parametres!$C$5&lt;=0,0,(A11/(Parametres!$C$25*Parametres!$C$5))^(1/Parametres!$C$26)))+(MIN(1,MAX(0,(A11/Parametres!$C$5-0.95)/(1.2-0.95))))*(1.811*PI()*(Parametres!$C$5/2)^2*SQRT(Parametres!$C$5)*SQRT(MAX(0,(A11/Parametres!$C$5-Parametres!$C$28)/Parametres!$C$27))))))&lt;=IF(A11&lt;Parametres!$C$5,IF(Parametres!$C$14&lt;=0,0,(1/Parametres!$C$14)*(((Parametres!$C$5/2)^2/2)*((2*ACOS(1-2*(MIN(0.999,MAX(1E-6,A11/Parametres!$C$5)))))-SIN(2*ACOS(1-2*(MIN(0.999,MAX(1E-6,A11/Parametres!$C$5)))))))*IF(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&lt;=0,0,(IF(((Parametres!$C$5/2)*(2*ACOS(1-2*(MIN(0.999,MAX(1E-6,A11/Parametres!$C$5))))))&lt;=0,0,(((Parametres!$C$5/2)^2/2)*((2*ACOS(1-2*(MIN(0.999,MAX(1E-6,A11/Parametres!$C$5)))))-SIN(2*ACOS(1-2*(MIN(0.999,MAX(1E-6,A11/Parametres!$C$5)))))))/((Parametres!$C$5/2)*(2*ACOS(1-2*(MIN(0.999,MAX(1E-6,A11/Parametres!$C$5))))))))^(2/3))*SQRT(Parametres!$C$13)),IF((A11-Parametres!$C$16+Parametres!$C$13*Parametres!$C$6)&lt;=0,0,PI()*(Parametres!$C$5/2)^2*SQRT((A11-Parametres!$C$16+Parametres!$C$13*Parametres!$C$6)/((1+Parametres!$C$29)/(2*9.81)+(Parametres!$C$14^2)*Parametres!$C$6/((Parametres!$C$5/4)^(4/3)))))),"inlet","outlet")</f>
        <v/>
      </c>
      <c r="G11" s="14">
        <f>(IF((MIN(0.999,MAX(0,MIN(A11,Parametres!$C$5)/Parametres!$C$5)))&lt;=0,0,IF(A11&gt;=Parametres!$C$5,PI()*(Parametres!$C$5/2)^2,((Parametres!$C$5/2)^2/2)*((IF((MIN(0.999,MAX(0,MIN(A11,Parametres!$C$5)/Parametres!$C$5)))&lt;=0,0,2*ACOS(1-2*(MIN(0.999,MAX(0,MIN(A11,Parametres!$C$5)/Parametres!$C$5))))))-SIN(IF((MIN(0.999,MAX(0,MIN(A11,Parametres!$C$5)/Parametres!$C$5)))&lt;=0,0,2*ACOS(1-2*(MIN(0.999,MAX(0,MIN(A11,Parametres!$C$5)/Parametres!$C$5))))))))))*Parametres!$C$6+IF((MAX(0,MIN(A11,(Parametres!$C$11-Parametres!$C$9))-(Parametres!$C$18)))&lt;=0,0,((Parametres!$C$7+Parametres!$C$8*(MAX(0,MIN(A11,(Parametres!$C$11-Parametres!$C$9))-(Parametres!$C$18))))*(MAX(0,MIN(A11,(Parametres!$C$11-Parametres!$C$9))-(Parametres!$C$18))))*Parametres!$C$6)</f>
        <v/>
      </c>
      <c r="H11" s="14">
        <f>G11+Hydrogramme_entree!$B$4*A11</f>
        <v/>
      </c>
      <c r="I11" s="14">
        <f>2*H11/(Hydrogramme_entree!$B$8*60)+E11</f>
        <v/>
      </c>
    </row>
    <row r="12">
      <c r="A12" s="12">
        <f>(8/40)*(Parametres!$C$11-Parametres!$C$9)</f>
        <v/>
      </c>
      <c r="B12" s="13">
        <f>Parametres!$C$9+A12</f>
        <v/>
      </c>
      <c r="C12" s="12">
        <f>MIN(IF(A12&lt;=0,0,IF(A12&lt;0.95*Parametres!$C$5,1.811*PI()*(Parametres!$C$5/2)^2*SQRT(Parametres!$C$5)*IF(Parametres!$C$25*Parametres!$C$5&lt;=0,0,(A12/(Parametres!$C$25*Parametres!$C$5))^(1/Parametres!$C$26)),IF(A12&gt;1.2*Parametres!$C$5,1.811*PI()*(Parametres!$C$5/2)^2*SQRT(Parametres!$C$5)*SQRT(MAX(0,(A12/Parametres!$C$5-Parametres!$C$28)/Parametres!$C$27)),(1-(MIN(1,MAX(0,(A12/Parametres!$C$5-0.95)/(1.2-0.95)))))*(1.811*PI()*(Parametres!$C$5/2)^2*SQRT(Parametres!$C$5)*IF(Parametres!$C$25*Parametres!$C$5&lt;=0,0,(A12/(Parametres!$C$25*Parametres!$C$5))^(1/Parametres!$C$26)))+(MIN(1,MAX(0,(A12/Parametres!$C$5-0.95)/(1.2-0.95))))*(1.811*PI()*(Parametres!$C$5/2)^2*SQRT(Parametres!$C$5)*SQRT(MAX(0,(A12/Parametres!$C$5-Parametres!$C$28)/Parametres!$C$27)))))),IF(A12&lt;Parametres!$C$5,IF(Parametres!$C$14&lt;=0,0,(1/Parametres!$C$14)*(((Parametres!$C$5/2)^2/2)*((2*ACOS(1-2*(MIN(0.999,MAX(1E-6,A12/Parametres!$C$5)))))-SIN(2*ACOS(1-2*(MIN(0.999,MAX(1E-6,A12/Parametres!$C$5)))))))*IF(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&lt;=0,0,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^(2/3))*SQRT(Parametres!$C$13)),IF((A12-Parametres!$C$16+Parametres!$C$13*Parametres!$C$6)&lt;=0,0,PI()*(Parametres!$C$5/2)^2*SQRT((A12-Parametres!$C$16+Parametres!$C$13*Parametres!$C$6)/((1+Parametres!$C$29)/(2*9.81)+(Parametres!$C$14^2)*Parametres!$C$6/((Parametres!$C$5/4)^(4/3)))))))</f>
        <v/>
      </c>
      <c r="D12" s="12">
        <f>IF(LOWER(Parametres!$C$17)="porous",IF((MAX(0,A12-Parametres!$C$18))&lt;=0,0,((Parametres!$C$7+Parametres!$C$8*(MAX(0,A12-Parametres!$C$18)))*(MAX(0,A12-Parametres!$C$18)))*(Parametres!$C$22*Parametres!$C$21*SQRT(9.81*Parametres!$C$20*Parametres!$C$13/(1-Parametres!$C$21)))),IF(LOWER(Parametres!$C$17)="both",IF((MAX(0,A12-Parametres!$C$18))&lt;=0,0,((Parametres!$C$7+Parametres!$C$8*(MAX(0,A12-Parametres!$C$18)))*(MAX(0,A12-Parametres!$C$18)))*(Parametres!$C$22*Parametres!$C$21*SQRT(9.81*Parametres!$C$20*Parametres!$C$13/(1-Parametres!$C$21))))+IF((MAX(0,A12-Parametres!$C$18))&lt;=0,0,(1/Parametres!$C$19)*((Parametres!$C$7+Parametres!$C$8*(MAX(0,A12-Parametres!$C$18)))*(MAX(0,A12-Parametres!$C$18)))*IF((IF((Parametres!$C$7+2*(MAX(0,A12-Parametres!$C$18))*SQRT(1+Parametres!$C$8^2))&lt;=0,0,((Parametres!$C$7+Parametres!$C$8*(MAX(0,A12-Parametres!$C$18)))*(MAX(0,A12-Parametres!$C$18)))/(Parametres!$C$7+2*(MAX(0,A12-Parametres!$C$18))*SQRT(1+Parametres!$C$8^2))))&lt;=0,0,(IF((Parametres!$C$7+2*(MAX(0,A12-Parametres!$C$18))*SQRT(1+Parametres!$C$8^2))&lt;=0,0,((Parametres!$C$7+Parametres!$C$8*(MAX(0,A12-Parametres!$C$18)))*(MAX(0,A12-Parametres!$C$18)))/(Parametres!$C$7+2*(MAX(0,A12-Parametres!$C$18))*SQRT(1+Parametres!$C$8^2))))^(2/3))*SQRT(Parametres!$C$13)),IF((MAX(0,A12-Parametres!$C$18))&lt;=0,0,(1/Parametres!$C$19)*((Parametres!$C$7+Parametres!$C$8*(MAX(0,A12-Parametres!$C$18)))*(MAX(0,A12-Parametres!$C$18)))*IF((IF((Parametres!$C$7+2*(MAX(0,A12-Parametres!$C$18))*SQRT(1+Parametres!$C$8^2))&lt;=0,0,((Parametres!$C$7+Parametres!$C$8*(MAX(0,A12-Parametres!$C$18)))*(MAX(0,A12-Parametres!$C$18)))/(Parametres!$C$7+2*(MAX(0,A12-Parametres!$C$18))*SQRT(1+Parametres!$C$8^2))))&lt;=0,0,(IF((Parametres!$C$7+2*(MAX(0,A12-Parametres!$C$18))*SQRT(1+Parametres!$C$8^2))&lt;=0,0,((Parametres!$C$7+Parametres!$C$8*(MAX(0,A12-Parametres!$C$18)))*(MAX(0,A12-Parametres!$C$18)))/(Parametres!$C$7+2*(MAX(0,A12-Parametres!$C$18))*SQRT(1+Parametres!$C$8^2))))^(2/3))*SQRT(Parametres!$C$13))))</f>
        <v/>
      </c>
      <c r="E12" s="12">
        <f>C12+D12</f>
        <v/>
      </c>
      <c r="F12" s="5">
        <f>IF(IF(A12&lt;=0,0,IF(A12&lt;0.95*Parametres!$C$5,1.811*PI()*(Parametres!$C$5/2)^2*SQRT(Parametres!$C$5)*IF(Parametres!$C$25*Parametres!$C$5&lt;=0,0,(A12/(Parametres!$C$25*Parametres!$C$5))^(1/Parametres!$C$26)),IF(A12&gt;1.2*Parametres!$C$5,1.811*PI()*(Parametres!$C$5/2)^2*SQRT(Parametres!$C$5)*SQRT(MAX(0,(A12/Parametres!$C$5-Parametres!$C$28)/Parametres!$C$27)),(1-(MIN(1,MAX(0,(A12/Parametres!$C$5-0.95)/(1.2-0.95)))))*(1.811*PI()*(Parametres!$C$5/2)^2*SQRT(Parametres!$C$5)*IF(Parametres!$C$25*Parametres!$C$5&lt;=0,0,(A12/(Parametres!$C$25*Parametres!$C$5))^(1/Parametres!$C$26)))+(MIN(1,MAX(0,(A12/Parametres!$C$5-0.95)/(1.2-0.95))))*(1.811*PI()*(Parametres!$C$5/2)^2*SQRT(Parametres!$C$5)*SQRT(MAX(0,(A12/Parametres!$C$5-Parametres!$C$28)/Parametres!$C$27))))))&lt;=IF(A12&lt;Parametres!$C$5,IF(Parametres!$C$14&lt;=0,0,(1/Parametres!$C$14)*(((Parametres!$C$5/2)^2/2)*((2*ACOS(1-2*(MIN(0.999,MAX(1E-6,A12/Parametres!$C$5)))))-SIN(2*ACOS(1-2*(MIN(0.999,MAX(1E-6,A12/Parametres!$C$5)))))))*IF(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&lt;=0,0,(IF(((Parametres!$C$5/2)*(2*ACOS(1-2*(MIN(0.999,MAX(1E-6,A12/Parametres!$C$5))))))&lt;=0,0,(((Parametres!$C$5/2)^2/2)*((2*ACOS(1-2*(MIN(0.999,MAX(1E-6,A12/Parametres!$C$5)))))-SIN(2*ACOS(1-2*(MIN(0.999,MAX(1E-6,A12/Parametres!$C$5)))))))/((Parametres!$C$5/2)*(2*ACOS(1-2*(MIN(0.999,MAX(1E-6,A12/Parametres!$C$5))))))))^(2/3))*SQRT(Parametres!$C$13)),IF((A12-Parametres!$C$16+Parametres!$C$13*Parametres!$C$6)&lt;=0,0,PI()*(Parametres!$C$5/2)^2*SQRT((A12-Parametres!$C$16+Parametres!$C$13*Parametres!$C$6)/((1+Parametres!$C$29)/(2*9.81)+(Parametres!$C$14^2)*Parametres!$C$6/((Parametres!$C$5/4)^(4/3)))))),"inlet","outlet")</f>
        <v/>
      </c>
      <c r="G12" s="14">
        <f>(IF((MIN(0.999,MAX(0,MIN(A12,Parametres!$C$5)/Parametres!$C$5)))&lt;=0,0,IF(A12&gt;=Parametres!$C$5,PI()*(Parametres!$C$5/2)^2,((Parametres!$C$5/2)^2/2)*((IF((MIN(0.999,MAX(0,MIN(A12,Parametres!$C$5)/Parametres!$C$5)))&lt;=0,0,2*ACOS(1-2*(MIN(0.999,MAX(0,MIN(A12,Parametres!$C$5)/Parametres!$C$5))))))-SIN(IF((MIN(0.999,MAX(0,MIN(A12,Parametres!$C$5)/Parametres!$C$5)))&lt;=0,0,2*ACOS(1-2*(MIN(0.999,MAX(0,MIN(A12,Parametres!$C$5)/Parametres!$C$5))))))))))*Parametres!$C$6+IF((MAX(0,MIN(A12,(Parametres!$C$11-Parametres!$C$9))-(Parametres!$C$18)))&lt;=0,0,((Parametres!$C$7+Parametres!$C$8*(MAX(0,MIN(A12,(Parametres!$C$11-Parametres!$C$9))-(Parametres!$C$18))))*(MAX(0,MIN(A12,(Parametres!$C$11-Parametres!$C$9))-(Parametres!$C$18))))*Parametres!$C$6)</f>
        <v/>
      </c>
      <c r="H12" s="14">
        <f>G12+Hydrogramme_entree!$B$4*A12</f>
        <v/>
      </c>
      <c r="I12" s="14">
        <f>2*H12/(Hydrogramme_entree!$B$8*60)+E12</f>
        <v/>
      </c>
    </row>
    <row r="13">
      <c r="A13" s="12">
        <f>(9/40)*(Parametres!$C$11-Parametres!$C$9)</f>
        <v/>
      </c>
      <c r="B13" s="13">
        <f>Parametres!$C$9+A13</f>
        <v/>
      </c>
      <c r="C13" s="12">
        <f>MIN(IF(A13&lt;=0,0,IF(A13&lt;0.95*Parametres!$C$5,1.811*PI()*(Parametres!$C$5/2)^2*SQRT(Parametres!$C$5)*IF(Parametres!$C$25*Parametres!$C$5&lt;=0,0,(A13/(Parametres!$C$25*Parametres!$C$5))^(1/Parametres!$C$26)),IF(A13&gt;1.2*Parametres!$C$5,1.811*PI()*(Parametres!$C$5/2)^2*SQRT(Parametres!$C$5)*SQRT(MAX(0,(A13/Parametres!$C$5-Parametres!$C$28)/Parametres!$C$27)),(1-(MIN(1,MAX(0,(A13/Parametres!$C$5-0.95)/(1.2-0.95)))))*(1.811*PI()*(Parametres!$C$5/2)^2*SQRT(Parametres!$C$5)*IF(Parametres!$C$25*Parametres!$C$5&lt;=0,0,(A13/(Parametres!$C$25*Parametres!$C$5))^(1/Parametres!$C$26)))+(MIN(1,MAX(0,(A13/Parametres!$C$5-0.95)/(1.2-0.95))))*(1.811*PI()*(Parametres!$C$5/2)^2*SQRT(Parametres!$C$5)*SQRT(MAX(0,(A13/Parametres!$C$5-Parametres!$C$28)/Parametres!$C$27)))))),IF(A13&lt;Parametres!$C$5,IF(Parametres!$C$14&lt;=0,0,(1/Parametres!$C$14)*(((Parametres!$C$5/2)^2/2)*((2*ACOS(1-2*(MIN(0.999,MAX(1E-6,A13/Parametres!$C$5)))))-SIN(2*ACOS(1-2*(MIN(0.999,MAX(1E-6,A13/Parametres!$C$5)))))))*IF(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&lt;=0,0,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^(2/3))*SQRT(Parametres!$C$13)),IF((A13-Parametres!$C$16+Parametres!$C$13*Parametres!$C$6)&lt;=0,0,PI()*(Parametres!$C$5/2)^2*SQRT((A13-Parametres!$C$16+Parametres!$C$13*Parametres!$C$6)/((1+Parametres!$C$29)/(2*9.81)+(Parametres!$C$14^2)*Parametres!$C$6/((Parametres!$C$5/4)^(4/3)))))))</f>
        <v/>
      </c>
      <c r="D13" s="12">
        <f>IF(LOWER(Parametres!$C$17)="porous",IF((MAX(0,A13-Parametres!$C$18))&lt;=0,0,((Parametres!$C$7+Parametres!$C$8*(MAX(0,A13-Parametres!$C$18)))*(MAX(0,A13-Parametres!$C$18)))*(Parametres!$C$22*Parametres!$C$21*SQRT(9.81*Parametres!$C$20*Parametres!$C$13/(1-Parametres!$C$21)))),IF(LOWER(Parametres!$C$17)="both",IF((MAX(0,A13-Parametres!$C$18))&lt;=0,0,((Parametres!$C$7+Parametres!$C$8*(MAX(0,A13-Parametres!$C$18)))*(MAX(0,A13-Parametres!$C$18)))*(Parametres!$C$22*Parametres!$C$21*SQRT(9.81*Parametres!$C$20*Parametres!$C$13/(1-Parametres!$C$21))))+IF((MAX(0,A13-Parametres!$C$18))&lt;=0,0,(1/Parametres!$C$19)*((Parametres!$C$7+Parametres!$C$8*(MAX(0,A13-Parametres!$C$18)))*(MAX(0,A13-Parametres!$C$18)))*IF((IF((Parametres!$C$7+2*(MAX(0,A13-Parametres!$C$18))*SQRT(1+Parametres!$C$8^2))&lt;=0,0,((Parametres!$C$7+Parametres!$C$8*(MAX(0,A13-Parametres!$C$18)))*(MAX(0,A13-Parametres!$C$18)))/(Parametres!$C$7+2*(MAX(0,A13-Parametres!$C$18))*SQRT(1+Parametres!$C$8^2))))&lt;=0,0,(IF((Parametres!$C$7+2*(MAX(0,A13-Parametres!$C$18))*SQRT(1+Parametres!$C$8^2))&lt;=0,0,((Parametres!$C$7+Parametres!$C$8*(MAX(0,A13-Parametres!$C$18)))*(MAX(0,A13-Parametres!$C$18)))/(Parametres!$C$7+2*(MAX(0,A13-Parametres!$C$18))*SQRT(1+Parametres!$C$8^2))))^(2/3))*SQRT(Parametres!$C$13)),IF((MAX(0,A13-Parametres!$C$18))&lt;=0,0,(1/Parametres!$C$19)*((Parametres!$C$7+Parametres!$C$8*(MAX(0,A13-Parametres!$C$18)))*(MAX(0,A13-Parametres!$C$18)))*IF((IF((Parametres!$C$7+2*(MAX(0,A13-Parametres!$C$18))*SQRT(1+Parametres!$C$8^2))&lt;=0,0,((Parametres!$C$7+Parametres!$C$8*(MAX(0,A13-Parametres!$C$18)))*(MAX(0,A13-Parametres!$C$18)))/(Parametres!$C$7+2*(MAX(0,A13-Parametres!$C$18))*SQRT(1+Parametres!$C$8^2))))&lt;=0,0,(IF((Parametres!$C$7+2*(MAX(0,A13-Parametres!$C$18))*SQRT(1+Parametres!$C$8^2))&lt;=0,0,((Parametres!$C$7+Parametres!$C$8*(MAX(0,A13-Parametres!$C$18)))*(MAX(0,A13-Parametres!$C$18)))/(Parametres!$C$7+2*(MAX(0,A13-Parametres!$C$18))*SQRT(1+Parametres!$C$8^2))))^(2/3))*SQRT(Parametres!$C$13))))</f>
        <v/>
      </c>
      <c r="E13" s="12">
        <f>C13+D13</f>
        <v/>
      </c>
      <c r="F13" s="5">
        <f>IF(IF(A13&lt;=0,0,IF(A13&lt;0.95*Parametres!$C$5,1.811*PI()*(Parametres!$C$5/2)^2*SQRT(Parametres!$C$5)*IF(Parametres!$C$25*Parametres!$C$5&lt;=0,0,(A13/(Parametres!$C$25*Parametres!$C$5))^(1/Parametres!$C$26)),IF(A13&gt;1.2*Parametres!$C$5,1.811*PI()*(Parametres!$C$5/2)^2*SQRT(Parametres!$C$5)*SQRT(MAX(0,(A13/Parametres!$C$5-Parametres!$C$28)/Parametres!$C$27)),(1-(MIN(1,MAX(0,(A13/Parametres!$C$5-0.95)/(1.2-0.95)))))*(1.811*PI()*(Parametres!$C$5/2)^2*SQRT(Parametres!$C$5)*IF(Parametres!$C$25*Parametres!$C$5&lt;=0,0,(A13/(Parametres!$C$25*Parametres!$C$5))^(1/Parametres!$C$26)))+(MIN(1,MAX(0,(A13/Parametres!$C$5-0.95)/(1.2-0.95))))*(1.811*PI()*(Parametres!$C$5/2)^2*SQRT(Parametres!$C$5)*SQRT(MAX(0,(A13/Parametres!$C$5-Parametres!$C$28)/Parametres!$C$27))))))&lt;=IF(A13&lt;Parametres!$C$5,IF(Parametres!$C$14&lt;=0,0,(1/Parametres!$C$14)*(((Parametres!$C$5/2)^2/2)*((2*ACOS(1-2*(MIN(0.999,MAX(1E-6,A13/Parametres!$C$5)))))-SIN(2*ACOS(1-2*(MIN(0.999,MAX(1E-6,A13/Parametres!$C$5)))))))*IF(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&lt;=0,0,(IF(((Parametres!$C$5/2)*(2*ACOS(1-2*(MIN(0.999,MAX(1E-6,A13/Parametres!$C$5))))))&lt;=0,0,(((Parametres!$C$5/2)^2/2)*((2*ACOS(1-2*(MIN(0.999,MAX(1E-6,A13/Parametres!$C$5)))))-SIN(2*ACOS(1-2*(MIN(0.999,MAX(1E-6,A13/Parametres!$C$5)))))))/((Parametres!$C$5/2)*(2*ACOS(1-2*(MIN(0.999,MAX(1E-6,A13/Parametres!$C$5))))))))^(2/3))*SQRT(Parametres!$C$13)),IF((A13-Parametres!$C$16+Parametres!$C$13*Parametres!$C$6)&lt;=0,0,PI()*(Parametres!$C$5/2)^2*SQRT((A13-Parametres!$C$16+Parametres!$C$13*Parametres!$C$6)/((1+Parametres!$C$29)/(2*9.81)+(Parametres!$C$14^2)*Parametres!$C$6/((Parametres!$C$5/4)^(4/3)))))),"inlet","outlet")</f>
        <v/>
      </c>
      <c r="G13" s="14">
        <f>(IF((MIN(0.999,MAX(0,MIN(A13,Parametres!$C$5)/Parametres!$C$5)))&lt;=0,0,IF(A13&gt;=Parametres!$C$5,PI()*(Parametres!$C$5/2)^2,((Parametres!$C$5/2)^2/2)*((IF((MIN(0.999,MAX(0,MIN(A13,Parametres!$C$5)/Parametres!$C$5)))&lt;=0,0,2*ACOS(1-2*(MIN(0.999,MAX(0,MIN(A13,Parametres!$C$5)/Parametres!$C$5))))))-SIN(IF((MIN(0.999,MAX(0,MIN(A13,Parametres!$C$5)/Parametres!$C$5)))&lt;=0,0,2*ACOS(1-2*(MIN(0.999,MAX(0,MIN(A13,Parametres!$C$5)/Parametres!$C$5))))))))))*Parametres!$C$6+IF((MAX(0,MIN(A13,(Parametres!$C$11-Parametres!$C$9))-(Parametres!$C$18)))&lt;=0,0,((Parametres!$C$7+Parametres!$C$8*(MAX(0,MIN(A13,(Parametres!$C$11-Parametres!$C$9))-(Parametres!$C$18))))*(MAX(0,MIN(A13,(Parametres!$C$11-Parametres!$C$9))-(Parametres!$C$18))))*Parametres!$C$6)</f>
        <v/>
      </c>
      <c r="H13" s="14">
        <f>G13+Hydrogramme_entree!$B$4*A13</f>
        <v/>
      </c>
      <c r="I13" s="14">
        <f>2*H13/(Hydrogramme_entree!$B$8*60)+E13</f>
        <v/>
      </c>
    </row>
    <row r="14">
      <c r="A14" s="12">
        <f>(10/40)*(Parametres!$C$11-Parametres!$C$9)</f>
        <v/>
      </c>
      <c r="B14" s="13">
        <f>Parametres!$C$9+A14</f>
        <v/>
      </c>
      <c r="C14" s="12">
        <f>MIN(IF(A14&lt;=0,0,IF(A14&lt;0.95*Parametres!$C$5,1.811*PI()*(Parametres!$C$5/2)^2*SQRT(Parametres!$C$5)*IF(Parametres!$C$25*Parametres!$C$5&lt;=0,0,(A14/(Parametres!$C$25*Parametres!$C$5))^(1/Parametres!$C$26)),IF(A14&gt;1.2*Parametres!$C$5,1.811*PI()*(Parametres!$C$5/2)^2*SQRT(Parametres!$C$5)*SQRT(MAX(0,(A14/Parametres!$C$5-Parametres!$C$28)/Parametres!$C$27)),(1-(MIN(1,MAX(0,(A14/Parametres!$C$5-0.95)/(1.2-0.95)))))*(1.811*PI()*(Parametres!$C$5/2)^2*SQRT(Parametres!$C$5)*IF(Parametres!$C$25*Parametres!$C$5&lt;=0,0,(A14/(Parametres!$C$25*Parametres!$C$5))^(1/Parametres!$C$26)))+(MIN(1,MAX(0,(A14/Parametres!$C$5-0.95)/(1.2-0.95))))*(1.811*PI()*(Parametres!$C$5/2)^2*SQRT(Parametres!$C$5)*SQRT(MAX(0,(A14/Parametres!$C$5-Parametres!$C$28)/Parametres!$C$27)))))),IF(A14&lt;Parametres!$C$5,IF(Parametres!$C$14&lt;=0,0,(1/Parametres!$C$14)*(((Parametres!$C$5/2)^2/2)*((2*ACOS(1-2*(MIN(0.999,MAX(1E-6,A14/Parametres!$C$5)))))-SIN(2*ACOS(1-2*(MIN(0.999,MAX(1E-6,A14/Parametres!$C$5)))))))*IF(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&lt;=0,0,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^(2/3))*SQRT(Parametres!$C$13)),IF((A14-Parametres!$C$16+Parametres!$C$13*Parametres!$C$6)&lt;=0,0,PI()*(Parametres!$C$5/2)^2*SQRT((A14-Parametres!$C$16+Parametres!$C$13*Parametres!$C$6)/((1+Parametres!$C$29)/(2*9.81)+(Parametres!$C$14^2)*Parametres!$C$6/((Parametres!$C$5/4)^(4/3)))))))</f>
        <v/>
      </c>
      <c r="D14" s="12">
        <f>IF(LOWER(Parametres!$C$17)="porous",IF((MAX(0,A14-Parametres!$C$18))&lt;=0,0,((Parametres!$C$7+Parametres!$C$8*(MAX(0,A14-Parametres!$C$18)))*(MAX(0,A14-Parametres!$C$18)))*(Parametres!$C$22*Parametres!$C$21*SQRT(9.81*Parametres!$C$20*Parametres!$C$13/(1-Parametres!$C$21)))),IF(LOWER(Parametres!$C$17)="both",IF((MAX(0,A14-Parametres!$C$18))&lt;=0,0,((Parametres!$C$7+Parametres!$C$8*(MAX(0,A14-Parametres!$C$18)))*(MAX(0,A14-Parametres!$C$18)))*(Parametres!$C$22*Parametres!$C$21*SQRT(9.81*Parametres!$C$20*Parametres!$C$13/(1-Parametres!$C$21))))+IF((MAX(0,A14-Parametres!$C$18))&lt;=0,0,(1/Parametres!$C$19)*((Parametres!$C$7+Parametres!$C$8*(MAX(0,A14-Parametres!$C$18)))*(MAX(0,A14-Parametres!$C$18)))*IF((IF((Parametres!$C$7+2*(MAX(0,A14-Parametres!$C$18))*SQRT(1+Parametres!$C$8^2))&lt;=0,0,((Parametres!$C$7+Parametres!$C$8*(MAX(0,A14-Parametres!$C$18)))*(MAX(0,A14-Parametres!$C$18)))/(Parametres!$C$7+2*(MAX(0,A14-Parametres!$C$18))*SQRT(1+Parametres!$C$8^2))))&lt;=0,0,(IF((Parametres!$C$7+2*(MAX(0,A14-Parametres!$C$18))*SQRT(1+Parametres!$C$8^2))&lt;=0,0,((Parametres!$C$7+Parametres!$C$8*(MAX(0,A14-Parametres!$C$18)))*(MAX(0,A14-Parametres!$C$18)))/(Parametres!$C$7+2*(MAX(0,A14-Parametres!$C$18))*SQRT(1+Parametres!$C$8^2))))^(2/3))*SQRT(Parametres!$C$13)),IF((MAX(0,A14-Parametres!$C$18))&lt;=0,0,(1/Parametres!$C$19)*((Parametres!$C$7+Parametres!$C$8*(MAX(0,A14-Parametres!$C$18)))*(MAX(0,A14-Parametres!$C$18)))*IF((IF((Parametres!$C$7+2*(MAX(0,A14-Parametres!$C$18))*SQRT(1+Parametres!$C$8^2))&lt;=0,0,((Parametres!$C$7+Parametres!$C$8*(MAX(0,A14-Parametres!$C$18)))*(MAX(0,A14-Parametres!$C$18)))/(Parametres!$C$7+2*(MAX(0,A14-Parametres!$C$18))*SQRT(1+Parametres!$C$8^2))))&lt;=0,0,(IF((Parametres!$C$7+2*(MAX(0,A14-Parametres!$C$18))*SQRT(1+Parametres!$C$8^2))&lt;=0,0,((Parametres!$C$7+Parametres!$C$8*(MAX(0,A14-Parametres!$C$18)))*(MAX(0,A14-Parametres!$C$18)))/(Parametres!$C$7+2*(MAX(0,A14-Parametres!$C$18))*SQRT(1+Parametres!$C$8^2))))^(2/3))*SQRT(Parametres!$C$13))))</f>
        <v/>
      </c>
      <c r="E14" s="12">
        <f>C14+D14</f>
        <v/>
      </c>
      <c r="F14" s="5">
        <f>IF(IF(A14&lt;=0,0,IF(A14&lt;0.95*Parametres!$C$5,1.811*PI()*(Parametres!$C$5/2)^2*SQRT(Parametres!$C$5)*IF(Parametres!$C$25*Parametres!$C$5&lt;=0,0,(A14/(Parametres!$C$25*Parametres!$C$5))^(1/Parametres!$C$26)),IF(A14&gt;1.2*Parametres!$C$5,1.811*PI()*(Parametres!$C$5/2)^2*SQRT(Parametres!$C$5)*SQRT(MAX(0,(A14/Parametres!$C$5-Parametres!$C$28)/Parametres!$C$27)),(1-(MIN(1,MAX(0,(A14/Parametres!$C$5-0.95)/(1.2-0.95)))))*(1.811*PI()*(Parametres!$C$5/2)^2*SQRT(Parametres!$C$5)*IF(Parametres!$C$25*Parametres!$C$5&lt;=0,0,(A14/(Parametres!$C$25*Parametres!$C$5))^(1/Parametres!$C$26)))+(MIN(1,MAX(0,(A14/Parametres!$C$5-0.95)/(1.2-0.95))))*(1.811*PI()*(Parametres!$C$5/2)^2*SQRT(Parametres!$C$5)*SQRT(MAX(0,(A14/Parametres!$C$5-Parametres!$C$28)/Parametres!$C$27))))))&lt;=IF(A14&lt;Parametres!$C$5,IF(Parametres!$C$14&lt;=0,0,(1/Parametres!$C$14)*(((Parametres!$C$5/2)^2/2)*((2*ACOS(1-2*(MIN(0.999,MAX(1E-6,A14/Parametres!$C$5)))))-SIN(2*ACOS(1-2*(MIN(0.999,MAX(1E-6,A14/Parametres!$C$5)))))))*IF(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&lt;=0,0,(IF(((Parametres!$C$5/2)*(2*ACOS(1-2*(MIN(0.999,MAX(1E-6,A14/Parametres!$C$5))))))&lt;=0,0,(((Parametres!$C$5/2)^2/2)*((2*ACOS(1-2*(MIN(0.999,MAX(1E-6,A14/Parametres!$C$5)))))-SIN(2*ACOS(1-2*(MIN(0.999,MAX(1E-6,A14/Parametres!$C$5)))))))/((Parametres!$C$5/2)*(2*ACOS(1-2*(MIN(0.999,MAX(1E-6,A14/Parametres!$C$5))))))))^(2/3))*SQRT(Parametres!$C$13)),IF((A14-Parametres!$C$16+Parametres!$C$13*Parametres!$C$6)&lt;=0,0,PI()*(Parametres!$C$5/2)^2*SQRT((A14-Parametres!$C$16+Parametres!$C$13*Parametres!$C$6)/((1+Parametres!$C$29)/(2*9.81)+(Parametres!$C$14^2)*Parametres!$C$6/((Parametres!$C$5/4)^(4/3)))))),"inlet","outlet")</f>
        <v/>
      </c>
      <c r="G14" s="14">
        <f>(IF((MIN(0.999,MAX(0,MIN(A14,Parametres!$C$5)/Parametres!$C$5)))&lt;=0,0,IF(A14&gt;=Parametres!$C$5,PI()*(Parametres!$C$5/2)^2,((Parametres!$C$5/2)^2/2)*((IF((MIN(0.999,MAX(0,MIN(A14,Parametres!$C$5)/Parametres!$C$5)))&lt;=0,0,2*ACOS(1-2*(MIN(0.999,MAX(0,MIN(A14,Parametres!$C$5)/Parametres!$C$5))))))-SIN(IF((MIN(0.999,MAX(0,MIN(A14,Parametres!$C$5)/Parametres!$C$5)))&lt;=0,0,2*ACOS(1-2*(MIN(0.999,MAX(0,MIN(A14,Parametres!$C$5)/Parametres!$C$5))))))))))*Parametres!$C$6+IF((MAX(0,MIN(A14,(Parametres!$C$11-Parametres!$C$9))-(Parametres!$C$18)))&lt;=0,0,((Parametres!$C$7+Parametres!$C$8*(MAX(0,MIN(A14,(Parametres!$C$11-Parametres!$C$9))-(Parametres!$C$18))))*(MAX(0,MIN(A14,(Parametres!$C$11-Parametres!$C$9))-(Parametres!$C$18))))*Parametres!$C$6)</f>
        <v/>
      </c>
      <c r="H14" s="14">
        <f>G14+Hydrogramme_entree!$B$4*A14</f>
        <v/>
      </c>
      <c r="I14" s="14">
        <f>2*H14/(Hydrogramme_entree!$B$8*60)+E14</f>
        <v/>
      </c>
    </row>
    <row r="15">
      <c r="A15" s="12">
        <f>(11/40)*(Parametres!$C$11-Parametres!$C$9)</f>
        <v/>
      </c>
      <c r="B15" s="13">
        <f>Parametres!$C$9+A15</f>
        <v/>
      </c>
      <c r="C15" s="12">
        <f>MIN(IF(A15&lt;=0,0,IF(A15&lt;0.95*Parametres!$C$5,1.811*PI()*(Parametres!$C$5/2)^2*SQRT(Parametres!$C$5)*IF(Parametres!$C$25*Parametres!$C$5&lt;=0,0,(A15/(Parametres!$C$25*Parametres!$C$5))^(1/Parametres!$C$26)),IF(A15&gt;1.2*Parametres!$C$5,1.811*PI()*(Parametres!$C$5/2)^2*SQRT(Parametres!$C$5)*SQRT(MAX(0,(A15/Parametres!$C$5-Parametres!$C$28)/Parametres!$C$27)),(1-(MIN(1,MAX(0,(A15/Parametres!$C$5-0.95)/(1.2-0.95)))))*(1.811*PI()*(Parametres!$C$5/2)^2*SQRT(Parametres!$C$5)*IF(Parametres!$C$25*Parametres!$C$5&lt;=0,0,(A15/(Parametres!$C$25*Parametres!$C$5))^(1/Parametres!$C$26)))+(MIN(1,MAX(0,(A15/Parametres!$C$5-0.95)/(1.2-0.95))))*(1.811*PI()*(Parametres!$C$5/2)^2*SQRT(Parametres!$C$5)*SQRT(MAX(0,(A15/Parametres!$C$5-Parametres!$C$28)/Parametres!$C$27)))))),IF(A15&lt;Parametres!$C$5,IF(Parametres!$C$14&lt;=0,0,(1/Parametres!$C$14)*(((Parametres!$C$5/2)^2/2)*((2*ACOS(1-2*(MIN(0.999,MAX(1E-6,A15/Parametres!$C$5)))))-SIN(2*ACOS(1-2*(MIN(0.999,MAX(1E-6,A15/Parametres!$C$5)))))))*IF(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&lt;=0,0,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^(2/3))*SQRT(Parametres!$C$13)),IF((A15-Parametres!$C$16+Parametres!$C$13*Parametres!$C$6)&lt;=0,0,PI()*(Parametres!$C$5/2)^2*SQRT((A15-Parametres!$C$16+Parametres!$C$13*Parametres!$C$6)/((1+Parametres!$C$29)/(2*9.81)+(Parametres!$C$14^2)*Parametres!$C$6/((Parametres!$C$5/4)^(4/3)))))))</f>
        <v/>
      </c>
      <c r="D15" s="12">
        <f>IF(LOWER(Parametres!$C$17)="porous",IF((MAX(0,A15-Parametres!$C$18))&lt;=0,0,((Parametres!$C$7+Parametres!$C$8*(MAX(0,A15-Parametres!$C$18)))*(MAX(0,A15-Parametres!$C$18)))*(Parametres!$C$22*Parametres!$C$21*SQRT(9.81*Parametres!$C$20*Parametres!$C$13/(1-Parametres!$C$21)))),IF(LOWER(Parametres!$C$17)="both",IF((MAX(0,A15-Parametres!$C$18))&lt;=0,0,((Parametres!$C$7+Parametres!$C$8*(MAX(0,A15-Parametres!$C$18)))*(MAX(0,A15-Parametres!$C$18)))*(Parametres!$C$22*Parametres!$C$21*SQRT(9.81*Parametres!$C$20*Parametres!$C$13/(1-Parametres!$C$21))))+IF((MAX(0,A15-Parametres!$C$18))&lt;=0,0,(1/Parametres!$C$19)*((Parametres!$C$7+Parametres!$C$8*(MAX(0,A15-Parametres!$C$18)))*(MAX(0,A15-Parametres!$C$18)))*IF((IF((Parametres!$C$7+2*(MAX(0,A15-Parametres!$C$18))*SQRT(1+Parametres!$C$8^2))&lt;=0,0,((Parametres!$C$7+Parametres!$C$8*(MAX(0,A15-Parametres!$C$18)))*(MAX(0,A15-Parametres!$C$18)))/(Parametres!$C$7+2*(MAX(0,A15-Parametres!$C$18))*SQRT(1+Parametres!$C$8^2))))&lt;=0,0,(IF((Parametres!$C$7+2*(MAX(0,A15-Parametres!$C$18))*SQRT(1+Parametres!$C$8^2))&lt;=0,0,((Parametres!$C$7+Parametres!$C$8*(MAX(0,A15-Parametres!$C$18)))*(MAX(0,A15-Parametres!$C$18)))/(Parametres!$C$7+2*(MAX(0,A15-Parametres!$C$18))*SQRT(1+Parametres!$C$8^2))))^(2/3))*SQRT(Parametres!$C$13)),IF((MAX(0,A15-Parametres!$C$18))&lt;=0,0,(1/Parametres!$C$19)*((Parametres!$C$7+Parametres!$C$8*(MAX(0,A15-Parametres!$C$18)))*(MAX(0,A15-Parametres!$C$18)))*IF((IF((Parametres!$C$7+2*(MAX(0,A15-Parametres!$C$18))*SQRT(1+Parametres!$C$8^2))&lt;=0,0,((Parametres!$C$7+Parametres!$C$8*(MAX(0,A15-Parametres!$C$18)))*(MAX(0,A15-Parametres!$C$18)))/(Parametres!$C$7+2*(MAX(0,A15-Parametres!$C$18))*SQRT(1+Parametres!$C$8^2))))&lt;=0,0,(IF((Parametres!$C$7+2*(MAX(0,A15-Parametres!$C$18))*SQRT(1+Parametres!$C$8^2))&lt;=0,0,((Parametres!$C$7+Parametres!$C$8*(MAX(0,A15-Parametres!$C$18)))*(MAX(0,A15-Parametres!$C$18)))/(Parametres!$C$7+2*(MAX(0,A15-Parametres!$C$18))*SQRT(1+Parametres!$C$8^2))))^(2/3))*SQRT(Parametres!$C$13))))</f>
        <v/>
      </c>
      <c r="E15" s="12">
        <f>C15+D15</f>
        <v/>
      </c>
      <c r="F15" s="5">
        <f>IF(IF(A15&lt;=0,0,IF(A15&lt;0.95*Parametres!$C$5,1.811*PI()*(Parametres!$C$5/2)^2*SQRT(Parametres!$C$5)*IF(Parametres!$C$25*Parametres!$C$5&lt;=0,0,(A15/(Parametres!$C$25*Parametres!$C$5))^(1/Parametres!$C$26)),IF(A15&gt;1.2*Parametres!$C$5,1.811*PI()*(Parametres!$C$5/2)^2*SQRT(Parametres!$C$5)*SQRT(MAX(0,(A15/Parametres!$C$5-Parametres!$C$28)/Parametres!$C$27)),(1-(MIN(1,MAX(0,(A15/Parametres!$C$5-0.95)/(1.2-0.95)))))*(1.811*PI()*(Parametres!$C$5/2)^2*SQRT(Parametres!$C$5)*IF(Parametres!$C$25*Parametres!$C$5&lt;=0,0,(A15/(Parametres!$C$25*Parametres!$C$5))^(1/Parametres!$C$26)))+(MIN(1,MAX(0,(A15/Parametres!$C$5-0.95)/(1.2-0.95))))*(1.811*PI()*(Parametres!$C$5/2)^2*SQRT(Parametres!$C$5)*SQRT(MAX(0,(A15/Parametres!$C$5-Parametres!$C$28)/Parametres!$C$27))))))&lt;=IF(A15&lt;Parametres!$C$5,IF(Parametres!$C$14&lt;=0,0,(1/Parametres!$C$14)*(((Parametres!$C$5/2)^2/2)*((2*ACOS(1-2*(MIN(0.999,MAX(1E-6,A15/Parametres!$C$5)))))-SIN(2*ACOS(1-2*(MIN(0.999,MAX(1E-6,A15/Parametres!$C$5)))))))*IF(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&lt;=0,0,(IF(((Parametres!$C$5/2)*(2*ACOS(1-2*(MIN(0.999,MAX(1E-6,A15/Parametres!$C$5))))))&lt;=0,0,(((Parametres!$C$5/2)^2/2)*((2*ACOS(1-2*(MIN(0.999,MAX(1E-6,A15/Parametres!$C$5)))))-SIN(2*ACOS(1-2*(MIN(0.999,MAX(1E-6,A15/Parametres!$C$5)))))))/((Parametres!$C$5/2)*(2*ACOS(1-2*(MIN(0.999,MAX(1E-6,A15/Parametres!$C$5))))))))^(2/3))*SQRT(Parametres!$C$13)),IF((A15-Parametres!$C$16+Parametres!$C$13*Parametres!$C$6)&lt;=0,0,PI()*(Parametres!$C$5/2)^2*SQRT((A15-Parametres!$C$16+Parametres!$C$13*Parametres!$C$6)/((1+Parametres!$C$29)/(2*9.81)+(Parametres!$C$14^2)*Parametres!$C$6/((Parametres!$C$5/4)^(4/3)))))),"inlet","outlet")</f>
        <v/>
      </c>
      <c r="G15" s="14">
        <f>(IF((MIN(0.999,MAX(0,MIN(A15,Parametres!$C$5)/Parametres!$C$5)))&lt;=0,0,IF(A15&gt;=Parametres!$C$5,PI()*(Parametres!$C$5/2)^2,((Parametres!$C$5/2)^2/2)*((IF((MIN(0.999,MAX(0,MIN(A15,Parametres!$C$5)/Parametres!$C$5)))&lt;=0,0,2*ACOS(1-2*(MIN(0.999,MAX(0,MIN(A15,Parametres!$C$5)/Parametres!$C$5))))))-SIN(IF((MIN(0.999,MAX(0,MIN(A15,Parametres!$C$5)/Parametres!$C$5)))&lt;=0,0,2*ACOS(1-2*(MIN(0.999,MAX(0,MIN(A15,Parametres!$C$5)/Parametres!$C$5))))))))))*Parametres!$C$6+IF((MAX(0,MIN(A15,(Parametres!$C$11-Parametres!$C$9))-(Parametres!$C$18)))&lt;=0,0,((Parametres!$C$7+Parametres!$C$8*(MAX(0,MIN(A15,(Parametres!$C$11-Parametres!$C$9))-(Parametres!$C$18))))*(MAX(0,MIN(A15,(Parametres!$C$11-Parametres!$C$9))-(Parametres!$C$18))))*Parametres!$C$6)</f>
        <v/>
      </c>
      <c r="H15" s="14">
        <f>G15+Hydrogramme_entree!$B$4*A15</f>
        <v/>
      </c>
      <c r="I15" s="14">
        <f>2*H15/(Hydrogramme_entree!$B$8*60)+E15</f>
        <v/>
      </c>
    </row>
    <row r="16">
      <c r="A16" s="12">
        <f>(12/40)*(Parametres!$C$11-Parametres!$C$9)</f>
        <v/>
      </c>
      <c r="B16" s="13">
        <f>Parametres!$C$9+A16</f>
        <v/>
      </c>
      <c r="C16" s="12">
        <f>MIN(IF(A16&lt;=0,0,IF(A16&lt;0.95*Parametres!$C$5,1.811*PI()*(Parametres!$C$5/2)^2*SQRT(Parametres!$C$5)*IF(Parametres!$C$25*Parametres!$C$5&lt;=0,0,(A16/(Parametres!$C$25*Parametres!$C$5))^(1/Parametres!$C$26)),IF(A16&gt;1.2*Parametres!$C$5,1.811*PI()*(Parametres!$C$5/2)^2*SQRT(Parametres!$C$5)*SQRT(MAX(0,(A16/Parametres!$C$5-Parametres!$C$28)/Parametres!$C$27)),(1-(MIN(1,MAX(0,(A16/Parametres!$C$5-0.95)/(1.2-0.95)))))*(1.811*PI()*(Parametres!$C$5/2)^2*SQRT(Parametres!$C$5)*IF(Parametres!$C$25*Parametres!$C$5&lt;=0,0,(A16/(Parametres!$C$25*Parametres!$C$5))^(1/Parametres!$C$26)))+(MIN(1,MAX(0,(A16/Parametres!$C$5-0.95)/(1.2-0.95))))*(1.811*PI()*(Parametres!$C$5/2)^2*SQRT(Parametres!$C$5)*SQRT(MAX(0,(A16/Parametres!$C$5-Parametres!$C$28)/Parametres!$C$27)))))),IF(A16&lt;Parametres!$C$5,IF(Parametres!$C$14&lt;=0,0,(1/Parametres!$C$14)*(((Parametres!$C$5/2)^2/2)*((2*ACOS(1-2*(MIN(0.999,MAX(1E-6,A16/Parametres!$C$5)))))-SIN(2*ACOS(1-2*(MIN(0.999,MAX(1E-6,A16/Parametres!$C$5)))))))*IF(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&lt;=0,0,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^(2/3))*SQRT(Parametres!$C$13)),IF((A16-Parametres!$C$16+Parametres!$C$13*Parametres!$C$6)&lt;=0,0,PI()*(Parametres!$C$5/2)^2*SQRT((A16-Parametres!$C$16+Parametres!$C$13*Parametres!$C$6)/((1+Parametres!$C$29)/(2*9.81)+(Parametres!$C$14^2)*Parametres!$C$6/((Parametres!$C$5/4)^(4/3)))))))</f>
        <v/>
      </c>
      <c r="D16" s="12">
        <f>IF(LOWER(Parametres!$C$17)="porous",IF((MAX(0,A16-Parametres!$C$18))&lt;=0,0,((Parametres!$C$7+Parametres!$C$8*(MAX(0,A16-Parametres!$C$18)))*(MAX(0,A16-Parametres!$C$18)))*(Parametres!$C$22*Parametres!$C$21*SQRT(9.81*Parametres!$C$20*Parametres!$C$13/(1-Parametres!$C$21)))),IF(LOWER(Parametres!$C$17)="both",IF((MAX(0,A16-Parametres!$C$18))&lt;=0,0,((Parametres!$C$7+Parametres!$C$8*(MAX(0,A16-Parametres!$C$18)))*(MAX(0,A16-Parametres!$C$18)))*(Parametres!$C$22*Parametres!$C$21*SQRT(9.81*Parametres!$C$20*Parametres!$C$13/(1-Parametres!$C$21))))+IF((MAX(0,A16-Parametres!$C$18))&lt;=0,0,(1/Parametres!$C$19)*((Parametres!$C$7+Parametres!$C$8*(MAX(0,A16-Parametres!$C$18)))*(MAX(0,A16-Parametres!$C$18)))*IF((IF((Parametres!$C$7+2*(MAX(0,A16-Parametres!$C$18))*SQRT(1+Parametres!$C$8^2))&lt;=0,0,((Parametres!$C$7+Parametres!$C$8*(MAX(0,A16-Parametres!$C$18)))*(MAX(0,A16-Parametres!$C$18)))/(Parametres!$C$7+2*(MAX(0,A16-Parametres!$C$18))*SQRT(1+Parametres!$C$8^2))))&lt;=0,0,(IF((Parametres!$C$7+2*(MAX(0,A16-Parametres!$C$18))*SQRT(1+Parametres!$C$8^2))&lt;=0,0,((Parametres!$C$7+Parametres!$C$8*(MAX(0,A16-Parametres!$C$18)))*(MAX(0,A16-Parametres!$C$18)))/(Parametres!$C$7+2*(MAX(0,A16-Parametres!$C$18))*SQRT(1+Parametres!$C$8^2))))^(2/3))*SQRT(Parametres!$C$13)),IF((MAX(0,A16-Parametres!$C$18))&lt;=0,0,(1/Parametres!$C$19)*((Parametres!$C$7+Parametres!$C$8*(MAX(0,A16-Parametres!$C$18)))*(MAX(0,A16-Parametres!$C$18)))*IF((IF((Parametres!$C$7+2*(MAX(0,A16-Parametres!$C$18))*SQRT(1+Parametres!$C$8^2))&lt;=0,0,((Parametres!$C$7+Parametres!$C$8*(MAX(0,A16-Parametres!$C$18)))*(MAX(0,A16-Parametres!$C$18)))/(Parametres!$C$7+2*(MAX(0,A16-Parametres!$C$18))*SQRT(1+Parametres!$C$8^2))))&lt;=0,0,(IF((Parametres!$C$7+2*(MAX(0,A16-Parametres!$C$18))*SQRT(1+Parametres!$C$8^2))&lt;=0,0,((Parametres!$C$7+Parametres!$C$8*(MAX(0,A16-Parametres!$C$18)))*(MAX(0,A16-Parametres!$C$18)))/(Parametres!$C$7+2*(MAX(0,A16-Parametres!$C$18))*SQRT(1+Parametres!$C$8^2))))^(2/3))*SQRT(Parametres!$C$13))))</f>
        <v/>
      </c>
      <c r="E16" s="12">
        <f>C16+D16</f>
        <v/>
      </c>
      <c r="F16" s="5">
        <f>IF(IF(A16&lt;=0,0,IF(A16&lt;0.95*Parametres!$C$5,1.811*PI()*(Parametres!$C$5/2)^2*SQRT(Parametres!$C$5)*IF(Parametres!$C$25*Parametres!$C$5&lt;=0,0,(A16/(Parametres!$C$25*Parametres!$C$5))^(1/Parametres!$C$26)),IF(A16&gt;1.2*Parametres!$C$5,1.811*PI()*(Parametres!$C$5/2)^2*SQRT(Parametres!$C$5)*SQRT(MAX(0,(A16/Parametres!$C$5-Parametres!$C$28)/Parametres!$C$27)),(1-(MIN(1,MAX(0,(A16/Parametres!$C$5-0.95)/(1.2-0.95)))))*(1.811*PI()*(Parametres!$C$5/2)^2*SQRT(Parametres!$C$5)*IF(Parametres!$C$25*Parametres!$C$5&lt;=0,0,(A16/(Parametres!$C$25*Parametres!$C$5))^(1/Parametres!$C$26)))+(MIN(1,MAX(0,(A16/Parametres!$C$5-0.95)/(1.2-0.95))))*(1.811*PI()*(Parametres!$C$5/2)^2*SQRT(Parametres!$C$5)*SQRT(MAX(0,(A16/Parametres!$C$5-Parametres!$C$28)/Parametres!$C$27))))))&lt;=IF(A16&lt;Parametres!$C$5,IF(Parametres!$C$14&lt;=0,0,(1/Parametres!$C$14)*(((Parametres!$C$5/2)^2/2)*((2*ACOS(1-2*(MIN(0.999,MAX(1E-6,A16/Parametres!$C$5)))))-SIN(2*ACOS(1-2*(MIN(0.999,MAX(1E-6,A16/Parametres!$C$5)))))))*IF(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&lt;=0,0,(IF(((Parametres!$C$5/2)*(2*ACOS(1-2*(MIN(0.999,MAX(1E-6,A16/Parametres!$C$5))))))&lt;=0,0,(((Parametres!$C$5/2)^2/2)*((2*ACOS(1-2*(MIN(0.999,MAX(1E-6,A16/Parametres!$C$5)))))-SIN(2*ACOS(1-2*(MIN(0.999,MAX(1E-6,A16/Parametres!$C$5)))))))/((Parametres!$C$5/2)*(2*ACOS(1-2*(MIN(0.999,MAX(1E-6,A16/Parametres!$C$5))))))))^(2/3))*SQRT(Parametres!$C$13)),IF((A16-Parametres!$C$16+Parametres!$C$13*Parametres!$C$6)&lt;=0,0,PI()*(Parametres!$C$5/2)^2*SQRT((A16-Parametres!$C$16+Parametres!$C$13*Parametres!$C$6)/((1+Parametres!$C$29)/(2*9.81)+(Parametres!$C$14^2)*Parametres!$C$6/((Parametres!$C$5/4)^(4/3)))))),"inlet","outlet")</f>
        <v/>
      </c>
      <c r="G16" s="14">
        <f>(IF((MIN(0.999,MAX(0,MIN(A16,Parametres!$C$5)/Parametres!$C$5)))&lt;=0,0,IF(A16&gt;=Parametres!$C$5,PI()*(Parametres!$C$5/2)^2,((Parametres!$C$5/2)^2/2)*((IF((MIN(0.999,MAX(0,MIN(A16,Parametres!$C$5)/Parametres!$C$5)))&lt;=0,0,2*ACOS(1-2*(MIN(0.999,MAX(0,MIN(A16,Parametres!$C$5)/Parametres!$C$5))))))-SIN(IF((MIN(0.999,MAX(0,MIN(A16,Parametres!$C$5)/Parametres!$C$5)))&lt;=0,0,2*ACOS(1-2*(MIN(0.999,MAX(0,MIN(A16,Parametres!$C$5)/Parametres!$C$5))))))))))*Parametres!$C$6+IF((MAX(0,MIN(A16,(Parametres!$C$11-Parametres!$C$9))-(Parametres!$C$18)))&lt;=0,0,((Parametres!$C$7+Parametres!$C$8*(MAX(0,MIN(A16,(Parametres!$C$11-Parametres!$C$9))-(Parametres!$C$18))))*(MAX(0,MIN(A16,(Parametres!$C$11-Parametres!$C$9))-(Parametres!$C$18))))*Parametres!$C$6)</f>
        <v/>
      </c>
      <c r="H16" s="14">
        <f>G16+Hydrogramme_entree!$B$4*A16</f>
        <v/>
      </c>
      <c r="I16" s="14">
        <f>2*H16/(Hydrogramme_entree!$B$8*60)+E16</f>
        <v/>
      </c>
    </row>
    <row r="17">
      <c r="A17" s="12">
        <f>(13/40)*(Parametres!$C$11-Parametres!$C$9)</f>
        <v/>
      </c>
      <c r="B17" s="13">
        <f>Parametres!$C$9+A17</f>
        <v/>
      </c>
      <c r="C17" s="12">
        <f>MIN(IF(A17&lt;=0,0,IF(A17&lt;0.95*Parametres!$C$5,1.811*PI()*(Parametres!$C$5/2)^2*SQRT(Parametres!$C$5)*IF(Parametres!$C$25*Parametres!$C$5&lt;=0,0,(A17/(Parametres!$C$25*Parametres!$C$5))^(1/Parametres!$C$26)),IF(A17&gt;1.2*Parametres!$C$5,1.811*PI()*(Parametres!$C$5/2)^2*SQRT(Parametres!$C$5)*SQRT(MAX(0,(A17/Parametres!$C$5-Parametres!$C$28)/Parametres!$C$27)),(1-(MIN(1,MAX(0,(A17/Parametres!$C$5-0.95)/(1.2-0.95)))))*(1.811*PI()*(Parametres!$C$5/2)^2*SQRT(Parametres!$C$5)*IF(Parametres!$C$25*Parametres!$C$5&lt;=0,0,(A17/(Parametres!$C$25*Parametres!$C$5))^(1/Parametres!$C$26)))+(MIN(1,MAX(0,(A17/Parametres!$C$5-0.95)/(1.2-0.95))))*(1.811*PI()*(Parametres!$C$5/2)^2*SQRT(Parametres!$C$5)*SQRT(MAX(0,(A17/Parametres!$C$5-Parametres!$C$28)/Parametres!$C$27)))))),IF(A17&lt;Parametres!$C$5,IF(Parametres!$C$14&lt;=0,0,(1/Parametres!$C$14)*(((Parametres!$C$5/2)^2/2)*((2*ACOS(1-2*(MIN(0.999,MAX(1E-6,A17/Parametres!$C$5)))))-SIN(2*ACOS(1-2*(MIN(0.999,MAX(1E-6,A17/Parametres!$C$5)))))))*IF(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&lt;=0,0,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^(2/3))*SQRT(Parametres!$C$13)),IF((A17-Parametres!$C$16+Parametres!$C$13*Parametres!$C$6)&lt;=0,0,PI()*(Parametres!$C$5/2)^2*SQRT((A17-Parametres!$C$16+Parametres!$C$13*Parametres!$C$6)/((1+Parametres!$C$29)/(2*9.81)+(Parametres!$C$14^2)*Parametres!$C$6/((Parametres!$C$5/4)^(4/3)))))))</f>
        <v/>
      </c>
      <c r="D17" s="12">
        <f>IF(LOWER(Parametres!$C$17)="porous",IF((MAX(0,A17-Parametres!$C$18))&lt;=0,0,((Parametres!$C$7+Parametres!$C$8*(MAX(0,A17-Parametres!$C$18)))*(MAX(0,A17-Parametres!$C$18)))*(Parametres!$C$22*Parametres!$C$21*SQRT(9.81*Parametres!$C$20*Parametres!$C$13/(1-Parametres!$C$21)))),IF(LOWER(Parametres!$C$17)="both",IF((MAX(0,A17-Parametres!$C$18))&lt;=0,0,((Parametres!$C$7+Parametres!$C$8*(MAX(0,A17-Parametres!$C$18)))*(MAX(0,A17-Parametres!$C$18)))*(Parametres!$C$22*Parametres!$C$21*SQRT(9.81*Parametres!$C$20*Parametres!$C$13/(1-Parametres!$C$21))))+IF((MAX(0,A17-Parametres!$C$18))&lt;=0,0,(1/Parametres!$C$19)*((Parametres!$C$7+Parametres!$C$8*(MAX(0,A17-Parametres!$C$18)))*(MAX(0,A17-Parametres!$C$18)))*IF((IF((Parametres!$C$7+2*(MAX(0,A17-Parametres!$C$18))*SQRT(1+Parametres!$C$8^2))&lt;=0,0,((Parametres!$C$7+Parametres!$C$8*(MAX(0,A17-Parametres!$C$18)))*(MAX(0,A17-Parametres!$C$18)))/(Parametres!$C$7+2*(MAX(0,A17-Parametres!$C$18))*SQRT(1+Parametres!$C$8^2))))&lt;=0,0,(IF((Parametres!$C$7+2*(MAX(0,A17-Parametres!$C$18))*SQRT(1+Parametres!$C$8^2))&lt;=0,0,((Parametres!$C$7+Parametres!$C$8*(MAX(0,A17-Parametres!$C$18)))*(MAX(0,A17-Parametres!$C$18)))/(Parametres!$C$7+2*(MAX(0,A17-Parametres!$C$18))*SQRT(1+Parametres!$C$8^2))))^(2/3))*SQRT(Parametres!$C$13)),IF((MAX(0,A17-Parametres!$C$18))&lt;=0,0,(1/Parametres!$C$19)*((Parametres!$C$7+Parametres!$C$8*(MAX(0,A17-Parametres!$C$18)))*(MAX(0,A17-Parametres!$C$18)))*IF((IF((Parametres!$C$7+2*(MAX(0,A17-Parametres!$C$18))*SQRT(1+Parametres!$C$8^2))&lt;=0,0,((Parametres!$C$7+Parametres!$C$8*(MAX(0,A17-Parametres!$C$18)))*(MAX(0,A17-Parametres!$C$18)))/(Parametres!$C$7+2*(MAX(0,A17-Parametres!$C$18))*SQRT(1+Parametres!$C$8^2))))&lt;=0,0,(IF((Parametres!$C$7+2*(MAX(0,A17-Parametres!$C$18))*SQRT(1+Parametres!$C$8^2))&lt;=0,0,((Parametres!$C$7+Parametres!$C$8*(MAX(0,A17-Parametres!$C$18)))*(MAX(0,A17-Parametres!$C$18)))/(Parametres!$C$7+2*(MAX(0,A17-Parametres!$C$18))*SQRT(1+Parametres!$C$8^2))))^(2/3))*SQRT(Parametres!$C$13))))</f>
        <v/>
      </c>
      <c r="E17" s="12">
        <f>C17+D17</f>
        <v/>
      </c>
      <c r="F17" s="5">
        <f>IF(IF(A17&lt;=0,0,IF(A17&lt;0.95*Parametres!$C$5,1.811*PI()*(Parametres!$C$5/2)^2*SQRT(Parametres!$C$5)*IF(Parametres!$C$25*Parametres!$C$5&lt;=0,0,(A17/(Parametres!$C$25*Parametres!$C$5))^(1/Parametres!$C$26)),IF(A17&gt;1.2*Parametres!$C$5,1.811*PI()*(Parametres!$C$5/2)^2*SQRT(Parametres!$C$5)*SQRT(MAX(0,(A17/Parametres!$C$5-Parametres!$C$28)/Parametres!$C$27)),(1-(MIN(1,MAX(0,(A17/Parametres!$C$5-0.95)/(1.2-0.95)))))*(1.811*PI()*(Parametres!$C$5/2)^2*SQRT(Parametres!$C$5)*IF(Parametres!$C$25*Parametres!$C$5&lt;=0,0,(A17/(Parametres!$C$25*Parametres!$C$5))^(1/Parametres!$C$26)))+(MIN(1,MAX(0,(A17/Parametres!$C$5-0.95)/(1.2-0.95))))*(1.811*PI()*(Parametres!$C$5/2)^2*SQRT(Parametres!$C$5)*SQRT(MAX(0,(A17/Parametres!$C$5-Parametres!$C$28)/Parametres!$C$27))))))&lt;=IF(A17&lt;Parametres!$C$5,IF(Parametres!$C$14&lt;=0,0,(1/Parametres!$C$14)*(((Parametres!$C$5/2)^2/2)*((2*ACOS(1-2*(MIN(0.999,MAX(1E-6,A17/Parametres!$C$5)))))-SIN(2*ACOS(1-2*(MIN(0.999,MAX(1E-6,A17/Parametres!$C$5)))))))*IF(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&lt;=0,0,(IF(((Parametres!$C$5/2)*(2*ACOS(1-2*(MIN(0.999,MAX(1E-6,A17/Parametres!$C$5))))))&lt;=0,0,(((Parametres!$C$5/2)^2/2)*((2*ACOS(1-2*(MIN(0.999,MAX(1E-6,A17/Parametres!$C$5)))))-SIN(2*ACOS(1-2*(MIN(0.999,MAX(1E-6,A17/Parametres!$C$5)))))))/((Parametres!$C$5/2)*(2*ACOS(1-2*(MIN(0.999,MAX(1E-6,A17/Parametres!$C$5))))))))^(2/3))*SQRT(Parametres!$C$13)),IF((A17-Parametres!$C$16+Parametres!$C$13*Parametres!$C$6)&lt;=0,0,PI()*(Parametres!$C$5/2)^2*SQRT((A17-Parametres!$C$16+Parametres!$C$13*Parametres!$C$6)/((1+Parametres!$C$29)/(2*9.81)+(Parametres!$C$14^2)*Parametres!$C$6/((Parametres!$C$5/4)^(4/3)))))),"inlet","outlet")</f>
        <v/>
      </c>
      <c r="G17" s="14">
        <f>(IF((MIN(0.999,MAX(0,MIN(A17,Parametres!$C$5)/Parametres!$C$5)))&lt;=0,0,IF(A17&gt;=Parametres!$C$5,PI()*(Parametres!$C$5/2)^2,((Parametres!$C$5/2)^2/2)*((IF((MIN(0.999,MAX(0,MIN(A17,Parametres!$C$5)/Parametres!$C$5)))&lt;=0,0,2*ACOS(1-2*(MIN(0.999,MAX(0,MIN(A17,Parametres!$C$5)/Parametres!$C$5))))))-SIN(IF((MIN(0.999,MAX(0,MIN(A17,Parametres!$C$5)/Parametres!$C$5)))&lt;=0,0,2*ACOS(1-2*(MIN(0.999,MAX(0,MIN(A17,Parametres!$C$5)/Parametres!$C$5))))))))))*Parametres!$C$6+IF((MAX(0,MIN(A17,(Parametres!$C$11-Parametres!$C$9))-(Parametres!$C$18)))&lt;=0,0,((Parametres!$C$7+Parametres!$C$8*(MAX(0,MIN(A17,(Parametres!$C$11-Parametres!$C$9))-(Parametres!$C$18))))*(MAX(0,MIN(A17,(Parametres!$C$11-Parametres!$C$9))-(Parametres!$C$18))))*Parametres!$C$6)</f>
        <v/>
      </c>
      <c r="H17" s="14">
        <f>G17+Hydrogramme_entree!$B$4*A17</f>
        <v/>
      </c>
      <c r="I17" s="14">
        <f>2*H17/(Hydrogramme_entree!$B$8*60)+E17</f>
        <v/>
      </c>
    </row>
    <row r="18">
      <c r="A18" s="12">
        <f>(14/40)*(Parametres!$C$11-Parametres!$C$9)</f>
        <v/>
      </c>
      <c r="B18" s="13">
        <f>Parametres!$C$9+A18</f>
        <v/>
      </c>
      <c r="C18" s="12">
        <f>MIN(IF(A18&lt;=0,0,IF(A18&lt;0.95*Parametres!$C$5,1.811*PI()*(Parametres!$C$5/2)^2*SQRT(Parametres!$C$5)*IF(Parametres!$C$25*Parametres!$C$5&lt;=0,0,(A18/(Parametres!$C$25*Parametres!$C$5))^(1/Parametres!$C$26)),IF(A18&gt;1.2*Parametres!$C$5,1.811*PI()*(Parametres!$C$5/2)^2*SQRT(Parametres!$C$5)*SQRT(MAX(0,(A18/Parametres!$C$5-Parametres!$C$28)/Parametres!$C$27)),(1-(MIN(1,MAX(0,(A18/Parametres!$C$5-0.95)/(1.2-0.95)))))*(1.811*PI()*(Parametres!$C$5/2)^2*SQRT(Parametres!$C$5)*IF(Parametres!$C$25*Parametres!$C$5&lt;=0,0,(A18/(Parametres!$C$25*Parametres!$C$5))^(1/Parametres!$C$26)))+(MIN(1,MAX(0,(A18/Parametres!$C$5-0.95)/(1.2-0.95))))*(1.811*PI()*(Parametres!$C$5/2)^2*SQRT(Parametres!$C$5)*SQRT(MAX(0,(A18/Parametres!$C$5-Parametres!$C$28)/Parametres!$C$27)))))),IF(A18&lt;Parametres!$C$5,IF(Parametres!$C$14&lt;=0,0,(1/Parametres!$C$14)*(((Parametres!$C$5/2)^2/2)*((2*ACOS(1-2*(MIN(0.999,MAX(1E-6,A18/Parametres!$C$5)))))-SIN(2*ACOS(1-2*(MIN(0.999,MAX(1E-6,A18/Parametres!$C$5)))))))*IF(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&lt;=0,0,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^(2/3))*SQRT(Parametres!$C$13)),IF((A18-Parametres!$C$16+Parametres!$C$13*Parametres!$C$6)&lt;=0,0,PI()*(Parametres!$C$5/2)^2*SQRT((A18-Parametres!$C$16+Parametres!$C$13*Parametres!$C$6)/((1+Parametres!$C$29)/(2*9.81)+(Parametres!$C$14^2)*Parametres!$C$6/((Parametres!$C$5/4)^(4/3)))))))</f>
        <v/>
      </c>
      <c r="D18" s="12">
        <f>IF(LOWER(Parametres!$C$17)="porous",IF((MAX(0,A18-Parametres!$C$18))&lt;=0,0,((Parametres!$C$7+Parametres!$C$8*(MAX(0,A18-Parametres!$C$18)))*(MAX(0,A18-Parametres!$C$18)))*(Parametres!$C$22*Parametres!$C$21*SQRT(9.81*Parametres!$C$20*Parametres!$C$13/(1-Parametres!$C$21)))),IF(LOWER(Parametres!$C$17)="both",IF((MAX(0,A18-Parametres!$C$18))&lt;=0,0,((Parametres!$C$7+Parametres!$C$8*(MAX(0,A18-Parametres!$C$18)))*(MAX(0,A18-Parametres!$C$18)))*(Parametres!$C$22*Parametres!$C$21*SQRT(9.81*Parametres!$C$20*Parametres!$C$13/(1-Parametres!$C$21))))+IF((MAX(0,A18-Parametres!$C$18))&lt;=0,0,(1/Parametres!$C$19)*((Parametres!$C$7+Parametres!$C$8*(MAX(0,A18-Parametres!$C$18)))*(MAX(0,A18-Parametres!$C$18)))*IF((IF((Parametres!$C$7+2*(MAX(0,A18-Parametres!$C$18))*SQRT(1+Parametres!$C$8^2))&lt;=0,0,((Parametres!$C$7+Parametres!$C$8*(MAX(0,A18-Parametres!$C$18)))*(MAX(0,A18-Parametres!$C$18)))/(Parametres!$C$7+2*(MAX(0,A18-Parametres!$C$18))*SQRT(1+Parametres!$C$8^2))))&lt;=0,0,(IF((Parametres!$C$7+2*(MAX(0,A18-Parametres!$C$18))*SQRT(1+Parametres!$C$8^2))&lt;=0,0,((Parametres!$C$7+Parametres!$C$8*(MAX(0,A18-Parametres!$C$18)))*(MAX(0,A18-Parametres!$C$18)))/(Parametres!$C$7+2*(MAX(0,A18-Parametres!$C$18))*SQRT(1+Parametres!$C$8^2))))^(2/3))*SQRT(Parametres!$C$13)),IF((MAX(0,A18-Parametres!$C$18))&lt;=0,0,(1/Parametres!$C$19)*((Parametres!$C$7+Parametres!$C$8*(MAX(0,A18-Parametres!$C$18)))*(MAX(0,A18-Parametres!$C$18)))*IF((IF((Parametres!$C$7+2*(MAX(0,A18-Parametres!$C$18))*SQRT(1+Parametres!$C$8^2))&lt;=0,0,((Parametres!$C$7+Parametres!$C$8*(MAX(0,A18-Parametres!$C$18)))*(MAX(0,A18-Parametres!$C$18)))/(Parametres!$C$7+2*(MAX(0,A18-Parametres!$C$18))*SQRT(1+Parametres!$C$8^2))))&lt;=0,0,(IF((Parametres!$C$7+2*(MAX(0,A18-Parametres!$C$18))*SQRT(1+Parametres!$C$8^2))&lt;=0,0,((Parametres!$C$7+Parametres!$C$8*(MAX(0,A18-Parametres!$C$18)))*(MAX(0,A18-Parametres!$C$18)))/(Parametres!$C$7+2*(MAX(0,A18-Parametres!$C$18))*SQRT(1+Parametres!$C$8^2))))^(2/3))*SQRT(Parametres!$C$13))))</f>
        <v/>
      </c>
      <c r="E18" s="12">
        <f>C18+D18</f>
        <v/>
      </c>
      <c r="F18" s="5">
        <f>IF(IF(A18&lt;=0,0,IF(A18&lt;0.95*Parametres!$C$5,1.811*PI()*(Parametres!$C$5/2)^2*SQRT(Parametres!$C$5)*IF(Parametres!$C$25*Parametres!$C$5&lt;=0,0,(A18/(Parametres!$C$25*Parametres!$C$5))^(1/Parametres!$C$26)),IF(A18&gt;1.2*Parametres!$C$5,1.811*PI()*(Parametres!$C$5/2)^2*SQRT(Parametres!$C$5)*SQRT(MAX(0,(A18/Parametres!$C$5-Parametres!$C$28)/Parametres!$C$27)),(1-(MIN(1,MAX(0,(A18/Parametres!$C$5-0.95)/(1.2-0.95)))))*(1.811*PI()*(Parametres!$C$5/2)^2*SQRT(Parametres!$C$5)*IF(Parametres!$C$25*Parametres!$C$5&lt;=0,0,(A18/(Parametres!$C$25*Parametres!$C$5))^(1/Parametres!$C$26)))+(MIN(1,MAX(0,(A18/Parametres!$C$5-0.95)/(1.2-0.95))))*(1.811*PI()*(Parametres!$C$5/2)^2*SQRT(Parametres!$C$5)*SQRT(MAX(0,(A18/Parametres!$C$5-Parametres!$C$28)/Parametres!$C$27))))))&lt;=IF(A18&lt;Parametres!$C$5,IF(Parametres!$C$14&lt;=0,0,(1/Parametres!$C$14)*(((Parametres!$C$5/2)^2/2)*((2*ACOS(1-2*(MIN(0.999,MAX(1E-6,A18/Parametres!$C$5)))))-SIN(2*ACOS(1-2*(MIN(0.999,MAX(1E-6,A18/Parametres!$C$5)))))))*IF(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&lt;=0,0,(IF(((Parametres!$C$5/2)*(2*ACOS(1-2*(MIN(0.999,MAX(1E-6,A18/Parametres!$C$5))))))&lt;=0,0,(((Parametres!$C$5/2)^2/2)*((2*ACOS(1-2*(MIN(0.999,MAX(1E-6,A18/Parametres!$C$5)))))-SIN(2*ACOS(1-2*(MIN(0.999,MAX(1E-6,A18/Parametres!$C$5)))))))/((Parametres!$C$5/2)*(2*ACOS(1-2*(MIN(0.999,MAX(1E-6,A18/Parametres!$C$5))))))))^(2/3))*SQRT(Parametres!$C$13)),IF((A18-Parametres!$C$16+Parametres!$C$13*Parametres!$C$6)&lt;=0,0,PI()*(Parametres!$C$5/2)^2*SQRT((A18-Parametres!$C$16+Parametres!$C$13*Parametres!$C$6)/((1+Parametres!$C$29)/(2*9.81)+(Parametres!$C$14^2)*Parametres!$C$6/((Parametres!$C$5/4)^(4/3)))))),"inlet","outlet")</f>
        <v/>
      </c>
      <c r="G18" s="14">
        <f>(IF((MIN(0.999,MAX(0,MIN(A18,Parametres!$C$5)/Parametres!$C$5)))&lt;=0,0,IF(A18&gt;=Parametres!$C$5,PI()*(Parametres!$C$5/2)^2,((Parametres!$C$5/2)^2/2)*((IF((MIN(0.999,MAX(0,MIN(A18,Parametres!$C$5)/Parametres!$C$5)))&lt;=0,0,2*ACOS(1-2*(MIN(0.999,MAX(0,MIN(A18,Parametres!$C$5)/Parametres!$C$5))))))-SIN(IF((MIN(0.999,MAX(0,MIN(A18,Parametres!$C$5)/Parametres!$C$5)))&lt;=0,0,2*ACOS(1-2*(MIN(0.999,MAX(0,MIN(A18,Parametres!$C$5)/Parametres!$C$5))))))))))*Parametres!$C$6+IF((MAX(0,MIN(A18,(Parametres!$C$11-Parametres!$C$9))-(Parametres!$C$18)))&lt;=0,0,((Parametres!$C$7+Parametres!$C$8*(MAX(0,MIN(A18,(Parametres!$C$11-Parametres!$C$9))-(Parametres!$C$18))))*(MAX(0,MIN(A18,(Parametres!$C$11-Parametres!$C$9))-(Parametres!$C$18))))*Parametres!$C$6)</f>
        <v/>
      </c>
      <c r="H18" s="14">
        <f>G18+Hydrogramme_entree!$B$4*A18</f>
        <v/>
      </c>
      <c r="I18" s="14">
        <f>2*H18/(Hydrogramme_entree!$B$8*60)+E18</f>
        <v/>
      </c>
    </row>
    <row r="19">
      <c r="A19" s="12">
        <f>(15/40)*(Parametres!$C$11-Parametres!$C$9)</f>
        <v/>
      </c>
      <c r="B19" s="13">
        <f>Parametres!$C$9+A19</f>
        <v/>
      </c>
      <c r="C19" s="12">
        <f>MIN(IF(A19&lt;=0,0,IF(A19&lt;0.95*Parametres!$C$5,1.811*PI()*(Parametres!$C$5/2)^2*SQRT(Parametres!$C$5)*IF(Parametres!$C$25*Parametres!$C$5&lt;=0,0,(A19/(Parametres!$C$25*Parametres!$C$5))^(1/Parametres!$C$26)),IF(A19&gt;1.2*Parametres!$C$5,1.811*PI()*(Parametres!$C$5/2)^2*SQRT(Parametres!$C$5)*SQRT(MAX(0,(A19/Parametres!$C$5-Parametres!$C$28)/Parametres!$C$27)),(1-(MIN(1,MAX(0,(A19/Parametres!$C$5-0.95)/(1.2-0.95)))))*(1.811*PI()*(Parametres!$C$5/2)^2*SQRT(Parametres!$C$5)*IF(Parametres!$C$25*Parametres!$C$5&lt;=0,0,(A19/(Parametres!$C$25*Parametres!$C$5))^(1/Parametres!$C$26)))+(MIN(1,MAX(0,(A19/Parametres!$C$5-0.95)/(1.2-0.95))))*(1.811*PI()*(Parametres!$C$5/2)^2*SQRT(Parametres!$C$5)*SQRT(MAX(0,(A19/Parametres!$C$5-Parametres!$C$28)/Parametres!$C$27)))))),IF(A19&lt;Parametres!$C$5,IF(Parametres!$C$14&lt;=0,0,(1/Parametres!$C$14)*(((Parametres!$C$5/2)^2/2)*((2*ACOS(1-2*(MIN(0.999,MAX(1E-6,A19/Parametres!$C$5)))))-SIN(2*ACOS(1-2*(MIN(0.999,MAX(1E-6,A19/Parametres!$C$5)))))))*IF(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&lt;=0,0,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^(2/3))*SQRT(Parametres!$C$13)),IF((A19-Parametres!$C$16+Parametres!$C$13*Parametres!$C$6)&lt;=0,0,PI()*(Parametres!$C$5/2)^2*SQRT((A19-Parametres!$C$16+Parametres!$C$13*Parametres!$C$6)/((1+Parametres!$C$29)/(2*9.81)+(Parametres!$C$14^2)*Parametres!$C$6/((Parametres!$C$5/4)^(4/3)))))))</f>
        <v/>
      </c>
      <c r="D19" s="12">
        <f>IF(LOWER(Parametres!$C$17)="porous",IF((MAX(0,A19-Parametres!$C$18))&lt;=0,0,((Parametres!$C$7+Parametres!$C$8*(MAX(0,A19-Parametres!$C$18)))*(MAX(0,A19-Parametres!$C$18)))*(Parametres!$C$22*Parametres!$C$21*SQRT(9.81*Parametres!$C$20*Parametres!$C$13/(1-Parametres!$C$21)))),IF(LOWER(Parametres!$C$17)="both",IF((MAX(0,A19-Parametres!$C$18))&lt;=0,0,((Parametres!$C$7+Parametres!$C$8*(MAX(0,A19-Parametres!$C$18)))*(MAX(0,A19-Parametres!$C$18)))*(Parametres!$C$22*Parametres!$C$21*SQRT(9.81*Parametres!$C$20*Parametres!$C$13/(1-Parametres!$C$21))))+IF((MAX(0,A19-Parametres!$C$18))&lt;=0,0,(1/Parametres!$C$19)*((Parametres!$C$7+Parametres!$C$8*(MAX(0,A19-Parametres!$C$18)))*(MAX(0,A19-Parametres!$C$18)))*IF((IF((Parametres!$C$7+2*(MAX(0,A19-Parametres!$C$18))*SQRT(1+Parametres!$C$8^2))&lt;=0,0,((Parametres!$C$7+Parametres!$C$8*(MAX(0,A19-Parametres!$C$18)))*(MAX(0,A19-Parametres!$C$18)))/(Parametres!$C$7+2*(MAX(0,A19-Parametres!$C$18))*SQRT(1+Parametres!$C$8^2))))&lt;=0,0,(IF((Parametres!$C$7+2*(MAX(0,A19-Parametres!$C$18))*SQRT(1+Parametres!$C$8^2))&lt;=0,0,((Parametres!$C$7+Parametres!$C$8*(MAX(0,A19-Parametres!$C$18)))*(MAX(0,A19-Parametres!$C$18)))/(Parametres!$C$7+2*(MAX(0,A19-Parametres!$C$18))*SQRT(1+Parametres!$C$8^2))))^(2/3))*SQRT(Parametres!$C$13)),IF((MAX(0,A19-Parametres!$C$18))&lt;=0,0,(1/Parametres!$C$19)*((Parametres!$C$7+Parametres!$C$8*(MAX(0,A19-Parametres!$C$18)))*(MAX(0,A19-Parametres!$C$18)))*IF((IF((Parametres!$C$7+2*(MAX(0,A19-Parametres!$C$18))*SQRT(1+Parametres!$C$8^2))&lt;=0,0,((Parametres!$C$7+Parametres!$C$8*(MAX(0,A19-Parametres!$C$18)))*(MAX(0,A19-Parametres!$C$18)))/(Parametres!$C$7+2*(MAX(0,A19-Parametres!$C$18))*SQRT(1+Parametres!$C$8^2))))&lt;=0,0,(IF((Parametres!$C$7+2*(MAX(0,A19-Parametres!$C$18))*SQRT(1+Parametres!$C$8^2))&lt;=0,0,((Parametres!$C$7+Parametres!$C$8*(MAX(0,A19-Parametres!$C$18)))*(MAX(0,A19-Parametres!$C$18)))/(Parametres!$C$7+2*(MAX(0,A19-Parametres!$C$18))*SQRT(1+Parametres!$C$8^2))))^(2/3))*SQRT(Parametres!$C$13))))</f>
        <v/>
      </c>
      <c r="E19" s="12">
        <f>C19+D19</f>
        <v/>
      </c>
      <c r="F19" s="5">
        <f>IF(IF(A19&lt;=0,0,IF(A19&lt;0.95*Parametres!$C$5,1.811*PI()*(Parametres!$C$5/2)^2*SQRT(Parametres!$C$5)*IF(Parametres!$C$25*Parametres!$C$5&lt;=0,0,(A19/(Parametres!$C$25*Parametres!$C$5))^(1/Parametres!$C$26)),IF(A19&gt;1.2*Parametres!$C$5,1.811*PI()*(Parametres!$C$5/2)^2*SQRT(Parametres!$C$5)*SQRT(MAX(0,(A19/Parametres!$C$5-Parametres!$C$28)/Parametres!$C$27)),(1-(MIN(1,MAX(0,(A19/Parametres!$C$5-0.95)/(1.2-0.95)))))*(1.811*PI()*(Parametres!$C$5/2)^2*SQRT(Parametres!$C$5)*IF(Parametres!$C$25*Parametres!$C$5&lt;=0,0,(A19/(Parametres!$C$25*Parametres!$C$5))^(1/Parametres!$C$26)))+(MIN(1,MAX(0,(A19/Parametres!$C$5-0.95)/(1.2-0.95))))*(1.811*PI()*(Parametres!$C$5/2)^2*SQRT(Parametres!$C$5)*SQRT(MAX(0,(A19/Parametres!$C$5-Parametres!$C$28)/Parametres!$C$27))))))&lt;=IF(A19&lt;Parametres!$C$5,IF(Parametres!$C$14&lt;=0,0,(1/Parametres!$C$14)*(((Parametres!$C$5/2)^2/2)*((2*ACOS(1-2*(MIN(0.999,MAX(1E-6,A19/Parametres!$C$5)))))-SIN(2*ACOS(1-2*(MIN(0.999,MAX(1E-6,A19/Parametres!$C$5)))))))*IF(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&lt;=0,0,(IF(((Parametres!$C$5/2)*(2*ACOS(1-2*(MIN(0.999,MAX(1E-6,A19/Parametres!$C$5))))))&lt;=0,0,(((Parametres!$C$5/2)^2/2)*((2*ACOS(1-2*(MIN(0.999,MAX(1E-6,A19/Parametres!$C$5)))))-SIN(2*ACOS(1-2*(MIN(0.999,MAX(1E-6,A19/Parametres!$C$5)))))))/((Parametres!$C$5/2)*(2*ACOS(1-2*(MIN(0.999,MAX(1E-6,A19/Parametres!$C$5))))))))^(2/3))*SQRT(Parametres!$C$13)),IF((A19-Parametres!$C$16+Parametres!$C$13*Parametres!$C$6)&lt;=0,0,PI()*(Parametres!$C$5/2)^2*SQRT((A19-Parametres!$C$16+Parametres!$C$13*Parametres!$C$6)/((1+Parametres!$C$29)/(2*9.81)+(Parametres!$C$14^2)*Parametres!$C$6/((Parametres!$C$5/4)^(4/3)))))),"inlet","outlet")</f>
        <v/>
      </c>
      <c r="G19" s="14">
        <f>(IF((MIN(0.999,MAX(0,MIN(A19,Parametres!$C$5)/Parametres!$C$5)))&lt;=0,0,IF(A19&gt;=Parametres!$C$5,PI()*(Parametres!$C$5/2)^2,((Parametres!$C$5/2)^2/2)*((IF((MIN(0.999,MAX(0,MIN(A19,Parametres!$C$5)/Parametres!$C$5)))&lt;=0,0,2*ACOS(1-2*(MIN(0.999,MAX(0,MIN(A19,Parametres!$C$5)/Parametres!$C$5))))))-SIN(IF((MIN(0.999,MAX(0,MIN(A19,Parametres!$C$5)/Parametres!$C$5)))&lt;=0,0,2*ACOS(1-2*(MIN(0.999,MAX(0,MIN(A19,Parametres!$C$5)/Parametres!$C$5))))))))))*Parametres!$C$6+IF((MAX(0,MIN(A19,(Parametres!$C$11-Parametres!$C$9))-(Parametres!$C$18)))&lt;=0,0,((Parametres!$C$7+Parametres!$C$8*(MAX(0,MIN(A19,(Parametres!$C$11-Parametres!$C$9))-(Parametres!$C$18))))*(MAX(0,MIN(A19,(Parametres!$C$11-Parametres!$C$9))-(Parametres!$C$18))))*Parametres!$C$6)</f>
        <v/>
      </c>
      <c r="H19" s="14">
        <f>G19+Hydrogramme_entree!$B$4*A19</f>
        <v/>
      </c>
      <c r="I19" s="14">
        <f>2*H19/(Hydrogramme_entree!$B$8*60)+E19</f>
        <v/>
      </c>
    </row>
    <row r="20">
      <c r="A20" s="12">
        <f>(16/40)*(Parametres!$C$11-Parametres!$C$9)</f>
        <v/>
      </c>
      <c r="B20" s="13">
        <f>Parametres!$C$9+A20</f>
        <v/>
      </c>
      <c r="C20" s="12">
        <f>MIN(IF(A20&lt;=0,0,IF(A20&lt;0.95*Parametres!$C$5,1.811*PI()*(Parametres!$C$5/2)^2*SQRT(Parametres!$C$5)*IF(Parametres!$C$25*Parametres!$C$5&lt;=0,0,(A20/(Parametres!$C$25*Parametres!$C$5))^(1/Parametres!$C$26)),IF(A20&gt;1.2*Parametres!$C$5,1.811*PI()*(Parametres!$C$5/2)^2*SQRT(Parametres!$C$5)*SQRT(MAX(0,(A20/Parametres!$C$5-Parametres!$C$28)/Parametres!$C$27)),(1-(MIN(1,MAX(0,(A20/Parametres!$C$5-0.95)/(1.2-0.95)))))*(1.811*PI()*(Parametres!$C$5/2)^2*SQRT(Parametres!$C$5)*IF(Parametres!$C$25*Parametres!$C$5&lt;=0,0,(A20/(Parametres!$C$25*Parametres!$C$5))^(1/Parametres!$C$26)))+(MIN(1,MAX(0,(A20/Parametres!$C$5-0.95)/(1.2-0.95))))*(1.811*PI()*(Parametres!$C$5/2)^2*SQRT(Parametres!$C$5)*SQRT(MAX(0,(A20/Parametres!$C$5-Parametres!$C$28)/Parametres!$C$27)))))),IF(A20&lt;Parametres!$C$5,IF(Parametres!$C$14&lt;=0,0,(1/Parametres!$C$14)*(((Parametres!$C$5/2)^2/2)*((2*ACOS(1-2*(MIN(0.999,MAX(1E-6,A20/Parametres!$C$5)))))-SIN(2*ACOS(1-2*(MIN(0.999,MAX(1E-6,A20/Parametres!$C$5)))))))*IF(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&lt;=0,0,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^(2/3))*SQRT(Parametres!$C$13)),IF((A20-Parametres!$C$16+Parametres!$C$13*Parametres!$C$6)&lt;=0,0,PI()*(Parametres!$C$5/2)^2*SQRT((A20-Parametres!$C$16+Parametres!$C$13*Parametres!$C$6)/((1+Parametres!$C$29)/(2*9.81)+(Parametres!$C$14^2)*Parametres!$C$6/((Parametres!$C$5/4)^(4/3)))))))</f>
        <v/>
      </c>
      <c r="D20" s="12">
        <f>IF(LOWER(Parametres!$C$17)="porous",IF((MAX(0,A20-Parametres!$C$18))&lt;=0,0,((Parametres!$C$7+Parametres!$C$8*(MAX(0,A20-Parametres!$C$18)))*(MAX(0,A20-Parametres!$C$18)))*(Parametres!$C$22*Parametres!$C$21*SQRT(9.81*Parametres!$C$20*Parametres!$C$13/(1-Parametres!$C$21)))),IF(LOWER(Parametres!$C$17)="both",IF((MAX(0,A20-Parametres!$C$18))&lt;=0,0,((Parametres!$C$7+Parametres!$C$8*(MAX(0,A20-Parametres!$C$18)))*(MAX(0,A20-Parametres!$C$18)))*(Parametres!$C$22*Parametres!$C$21*SQRT(9.81*Parametres!$C$20*Parametres!$C$13/(1-Parametres!$C$21))))+IF((MAX(0,A20-Parametres!$C$18))&lt;=0,0,(1/Parametres!$C$19)*((Parametres!$C$7+Parametres!$C$8*(MAX(0,A20-Parametres!$C$18)))*(MAX(0,A20-Parametres!$C$18)))*IF((IF((Parametres!$C$7+2*(MAX(0,A20-Parametres!$C$18))*SQRT(1+Parametres!$C$8^2))&lt;=0,0,((Parametres!$C$7+Parametres!$C$8*(MAX(0,A20-Parametres!$C$18)))*(MAX(0,A20-Parametres!$C$18)))/(Parametres!$C$7+2*(MAX(0,A20-Parametres!$C$18))*SQRT(1+Parametres!$C$8^2))))&lt;=0,0,(IF((Parametres!$C$7+2*(MAX(0,A20-Parametres!$C$18))*SQRT(1+Parametres!$C$8^2))&lt;=0,0,((Parametres!$C$7+Parametres!$C$8*(MAX(0,A20-Parametres!$C$18)))*(MAX(0,A20-Parametres!$C$18)))/(Parametres!$C$7+2*(MAX(0,A20-Parametres!$C$18))*SQRT(1+Parametres!$C$8^2))))^(2/3))*SQRT(Parametres!$C$13)),IF((MAX(0,A20-Parametres!$C$18))&lt;=0,0,(1/Parametres!$C$19)*((Parametres!$C$7+Parametres!$C$8*(MAX(0,A20-Parametres!$C$18)))*(MAX(0,A20-Parametres!$C$18)))*IF((IF((Parametres!$C$7+2*(MAX(0,A20-Parametres!$C$18))*SQRT(1+Parametres!$C$8^2))&lt;=0,0,((Parametres!$C$7+Parametres!$C$8*(MAX(0,A20-Parametres!$C$18)))*(MAX(0,A20-Parametres!$C$18)))/(Parametres!$C$7+2*(MAX(0,A20-Parametres!$C$18))*SQRT(1+Parametres!$C$8^2))))&lt;=0,0,(IF((Parametres!$C$7+2*(MAX(0,A20-Parametres!$C$18))*SQRT(1+Parametres!$C$8^2))&lt;=0,0,((Parametres!$C$7+Parametres!$C$8*(MAX(0,A20-Parametres!$C$18)))*(MAX(0,A20-Parametres!$C$18)))/(Parametres!$C$7+2*(MAX(0,A20-Parametres!$C$18))*SQRT(1+Parametres!$C$8^2))))^(2/3))*SQRT(Parametres!$C$13))))</f>
        <v/>
      </c>
      <c r="E20" s="12">
        <f>C20+D20</f>
        <v/>
      </c>
      <c r="F20" s="5">
        <f>IF(IF(A20&lt;=0,0,IF(A20&lt;0.95*Parametres!$C$5,1.811*PI()*(Parametres!$C$5/2)^2*SQRT(Parametres!$C$5)*IF(Parametres!$C$25*Parametres!$C$5&lt;=0,0,(A20/(Parametres!$C$25*Parametres!$C$5))^(1/Parametres!$C$26)),IF(A20&gt;1.2*Parametres!$C$5,1.811*PI()*(Parametres!$C$5/2)^2*SQRT(Parametres!$C$5)*SQRT(MAX(0,(A20/Parametres!$C$5-Parametres!$C$28)/Parametres!$C$27)),(1-(MIN(1,MAX(0,(A20/Parametres!$C$5-0.95)/(1.2-0.95)))))*(1.811*PI()*(Parametres!$C$5/2)^2*SQRT(Parametres!$C$5)*IF(Parametres!$C$25*Parametres!$C$5&lt;=0,0,(A20/(Parametres!$C$25*Parametres!$C$5))^(1/Parametres!$C$26)))+(MIN(1,MAX(0,(A20/Parametres!$C$5-0.95)/(1.2-0.95))))*(1.811*PI()*(Parametres!$C$5/2)^2*SQRT(Parametres!$C$5)*SQRT(MAX(0,(A20/Parametres!$C$5-Parametres!$C$28)/Parametres!$C$27))))))&lt;=IF(A20&lt;Parametres!$C$5,IF(Parametres!$C$14&lt;=0,0,(1/Parametres!$C$14)*(((Parametres!$C$5/2)^2/2)*((2*ACOS(1-2*(MIN(0.999,MAX(1E-6,A20/Parametres!$C$5)))))-SIN(2*ACOS(1-2*(MIN(0.999,MAX(1E-6,A20/Parametres!$C$5)))))))*IF(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&lt;=0,0,(IF(((Parametres!$C$5/2)*(2*ACOS(1-2*(MIN(0.999,MAX(1E-6,A20/Parametres!$C$5))))))&lt;=0,0,(((Parametres!$C$5/2)^2/2)*((2*ACOS(1-2*(MIN(0.999,MAX(1E-6,A20/Parametres!$C$5)))))-SIN(2*ACOS(1-2*(MIN(0.999,MAX(1E-6,A20/Parametres!$C$5)))))))/((Parametres!$C$5/2)*(2*ACOS(1-2*(MIN(0.999,MAX(1E-6,A20/Parametres!$C$5))))))))^(2/3))*SQRT(Parametres!$C$13)),IF((A20-Parametres!$C$16+Parametres!$C$13*Parametres!$C$6)&lt;=0,0,PI()*(Parametres!$C$5/2)^2*SQRT((A20-Parametres!$C$16+Parametres!$C$13*Parametres!$C$6)/((1+Parametres!$C$29)/(2*9.81)+(Parametres!$C$14^2)*Parametres!$C$6/((Parametres!$C$5/4)^(4/3)))))),"inlet","outlet")</f>
        <v/>
      </c>
      <c r="G20" s="14">
        <f>(IF((MIN(0.999,MAX(0,MIN(A20,Parametres!$C$5)/Parametres!$C$5)))&lt;=0,0,IF(A20&gt;=Parametres!$C$5,PI()*(Parametres!$C$5/2)^2,((Parametres!$C$5/2)^2/2)*((IF((MIN(0.999,MAX(0,MIN(A20,Parametres!$C$5)/Parametres!$C$5)))&lt;=0,0,2*ACOS(1-2*(MIN(0.999,MAX(0,MIN(A20,Parametres!$C$5)/Parametres!$C$5))))))-SIN(IF((MIN(0.999,MAX(0,MIN(A20,Parametres!$C$5)/Parametres!$C$5)))&lt;=0,0,2*ACOS(1-2*(MIN(0.999,MAX(0,MIN(A20,Parametres!$C$5)/Parametres!$C$5))))))))))*Parametres!$C$6+IF((MAX(0,MIN(A20,(Parametres!$C$11-Parametres!$C$9))-(Parametres!$C$18)))&lt;=0,0,((Parametres!$C$7+Parametres!$C$8*(MAX(0,MIN(A20,(Parametres!$C$11-Parametres!$C$9))-(Parametres!$C$18))))*(MAX(0,MIN(A20,(Parametres!$C$11-Parametres!$C$9))-(Parametres!$C$18))))*Parametres!$C$6)</f>
        <v/>
      </c>
      <c r="H20" s="14">
        <f>G20+Hydrogramme_entree!$B$4*A20</f>
        <v/>
      </c>
      <c r="I20" s="14">
        <f>2*H20/(Hydrogramme_entree!$B$8*60)+E20</f>
        <v/>
      </c>
    </row>
    <row r="21">
      <c r="A21" s="12">
        <f>(17/40)*(Parametres!$C$11-Parametres!$C$9)</f>
        <v/>
      </c>
      <c r="B21" s="13">
        <f>Parametres!$C$9+A21</f>
        <v/>
      </c>
      <c r="C21" s="12">
        <f>MIN(IF(A21&lt;=0,0,IF(A21&lt;0.95*Parametres!$C$5,1.811*PI()*(Parametres!$C$5/2)^2*SQRT(Parametres!$C$5)*IF(Parametres!$C$25*Parametres!$C$5&lt;=0,0,(A21/(Parametres!$C$25*Parametres!$C$5))^(1/Parametres!$C$26)),IF(A21&gt;1.2*Parametres!$C$5,1.811*PI()*(Parametres!$C$5/2)^2*SQRT(Parametres!$C$5)*SQRT(MAX(0,(A21/Parametres!$C$5-Parametres!$C$28)/Parametres!$C$27)),(1-(MIN(1,MAX(0,(A21/Parametres!$C$5-0.95)/(1.2-0.95)))))*(1.811*PI()*(Parametres!$C$5/2)^2*SQRT(Parametres!$C$5)*IF(Parametres!$C$25*Parametres!$C$5&lt;=0,0,(A21/(Parametres!$C$25*Parametres!$C$5))^(1/Parametres!$C$26)))+(MIN(1,MAX(0,(A21/Parametres!$C$5-0.95)/(1.2-0.95))))*(1.811*PI()*(Parametres!$C$5/2)^2*SQRT(Parametres!$C$5)*SQRT(MAX(0,(A21/Parametres!$C$5-Parametres!$C$28)/Parametres!$C$27)))))),IF(A21&lt;Parametres!$C$5,IF(Parametres!$C$14&lt;=0,0,(1/Parametres!$C$14)*(((Parametres!$C$5/2)^2/2)*((2*ACOS(1-2*(MIN(0.999,MAX(1E-6,A21/Parametres!$C$5)))))-SIN(2*ACOS(1-2*(MIN(0.999,MAX(1E-6,A21/Parametres!$C$5)))))))*IF(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&lt;=0,0,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^(2/3))*SQRT(Parametres!$C$13)),IF((A21-Parametres!$C$16+Parametres!$C$13*Parametres!$C$6)&lt;=0,0,PI()*(Parametres!$C$5/2)^2*SQRT((A21-Parametres!$C$16+Parametres!$C$13*Parametres!$C$6)/((1+Parametres!$C$29)/(2*9.81)+(Parametres!$C$14^2)*Parametres!$C$6/((Parametres!$C$5/4)^(4/3)))))))</f>
        <v/>
      </c>
      <c r="D21" s="12">
        <f>IF(LOWER(Parametres!$C$17)="porous",IF((MAX(0,A21-Parametres!$C$18))&lt;=0,0,((Parametres!$C$7+Parametres!$C$8*(MAX(0,A21-Parametres!$C$18)))*(MAX(0,A21-Parametres!$C$18)))*(Parametres!$C$22*Parametres!$C$21*SQRT(9.81*Parametres!$C$20*Parametres!$C$13/(1-Parametres!$C$21)))),IF(LOWER(Parametres!$C$17)="both",IF((MAX(0,A21-Parametres!$C$18))&lt;=0,0,((Parametres!$C$7+Parametres!$C$8*(MAX(0,A21-Parametres!$C$18)))*(MAX(0,A21-Parametres!$C$18)))*(Parametres!$C$22*Parametres!$C$21*SQRT(9.81*Parametres!$C$20*Parametres!$C$13/(1-Parametres!$C$21))))+IF((MAX(0,A21-Parametres!$C$18))&lt;=0,0,(1/Parametres!$C$19)*((Parametres!$C$7+Parametres!$C$8*(MAX(0,A21-Parametres!$C$18)))*(MAX(0,A21-Parametres!$C$18)))*IF((IF((Parametres!$C$7+2*(MAX(0,A21-Parametres!$C$18))*SQRT(1+Parametres!$C$8^2))&lt;=0,0,((Parametres!$C$7+Parametres!$C$8*(MAX(0,A21-Parametres!$C$18)))*(MAX(0,A21-Parametres!$C$18)))/(Parametres!$C$7+2*(MAX(0,A21-Parametres!$C$18))*SQRT(1+Parametres!$C$8^2))))&lt;=0,0,(IF((Parametres!$C$7+2*(MAX(0,A21-Parametres!$C$18))*SQRT(1+Parametres!$C$8^2))&lt;=0,0,((Parametres!$C$7+Parametres!$C$8*(MAX(0,A21-Parametres!$C$18)))*(MAX(0,A21-Parametres!$C$18)))/(Parametres!$C$7+2*(MAX(0,A21-Parametres!$C$18))*SQRT(1+Parametres!$C$8^2))))^(2/3))*SQRT(Parametres!$C$13)),IF((MAX(0,A21-Parametres!$C$18))&lt;=0,0,(1/Parametres!$C$19)*((Parametres!$C$7+Parametres!$C$8*(MAX(0,A21-Parametres!$C$18)))*(MAX(0,A21-Parametres!$C$18)))*IF((IF((Parametres!$C$7+2*(MAX(0,A21-Parametres!$C$18))*SQRT(1+Parametres!$C$8^2))&lt;=0,0,((Parametres!$C$7+Parametres!$C$8*(MAX(0,A21-Parametres!$C$18)))*(MAX(0,A21-Parametres!$C$18)))/(Parametres!$C$7+2*(MAX(0,A21-Parametres!$C$18))*SQRT(1+Parametres!$C$8^2))))&lt;=0,0,(IF((Parametres!$C$7+2*(MAX(0,A21-Parametres!$C$18))*SQRT(1+Parametres!$C$8^2))&lt;=0,0,((Parametres!$C$7+Parametres!$C$8*(MAX(0,A21-Parametres!$C$18)))*(MAX(0,A21-Parametres!$C$18)))/(Parametres!$C$7+2*(MAX(0,A21-Parametres!$C$18))*SQRT(1+Parametres!$C$8^2))))^(2/3))*SQRT(Parametres!$C$13))))</f>
        <v/>
      </c>
      <c r="E21" s="12">
        <f>C21+D21</f>
        <v/>
      </c>
      <c r="F21" s="5">
        <f>IF(IF(A21&lt;=0,0,IF(A21&lt;0.95*Parametres!$C$5,1.811*PI()*(Parametres!$C$5/2)^2*SQRT(Parametres!$C$5)*IF(Parametres!$C$25*Parametres!$C$5&lt;=0,0,(A21/(Parametres!$C$25*Parametres!$C$5))^(1/Parametres!$C$26)),IF(A21&gt;1.2*Parametres!$C$5,1.811*PI()*(Parametres!$C$5/2)^2*SQRT(Parametres!$C$5)*SQRT(MAX(0,(A21/Parametres!$C$5-Parametres!$C$28)/Parametres!$C$27)),(1-(MIN(1,MAX(0,(A21/Parametres!$C$5-0.95)/(1.2-0.95)))))*(1.811*PI()*(Parametres!$C$5/2)^2*SQRT(Parametres!$C$5)*IF(Parametres!$C$25*Parametres!$C$5&lt;=0,0,(A21/(Parametres!$C$25*Parametres!$C$5))^(1/Parametres!$C$26)))+(MIN(1,MAX(0,(A21/Parametres!$C$5-0.95)/(1.2-0.95))))*(1.811*PI()*(Parametres!$C$5/2)^2*SQRT(Parametres!$C$5)*SQRT(MAX(0,(A21/Parametres!$C$5-Parametres!$C$28)/Parametres!$C$27))))))&lt;=IF(A21&lt;Parametres!$C$5,IF(Parametres!$C$14&lt;=0,0,(1/Parametres!$C$14)*(((Parametres!$C$5/2)^2/2)*((2*ACOS(1-2*(MIN(0.999,MAX(1E-6,A21/Parametres!$C$5)))))-SIN(2*ACOS(1-2*(MIN(0.999,MAX(1E-6,A21/Parametres!$C$5)))))))*IF(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&lt;=0,0,(IF(((Parametres!$C$5/2)*(2*ACOS(1-2*(MIN(0.999,MAX(1E-6,A21/Parametres!$C$5))))))&lt;=0,0,(((Parametres!$C$5/2)^2/2)*((2*ACOS(1-2*(MIN(0.999,MAX(1E-6,A21/Parametres!$C$5)))))-SIN(2*ACOS(1-2*(MIN(0.999,MAX(1E-6,A21/Parametres!$C$5)))))))/((Parametres!$C$5/2)*(2*ACOS(1-2*(MIN(0.999,MAX(1E-6,A21/Parametres!$C$5))))))))^(2/3))*SQRT(Parametres!$C$13)),IF((A21-Parametres!$C$16+Parametres!$C$13*Parametres!$C$6)&lt;=0,0,PI()*(Parametres!$C$5/2)^2*SQRT((A21-Parametres!$C$16+Parametres!$C$13*Parametres!$C$6)/((1+Parametres!$C$29)/(2*9.81)+(Parametres!$C$14^2)*Parametres!$C$6/((Parametres!$C$5/4)^(4/3)))))),"inlet","outlet")</f>
        <v/>
      </c>
      <c r="G21" s="14">
        <f>(IF((MIN(0.999,MAX(0,MIN(A21,Parametres!$C$5)/Parametres!$C$5)))&lt;=0,0,IF(A21&gt;=Parametres!$C$5,PI()*(Parametres!$C$5/2)^2,((Parametres!$C$5/2)^2/2)*((IF((MIN(0.999,MAX(0,MIN(A21,Parametres!$C$5)/Parametres!$C$5)))&lt;=0,0,2*ACOS(1-2*(MIN(0.999,MAX(0,MIN(A21,Parametres!$C$5)/Parametres!$C$5))))))-SIN(IF((MIN(0.999,MAX(0,MIN(A21,Parametres!$C$5)/Parametres!$C$5)))&lt;=0,0,2*ACOS(1-2*(MIN(0.999,MAX(0,MIN(A21,Parametres!$C$5)/Parametres!$C$5))))))))))*Parametres!$C$6+IF((MAX(0,MIN(A21,(Parametres!$C$11-Parametres!$C$9))-(Parametres!$C$18)))&lt;=0,0,((Parametres!$C$7+Parametres!$C$8*(MAX(0,MIN(A21,(Parametres!$C$11-Parametres!$C$9))-(Parametres!$C$18))))*(MAX(0,MIN(A21,(Parametres!$C$11-Parametres!$C$9))-(Parametres!$C$18))))*Parametres!$C$6)</f>
        <v/>
      </c>
      <c r="H21" s="14">
        <f>G21+Hydrogramme_entree!$B$4*A21</f>
        <v/>
      </c>
      <c r="I21" s="14">
        <f>2*H21/(Hydrogramme_entree!$B$8*60)+E21</f>
        <v/>
      </c>
    </row>
    <row r="22">
      <c r="A22" s="12">
        <f>(18/40)*(Parametres!$C$11-Parametres!$C$9)</f>
        <v/>
      </c>
      <c r="B22" s="13">
        <f>Parametres!$C$9+A22</f>
        <v/>
      </c>
      <c r="C22" s="12">
        <f>MIN(IF(A22&lt;=0,0,IF(A22&lt;0.95*Parametres!$C$5,1.811*PI()*(Parametres!$C$5/2)^2*SQRT(Parametres!$C$5)*IF(Parametres!$C$25*Parametres!$C$5&lt;=0,0,(A22/(Parametres!$C$25*Parametres!$C$5))^(1/Parametres!$C$26)),IF(A22&gt;1.2*Parametres!$C$5,1.811*PI()*(Parametres!$C$5/2)^2*SQRT(Parametres!$C$5)*SQRT(MAX(0,(A22/Parametres!$C$5-Parametres!$C$28)/Parametres!$C$27)),(1-(MIN(1,MAX(0,(A22/Parametres!$C$5-0.95)/(1.2-0.95)))))*(1.811*PI()*(Parametres!$C$5/2)^2*SQRT(Parametres!$C$5)*IF(Parametres!$C$25*Parametres!$C$5&lt;=0,0,(A22/(Parametres!$C$25*Parametres!$C$5))^(1/Parametres!$C$26)))+(MIN(1,MAX(0,(A22/Parametres!$C$5-0.95)/(1.2-0.95))))*(1.811*PI()*(Parametres!$C$5/2)^2*SQRT(Parametres!$C$5)*SQRT(MAX(0,(A22/Parametres!$C$5-Parametres!$C$28)/Parametres!$C$27)))))),IF(A22&lt;Parametres!$C$5,IF(Parametres!$C$14&lt;=0,0,(1/Parametres!$C$14)*(((Parametres!$C$5/2)^2/2)*((2*ACOS(1-2*(MIN(0.999,MAX(1E-6,A22/Parametres!$C$5)))))-SIN(2*ACOS(1-2*(MIN(0.999,MAX(1E-6,A22/Parametres!$C$5)))))))*IF(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&lt;=0,0,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^(2/3))*SQRT(Parametres!$C$13)),IF((A22-Parametres!$C$16+Parametres!$C$13*Parametres!$C$6)&lt;=0,0,PI()*(Parametres!$C$5/2)^2*SQRT((A22-Parametres!$C$16+Parametres!$C$13*Parametres!$C$6)/((1+Parametres!$C$29)/(2*9.81)+(Parametres!$C$14^2)*Parametres!$C$6/((Parametres!$C$5/4)^(4/3)))))))</f>
        <v/>
      </c>
      <c r="D22" s="12">
        <f>IF(LOWER(Parametres!$C$17)="porous",IF((MAX(0,A22-Parametres!$C$18))&lt;=0,0,((Parametres!$C$7+Parametres!$C$8*(MAX(0,A22-Parametres!$C$18)))*(MAX(0,A22-Parametres!$C$18)))*(Parametres!$C$22*Parametres!$C$21*SQRT(9.81*Parametres!$C$20*Parametres!$C$13/(1-Parametres!$C$21)))),IF(LOWER(Parametres!$C$17)="both",IF((MAX(0,A22-Parametres!$C$18))&lt;=0,0,((Parametres!$C$7+Parametres!$C$8*(MAX(0,A22-Parametres!$C$18)))*(MAX(0,A22-Parametres!$C$18)))*(Parametres!$C$22*Parametres!$C$21*SQRT(9.81*Parametres!$C$20*Parametres!$C$13/(1-Parametres!$C$21))))+IF((MAX(0,A22-Parametres!$C$18))&lt;=0,0,(1/Parametres!$C$19)*((Parametres!$C$7+Parametres!$C$8*(MAX(0,A22-Parametres!$C$18)))*(MAX(0,A22-Parametres!$C$18)))*IF((IF((Parametres!$C$7+2*(MAX(0,A22-Parametres!$C$18))*SQRT(1+Parametres!$C$8^2))&lt;=0,0,((Parametres!$C$7+Parametres!$C$8*(MAX(0,A22-Parametres!$C$18)))*(MAX(0,A22-Parametres!$C$18)))/(Parametres!$C$7+2*(MAX(0,A22-Parametres!$C$18))*SQRT(1+Parametres!$C$8^2))))&lt;=0,0,(IF((Parametres!$C$7+2*(MAX(0,A22-Parametres!$C$18))*SQRT(1+Parametres!$C$8^2))&lt;=0,0,((Parametres!$C$7+Parametres!$C$8*(MAX(0,A22-Parametres!$C$18)))*(MAX(0,A22-Parametres!$C$18)))/(Parametres!$C$7+2*(MAX(0,A22-Parametres!$C$18))*SQRT(1+Parametres!$C$8^2))))^(2/3))*SQRT(Parametres!$C$13)),IF((MAX(0,A22-Parametres!$C$18))&lt;=0,0,(1/Parametres!$C$19)*((Parametres!$C$7+Parametres!$C$8*(MAX(0,A22-Parametres!$C$18)))*(MAX(0,A22-Parametres!$C$18)))*IF((IF((Parametres!$C$7+2*(MAX(0,A22-Parametres!$C$18))*SQRT(1+Parametres!$C$8^2))&lt;=0,0,((Parametres!$C$7+Parametres!$C$8*(MAX(0,A22-Parametres!$C$18)))*(MAX(0,A22-Parametres!$C$18)))/(Parametres!$C$7+2*(MAX(0,A22-Parametres!$C$18))*SQRT(1+Parametres!$C$8^2))))&lt;=0,0,(IF((Parametres!$C$7+2*(MAX(0,A22-Parametres!$C$18))*SQRT(1+Parametres!$C$8^2))&lt;=0,0,((Parametres!$C$7+Parametres!$C$8*(MAX(0,A22-Parametres!$C$18)))*(MAX(0,A22-Parametres!$C$18)))/(Parametres!$C$7+2*(MAX(0,A22-Parametres!$C$18))*SQRT(1+Parametres!$C$8^2))))^(2/3))*SQRT(Parametres!$C$13))))</f>
        <v/>
      </c>
      <c r="E22" s="12">
        <f>C22+D22</f>
        <v/>
      </c>
      <c r="F22" s="5">
        <f>IF(IF(A22&lt;=0,0,IF(A22&lt;0.95*Parametres!$C$5,1.811*PI()*(Parametres!$C$5/2)^2*SQRT(Parametres!$C$5)*IF(Parametres!$C$25*Parametres!$C$5&lt;=0,0,(A22/(Parametres!$C$25*Parametres!$C$5))^(1/Parametres!$C$26)),IF(A22&gt;1.2*Parametres!$C$5,1.811*PI()*(Parametres!$C$5/2)^2*SQRT(Parametres!$C$5)*SQRT(MAX(0,(A22/Parametres!$C$5-Parametres!$C$28)/Parametres!$C$27)),(1-(MIN(1,MAX(0,(A22/Parametres!$C$5-0.95)/(1.2-0.95)))))*(1.811*PI()*(Parametres!$C$5/2)^2*SQRT(Parametres!$C$5)*IF(Parametres!$C$25*Parametres!$C$5&lt;=0,0,(A22/(Parametres!$C$25*Parametres!$C$5))^(1/Parametres!$C$26)))+(MIN(1,MAX(0,(A22/Parametres!$C$5-0.95)/(1.2-0.95))))*(1.811*PI()*(Parametres!$C$5/2)^2*SQRT(Parametres!$C$5)*SQRT(MAX(0,(A22/Parametres!$C$5-Parametres!$C$28)/Parametres!$C$27))))))&lt;=IF(A22&lt;Parametres!$C$5,IF(Parametres!$C$14&lt;=0,0,(1/Parametres!$C$14)*(((Parametres!$C$5/2)^2/2)*((2*ACOS(1-2*(MIN(0.999,MAX(1E-6,A22/Parametres!$C$5)))))-SIN(2*ACOS(1-2*(MIN(0.999,MAX(1E-6,A22/Parametres!$C$5)))))))*IF(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&lt;=0,0,(IF(((Parametres!$C$5/2)*(2*ACOS(1-2*(MIN(0.999,MAX(1E-6,A22/Parametres!$C$5))))))&lt;=0,0,(((Parametres!$C$5/2)^2/2)*((2*ACOS(1-2*(MIN(0.999,MAX(1E-6,A22/Parametres!$C$5)))))-SIN(2*ACOS(1-2*(MIN(0.999,MAX(1E-6,A22/Parametres!$C$5)))))))/((Parametres!$C$5/2)*(2*ACOS(1-2*(MIN(0.999,MAX(1E-6,A22/Parametres!$C$5))))))))^(2/3))*SQRT(Parametres!$C$13)),IF((A22-Parametres!$C$16+Parametres!$C$13*Parametres!$C$6)&lt;=0,0,PI()*(Parametres!$C$5/2)^2*SQRT((A22-Parametres!$C$16+Parametres!$C$13*Parametres!$C$6)/((1+Parametres!$C$29)/(2*9.81)+(Parametres!$C$14^2)*Parametres!$C$6/((Parametres!$C$5/4)^(4/3)))))),"inlet","outlet")</f>
        <v/>
      </c>
      <c r="G22" s="14">
        <f>(IF((MIN(0.999,MAX(0,MIN(A22,Parametres!$C$5)/Parametres!$C$5)))&lt;=0,0,IF(A22&gt;=Parametres!$C$5,PI()*(Parametres!$C$5/2)^2,((Parametres!$C$5/2)^2/2)*((IF((MIN(0.999,MAX(0,MIN(A22,Parametres!$C$5)/Parametres!$C$5)))&lt;=0,0,2*ACOS(1-2*(MIN(0.999,MAX(0,MIN(A22,Parametres!$C$5)/Parametres!$C$5))))))-SIN(IF((MIN(0.999,MAX(0,MIN(A22,Parametres!$C$5)/Parametres!$C$5)))&lt;=0,0,2*ACOS(1-2*(MIN(0.999,MAX(0,MIN(A22,Parametres!$C$5)/Parametres!$C$5))))))))))*Parametres!$C$6+IF((MAX(0,MIN(A22,(Parametres!$C$11-Parametres!$C$9))-(Parametres!$C$18)))&lt;=0,0,((Parametres!$C$7+Parametres!$C$8*(MAX(0,MIN(A22,(Parametres!$C$11-Parametres!$C$9))-(Parametres!$C$18))))*(MAX(0,MIN(A22,(Parametres!$C$11-Parametres!$C$9))-(Parametres!$C$18))))*Parametres!$C$6)</f>
        <v/>
      </c>
      <c r="H22" s="14">
        <f>G22+Hydrogramme_entree!$B$4*A22</f>
        <v/>
      </c>
      <c r="I22" s="14">
        <f>2*H22/(Hydrogramme_entree!$B$8*60)+E22</f>
        <v/>
      </c>
    </row>
    <row r="23">
      <c r="A23" s="12">
        <f>(19/40)*(Parametres!$C$11-Parametres!$C$9)</f>
        <v/>
      </c>
      <c r="B23" s="13">
        <f>Parametres!$C$9+A23</f>
        <v/>
      </c>
      <c r="C23" s="12">
        <f>MIN(IF(A23&lt;=0,0,IF(A23&lt;0.95*Parametres!$C$5,1.811*PI()*(Parametres!$C$5/2)^2*SQRT(Parametres!$C$5)*IF(Parametres!$C$25*Parametres!$C$5&lt;=0,0,(A23/(Parametres!$C$25*Parametres!$C$5))^(1/Parametres!$C$26)),IF(A23&gt;1.2*Parametres!$C$5,1.811*PI()*(Parametres!$C$5/2)^2*SQRT(Parametres!$C$5)*SQRT(MAX(0,(A23/Parametres!$C$5-Parametres!$C$28)/Parametres!$C$27)),(1-(MIN(1,MAX(0,(A23/Parametres!$C$5-0.95)/(1.2-0.95)))))*(1.811*PI()*(Parametres!$C$5/2)^2*SQRT(Parametres!$C$5)*IF(Parametres!$C$25*Parametres!$C$5&lt;=0,0,(A23/(Parametres!$C$25*Parametres!$C$5))^(1/Parametres!$C$26)))+(MIN(1,MAX(0,(A23/Parametres!$C$5-0.95)/(1.2-0.95))))*(1.811*PI()*(Parametres!$C$5/2)^2*SQRT(Parametres!$C$5)*SQRT(MAX(0,(A23/Parametres!$C$5-Parametres!$C$28)/Parametres!$C$27)))))),IF(A23&lt;Parametres!$C$5,IF(Parametres!$C$14&lt;=0,0,(1/Parametres!$C$14)*(((Parametres!$C$5/2)^2/2)*((2*ACOS(1-2*(MIN(0.999,MAX(1E-6,A23/Parametres!$C$5)))))-SIN(2*ACOS(1-2*(MIN(0.999,MAX(1E-6,A23/Parametres!$C$5)))))))*IF(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&lt;=0,0,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^(2/3))*SQRT(Parametres!$C$13)),IF((A23-Parametres!$C$16+Parametres!$C$13*Parametres!$C$6)&lt;=0,0,PI()*(Parametres!$C$5/2)^2*SQRT((A23-Parametres!$C$16+Parametres!$C$13*Parametres!$C$6)/((1+Parametres!$C$29)/(2*9.81)+(Parametres!$C$14^2)*Parametres!$C$6/((Parametres!$C$5/4)^(4/3)))))))</f>
        <v/>
      </c>
      <c r="D23" s="12">
        <f>IF(LOWER(Parametres!$C$17)="porous",IF((MAX(0,A23-Parametres!$C$18))&lt;=0,0,((Parametres!$C$7+Parametres!$C$8*(MAX(0,A23-Parametres!$C$18)))*(MAX(0,A23-Parametres!$C$18)))*(Parametres!$C$22*Parametres!$C$21*SQRT(9.81*Parametres!$C$20*Parametres!$C$13/(1-Parametres!$C$21)))),IF(LOWER(Parametres!$C$17)="both",IF((MAX(0,A23-Parametres!$C$18))&lt;=0,0,((Parametres!$C$7+Parametres!$C$8*(MAX(0,A23-Parametres!$C$18)))*(MAX(0,A23-Parametres!$C$18)))*(Parametres!$C$22*Parametres!$C$21*SQRT(9.81*Parametres!$C$20*Parametres!$C$13/(1-Parametres!$C$21))))+IF((MAX(0,A23-Parametres!$C$18))&lt;=0,0,(1/Parametres!$C$19)*((Parametres!$C$7+Parametres!$C$8*(MAX(0,A23-Parametres!$C$18)))*(MAX(0,A23-Parametres!$C$18)))*IF((IF((Parametres!$C$7+2*(MAX(0,A23-Parametres!$C$18))*SQRT(1+Parametres!$C$8^2))&lt;=0,0,((Parametres!$C$7+Parametres!$C$8*(MAX(0,A23-Parametres!$C$18)))*(MAX(0,A23-Parametres!$C$18)))/(Parametres!$C$7+2*(MAX(0,A23-Parametres!$C$18))*SQRT(1+Parametres!$C$8^2))))&lt;=0,0,(IF((Parametres!$C$7+2*(MAX(0,A23-Parametres!$C$18))*SQRT(1+Parametres!$C$8^2))&lt;=0,0,((Parametres!$C$7+Parametres!$C$8*(MAX(0,A23-Parametres!$C$18)))*(MAX(0,A23-Parametres!$C$18)))/(Parametres!$C$7+2*(MAX(0,A23-Parametres!$C$18))*SQRT(1+Parametres!$C$8^2))))^(2/3))*SQRT(Parametres!$C$13)),IF((MAX(0,A23-Parametres!$C$18))&lt;=0,0,(1/Parametres!$C$19)*((Parametres!$C$7+Parametres!$C$8*(MAX(0,A23-Parametres!$C$18)))*(MAX(0,A23-Parametres!$C$18)))*IF((IF((Parametres!$C$7+2*(MAX(0,A23-Parametres!$C$18))*SQRT(1+Parametres!$C$8^2))&lt;=0,0,((Parametres!$C$7+Parametres!$C$8*(MAX(0,A23-Parametres!$C$18)))*(MAX(0,A23-Parametres!$C$18)))/(Parametres!$C$7+2*(MAX(0,A23-Parametres!$C$18))*SQRT(1+Parametres!$C$8^2))))&lt;=0,0,(IF((Parametres!$C$7+2*(MAX(0,A23-Parametres!$C$18))*SQRT(1+Parametres!$C$8^2))&lt;=0,0,((Parametres!$C$7+Parametres!$C$8*(MAX(0,A23-Parametres!$C$18)))*(MAX(0,A23-Parametres!$C$18)))/(Parametres!$C$7+2*(MAX(0,A23-Parametres!$C$18))*SQRT(1+Parametres!$C$8^2))))^(2/3))*SQRT(Parametres!$C$13))))</f>
        <v/>
      </c>
      <c r="E23" s="12">
        <f>C23+D23</f>
        <v/>
      </c>
      <c r="F23" s="5">
        <f>IF(IF(A23&lt;=0,0,IF(A23&lt;0.95*Parametres!$C$5,1.811*PI()*(Parametres!$C$5/2)^2*SQRT(Parametres!$C$5)*IF(Parametres!$C$25*Parametres!$C$5&lt;=0,0,(A23/(Parametres!$C$25*Parametres!$C$5))^(1/Parametres!$C$26)),IF(A23&gt;1.2*Parametres!$C$5,1.811*PI()*(Parametres!$C$5/2)^2*SQRT(Parametres!$C$5)*SQRT(MAX(0,(A23/Parametres!$C$5-Parametres!$C$28)/Parametres!$C$27)),(1-(MIN(1,MAX(0,(A23/Parametres!$C$5-0.95)/(1.2-0.95)))))*(1.811*PI()*(Parametres!$C$5/2)^2*SQRT(Parametres!$C$5)*IF(Parametres!$C$25*Parametres!$C$5&lt;=0,0,(A23/(Parametres!$C$25*Parametres!$C$5))^(1/Parametres!$C$26)))+(MIN(1,MAX(0,(A23/Parametres!$C$5-0.95)/(1.2-0.95))))*(1.811*PI()*(Parametres!$C$5/2)^2*SQRT(Parametres!$C$5)*SQRT(MAX(0,(A23/Parametres!$C$5-Parametres!$C$28)/Parametres!$C$27))))))&lt;=IF(A23&lt;Parametres!$C$5,IF(Parametres!$C$14&lt;=0,0,(1/Parametres!$C$14)*(((Parametres!$C$5/2)^2/2)*((2*ACOS(1-2*(MIN(0.999,MAX(1E-6,A23/Parametres!$C$5)))))-SIN(2*ACOS(1-2*(MIN(0.999,MAX(1E-6,A23/Parametres!$C$5)))))))*IF(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&lt;=0,0,(IF(((Parametres!$C$5/2)*(2*ACOS(1-2*(MIN(0.999,MAX(1E-6,A23/Parametres!$C$5))))))&lt;=0,0,(((Parametres!$C$5/2)^2/2)*((2*ACOS(1-2*(MIN(0.999,MAX(1E-6,A23/Parametres!$C$5)))))-SIN(2*ACOS(1-2*(MIN(0.999,MAX(1E-6,A23/Parametres!$C$5)))))))/((Parametres!$C$5/2)*(2*ACOS(1-2*(MIN(0.999,MAX(1E-6,A23/Parametres!$C$5))))))))^(2/3))*SQRT(Parametres!$C$13)),IF((A23-Parametres!$C$16+Parametres!$C$13*Parametres!$C$6)&lt;=0,0,PI()*(Parametres!$C$5/2)^2*SQRT((A23-Parametres!$C$16+Parametres!$C$13*Parametres!$C$6)/((1+Parametres!$C$29)/(2*9.81)+(Parametres!$C$14^2)*Parametres!$C$6/((Parametres!$C$5/4)^(4/3)))))),"inlet","outlet")</f>
        <v/>
      </c>
      <c r="G23" s="14">
        <f>(IF((MIN(0.999,MAX(0,MIN(A23,Parametres!$C$5)/Parametres!$C$5)))&lt;=0,0,IF(A23&gt;=Parametres!$C$5,PI()*(Parametres!$C$5/2)^2,((Parametres!$C$5/2)^2/2)*((IF((MIN(0.999,MAX(0,MIN(A23,Parametres!$C$5)/Parametres!$C$5)))&lt;=0,0,2*ACOS(1-2*(MIN(0.999,MAX(0,MIN(A23,Parametres!$C$5)/Parametres!$C$5))))))-SIN(IF((MIN(0.999,MAX(0,MIN(A23,Parametres!$C$5)/Parametres!$C$5)))&lt;=0,0,2*ACOS(1-2*(MIN(0.999,MAX(0,MIN(A23,Parametres!$C$5)/Parametres!$C$5))))))))))*Parametres!$C$6+IF((MAX(0,MIN(A23,(Parametres!$C$11-Parametres!$C$9))-(Parametres!$C$18)))&lt;=0,0,((Parametres!$C$7+Parametres!$C$8*(MAX(0,MIN(A23,(Parametres!$C$11-Parametres!$C$9))-(Parametres!$C$18))))*(MAX(0,MIN(A23,(Parametres!$C$11-Parametres!$C$9))-(Parametres!$C$18))))*Parametres!$C$6)</f>
        <v/>
      </c>
      <c r="H23" s="14">
        <f>G23+Hydrogramme_entree!$B$4*A23</f>
        <v/>
      </c>
      <c r="I23" s="14">
        <f>2*H23/(Hydrogramme_entree!$B$8*60)+E23</f>
        <v/>
      </c>
    </row>
    <row r="24">
      <c r="A24" s="12">
        <f>(20/40)*(Parametres!$C$11-Parametres!$C$9)</f>
        <v/>
      </c>
      <c r="B24" s="13">
        <f>Parametres!$C$9+A24</f>
        <v/>
      </c>
      <c r="C24" s="12">
        <f>MIN(IF(A24&lt;=0,0,IF(A24&lt;0.95*Parametres!$C$5,1.811*PI()*(Parametres!$C$5/2)^2*SQRT(Parametres!$C$5)*IF(Parametres!$C$25*Parametres!$C$5&lt;=0,0,(A24/(Parametres!$C$25*Parametres!$C$5))^(1/Parametres!$C$26)),IF(A24&gt;1.2*Parametres!$C$5,1.811*PI()*(Parametres!$C$5/2)^2*SQRT(Parametres!$C$5)*SQRT(MAX(0,(A24/Parametres!$C$5-Parametres!$C$28)/Parametres!$C$27)),(1-(MIN(1,MAX(0,(A24/Parametres!$C$5-0.95)/(1.2-0.95)))))*(1.811*PI()*(Parametres!$C$5/2)^2*SQRT(Parametres!$C$5)*IF(Parametres!$C$25*Parametres!$C$5&lt;=0,0,(A24/(Parametres!$C$25*Parametres!$C$5))^(1/Parametres!$C$26)))+(MIN(1,MAX(0,(A24/Parametres!$C$5-0.95)/(1.2-0.95))))*(1.811*PI()*(Parametres!$C$5/2)^2*SQRT(Parametres!$C$5)*SQRT(MAX(0,(A24/Parametres!$C$5-Parametres!$C$28)/Parametres!$C$27)))))),IF(A24&lt;Parametres!$C$5,IF(Parametres!$C$14&lt;=0,0,(1/Parametres!$C$14)*(((Parametres!$C$5/2)^2/2)*((2*ACOS(1-2*(MIN(0.999,MAX(1E-6,A24/Parametres!$C$5)))))-SIN(2*ACOS(1-2*(MIN(0.999,MAX(1E-6,A24/Parametres!$C$5)))))))*IF(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&lt;=0,0,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^(2/3))*SQRT(Parametres!$C$13)),IF((A24-Parametres!$C$16+Parametres!$C$13*Parametres!$C$6)&lt;=0,0,PI()*(Parametres!$C$5/2)^2*SQRT((A24-Parametres!$C$16+Parametres!$C$13*Parametres!$C$6)/((1+Parametres!$C$29)/(2*9.81)+(Parametres!$C$14^2)*Parametres!$C$6/((Parametres!$C$5/4)^(4/3)))))))</f>
        <v/>
      </c>
      <c r="D24" s="12">
        <f>IF(LOWER(Parametres!$C$17)="porous",IF((MAX(0,A24-Parametres!$C$18))&lt;=0,0,((Parametres!$C$7+Parametres!$C$8*(MAX(0,A24-Parametres!$C$18)))*(MAX(0,A24-Parametres!$C$18)))*(Parametres!$C$22*Parametres!$C$21*SQRT(9.81*Parametres!$C$20*Parametres!$C$13/(1-Parametres!$C$21)))),IF(LOWER(Parametres!$C$17)="both",IF((MAX(0,A24-Parametres!$C$18))&lt;=0,0,((Parametres!$C$7+Parametres!$C$8*(MAX(0,A24-Parametres!$C$18)))*(MAX(0,A24-Parametres!$C$18)))*(Parametres!$C$22*Parametres!$C$21*SQRT(9.81*Parametres!$C$20*Parametres!$C$13/(1-Parametres!$C$21))))+IF((MAX(0,A24-Parametres!$C$18))&lt;=0,0,(1/Parametres!$C$19)*((Parametres!$C$7+Parametres!$C$8*(MAX(0,A24-Parametres!$C$18)))*(MAX(0,A24-Parametres!$C$18)))*IF((IF((Parametres!$C$7+2*(MAX(0,A24-Parametres!$C$18))*SQRT(1+Parametres!$C$8^2))&lt;=0,0,((Parametres!$C$7+Parametres!$C$8*(MAX(0,A24-Parametres!$C$18)))*(MAX(0,A24-Parametres!$C$18)))/(Parametres!$C$7+2*(MAX(0,A24-Parametres!$C$18))*SQRT(1+Parametres!$C$8^2))))&lt;=0,0,(IF((Parametres!$C$7+2*(MAX(0,A24-Parametres!$C$18))*SQRT(1+Parametres!$C$8^2))&lt;=0,0,((Parametres!$C$7+Parametres!$C$8*(MAX(0,A24-Parametres!$C$18)))*(MAX(0,A24-Parametres!$C$18)))/(Parametres!$C$7+2*(MAX(0,A24-Parametres!$C$18))*SQRT(1+Parametres!$C$8^2))))^(2/3))*SQRT(Parametres!$C$13)),IF((MAX(0,A24-Parametres!$C$18))&lt;=0,0,(1/Parametres!$C$19)*((Parametres!$C$7+Parametres!$C$8*(MAX(0,A24-Parametres!$C$18)))*(MAX(0,A24-Parametres!$C$18)))*IF((IF((Parametres!$C$7+2*(MAX(0,A24-Parametres!$C$18))*SQRT(1+Parametres!$C$8^2))&lt;=0,0,((Parametres!$C$7+Parametres!$C$8*(MAX(0,A24-Parametres!$C$18)))*(MAX(0,A24-Parametres!$C$18)))/(Parametres!$C$7+2*(MAX(0,A24-Parametres!$C$18))*SQRT(1+Parametres!$C$8^2))))&lt;=0,0,(IF((Parametres!$C$7+2*(MAX(0,A24-Parametres!$C$18))*SQRT(1+Parametres!$C$8^2))&lt;=0,0,((Parametres!$C$7+Parametres!$C$8*(MAX(0,A24-Parametres!$C$18)))*(MAX(0,A24-Parametres!$C$18)))/(Parametres!$C$7+2*(MAX(0,A24-Parametres!$C$18))*SQRT(1+Parametres!$C$8^2))))^(2/3))*SQRT(Parametres!$C$13))))</f>
        <v/>
      </c>
      <c r="E24" s="12">
        <f>C24+D24</f>
        <v/>
      </c>
      <c r="F24" s="5">
        <f>IF(IF(A24&lt;=0,0,IF(A24&lt;0.95*Parametres!$C$5,1.811*PI()*(Parametres!$C$5/2)^2*SQRT(Parametres!$C$5)*IF(Parametres!$C$25*Parametres!$C$5&lt;=0,0,(A24/(Parametres!$C$25*Parametres!$C$5))^(1/Parametres!$C$26)),IF(A24&gt;1.2*Parametres!$C$5,1.811*PI()*(Parametres!$C$5/2)^2*SQRT(Parametres!$C$5)*SQRT(MAX(0,(A24/Parametres!$C$5-Parametres!$C$28)/Parametres!$C$27)),(1-(MIN(1,MAX(0,(A24/Parametres!$C$5-0.95)/(1.2-0.95)))))*(1.811*PI()*(Parametres!$C$5/2)^2*SQRT(Parametres!$C$5)*IF(Parametres!$C$25*Parametres!$C$5&lt;=0,0,(A24/(Parametres!$C$25*Parametres!$C$5))^(1/Parametres!$C$26)))+(MIN(1,MAX(0,(A24/Parametres!$C$5-0.95)/(1.2-0.95))))*(1.811*PI()*(Parametres!$C$5/2)^2*SQRT(Parametres!$C$5)*SQRT(MAX(0,(A24/Parametres!$C$5-Parametres!$C$28)/Parametres!$C$27))))))&lt;=IF(A24&lt;Parametres!$C$5,IF(Parametres!$C$14&lt;=0,0,(1/Parametres!$C$14)*(((Parametres!$C$5/2)^2/2)*((2*ACOS(1-2*(MIN(0.999,MAX(1E-6,A24/Parametres!$C$5)))))-SIN(2*ACOS(1-2*(MIN(0.999,MAX(1E-6,A24/Parametres!$C$5)))))))*IF(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&lt;=0,0,(IF(((Parametres!$C$5/2)*(2*ACOS(1-2*(MIN(0.999,MAX(1E-6,A24/Parametres!$C$5))))))&lt;=0,0,(((Parametres!$C$5/2)^2/2)*((2*ACOS(1-2*(MIN(0.999,MAX(1E-6,A24/Parametres!$C$5)))))-SIN(2*ACOS(1-2*(MIN(0.999,MAX(1E-6,A24/Parametres!$C$5)))))))/((Parametres!$C$5/2)*(2*ACOS(1-2*(MIN(0.999,MAX(1E-6,A24/Parametres!$C$5))))))))^(2/3))*SQRT(Parametres!$C$13)),IF((A24-Parametres!$C$16+Parametres!$C$13*Parametres!$C$6)&lt;=0,0,PI()*(Parametres!$C$5/2)^2*SQRT((A24-Parametres!$C$16+Parametres!$C$13*Parametres!$C$6)/((1+Parametres!$C$29)/(2*9.81)+(Parametres!$C$14^2)*Parametres!$C$6/((Parametres!$C$5/4)^(4/3)))))),"inlet","outlet")</f>
        <v/>
      </c>
      <c r="G24" s="14">
        <f>(IF((MIN(0.999,MAX(0,MIN(A24,Parametres!$C$5)/Parametres!$C$5)))&lt;=0,0,IF(A24&gt;=Parametres!$C$5,PI()*(Parametres!$C$5/2)^2,((Parametres!$C$5/2)^2/2)*((IF((MIN(0.999,MAX(0,MIN(A24,Parametres!$C$5)/Parametres!$C$5)))&lt;=0,0,2*ACOS(1-2*(MIN(0.999,MAX(0,MIN(A24,Parametres!$C$5)/Parametres!$C$5))))))-SIN(IF((MIN(0.999,MAX(0,MIN(A24,Parametres!$C$5)/Parametres!$C$5)))&lt;=0,0,2*ACOS(1-2*(MIN(0.999,MAX(0,MIN(A24,Parametres!$C$5)/Parametres!$C$5))))))))))*Parametres!$C$6+IF((MAX(0,MIN(A24,(Parametres!$C$11-Parametres!$C$9))-(Parametres!$C$18)))&lt;=0,0,((Parametres!$C$7+Parametres!$C$8*(MAX(0,MIN(A24,(Parametres!$C$11-Parametres!$C$9))-(Parametres!$C$18))))*(MAX(0,MIN(A24,(Parametres!$C$11-Parametres!$C$9))-(Parametres!$C$18))))*Parametres!$C$6)</f>
        <v/>
      </c>
      <c r="H24" s="14">
        <f>G24+Hydrogramme_entree!$B$4*A24</f>
        <v/>
      </c>
      <c r="I24" s="14">
        <f>2*H24/(Hydrogramme_entree!$B$8*60)+E24</f>
        <v/>
      </c>
    </row>
    <row r="25">
      <c r="A25" s="12">
        <f>(21/40)*(Parametres!$C$11-Parametres!$C$9)</f>
        <v/>
      </c>
      <c r="B25" s="13">
        <f>Parametres!$C$9+A25</f>
        <v/>
      </c>
      <c r="C25" s="12">
        <f>MIN(IF(A25&lt;=0,0,IF(A25&lt;0.95*Parametres!$C$5,1.811*PI()*(Parametres!$C$5/2)^2*SQRT(Parametres!$C$5)*IF(Parametres!$C$25*Parametres!$C$5&lt;=0,0,(A25/(Parametres!$C$25*Parametres!$C$5))^(1/Parametres!$C$26)),IF(A25&gt;1.2*Parametres!$C$5,1.811*PI()*(Parametres!$C$5/2)^2*SQRT(Parametres!$C$5)*SQRT(MAX(0,(A25/Parametres!$C$5-Parametres!$C$28)/Parametres!$C$27)),(1-(MIN(1,MAX(0,(A25/Parametres!$C$5-0.95)/(1.2-0.95)))))*(1.811*PI()*(Parametres!$C$5/2)^2*SQRT(Parametres!$C$5)*IF(Parametres!$C$25*Parametres!$C$5&lt;=0,0,(A25/(Parametres!$C$25*Parametres!$C$5))^(1/Parametres!$C$26)))+(MIN(1,MAX(0,(A25/Parametres!$C$5-0.95)/(1.2-0.95))))*(1.811*PI()*(Parametres!$C$5/2)^2*SQRT(Parametres!$C$5)*SQRT(MAX(0,(A25/Parametres!$C$5-Parametres!$C$28)/Parametres!$C$27)))))),IF(A25&lt;Parametres!$C$5,IF(Parametres!$C$14&lt;=0,0,(1/Parametres!$C$14)*(((Parametres!$C$5/2)^2/2)*((2*ACOS(1-2*(MIN(0.999,MAX(1E-6,A25/Parametres!$C$5)))))-SIN(2*ACOS(1-2*(MIN(0.999,MAX(1E-6,A25/Parametres!$C$5)))))))*IF(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&lt;=0,0,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^(2/3))*SQRT(Parametres!$C$13)),IF((A25-Parametres!$C$16+Parametres!$C$13*Parametres!$C$6)&lt;=0,0,PI()*(Parametres!$C$5/2)^2*SQRT((A25-Parametres!$C$16+Parametres!$C$13*Parametres!$C$6)/((1+Parametres!$C$29)/(2*9.81)+(Parametres!$C$14^2)*Parametres!$C$6/((Parametres!$C$5/4)^(4/3)))))))</f>
        <v/>
      </c>
      <c r="D25" s="12">
        <f>IF(LOWER(Parametres!$C$17)="porous",IF((MAX(0,A25-Parametres!$C$18))&lt;=0,0,((Parametres!$C$7+Parametres!$C$8*(MAX(0,A25-Parametres!$C$18)))*(MAX(0,A25-Parametres!$C$18)))*(Parametres!$C$22*Parametres!$C$21*SQRT(9.81*Parametres!$C$20*Parametres!$C$13/(1-Parametres!$C$21)))),IF(LOWER(Parametres!$C$17)="both",IF((MAX(0,A25-Parametres!$C$18))&lt;=0,0,((Parametres!$C$7+Parametres!$C$8*(MAX(0,A25-Parametres!$C$18)))*(MAX(0,A25-Parametres!$C$18)))*(Parametres!$C$22*Parametres!$C$21*SQRT(9.81*Parametres!$C$20*Parametres!$C$13/(1-Parametres!$C$21))))+IF((MAX(0,A25-Parametres!$C$18))&lt;=0,0,(1/Parametres!$C$19)*((Parametres!$C$7+Parametres!$C$8*(MAX(0,A25-Parametres!$C$18)))*(MAX(0,A25-Parametres!$C$18)))*IF((IF((Parametres!$C$7+2*(MAX(0,A25-Parametres!$C$18))*SQRT(1+Parametres!$C$8^2))&lt;=0,0,((Parametres!$C$7+Parametres!$C$8*(MAX(0,A25-Parametres!$C$18)))*(MAX(0,A25-Parametres!$C$18)))/(Parametres!$C$7+2*(MAX(0,A25-Parametres!$C$18))*SQRT(1+Parametres!$C$8^2))))&lt;=0,0,(IF((Parametres!$C$7+2*(MAX(0,A25-Parametres!$C$18))*SQRT(1+Parametres!$C$8^2))&lt;=0,0,((Parametres!$C$7+Parametres!$C$8*(MAX(0,A25-Parametres!$C$18)))*(MAX(0,A25-Parametres!$C$18)))/(Parametres!$C$7+2*(MAX(0,A25-Parametres!$C$18))*SQRT(1+Parametres!$C$8^2))))^(2/3))*SQRT(Parametres!$C$13)),IF((MAX(0,A25-Parametres!$C$18))&lt;=0,0,(1/Parametres!$C$19)*((Parametres!$C$7+Parametres!$C$8*(MAX(0,A25-Parametres!$C$18)))*(MAX(0,A25-Parametres!$C$18)))*IF((IF((Parametres!$C$7+2*(MAX(0,A25-Parametres!$C$18))*SQRT(1+Parametres!$C$8^2))&lt;=0,0,((Parametres!$C$7+Parametres!$C$8*(MAX(0,A25-Parametres!$C$18)))*(MAX(0,A25-Parametres!$C$18)))/(Parametres!$C$7+2*(MAX(0,A25-Parametres!$C$18))*SQRT(1+Parametres!$C$8^2))))&lt;=0,0,(IF((Parametres!$C$7+2*(MAX(0,A25-Parametres!$C$18))*SQRT(1+Parametres!$C$8^2))&lt;=0,0,((Parametres!$C$7+Parametres!$C$8*(MAX(0,A25-Parametres!$C$18)))*(MAX(0,A25-Parametres!$C$18)))/(Parametres!$C$7+2*(MAX(0,A25-Parametres!$C$18))*SQRT(1+Parametres!$C$8^2))))^(2/3))*SQRT(Parametres!$C$13))))</f>
        <v/>
      </c>
      <c r="E25" s="12">
        <f>C25+D25</f>
        <v/>
      </c>
      <c r="F25" s="5">
        <f>IF(IF(A25&lt;=0,0,IF(A25&lt;0.95*Parametres!$C$5,1.811*PI()*(Parametres!$C$5/2)^2*SQRT(Parametres!$C$5)*IF(Parametres!$C$25*Parametres!$C$5&lt;=0,0,(A25/(Parametres!$C$25*Parametres!$C$5))^(1/Parametres!$C$26)),IF(A25&gt;1.2*Parametres!$C$5,1.811*PI()*(Parametres!$C$5/2)^2*SQRT(Parametres!$C$5)*SQRT(MAX(0,(A25/Parametres!$C$5-Parametres!$C$28)/Parametres!$C$27)),(1-(MIN(1,MAX(0,(A25/Parametres!$C$5-0.95)/(1.2-0.95)))))*(1.811*PI()*(Parametres!$C$5/2)^2*SQRT(Parametres!$C$5)*IF(Parametres!$C$25*Parametres!$C$5&lt;=0,0,(A25/(Parametres!$C$25*Parametres!$C$5))^(1/Parametres!$C$26)))+(MIN(1,MAX(0,(A25/Parametres!$C$5-0.95)/(1.2-0.95))))*(1.811*PI()*(Parametres!$C$5/2)^2*SQRT(Parametres!$C$5)*SQRT(MAX(0,(A25/Parametres!$C$5-Parametres!$C$28)/Parametres!$C$27))))))&lt;=IF(A25&lt;Parametres!$C$5,IF(Parametres!$C$14&lt;=0,0,(1/Parametres!$C$14)*(((Parametres!$C$5/2)^2/2)*((2*ACOS(1-2*(MIN(0.999,MAX(1E-6,A25/Parametres!$C$5)))))-SIN(2*ACOS(1-2*(MIN(0.999,MAX(1E-6,A25/Parametres!$C$5)))))))*IF(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&lt;=0,0,(IF(((Parametres!$C$5/2)*(2*ACOS(1-2*(MIN(0.999,MAX(1E-6,A25/Parametres!$C$5))))))&lt;=0,0,(((Parametres!$C$5/2)^2/2)*((2*ACOS(1-2*(MIN(0.999,MAX(1E-6,A25/Parametres!$C$5)))))-SIN(2*ACOS(1-2*(MIN(0.999,MAX(1E-6,A25/Parametres!$C$5)))))))/((Parametres!$C$5/2)*(2*ACOS(1-2*(MIN(0.999,MAX(1E-6,A25/Parametres!$C$5))))))))^(2/3))*SQRT(Parametres!$C$13)),IF((A25-Parametres!$C$16+Parametres!$C$13*Parametres!$C$6)&lt;=0,0,PI()*(Parametres!$C$5/2)^2*SQRT((A25-Parametres!$C$16+Parametres!$C$13*Parametres!$C$6)/((1+Parametres!$C$29)/(2*9.81)+(Parametres!$C$14^2)*Parametres!$C$6/((Parametres!$C$5/4)^(4/3)))))),"inlet","outlet")</f>
        <v/>
      </c>
      <c r="G25" s="14">
        <f>(IF((MIN(0.999,MAX(0,MIN(A25,Parametres!$C$5)/Parametres!$C$5)))&lt;=0,0,IF(A25&gt;=Parametres!$C$5,PI()*(Parametres!$C$5/2)^2,((Parametres!$C$5/2)^2/2)*((IF((MIN(0.999,MAX(0,MIN(A25,Parametres!$C$5)/Parametres!$C$5)))&lt;=0,0,2*ACOS(1-2*(MIN(0.999,MAX(0,MIN(A25,Parametres!$C$5)/Parametres!$C$5))))))-SIN(IF((MIN(0.999,MAX(0,MIN(A25,Parametres!$C$5)/Parametres!$C$5)))&lt;=0,0,2*ACOS(1-2*(MIN(0.999,MAX(0,MIN(A25,Parametres!$C$5)/Parametres!$C$5))))))))))*Parametres!$C$6+IF((MAX(0,MIN(A25,(Parametres!$C$11-Parametres!$C$9))-(Parametres!$C$18)))&lt;=0,0,((Parametres!$C$7+Parametres!$C$8*(MAX(0,MIN(A25,(Parametres!$C$11-Parametres!$C$9))-(Parametres!$C$18))))*(MAX(0,MIN(A25,(Parametres!$C$11-Parametres!$C$9))-(Parametres!$C$18))))*Parametres!$C$6)</f>
        <v/>
      </c>
      <c r="H25" s="14">
        <f>G25+Hydrogramme_entree!$B$4*A25</f>
        <v/>
      </c>
      <c r="I25" s="14">
        <f>2*H25/(Hydrogramme_entree!$B$8*60)+E25</f>
        <v/>
      </c>
    </row>
    <row r="26">
      <c r="A26" s="12">
        <f>(22/40)*(Parametres!$C$11-Parametres!$C$9)</f>
        <v/>
      </c>
      <c r="B26" s="13">
        <f>Parametres!$C$9+A26</f>
        <v/>
      </c>
      <c r="C26" s="12">
        <f>MIN(IF(A26&lt;=0,0,IF(A26&lt;0.95*Parametres!$C$5,1.811*PI()*(Parametres!$C$5/2)^2*SQRT(Parametres!$C$5)*IF(Parametres!$C$25*Parametres!$C$5&lt;=0,0,(A26/(Parametres!$C$25*Parametres!$C$5))^(1/Parametres!$C$26)),IF(A26&gt;1.2*Parametres!$C$5,1.811*PI()*(Parametres!$C$5/2)^2*SQRT(Parametres!$C$5)*SQRT(MAX(0,(A26/Parametres!$C$5-Parametres!$C$28)/Parametres!$C$27)),(1-(MIN(1,MAX(0,(A26/Parametres!$C$5-0.95)/(1.2-0.95)))))*(1.811*PI()*(Parametres!$C$5/2)^2*SQRT(Parametres!$C$5)*IF(Parametres!$C$25*Parametres!$C$5&lt;=0,0,(A26/(Parametres!$C$25*Parametres!$C$5))^(1/Parametres!$C$26)))+(MIN(1,MAX(0,(A26/Parametres!$C$5-0.95)/(1.2-0.95))))*(1.811*PI()*(Parametres!$C$5/2)^2*SQRT(Parametres!$C$5)*SQRT(MAX(0,(A26/Parametres!$C$5-Parametres!$C$28)/Parametres!$C$27)))))),IF(A26&lt;Parametres!$C$5,IF(Parametres!$C$14&lt;=0,0,(1/Parametres!$C$14)*(((Parametres!$C$5/2)^2/2)*((2*ACOS(1-2*(MIN(0.999,MAX(1E-6,A26/Parametres!$C$5)))))-SIN(2*ACOS(1-2*(MIN(0.999,MAX(1E-6,A26/Parametres!$C$5)))))))*IF(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&lt;=0,0,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^(2/3))*SQRT(Parametres!$C$13)),IF((A26-Parametres!$C$16+Parametres!$C$13*Parametres!$C$6)&lt;=0,0,PI()*(Parametres!$C$5/2)^2*SQRT((A26-Parametres!$C$16+Parametres!$C$13*Parametres!$C$6)/((1+Parametres!$C$29)/(2*9.81)+(Parametres!$C$14^2)*Parametres!$C$6/((Parametres!$C$5/4)^(4/3)))))))</f>
        <v/>
      </c>
      <c r="D26" s="12">
        <f>IF(LOWER(Parametres!$C$17)="porous",IF((MAX(0,A26-Parametres!$C$18))&lt;=0,0,((Parametres!$C$7+Parametres!$C$8*(MAX(0,A26-Parametres!$C$18)))*(MAX(0,A26-Parametres!$C$18)))*(Parametres!$C$22*Parametres!$C$21*SQRT(9.81*Parametres!$C$20*Parametres!$C$13/(1-Parametres!$C$21)))),IF(LOWER(Parametres!$C$17)="both",IF((MAX(0,A26-Parametres!$C$18))&lt;=0,0,((Parametres!$C$7+Parametres!$C$8*(MAX(0,A26-Parametres!$C$18)))*(MAX(0,A26-Parametres!$C$18)))*(Parametres!$C$22*Parametres!$C$21*SQRT(9.81*Parametres!$C$20*Parametres!$C$13/(1-Parametres!$C$21))))+IF((MAX(0,A26-Parametres!$C$18))&lt;=0,0,(1/Parametres!$C$19)*((Parametres!$C$7+Parametres!$C$8*(MAX(0,A26-Parametres!$C$18)))*(MAX(0,A26-Parametres!$C$18)))*IF((IF((Parametres!$C$7+2*(MAX(0,A26-Parametres!$C$18))*SQRT(1+Parametres!$C$8^2))&lt;=0,0,((Parametres!$C$7+Parametres!$C$8*(MAX(0,A26-Parametres!$C$18)))*(MAX(0,A26-Parametres!$C$18)))/(Parametres!$C$7+2*(MAX(0,A26-Parametres!$C$18))*SQRT(1+Parametres!$C$8^2))))&lt;=0,0,(IF((Parametres!$C$7+2*(MAX(0,A26-Parametres!$C$18))*SQRT(1+Parametres!$C$8^2))&lt;=0,0,((Parametres!$C$7+Parametres!$C$8*(MAX(0,A26-Parametres!$C$18)))*(MAX(0,A26-Parametres!$C$18)))/(Parametres!$C$7+2*(MAX(0,A26-Parametres!$C$18))*SQRT(1+Parametres!$C$8^2))))^(2/3))*SQRT(Parametres!$C$13)),IF((MAX(0,A26-Parametres!$C$18))&lt;=0,0,(1/Parametres!$C$19)*((Parametres!$C$7+Parametres!$C$8*(MAX(0,A26-Parametres!$C$18)))*(MAX(0,A26-Parametres!$C$18)))*IF((IF((Parametres!$C$7+2*(MAX(0,A26-Parametres!$C$18))*SQRT(1+Parametres!$C$8^2))&lt;=0,0,((Parametres!$C$7+Parametres!$C$8*(MAX(0,A26-Parametres!$C$18)))*(MAX(0,A26-Parametres!$C$18)))/(Parametres!$C$7+2*(MAX(0,A26-Parametres!$C$18))*SQRT(1+Parametres!$C$8^2))))&lt;=0,0,(IF((Parametres!$C$7+2*(MAX(0,A26-Parametres!$C$18))*SQRT(1+Parametres!$C$8^2))&lt;=0,0,((Parametres!$C$7+Parametres!$C$8*(MAX(0,A26-Parametres!$C$18)))*(MAX(0,A26-Parametres!$C$18)))/(Parametres!$C$7+2*(MAX(0,A26-Parametres!$C$18))*SQRT(1+Parametres!$C$8^2))))^(2/3))*SQRT(Parametres!$C$13))))</f>
        <v/>
      </c>
      <c r="E26" s="12">
        <f>C26+D26</f>
        <v/>
      </c>
      <c r="F26" s="5">
        <f>IF(IF(A26&lt;=0,0,IF(A26&lt;0.95*Parametres!$C$5,1.811*PI()*(Parametres!$C$5/2)^2*SQRT(Parametres!$C$5)*IF(Parametres!$C$25*Parametres!$C$5&lt;=0,0,(A26/(Parametres!$C$25*Parametres!$C$5))^(1/Parametres!$C$26)),IF(A26&gt;1.2*Parametres!$C$5,1.811*PI()*(Parametres!$C$5/2)^2*SQRT(Parametres!$C$5)*SQRT(MAX(0,(A26/Parametres!$C$5-Parametres!$C$28)/Parametres!$C$27)),(1-(MIN(1,MAX(0,(A26/Parametres!$C$5-0.95)/(1.2-0.95)))))*(1.811*PI()*(Parametres!$C$5/2)^2*SQRT(Parametres!$C$5)*IF(Parametres!$C$25*Parametres!$C$5&lt;=0,0,(A26/(Parametres!$C$25*Parametres!$C$5))^(1/Parametres!$C$26)))+(MIN(1,MAX(0,(A26/Parametres!$C$5-0.95)/(1.2-0.95))))*(1.811*PI()*(Parametres!$C$5/2)^2*SQRT(Parametres!$C$5)*SQRT(MAX(0,(A26/Parametres!$C$5-Parametres!$C$28)/Parametres!$C$27))))))&lt;=IF(A26&lt;Parametres!$C$5,IF(Parametres!$C$14&lt;=0,0,(1/Parametres!$C$14)*(((Parametres!$C$5/2)^2/2)*((2*ACOS(1-2*(MIN(0.999,MAX(1E-6,A26/Parametres!$C$5)))))-SIN(2*ACOS(1-2*(MIN(0.999,MAX(1E-6,A26/Parametres!$C$5)))))))*IF(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&lt;=0,0,(IF(((Parametres!$C$5/2)*(2*ACOS(1-2*(MIN(0.999,MAX(1E-6,A26/Parametres!$C$5))))))&lt;=0,0,(((Parametres!$C$5/2)^2/2)*((2*ACOS(1-2*(MIN(0.999,MAX(1E-6,A26/Parametres!$C$5)))))-SIN(2*ACOS(1-2*(MIN(0.999,MAX(1E-6,A26/Parametres!$C$5)))))))/((Parametres!$C$5/2)*(2*ACOS(1-2*(MIN(0.999,MAX(1E-6,A26/Parametres!$C$5))))))))^(2/3))*SQRT(Parametres!$C$13)),IF((A26-Parametres!$C$16+Parametres!$C$13*Parametres!$C$6)&lt;=0,0,PI()*(Parametres!$C$5/2)^2*SQRT((A26-Parametres!$C$16+Parametres!$C$13*Parametres!$C$6)/((1+Parametres!$C$29)/(2*9.81)+(Parametres!$C$14^2)*Parametres!$C$6/((Parametres!$C$5/4)^(4/3)))))),"inlet","outlet")</f>
        <v/>
      </c>
      <c r="G26" s="14">
        <f>(IF((MIN(0.999,MAX(0,MIN(A26,Parametres!$C$5)/Parametres!$C$5)))&lt;=0,0,IF(A26&gt;=Parametres!$C$5,PI()*(Parametres!$C$5/2)^2,((Parametres!$C$5/2)^2/2)*((IF((MIN(0.999,MAX(0,MIN(A26,Parametres!$C$5)/Parametres!$C$5)))&lt;=0,0,2*ACOS(1-2*(MIN(0.999,MAX(0,MIN(A26,Parametres!$C$5)/Parametres!$C$5))))))-SIN(IF((MIN(0.999,MAX(0,MIN(A26,Parametres!$C$5)/Parametres!$C$5)))&lt;=0,0,2*ACOS(1-2*(MIN(0.999,MAX(0,MIN(A26,Parametres!$C$5)/Parametres!$C$5))))))))))*Parametres!$C$6+IF((MAX(0,MIN(A26,(Parametres!$C$11-Parametres!$C$9))-(Parametres!$C$18)))&lt;=0,0,((Parametres!$C$7+Parametres!$C$8*(MAX(0,MIN(A26,(Parametres!$C$11-Parametres!$C$9))-(Parametres!$C$18))))*(MAX(0,MIN(A26,(Parametres!$C$11-Parametres!$C$9))-(Parametres!$C$18))))*Parametres!$C$6)</f>
        <v/>
      </c>
      <c r="H26" s="14">
        <f>G26+Hydrogramme_entree!$B$4*A26</f>
        <v/>
      </c>
      <c r="I26" s="14">
        <f>2*H26/(Hydrogramme_entree!$B$8*60)+E26</f>
        <v/>
      </c>
    </row>
    <row r="27">
      <c r="A27" s="12">
        <f>(23/40)*(Parametres!$C$11-Parametres!$C$9)</f>
        <v/>
      </c>
      <c r="B27" s="13">
        <f>Parametres!$C$9+A27</f>
        <v/>
      </c>
      <c r="C27" s="12">
        <f>MIN(IF(A27&lt;=0,0,IF(A27&lt;0.95*Parametres!$C$5,1.811*PI()*(Parametres!$C$5/2)^2*SQRT(Parametres!$C$5)*IF(Parametres!$C$25*Parametres!$C$5&lt;=0,0,(A27/(Parametres!$C$25*Parametres!$C$5))^(1/Parametres!$C$26)),IF(A27&gt;1.2*Parametres!$C$5,1.811*PI()*(Parametres!$C$5/2)^2*SQRT(Parametres!$C$5)*SQRT(MAX(0,(A27/Parametres!$C$5-Parametres!$C$28)/Parametres!$C$27)),(1-(MIN(1,MAX(0,(A27/Parametres!$C$5-0.95)/(1.2-0.95)))))*(1.811*PI()*(Parametres!$C$5/2)^2*SQRT(Parametres!$C$5)*IF(Parametres!$C$25*Parametres!$C$5&lt;=0,0,(A27/(Parametres!$C$25*Parametres!$C$5))^(1/Parametres!$C$26)))+(MIN(1,MAX(0,(A27/Parametres!$C$5-0.95)/(1.2-0.95))))*(1.811*PI()*(Parametres!$C$5/2)^2*SQRT(Parametres!$C$5)*SQRT(MAX(0,(A27/Parametres!$C$5-Parametres!$C$28)/Parametres!$C$27)))))),IF(A27&lt;Parametres!$C$5,IF(Parametres!$C$14&lt;=0,0,(1/Parametres!$C$14)*(((Parametres!$C$5/2)^2/2)*((2*ACOS(1-2*(MIN(0.999,MAX(1E-6,A27/Parametres!$C$5)))))-SIN(2*ACOS(1-2*(MIN(0.999,MAX(1E-6,A27/Parametres!$C$5)))))))*IF(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&lt;=0,0,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^(2/3))*SQRT(Parametres!$C$13)),IF((A27-Parametres!$C$16+Parametres!$C$13*Parametres!$C$6)&lt;=0,0,PI()*(Parametres!$C$5/2)^2*SQRT((A27-Parametres!$C$16+Parametres!$C$13*Parametres!$C$6)/((1+Parametres!$C$29)/(2*9.81)+(Parametres!$C$14^2)*Parametres!$C$6/((Parametres!$C$5/4)^(4/3)))))))</f>
        <v/>
      </c>
      <c r="D27" s="12">
        <f>IF(LOWER(Parametres!$C$17)="porous",IF((MAX(0,A27-Parametres!$C$18))&lt;=0,0,((Parametres!$C$7+Parametres!$C$8*(MAX(0,A27-Parametres!$C$18)))*(MAX(0,A27-Parametres!$C$18)))*(Parametres!$C$22*Parametres!$C$21*SQRT(9.81*Parametres!$C$20*Parametres!$C$13/(1-Parametres!$C$21)))),IF(LOWER(Parametres!$C$17)="both",IF((MAX(0,A27-Parametres!$C$18))&lt;=0,0,((Parametres!$C$7+Parametres!$C$8*(MAX(0,A27-Parametres!$C$18)))*(MAX(0,A27-Parametres!$C$18)))*(Parametres!$C$22*Parametres!$C$21*SQRT(9.81*Parametres!$C$20*Parametres!$C$13/(1-Parametres!$C$21))))+IF((MAX(0,A27-Parametres!$C$18))&lt;=0,0,(1/Parametres!$C$19)*((Parametres!$C$7+Parametres!$C$8*(MAX(0,A27-Parametres!$C$18)))*(MAX(0,A27-Parametres!$C$18)))*IF((IF((Parametres!$C$7+2*(MAX(0,A27-Parametres!$C$18))*SQRT(1+Parametres!$C$8^2))&lt;=0,0,((Parametres!$C$7+Parametres!$C$8*(MAX(0,A27-Parametres!$C$18)))*(MAX(0,A27-Parametres!$C$18)))/(Parametres!$C$7+2*(MAX(0,A27-Parametres!$C$18))*SQRT(1+Parametres!$C$8^2))))&lt;=0,0,(IF((Parametres!$C$7+2*(MAX(0,A27-Parametres!$C$18))*SQRT(1+Parametres!$C$8^2))&lt;=0,0,((Parametres!$C$7+Parametres!$C$8*(MAX(0,A27-Parametres!$C$18)))*(MAX(0,A27-Parametres!$C$18)))/(Parametres!$C$7+2*(MAX(0,A27-Parametres!$C$18))*SQRT(1+Parametres!$C$8^2))))^(2/3))*SQRT(Parametres!$C$13)),IF((MAX(0,A27-Parametres!$C$18))&lt;=0,0,(1/Parametres!$C$19)*((Parametres!$C$7+Parametres!$C$8*(MAX(0,A27-Parametres!$C$18)))*(MAX(0,A27-Parametres!$C$18)))*IF((IF((Parametres!$C$7+2*(MAX(0,A27-Parametres!$C$18))*SQRT(1+Parametres!$C$8^2))&lt;=0,0,((Parametres!$C$7+Parametres!$C$8*(MAX(0,A27-Parametres!$C$18)))*(MAX(0,A27-Parametres!$C$18)))/(Parametres!$C$7+2*(MAX(0,A27-Parametres!$C$18))*SQRT(1+Parametres!$C$8^2))))&lt;=0,0,(IF((Parametres!$C$7+2*(MAX(0,A27-Parametres!$C$18))*SQRT(1+Parametres!$C$8^2))&lt;=0,0,((Parametres!$C$7+Parametres!$C$8*(MAX(0,A27-Parametres!$C$18)))*(MAX(0,A27-Parametres!$C$18)))/(Parametres!$C$7+2*(MAX(0,A27-Parametres!$C$18))*SQRT(1+Parametres!$C$8^2))))^(2/3))*SQRT(Parametres!$C$13))))</f>
        <v/>
      </c>
      <c r="E27" s="12">
        <f>C27+D27</f>
        <v/>
      </c>
      <c r="F27" s="5">
        <f>IF(IF(A27&lt;=0,0,IF(A27&lt;0.95*Parametres!$C$5,1.811*PI()*(Parametres!$C$5/2)^2*SQRT(Parametres!$C$5)*IF(Parametres!$C$25*Parametres!$C$5&lt;=0,0,(A27/(Parametres!$C$25*Parametres!$C$5))^(1/Parametres!$C$26)),IF(A27&gt;1.2*Parametres!$C$5,1.811*PI()*(Parametres!$C$5/2)^2*SQRT(Parametres!$C$5)*SQRT(MAX(0,(A27/Parametres!$C$5-Parametres!$C$28)/Parametres!$C$27)),(1-(MIN(1,MAX(0,(A27/Parametres!$C$5-0.95)/(1.2-0.95)))))*(1.811*PI()*(Parametres!$C$5/2)^2*SQRT(Parametres!$C$5)*IF(Parametres!$C$25*Parametres!$C$5&lt;=0,0,(A27/(Parametres!$C$25*Parametres!$C$5))^(1/Parametres!$C$26)))+(MIN(1,MAX(0,(A27/Parametres!$C$5-0.95)/(1.2-0.95))))*(1.811*PI()*(Parametres!$C$5/2)^2*SQRT(Parametres!$C$5)*SQRT(MAX(0,(A27/Parametres!$C$5-Parametres!$C$28)/Parametres!$C$27))))))&lt;=IF(A27&lt;Parametres!$C$5,IF(Parametres!$C$14&lt;=0,0,(1/Parametres!$C$14)*(((Parametres!$C$5/2)^2/2)*((2*ACOS(1-2*(MIN(0.999,MAX(1E-6,A27/Parametres!$C$5)))))-SIN(2*ACOS(1-2*(MIN(0.999,MAX(1E-6,A27/Parametres!$C$5)))))))*IF(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&lt;=0,0,(IF(((Parametres!$C$5/2)*(2*ACOS(1-2*(MIN(0.999,MAX(1E-6,A27/Parametres!$C$5))))))&lt;=0,0,(((Parametres!$C$5/2)^2/2)*((2*ACOS(1-2*(MIN(0.999,MAX(1E-6,A27/Parametres!$C$5)))))-SIN(2*ACOS(1-2*(MIN(0.999,MAX(1E-6,A27/Parametres!$C$5)))))))/((Parametres!$C$5/2)*(2*ACOS(1-2*(MIN(0.999,MAX(1E-6,A27/Parametres!$C$5))))))))^(2/3))*SQRT(Parametres!$C$13)),IF((A27-Parametres!$C$16+Parametres!$C$13*Parametres!$C$6)&lt;=0,0,PI()*(Parametres!$C$5/2)^2*SQRT((A27-Parametres!$C$16+Parametres!$C$13*Parametres!$C$6)/((1+Parametres!$C$29)/(2*9.81)+(Parametres!$C$14^2)*Parametres!$C$6/((Parametres!$C$5/4)^(4/3)))))),"inlet","outlet")</f>
        <v/>
      </c>
      <c r="G27" s="14">
        <f>(IF((MIN(0.999,MAX(0,MIN(A27,Parametres!$C$5)/Parametres!$C$5)))&lt;=0,0,IF(A27&gt;=Parametres!$C$5,PI()*(Parametres!$C$5/2)^2,((Parametres!$C$5/2)^2/2)*((IF((MIN(0.999,MAX(0,MIN(A27,Parametres!$C$5)/Parametres!$C$5)))&lt;=0,0,2*ACOS(1-2*(MIN(0.999,MAX(0,MIN(A27,Parametres!$C$5)/Parametres!$C$5))))))-SIN(IF((MIN(0.999,MAX(0,MIN(A27,Parametres!$C$5)/Parametres!$C$5)))&lt;=0,0,2*ACOS(1-2*(MIN(0.999,MAX(0,MIN(A27,Parametres!$C$5)/Parametres!$C$5))))))))))*Parametres!$C$6+IF((MAX(0,MIN(A27,(Parametres!$C$11-Parametres!$C$9))-(Parametres!$C$18)))&lt;=0,0,((Parametres!$C$7+Parametres!$C$8*(MAX(0,MIN(A27,(Parametres!$C$11-Parametres!$C$9))-(Parametres!$C$18))))*(MAX(0,MIN(A27,(Parametres!$C$11-Parametres!$C$9))-(Parametres!$C$18))))*Parametres!$C$6)</f>
        <v/>
      </c>
      <c r="H27" s="14">
        <f>G27+Hydrogramme_entree!$B$4*A27</f>
        <v/>
      </c>
      <c r="I27" s="14">
        <f>2*H27/(Hydrogramme_entree!$B$8*60)+E27</f>
        <v/>
      </c>
    </row>
    <row r="28">
      <c r="A28" s="12">
        <f>(24/40)*(Parametres!$C$11-Parametres!$C$9)</f>
        <v/>
      </c>
      <c r="B28" s="13">
        <f>Parametres!$C$9+A28</f>
        <v/>
      </c>
      <c r="C28" s="12">
        <f>MIN(IF(A28&lt;=0,0,IF(A28&lt;0.95*Parametres!$C$5,1.811*PI()*(Parametres!$C$5/2)^2*SQRT(Parametres!$C$5)*IF(Parametres!$C$25*Parametres!$C$5&lt;=0,0,(A28/(Parametres!$C$25*Parametres!$C$5))^(1/Parametres!$C$26)),IF(A28&gt;1.2*Parametres!$C$5,1.811*PI()*(Parametres!$C$5/2)^2*SQRT(Parametres!$C$5)*SQRT(MAX(0,(A28/Parametres!$C$5-Parametres!$C$28)/Parametres!$C$27)),(1-(MIN(1,MAX(0,(A28/Parametres!$C$5-0.95)/(1.2-0.95)))))*(1.811*PI()*(Parametres!$C$5/2)^2*SQRT(Parametres!$C$5)*IF(Parametres!$C$25*Parametres!$C$5&lt;=0,0,(A28/(Parametres!$C$25*Parametres!$C$5))^(1/Parametres!$C$26)))+(MIN(1,MAX(0,(A28/Parametres!$C$5-0.95)/(1.2-0.95))))*(1.811*PI()*(Parametres!$C$5/2)^2*SQRT(Parametres!$C$5)*SQRT(MAX(0,(A28/Parametres!$C$5-Parametres!$C$28)/Parametres!$C$27)))))),IF(A28&lt;Parametres!$C$5,IF(Parametres!$C$14&lt;=0,0,(1/Parametres!$C$14)*(((Parametres!$C$5/2)^2/2)*((2*ACOS(1-2*(MIN(0.999,MAX(1E-6,A28/Parametres!$C$5)))))-SIN(2*ACOS(1-2*(MIN(0.999,MAX(1E-6,A28/Parametres!$C$5)))))))*IF(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&lt;=0,0,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^(2/3))*SQRT(Parametres!$C$13)),IF((A28-Parametres!$C$16+Parametres!$C$13*Parametres!$C$6)&lt;=0,0,PI()*(Parametres!$C$5/2)^2*SQRT((A28-Parametres!$C$16+Parametres!$C$13*Parametres!$C$6)/((1+Parametres!$C$29)/(2*9.81)+(Parametres!$C$14^2)*Parametres!$C$6/((Parametres!$C$5/4)^(4/3)))))))</f>
        <v/>
      </c>
      <c r="D28" s="12">
        <f>IF(LOWER(Parametres!$C$17)="porous",IF((MAX(0,A28-Parametres!$C$18))&lt;=0,0,((Parametres!$C$7+Parametres!$C$8*(MAX(0,A28-Parametres!$C$18)))*(MAX(0,A28-Parametres!$C$18)))*(Parametres!$C$22*Parametres!$C$21*SQRT(9.81*Parametres!$C$20*Parametres!$C$13/(1-Parametres!$C$21)))),IF(LOWER(Parametres!$C$17)="both",IF((MAX(0,A28-Parametres!$C$18))&lt;=0,0,((Parametres!$C$7+Parametres!$C$8*(MAX(0,A28-Parametres!$C$18)))*(MAX(0,A28-Parametres!$C$18)))*(Parametres!$C$22*Parametres!$C$21*SQRT(9.81*Parametres!$C$20*Parametres!$C$13/(1-Parametres!$C$21))))+IF((MAX(0,A28-Parametres!$C$18))&lt;=0,0,(1/Parametres!$C$19)*((Parametres!$C$7+Parametres!$C$8*(MAX(0,A28-Parametres!$C$18)))*(MAX(0,A28-Parametres!$C$18)))*IF((IF((Parametres!$C$7+2*(MAX(0,A28-Parametres!$C$18))*SQRT(1+Parametres!$C$8^2))&lt;=0,0,((Parametres!$C$7+Parametres!$C$8*(MAX(0,A28-Parametres!$C$18)))*(MAX(0,A28-Parametres!$C$18)))/(Parametres!$C$7+2*(MAX(0,A28-Parametres!$C$18))*SQRT(1+Parametres!$C$8^2))))&lt;=0,0,(IF((Parametres!$C$7+2*(MAX(0,A28-Parametres!$C$18))*SQRT(1+Parametres!$C$8^2))&lt;=0,0,((Parametres!$C$7+Parametres!$C$8*(MAX(0,A28-Parametres!$C$18)))*(MAX(0,A28-Parametres!$C$18)))/(Parametres!$C$7+2*(MAX(0,A28-Parametres!$C$18))*SQRT(1+Parametres!$C$8^2))))^(2/3))*SQRT(Parametres!$C$13)),IF((MAX(0,A28-Parametres!$C$18))&lt;=0,0,(1/Parametres!$C$19)*((Parametres!$C$7+Parametres!$C$8*(MAX(0,A28-Parametres!$C$18)))*(MAX(0,A28-Parametres!$C$18)))*IF((IF((Parametres!$C$7+2*(MAX(0,A28-Parametres!$C$18))*SQRT(1+Parametres!$C$8^2))&lt;=0,0,((Parametres!$C$7+Parametres!$C$8*(MAX(0,A28-Parametres!$C$18)))*(MAX(0,A28-Parametres!$C$18)))/(Parametres!$C$7+2*(MAX(0,A28-Parametres!$C$18))*SQRT(1+Parametres!$C$8^2))))&lt;=0,0,(IF((Parametres!$C$7+2*(MAX(0,A28-Parametres!$C$18))*SQRT(1+Parametres!$C$8^2))&lt;=0,0,((Parametres!$C$7+Parametres!$C$8*(MAX(0,A28-Parametres!$C$18)))*(MAX(0,A28-Parametres!$C$18)))/(Parametres!$C$7+2*(MAX(0,A28-Parametres!$C$18))*SQRT(1+Parametres!$C$8^2))))^(2/3))*SQRT(Parametres!$C$13))))</f>
        <v/>
      </c>
      <c r="E28" s="12">
        <f>C28+D28</f>
        <v/>
      </c>
      <c r="F28" s="5">
        <f>IF(IF(A28&lt;=0,0,IF(A28&lt;0.95*Parametres!$C$5,1.811*PI()*(Parametres!$C$5/2)^2*SQRT(Parametres!$C$5)*IF(Parametres!$C$25*Parametres!$C$5&lt;=0,0,(A28/(Parametres!$C$25*Parametres!$C$5))^(1/Parametres!$C$26)),IF(A28&gt;1.2*Parametres!$C$5,1.811*PI()*(Parametres!$C$5/2)^2*SQRT(Parametres!$C$5)*SQRT(MAX(0,(A28/Parametres!$C$5-Parametres!$C$28)/Parametres!$C$27)),(1-(MIN(1,MAX(0,(A28/Parametres!$C$5-0.95)/(1.2-0.95)))))*(1.811*PI()*(Parametres!$C$5/2)^2*SQRT(Parametres!$C$5)*IF(Parametres!$C$25*Parametres!$C$5&lt;=0,0,(A28/(Parametres!$C$25*Parametres!$C$5))^(1/Parametres!$C$26)))+(MIN(1,MAX(0,(A28/Parametres!$C$5-0.95)/(1.2-0.95))))*(1.811*PI()*(Parametres!$C$5/2)^2*SQRT(Parametres!$C$5)*SQRT(MAX(0,(A28/Parametres!$C$5-Parametres!$C$28)/Parametres!$C$27))))))&lt;=IF(A28&lt;Parametres!$C$5,IF(Parametres!$C$14&lt;=0,0,(1/Parametres!$C$14)*(((Parametres!$C$5/2)^2/2)*((2*ACOS(1-2*(MIN(0.999,MAX(1E-6,A28/Parametres!$C$5)))))-SIN(2*ACOS(1-2*(MIN(0.999,MAX(1E-6,A28/Parametres!$C$5)))))))*IF(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&lt;=0,0,(IF(((Parametres!$C$5/2)*(2*ACOS(1-2*(MIN(0.999,MAX(1E-6,A28/Parametres!$C$5))))))&lt;=0,0,(((Parametres!$C$5/2)^2/2)*((2*ACOS(1-2*(MIN(0.999,MAX(1E-6,A28/Parametres!$C$5)))))-SIN(2*ACOS(1-2*(MIN(0.999,MAX(1E-6,A28/Parametres!$C$5)))))))/((Parametres!$C$5/2)*(2*ACOS(1-2*(MIN(0.999,MAX(1E-6,A28/Parametres!$C$5))))))))^(2/3))*SQRT(Parametres!$C$13)),IF((A28-Parametres!$C$16+Parametres!$C$13*Parametres!$C$6)&lt;=0,0,PI()*(Parametres!$C$5/2)^2*SQRT((A28-Parametres!$C$16+Parametres!$C$13*Parametres!$C$6)/((1+Parametres!$C$29)/(2*9.81)+(Parametres!$C$14^2)*Parametres!$C$6/((Parametres!$C$5/4)^(4/3)))))),"inlet","outlet")</f>
        <v/>
      </c>
      <c r="G28" s="14">
        <f>(IF((MIN(0.999,MAX(0,MIN(A28,Parametres!$C$5)/Parametres!$C$5)))&lt;=0,0,IF(A28&gt;=Parametres!$C$5,PI()*(Parametres!$C$5/2)^2,((Parametres!$C$5/2)^2/2)*((IF((MIN(0.999,MAX(0,MIN(A28,Parametres!$C$5)/Parametres!$C$5)))&lt;=0,0,2*ACOS(1-2*(MIN(0.999,MAX(0,MIN(A28,Parametres!$C$5)/Parametres!$C$5))))))-SIN(IF((MIN(0.999,MAX(0,MIN(A28,Parametres!$C$5)/Parametres!$C$5)))&lt;=0,0,2*ACOS(1-2*(MIN(0.999,MAX(0,MIN(A28,Parametres!$C$5)/Parametres!$C$5))))))))))*Parametres!$C$6+IF((MAX(0,MIN(A28,(Parametres!$C$11-Parametres!$C$9))-(Parametres!$C$18)))&lt;=0,0,((Parametres!$C$7+Parametres!$C$8*(MAX(0,MIN(A28,(Parametres!$C$11-Parametres!$C$9))-(Parametres!$C$18))))*(MAX(0,MIN(A28,(Parametres!$C$11-Parametres!$C$9))-(Parametres!$C$18))))*Parametres!$C$6)</f>
        <v/>
      </c>
      <c r="H28" s="14">
        <f>G28+Hydrogramme_entree!$B$4*A28</f>
        <v/>
      </c>
      <c r="I28" s="14">
        <f>2*H28/(Hydrogramme_entree!$B$8*60)+E28</f>
        <v/>
      </c>
    </row>
    <row r="29">
      <c r="A29" s="12">
        <f>(25/40)*(Parametres!$C$11-Parametres!$C$9)</f>
        <v/>
      </c>
      <c r="B29" s="13">
        <f>Parametres!$C$9+A29</f>
        <v/>
      </c>
      <c r="C29" s="12">
        <f>MIN(IF(A29&lt;=0,0,IF(A29&lt;0.95*Parametres!$C$5,1.811*PI()*(Parametres!$C$5/2)^2*SQRT(Parametres!$C$5)*IF(Parametres!$C$25*Parametres!$C$5&lt;=0,0,(A29/(Parametres!$C$25*Parametres!$C$5))^(1/Parametres!$C$26)),IF(A29&gt;1.2*Parametres!$C$5,1.811*PI()*(Parametres!$C$5/2)^2*SQRT(Parametres!$C$5)*SQRT(MAX(0,(A29/Parametres!$C$5-Parametres!$C$28)/Parametres!$C$27)),(1-(MIN(1,MAX(0,(A29/Parametres!$C$5-0.95)/(1.2-0.95)))))*(1.811*PI()*(Parametres!$C$5/2)^2*SQRT(Parametres!$C$5)*IF(Parametres!$C$25*Parametres!$C$5&lt;=0,0,(A29/(Parametres!$C$25*Parametres!$C$5))^(1/Parametres!$C$26)))+(MIN(1,MAX(0,(A29/Parametres!$C$5-0.95)/(1.2-0.95))))*(1.811*PI()*(Parametres!$C$5/2)^2*SQRT(Parametres!$C$5)*SQRT(MAX(0,(A29/Parametres!$C$5-Parametres!$C$28)/Parametres!$C$27)))))),IF(A29&lt;Parametres!$C$5,IF(Parametres!$C$14&lt;=0,0,(1/Parametres!$C$14)*(((Parametres!$C$5/2)^2/2)*((2*ACOS(1-2*(MIN(0.999,MAX(1E-6,A29/Parametres!$C$5)))))-SIN(2*ACOS(1-2*(MIN(0.999,MAX(1E-6,A29/Parametres!$C$5)))))))*IF(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&lt;=0,0,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^(2/3))*SQRT(Parametres!$C$13)),IF((A29-Parametres!$C$16+Parametres!$C$13*Parametres!$C$6)&lt;=0,0,PI()*(Parametres!$C$5/2)^2*SQRT((A29-Parametres!$C$16+Parametres!$C$13*Parametres!$C$6)/((1+Parametres!$C$29)/(2*9.81)+(Parametres!$C$14^2)*Parametres!$C$6/((Parametres!$C$5/4)^(4/3)))))))</f>
        <v/>
      </c>
      <c r="D29" s="12">
        <f>IF(LOWER(Parametres!$C$17)="porous",IF((MAX(0,A29-Parametres!$C$18))&lt;=0,0,((Parametres!$C$7+Parametres!$C$8*(MAX(0,A29-Parametres!$C$18)))*(MAX(0,A29-Parametres!$C$18)))*(Parametres!$C$22*Parametres!$C$21*SQRT(9.81*Parametres!$C$20*Parametres!$C$13/(1-Parametres!$C$21)))),IF(LOWER(Parametres!$C$17)="both",IF((MAX(0,A29-Parametres!$C$18))&lt;=0,0,((Parametres!$C$7+Parametres!$C$8*(MAX(0,A29-Parametres!$C$18)))*(MAX(0,A29-Parametres!$C$18)))*(Parametres!$C$22*Parametres!$C$21*SQRT(9.81*Parametres!$C$20*Parametres!$C$13/(1-Parametres!$C$21))))+IF((MAX(0,A29-Parametres!$C$18))&lt;=0,0,(1/Parametres!$C$19)*((Parametres!$C$7+Parametres!$C$8*(MAX(0,A29-Parametres!$C$18)))*(MAX(0,A29-Parametres!$C$18)))*IF((IF((Parametres!$C$7+2*(MAX(0,A29-Parametres!$C$18))*SQRT(1+Parametres!$C$8^2))&lt;=0,0,((Parametres!$C$7+Parametres!$C$8*(MAX(0,A29-Parametres!$C$18)))*(MAX(0,A29-Parametres!$C$18)))/(Parametres!$C$7+2*(MAX(0,A29-Parametres!$C$18))*SQRT(1+Parametres!$C$8^2))))&lt;=0,0,(IF((Parametres!$C$7+2*(MAX(0,A29-Parametres!$C$18))*SQRT(1+Parametres!$C$8^2))&lt;=0,0,((Parametres!$C$7+Parametres!$C$8*(MAX(0,A29-Parametres!$C$18)))*(MAX(0,A29-Parametres!$C$18)))/(Parametres!$C$7+2*(MAX(0,A29-Parametres!$C$18))*SQRT(1+Parametres!$C$8^2))))^(2/3))*SQRT(Parametres!$C$13)),IF((MAX(0,A29-Parametres!$C$18))&lt;=0,0,(1/Parametres!$C$19)*((Parametres!$C$7+Parametres!$C$8*(MAX(0,A29-Parametres!$C$18)))*(MAX(0,A29-Parametres!$C$18)))*IF((IF((Parametres!$C$7+2*(MAX(0,A29-Parametres!$C$18))*SQRT(1+Parametres!$C$8^2))&lt;=0,0,((Parametres!$C$7+Parametres!$C$8*(MAX(0,A29-Parametres!$C$18)))*(MAX(0,A29-Parametres!$C$18)))/(Parametres!$C$7+2*(MAX(0,A29-Parametres!$C$18))*SQRT(1+Parametres!$C$8^2))))&lt;=0,0,(IF((Parametres!$C$7+2*(MAX(0,A29-Parametres!$C$18))*SQRT(1+Parametres!$C$8^2))&lt;=0,0,((Parametres!$C$7+Parametres!$C$8*(MAX(0,A29-Parametres!$C$18)))*(MAX(0,A29-Parametres!$C$18)))/(Parametres!$C$7+2*(MAX(0,A29-Parametres!$C$18))*SQRT(1+Parametres!$C$8^2))))^(2/3))*SQRT(Parametres!$C$13))))</f>
        <v/>
      </c>
      <c r="E29" s="12">
        <f>C29+D29</f>
        <v/>
      </c>
      <c r="F29" s="5">
        <f>IF(IF(A29&lt;=0,0,IF(A29&lt;0.95*Parametres!$C$5,1.811*PI()*(Parametres!$C$5/2)^2*SQRT(Parametres!$C$5)*IF(Parametres!$C$25*Parametres!$C$5&lt;=0,0,(A29/(Parametres!$C$25*Parametres!$C$5))^(1/Parametres!$C$26)),IF(A29&gt;1.2*Parametres!$C$5,1.811*PI()*(Parametres!$C$5/2)^2*SQRT(Parametres!$C$5)*SQRT(MAX(0,(A29/Parametres!$C$5-Parametres!$C$28)/Parametres!$C$27)),(1-(MIN(1,MAX(0,(A29/Parametres!$C$5-0.95)/(1.2-0.95)))))*(1.811*PI()*(Parametres!$C$5/2)^2*SQRT(Parametres!$C$5)*IF(Parametres!$C$25*Parametres!$C$5&lt;=0,0,(A29/(Parametres!$C$25*Parametres!$C$5))^(1/Parametres!$C$26)))+(MIN(1,MAX(0,(A29/Parametres!$C$5-0.95)/(1.2-0.95))))*(1.811*PI()*(Parametres!$C$5/2)^2*SQRT(Parametres!$C$5)*SQRT(MAX(0,(A29/Parametres!$C$5-Parametres!$C$28)/Parametres!$C$27))))))&lt;=IF(A29&lt;Parametres!$C$5,IF(Parametres!$C$14&lt;=0,0,(1/Parametres!$C$14)*(((Parametres!$C$5/2)^2/2)*((2*ACOS(1-2*(MIN(0.999,MAX(1E-6,A29/Parametres!$C$5)))))-SIN(2*ACOS(1-2*(MIN(0.999,MAX(1E-6,A29/Parametres!$C$5)))))))*IF(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&lt;=0,0,(IF(((Parametres!$C$5/2)*(2*ACOS(1-2*(MIN(0.999,MAX(1E-6,A29/Parametres!$C$5))))))&lt;=0,0,(((Parametres!$C$5/2)^2/2)*((2*ACOS(1-2*(MIN(0.999,MAX(1E-6,A29/Parametres!$C$5)))))-SIN(2*ACOS(1-2*(MIN(0.999,MAX(1E-6,A29/Parametres!$C$5)))))))/((Parametres!$C$5/2)*(2*ACOS(1-2*(MIN(0.999,MAX(1E-6,A29/Parametres!$C$5))))))))^(2/3))*SQRT(Parametres!$C$13)),IF((A29-Parametres!$C$16+Parametres!$C$13*Parametres!$C$6)&lt;=0,0,PI()*(Parametres!$C$5/2)^2*SQRT((A29-Parametres!$C$16+Parametres!$C$13*Parametres!$C$6)/((1+Parametres!$C$29)/(2*9.81)+(Parametres!$C$14^2)*Parametres!$C$6/((Parametres!$C$5/4)^(4/3)))))),"inlet","outlet")</f>
        <v/>
      </c>
      <c r="G29" s="14">
        <f>(IF((MIN(0.999,MAX(0,MIN(A29,Parametres!$C$5)/Parametres!$C$5)))&lt;=0,0,IF(A29&gt;=Parametres!$C$5,PI()*(Parametres!$C$5/2)^2,((Parametres!$C$5/2)^2/2)*((IF((MIN(0.999,MAX(0,MIN(A29,Parametres!$C$5)/Parametres!$C$5)))&lt;=0,0,2*ACOS(1-2*(MIN(0.999,MAX(0,MIN(A29,Parametres!$C$5)/Parametres!$C$5))))))-SIN(IF((MIN(0.999,MAX(0,MIN(A29,Parametres!$C$5)/Parametres!$C$5)))&lt;=0,0,2*ACOS(1-2*(MIN(0.999,MAX(0,MIN(A29,Parametres!$C$5)/Parametres!$C$5))))))))))*Parametres!$C$6+IF((MAX(0,MIN(A29,(Parametres!$C$11-Parametres!$C$9))-(Parametres!$C$18)))&lt;=0,0,((Parametres!$C$7+Parametres!$C$8*(MAX(0,MIN(A29,(Parametres!$C$11-Parametres!$C$9))-(Parametres!$C$18))))*(MAX(0,MIN(A29,(Parametres!$C$11-Parametres!$C$9))-(Parametres!$C$18))))*Parametres!$C$6)</f>
        <v/>
      </c>
      <c r="H29" s="14">
        <f>G29+Hydrogramme_entree!$B$4*A29</f>
        <v/>
      </c>
      <c r="I29" s="14">
        <f>2*H29/(Hydrogramme_entree!$B$8*60)+E29</f>
        <v/>
      </c>
    </row>
    <row r="30">
      <c r="A30" s="12">
        <f>(26/40)*(Parametres!$C$11-Parametres!$C$9)</f>
        <v/>
      </c>
      <c r="B30" s="13">
        <f>Parametres!$C$9+A30</f>
        <v/>
      </c>
      <c r="C30" s="12">
        <f>MIN(IF(A30&lt;=0,0,IF(A30&lt;0.95*Parametres!$C$5,1.811*PI()*(Parametres!$C$5/2)^2*SQRT(Parametres!$C$5)*IF(Parametres!$C$25*Parametres!$C$5&lt;=0,0,(A30/(Parametres!$C$25*Parametres!$C$5))^(1/Parametres!$C$26)),IF(A30&gt;1.2*Parametres!$C$5,1.811*PI()*(Parametres!$C$5/2)^2*SQRT(Parametres!$C$5)*SQRT(MAX(0,(A30/Parametres!$C$5-Parametres!$C$28)/Parametres!$C$27)),(1-(MIN(1,MAX(0,(A30/Parametres!$C$5-0.95)/(1.2-0.95)))))*(1.811*PI()*(Parametres!$C$5/2)^2*SQRT(Parametres!$C$5)*IF(Parametres!$C$25*Parametres!$C$5&lt;=0,0,(A30/(Parametres!$C$25*Parametres!$C$5))^(1/Parametres!$C$26)))+(MIN(1,MAX(0,(A30/Parametres!$C$5-0.95)/(1.2-0.95))))*(1.811*PI()*(Parametres!$C$5/2)^2*SQRT(Parametres!$C$5)*SQRT(MAX(0,(A30/Parametres!$C$5-Parametres!$C$28)/Parametres!$C$27)))))),IF(A30&lt;Parametres!$C$5,IF(Parametres!$C$14&lt;=0,0,(1/Parametres!$C$14)*(((Parametres!$C$5/2)^2/2)*((2*ACOS(1-2*(MIN(0.999,MAX(1E-6,A30/Parametres!$C$5)))))-SIN(2*ACOS(1-2*(MIN(0.999,MAX(1E-6,A30/Parametres!$C$5)))))))*IF(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&lt;=0,0,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^(2/3))*SQRT(Parametres!$C$13)),IF((A30-Parametres!$C$16+Parametres!$C$13*Parametres!$C$6)&lt;=0,0,PI()*(Parametres!$C$5/2)^2*SQRT((A30-Parametres!$C$16+Parametres!$C$13*Parametres!$C$6)/((1+Parametres!$C$29)/(2*9.81)+(Parametres!$C$14^2)*Parametres!$C$6/((Parametres!$C$5/4)^(4/3)))))))</f>
        <v/>
      </c>
      <c r="D30" s="12">
        <f>IF(LOWER(Parametres!$C$17)="porous",IF((MAX(0,A30-Parametres!$C$18))&lt;=0,0,((Parametres!$C$7+Parametres!$C$8*(MAX(0,A30-Parametres!$C$18)))*(MAX(0,A30-Parametres!$C$18)))*(Parametres!$C$22*Parametres!$C$21*SQRT(9.81*Parametres!$C$20*Parametres!$C$13/(1-Parametres!$C$21)))),IF(LOWER(Parametres!$C$17)="both",IF((MAX(0,A30-Parametres!$C$18))&lt;=0,0,((Parametres!$C$7+Parametres!$C$8*(MAX(0,A30-Parametres!$C$18)))*(MAX(0,A30-Parametres!$C$18)))*(Parametres!$C$22*Parametres!$C$21*SQRT(9.81*Parametres!$C$20*Parametres!$C$13/(1-Parametres!$C$21))))+IF((MAX(0,A30-Parametres!$C$18))&lt;=0,0,(1/Parametres!$C$19)*((Parametres!$C$7+Parametres!$C$8*(MAX(0,A30-Parametres!$C$18)))*(MAX(0,A30-Parametres!$C$18)))*IF((IF((Parametres!$C$7+2*(MAX(0,A30-Parametres!$C$18))*SQRT(1+Parametres!$C$8^2))&lt;=0,0,((Parametres!$C$7+Parametres!$C$8*(MAX(0,A30-Parametres!$C$18)))*(MAX(0,A30-Parametres!$C$18)))/(Parametres!$C$7+2*(MAX(0,A30-Parametres!$C$18))*SQRT(1+Parametres!$C$8^2))))&lt;=0,0,(IF((Parametres!$C$7+2*(MAX(0,A30-Parametres!$C$18))*SQRT(1+Parametres!$C$8^2))&lt;=0,0,((Parametres!$C$7+Parametres!$C$8*(MAX(0,A30-Parametres!$C$18)))*(MAX(0,A30-Parametres!$C$18)))/(Parametres!$C$7+2*(MAX(0,A30-Parametres!$C$18))*SQRT(1+Parametres!$C$8^2))))^(2/3))*SQRT(Parametres!$C$13)),IF((MAX(0,A30-Parametres!$C$18))&lt;=0,0,(1/Parametres!$C$19)*((Parametres!$C$7+Parametres!$C$8*(MAX(0,A30-Parametres!$C$18)))*(MAX(0,A30-Parametres!$C$18)))*IF((IF((Parametres!$C$7+2*(MAX(0,A30-Parametres!$C$18))*SQRT(1+Parametres!$C$8^2))&lt;=0,0,((Parametres!$C$7+Parametres!$C$8*(MAX(0,A30-Parametres!$C$18)))*(MAX(0,A30-Parametres!$C$18)))/(Parametres!$C$7+2*(MAX(0,A30-Parametres!$C$18))*SQRT(1+Parametres!$C$8^2))))&lt;=0,0,(IF((Parametres!$C$7+2*(MAX(0,A30-Parametres!$C$18))*SQRT(1+Parametres!$C$8^2))&lt;=0,0,((Parametres!$C$7+Parametres!$C$8*(MAX(0,A30-Parametres!$C$18)))*(MAX(0,A30-Parametres!$C$18)))/(Parametres!$C$7+2*(MAX(0,A30-Parametres!$C$18))*SQRT(1+Parametres!$C$8^2))))^(2/3))*SQRT(Parametres!$C$13))))</f>
        <v/>
      </c>
      <c r="E30" s="12">
        <f>C30+D30</f>
        <v/>
      </c>
      <c r="F30" s="5">
        <f>IF(IF(A30&lt;=0,0,IF(A30&lt;0.95*Parametres!$C$5,1.811*PI()*(Parametres!$C$5/2)^2*SQRT(Parametres!$C$5)*IF(Parametres!$C$25*Parametres!$C$5&lt;=0,0,(A30/(Parametres!$C$25*Parametres!$C$5))^(1/Parametres!$C$26)),IF(A30&gt;1.2*Parametres!$C$5,1.811*PI()*(Parametres!$C$5/2)^2*SQRT(Parametres!$C$5)*SQRT(MAX(0,(A30/Parametres!$C$5-Parametres!$C$28)/Parametres!$C$27)),(1-(MIN(1,MAX(0,(A30/Parametres!$C$5-0.95)/(1.2-0.95)))))*(1.811*PI()*(Parametres!$C$5/2)^2*SQRT(Parametres!$C$5)*IF(Parametres!$C$25*Parametres!$C$5&lt;=0,0,(A30/(Parametres!$C$25*Parametres!$C$5))^(1/Parametres!$C$26)))+(MIN(1,MAX(0,(A30/Parametres!$C$5-0.95)/(1.2-0.95))))*(1.811*PI()*(Parametres!$C$5/2)^2*SQRT(Parametres!$C$5)*SQRT(MAX(0,(A30/Parametres!$C$5-Parametres!$C$28)/Parametres!$C$27))))))&lt;=IF(A30&lt;Parametres!$C$5,IF(Parametres!$C$14&lt;=0,0,(1/Parametres!$C$14)*(((Parametres!$C$5/2)^2/2)*((2*ACOS(1-2*(MIN(0.999,MAX(1E-6,A30/Parametres!$C$5)))))-SIN(2*ACOS(1-2*(MIN(0.999,MAX(1E-6,A30/Parametres!$C$5)))))))*IF(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&lt;=0,0,(IF(((Parametres!$C$5/2)*(2*ACOS(1-2*(MIN(0.999,MAX(1E-6,A30/Parametres!$C$5))))))&lt;=0,0,(((Parametres!$C$5/2)^2/2)*((2*ACOS(1-2*(MIN(0.999,MAX(1E-6,A30/Parametres!$C$5)))))-SIN(2*ACOS(1-2*(MIN(0.999,MAX(1E-6,A30/Parametres!$C$5)))))))/((Parametres!$C$5/2)*(2*ACOS(1-2*(MIN(0.999,MAX(1E-6,A30/Parametres!$C$5))))))))^(2/3))*SQRT(Parametres!$C$13)),IF((A30-Parametres!$C$16+Parametres!$C$13*Parametres!$C$6)&lt;=0,0,PI()*(Parametres!$C$5/2)^2*SQRT((A30-Parametres!$C$16+Parametres!$C$13*Parametres!$C$6)/((1+Parametres!$C$29)/(2*9.81)+(Parametres!$C$14^2)*Parametres!$C$6/((Parametres!$C$5/4)^(4/3)))))),"inlet","outlet")</f>
        <v/>
      </c>
      <c r="G30" s="14">
        <f>(IF((MIN(0.999,MAX(0,MIN(A30,Parametres!$C$5)/Parametres!$C$5)))&lt;=0,0,IF(A30&gt;=Parametres!$C$5,PI()*(Parametres!$C$5/2)^2,((Parametres!$C$5/2)^2/2)*((IF((MIN(0.999,MAX(0,MIN(A30,Parametres!$C$5)/Parametres!$C$5)))&lt;=0,0,2*ACOS(1-2*(MIN(0.999,MAX(0,MIN(A30,Parametres!$C$5)/Parametres!$C$5))))))-SIN(IF((MIN(0.999,MAX(0,MIN(A30,Parametres!$C$5)/Parametres!$C$5)))&lt;=0,0,2*ACOS(1-2*(MIN(0.999,MAX(0,MIN(A30,Parametres!$C$5)/Parametres!$C$5))))))))))*Parametres!$C$6+IF((MAX(0,MIN(A30,(Parametres!$C$11-Parametres!$C$9))-(Parametres!$C$18)))&lt;=0,0,((Parametres!$C$7+Parametres!$C$8*(MAX(0,MIN(A30,(Parametres!$C$11-Parametres!$C$9))-(Parametres!$C$18))))*(MAX(0,MIN(A30,(Parametres!$C$11-Parametres!$C$9))-(Parametres!$C$18))))*Parametres!$C$6)</f>
        <v/>
      </c>
      <c r="H30" s="14">
        <f>G30+Hydrogramme_entree!$B$4*A30</f>
        <v/>
      </c>
      <c r="I30" s="14">
        <f>2*H30/(Hydrogramme_entree!$B$8*60)+E30</f>
        <v/>
      </c>
    </row>
    <row r="31">
      <c r="A31" s="12">
        <f>(27/40)*(Parametres!$C$11-Parametres!$C$9)</f>
        <v/>
      </c>
      <c r="B31" s="13">
        <f>Parametres!$C$9+A31</f>
        <v/>
      </c>
      <c r="C31" s="12">
        <f>MIN(IF(A31&lt;=0,0,IF(A31&lt;0.95*Parametres!$C$5,1.811*PI()*(Parametres!$C$5/2)^2*SQRT(Parametres!$C$5)*IF(Parametres!$C$25*Parametres!$C$5&lt;=0,0,(A31/(Parametres!$C$25*Parametres!$C$5))^(1/Parametres!$C$26)),IF(A31&gt;1.2*Parametres!$C$5,1.811*PI()*(Parametres!$C$5/2)^2*SQRT(Parametres!$C$5)*SQRT(MAX(0,(A31/Parametres!$C$5-Parametres!$C$28)/Parametres!$C$27)),(1-(MIN(1,MAX(0,(A31/Parametres!$C$5-0.95)/(1.2-0.95)))))*(1.811*PI()*(Parametres!$C$5/2)^2*SQRT(Parametres!$C$5)*IF(Parametres!$C$25*Parametres!$C$5&lt;=0,0,(A31/(Parametres!$C$25*Parametres!$C$5))^(1/Parametres!$C$26)))+(MIN(1,MAX(0,(A31/Parametres!$C$5-0.95)/(1.2-0.95))))*(1.811*PI()*(Parametres!$C$5/2)^2*SQRT(Parametres!$C$5)*SQRT(MAX(0,(A31/Parametres!$C$5-Parametres!$C$28)/Parametres!$C$27)))))),IF(A31&lt;Parametres!$C$5,IF(Parametres!$C$14&lt;=0,0,(1/Parametres!$C$14)*(((Parametres!$C$5/2)^2/2)*((2*ACOS(1-2*(MIN(0.999,MAX(1E-6,A31/Parametres!$C$5)))))-SIN(2*ACOS(1-2*(MIN(0.999,MAX(1E-6,A31/Parametres!$C$5)))))))*IF(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&lt;=0,0,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^(2/3))*SQRT(Parametres!$C$13)),IF((A31-Parametres!$C$16+Parametres!$C$13*Parametres!$C$6)&lt;=0,0,PI()*(Parametres!$C$5/2)^2*SQRT((A31-Parametres!$C$16+Parametres!$C$13*Parametres!$C$6)/((1+Parametres!$C$29)/(2*9.81)+(Parametres!$C$14^2)*Parametres!$C$6/((Parametres!$C$5/4)^(4/3)))))))</f>
        <v/>
      </c>
      <c r="D31" s="12">
        <f>IF(LOWER(Parametres!$C$17)="porous",IF((MAX(0,A31-Parametres!$C$18))&lt;=0,0,((Parametres!$C$7+Parametres!$C$8*(MAX(0,A31-Parametres!$C$18)))*(MAX(0,A31-Parametres!$C$18)))*(Parametres!$C$22*Parametres!$C$21*SQRT(9.81*Parametres!$C$20*Parametres!$C$13/(1-Parametres!$C$21)))),IF(LOWER(Parametres!$C$17)="both",IF((MAX(0,A31-Parametres!$C$18))&lt;=0,0,((Parametres!$C$7+Parametres!$C$8*(MAX(0,A31-Parametres!$C$18)))*(MAX(0,A31-Parametres!$C$18)))*(Parametres!$C$22*Parametres!$C$21*SQRT(9.81*Parametres!$C$20*Parametres!$C$13/(1-Parametres!$C$21))))+IF((MAX(0,A31-Parametres!$C$18))&lt;=0,0,(1/Parametres!$C$19)*((Parametres!$C$7+Parametres!$C$8*(MAX(0,A31-Parametres!$C$18)))*(MAX(0,A31-Parametres!$C$18)))*IF((IF((Parametres!$C$7+2*(MAX(0,A31-Parametres!$C$18))*SQRT(1+Parametres!$C$8^2))&lt;=0,0,((Parametres!$C$7+Parametres!$C$8*(MAX(0,A31-Parametres!$C$18)))*(MAX(0,A31-Parametres!$C$18)))/(Parametres!$C$7+2*(MAX(0,A31-Parametres!$C$18))*SQRT(1+Parametres!$C$8^2))))&lt;=0,0,(IF((Parametres!$C$7+2*(MAX(0,A31-Parametres!$C$18))*SQRT(1+Parametres!$C$8^2))&lt;=0,0,((Parametres!$C$7+Parametres!$C$8*(MAX(0,A31-Parametres!$C$18)))*(MAX(0,A31-Parametres!$C$18)))/(Parametres!$C$7+2*(MAX(0,A31-Parametres!$C$18))*SQRT(1+Parametres!$C$8^2))))^(2/3))*SQRT(Parametres!$C$13)),IF((MAX(0,A31-Parametres!$C$18))&lt;=0,0,(1/Parametres!$C$19)*((Parametres!$C$7+Parametres!$C$8*(MAX(0,A31-Parametres!$C$18)))*(MAX(0,A31-Parametres!$C$18)))*IF((IF((Parametres!$C$7+2*(MAX(0,A31-Parametres!$C$18))*SQRT(1+Parametres!$C$8^2))&lt;=0,0,((Parametres!$C$7+Parametres!$C$8*(MAX(0,A31-Parametres!$C$18)))*(MAX(0,A31-Parametres!$C$18)))/(Parametres!$C$7+2*(MAX(0,A31-Parametres!$C$18))*SQRT(1+Parametres!$C$8^2))))&lt;=0,0,(IF((Parametres!$C$7+2*(MAX(0,A31-Parametres!$C$18))*SQRT(1+Parametres!$C$8^2))&lt;=0,0,((Parametres!$C$7+Parametres!$C$8*(MAX(0,A31-Parametres!$C$18)))*(MAX(0,A31-Parametres!$C$18)))/(Parametres!$C$7+2*(MAX(0,A31-Parametres!$C$18))*SQRT(1+Parametres!$C$8^2))))^(2/3))*SQRT(Parametres!$C$13))))</f>
        <v/>
      </c>
      <c r="E31" s="12">
        <f>C31+D31</f>
        <v/>
      </c>
      <c r="F31" s="5">
        <f>IF(IF(A31&lt;=0,0,IF(A31&lt;0.95*Parametres!$C$5,1.811*PI()*(Parametres!$C$5/2)^2*SQRT(Parametres!$C$5)*IF(Parametres!$C$25*Parametres!$C$5&lt;=0,0,(A31/(Parametres!$C$25*Parametres!$C$5))^(1/Parametres!$C$26)),IF(A31&gt;1.2*Parametres!$C$5,1.811*PI()*(Parametres!$C$5/2)^2*SQRT(Parametres!$C$5)*SQRT(MAX(0,(A31/Parametres!$C$5-Parametres!$C$28)/Parametres!$C$27)),(1-(MIN(1,MAX(0,(A31/Parametres!$C$5-0.95)/(1.2-0.95)))))*(1.811*PI()*(Parametres!$C$5/2)^2*SQRT(Parametres!$C$5)*IF(Parametres!$C$25*Parametres!$C$5&lt;=0,0,(A31/(Parametres!$C$25*Parametres!$C$5))^(1/Parametres!$C$26)))+(MIN(1,MAX(0,(A31/Parametres!$C$5-0.95)/(1.2-0.95))))*(1.811*PI()*(Parametres!$C$5/2)^2*SQRT(Parametres!$C$5)*SQRT(MAX(0,(A31/Parametres!$C$5-Parametres!$C$28)/Parametres!$C$27))))))&lt;=IF(A31&lt;Parametres!$C$5,IF(Parametres!$C$14&lt;=0,0,(1/Parametres!$C$14)*(((Parametres!$C$5/2)^2/2)*((2*ACOS(1-2*(MIN(0.999,MAX(1E-6,A31/Parametres!$C$5)))))-SIN(2*ACOS(1-2*(MIN(0.999,MAX(1E-6,A31/Parametres!$C$5)))))))*IF(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&lt;=0,0,(IF(((Parametres!$C$5/2)*(2*ACOS(1-2*(MIN(0.999,MAX(1E-6,A31/Parametres!$C$5))))))&lt;=0,0,(((Parametres!$C$5/2)^2/2)*((2*ACOS(1-2*(MIN(0.999,MAX(1E-6,A31/Parametres!$C$5)))))-SIN(2*ACOS(1-2*(MIN(0.999,MAX(1E-6,A31/Parametres!$C$5)))))))/((Parametres!$C$5/2)*(2*ACOS(1-2*(MIN(0.999,MAX(1E-6,A31/Parametres!$C$5))))))))^(2/3))*SQRT(Parametres!$C$13)),IF((A31-Parametres!$C$16+Parametres!$C$13*Parametres!$C$6)&lt;=0,0,PI()*(Parametres!$C$5/2)^2*SQRT((A31-Parametres!$C$16+Parametres!$C$13*Parametres!$C$6)/((1+Parametres!$C$29)/(2*9.81)+(Parametres!$C$14^2)*Parametres!$C$6/((Parametres!$C$5/4)^(4/3)))))),"inlet","outlet")</f>
        <v/>
      </c>
      <c r="G31" s="14">
        <f>(IF((MIN(0.999,MAX(0,MIN(A31,Parametres!$C$5)/Parametres!$C$5)))&lt;=0,0,IF(A31&gt;=Parametres!$C$5,PI()*(Parametres!$C$5/2)^2,((Parametres!$C$5/2)^2/2)*((IF((MIN(0.999,MAX(0,MIN(A31,Parametres!$C$5)/Parametres!$C$5)))&lt;=0,0,2*ACOS(1-2*(MIN(0.999,MAX(0,MIN(A31,Parametres!$C$5)/Parametres!$C$5))))))-SIN(IF((MIN(0.999,MAX(0,MIN(A31,Parametres!$C$5)/Parametres!$C$5)))&lt;=0,0,2*ACOS(1-2*(MIN(0.999,MAX(0,MIN(A31,Parametres!$C$5)/Parametres!$C$5))))))))))*Parametres!$C$6+IF((MAX(0,MIN(A31,(Parametres!$C$11-Parametres!$C$9))-(Parametres!$C$18)))&lt;=0,0,((Parametres!$C$7+Parametres!$C$8*(MAX(0,MIN(A31,(Parametres!$C$11-Parametres!$C$9))-(Parametres!$C$18))))*(MAX(0,MIN(A31,(Parametres!$C$11-Parametres!$C$9))-(Parametres!$C$18))))*Parametres!$C$6)</f>
        <v/>
      </c>
      <c r="H31" s="14">
        <f>G31+Hydrogramme_entree!$B$4*A31</f>
        <v/>
      </c>
      <c r="I31" s="14">
        <f>2*H31/(Hydrogramme_entree!$B$8*60)+E31</f>
        <v/>
      </c>
    </row>
    <row r="32">
      <c r="A32" s="12">
        <f>(28/40)*(Parametres!$C$11-Parametres!$C$9)</f>
        <v/>
      </c>
      <c r="B32" s="13">
        <f>Parametres!$C$9+A32</f>
        <v/>
      </c>
      <c r="C32" s="12">
        <f>MIN(IF(A32&lt;=0,0,IF(A32&lt;0.95*Parametres!$C$5,1.811*PI()*(Parametres!$C$5/2)^2*SQRT(Parametres!$C$5)*IF(Parametres!$C$25*Parametres!$C$5&lt;=0,0,(A32/(Parametres!$C$25*Parametres!$C$5))^(1/Parametres!$C$26)),IF(A32&gt;1.2*Parametres!$C$5,1.811*PI()*(Parametres!$C$5/2)^2*SQRT(Parametres!$C$5)*SQRT(MAX(0,(A32/Parametres!$C$5-Parametres!$C$28)/Parametres!$C$27)),(1-(MIN(1,MAX(0,(A32/Parametres!$C$5-0.95)/(1.2-0.95)))))*(1.811*PI()*(Parametres!$C$5/2)^2*SQRT(Parametres!$C$5)*IF(Parametres!$C$25*Parametres!$C$5&lt;=0,0,(A32/(Parametres!$C$25*Parametres!$C$5))^(1/Parametres!$C$26)))+(MIN(1,MAX(0,(A32/Parametres!$C$5-0.95)/(1.2-0.95))))*(1.811*PI()*(Parametres!$C$5/2)^2*SQRT(Parametres!$C$5)*SQRT(MAX(0,(A32/Parametres!$C$5-Parametres!$C$28)/Parametres!$C$27)))))),IF(A32&lt;Parametres!$C$5,IF(Parametres!$C$14&lt;=0,0,(1/Parametres!$C$14)*(((Parametres!$C$5/2)^2/2)*((2*ACOS(1-2*(MIN(0.999,MAX(1E-6,A32/Parametres!$C$5)))))-SIN(2*ACOS(1-2*(MIN(0.999,MAX(1E-6,A32/Parametres!$C$5)))))))*IF(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&lt;=0,0,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^(2/3))*SQRT(Parametres!$C$13)),IF((A32-Parametres!$C$16+Parametres!$C$13*Parametres!$C$6)&lt;=0,0,PI()*(Parametres!$C$5/2)^2*SQRT((A32-Parametres!$C$16+Parametres!$C$13*Parametres!$C$6)/((1+Parametres!$C$29)/(2*9.81)+(Parametres!$C$14^2)*Parametres!$C$6/((Parametres!$C$5/4)^(4/3)))))))</f>
        <v/>
      </c>
      <c r="D32" s="12">
        <f>IF(LOWER(Parametres!$C$17)="porous",IF((MAX(0,A32-Parametres!$C$18))&lt;=0,0,((Parametres!$C$7+Parametres!$C$8*(MAX(0,A32-Parametres!$C$18)))*(MAX(0,A32-Parametres!$C$18)))*(Parametres!$C$22*Parametres!$C$21*SQRT(9.81*Parametres!$C$20*Parametres!$C$13/(1-Parametres!$C$21)))),IF(LOWER(Parametres!$C$17)="both",IF((MAX(0,A32-Parametres!$C$18))&lt;=0,0,((Parametres!$C$7+Parametres!$C$8*(MAX(0,A32-Parametres!$C$18)))*(MAX(0,A32-Parametres!$C$18)))*(Parametres!$C$22*Parametres!$C$21*SQRT(9.81*Parametres!$C$20*Parametres!$C$13/(1-Parametres!$C$21))))+IF((MAX(0,A32-Parametres!$C$18))&lt;=0,0,(1/Parametres!$C$19)*((Parametres!$C$7+Parametres!$C$8*(MAX(0,A32-Parametres!$C$18)))*(MAX(0,A32-Parametres!$C$18)))*IF((IF((Parametres!$C$7+2*(MAX(0,A32-Parametres!$C$18))*SQRT(1+Parametres!$C$8^2))&lt;=0,0,((Parametres!$C$7+Parametres!$C$8*(MAX(0,A32-Parametres!$C$18)))*(MAX(0,A32-Parametres!$C$18)))/(Parametres!$C$7+2*(MAX(0,A32-Parametres!$C$18))*SQRT(1+Parametres!$C$8^2))))&lt;=0,0,(IF((Parametres!$C$7+2*(MAX(0,A32-Parametres!$C$18))*SQRT(1+Parametres!$C$8^2))&lt;=0,0,((Parametres!$C$7+Parametres!$C$8*(MAX(0,A32-Parametres!$C$18)))*(MAX(0,A32-Parametres!$C$18)))/(Parametres!$C$7+2*(MAX(0,A32-Parametres!$C$18))*SQRT(1+Parametres!$C$8^2))))^(2/3))*SQRT(Parametres!$C$13)),IF((MAX(0,A32-Parametres!$C$18))&lt;=0,0,(1/Parametres!$C$19)*((Parametres!$C$7+Parametres!$C$8*(MAX(0,A32-Parametres!$C$18)))*(MAX(0,A32-Parametres!$C$18)))*IF((IF((Parametres!$C$7+2*(MAX(0,A32-Parametres!$C$18))*SQRT(1+Parametres!$C$8^2))&lt;=0,0,((Parametres!$C$7+Parametres!$C$8*(MAX(0,A32-Parametres!$C$18)))*(MAX(0,A32-Parametres!$C$18)))/(Parametres!$C$7+2*(MAX(0,A32-Parametres!$C$18))*SQRT(1+Parametres!$C$8^2))))&lt;=0,0,(IF((Parametres!$C$7+2*(MAX(0,A32-Parametres!$C$18))*SQRT(1+Parametres!$C$8^2))&lt;=0,0,((Parametres!$C$7+Parametres!$C$8*(MAX(0,A32-Parametres!$C$18)))*(MAX(0,A32-Parametres!$C$18)))/(Parametres!$C$7+2*(MAX(0,A32-Parametres!$C$18))*SQRT(1+Parametres!$C$8^2))))^(2/3))*SQRT(Parametres!$C$13))))</f>
        <v/>
      </c>
      <c r="E32" s="12">
        <f>C32+D32</f>
        <v/>
      </c>
      <c r="F32" s="5">
        <f>IF(IF(A32&lt;=0,0,IF(A32&lt;0.95*Parametres!$C$5,1.811*PI()*(Parametres!$C$5/2)^2*SQRT(Parametres!$C$5)*IF(Parametres!$C$25*Parametres!$C$5&lt;=0,0,(A32/(Parametres!$C$25*Parametres!$C$5))^(1/Parametres!$C$26)),IF(A32&gt;1.2*Parametres!$C$5,1.811*PI()*(Parametres!$C$5/2)^2*SQRT(Parametres!$C$5)*SQRT(MAX(0,(A32/Parametres!$C$5-Parametres!$C$28)/Parametres!$C$27)),(1-(MIN(1,MAX(0,(A32/Parametres!$C$5-0.95)/(1.2-0.95)))))*(1.811*PI()*(Parametres!$C$5/2)^2*SQRT(Parametres!$C$5)*IF(Parametres!$C$25*Parametres!$C$5&lt;=0,0,(A32/(Parametres!$C$25*Parametres!$C$5))^(1/Parametres!$C$26)))+(MIN(1,MAX(0,(A32/Parametres!$C$5-0.95)/(1.2-0.95))))*(1.811*PI()*(Parametres!$C$5/2)^2*SQRT(Parametres!$C$5)*SQRT(MAX(0,(A32/Parametres!$C$5-Parametres!$C$28)/Parametres!$C$27))))))&lt;=IF(A32&lt;Parametres!$C$5,IF(Parametres!$C$14&lt;=0,0,(1/Parametres!$C$14)*(((Parametres!$C$5/2)^2/2)*((2*ACOS(1-2*(MIN(0.999,MAX(1E-6,A32/Parametres!$C$5)))))-SIN(2*ACOS(1-2*(MIN(0.999,MAX(1E-6,A32/Parametres!$C$5)))))))*IF(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&lt;=0,0,(IF(((Parametres!$C$5/2)*(2*ACOS(1-2*(MIN(0.999,MAX(1E-6,A32/Parametres!$C$5))))))&lt;=0,0,(((Parametres!$C$5/2)^2/2)*((2*ACOS(1-2*(MIN(0.999,MAX(1E-6,A32/Parametres!$C$5)))))-SIN(2*ACOS(1-2*(MIN(0.999,MAX(1E-6,A32/Parametres!$C$5)))))))/((Parametres!$C$5/2)*(2*ACOS(1-2*(MIN(0.999,MAX(1E-6,A32/Parametres!$C$5))))))))^(2/3))*SQRT(Parametres!$C$13)),IF((A32-Parametres!$C$16+Parametres!$C$13*Parametres!$C$6)&lt;=0,0,PI()*(Parametres!$C$5/2)^2*SQRT((A32-Parametres!$C$16+Parametres!$C$13*Parametres!$C$6)/((1+Parametres!$C$29)/(2*9.81)+(Parametres!$C$14^2)*Parametres!$C$6/((Parametres!$C$5/4)^(4/3)))))),"inlet","outlet")</f>
        <v/>
      </c>
      <c r="G32" s="14">
        <f>(IF((MIN(0.999,MAX(0,MIN(A32,Parametres!$C$5)/Parametres!$C$5)))&lt;=0,0,IF(A32&gt;=Parametres!$C$5,PI()*(Parametres!$C$5/2)^2,((Parametres!$C$5/2)^2/2)*((IF((MIN(0.999,MAX(0,MIN(A32,Parametres!$C$5)/Parametres!$C$5)))&lt;=0,0,2*ACOS(1-2*(MIN(0.999,MAX(0,MIN(A32,Parametres!$C$5)/Parametres!$C$5))))))-SIN(IF((MIN(0.999,MAX(0,MIN(A32,Parametres!$C$5)/Parametres!$C$5)))&lt;=0,0,2*ACOS(1-2*(MIN(0.999,MAX(0,MIN(A32,Parametres!$C$5)/Parametres!$C$5))))))))))*Parametres!$C$6+IF((MAX(0,MIN(A32,(Parametres!$C$11-Parametres!$C$9))-(Parametres!$C$18)))&lt;=0,0,((Parametres!$C$7+Parametres!$C$8*(MAX(0,MIN(A32,(Parametres!$C$11-Parametres!$C$9))-(Parametres!$C$18))))*(MAX(0,MIN(A32,(Parametres!$C$11-Parametres!$C$9))-(Parametres!$C$18))))*Parametres!$C$6)</f>
        <v/>
      </c>
      <c r="H32" s="14">
        <f>G32+Hydrogramme_entree!$B$4*A32</f>
        <v/>
      </c>
      <c r="I32" s="14">
        <f>2*H32/(Hydrogramme_entree!$B$8*60)+E32</f>
        <v/>
      </c>
    </row>
    <row r="33">
      <c r="A33" s="12">
        <f>(29/40)*(Parametres!$C$11-Parametres!$C$9)</f>
        <v/>
      </c>
      <c r="B33" s="13">
        <f>Parametres!$C$9+A33</f>
        <v/>
      </c>
      <c r="C33" s="12">
        <f>MIN(IF(A33&lt;=0,0,IF(A33&lt;0.95*Parametres!$C$5,1.811*PI()*(Parametres!$C$5/2)^2*SQRT(Parametres!$C$5)*IF(Parametres!$C$25*Parametres!$C$5&lt;=0,0,(A33/(Parametres!$C$25*Parametres!$C$5))^(1/Parametres!$C$26)),IF(A33&gt;1.2*Parametres!$C$5,1.811*PI()*(Parametres!$C$5/2)^2*SQRT(Parametres!$C$5)*SQRT(MAX(0,(A33/Parametres!$C$5-Parametres!$C$28)/Parametres!$C$27)),(1-(MIN(1,MAX(0,(A33/Parametres!$C$5-0.95)/(1.2-0.95)))))*(1.811*PI()*(Parametres!$C$5/2)^2*SQRT(Parametres!$C$5)*IF(Parametres!$C$25*Parametres!$C$5&lt;=0,0,(A33/(Parametres!$C$25*Parametres!$C$5))^(1/Parametres!$C$26)))+(MIN(1,MAX(0,(A33/Parametres!$C$5-0.95)/(1.2-0.95))))*(1.811*PI()*(Parametres!$C$5/2)^2*SQRT(Parametres!$C$5)*SQRT(MAX(0,(A33/Parametres!$C$5-Parametres!$C$28)/Parametres!$C$27)))))),IF(A33&lt;Parametres!$C$5,IF(Parametres!$C$14&lt;=0,0,(1/Parametres!$C$14)*(((Parametres!$C$5/2)^2/2)*((2*ACOS(1-2*(MIN(0.999,MAX(1E-6,A33/Parametres!$C$5)))))-SIN(2*ACOS(1-2*(MIN(0.999,MAX(1E-6,A33/Parametres!$C$5)))))))*IF(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&lt;=0,0,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^(2/3))*SQRT(Parametres!$C$13)),IF((A33-Parametres!$C$16+Parametres!$C$13*Parametres!$C$6)&lt;=0,0,PI()*(Parametres!$C$5/2)^2*SQRT((A33-Parametres!$C$16+Parametres!$C$13*Parametres!$C$6)/((1+Parametres!$C$29)/(2*9.81)+(Parametres!$C$14^2)*Parametres!$C$6/((Parametres!$C$5/4)^(4/3)))))))</f>
        <v/>
      </c>
      <c r="D33" s="12">
        <f>IF(LOWER(Parametres!$C$17)="porous",IF((MAX(0,A33-Parametres!$C$18))&lt;=0,0,((Parametres!$C$7+Parametres!$C$8*(MAX(0,A33-Parametres!$C$18)))*(MAX(0,A33-Parametres!$C$18)))*(Parametres!$C$22*Parametres!$C$21*SQRT(9.81*Parametres!$C$20*Parametres!$C$13/(1-Parametres!$C$21)))),IF(LOWER(Parametres!$C$17)="both",IF((MAX(0,A33-Parametres!$C$18))&lt;=0,0,((Parametres!$C$7+Parametres!$C$8*(MAX(0,A33-Parametres!$C$18)))*(MAX(0,A33-Parametres!$C$18)))*(Parametres!$C$22*Parametres!$C$21*SQRT(9.81*Parametres!$C$20*Parametres!$C$13/(1-Parametres!$C$21))))+IF((MAX(0,A33-Parametres!$C$18))&lt;=0,0,(1/Parametres!$C$19)*((Parametres!$C$7+Parametres!$C$8*(MAX(0,A33-Parametres!$C$18)))*(MAX(0,A33-Parametres!$C$18)))*IF((IF((Parametres!$C$7+2*(MAX(0,A33-Parametres!$C$18))*SQRT(1+Parametres!$C$8^2))&lt;=0,0,((Parametres!$C$7+Parametres!$C$8*(MAX(0,A33-Parametres!$C$18)))*(MAX(0,A33-Parametres!$C$18)))/(Parametres!$C$7+2*(MAX(0,A33-Parametres!$C$18))*SQRT(1+Parametres!$C$8^2))))&lt;=0,0,(IF((Parametres!$C$7+2*(MAX(0,A33-Parametres!$C$18))*SQRT(1+Parametres!$C$8^2))&lt;=0,0,((Parametres!$C$7+Parametres!$C$8*(MAX(0,A33-Parametres!$C$18)))*(MAX(0,A33-Parametres!$C$18)))/(Parametres!$C$7+2*(MAX(0,A33-Parametres!$C$18))*SQRT(1+Parametres!$C$8^2))))^(2/3))*SQRT(Parametres!$C$13)),IF((MAX(0,A33-Parametres!$C$18))&lt;=0,0,(1/Parametres!$C$19)*((Parametres!$C$7+Parametres!$C$8*(MAX(0,A33-Parametres!$C$18)))*(MAX(0,A33-Parametres!$C$18)))*IF((IF((Parametres!$C$7+2*(MAX(0,A33-Parametres!$C$18))*SQRT(1+Parametres!$C$8^2))&lt;=0,0,((Parametres!$C$7+Parametres!$C$8*(MAX(0,A33-Parametres!$C$18)))*(MAX(0,A33-Parametres!$C$18)))/(Parametres!$C$7+2*(MAX(0,A33-Parametres!$C$18))*SQRT(1+Parametres!$C$8^2))))&lt;=0,0,(IF((Parametres!$C$7+2*(MAX(0,A33-Parametres!$C$18))*SQRT(1+Parametres!$C$8^2))&lt;=0,0,((Parametres!$C$7+Parametres!$C$8*(MAX(0,A33-Parametres!$C$18)))*(MAX(0,A33-Parametres!$C$18)))/(Parametres!$C$7+2*(MAX(0,A33-Parametres!$C$18))*SQRT(1+Parametres!$C$8^2))))^(2/3))*SQRT(Parametres!$C$13))))</f>
        <v/>
      </c>
      <c r="E33" s="12">
        <f>C33+D33</f>
        <v/>
      </c>
      <c r="F33" s="5">
        <f>IF(IF(A33&lt;=0,0,IF(A33&lt;0.95*Parametres!$C$5,1.811*PI()*(Parametres!$C$5/2)^2*SQRT(Parametres!$C$5)*IF(Parametres!$C$25*Parametres!$C$5&lt;=0,0,(A33/(Parametres!$C$25*Parametres!$C$5))^(1/Parametres!$C$26)),IF(A33&gt;1.2*Parametres!$C$5,1.811*PI()*(Parametres!$C$5/2)^2*SQRT(Parametres!$C$5)*SQRT(MAX(0,(A33/Parametres!$C$5-Parametres!$C$28)/Parametres!$C$27)),(1-(MIN(1,MAX(0,(A33/Parametres!$C$5-0.95)/(1.2-0.95)))))*(1.811*PI()*(Parametres!$C$5/2)^2*SQRT(Parametres!$C$5)*IF(Parametres!$C$25*Parametres!$C$5&lt;=0,0,(A33/(Parametres!$C$25*Parametres!$C$5))^(1/Parametres!$C$26)))+(MIN(1,MAX(0,(A33/Parametres!$C$5-0.95)/(1.2-0.95))))*(1.811*PI()*(Parametres!$C$5/2)^2*SQRT(Parametres!$C$5)*SQRT(MAX(0,(A33/Parametres!$C$5-Parametres!$C$28)/Parametres!$C$27))))))&lt;=IF(A33&lt;Parametres!$C$5,IF(Parametres!$C$14&lt;=0,0,(1/Parametres!$C$14)*(((Parametres!$C$5/2)^2/2)*((2*ACOS(1-2*(MIN(0.999,MAX(1E-6,A33/Parametres!$C$5)))))-SIN(2*ACOS(1-2*(MIN(0.999,MAX(1E-6,A33/Parametres!$C$5)))))))*IF(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&lt;=0,0,(IF(((Parametres!$C$5/2)*(2*ACOS(1-2*(MIN(0.999,MAX(1E-6,A33/Parametres!$C$5))))))&lt;=0,0,(((Parametres!$C$5/2)^2/2)*((2*ACOS(1-2*(MIN(0.999,MAX(1E-6,A33/Parametres!$C$5)))))-SIN(2*ACOS(1-2*(MIN(0.999,MAX(1E-6,A33/Parametres!$C$5)))))))/((Parametres!$C$5/2)*(2*ACOS(1-2*(MIN(0.999,MAX(1E-6,A33/Parametres!$C$5))))))))^(2/3))*SQRT(Parametres!$C$13)),IF((A33-Parametres!$C$16+Parametres!$C$13*Parametres!$C$6)&lt;=0,0,PI()*(Parametres!$C$5/2)^2*SQRT((A33-Parametres!$C$16+Parametres!$C$13*Parametres!$C$6)/((1+Parametres!$C$29)/(2*9.81)+(Parametres!$C$14^2)*Parametres!$C$6/((Parametres!$C$5/4)^(4/3)))))),"inlet","outlet")</f>
        <v/>
      </c>
      <c r="G33" s="14">
        <f>(IF((MIN(0.999,MAX(0,MIN(A33,Parametres!$C$5)/Parametres!$C$5)))&lt;=0,0,IF(A33&gt;=Parametres!$C$5,PI()*(Parametres!$C$5/2)^2,((Parametres!$C$5/2)^2/2)*((IF((MIN(0.999,MAX(0,MIN(A33,Parametres!$C$5)/Parametres!$C$5)))&lt;=0,0,2*ACOS(1-2*(MIN(0.999,MAX(0,MIN(A33,Parametres!$C$5)/Parametres!$C$5))))))-SIN(IF((MIN(0.999,MAX(0,MIN(A33,Parametres!$C$5)/Parametres!$C$5)))&lt;=0,0,2*ACOS(1-2*(MIN(0.999,MAX(0,MIN(A33,Parametres!$C$5)/Parametres!$C$5))))))))))*Parametres!$C$6+IF((MAX(0,MIN(A33,(Parametres!$C$11-Parametres!$C$9))-(Parametres!$C$18)))&lt;=0,0,((Parametres!$C$7+Parametres!$C$8*(MAX(0,MIN(A33,(Parametres!$C$11-Parametres!$C$9))-(Parametres!$C$18))))*(MAX(0,MIN(A33,(Parametres!$C$11-Parametres!$C$9))-(Parametres!$C$18))))*Parametres!$C$6)</f>
        <v/>
      </c>
      <c r="H33" s="14">
        <f>G33+Hydrogramme_entree!$B$4*A33</f>
        <v/>
      </c>
      <c r="I33" s="14">
        <f>2*H33/(Hydrogramme_entree!$B$8*60)+E33</f>
        <v/>
      </c>
    </row>
    <row r="34">
      <c r="A34" s="12">
        <f>(30/40)*(Parametres!$C$11-Parametres!$C$9)</f>
        <v/>
      </c>
      <c r="B34" s="13">
        <f>Parametres!$C$9+A34</f>
        <v/>
      </c>
      <c r="C34" s="12">
        <f>MIN(IF(A34&lt;=0,0,IF(A34&lt;0.95*Parametres!$C$5,1.811*PI()*(Parametres!$C$5/2)^2*SQRT(Parametres!$C$5)*IF(Parametres!$C$25*Parametres!$C$5&lt;=0,0,(A34/(Parametres!$C$25*Parametres!$C$5))^(1/Parametres!$C$26)),IF(A34&gt;1.2*Parametres!$C$5,1.811*PI()*(Parametres!$C$5/2)^2*SQRT(Parametres!$C$5)*SQRT(MAX(0,(A34/Parametres!$C$5-Parametres!$C$28)/Parametres!$C$27)),(1-(MIN(1,MAX(0,(A34/Parametres!$C$5-0.95)/(1.2-0.95)))))*(1.811*PI()*(Parametres!$C$5/2)^2*SQRT(Parametres!$C$5)*IF(Parametres!$C$25*Parametres!$C$5&lt;=0,0,(A34/(Parametres!$C$25*Parametres!$C$5))^(1/Parametres!$C$26)))+(MIN(1,MAX(0,(A34/Parametres!$C$5-0.95)/(1.2-0.95))))*(1.811*PI()*(Parametres!$C$5/2)^2*SQRT(Parametres!$C$5)*SQRT(MAX(0,(A34/Parametres!$C$5-Parametres!$C$28)/Parametres!$C$27)))))),IF(A34&lt;Parametres!$C$5,IF(Parametres!$C$14&lt;=0,0,(1/Parametres!$C$14)*(((Parametres!$C$5/2)^2/2)*((2*ACOS(1-2*(MIN(0.999,MAX(1E-6,A34/Parametres!$C$5)))))-SIN(2*ACOS(1-2*(MIN(0.999,MAX(1E-6,A34/Parametres!$C$5)))))))*IF(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&lt;=0,0,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^(2/3))*SQRT(Parametres!$C$13)),IF((A34-Parametres!$C$16+Parametres!$C$13*Parametres!$C$6)&lt;=0,0,PI()*(Parametres!$C$5/2)^2*SQRT((A34-Parametres!$C$16+Parametres!$C$13*Parametres!$C$6)/((1+Parametres!$C$29)/(2*9.81)+(Parametres!$C$14^2)*Parametres!$C$6/((Parametres!$C$5/4)^(4/3)))))))</f>
        <v/>
      </c>
      <c r="D34" s="12">
        <f>IF(LOWER(Parametres!$C$17)="porous",IF((MAX(0,A34-Parametres!$C$18))&lt;=0,0,((Parametres!$C$7+Parametres!$C$8*(MAX(0,A34-Parametres!$C$18)))*(MAX(0,A34-Parametres!$C$18)))*(Parametres!$C$22*Parametres!$C$21*SQRT(9.81*Parametres!$C$20*Parametres!$C$13/(1-Parametres!$C$21)))),IF(LOWER(Parametres!$C$17)="both",IF((MAX(0,A34-Parametres!$C$18))&lt;=0,0,((Parametres!$C$7+Parametres!$C$8*(MAX(0,A34-Parametres!$C$18)))*(MAX(0,A34-Parametres!$C$18)))*(Parametres!$C$22*Parametres!$C$21*SQRT(9.81*Parametres!$C$20*Parametres!$C$13/(1-Parametres!$C$21))))+IF((MAX(0,A34-Parametres!$C$18))&lt;=0,0,(1/Parametres!$C$19)*((Parametres!$C$7+Parametres!$C$8*(MAX(0,A34-Parametres!$C$18)))*(MAX(0,A34-Parametres!$C$18)))*IF((IF((Parametres!$C$7+2*(MAX(0,A34-Parametres!$C$18))*SQRT(1+Parametres!$C$8^2))&lt;=0,0,((Parametres!$C$7+Parametres!$C$8*(MAX(0,A34-Parametres!$C$18)))*(MAX(0,A34-Parametres!$C$18)))/(Parametres!$C$7+2*(MAX(0,A34-Parametres!$C$18))*SQRT(1+Parametres!$C$8^2))))&lt;=0,0,(IF((Parametres!$C$7+2*(MAX(0,A34-Parametres!$C$18))*SQRT(1+Parametres!$C$8^2))&lt;=0,0,((Parametres!$C$7+Parametres!$C$8*(MAX(0,A34-Parametres!$C$18)))*(MAX(0,A34-Parametres!$C$18)))/(Parametres!$C$7+2*(MAX(0,A34-Parametres!$C$18))*SQRT(1+Parametres!$C$8^2))))^(2/3))*SQRT(Parametres!$C$13)),IF((MAX(0,A34-Parametres!$C$18))&lt;=0,0,(1/Parametres!$C$19)*((Parametres!$C$7+Parametres!$C$8*(MAX(0,A34-Parametres!$C$18)))*(MAX(0,A34-Parametres!$C$18)))*IF((IF((Parametres!$C$7+2*(MAX(0,A34-Parametres!$C$18))*SQRT(1+Parametres!$C$8^2))&lt;=0,0,((Parametres!$C$7+Parametres!$C$8*(MAX(0,A34-Parametres!$C$18)))*(MAX(0,A34-Parametres!$C$18)))/(Parametres!$C$7+2*(MAX(0,A34-Parametres!$C$18))*SQRT(1+Parametres!$C$8^2))))&lt;=0,0,(IF((Parametres!$C$7+2*(MAX(0,A34-Parametres!$C$18))*SQRT(1+Parametres!$C$8^2))&lt;=0,0,((Parametres!$C$7+Parametres!$C$8*(MAX(0,A34-Parametres!$C$18)))*(MAX(0,A34-Parametres!$C$18)))/(Parametres!$C$7+2*(MAX(0,A34-Parametres!$C$18))*SQRT(1+Parametres!$C$8^2))))^(2/3))*SQRT(Parametres!$C$13))))</f>
        <v/>
      </c>
      <c r="E34" s="12">
        <f>C34+D34</f>
        <v/>
      </c>
      <c r="F34" s="5">
        <f>IF(IF(A34&lt;=0,0,IF(A34&lt;0.95*Parametres!$C$5,1.811*PI()*(Parametres!$C$5/2)^2*SQRT(Parametres!$C$5)*IF(Parametres!$C$25*Parametres!$C$5&lt;=0,0,(A34/(Parametres!$C$25*Parametres!$C$5))^(1/Parametres!$C$26)),IF(A34&gt;1.2*Parametres!$C$5,1.811*PI()*(Parametres!$C$5/2)^2*SQRT(Parametres!$C$5)*SQRT(MAX(0,(A34/Parametres!$C$5-Parametres!$C$28)/Parametres!$C$27)),(1-(MIN(1,MAX(0,(A34/Parametres!$C$5-0.95)/(1.2-0.95)))))*(1.811*PI()*(Parametres!$C$5/2)^2*SQRT(Parametres!$C$5)*IF(Parametres!$C$25*Parametres!$C$5&lt;=0,0,(A34/(Parametres!$C$25*Parametres!$C$5))^(1/Parametres!$C$26)))+(MIN(1,MAX(0,(A34/Parametres!$C$5-0.95)/(1.2-0.95))))*(1.811*PI()*(Parametres!$C$5/2)^2*SQRT(Parametres!$C$5)*SQRT(MAX(0,(A34/Parametres!$C$5-Parametres!$C$28)/Parametres!$C$27))))))&lt;=IF(A34&lt;Parametres!$C$5,IF(Parametres!$C$14&lt;=0,0,(1/Parametres!$C$14)*(((Parametres!$C$5/2)^2/2)*((2*ACOS(1-2*(MIN(0.999,MAX(1E-6,A34/Parametres!$C$5)))))-SIN(2*ACOS(1-2*(MIN(0.999,MAX(1E-6,A34/Parametres!$C$5)))))))*IF(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&lt;=0,0,(IF(((Parametres!$C$5/2)*(2*ACOS(1-2*(MIN(0.999,MAX(1E-6,A34/Parametres!$C$5))))))&lt;=0,0,(((Parametres!$C$5/2)^2/2)*((2*ACOS(1-2*(MIN(0.999,MAX(1E-6,A34/Parametres!$C$5)))))-SIN(2*ACOS(1-2*(MIN(0.999,MAX(1E-6,A34/Parametres!$C$5)))))))/((Parametres!$C$5/2)*(2*ACOS(1-2*(MIN(0.999,MAX(1E-6,A34/Parametres!$C$5))))))))^(2/3))*SQRT(Parametres!$C$13)),IF((A34-Parametres!$C$16+Parametres!$C$13*Parametres!$C$6)&lt;=0,0,PI()*(Parametres!$C$5/2)^2*SQRT((A34-Parametres!$C$16+Parametres!$C$13*Parametres!$C$6)/((1+Parametres!$C$29)/(2*9.81)+(Parametres!$C$14^2)*Parametres!$C$6/((Parametres!$C$5/4)^(4/3)))))),"inlet","outlet")</f>
        <v/>
      </c>
      <c r="G34" s="14">
        <f>(IF((MIN(0.999,MAX(0,MIN(A34,Parametres!$C$5)/Parametres!$C$5)))&lt;=0,0,IF(A34&gt;=Parametres!$C$5,PI()*(Parametres!$C$5/2)^2,((Parametres!$C$5/2)^2/2)*((IF((MIN(0.999,MAX(0,MIN(A34,Parametres!$C$5)/Parametres!$C$5)))&lt;=0,0,2*ACOS(1-2*(MIN(0.999,MAX(0,MIN(A34,Parametres!$C$5)/Parametres!$C$5))))))-SIN(IF((MIN(0.999,MAX(0,MIN(A34,Parametres!$C$5)/Parametres!$C$5)))&lt;=0,0,2*ACOS(1-2*(MIN(0.999,MAX(0,MIN(A34,Parametres!$C$5)/Parametres!$C$5))))))))))*Parametres!$C$6+IF((MAX(0,MIN(A34,(Parametres!$C$11-Parametres!$C$9))-(Parametres!$C$18)))&lt;=0,0,((Parametres!$C$7+Parametres!$C$8*(MAX(0,MIN(A34,(Parametres!$C$11-Parametres!$C$9))-(Parametres!$C$18))))*(MAX(0,MIN(A34,(Parametres!$C$11-Parametres!$C$9))-(Parametres!$C$18))))*Parametres!$C$6)</f>
        <v/>
      </c>
      <c r="H34" s="14">
        <f>G34+Hydrogramme_entree!$B$4*A34</f>
        <v/>
      </c>
      <c r="I34" s="14">
        <f>2*H34/(Hydrogramme_entree!$B$8*60)+E34</f>
        <v/>
      </c>
    </row>
    <row r="35">
      <c r="A35" s="12">
        <f>(31/40)*(Parametres!$C$11-Parametres!$C$9)</f>
        <v/>
      </c>
      <c r="B35" s="13">
        <f>Parametres!$C$9+A35</f>
        <v/>
      </c>
      <c r="C35" s="12">
        <f>MIN(IF(A35&lt;=0,0,IF(A35&lt;0.95*Parametres!$C$5,1.811*PI()*(Parametres!$C$5/2)^2*SQRT(Parametres!$C$5)*IF(Parametres!$C$25*Parametres!$C$5&lt;=0,0,(A35/(Parametres!$C$25*Parametres!$C$5))^(1/Parametres!$C$26)),IF(A35&gt;1.2*Parametres!$C$5,1.811*PI()*(Parametres!$C$5/2)^2*SQRT(Parametres!$C$5)*SQRT(MAX(0,(A35/Parametres!$C$5-Parametres!$C$28)/Parametres!$C$27)),(1-(MIN(1,MAX(0,(A35/Parametres!$C$5-0.95)/(1.2-0.95)))))*(1.811*PI()*(Parametres!$C$5/2)^2*SQRT(Parametres!$C$5)*IF(Parametres!$C$25*Parametres!$C$5&lt;=0,0,(A35/(Parametres!$C$25*Parametres!$C$5))^(1/Parametres!$C$26)))+(MIN(1,MAX(0,(A35/Parametres!$C$5-0.95)/(1.2-0.95))))*(1.811*PI()*(Parametres!$C$5/2)^2*SQRT(Parametres!$C$5)*SQRT(MAX(0,(A35/Parametres!$C$5-Parametres!$C$28)/Parametres!$C$27)))))),IF(A35&lt;Parametres!$C$5,IF(Parametres!$C$14&lt;=0,0,(1/Parametres!$C$14)*(((Parametres!$C$5/2)^2/2)*((2*ACOS(1-2*(MIN(0.999,MAX(1E-6,A35/Parametres!$C$5)))))-SIN(2*ACOS(1-2*(MIN(0.999,MAX(1E-6,A35/Parametres!$C$5)))))))*IF(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&lt;=0,0,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^(2/3))*SQRT(Parametres!$C$13)),IF((A35-Parametres!$C$16+Parametres!$C$13*Parametres!$C$6)&lt;=0,0,PI()*(Parametres!$C$5/2)^2*SQRT((A35-Parametres!$C$16+Parametres!$C$13*Parametres!$C$6)/((1+Parametres!$C$29)/(2*9.81)+(Parametres!$C$14^2)*Parametres!$C$6/((Parametres!$C$5/4)^(4/3)))))))</f>
        <v/>
      </c>
      <c r="D35" s="12">
        <f>IF(LOWER(Parametres!$C$17)="porous",IF((MAX(0,A35-Parametres!$C$18))&lt;=0,0,((Parametres!$C$7+Parametres!$C$8*(MAX(0,A35-Parametres!$C$18)))*(MAX(0,A35-Parametres!$C$18)))*(Parametres!$C$22*Parametres!$C$21*SQRT(9.81*Parametres!$C$20*Parametres!$C$13/(1-Parametres!$C$21)))),IF(LOWER(Parametres!$C$17)="both",IF((MAX(0,A35-Parametres!$C$18))&lt;=0,0,((Parametres!$C$7+Parametres!$C$8*(MAX(0,A35-Parametres!$C$18)))*(MAX(0,A35-Parametres!$C$18)))*(Parametres!$C$22*Parametres!$C$21*SQRT(9.81*Parametres!$C$20*Parametres!$C$13/(1-Parametres!$C$21))))+IF((MAX(0,A35-Parametres!$C$18))&lt;=0,0,(1/Parametres!$C$19)*((Parametres!$C$7+Parametres!$C$8*(MAX(0,A35-Parametres!$C$18)))*(MAX(0,A35-Parametres!$C$18)))*IF((IF((Parametres!$C$7+2*(MAX(0,A35-Parametres!$C$18))*SQRT(1+Parametres!$C$8^2))&lt;=0,0,((Parametres!$C$7+Parametres!$C$8*(MAX(0,A35-Parametres!$C$18)))*(MAX(0,A35-Parametres!$C$18)))/(Parametres!$C$7+2*(MAX(0,A35-Parametres!$C$18))*SQRT(1+Parametres!$C$8^2))))&lt;=0,0,(IF((Parametres!$C$7+2*(MAX(0,A35-Parametres!$C$18))*SQRT(1+Parametres!$C$8^2))&lt;=0,0,((Parametres!$C$7+Parametres!$C$8*(MAX(0,A35-Parametres!$C$18)))*(MAX(0,A35-Parametres!$C$18)))/(Parametres!$C$7+2*(MAX(0,A35-Parametres!$C$18))*SQRT(1+Parametres!$C$8^2))))^(2/3))*SQRT(Parametres!$C$13)),IF((MAX(0,A35-Parametres!$C$18))&lt;=0,0,(1/Parametres!$C$19)*((Parametres!$C$7+Parametres!$C$8*(MAX(0,A35-Parametres!$C$18)))*(MAX(0,A35-Parametres!$C$18)))*IF((IF((Parametres!$C$7+2*(MAX(0,A35-Parametres!$C$18))*SQRT(1+Parametres!$C$8^2))&lt;=0,0,((Parametres!$C$7+Parametres!$C$8*(MAX(0,A35-Parametres!$C$18)))*(MAX(0,A35-Parametres!$C$18)))/(Parametres!$C$7+2*(MAX(0,A35-Parametres!$C$18))*SQRT(1+Parametres!$C$8^2))))&lt;=0,0,(IF((Parametres!$C$7+2*(MAX(0,A35-Parametres!$C$18))*SQRT(1+Parametres!$C$8^2))&lt;=0,0,((Parametres!$C$7+Parametres!$C$8*(MAX(0,A35-Parametres!$C$18)))*(MAX(0,A35-Parametres!$C$18)))/(Parametres!$C$7+2*(MAX(0,A35-Parametres!$C$18))*SQRT(1+Parametres!$C$8^2))))^(2/3))*SQRT(Parametres!$C$13))))</f>
        <v/>
      </c>
      <c r="E35" s="12">
        <f>C35+D35</f>
        <v/>
      </c>
      <c r="F35" s="5">
        <f>IF(IF(A35&lt;=0,0,IF(A35&lt;0.95*Parametres!$C$5,1.811*PI()*(Parametres!$C$5/2)^2*SQRT(Parametres!$C$5)*IF(Parametres!$C$25*Parametres!$C$5&lt;=0,0,(A35/(Parametres!$C$25*Parametres!$C$5))^(1/Parametres!$C$26)),IF(A35&gt;1.2*Parametres!$C$5,1.811*PI()*(Parametres!$C$5/2)^2*SQRT(Parametres!$C$5)*SQRT(MAX(0,(A35/Parametres!$C$5-Parametres!$C$28)/Parametres!$C$27)),(1-(MIN(1,MAX(0,(A35/Parametres!$C$5-0.95)/(1.2-0.95)))))*(1.811*PI()*(Parametres!$C$5/2)^2*SQRT(Parametres!$C$5)*IF(Parametres!$C$25*Parametres!$C$5&lt;=0,0,(A35/(Parametres!$C$25*Parametres!$C$5))^(1/Parametres!$C$26)))+(MIN(1,MAX(0,(A35/Parametres!$C$5-0.95)/(1.2-0.95))))*(1.811*PI()*(Parametres!$C$5/2)^2*SQRT(Parametres!$C$5)*SQRT(MAX(0,(A35/Parametres!$C$5-Parametres!$C$28)/Parametres!$C$27))))))&lt;=IF(A35&lt;Parametres!$C$5,IF(Parametres!$C$14&lt;=0,0,(1/Parametres!$C$14)*(((Parametres!$C$5/2)^2/2)*((2*ACOS(1-2*(MIN(0.999,MAX(1E-6,A35/Parametres!$C$5)))))-SIN(2*ACOS(1-2*(MIN(0.999,MAX(1E-6,A35/Parametres!$C$5)))))))*IF(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&lt;=0,0,(IF(((Parametres!$C$5/2)*(2*ACOS(1-2*(MIN(0.999,MAX(1E-6,A35/Parametres!$C$5))))))&lt;=0,0,(((Parametres!$C$5/2)^2/2)*((2*ACOS(1-2*(MIN(0.999,MAX(1E-6,A35/Parametres!$C$5)))))-SIN(2*ACOS(1-2*(MIN(0.999,MAX(1E-6,A35/Parametres!$C$5)))))))/((Parametres!$C$5/2)*(2*ACOS(1-2*(MIN(0.999,MAX(1E-6,A35/Parametres!$C$5))))))))^(2/3))*SQRT(Parametres!$C$13)),IF((A35-Parametres!$C$16+Parametres!$C$13*Parametres!$C$6)&lt;=0,0,PI()*(Parametres!$C$5/2)^2*SQRT((A35-Parametres!$C$16+Parametres!$C$13*Parametres!$C$6)/((1+Parametres!$C$29)/(2*9.81)+(Parametres!$C$14^2)*Parametres!$C$6/((Parametres!$C$5/4)^(4/3)))))),"inlet","outlet")</f>
        <v/>
      </c>
      <c r="G35" s="14">
        <f>(IF((MIN(0.999,MAX(0,MIN(A35,Parametres!$C$5)/Parametres!$C$5)))&lt;=0,0,IF(A35&gt;=Parametres!$C$5,PI()*(Parametres!$C$5/2)^2,((Parametres!$C$5/2)^2/2)*((IF((MIN(0.999,MAX(0,MIN(A35,Parametres!$C$5)/Parametres!$C$5)))&lt;=0,0,2*ACOS(1-2*(MIN(0.999,MAX(0,MIN(A35,Parametres!$C$5)/Parametres!$C$5))))))-SIN(IF((MIN(0.999,MAX(0,MIN(A35,Parametres!$C$5)/Parametres!$C$5)))&lt;=0,0,2*ACOS(1-2*(MIN(0.999,MAX(0,MIN(A35,Parametres!$C$5)/Parametres!$C$5))))))))))*Parametres!$C$6+IF((MAX(0,MIN(A35,(Parametres!$C$11-Parametres!$C$9))-(Parametres!$C$18)))&lt;=0,0,((Parametres!$C$7+Parametres!$C$8*(MAX(0,MIN(A35,(Parametres!$C$11-Parametres!$C$9))-(Parametres!$C$18))))*(MAX(0,MIN(A35,(Parametres!$C$11-Parametres!$C$9))-(Parametres!$C$18))))*Parametres!$C$6)</f>
        <v/>
      </c>
      <c r="H35" s="14">
        <f>G35+Hydrogramme_entree!$B$4*A35</f>
        <v/>
      </c>
      <c r="I35" s="14">
        <f>2*H35/(Hydrogramme_entree!$B$8*60)+E35</f>
        <v/>
      </c>
    </row>
    <row r="36">
      <c r="A36" s="12">
        <f>(32/40)*(Parametres!$C$11-Parametres!$C$9)</f>
        <v/>
      </c>
      <c r="B36" s="13">
        <f>Parametres!$C$9+A36</f>
        <v/>
      </c>
      <c r="C36" s="12">
        <f>MIN(IF(A36&lt;=0,0,IF(A36&lt;0.95*Parametres!$C$5,1.811*PI()*(Parametres!$C$5/2)^2*SQRT(Parametres!$C$5)*IF(Parametres!$C$25*Parametres!$C$5&lt;=0,0,(A36/(Parametres!$C$25*Parametres!$C$5))^(1/Parametres!$C$26)),IF(A36&gt;1.2*Parametres!$C$5,1.811*PI()*(Parametres!$C$5/2)^2*SQRT(Parametres!$C$5)*SQRT(MAX(0,(A36/Parametres!$C$5-Parametres!$C$28)/Parametres!$C$27)),(1-(MIN(1,MAX(0,(A36/Parametres!$C$5-0.95)/(1.2-0.95)))))*(1.811*PI()*(Parametres!$C$5/2)^2*SQRT(Parametres!$C$5)*IF(Parametres!$C$25*Parametres!$C$5&lt;=0,0,(A36/(Parametres!$C$25*Parametres!$C$5))^(1/Parametres!$C$26)))+(MIN(1,MAX(0,(A36/Parametres!$C$5-0.95)/(1.2-0.95))))*(1.811*PI()*(Parametres!$C$5/2)^2*SQRT(Parametres!$C$5)*SQRT(MAX(0,(A36/Parametres!$C$5-Parametres!$C$28)/Parametres!$C$27)))))),IF(A36&lt;Parametres!$C$5,IF(Parametres!$C$14&lt;=0,0,(1/Parametres!$C$14)*(((Parametres!$C$5/2)^2/2)*((2*ACOS(1-2*(MIN(0.999,MAX(1E-6,A36/Parametres!$C$5)))))-SIN(2*ACOS(1-2*(MIN(0.999,MAX(1E-6,A36/Parametres!$C$5)))))))*IF(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&lt;=0,0,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^(2/3))*SQRT(Parametres!$C$13)),IF((A36-Parametres!$C$16+Parametres!$C$13*Parametres!$C$6)&lt;=0,0,PI()*(Parametres!$C$5/2)^2*SQRT((A36-Parametres!$C$16+Parametres!$C$13*Parametres!$C$6)/((1+Parametres!$C$29)/(2*9.81)+(Parametres!$C$14^2)*Parametres!$C$6/((Parametres!$C$5/4)^(4/3)))))))</f>
        <v/>
      </c>
      <c r="D36" s="12">
        <f>IF(LOWER(Parametres!$C$17)="porous",IF((MAX(0,A36-Parametres!$C$18))&lt;=0,0,((Parametres!$C$7+Parametres!$C$8*(MAX(0,A36-Parametres!$C$18)))*(MAX(0,A36-Parametres!$C$18)))*(Parametres!$C$22*Parametres!$C$21*SQRT(9.81*Parametres!$C$20*Parametres!$C$13/(1-Parametres!$C$21)))),IF(LOWER(Parametres!$C$17)="both",IF((MAX(0,A36-Parametres!$C$18))&lt;=0,0,((Parametres!$C$7+Parametres!$C$8*(MAX(0,A36-Parametres!$C$18)))*(MAX(0,A36-Parametres!$C$18)))*(Parametres!$C$22*Parametres!$C$21*SQRT(9.81*Parametres!$C$20*Parametres!$C$13/(1-Parametres!$C$21))))+IF((MAX(0,A36-Parametres!$C$18))&lt;=0,0,(1/Parametres!$C$19)*((Parametres!$C$7+Parametres!$C$8*(MAX(0,A36-Parametres!$C$18)))*(MAX(0,A36-Parametres!$C$18)))*IF((IF((Parametres!$C$7+2*(MAX(0,A36-Parametres!$C$18))*SQRT(1+Parametres!$C$8^2))&lt;=0,0,((Parametres!$C$7+Parametres!$C$8*(MAX(0,A36-Parametres!$C$18)))*(MAX(0,A36-Parametres!$C$18)))/(Parametres!$C$7+2*(MAX(0,A36-Parametres!$C$18))*SQRT(1+Parametres!$C$8^2))))&lt;=0,0,(IF((Parametres!$C$7+2*(MAX(0,A36-Parametres!$C$18))*SQRT(1+Parametres!$C$8^2))&lt;=0,0,((Parametres!$C$7+Parametres!$C$8*(MAX(0,A36-Parametres!$C$18)))*(MAX(0,A36-Parametres!$C$18)))/(Parametres!$C$7+2*(MAX(0,A36-Parametres!$C$18))*SQRT(1+Parametres!$C$8^2))))^(2/3))*SQRT(Parametres!$C$13)),IF((MAX(0,A36-Parametres!$C$18))&lt;=0,0,(1/Parametres!$C$19)*((Parametres!$C$7+Parametres!$C$8*(MAX(0,A36-Parametres!$C$18)))*(MAX(0,A36-Parametres!$C$18)))*IF((IF((Parametres!$C$7+2*(MAX(0,A36-Parametres!$C$18))*SQRT(1+Parametres!$C$8^2))&lt;=0,0,((Parametres!$C$7+Parametres!$C$8*(MAX(0,A36-Parametres!$C$18)))*(MAX(0,A36-Parametres!$C$18)))/(Parametres!$C$7+2*(MAX(0,A36-Parametres!$C$18))*SQRT(1+Parametres!$C$8^2))))&lt;=0,0,(IF((Parametres!$C$7+2*(MAX(0,A36-Parametres!$C$18))*SQRT(1+Parametres!$C$8^2))&lt;=0,0,((Parametres!$C$7+Parametres!$C$8*(MAX(0,A36-Parametres!$C$18)))*(MAX(0,A36-Parametres!$C$18)))/(Parametres!$C$7+2*(MAX(0,A36-Parametres!$C$18))*SQRT(1+Parametres!$C$8^2))))^(2/3))*SQRT(Parametres!$C$13))))</f>
        <v/>
      </c>
      <c r="E36" s="12">
        <f>C36+D36</f>
        <v/>
      </c>
      <c r="F36" s="5">
        <f>IF(IF(A36&lt;=0,0,IF(A36&lt;0.95*Parametres!$C$5,1.811*PI()*(Parametres!$C$5/2)^2*SQRT(Parametres!$C$5)*IF(Parametres!$C$25*Parametres!$C$5&lt;=0,0,(A36/(Parametres!$C$25*Parametres!$C$5))^(1/Parametres!$C$26)),IF(A36&gt;1.2*Parametres!$C$5,1.811*PI()*(Parametres!$C$5/2)^2*SQRT(Parametres!$C$5)*SQRT(MAX(0,(A36/Parametres!$C$5-Parametres!$C$28)/Parametres!$C$27)),(1-(MIN(1,MAX(0,(A36/Parametres!$C$5-0.95)/(1.2-0.95)))))*(1.811*PI()*(Parametres!$C$5/2)^2*SQRT(Parametres!$C$5)*IF(Parametres!$C$25*Parametres!$C$5&lt;=0,0,(A36/(Parametres!$C$25*Parametres!$C$5))^(1/Parametres!$C$26)))+(MIN(1,MAX(0,(A36/Parametres!$C$5-0.95)/(1.2-0.95))))*(1.811*PI()*(Parametres!$C$5/2)^2*SQRT(Parametres!$C$5)*SQRT(MAX(0,(A36/Parametres!$C$5-Parametres!$C$28)/Parametres!$C$27))))))&lt;=IF(A36&lt;Parametres!$C$5,IF(Parametres!$C$14&lt;=0,0,(1/Parametres!$C$14)*(((Parametres!$C$5/2)^2/2)*((2*ACOS(1-2*(MIN(0.999,MAX(1E-6,A36/Parametres!$C$5)))))-SIN(2*ACOS(1-2*(MIN(0.999,MAX(1E-6,A36/Parametres!$C$5)))))))*IF(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&lt;=0,0,(IF(((Parametres!$C$5/2)*(2*ACOS(1-2*(MIN(0.999,MAX(1E-6,A36/Parametres!$C$5))))))&lt;=0,0,(((Parametres!$C$5/2)^2/2)*((2*ACOS(1-2*(MIN(0.999,MAX(1E-6,A36/Parametres!$C$5)))))-SIN(2*ACOS(1-2*(MIN(0.999,MAX(1E-6,A36/Parametres!$C$5)))))))/((Parametres!$C$5/2)*(2*ACOS(1-2*(MIN(0.999,MAX(1E-6,A36/Parametres!$C$5))))))))^(2/3))*SQRT(Parametres!$C$13)),IF((A36-Parametres!$C$16+Parametres!$C$13*Parametres!$C$6)&lt;=0,0,PI()*(Parametres!$C$5/2)^2*SQRT((A36-Parametres!$C$16+Parametres!$C$13*Parametres!$C$6)/((1+Parametres!$C$29)/(2*9.81)+(Parametres!$C$14^2)*Parametres!$C$6/((Parametres!$C$5/4)^(4/3)))))),"inlet","outlet")</f>
        <v/>
      </c>
      <c r="G36" s="14">
        <f>(IF((MIN(0.999,MAX(0,MIN(A36,Parametres!$C$5)/Parametres!$C$5)))&lt;=0,0,IF(A36&gt;=Parametres!$C$5,PI()*(Parametres!$C$5/2)^2,((Parametres!$C$5/2)^2/2)*((IF((MIN(0.999,MAX(0,MIN(A36,Parametres!$C$5)/Parametres!$C$5)))&lt;=0,0,2*ACOS(1-2*(MIN(0.999,MAX(0,MIN(A36,Parametres!$C$5)/Parametres!$C$5))))))-SIN(IF((MIN(0.999,MAX(0,MIN(A36,Parametres!$C$5)/Parametres!$C$5)))&lt;=0,0,2*ACOS(1-2*(MIN(0.999,MAX(0,MIN(A36,Parametres!$C$5)/Parametres!$C$5))))))))))*Parametres!$C$6+IF((MAX(0,MIN(A36,(Parametres!$C$11-Parametres!$C$9))-(Parametres!$C$18)))&lt;=0,0,((Parametres!$C$7+Parametres!$C$8*(MAX(0,MIN(A36,(Parametres!$C$11-Parametres!$C$9))-(Parametres!$C$18))))*(MAX(0,MIN(A36,(Parametres!$C$11-Parametres!$C$9))-(Parametres!$C$18))))*Parametres!$C$6)</f>
        <v/>
      </c>
      <c r="H36" s="14">
        <f>G36+Hydrogramme_entree!$B$4*A36</f>
        <v/>
      </c>
      <c r="I36" s="14">
        <f>2*H36/(Hydrogramme_entree!$B$8*60)+E36</f>
        <v/>
      </c>
    </row>
    <row r="37">
      <c r="A37" s="12">
        <f>(33/40)*(Parametres!$C$11-Parametres!$C$9)</f>
        <v/>
      </c>
      <c r="B37" s="13">
        <f>Parametres!$C$9+A37</f>
        <v/>
      </c>
      <c r="C37" s="12">
        <f>MIN(IF(A37&lt;=0,0,IF(A37&lt;0.95*Parametres!$C$5,1.811*PI()*(Parametres!$C$5/2)^2*SQRT(Parametres!$C$5)*IF(Parametres!$C$25*Parametres!$C$5&lt;=0,0,(A37/(Parametres!$C$25*Parametres!$C$5))^(1/Parametres!$C$26)),IF(A37&gt;1.2*Parametres!$C$5,1.811*PI()*(Parametres!$C$5/2)^2*SQRT(Parametres!$C$5)*SQRT(MAX(0,(A37/Parametres!$C$5-Parametres!$C$28)/Parametres!$C$27)),(1-(MIN(1,MAX(0,(A37/Parametres!$C$5-0.95)/(1.2-0.95)))))*(1.811*PI()*(Parametres!$C$5/2)^2*SQRT(Parametres!$C$5)*IF(Parametres!$C$25*Parametres!$C$5&lt;=0,0,(A37/(Parametres!$C$25*Parametres!$C$5))^(1/Parametres!$C$26)))+(MIN(1,MAX(0,(A37/Parametres!$C$5-0.95)/(1.2-0.95))))*(1.811*PI()*(Parametres!$C$5/2)^2*SQRT(Parametres!$C$5)*SQRT(MAX(0,(A37/Parametres!$C$5-Parametres!$C$28)/Parametres!$C$27)))))),IF(A37&lt;Parametres!$C$5,IF(Parametres!$C$14&lt;=0,0,(1/Parametres!$C$14)*(((Parametres!$C$5/2)^2/2)*((2*ACOS(1-2*(MIN(0.999,MAX(1E-6,A37/Parametres!$C$5)))))-SIN(2*ACOS(1-2*(MIN(0.999,MAX(1E-6,A37/Parametres!$C$5)))))))*IF(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&lt;=0,0,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^(2/3))*SQRT(Parametres!$C$13)),IF((A37-Parametres!$C$16+Parametres!$C$13*Parametres!$C$6)&lt;=0,0,PI()*(Parametres!$C$5/2)^2*SQRT((A37-Parametres!$C$16+Parametres!$C$13*Parametres!$C$6)/((1+Parametres!$C$29)/(2*9.81)+(Parametres!$C$14^2)*Parametres!$C$6/((Parametres!$C$5/4)^(4/3)))))))</f>
        <v/>
      </c>
      <c r="D37" s="12">
        <f>IF(LOWER(Parametres!$C$17)="porous",IF((MAX(0,A37-Parametres!$C$18))&lt;=0,0,((Parametres!$C$7+Parametres!$C$8*(MAX(0,A37-Parametres!$C$18)))*(MAX(0,A37-Parametres!$C$18)))*(Parametres!$C$22*Parametres!$C$21*SQRT(9.81*Parametres!$C$20*Parametres!$C$13/(1-Parametres!$C$21)))),IF(LOWER(Parametres!$C$17)="both",IF((MAX(0,A37-Parametres!$C$18))&lt;=0,0,((Parametres!$C$7+Parametres!$C$8*(MAX(0,A37-Parametres!$C$18)))*(MAX(0,A37-Parametres!$C$18)))*(Parametres!$C$22*Parametres!$C$21*SQRT(9.81*Parametres!$C$20*Parametres!$C$13/(1-Parametres!$C$21))))+IF((MAX(0,A37-Parametres!$C$18))&lt;=0,0,(1/Parametres!$C$19)*((Parametres!$C$7+Parametres!$C$8*(MAX(0,A37-Parametres!$C$18)))*(MAX(0,A37-Parametres!$C$18)))*IF((IF((Parametres!$C$7+2*(MAX(0,A37-Parametres!$C$18))*SQRT(1+Parametres!$C$8^2))&lt;=0,0,((Parametres!$C$7+Parametres!$C$8*(MAX(0,A37-Parametres!$C$18)))*(MAX(0,A37-Parametres!$C$18)))/(Parametres!$C$7+2*(MAX(0,A37-Parametres!$C$18))*SQRT(1+Parametres!$C$8^2))))&lt;=0,0,(IF((Parametres!$C$7+2*(MAX(0,A37-Parametres!$C$18))*SQRT(1+Parametres!$C$8^2))&lt;=0,0,((Parametres!$C$7+Parametres!$C$8*(MAX(0,A37-Parametres!$C$18)))*(MAX(0,A37-Parametres!$C$18)))/(Parametres!$C$7+2*(MAX(0,A37-Parametres!$C$18))*SQRT(1+Parametres!$C$8^2))))^(2/3))*SQRT(Parametres!$C$13)),IF((MAX(0,A37-Parametres!$C$18))&lt;=0,0,(1/Parametres!$C$19)*((Parametres!$C$7+Parametres!$C$8*(MAX(0,A37-Parametres!$C$18)))*(MAX(0,A37-Parametres!$C$18)))*IF((IF((Parametres!$C$7+2*(MAX(0,A37-Parametres!$C$18))*SQRT(1+Parametres!$C$8^2))&lt;=0,0,((Parametres!$C$7+Parametres!$C$8*(MAX(0,A37-Parametres!$C$18)))*(MAX(0,A37-Parametres!$C$18)))/(Parametres!$C$7+2*(MAX(0,A37-Parametres!$C$18))*SQRT(1+Parametres!$C$8^2))))&lt;=0,0,(IF((Parametres!$C$7+2*(MAX(0,A37-Parametres!$C$18))*SQRT(1+Parametres!$C$8^2))&lt;=0,0,((Parametres!$C$7+Parametres!$C$8*(MAX(0,A37-Parametres!$C$18)))*(MAX(0,A37-Parametres!$C$18)))/(Parametres!$C$7+2*(MAX(0,A37-Parametres!$C$18))*SQRT(1+Parametres!$C$8^2))))^(2/3))*SQRT(Parametres!$C$13))))</f>
        <v/>
      </c>
      <c r="E37" s="12">
        <f>C37+D37</f>
        <v/>
      </c>
      <c r="F37" s="5">
        <f>IF(IF(A37&lt;=0,0,IF(A37&lt;0.95*Parametres!$C$5,1.811*PI()*(Parametres!$C$5/2)^2*SQRT(Parametres!$C$5)*IF(Parametres!$C$25*Parametres!$C$5&lt;=0,0,(A37/(Parametres!$C$25*Parametres!$C$5))^(1/Parametres!$C$26)),IF(A37&gt;1.2*Parametres!$C$5,1.811*PI()*(Parametres!$C$5/2)^2*SQRT(Parametres!$C$5)*SQRT(MAX(0,(A37/Parametres!$C$5-Parametres!$C$28)/Parametres!$C$27)),(1-(MIN(1,MAX(0,(A37/Parametres!$C$5-0.95)/(1.2-0.95)))))*(1.811*PI()*(Parametres!$C$5/2)^2*SQRT(Parametres!$C$5)*IF(Parametres!$C$25*Parametres!$C$5&lt;=0,0,(A37/(Parametres!$C$25*Parametres!$C$5))^(1/Parametres!$C$26)))+(MIN(1,MAX(0,(A37/Parametres!$C$5-0.95)/(1.2-0.95))))*(1.811*PI()*(Parametres!$C$5/2)^2*SQRT(Parametres!$C$5)*SQRT(MAX(0,(A37/Parametres!$C$5-Parametres!$C$28)/Parametres!$C$27))))))&lt;=IF(A37&lt;Parametres!$C$5,IF(Parametres!$C$14&lt;=0,0,(1/Parametres!$C$14)*(((Parametres!$C$5/2)^2/2)*((2*ACOS(1-2*(MIN(0.999,MAX(1E-6,A37/Parametres!$C$5)))))-SIN(2*ACOS(1-2*(MIN(0.999,MAX(1E-6,A37/Parametres!$C$5)))))))*IF(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&lt;=0,0,(IF(((Parametres!$C$5/2)*(2*ACOS(1-2*(MIN(0.999,MAX(1E-6,A37/Parametres!$C$5))))))&lt;=0,0,(((Parametres!$C$5/2)^2/2)*((2*ACOS(1-2*(MIN(0.999,MAX(1E-6,A37/Parametres!$C$5)))))-SIN(2*ACOS(1-2*(MIN(0.999,MAX(1E-6,A37/Parametres!$C$5)))))))/((Parametres!$C$5/2)*(2*ACOS(1-2*(MIN(0.999,MAX(1E-6,A37/Parametres!$C$5))))))))^(2/3))*SQRT(Parametres!$C$13)),IF((A37-Parametres!$C$16+Parametres!$C$13*Parametres!$C$6)&lt;=0,0,PI()*(Parametres!$C$5/2)^2*SQRT((A37-Parametres!$C$16+Parametres!$C$13*Parametres!$C$6)/((1+Parametres!$C$29)/(2*9.81)+(Parametres!$C$14^2)*Parametres!$C$6/((Parametres!$C$5/4)^(4/3)))))),"inlet","outlet")</f>
        <v/>
      </c>
      <c r="G37" s="14">
        <f>(IF((MIN(0.999,MAX(0,MIN(A37,Parametres!$C$5)/Parametres!$C$5)))&lt;=0,0,IF(A37&gt;=Parametres!$C$5,PI()*(Parametres!$C$5/2)^2,((Parametres!$C$5/2)^2/2)*((IF((MIN(0.999,MAX(0,MIN(A37,Parametres!$C$5)/Parametres!$C$5)))&lt;=0,0,2*ACOS(1-2*(MIN(0.999,MAX(0,MIN(A37,Parametres!$C$5)/Parametres!$C$5))))))-SIN(IF((MIN(0.999,MAX(0,MIN(A37,Parametres!$C$5)/Parametres!$C$5)))&lt;=0,0,2*ACOS(1-2*(MIN(0.999,MAX(0,MIN(A37,Parametres!$C$5)/Parametres!$C$5))))))))))*Parametres!$C$6+IF((MAX(0,MIN(A37,(Parametres!$C$11-Parametres!$C$9))-(Parametres!$C$18)))&lt;=0,0,((Parametres!$C$7+Parametres!$C$8*(MAX(0,MIN(A37,(Parametres!$C$11-Parametres!$C$9))-(Parametres!$C$18))))*(MAX(0,MIN(A37,(Parametres!$C$11-Parametres!$C$9))-(Parametres!$C$18))))*Parametres!$C$6)</f>
        <v/>
      </c>
      <c r="H37" s="14">
        <f>G37+Hydrogramme_entree!$B$4*A37</f>
        <v/>
      </c>
      <c r="I37" s="14">
        <f>2*H37/(Hydrogramme_entree!$B$8*60)+E37</f>
        <v/>
      </c>
    </row>
    <row r="38">
      <c r="A38" s="12">
        <f>(34/40)*(Parametres!$C$11-Parametres!$C$9)</f>
        <v/>
      </c>
      <c r="B38" s="13">
        <f>Parametres!$C$9+A38</f>
        <v/>
      </c>
      <c r="C38" s="12">
        <f>MIN(IF(A38&lt;=0,0,IF(A38&lt;0.95*Parametres!$C$5,1.811*PI()*(Parametres!$C$5/2)^2*SQRT(Parametres!$C$5)*IF(Parametres!$C$25*Parametres!$C$5&lt;=0,0,(A38/(Parametres!$C$25*Parametres!$C$5))^(1/Parametres!$C$26)),IF(A38&gt;1.2*Parametres!$C$5,1.811*PI()*(Parametres!$C$5/2)^2*SQRT(Parametres!$C$5)*SQRT(MAX(0,(A38/Parametres!$C$5-Parametres!$C$28)/Parametres!$C$27)),(1-(MIN(1,MAX(0,(A38/Parametres!$C$5-0.95)/(1.2-0.95)))))*(1.811*PI()*(Parametres!$C$5/2)^2*SQRT(Parametres!$C$5)*IF(Parametres!$C$25*Parametres!$C$5&lt;=0,0,(A38/(Parametres!$C$25*Parametres!$C$5))^(1/Parametres!$C$26)))+(MIN(1,MAX(0,(A38/Parametres!$C$5-0.95)/(1.2-0.95))))*(1.811*PI()*(Parametres!$C$5/2)^2*SQRT(Parametres!$C$5)*SQRT(MAX(0,(A38/Parametres!$C$5-Parametres!$C$28)/Parametres!$C$27)))))),IF(A38&lt;Parametres!$C$5,IF(Parametres!$C$14&lt;=0,0,(1/Parametres!$C$14)*(((Parametres!$C$5/2)^2/2)*((2*ACOS(1-2*(MIN(0.999,MAX(1E-6,A38/Parametres!$C$5)))))-SIN(2*ACOS(1-2*(MIN(0.999,MAX(1E-6,A38/Parametres!$C$5)))))))*IF(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&lt;=0,0,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^(2/3))*SQRT(Parametres!$C$13)),IF((A38-Parametres!$C$16+Parametres!$C$13*Parametres!$C$6)&lt;=0,0,PI()*(Parametres!$C$5/2)^2*SQRT((A38-Parametres!$C$16+Parametres!$C$13*Parametres!$C$6)/((1+Parametres!$C$29)/(2*9.81)+(Parametres!$C$14^2)*Parametres!$C$6/((Parametres!$C$5/4)^(4/3)))))))</f>
        <v/>
      </c>
      <c r="D38" s="12">
        <f>IF(LOWER(Parametres!$C$17)="porous",IF((MAX(0,A38-Parametres!$C$18))&lt;=0,0,((Parametres!$C$7+Parametres!$C$8*(MAX(0,A38-Parametres!$C$18)))*(MAX(0,A38-Parametres!$C$18)))*(Parametres!$C$22*Parametres!$C$21*SQRT(9.81*Parametres!$C$20*Parametres!$C$13/(1-Parametres!$C$21)))),IF(LOWER(Parametres!$C$17)="both",IF((MAX(0,A38-Parametres!$C$18))&lt;=0,0,((Parametres!$C$7+Parametres!$C$8*(MAX(0,A38-Parametres!$C$18)))*(MAX(0,A38-Parametres!$C$18)))*(Parametres!$C$22*Parametres!$C$21*SQRT(9.81*Parametres!$C$20*Parametres!$C$13/(1-Parametres!$C$21))))+IF((MAX(0,A38-Parametres!$C$18))&lt;=0,0,(1/Parametres!$C$19)*((Parametres!$C$7+Parametres!$C$8*(MAX(0,A38-Parametres!$C$18)))*(MAX(0,A38-Parametres!$C$18)))*IF((IF((Parametres!$C$7+2*(MAX(0,A38-Parametres!$C$18))*SQRT(1+Parametres!$C$8^2))&lt;=0,0,((Parametres!$C$7+Parametres!$C$8*(MAX(0,A38-Parametres!$C$18)))*(MAX(0,A38-Parametres!$C$18)))/(Parametres!$C$7+2*(MAX(0,A38-Parametres!$C$18))*SQRT(1+Parametres!$C$8^2))))&lt;=0,0,(IF((Parametres!$C$7+2*(MAX(0,A38-Parametres!$C$18))*SQRT(1+Parametres!$C$8^2))&lt;=0,0,((Parametres!$C$7+Parametres!$C$8*(MAX(0,A38-Parametres!$C$18)))*(MAX(0,A38-Parametres!$C$18)))/(Parametres!$C$7+2*(MAX(0,A38-Parametres!$C$18))*SQRT(1+Parametres!$C$8^2))))^(2/3))*SQRT(Parametres!$C$13)),IF((MAX(0,A38-Parametres!$C$18))&lt;=0,0,(1/Parametres!$C$19)*((Parametres!$C$7+Parametres!$C$8*(MAX(0,A38-Parametres!$C$18)))*(MAX(0,A38-Parametres!$C$18)))*IF((IF((Parametres!$C$7+2*(MAX(0,A38-Parametres!$C$18))*SQRT(1+Parametres!$C$8^2))&lt;=0,0,((Parametres!$C$7+Parametres!$C$8*(MAX(0,A38-Parametres!$C$18)))*(MAX(0,A38-Parametres!$C$18)))/(Parametres!$C$7+2*(MAX(0,A38-Parametres!$C$18))*SQRT(1+Parametres!$C$8^2))))&lt;=0,0,(IF((Parametres!$C$7+2*(MAX(0,A38-Parametres!$C$18))*SQRT(1+Parametres!$C$8^2))&lt;=0,0,((Parametres!$C$7+Parametres!$C$8*(MAX(0,A38-Parametres!$C$18)))*(MAX(0,A38-Parametres!$C$18)))/(Parametres!$C$7+2*(MAX(0,A38-Parametres!$C$18))*SQRT(1+Parametres!$C$8^2))))^(2/3))*SQRT(Parametres!$C$13))))</f>
        <v/>
      </c>
      <c r="E38" s="12">
        <f>C38+D38</f>
        <v/>
      </c>
      <c r="F38" s="5">
        <f>IF(IF(A38&lt;=0,0,IF(A38&lt;0.95*Parametres!$C$5,1.811*PI()*(Parametres!$C$5/2)^2*SQRT(Parametres!$C$5)*IF(Parametres!$C$25*Parametres!$C$5&lt;=0,0,(A38/(Parametres!$C$25*Parametres!$C$5))^(1/Parametres!$C$26)),IF(A38&gt;1.2*Parametres!$C$5,1.811*PI()*(Parametres!$C$5/2)^2*SQRT(Parametres!$C$5)*SQRT(MAX(0,(A38/Parametres!$C$5-Parametres!$C$28)/Parametres!$C$27)),(1-(MIN(1,MAX(0,(A38/Parametres!$C$5-0.95)/(1.2-0.95)))))*(1.811*PI()*(Parametres!$C$5/2)^2*SQRT(Parametres!$C$5)*IF(Parametres!$C$25*Parametres!$C$5&lt;=0,0,(A38/(Parametres!$C$25*Parametres!$C$5))^(1/Parametres!$C$26)))+(MIN(1,MAX(0,(A38/Parametres!$C$5-0.95)/(1.2-0.95))))*(1.811*PI()*(Parametres!$C$5/2)^2*SQRT(Parametres!$C$5)*SQRT(MAX(0,(A38/Parametres!$C$5-Parametres!$C$28)/Parametres!$C$27))))))&lt;=IF(A38&lt;Parametres!$C$5,IF(Parametres!$C$14&lt;=0,0,(1/Parametres!$C$14)*(((Parametres!$C$5/2)^2/2)*((2*ACOS(1-2*(MIN(0.999,MAX(1E-6,A38/Parametres!$C$5)))))-SIN(2*ACOS(1-2*(MIN(0.999,MAX(1E-6,A38/Parametres!$C$5)))))))*IF(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&lt;=0,0,(IF(((Parametres!$C$5/2)*(2*ACOS(1-2*(MIN(0.999,MAX(1E-6,A38/Parametres!$C$5))))))&lt;=0,0,(((Parametres!$C$5/2)^2/2)*((2*ACOS(1-2*(MIN(0.999,MAX(1E-6,A38/Parametres!$C$5)))))-SIN(2*ACOS(1-2*(MIN(0.999,MAX(1E-6,A38/Parametres!$C$5)))))))/((Parametres!$C$5/2)*(2*ACOS(1-2*(MIN(0.999,MAX(1E-6,A38/Parametres!$C$5))))))))^(2/3))*SQRT(Parametres!$C$13)),IF((A38-Parametres!$C$16+Parametres!$C$13*Parametres!$C$6)&lt;=0,0,PI()*(Parametres!$C$5/2)^2*SQRT((A38-Parametres!$C$16+Parametres!$C$13*Parametres!$C$6)/((1+Parametres!$C$29)/(2*9.81)+(Parametres!$C$14^2)*Parametres!$C$6/((Parametres!$C$5/4)^(4/3)))))),"inlet","outlet")</f>
        <v/>
      </c>
      <c r="G38" s="14">
        <f>(IF((MIN(0.999,MAX(0,MIN(A38,Parametres!$C$5)/Parametres!$C$5)))&lt;=0,0,IF(A38&gt;=Parametres!$C$5,PI()*(Parametres!$C$5/2)^2,((Parametres!$C$5/2)^2/2)*((IF((MIN(0.999,MAX(0,MIN(A38,Parametres!$C$5)/Parametres!$C$5)))&lt;=0,0,2*ACOS(1-2*(MIN(0.999,MAX(0,MIN(A38,Parametres!$C$5)/Parametres!$C$5))))))-SIN(IF((MIN(0.999,MAX(0,MIN(A38,Parametres!$C$5)/Parametres!$C$5)))&lt;=0,0,2*ACOS(1-2*(MIN(0.999,MAX(0,MIN(A38,Parametres!$C$5)/Parametres!$C$5))))))))))*Parametres!$C$6+IF((MAX(0,MIN(A38,(Parametres!$C$11-Parametres!$C$9))-(Parametres!$C$18)))&lt;=0,0,((Parametres!$C$7+Parametres!$C$8*(MAX(0,MIN(A38,(Parametres!$C$11-Parametres!$C$9))-(Parametres!$C$18))))*(MAX(0,MIN(A38,(Parametres!$C$11-Parametres!$C$9))-(Parametres!$C$18))))*Parametres!$C$6)</f>
        <v/>
      </c>
      <c r="H38" s="14">
        <f>G38+Hydrogramme_entree!$B$4*A38</f>
        <v/>
      </c>
      <c r="I38" s="14">
        <f>2*H38/(Hydrogramme_entree!$B$8*60)+E38</f>
        <v/>
      </c>
    </row>
    <row r="39">
      <c r="A39" s="12">
        <f>(35/40)*(Parametres!$C$11-Parametres!$C$9)</f>
        <v/>
      </c>
      <c r="B39" s="13">
        <f>Parametres!$C$9+A39</f>
        <v/>
      </c>
      <c r="C39" s="12">
        <f>MIN(IF(A39&lt;=0,0,IF(A39&lt;0.95*Parametres!$C$5,1.811*PI()*(Parametres!$C$5/2)^2*SQRT(Parametres!$C$5)*IF(Parametres!$C$25*Parametres!$C$5&lt;=0,0,(A39/(Parametres!$C$25*Parametres!$C$5))^(1/Parametres!$C$26)),IF(A39&gt;1.2*Parametres!$C$5,1.811*PI()*(Parametres!$C$5/2)^2*SQRT(Parametres!$C$5)*SQRT(MAX(0,(A39/Parametres!$C$5-Parametres!$C$28)/Parametres!$C$27)),(1-(MIN(1,MAX(0,(A39/Parametres!$C$5-0.95)/(1.2-0.95)))))*(1.811*PI()*(Parametres!$C$5/2)^2*SQRT(Parametres!$C$5)*IF(Parametres!$C$25*Parametres!$C$5&lt;=0,0,(A39/(Parametres!$C$25*Parametres!$C$5))^(1/Parametres!$C$26)))+(MIN(1,MAX(0,(A39/Parametres!$C$5-0.95)/(1.2-0.95))))*(1.811*PI()*(Parametres!$C$5/2)^2*SQRT(Parametres!$C$5)*SQRT(MAX(0,(A39/Parametres!$C$5-Parametres!$C$28)/Parametres!$C$27)))))),IF(A39&lt;Parametres!$C$5,IF(Parametres!$C$14&lt;=0,0,(1/Parametres!$C$14)*(((Parametres!$C$5/2)^2/2)*((2*ACOS(1-2*(MIN(0.999,MAX(1E-6,A39/Parametres!$C$5)))))-SIN(2*ACOS(1-2*(MIN(0.999,MAX(1E-6,A39/Parametres!$C$5)))))))*IF(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&lt;=0,0,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^(2/3))*SQRT(Parametres!$C$13)),IF((A39-Parametres!$C$16+Parametres!$C$13*Parametres!$C$6)&lt;=0,0,PI()*(Parametres!$C$5/2)^2*SQRT((A39-Parametres!$C$16+Parametres!$C$13*Parametres!$C$6)/((1+Parametres!$C$29)/(2*9.81)+(Parametres!$C$14^2)*Parametres!$C$6/((Parametres!$C$5/4)^(4/3)))))))</f>
        <v/>
      </c>
      <c r="D39" s="12">
        <f>IF(LOWER(Parametres!$C$17)="porous",IF((MAX(0,A39-Parametres!$C$18))&lt;=0,0,((Parametres!$C$7+Parametres!$C$8*(MAX(0,A39-Parametres!$C$18)))*(MAX(0,A39-Parametres!$C$18)))*(Parametres!$C$22*Parametres!$C$21*SQRT(9.81*Parametres!$C$20*Parametres!$C$13/(1-Parametres!$C$21)))),IF(LOWER(Parametres!$C$17)="both",IF((MAX(0,A39-Parametres!$C$18))&lt;=0,0,((Parametres!$C$7+Parametres!$C$8*(MAX(0,A39-Parametres!$C$18)))*(MAX(0,A39-Parametres!$C$18)))*(Parametres!$C$22*Parametres!$C$21*SQRT(9.81*Parametres!$C$20*Parametres!$C$13/(1-Parametres!$C$21))))+IF((MAX(0,A39-Parametres!$C$18))&lt;=0,0,(1/Parametres!$C$19)*((Parametres!$C$7+Parametres!$C$8*(MAX(0,A39-Parametres!$C$18)))*(MAX(0,A39-Parametres!$C$18)))*IF((IF((Parametres!$C$7+2*(MAX(0,A39-Parametres!$C$18))*SQRT(1+Parametres!$C$8^2))&lt;=0,0,((Parametres!$C$7+Parametres!$C$8*(MAX(0,A39-Parametres!$C$18)))*(MAX(0,A39-Parametres!$C$18)))/(Parametres!$C$7+2*(MAX(0,A39-Parametres!$C$18))*SQRT(1+Parametres!$C$8^2))))&lt;=0,0,(IF((Parametres!$C$7+2*(MAX(0,A39-Parametres!$C$18))*SQRT(1+Parametres!$C$8^2))&lt;=0,0,((Parametres!$C$7+Parametres!$C$8*(MAX(0,A39-Parametres!$C$18)))*(MAX(0,A39-Parametres!$C$18)))/(Parametres!$C$7+2*(MAX(0,A39-Parametres!$C$18))*SQRT(1+Parametres!$C$8^2))))^(2/3))*SQRT(Parametres!$C$13)),IF((MAX(0,A39-Parametres!$C$18))&lt;=0,0,(1/Parametres!$C$19)*((Parametres!$C$7+Parametres!$C$8*(MAX(0,A39-Parametres!$C$18)))*(MAX(0,A39-Parametres!$C$18)))*IF((IF((Parametres!$C$7+2*(MAX(0,A39-Parametres!$C$18))*SQRT(1+Parametres!$C$8^2))&lt;=0,0,((Parametres!$C$7+Parametres!$C$8*(MAX(0,A39-Parametres!$C$18)))*(MAX(0,A39-Parametres!$C$18)))/(Parametres!$C$7+2*(MAX(0,A39-Parametres!$C$18))*SQRT(1+Parametres!$C$8^2))))&lt;=0,0,(IF((Parametres!$C$7+2*(MAX(0,A39-Parametres!$C$18))*SQRT(1+Parametres!$C$8^2))&lt;=0,0,((Parametres!$C$7+Parametres!$C$8*(MAX(0,A39-Parametres!$C$18)))*(MAX(0,A39-Parametres!$C$18)))/(Parametres!$C$7+2*(MAX(0,A39-Parametres!$C$18))*SQRT(1+Parametres!$C$8^2))))^(2/3))*SQRT(Parametres!$C$13))))</f>
        <v/>
      </c>
      <c r="E39" s="12">
        <f>C39+D39</f>
        <v/>
      </c>
      <c r="F39" s="5">
        <f>IF(IF(A39&lt;=0,0,IF(A39&lt;0.95*Parametres!$C$5,1.811*PI()*(Parametres!$C$5/2)^2*SQRT(Parametres!$C$5)*IF(Parametres!$C$25*Parametres!$C$5&lt;=0,0,(A39/(Parametres!$C$25*Parametres!$C$5))^(1/Parametres!$C$26)),IF(A39&gt;1.2*Parametres!$C$5,1.811*PI()*(Parametres!$C$5/2)^2*SQRT(Parametres!$C$5)*SQRT(MAX(0,(A39/Parametres!$C$5-Parametres!$C$28)/Parametres!$C$27)),(1-(MIN(1,MAX(0,(A39/Parametres!$C$5-0.95)/(1.2-0.95)))))*(1.811*PI()*(Parametres!$C$5/2)^2*SQRT(Parametres!$C$5)*IF(Parametres!$C$25*Parametres!$C$5&lt;=0,0,(A39/(Parametres!$C$25*Parametres!$C$5))^(1/Parametres!$C$26)))+(MIN(1,MAX(0,(A39/Parametres!$C$5-0.95)/(1.2-0.95))))*(1.811*PI()*(Parametres!$C$5/2)^2*SQRT(Parametres!$C$5)*SQRT(MAX(0,(A39/Parametres!$C$5-Parametres!$C$28)/Parametres!$C$27))))))&lt;=IF(A39&lt;Parametres!$C$5,IF(Parametres!$C$14&lt;=0,0,(1/Parametres!$C$14)*(((Parametres!$C$5/2)^2/2)*((2*ACOS(1-2*(MIN(0.999,MAX(1E-6,A39/Parametres!$C$5)))))-SIN(2*ACOS(1-2*(MIN(0.999,MAX(1E-6,A39/Parametres!$C$5)))))))*IF(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&lt;=0,0,(IF(((Parametres!$C$5/2)*(2*ACOS(1-2*(MIN(0.999,MAX(1E-6,A39/Parametres!$C$5))))))&lt;=0,0,(((Parametres!$C$5/2)^2/2)*((2*ACOS(1-2*(MIN(0.999,MAX(1E-6,A39/Parametres!$C$5)))))-SIN(2*ACOS(1-2*(MIN(0.999,MAX(1E-6,A39/Parametres!$C$5)))))))/((Parametres!$C$5/2)*(2*ACOS(1-2*(MIN(0.999,MAX(1E-6,A39/Parametres!$C$5))))))))^(2/3))*SQRT(Parametres!$C$13)),IF((A39-Parametres!$C$16+Parametres!$C$13*Parametres!$C$6)&lt;=0,0,PI()*(Parametres!$C$5/2)^2*SQRT((A39-Parametres!$C$16+Parametres!$C$13*Parametres!$C$6)/((1+Parametres!$C$29)/(2*9.81)+(Parametres!$C$14^2)*Parametres!$C$6/((Parametres!$C$5/4)^(4/3)))))),"inlet","outlet")</f>
        <v/>
      </c>
      <c r="G39" s="14">
        <f>(IF((MIN(0.999,MAX(0,MIN(A39,Parametres!$C$5)/Parametres!$C$5)))&lt;=0,0,IF(A39&gt;=Parametres!$C$5,PI()*(Parametres!$C$5/2)^2,((Parametres!$C$5/2)^2/2)*((IF((MIN(0.999,MAX(0,MIN(A39,Parametres!$C$5)/Parametres!$C$5)))&lt;=0,0,2*ACOS(1-2*(MIN(0.999,MAX(0,MIN(A39,Parametres!$C$5)/Parametres!$C$5))))))-SIN(IF((MIN(0.999,MAX(0,MIN(A39,Parametres!$C$5)/Parametres!$C$5)))&lt;=0,0,2*ACOS(1-2*(MIN(0.999,MAX(0,MIN(A39,Parametres!$C$5)/Parametres!$C$5))))))))))*Parametres!$C$6+IF((MAX(0,MIN(A39,(Parametres!$C$11-Parametres!$C$9))-(Parametres!$C$18)))&lt;=0,0,((Parametres!$C$7+Parametres!$C$8*(MAX(0,MIN(A39,(Parametres!$C$11-Parametres!$C$9))-(Parametres!$C$18))))*(MAX(0,MIN(A39,(Parametres!$C$11-Parametres!$C$9))-(Parametres!$C$18))))*Parametres!$C$6)</f>
        <v/>
      </c>
      <c r="H39" s="14">
        <f>G39+Hydrogramme_entree!$B$4*A39</f>
        <v/>
      </c>
      <c r="I39" s="14">
        <f>2*H39/(Hydrogramme_entree!$B$8*60)+E39</f>
        <v/>
      </c>
    </row>
    <row r="40">
      <c r="A40" s="12">
        <f>(36/40)*(Parametres!$C$11-Parametres!$C$9)</f>
        <v/>
      </c>
      <c r="B40" s="13">
        <f>Parametres!$C$9+A40</f>
        <v/>
      </c>
      <c r="C40" s="12">
        <f>MIN(IF(A40&lt;=0,0,IF(A40&lt;0.95*Parametres!$C$5,1.811*PI()*(Parametres!$C$5/2)^2*SQRT(Parametres!$C$5)*IF(Parametres!$C$25*Parametres!$C$5&lt;=0,0,(A40/(Parametres!$C$25*Parametres!$C$5))^(1/Parametres!$C$26)),IF(A40&gt;1.2*Parametres!$C$5,1.811*PI()*(Parametres!$C$5/2)^2*SQRT(Parametres!$C$5)*SQRT(MAX(0,(A40/Parametres!$C$5-Parametres!$C$28)/Parametres!$C$27)),(1-(MIN(1,MAX(0,(A40/Parametres!$C$5-0.95)/(1.2-0.95)))))*(1.811*PI()*(Parametres!$C$5/2)^2*SQRT(Parametres!$C$5)*IF(Parametres!$C$25*Parametres!$C$5&lt;=0,0,(A40/(Parametres!$C$25*Parametres!$C$5))^(1/Parametres!$C$26)))+(MIN(1,MAX(0,(A40/Parametres!$C$5-0.95)/(1.2-0.95))))*(1.811*PI()*(Parametres!$C$5/2)^2*SQRT(Parametres!$C$5)*SQRT(MAX(0,(A40/Parametres!$C$5-Parametres!$C$28)/Parametres!$C$27)))))),IF(A40&lt;Parametres!$C$5,IF(Parametres!$C$14&lt;=0,0,(1/Parametres!$C$14)*(((Parametres!$C$5/2)^2/2)*((2*ACOS(1-2*(MIN(0.999,MAX(1E-6,A40/Parametres!$C$5)))))-SIN(2*ACOS(1-2*(MIN(0.999,MAX(1E-6,A40/Parametres!$C$5)))))))*IF(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&lt;=0,0,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^(2/3))*SQRT(Parametres!$C$13)),IF((A40-Parametres!$C$16+Parametres!$C$13*Parametres!$C$6)&lt;=0,0,PI()*(Parametres!$C$5/2)^2*SQRT((A40-Parametres!$C$16+Parametres!$C$13*Parametres!$C$6)/((1+Parametres!$C$29)/(2*9.81)+(Parametres!$C$14^2)*Parametres!$C$6/((Parametres!$C$5/4)^(4/3)))))))</f>
        <v/>
      </c>
      <c r="D40" s="12">
        <f>IF(LOWER(Parametres!$C$17)="porous",IF((MAX(0,A40-Parametres!$C$18))&lt;=0,0,((Parametres!$C$7+Parametres!$C$8*(MAX(0,A40-Parametres!$C$18)))*(MAX(0,A40-Parametres!$C$18)))*(Parametres!$C$22*Parametres!$C$21*SQRT(9.81*Parametres!$C$20*Parametres!$C$13/(1-Parametres!$C$21)))),IF(LOWER(Parametres!$C$17)="both",IF((MAX(0,A40-Parametres!$C$18))&lt;=0,0,((Parametres!$C$7+Parametres!$C$8*(MAX(0,A40-Parametres!$C$18)))*(MAX(0,A40-Parametres!$C$18)))*(Parametres!$C$22*Parametres!$C$21*SQRT(9.81*Parametres!$C$20*Parametres!$C$13/(1-Parametres!$C$21))))+IF((MAX(0,A40-Parametres!$C$18))&lt;=0,0,(1/Parametres!$C$19)*((Parametres!$C$7+Parametres!$C$8*(MAX(0,A40-Parametres!$C$18)))*(MAX(0,A40-Parametres!$C$18)))*IF((IF((Parametres!$C$7+2*(MAX(0,A40-Parametres!$C$18))*SQRT(1+Parametres!$C$8^2))&lt;=0,0,((Parametres!$C$7+Parametres!$C$8*(MAX(0,A40-Parametres!$C$18)))*(MAX(0,A40-Parametres!$C$18)))/(Parametres!$C$7+2*(MAX(0,A40-Parametres!$C$18))*SQRT(1+Parametres!$C$8^2))))&lt;=0,0,(IF((Parametres!$C$7+2*(MAX(0,A40-Parametres!$C$18))*SQRT(1+Parametres!$C$8^2))&lt;=0,0,((Parametres!$C$7+Parametres!$C$8*(MAX(0,A40-Parametres!$C$18)))*(MAX(0,A40-Parametres!$C$18)))/(Parametres!$C$7+2*(MAX(0,A40-Parametres!$C$18))*SQRT(1+Parametres!$C$8^2))))^(2/3))*SQRT(Parametres!$C$13)),IF((MAX(0,A40-Parametres!$C$18))&lt;=0,0,(1/Parametres!$C$19)*((Parametres!$C$7+Parametres!$C$8*(MAX(0,A40-Parametres!$C$18)))*(MAX(0,A40-Parametres!$C$18)))*IF((IF((Parametres!$C$7+2*(MAX(0,A40-Parametres!$C$18))*SQRT(1+Parametres!$C$8^2))&lt;=0,0,((Parametres!$C$7+Parametres!$C$8*(MAX(0,A40-Parametres!$C$18)))*(MAX(0,A40-Parametres!$C$18)))/(Parametres!$C$7+2*(MAX(0,A40-Parametres!$C$18))*SQRT(1+Parametres!$C$8^2))))&lt;=0,0,(IF((Parametres!$C$7+2*(MAX(0,A40-Parametres!$C$18))*SQRT(1+Parametres!$C$8^2))&lt;=0,0,((Parametres!$C$7+Parametres!$C$8*(MAX(0,A40-Parametres!$C$18)))*(MAX(0,A40-Parametres!$C$18)))/(Parametres!$C$7+2*(MAX(0,A40-Parametres!$C$18))*SQRT(1+Parametres!$C$8^2))))^(2/3))*SQRT(Parametres!$C$13))))</f>
        <v/>
      </c>
      <c r="E40" s="12">
        <f>C40+D40</f>
        <v/>
      </c>
      <c r="F40" s="5">
        <f>IF(IF(A40&lt;=0,0,IF(A40&lt;0.95*Parametres!$C$5,1.811*PI()*(Parametres!$C$5/2)^2*SQRT(Parametres!$C$5)*IF(Parametres!$C$25*Parametres!$C$5&lt;=0,0,(A40/(Parametres!$C$25*Parametres!$C$5))^(1/Parametres!$C$26)),IF(A40&gt;1.2*Parametres!$C$5,1.811*PI()*(Parametres!$C$5/2)^2*SQRT(Parametres!$C$5)*SQRT(MAX(0,(A40/Parametres!$C$5-Parametres!$C$28)/Parametres!$C$27)),(1-(MIN(1,MAX(0,(A40/Parametres!$C$5-0.95)/(1.2-0.95)))))*(1.811*PI()*(Parametres!$C$5/2)^2*SQRT(Parametres!$C$5)*IF(Parametres!$C$25*Parametres!$C$5&lt;=0,0,(A40/(Parametres!$C$25*Parametres!$C$5))^(1/Parametres!$C$26)))+(MIN(1,MAX(0,(A40/Parametres!$C$5-0.95)/(1.2-0.95))))*(1.811*PI()*(Parametres!$C$5/2)^2*SQRT(Parametres!$C$5)*SQRT(MAX(0,(A40/Parametres!$C$5-Parametres!$C$28)/Parametres!$C$27))))))&lt;=IF(A40&lt;Parametres!$C$5,IF(Parametres!$C$14&lt;=0,0,(1/Parametres!$C$14)*(((Parametres!$C$5/2)^2/2)*((2*ACOS(1-2*(MIN(0.999,MAX(1E-6,A40/Parametres!$C$5)))))-SIN(2*ACOS(1-2*(MIN(0.999,MAX(1E-6,A40/Parametres!$C$5)))))))*IF(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&lt;=0,0,(IF(((Parametres!$C$5/2)*(2*ACOS(1-2*(MIN(0.999,MAX(1E-6,A40/Parametres!$C$5))))))&lt;=0,0,(((Parametres!$C$5/2)^2/2)*((2*ACOS(1-2*(MIN(0.999,MAX(1E-6,A40/Parametres!$C$5)))))-SIN(2*ACOS(1-2*(MIN(0.999,MAX(1E-6,A40/Parametres!$C$5)))))))/((Parametres!$C$5/2)*(2*ACOS(1-2*(MIN(0.999,MAX(1E-6,A40/Parametres!$C$5))))))))^(2/3))*SQRT(Parametres!$C$13)),IF((A40-Parametres!$C$16+Parametres!$C$13*Parametres!$C$6)&lt;=0,0,PI()*(Parametres!$C$5/2)^2*SQRT((A40-Parametres!$C$16+Parametres!$C$13*Parametres!$C$6)/((1+Parametres!$C$29)/(2*9.81)+(Parametres!$C$14^2)*Parametres!$C$6/((Parametres!$C$5/4)^(4/3)))))),"inlet","outlet")</f>
        <v/>
      </c>
      <c r="G40" s="14">
        <f>(IF((MIN(0.999,MAX(0,MIN(A40,Parametres!$C$5)/Parametres!$C$5)))&lt;=0,0,IF(A40&gt;=Parametres!$C$5,PI()*(Parametres!$C$5/2)^2,((Parametres!$C$5/2)^2/2)*((IF((MIN(0.999,MAX(0,MIN(A40,Parametres!$C$5)/Parametres!$C$5)))&lt;=0,0,2*ACOS(1-2*(MIN(0.999,MAX(0,MIN(A40,Parametres!$C$5)/Parametres!$C$5))))))-SIN(IF((MIN(0.999,MAX(0,MIN(A40,Parametres!$C$5)/Parametres!$C$5)))&lt;=0,0,2*ACOS(1-2*(MIN(0.999,MAX(0,MIN(A40,Parametres!$C$5)/Parametres!$C$5))))))))))*Parametres!$C$6+IF((MAX(0,MIN(A40,(Parametres!$C$11-Parametres!$C$9))-(Parametres!$C$18)))&lt;=0,0,((Parametres!$C$7+Parametres!$C$8*(MAX(0,MIN(A40,(Parametres!$C$11-Parametres!$C$9))-(Parametres!$C$18))))*(MAX(0,MIN(A40,(Parametres!$C$11-Parametres!$C$9))-(Parametres!$C$18))))*Parametres!$C$6)</f>
        <v/>
      </c>
      <c r="H40" s="14">
        <f>G40+Hydrogramme_entree!$B$4*A40</f>
        <v/>
      </c>
      <c r="I40" s="14">
        <f>2*H40/(Hydrogramme_entree!$B$8*60)+E40</f>
        <v/>
      </c>
    </row>
    <row r="41">
      <c r="A41" s="12">
        <f>(37/40)*(Parametres!$C$11-Parametres!$C$9)</f>
        <v/>
      </c>
      <c r="B41" s="13">
        <f>Parametres!$C$9+A41</f>
        <v/>
      </c>
      <c r="C41" s="12">
        <f>MIN(IF(A41&lt;=0,0,IF(A41&lt;0.95*Parametres!$C$5,1.811*PI()*(Parametres!$C$5/2)^2*SQRT(Parametres!$C$5)*IF(Parametres!$C$25*Parametres!$C$5&lt;=0,0,(A41/(Parametres!$C$25*Parametres!$C$5))^(1/Parametres!$C$26)),IF(A41&gt;1.2*Parametres!$C$5,1.811*PI()*(Parametres!$C$5/2)^2*SQRT(Parametres!$C$5)*SQRT(MAX(0,(A41/Parametres!$C$5-Parametres!$C$28)/Parametres!$C$27)),(1-(MIN(1,MAX(0,(A41/Parametres!$C$5-0.95)/(1.2-0.95)))))*(1.811*PI()*(Parametres!$C$5/2)^2*SQRT(Parametres!$C$5)*IF(Parametres!$C$25*Parametres!$C$5&lt;=0,0,(A41/(Parametres!$C$25*Parametres!$C$5))^(1/Parametres!$C$26)))+(MIN(1,MAX(0,(A41/Parametres!$C$5-0.95)/(1.2-0.95))))*(1.811*PI()*(Parametres!$C$5/2)^2*SQRT(Parametres!$C$5)*SQRT(MAX(0,(A41/Parametres!$C$5-Parametres!$C$28)/Parametres!$C$27)))))),IF(A41&lt;Parametres!$C$5,IF(Parametres!$C$14&lt;=0,0,(1/Parametres!$C$14)*(((Parametres!$C$5/2)^2/2)*((2*ACOS(1-2*(MIN(0.999,MAX(1E-6,A41/Parametres!$C$5)))))-SIN(2*ACOS(1-2*(MIN(0.999,MAX(1E-6,A41/Parametres!$C$5)))))))*IF(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&lt;=0,0,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^(2/3))*SQRT(Parametres!$C$13)),IF((A41-Parametres!$C$16+Parametres!$C$13*Parametres!$C$6)&lt;=0,0,PI()*(Parametres!$C$5/2)^2*SQRT((A41-Parametres!$C$16+Parametres!$C$13*Parametres!$C$6)/((1+Parametres!$C$29)/(2*9.81)+(Parametres!$C$14^2)*Parametres!$C$6/((Parametres!$C$5/4)^(4/3)))))))</f>
        <v/>
      </c>
      <c r="D41" s="12">
        <f>IF(LOWER(Parametres!$C$17)="porous",IF((MAX(0,A41-Parametres!$C$18))&lt;=0,0,((Parametres!$C$7+Parametres!$C$8*(MAX(0,A41-Parametres!$C$18)))*(MAX(0,A41-Parametres!$C$18)))*(Parametres!$C$22*Parametres!$C$21*SQRT(9.81*Parametres!$C$20*Parametres!$C$13/(1-Parametres!$C$21)))),IF(LOWER(Parametres!$C$17)="both",IF((MAX(0,A41-Parametres!$C$18))&lt;=0,0,((Parametres!$C$7+Parametres!$C$8*(MAX(0,A41-Parametres!$C$18)))*(MAX(0,A41-Parametres!$C$18)))*(Parametres!$C$22*Parametres!$C$21*SQRT(9.81*Parametres!$C$20*Parametres!$C$13/(1-Parametres!$C$21))))+IF((MAX(0,A41-Parametres!$C$18))&lt;=0,0,(1/Parametres!$C$19)*((Parametres!$C$7+Parametres!$C$8*(MAX(0,A41-Parametres!$C$18)))*(MAX(0,A41-Parametres!$C$18)))*IF((IF((Parametres!$C$7+2*(MAX(0,A41-Parametres!$C$18))*SQRT(1+Parametres!$C$8^2))&lt;=0,0,((Parametres!$C$7+Parametres!$C$8*(MAX(0,A41-Parametres!$C$18)))*(MAX(0,A41-Parametres!$C$18)))/(Parametres!$C$7+2*(MAX(0,A41-Parametres!$C$18))*SQRT(1+Parametres!$C$8^2))))&lt;=0,0,(IF((Parametres!$C$7+2*(MAX(0,A41-Parametres!$C$18))*SQRT(1+Parametres!$C$8^2))&lt;=0,0,((Parametres!$C$7+Parametres!$C$8*(MAX(0,A41-Parametres!$C$18)))*(MAX(0,A41-Parametres!$C$18)))/(Parametres!$C$7+2*(MAX(0,A41-Parametres!$C$18))*SQRT(1+Parametres!$C$8^2))))^(2/3))*SQRT(Parametres!$C$13)),IF((MAX(0,A41-Parametres!$C$18))&lt;=0,0,(1/Parametres!$C$19)*((Parametres!$C$7+Parametres!$C$8*(MAX(0,A41-Parametres!$C$18)))*(MAX(0,A41-Parametres!$C$18)))*IF((IF((Parametres!$C$7+2*(MAX(0,A41-Parametres!$C$18))*SQRT(1+Parametres!$C$8^2))&lt;=0,0,((Parametres!$C$7+Parametres!$C$8*(MAX(0,A41-Parametres!$C$18)))*(MAX(0,A41-Parametres!$C$18)))/(Parametres!$C$7+2*(MAX(0,A41-Parametres!$C$18))*SQRT(1+Parametres!$C$8^2))))&lt;=0,0,(IF((Parametres!$C$7+2*(MAX(0,A41-Parametres!$C$18))*SQRT(1+Parametres!$C$8^2))&lt;=0,0,((Parametres!$C$7+Parametres!$C$8*(MAX(0,A41-Parametres!$C$18)))*(MAX(0,A41-Parametres!$C$18)))/(Parametres!$C$7+2*(MAX(0,A41-Parametres!$C$18))*SQRT(1+Parametres!$C$8^2))))^(2/3))*SQRT(Parametres!$C$13))))</f>
        <v/>
      </c>
      <c r="E41" s="12">
        <f>C41+D41</f>
        <v/>
      </c>
      <c r="F41" s="5">
        <f>IF(IF(A41&lt;=0,0,IF(A41&lt;0.95*Parametres!$C$5,1.811*PI()*(Parametres!$C$5/2)^2*SQRT(Parametres!$C$5)*IF(Parametres!$C$25*Parametres!$C$5&lt;=0,0,(A41/(Parametres!$C$25*Parametres!$C$5))^(1/Parametres!$C$26)),IF(A41&gt;1.2*Parametres!$C$5,1.811*PI()*(Parametres!$C$5/2)^2*SQRT(Parametres!$C$5)*SQRT(MAX(0,(A41/Parametres!$C$5-Parametres!$C$28)/Parametres!$C$27)),(1-(MIN(1,MAX(0,(A41/Parametres!$C$5-0.95)/(1.2-0.95)))))*(1.811*PI()*(Parametres!$C$5/2)^2*SQRT(Parametres!$C$5)*IF(Parametres!$C$25*Parametres!$C$5&lt;=0,0,(A41/(Parametres!$C$25*Parametres!$C$5))^(1/Parametres!$C$26)))+(MIN(1,MAX(0,(A41/Parametres!$C$5-0.95)/(1.2-0.95))))*(1.811*PI()*(Parametres!$C$5/2)^2*SQRT(Parametres!$C$5)*SQRT(MAX(0,(A41/Parametres!$C$5-Parametres!$C$28)/Parametres!$C$27))))))&lt;=IF(A41&lt;Parametres!$C$5,IF(Parametres!$C$14&lt;=0,0,(1/Parametres!$C$14)*(((Parametres!$C$5/2)^2/2)*((2*ACOS(1-2*(MIN(0.999,MAX(1E-6,A41/Parametres!$C$5)))))-SIN(2*ACOS(1-2*(MIN(0.999,MAX(1E-6,A41/Parametres!$C$5)))))))*IF(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&lt;=0,0,(IF(((Parametres!$C$5/2)*(2*ACOS(1-2*(MIN(0.999,MAX(1E-6,A41/Parametres!$C$5))))))&lt;=0,0,(((Parametres!$C$5/2)^2/2)*((2*ACOS(1-2*(MIN(0.999,MAX(1E-6,A41/Parametres!$C$5)))))-SIN(2*ACOS(1-2*(MIN(0.999,MAX(1E-6,A41/Parametres!$C$5)))))))/((Parametres!$C$5/2)*(2*ACOS(1-2*(MIN(0.999,MAX(1E-6,A41/Parametres!$C$5))))))))^(2/3))*SQRT(Parametres!$C$13)),IF((A41-Parametres!$C$16+Parametres!$C$13*Parametres!$C$6)&lt;=0,0,PI()*(Parametres!$C$5/2)^2*SQRT((A41-Parametres!$C$16+Parametres!$C$13*Parametres!$C$6)/((1+Parametres!$C$29)/(2*9.81)+(Parametres!$C$14^2)*Parametres!$C$6/((Parametres!$C$5/4)^(4/3)))))),"inlet","outlet")</f>
        <v/>
      </c>
      <c r="G41" s="14">
        <f>(IF((MIN(0.999,MAX(0,MIN(A41,Parametres!$C$5)/Parametres!$C$5)))&lt;=0,0,IF(A41&gt;=Parametres!$C$5,PI()*(Parametres!$C$5/2)^2,((Parametres!$C$5/2)^2/2)*((IF((MIN(0.999,MAX(0,MIN(A41,Parametres!$C$5)/Parametres!$C$5)))&lt;=0,0,2*ACOS(1-2*(MIN(0.999,MAX(0,MIN(A41,Parametres!$C$5)/Parametres!$C$5))))))-SIN(IF((MIN(0.999,MAX(0,MIN(A41,Parametres!$C$5)/Parametres!$C$5)))&lt;=0,0,2*ACOS(1-2*(MIN(0.999,MAX(0,MIN(A41,Parametres!$C$5)/Parametres!$C$5))))))))))*Parametres!$C$6+IF((MAX(0,MIN(A41,(Parametres!$C$11-Parametres!$C$9))-(Parametres!$C$18)))&lt;=0,0,((Parametres!$C$7+Parametres!$C$8*(MAX(0,MIN(A41,(Parametres!$C$11-Parametres!$C$9))-(Parametres!$C$18))))*(MAX(0,MIN(A41,(Parametres!$C$11-Parametres!$C$9))-(Parametres!$C$18))))*Parametres!$C$6)</f>
        <v/>
      </c>
      <c r="H41" s="14">
        <f>G41+Hydrogramme_entree!$B$4*A41</f>
        <v/>
      </c>
      <c r="I41" s="14">
        <f>2*H41/(Hydrogramme_entree!$B$8*60)+E41</f>
        <v/>
      </c>
    </row>
    <row r="42">
      <c r="A42" s="12">
        <f>(38/40)*(Parametres!$C$11-Parametres!$C$9)</f>
        <v/>
      </c>
      <c r="B42" s="13">
        <f>Parametres!$C$9+A42</f>
        <v/>
      </c>
      <c r="C42" s="12">
        <f>MIN(IF(A42&lt;=0,0,IF(A42&lt;0.95*Parametres!$C$5,1.811*PI()*(Parametres!$C$5/2)^2*SQRT(Parametres!$C$5)*IF(Parametres!$C$25*Parametres!$C$5&lt;=0,0,(A42/(Parametres!$C$25*Parametres!$C$5))^(1/Parametres!$C$26)),IF(A42&gt;1.2*Parametres!$C$5,1.811*PI()*(Parametres!$C$5/2)^2*SQRT(Parametres!$C$5)*SQRT(MAX(0,(A42/Parametres!$C$5-Parametres!$C$28)/Parametres!$C$27)),(1-(MIN(1,MAX(0,(A42/Parametres!$C$5-0.95)/(1.2-0.95)))))*(1.811*PI()*(Parametres!$C$5/2)^2*SQRT(Parametres!$C$5)*IF(Parametres!$C$25*Parametres!$C$5&lt;=0,0,(A42/(Parametres!$C$25*Parametres!$C$5))^(1/Parametres!$C$26)))+(MIN(1,MAX(0,(A42/Parametres!$C$5-0.95)/(1.2-0.95))))*(1.811*PI()*(Parametres!$C$5/2)^2*SQRT(Parametres!$C$5)*SQRT(MAX(0,(A42/Parametres!$C$5-Parametres!$C$28)/Parametres!$C$27)))))),IF(A42&lt;Parametres!$C$5,IF(Parametres!$C$14&lt;=0,0,(1/Parametres!$C$14)*(((Parametres!$C$5/2)^2/2)*((2*ACOS(1-2*(MIN(0.999,MAX(1E-6,A42/Parametres!$C$5)))))-SIN(2*ACOS(1-2*(MIN(0.999,MAX(1E-6,A42/Parametres!$C$5)))))))*IF(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&lt;=0,0,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^(2/3))*SQRT(Parametres!$C$13)),IF((A42-Parametres!$C$16+Parametres!$C$13*Parametres!$C$6)&lt;=0,0,PI()*(Parametres!$C$5/2)^2*SQRT((A42-Parametres!$C$16+Parametres!$C$13*Parametres!$C$6)/((1+Parametres!$C$29)/(2*9.81)+(Parametres!$C$14^2)*Parametres!$C$6/((Parametres!$C$5/4)^(4/3)))))))</f>
        <v/>
      </c>
      <c r="D42" s="12">
        <f>IF(LOWER(Parametres!$C$17)="porous",IF((MAX(0,A42-Parametres!$C$18))&lt;=0,0,((Parametres!$C$7+Parametres!$C$8*(MAX(0,A42-Parametres!$C$18)))*(MAX(0,A42-Parametres!$C$18)))*(Parametres!$C$22*Parametres!$C$21*SQRT(9.81*Parametres!$C$20*Parametres!$C$13/(1-Parametres!$C$21)))),IF(LOWER(Parametres!$C$17)="both",IF((MAX(0,A42-Parametres!$C$18))&lt;=0,0,((Parametres!$C$7+Parametres!$C$8*(MAX(0,A42-Parametres!$C$18)))*(MAX(0,A42-Parametres!$C$18)))*(Parametres!$C$22*Parametres!$C$21*SQRT(9.81*Parametres!$C$20*Parametres!$C$13/(1-Parametres!$C$21))))+IF((MAX(0,A42-Parametres!$C$18))&lt;=0,0,(1/Parametres!$C$19)*((Parametres!$C$7+Parametres!$C$8*(MAX(0,A42-Parametres!$C$18)))*(MAX(0,A42-Parametres!$C$18)))*IF((IF((Parametres!$C$7+2*(MAX(0,A42-Parametres!$C$18))*SQRT(1+Parametres!$C$8^2))&lt;=0,0,((Parametres!$C$7+Parametres!$C$8*(MAX(0,A42-Parametres!$C$18)))*(MAX(0,A42-Parametres!$C$18)))/(Parametres!$C$7+2*(MAX(0,A42-Parametres!$C$18))*SQRT(1+Parametres!$C$8^2))))&lt;=0,0,(IF((Parametres!$C$7+2*(MAX(0,A42-Parametres!$C$18))*SQRT(1+Parametres!$C$8^2))&lt;=0,0,((Parametres!$C$7+Parametres!$C$8*(MAX(0,A42-Parametres!$C$18)))*(MAX(0,A42-Parametres!$C$18)))/(Parametres!$C$7+2*(MAX(0,A42-Parametres!$C$18))*SQRT(1+Parametres!$C$8^2))))^(2/3))*SQRT(Parametres!$C$13)),IF((MAX(0,A42-Parametres!$C$18))&lt;=0,0,(1/Parametres!$C$19)*((Parametres!$C$7+Parametres!$C$8*(MAX(0,A42-Parametres!$C$18)))*(MAX(0,A42-Parametres!$C$18)))*IF((IF((Parametres!$C$7+2*(MAX(0,A42-Parametres!$C$18))*SQRT(1+Parametres!$C$8^2))&lt;=0,0,((Parametres!$C$7+Parametres!$C$8*(MAX(0,A42-Parametres!$C$18)))*(MAX(0,A42-Parametres!$C$18)))/(Parametres!$C$7+2*(MAX(0,A42-Parametres!$C$18))*SQRT(1+Parametres!$C$8^2))))&lt;=0,0,(IF((Parametres!$C$7+2*(MAX(0,A42-Parametres!$C$18))*SQRT(1+Parametres!$C$8^2))&lt;=0,0,((Parametres!$C$7+Parametres!$C$8*(MAX(0,A42-Parametres!$C$18)))*(MAX(0,A42-Parametres!$C$18)))/(Parametres!$C$7+2*(MAX(0,A42-Parametres!$C$18))*SQRT(1+Parametres!$C$8^2))))^(2/3))*SQRT(Parametres!$C$13))))</f>
        <v/>
      </c>
      <c r="E42" s="12">
        <f>C42+D42</f>
        <v/>
      </c>
      <c r="F42" s="5">
        <f>IF(IF(A42&lt;=0,0,IF(A42&lt;0.95*Parametres!$C$5,1.811*PI()*(Parametres!$C$5/2)^2*SQRT(Parametres!$C$5)*IF(Parametres!$C$25*Parametres!$C$5&lt;=0,0,(A42/(Parametres!$C$25*Parametres!$C$5))^(1/Parametres!$C$26)),IF(A42&gt;1.2*Parametres!$C$5,1.811*PI()*(Parametres!$C$5/2)^2*SQRT(Parametres!$C$5)*SQRT(MAX(0,(A42/Parametres!$C$5-Parametres!$C$28)/Parametres!$C$27)),(1-(MIN(1,MAX(0,(A42/Parametres!$C$5-0.95)/(1.2-0.95)))))*(1.811*PI()*(Parametres!$C$5/2)^2*SQRT(Parametres!$C$5)*IF(Parametres!$C$25*Parametres!$C$5&lt;=0,0,(A42/(Parametres!$C$25*Parametres!$C$5))^(1/Parametres!$C$26)))+(MIN(1,MAX(0,(A42/Parametres!$C$5-0.95)/(1.2-0.95))))*(1.811*PI()*(Parametres!$C$5/2)^2*SQRT(Parametres!$C$5)*SQRT(MAX(0,(A42/Parametres!$C$5-Parametres!$C$28)/Parametres!$C$27))))))&lt;=IF(A42&lt;Parametres!$C$5,IF(Parametres!$C$14&lt;=0,0,(1/Parametres!$C$14)*(((Parametres!$C$5/2)^2/2)*((2*ACOS(1-2*(MIN(0.999,MAX(1E-6,A42/Parametres!$C$5)))))-SIN(2*ACOS(1-2*(MIN(0.999,MAX(1E-6,A42/Parametres!$C$5)))))))*IF(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&lt;=0,0,(IF(((Parametres!$C$5/2)*(2*ACOS(1-2*(MIN(0.999,MAX(1E-6,A42/Parametres!$C$5))))))&lt;=0,0,(((Parametres!$C$5/2)^2/2)*((2*ACOS(1-2*(MIN(0.999,MAX(1E-6,A42/Parametres!$C$5)))))-SIN(2*ACOS(1-2*(MIN(0.999,MAX(1E-6,A42/Parametres!$C$5)))))))/((Parametres!$C$5/2)*(2*ACOS(1-2*(MIN(0.999,MAX(1E-6,A42/Parametres!$C$5))))))))^(2/3))*SQRT(Parametres!$C$13)),IF((A42-Parametres!$C$16+Parametres!$C$13*Parametres!$C$6)&lt;=0,0,PI()*(Parametres!$C$5/2)^2*SQRT((A42-Parametres!$C$16+Parametres!$C$13*Parametres!$C$6)/((1+Parametres!$C$29)/(2*9.81)+(Parametres!$C$14^2)*Parametres!$C$6/((Parametres!$C$5/4)^(4/3)))))),"inlet","outlet")</f>
        <v/>
      </c>
      <c r="G42" s="14">
        <f>(IF((MIN(0.999,MAX(0,MIN(A42,Parametres!$C$5)/Parametres!$C$5)))&lt;=0,0,IF(A42&gt;=Parametres!$C$5,PI()*(Parametres!$C$5/2)^2,((Parametres!$C$5/2)^2/2)*((IF((MIN(0.999,MAX(0,MIN(A42,Parametres!$C$5)/Parametres!$C$5)))&lt;=0,0,2*ACOS(1-2*(MIN(0.999,MAX(0,MIN(A42,Parametres!$C$5)/Parametres!$C$5))))))-SIN(IF((MIN(0.999,MAX(0,MIN(A42,Parametres!$C$5)/Parametres!$C$5)))&lt;=0,0,2*ACOS(1-2*(MIN(0.999,MAX(0,MIN(A42,Parametres!$C$5)/Parametres!$C$5))))))))))*Parametres!$C$6+IF((MAX(0,MIN(A42,(Parametres!$C$11-Parametres!$C$9))-(Parametres!$C$18)))&lt;=0,0,((Parametres!$C$7+Parametres!$C$8*(MAX(0,MIN(A42,(Parametres!$C$11-Parametres!$C$9))-(Parametres!$C$18))))*(MAX(0,MIN(A42,(Parametres!$C$11-Parametres!$C$9))-(Parametres!$C$18))))*Parametres!$C$6)</f>
        <v/>
      </c>
      <c r="H42" s="14">
        <f>G42+Hydrogramme_entree!$B$4*A42</f>
        <v/>
      </c>
      <c r="I42" s="14">
        <f>2*H42/(Hydrogramme_entree!$B$8*60)+E42</f>
        <v/>
      </c>
    </row>
    <row r="43">
      <c r="A43" s="12">
        <f>(39/40)*(Parametres!$C$11-Parametres!$C$9)</f>
        <v/>
      </c>
      <c r="B43" s="13">
        <f>Parametres!$C$9+A43</f>
        <v/>
      </c>
      <c r="C43" s="12">
        <f>MIN(IF(A43&lt;=0,0,IF(A43&lt;0.95*Parametres!$C$5,1.811*PI()*(Parametres!$C$5/2)^2*SQRT(Parametres!$C$5)*IF(Parametres!$C$25*Parametres!$C$5&lt;=0,0,(A43/(Parametres!$C$25*Parametres!$C$5))^(1/Parametres!$C$26)),IF(A43&gt;1.2*Parametres!$C$5,1.811*PI()*(Parametres!$C$5/2)^2*SQRT(Parametres!$C$5)*SQRT(MAX(0,(A43/Parametres!$C$5-Parametres!$C$28)/Parametres!$C$27)),(1-(MIN(1,MAX(0,(A43/Parametres!$C$5-0.95)/(1.2-0.95)))))*(1.811*PI()*(Parametres!$C$5/2)^2*SQRT(Parametres!$C$5)*IF(Parametres!$C$25*Parametres!$C$5&lt;=0,0,(A43/(Parametres!$C$25*Parametres!$C$5))^(1/Parametres!$C$26)))+(MIN(1,MAX(0,(A43/Parametres!$C$5-0.95)/(1.2-0.95))))*(1.811*PI()*(Parametres!$C$5/2)^2*SQRT(Parametres!$C$5)*SQRT(MAX(0,(A43/Parametres!$C$5-Parametres!$C$28)/Parametres!$C$27)))))),IF(A43&lt;Parametres!$C$5,IF(Parametres!$C$14&lt;=0,0,(1/Parametres!$C$14)*(((Parametres!$C$5/2)^2/2)*((2*ACOS(1-2*(MIN(0.999,MAX(1E-6,A43/Parametres!$C$5)))))-SIN(2*ACOS(1-2*(MIN(0.999,MAX(1E-6,A43/Parametres!$C$5)))))))*IF(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&lt;=0,0,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^(2/3))*SQRT(Parametres!$C$13)),IF((A43-Parametres!$C$16+Parametres!$C$13*Parametres!$C$6)&lt;=0,0,PI()*(Parametres!$C$5/2)^2*SQRT((A43-Parametres!$C$16+Parametres!$C$13*Parametres!$C$6)/((1+Parametres!$C$29)/(2*9.81)+(Parametres!$C$14^2)*Parametres!$C$6/((Parametres!$C$5/4)^(4/3)))))))</f>
        <v/>
      </c>
      <c r="D43" s="12">
        <f>IF(LOWER(Parametres!$C$17)="porous",IF((MAX(0,A43-Parametres!$C$18))&lt;=0,0,((Parametres!$C$7+Parametres!$C$8*(MAX(0,A43-Parametres!$C$18)))*(MAX(0,A43-Parametres!$C$18)))*(Parametres!$C$22*Parametres!$C$21*SQRT(9.81*Parametres!$C$20*Parametres!$C$13/(1-Parametres!$C$21)))),IF(LOWER(Parametres!$C$17)="both",IF((MAX(0,A43-Parametres!$C$18))&lt;=0,0,((Parametres!$C$7+Parametres!$C$8*(MAX(0,A43-Parametres!$C$18)))*(MAX(0,A43-Parametres!$C$18)))*(Parametres!$C$22*Parametres!$C$21*SQRT(9.81*Parametres!$C$20*Parametres!$C$13/(1-Parametres!$C$21))))+IF((MAX(0,A43-Parametres!$C$18))&lt;=0,0,(1/Parametres!$C$19)*((Parametres!$C$7+Parametres!$C$8*(MAX(0,A43-Parametres!$C$18)))*(MAX(0,A43-Parametres!$C$18)))*IF((IF((Parametres!$C$7+2*(MAX(0,A43-Parametres!$C$18))*SQRT(1+Parametres!$C$8^2))&lt;=0,0,((Parametres!$C$7+Parametres!$C$8*(MAX(0,A43-Parametres!$C$18)))*(MAX(0,A43-Parametres!$C$18)))/(Parametres!$C$7+2*(MAX(0,A43-Parametres!$C$18))*SQRT(1+Parametres!$C$8^2))))&lt;=0,0,(IF((Parametres!$C$7+2*(MAX(0,A43-Parametres!$C$18))*SQRT(1+Parametres!$C$8^2))&lt;=0,0,((Parametres!$C$7+Parametres!$C$8*(MAX(0,A43-Parametres!$C$18)))*(MAX(0,A43-Parametres!$C$18)))/(Parametres!$C$7+2*(MAX(0,A43-Parametres!$C$18))*SQRT(1+Parametres!$C$8^2))))^(2/3))*SQRT(Parametres!$C$13)),IF((MAX(0,A43-Parametres!$C$18))&lt;=0,0,(1/Parametres!$C$19)*((Parametres!$C$7+Parametres!$C$8*(MAX(0,A43-Parametres!$C$18)))*(MAX(0,A43-Parametres!$C$18)))*IF((IF((Parametres!$C$7+2*(MAX(0,A43-Parametres!$C$18))*SQRT(1+Parametres!$C$8^2))&lt;=0,0,((Parametres!$C$7+Parametres!$C$8*(MAX(0,A43-Parametres!$C$18)))*(MAX(0,A43-Parametres!$C$18)))/(Parametres!$C$7+2*(MAX(0,A43-Parametres!$C$18))*SQRT(1+Parametres!$C$8^2))))&lt;=0,0,(IF((Parametres!$C$7+2*(MAX(0,A43-Parametres!$C$18))*SQRT(1+Parametres!$C$8^2))&lt;=0,0,((Parametres!$C$7+Parametres!$C$8*(MAX(0,A43-Parametres!$C$18)))*(MAX(0,A43-Parametres!$C$18)))/(Parametres!$C$7+2*(MAX(0,A43-Parametres!$C$18))*SQRT(1+Parametres!$C$8^2))))^(2/3))*SQRT(Parametres!$C$13))))</f>
        <v/>
      </c>
      <c r="E43" s="12">
        <f>C43+D43</f>
        <v/>
      </c>
      <c r="F43" s="5">
        <f>IF(IF(A43&lt;=0,0,IF(A43&lt;0.95*Parametres!$C$5,1.811*PI()*(Parametres!$C$5/2)^2*SQRT(Parametres!$C$5)*IF(Parametres!$C$25*Parametres!$C$5&lt;=0,0,(A43/(Parametres!$C$25*Parametres!$C$5))^(1/Parametres!$C$26)),IF(A43&gt;1.2*Parametres!$C$5,1.811*PI()*(Parametres!$C$5/2)^2*SQRT(Parametres!$C$5)*SQRT(MAX(0,(A43/Parametres!$C$5-Parametres!$C$28)/Parametres!$C$27)),(1-(MIN(1,MAX(0,(A43/Parametres!$C$5-0.95)/(1.2-0.95)))))*(1.811*PI()*(Parametres!$C$5/2)^2*SQRT(Parametres!$C$5)*IF(Parametres!$C$25*Parametres!$C$5&lt;=0,0,(A43/(Parametres!$C$25*Parametres!$C$5))^(1/Parametres!$C$26)))+(MIN(1,MAX(0,(A43/Parametres!$C$5-0.95)/(1.2-0.95))))*(1.811*PI()*(Parametres!$C$5/2)^2*SQRT(Parametres!$C$5)*SQRT(MAX(0,(A43/Parametres!$C$5-Parametres!$C$28)/Parametres!$C$27))))))&lt;=IF(A43&lt;Parametres!$C$5,IF(Parametres!$C$14&lt;=0,0,(1/Parametres!$C$14)*(((Parametres!$C$5/2)^2/2)*((2*ACOS(1-2*(MIN(0.999,MAX(1E-6,A43/Parametres!$C$5)))))-SIN(2*ACOS(1-2*(MIN(0.999,MAX(1E-6,A43/Parametres!$C$5)))))))*IF(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&lt;=0,0,(IF(((Parametres!$C$5/2)*(2*ACOS(1-2*(MIN(0.999,MAX(1E-6,A43/Parametres!$C$5))))))&lt;=0,0,(((Parametres!$C$5/2)^2/2)*((2*ACOS(1-2*(MIN(0.999,MAX(1E-6,A43/Parametres!$C$5)))))-SIN(2*ACOS(1-2*(MIN(0.999,MAX(1E-6,A43/Parametres!$C$5)))))))/((Parametres!$C$5/2)*(2*ACOS(1-2*(MIN(0.999,MAX(1E-6,A43/Parametres!$C$5))))))))^(2/3))*SQRT(Parametres!$C$13)),IF((A43-Parametres!$C$16+Parametres!$C$13*Parametres!$C$6)&lt;=0,0,PI()*(Parametres!$C$5/2)^2*SQRT((A43-Parametres!$C$16+Parametres!$C$13*Parametres!$C$6)/((1+Parametres!$C$29)/(2*9.81)+(Parametres!$C$14^2)*Parametres!$C$6/((Parametres!$C$5/4)^(4/3)))))),"inlet","outlet")</f>
        <v/>
      </c>
      <c r="G43" s="14">
        <f>(IF((MIN(0.999,MAX(0,MIN(A43,Parametres!$C$5)/Parametres!$C$5)))&lt;=0,0,IF(A43&gt;=Parametres!$C$5,PI()*(Parametres!$C$5/2)^2,((Parametres!$C$5/2)^2/2)*((IF((MIN(0.999,MAX(0,MIN(A43,Parametres!$C$5)/Parametres!$C$5)))&lt;=0,0,2*ACOS(1-2*(MIN(0.999,MAX(0,MIN(A43,Parametres!$C$5)/Parametres!$C$5))))))-SIN(IF((MIN(0.999,MAX(0,MIN(A43,Parametres!$C$5)/Parametres!$C$5)))&lt;=0,0,2*ACOS(1-2*(MIN(0.999,MAX(0,MIN(A43,Parametres!$C$5)/Parametres!$C$5))))))))))*Parametres!$C$6+IF((MAX(0,MIN(A43,(Parametres!$C$11-Parametres!$C$9))-(Parametres!$C$18)))&lt;=0,0,((Parametres!$C$7+Parametres!$C$8*(MAX(0,MIN(A43,(Parametres!$C$11-Parametres!$C$9))-(Parametres!$C$18))))*(MAX(0,MIN(A43,(Parametres!$C$11-Parametres!$C$9))-(Parametres!$C$18))))*Parametres!$C$6)</f>
        <v/>
      </c>
      <c r="H43" s="14">
        <f>G43+Hydrogramme_entree!$B$4*A43</f>
        <v/>
      </c>
      <c r="I43" s="14">
        <f>2*H43/(Hydrogramme_entree!$B$8*60)+E43</f>
        <v/>
      </c>
    </row>
    <row r="44">
      <c r="A44" s="12">
        <f>(40/40)*(Parametres!$C$11-Parametres!$C$9)</f>
        <v/>
      </c>
      <c r="B44" s="13">
        <f>Parametres!$C$9+A44</f>
        <v/>
      </c>
      <c r="C44" s="12">
        <f>MIN(IF(A44&lt;=0,0,IF(A44&lt;0.95*Parametres!$C$5,1.811*PI()*(Parametres!$C$5/2)^2*SQRT(Parametres!$C$5)*IF(Parametres!$C$25*Parametres!$C$5&lt;=0,0,(A44/(Parametres!$C$25*Parametres!$C$5))^(1/Parametres!$C$26)),IF(A44&gt;1.2*Parametres!$C$5,1.811*PI()*(Parametres!$C$5/2)^2*SQRT(Parametres!$C$5)*SQRT(MAX(0,(A44/Parametres!$C$5-Parametres!$C$28)/Parametres!$C$27)),(1-(MIN(1,MAX(0,(A44/Parametres!$C$5-0.95)/(1.2-0.95)))))*(1.811*PI()*(Parametres!$C$5/2)^2*SQRT(Parametres!$C$5)*IF(Parametres!$C$25*Parametres!$C$5&lt;=0,0,(A44/(Parametres!$C$25*Parametres!$C$5))^(1/Parametres!$C$26)))+(MIN(1,MAX(0,(A44/Parametres!$C$5-0.95)/(1.2-0.95))))*(1.811*PI()*(Parametres!$C$5/2)^2*SQRT(Parametres!$C$5)*SQRT(MAX(0,(A44/Parametres!$C$5-Parametres!$C$28)/Parametres!$C$27)))))),IF(A44&lt;Parametres!$C$5,IF(Parametres!$C$14&lt;=0,0,(1/Parametres!$C$14)*(((Parametres!$C$5/2)^2/2)*((2*ACOS(1-2*(MIN(0.999,MAX(1E-6,A44/Parametres!$C$5)))))-SIN(2*ACOS(1-2*(MIN(0.999,MAX(1E-6,A44/Parametres!$C$5)))))))*IF(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&lt;=0,0,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^(2/3))*SQRT(Parametres!$C$13)),IF((A44-Parametres!$C$16+Parametres!$C$13*Parametres!$C$6)&lt;=0,0,PI()*(Parametres!$C$5/2)^2*SQRT((A44-Parametres!$C$16+Parametres!$C$13*Parametres!$C$6)/((1+Parametres!$C$29)/(2*9.81)+(Parametres!$C$14^2)*Parametres!$C$6/((Parametres!$C$5/4)^(4/3)))))))</f>
        <v/>
      </c>
      <c r="D44" s="12">
        <f>IF(LOWER(Parametres!$C$17)="porous",IF((MAX(0,A44-Parametres!$C$18))&lt;=0,0,((Parametres!$C$7+Parametres!$C$8*(MAX(0,A44-Parametres!$C$18)))*(MAX(0,A44-Parametres!$C$18)))*(Parametres!$C$22*Parametres!$C$21*SQRT(9.81*Parametres!$C$20*Parametres!$C$13/(1-Parametres!$C$21)))),IF(LOWER(Parametres!$C$17)="both",IF((MAX(0,A44-Parametres!$C$18))&lt;=0,0,((Parametres!$C$7+Parametres!$C$8*(MAX(0,A44-Parametres!$C$18)))*(MAX(0,A44-Parametres!$C$18)))*(Parametres!$C$22*Parametres!$C$21*SQRT(9.81*Parametres!$C$20*Parametres!$C$13/(1-Parametres!$C$21))))+IF((MAX(0,A44-Parametres!$C$18))&lt;=0,0,(1/Parametres!$C$19)*((Parametres!$C$7+Parametres!$C$8*(MAX(0,A44-Parametres!$C$18)))*(MAX(0,A44-Parametres!$C$18)))*IF((IF((Parametres!$C$7+2*(MAX(0,A44-Parametres!$C$18))*SQRT(1+Parametres!$C$8^2))&lt;=0,0,((Parametres!$C$7+Parametres!$C$8*(MAX(0,A44-Parametres!$C$18)))*(MAX(0,A44-Parametres!$C$18)))/(Parametres!$C$7+2*(MAX(0,A44-Parametres!$C$18))*SQRT(1+Parametres!$C$8^2))))&lt;=0,0,(IF((Parametres!$C$7+2*(MAX(0,A44-Parametres!$C$18))*SQRT(1+Parametres!$C$8^2))&lt;=0,0,((Parametres!$C$7+Parametres!$C$8*(MAX(0,A44-Parametres!$C$18)))*(MAX(0,A44-Parametres!$C$18)))/(Parametres!$C$7+2*(MAX(0,A44-Parametres!$C$18))*SQRT(1+Parametres!$C$8^2))))^(2/3))*SQRT(Parametres!$C$13)),IF((MAX(0,A44-Parametres!$C$18))&lt;=0,0,(1/Parametres!$C$19)*((Parametres!$C$7+Parametres!$C$8*(MAX(0,A44-Parametres!$C$18)))*(MAX(0,A44-Parametres!$C$18)))*IF((IF((Parametres!$C$7+2*(MAX(0,A44-Parametres!$C$18))*SQRT(1+Parametres!$C$8^2))&lt;=0,0,((Parametres!$C$7+Parametres!$C$8*(MAX(0,A44-Parametres!$C$18)))*(MAX(0,A44-Parametres!$C$18)))/(Parametres!$C$7+2*(MAX(0,A44-Parametres!$C$18))*SQRT(1+Parametres!$C$8^2))))&lt;=0,0,(IF((Parametres!$C$7+2*(MAX(0,A44-Parametres!$C$18))*SQRT(1+Parametres!$C$8^2))&lt;=0,0,((Parametres!$C$7+Parametres!$C$8*(MAX(0,A44-Parametres!$C$18)))*(MAX(0,A44-Parametres!$C$18)))/(Parametres!$C$7+2*(MAX(0,A44-Parametres!$C$18))*SQRT(1+Parametres!$C$8^2))))^(2/3))*SQRT(Parametres!$C$13))))</f>
        <v/>
      </c>
      <c r="E44" s="12">
        <f>C44+D44</f>
        <v/>
      </c>
      <c r="F44" s="5">
        <f>IF(IF(A44&lt;=0,0,IF(A44&lt;0.95*Parametres!$C$5,1.811*PI()*(Parametres!$C$5/2)^2*SQRT(Parametres!$C$5)*IF(Parametres!$C$25*Parametres!$C$5&lt;=0,0,(A44/(Parametres!$C$25*Parametres!$C$5))^(1/Parametres!$C$26)),IF(A44&gt;1.2*Parametres!$C$5,1.811*PI()*(Parametres!$C$5/2)^2*SQRT(Parametres!$C$5)*SQRT(MAX(0,(A44/Parametres!$C$5-Parametres!$C$28)/Parametres!$C$27)),(1-(MIN(1,MAX(0,(A44/Parametres!$C$5-0.95)/(1.2-0.95)))))*(1.811*PI()*(Parametres!$C$5/2)^2*SQRT(Parametres!$C$5)*IF(Parametres!$C$25*Parametres!$C$5&lt;=0,0,(A44/(Parametres!$C$25*Parametres!$C$5))^(1/Parametres!$C$26)))+(MIN(1,MAX(0,(A44/Parametres!$C$5-0.95)/(1.2-0.95))))*(1.811*PI()*(Parametres!$C$5/2)^2*SQRT(Parametres!$C$5)*SQRT(MAX(0,(A44/Parametres!$C$5-Parametres!$C$28)/Parametres!$C$27))))))&lt;=IF(A44&lt;Parametres!$C$5,IF(Parametres!$C$14&lt;=0,0,(1/Parametres!$C$14)*(((Parametres!$C$5/2)^2/2)*((2*ACOS(1-2*(MIN(0.999,MAX(1E-6,A44/Parametres!$C$5)))))-SIN(2*ACOS(1-2*(MIN(0.999,MAX(1E-6,A44/Parametres!$C$5)))))))*IF(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&lt;=0,0,(IF(((Parametres!$C$5/2)*(2*ACOS(1-2*(MIN(0.999,MAX(1E-6,A44/Parametres!$C$5))))))&lt;=0,0,(((Parametres!$C$5/2)^2/2)*((2*ACOS(1-2*(MIN(0.999,MAX(1E-6,A44/Parametres!$C$5)))))-SIN(2*ACOS(1-2*(MIN(0.999,MAX(1E-6,A44/Parametres!$C$5)))))))/((Parametres!$C$5/2)*(2*ACOS(1-2*(MIN(0.999,MAX(1E-6,A44/Parametres!$C$5))))))))^(2/3))*SQRT(Parametres!$C$13)),IF((A44-Parametres!$C$16+Parametres!$C$13*Parametres!$C$6)&lt;=0,0,PI()*(Parametres!$C$5/2)^2*SQRT((A44-Parametres!$C$16+Parametres!$C$13*Parametres!$C$6)/((1+Parametres!$C$29)/(2*9.81)+(Parametres!$C$14^2)*Parametres!$C$6/((Parametres!$C$5/4)^(4/3)))))),"inlet","outlet")</f>
        <v/>
      </c>
      <c r="G44" s="14">
        <f>(IF((MIN(0.999,MAX(0,MIN(A44,Parametres!$C$5)/Parametres!$C$5)))&lt;=0,0,IF(A44&gt;=Parametres!$C$5,PI()*(Parametres!$C$5/2)^2,((Parametres!$C$5/2)^2/2)*((IF((MIN(0.999,MAX(0,MIN(A44,Parametres!$C$5)/Parametres!$C$5)))&lt;=0,0,2*ACOS(1-2*(MIN(0.999,MAX(0,MIN(A44,Parametres!$C$5)/Parametres!$C$5))))))-SIN(IF((MIN(0.999,MAX(0,MIN(A44,Parametres!$C$5)/Parametres!$C$5)))&lt;=0,0,2*ACOS(1-2*(MIN(0.999,MAX(0,MIN(A44,Parametres!$C$5)/Parametres!$C$5))))))))))*Parametres!$C$6+IF((MAX(0,MIN(A44,(Parametres!$C$11-Parametres!$C$9))-(Parametres!$C$18)))&lt;=0,0,((Parametres!$C$7+Parametres!$C$8*(MAX(0,MIN(A44,(Parametres!$C$11-Parametres!$C$9))-(Parametres!$C$18))))*(MAX(0,MIN(A44,(Parametres!$C$11-Parametres!$C$9))-(Parametres!$C$18))))*Parametres!$C$6)</f>
        <v/>
      </c>
      <c r="H44" s="14">
        <f>G44+Hydrogramme_entree!$B$4*A44</f>
        <v/>
      </c>
      <c r="I44" s="14">
        <f>2*H44/(Hydrogramme_entree!$B$8*60)+E44</f>
        <v/>
      </c>
    </row>
    <row r="45"/>
    <row r="46">
      <c r="A46" s="8" t="inlineStr">
        <is>
          <t>Tout est formule. Vérif. optionnelle: python run_model.py</t>
        </is>
      </c>
    </row>
  </sheetData>
  <mergeCells count="1"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6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12" customWidth="1" min="4" max="4"/>
    <col width="12" customWidth="1" min="5" max="5"/>
  </cols>
  <sheetData>
    <row r="1">
      <c r="A1" s="15" t="inlineStr">
        <is>
          <t>Hydrogramme d'entrée — Chicago (défaut) ou Triangle — FORMULES LIVE</t>
        </is>
      </c>
    </row>
    <row r="2">
      <c r="A2" s="2" t="inlineStr">
        <is>
          <t>Méthode Chicago (Keifer–Chu): hyétogramme IDF → forme de Q(t) calée sur Q pointe. Durée Td=60 min adaptée à ce ponceau/fossé (Tc site typ. 10–20 min). Pour Q=10: mettre 10 dans B5. B3=Chicago ou Triangle.</t>
        </is>
      </c>
    </row>
    <row r="3">
      <c r="A3" t="inlineStr">
        <is>
          <t>Méthode</t>
        </is>
      </c>
      <c r="B3" s="6" t="inlineStr">
        <is>
          <t>Chicago</t>
        </is>
      </c>
      <c r="C3" s="16" t="inlineStr">
        <is>
          <t>Chicago | Triangle</t>
        </is>
      </c>
    </row>
    <row r="4">
      <c r="A4" t="inlineStr">
        <is>
          <t>Pond amont A (m²)</t>
        </is>
      </c>
      <c r="B4" s="6" t="n">
        <v>50</v>
      </c>
      <c r="C4" s="16" t="inlineStr">
        <is>
          <t>stockage amont (ne pas déplacer: Courbe lit B4)</t>
        </is>
      </c>
    </row>
    <row r="5">
      <c r="A5" t="inlineStr">
        <is>
          <t>Q pointe (m³/s)</t>
        </is>
      </c>
      <c r="B5" s="6" t="n">
        <v>10</v>
      </c>
      <c r="C5" s="16" t="inlineStr">
        <is>
          <t>ex. 10 — pic de l'hydrogramme</t>
        </is>
      </c>
    </row>
    <row r="6">
      <c r="A6" t="inlineStr">
        <is>
          <t>Montée triangle (min)</t>
        </is>
      </c>
      <c r="B6" s="6" t="n">
        <v>40</v>
      </c>
      <c r="C6" s="16" t="inlineStr">
        <is>
          <t>utilisé si B3=Triangle</t>
        </is>
      </c>
    </row>
    <row r="7">
      <c r="A7" t="inlineStr">
        <is>
          <t>Descente triangle (min)</t>
        </is>
      </c>
      <c r="B7" s="6" t="n">
        <v>80</v>
      </c>
      <c r="C7" s="16" t="inlineStr">
        <is>
          <t>utilisé si B3=Triangle</t>
        </is>
      </c>
    </row>
    <row r="8">
      <c r="A8" t="inlineStr">
        <is>
          <t>Pas dt (min)</t>
        </is>
      </c>
      <c r="B8" s="6" t="n">
        <v>5</v>
      </c>
      <c r="C8" s="16" t="inlineStr">
        <is>
          <t>ne pas déplacer: Courbe/Routing lit B8</t>
        </is>
      </c>
    </row>
    <row r="9">
      <c r="A9" t="inlineStr">
        <is>
          <t>Td Chicago (min)</t>
        </is>
      </c>
      <c r="B9" s="6" t="n">
        <v>60</v>
      </c>
      <c r="C9" s="16" t="inlineStr">
        <is>
          <t>durée orage — défaut 60 min pour ce site</t>
        </is>
      </c>
    </row>
    <row r="10">
      <c r="A10" t="inlineStr">
        <is>
          <t>r (position du pic)</t>
        </is>
      </c>
      <c r="B10" s="6" t="n">
        <v>0.375</v>
      </c>
      <c r="C10" s="16" t="inlineStr">
        <is>
          <t>tp=r*Td ; typ. 0.3–0.5 (urbain ~0.375)</t>
        </is>
      </c>
    </row>
    <row r="11">
      <c r="A11" t="inlineStr">
        <is>
          <t>IDF a</t>
        </is>
      </c>
      <c r="B11" s="6" t="n">
        <v>1000</v>
      </c>
      <c r="C11" s="16" t="inlineStr">
        <is>
          <t>ī=a/(t+b)^c  [mm/h, t en min] — caler sur VOTRE IDF</t>
        </is>
      </c>
    </row>
    <row r="12">
      <c r="A12" t="inlineStr">
        <is>
          <t>IDF b</t>
        </is>
      </c>
      <c r="B12" s="6" t="n">
        <v>5</v>
      </c>
      <c r="C12" s="16" t="inlineStr">
        <is>
          <t>min</t>
        </is>
      </c>
    </row>
    <row r="13">
      <c r="A13" t="inlineStr">
        <is>
          <t>IDF c</t>
        </is>
      </c>
      <c r="B13" s="6" t="n">
        <v>0.8</v>
      </c>
      <c r="C13" s="16" t="inlineStr">
        <is>
          <t>-</t>
        </is>
      </c>
    </row>
    <row r="14">
      <c r="A14" s="17" t="inlineStr">
        <is>
          <t>Chicago: i(t) (col C) puis Q=Qpointe*i/MAX(i) pour garantir le pic. Triangle: montée/descente. Voir Formules_explications + Hydrogramme_notes.</t>
        </is>
      </c>
    </row>
    <row r="15">
      <c r="A15" t="inlineStr">
        <is>
          <t>i_max utilisé (auto)</t>
        </is>
      </c>
      <c r="B15" s="5">
        <f>IF(UPPER($B$3)="CHICAGO",MAX(C17:C136),1)</f>
        <v/>
      </c>
      <c r="C15" s="16" t="inlineStr">
        <is>
          <t>MAX des i Chicago — Q=Qpointe*i/i_max</t>
        </is>
      </c>
    </row>
    <row r="16">
      <c r="A16" s="3" t="inlineStr">
        <is>
          <t>t (min)</t>
        </is>
      </c>
      <c r="B16" s="3" t="inlineStr">
        <is>
          <t>Q_in (m³/s)</t>
        </is>
      </c>
      <c r="C16" s="3" t="inlineStr">
        <is>
          <t>i Chicago (mm/h)</t>
        </is>
      </c>
    </row>
    <row r="17">
      <c r="A17" s="5" t="n">
        <v>0</v>
      </c>
      <c r="B17" s="18">
        <f>IF(A17="","",IF(UPPER($B$3)="CHICAGO",IF($B$15&lt;=0,0,$B$5*C17/$B$15),IF(A17&lt;=$B$6,$B$5*A17/$B$6,MAX(0,$B$5*(1-(A17-$B$6)/$B$7)))))</f>
        <v/>
      </c>
      <c r="C17" s="18">
        <f>IF(OR(A17="",UPPER($B$3)&lt;&gt;"CHICAGO"),"",IF(A17&lt;=($B$10*$B$9),$B$11*((1-$B$13)*(((($B$10*$B$9)-A17))/$B$10)+$B$12)/((((($B$10*$B$9)-A17))/$B$10)+$B$12)^($B$13+1),$B$11*((1-$B$13)*(((A17-($B$10*$B$9)))/(1-$B$10))+$B$12)/((((A17-($B$10*$B$9)))/(1-$B$10))+$B$12)^($B$13+1)))</f>
        <v/>
      </c>
    </row>
    <row r="18">
      <c r="A18" s="5">
        <f>IF(A17="","",IF(AND(UPPER($B$3)="CHICAGO",A17&lt;($B$10*$B$9),A17+$B$8&gt;($B$10*$B$9)),($B$10*$B$9),IF(A17+$B$8&gt;(IF(UPPER($B$3)="CHICAGO",$B$9,$B$6+$B$7)),"",A17+$B$8)))</f>
        <v/>
      </c>
      <c r="B18" s="18">
        <f>IF(A18="","",IF(UPPER($B$3)="CHICAGO",IF($B$15&lt;=0,0,$B$5*C18/$B$15),IF(A18&lt;=$B$6,$B$5*A18/$B$6,MAX(0,$B$5*(1-(A18-$B$6)/$B$7)))))</f>
        <v/>
      </c>
      <c r="C18" s="18">
        <f>IF(OR(A18="",UPPER($B$3)&lt;&gt;"CHICAGO"),"",IF(A18&lt;=($B$10*$B$9),$B$11*((1-$B$13)*(((($B$10*$B$9)-A18))/$B$10)+$B$12)/((((($B$10*$B$9)-A18))/$B$10)+$B$12)^($B$13+1),$B$11*((1-$B$13)*(((A18-($B$10*$B$9)))/(1-$B$10))+$B$12)/((((A18-($B$10*$B$9)))/(1-$B$10))+$B$12)^($B$13+1)))</f>
        <v/>
      </c>
    </row>
    <row r="19">
      <c r="A19" s="5">
        <f>IF(A18="","",IF(AND(UPPER($B$3)="CHICAGO",A18&lt;($B$10*$B$9),A18+$B$8&gt;($B$10*$B$9)),($B$10*$B$9),IF(A18+$B$8&gt;(IF(UPPER($B$3)="CHICAGO",$B$9,$B$6+$B$7)),"",A18+$B$8)))</f>
        <v/>
      </c>
      <c r="B19" s="18">
        <f>IF(A19="","",IF(UPPER($B$3)="CHICAGO",IF($B$15&lt;=0,0,$B$5*C19/$B$15),IF(A19&lt;=$B$6,$B$5*A19/$B$6,MAX(0,$B$5*(1-(A19-$B$6)/$B$7)))))</f>
        <v/>
      </c>
      <c r="C19" s="18">
        <f>IF(OR(A19="",UPPER($B$3)&lt;&gt;"CHICAGO"),"",IF(A19&lt;=($B$10*$B$9),$B$11*((1-$B$13)*(((($B$10*$B$9)-A19))/$B$10)+$B$12)/((((($B$10*$B$9)-A19))/$B$10)+$B$12)^($B$13+1),$B$11*((1-$B$13)*(((A19-($B$10*$B$9)))/(1-$B$10))+$B$12)/((((A19-($B$10*$B$9)))/(1-$B$10))+$B$12)^($B$13+1)))</f>
        <v/>
      </c>
    </row>
    <row r="20">
      <c r="A20" s="5">
        <f>IF(A19="","",IF(AND(UPPER($B$3)="CHICAGO",A19&lt;($B$10*$B$9),A19+$B$8&gt;($B$10*$B$9)),($B$10*$B$9),IF(A19+$B$8&gt;(IF(UPPER($B$3)="CHICAGO",$B$9,$B$6+$B$7)),"",A19+$B$8)))</f>
        <v/>
      </c>
      <c r="B20" s="18">
        <f>IF(A20="","",IF(UPPER($B$3)="CHICAGO",IF($B$15&lt;=0,0,$B$5*C20/$B$15),IF(A20&lt;=$B$6,$B$5*A20/$B$6,MAX(0,$B$5*(1-(A20-$B$6)/$B$7)))))</f>
        <v/>
      </c>
      <c r="C20" s="18">
        <f>IF(OR(A20="",UPPER($B$3)&lt;&gt;"CHICAGO"),"",IF(A20&lt;=($B$10*$B$9),$B$11*((1-$B$13)*(((($B$10*$B$9)-A20))/$B$10)+$B$12)/((((($B$10*$B$9)-A20))/$B$10)+$B$12)^($B$13+1),$B$11*((1-$B$13)*(((A20-($B$10*$B$9)))/(1-$B$10))+$B$12)/((((A20-($B$10*$B$9)))/(1-$B$10))+$B$12)^($B$13+1)))</f>
        <v/>
      </c>
    </row>
    <row r="21">
      <c r="A21" s="5">
        <f>IF(A20="","",IF(AND(UPPER($B$3)="CHICAGO",A20&lt;($B$10*$B$9),A20+$B$8&gt;($B$10*$B$9)),($B$10*$B$9),IF(A20+$B$8&gt;(IF(UPPER($B$3)="CHICAGO",$B$9,$B$6+$B$7)),"",A20+$B$8)))</f>
        <v/>
      </c>
      <c r="B21" s="18">
        <f>IF(A21="","",IF(UPPER($B$3)="CHICAGO",IF($B$15&lt;=0,0,$B$5*C21/$B$15),IF(A21&lt;=$B$6,$B$5*A21/$B$6,MAX(0,$B$5*(1-(A21-$B$6)/$B$7)))))</f>
        <v/>
      </c>
      <c r="C21" s="18">
        <f>IF(OR(A21="",UPPER($B$3)&lt;&gt;"CHICAGO"),"",IF(A21&lt;=($B$10*$B$9),$B$11*((1-$B$13)*(((($B$10*$B$9)-A21))/$B$10)+$B$12)/((((($B$10*$B$9)-A21))/$B$10)+$B$12)^($B$13+1),$B$11*((1-$B$13)*(((A21-($B$10*$B$9)))/(1-$B$10))+$B$12)/((((A21-($B$10*$B$9)))/(1-$B$10))+$B$12)^($B$13+1)))</f>
        <v/>
      </c>
    </row>
    <row r="22">
      <c r="A22" s="5">
        <f>IF(A21="","",IF(AND(UPPER($B$3)="CHICAGO",A21&lt;($B$10*$B$9),A21+$B$8&gt;($B$10*$B$9)),($B$10*$B$9),IF(A21+$B$8&gt;(IF(UPPER($B$3)="CHICAGO",$B$9,$B$6+$B$7)),"",A21+$B$8)))</f>
        <v/>
      </c>
      <c r="B22" s="18">
        <f>IF(A22="","",IF(UPPER($B$3)="CHICAGO",IF($B$15&lt;=0,0,$B$5*C22/$B$15),IF(A22&lt;=$B$6,$B$5*A22/$B$6,MAX(0,$B$5*(1-(A22-$B$6)/$B$7)))))</f>
        <v/>
      </c>
      <c r="C22" s="18">
        <f>IF(OR(A22="",UPPER($B$3)&lt;&gt;"CHICAGO"),"",IF(A22&lt;=($B$10*$B$9),$B$11*((1-$B$13)*(((($B$10*$B$9)-A22))/$B$10)+$B$12)/((((($B$10*$B$9)-A22))/$B$10)+$B$12)^($B$13+1),$B$11*((1-$B$13)*(((A22-($B$10*$B$9)))/(1-$B$10))+$B$12)/((((A22-($B$10*$B$9)))/(1-$B$10))+$B$12)^($B$13+1)))</f>
        <v/>
      </c>
    </row>
    <row r="23">
      <c r="A23" s="5">
        <f>IF(A22="","",IF(AND(UPPER($B$3)="CHICAGO",A22&lt;($B$10*$B$9),A22+$B$8&gt;($B$10*$B$9)),($B$10*$B$9),IF(A22+$B$8&gt;(IF(UPPER($B$3)="CHICAGO",$B$9,$B$6+$B$7)),"",A22+$B$8)))</f>
        <v/>
      </c>
      <c r="B23" s="18">
        <f>IF(A23="","",IF(UPPER($B$3)="CHICAGO",IF($B$15&lt;=0,0,$B$5*C23/$B$15),IF(A23&lt;=$B$6,$B$5*A23/$B$6,MAX(0,$B$5*(1-(A23-$B$6)/$B$7)))))</f>
        <v/>
      </c>
      <c r="C23" s="18">
        <f>IF(OR(A23="",UPPER($B$3)&lt;&gt;"CHICAGO"),"",IF(A23&lt;=($B$10*$B$9),$B$11*((1-$B$13)*(((($B$10*$B$9)-A23))/$B$10)+$B$12)/((((($B$10*$B$9)-A23))/$B$10)+$B$12)^($B$13+1),$B$11*((1-$B$13)*(((A23-($B$10*$B$9)))/(1-$B$10))+$B$12)/((((A23-($B$10*$B$9)))/(1-$B$10))+$B$12)^($B$13+1)))</f>
        <v/>
      </c>
    </row>
    <row r="24">
      <c r="A24" s="5">
        <f>IF(A23="","",IF(AND(UPPER($B$3)="CHICAGO",A23&lt;($B$10*$B$9),A23+$B$8&gt;($B$10*$B$9)),($B$10*$B$9),IF(A23+$B$8&gt;(IF(UPPER($B$3)="CHICAGO",$B$9,$B$6+$B$7)),"",A23+$B$8)))</f>
        <v/>
      </c>
      <c r="B24" s="18">
        <f>IF(A24="","",IF(UPPER($B$3)="CHICAGO",IF($B$15&lt;=0,0,$B$5*C24/$B$15),IF(A24&lt;=$B$6,$B$5*A24/$B$6,MAX(0,$B$5*(1-(A24-$B$6)/$B$7)))))</f>
        <v/>
      </c>
      <c r="C24" s="18">
        <f>IF(OR(A24="",UPPER($B$3)&lt;&gt;"CHICAGO"),"",IF(A24&lt;=($B$10*$B$9),$B$11*((1-$B$13)*(((($B$10*$B$9)-A24))/$B$10)+$B$12)/((((($B$10*$B$9)-A24))/$B$10)+$B$12)^($B$13+1),$B$11*((1-$B$13)*(((A24-($B$10*$B$9)))/(1-$B$10))+$B$12)/((((A24-($B$10*$B$9)))/(1-$B$10))+$B$12)^($B$13+1)))</f>
        <v/>
      </c>
    </row>
    <row r="25">
      <c r="A25" s="5">
        <f>IF(A24="","",IF(AND(UPPER($B$3)="CHICAGO",A24&lt;($B$10*$B$9),A24+$B$8&gt;($B$10*$B$9)),($B$10*$B$9),IF(A24+$B$8&gt;(IF(UPPER($B$3)="CHICAGO",$B$9,$B$6+$B$7)),"",A24+$B$8)))</f>
        <v/>
      </c>
      <c r="B25" s="18">
        <f>IF(A25="","",IF(UPPER($B$3)="CHICAGO",IF($B$15&lt;=0,0,$B$5*C25/$B$15),IF(A25&lt;=$B$6,$B$5*A25/$B$6,MAX(0,$B$5*(1-(A25-$B$6)/$B$7)))))</f>
        <v/>
      </c>
      <c r="C25" s="18">
        <f>IF(OR(A25="",UPPER($B$3)&lt;&gt;"CHICAGO"),"",IF(A25&lt;=($B$10*$B$9),$B$11*((1-$B$13)*(((($B$10*$B$9)-A25))/$B$10)+$B$12)/((((($B$10*$B$9)-A25))/$B$10)+$B$12)^($B$13+1),$B$11*((1-$B$13)*(((A25-($B$10*$B$9)))/(1-$B$10))+$B$12)/((((A25-($B$10*$B$9)))/(1-$B$10))+$B$12)^($B$13+1)))</f>
        <v/>
      </c>
    </row>
    <row r="26">
      <c r="A26" s="5">
        <f>IF(A25="","",IF(AND(UPPER($B$3)="CHICAGO",A25&lt;($B$10*$B$9),A25+$B$8&gt;($B$10*$B$9)),($B$10*$B$9),IF(A25+$B$8&gt;(IF(UPPER($B$3)="CHICAGO",$B$9,$B$6+$B$7)),"",A25+$B$8)))</f>
        <v/>
      </c>
      <c r="B26" s="18">
        <f>IF(A26="","",IF(UPPER($B$3)="CHICAGO",IF($B$15&lt;=0,0,$B$5*C26/$B$15),IF(A26&lt;=$B$6,$B$5*A26/$B$6,MAX(0,$B$5*(1-(A26-$B$6)/$B$7)))))</f>
        <v/>
      </c>
      <c r="C26" s="18">
        <f>IF(OR(A26="",UPPER($B$3)&lt;&gt;"CHICAGO"),"",IF(A26&lt;=($B$10*$B$9),$B$11*((1-$B$13)*(((($B$10*$B$9)-A26))/$B$10)+$B$12)/((((($B$10*$B$9)-A26))/$B$10)+$B$12)^($B$13+1),$B$11*((1-$B$13)*(((A26-($B$10*$B$9)))/(1-$B$10))+$B$12)/((((A26-($B$10*$B$9)))/(1-$B$10))+$B$12)^($B$13+1)))</f>
        <v/>
      </c>
    </row>
    <row r="27">
      <c r="A27" s="5">
        <f>IF(A26="","",IF(AND(UPPER($B$3)="CHICAGO",A26&lt;($B$10*$B$9),A26+$B$8&gt;($B$10*$B$9)),($B$10*$B$9),IF(A26+$B$8&gt;(IF(UPPER($B$3)="CHICAGO",$B$9,$B$6+$B$7)),"",A26+$B$8)))</f>
        <v/>
      </c>
      <c r="B27" s="18">
        <f>IF(A27="","",IF(UPPER($B$3)="CHICAGO",IF($B$15&lt;=0,0,$B$5*C27/$B$15),IF(A27&lt;=$B$6,$B$5*A27/$B$6,MAX(0,$B$5*(1-(A27-$B$6)/$B$7)))))</f>
        <v/>
      </c>
      <c r="C27" s="18">
        <f>IF(OR(A27="",UPPER($B$3)&lt;&gt;"CHICAGO"),"",IF(A27&lt;=($B$10*$B$9),$B$11*((1-$B$13)*(((($B$10*$B$9)-A27))/$B$10)+$B$12)/((((($B$10*$B$9)-A27))/$B$10)+$B$12)^($B$13+1),$B$11*((1-$B$13)*(((A27-($B$10*$B$9)))/(1-$B$10))+$B$12)/((((A27-($B$10*$B$9)))/(1-$B$10))+$B$12)^($B$13+1)))</f>
        <v/>
      </c>
    </row>
    <row r="28">
      <c r="A28" s="5">
        <f>IF(A27="","",IF(AND(UPPER($B$3)="CHICAGO",A27&lt;($B$10*$B$9),A27+$B$8&gt;($B$10*$B$9)),($B$10*$B$9),IF(A27+$B$8&gt;(IF(UPPER($B$3)="CHICAGO",$B$9,$B$6+$B$7)),"",A27+$B$8)))</f>
        <v/>
      </c>
      <c r="B28" s="18">
        <f>IF(A28="","",IF(UPPER($B$3)="CHICAGO",IF($B$15&lt;=0,0,$B$5*C28/$B$15),IF(A28&lt;=$B$6,$B$5*A28/$B$6,MAX(0,$B$5*(1-(A28-$B$6)/$B$7)))))</f>
        <v/>
      </c>
      <c r="C28" s="18">
        <f>IF(OR(A28="",UPPER($B$3)&lt;&gt;"CHICAGO"),"",IF(A28&lt;=($B$10*$B$9),$B$11*((1-$B$13)*(((($B$10*$B$9)-A28))/$B$10)+$B$12)/((((($B$10*$B$9)-A28))/$B$10)+$B$12)^($B$13+1),$B$11*((1-$B$13)*(((A28-($B$10*$B$9)))/(1-$B$10))+$B$12)/((((A28-($B$10*$B$9)))/(1-$B$10))+$B$12)^($B$13+1)))</f>
        <v/>
      </c>
    </row>
    <row r="29">
      <c r="A29" s="5">
        <f>IF(A28="","",IF(AND(UPPER($B$3)="CHICAGO",A28&lt;($B$10*$B$9),A28+$B$8&gt;($B$10*$B$9)),($B$10*$B$9),IF(A28+$B$8&gt;(IF(UPPER($B$3)="CHICAGO",$B$9,$B$6+$B$7)),"",A28+$B$8)))</f>
        <v/>
      </c>
      <c r="B29" s="18">
        <f>IF(A29="","",IF(UPPER($B$3)="CHICAGO",IF($B$15&lt;=0,0,$B$5*C29/$B$15),IF(A29&lt;=$B$6,$B$5*A29/$B$6,MAX(0,$B$5*(1-(A29-$B$6)/$B$7)))))</f>
        <v/>
      </c>
      <c r="C29" s="18">
        <f>IF(OR(A29="",UPPER($B$3)&lt;&gt;"CHICAGO"),"",IF(A29&lt;=($B$10*$B$9),$B$11*((1-$B$13)*(((($B$10*$B$9)-A29))/$B$10)+$B$12)/((((($B$10*$B$9)-A29))/$B$10)+$B$12)^($B$13+1),$B$11*((1-$B$13)*(((A29-($B$10*$B$9)))/(1-$B$10))+$B$12)/((((A29-($B$10*$B$9)))/(1-$B$10))+$B$12)^($B$13+1)))</f>
        <v/>
      </c>
    </row>
    <row r="30">
      <c r="A30" s="5">
        <f>IF(A29="","",IF(AND(UPPER($B$3)="CHICAGO",A29&lt;($B$10*$B$9),A29+$B$8&gt;($B$10*$B$9)),($B$10*$B$9),IF(A29+$B$8&gt;(IF(UPPER($B$3)="CHICAGO",$B$9,$B$6+$B$7)),"",A29+$B$8)))</f>
        <v/>
      </c>
      <c r="B30" s="18">
        <f>IF(A30="","",IF(UPPER($B$3)="CHICAGO",IF($B$15&lt;=0,0,$B$5*C30/$B$15),IF(A30&lt;=$B$6,$B$5*A30/$B$6,MAX(0,$B$5*(1-(A30-$B$6)/$B$7)))))</f>
        <v/>
      </c>
      <c r="C30" s="18">
        <f>IF(OR(A30="",UPPER($B$3)&lt;&gt;"CHICAGO"),"",IF(A30&lt;=($B$10*$B$9),$B$11*((1-$B$13)*(((($B$10*$B$9)-A30))/$B$10)+$B$12)/((((($B$10*$B$9)-A30))/$B$10)+$B$12)^($B$13+1),$B$11*((1-$B$13)*(((A30-($B$10*$B$9)))/(1-$B$10))+$B$12)/((((A30-($B$10*$B$9)))/(1-$B$10))+$B$12)^($B$13+1)))</f>
        <v/>
      </c>
    </row>
    <row r="31">
      <c r="A31" s="5">
        <f>IF(A30="","",IF(AND(UPPER($B$3)="CHICAGO",A30&lt;($B$10*$B$9),A30+$B$8&gt;($B$10*$B$9)),($B$10*$B$9),IF(A30+$B$8&gt;(IF(UPPER($B$3)="CHICAGO",$B$9,$B$6+$B$7)),"",A30+$B$8)))</f>
        <v/>
      </c>
      <c r="B31" s="18">
        <f>IF(A31="","",IF(UPPER($B$3)="CHICAGO",IF($B$15&lt;=0,0,$B$5*C31/$B$15),IF(A31&lt;=$B$6,$B$5*A31/$B$6,MAX(0,$B$5*(1-(A31-$B$6)/$B$7)))))</f>
        <v/>
      </c>
      <c r="C31" s="18">
        <f>IF(OR(A31="",UPPER($B$3)&lt;&gt;"CHICAGO"),"",IF(A31&lt;=($B$10*$B$9),$B$11*((1-$B$13)*(((($B$10*$B$9)-A31))/$B$10)+$B$12)/((((($B$10*$B$9)-A31))/$B$10)+$B$12)^($B$13+1),$B$11*((1-$B$13)*(((A31-($B$10*$B$9)))/(1-$B$10))+$B$12)/((((A31-($B$10*$B$9)))/(1-$B$10))+$B$12)^($B$13+1)))</f>
        <v/>
      </c>
    </row>
    <row r="32">
      <c r="A32" s="5">
        <f>IF(A31="","",IF(AND(UPPER($B$3)="CHICAGO",A31&lt;($B$10*$B$9),A31+$B$8&gt;($B$10*$B$9)),($B$10*$B$9),IF(A31+$B$8&gt;(IF(UPPER($B$3)="CHICAGO",$B$9,$B$6+$B$7)),"",A31+$B$8)))</f>
        <v/>
      </c>
      <c r="B32" s="18">
        <f>IF(A32="","",IF(UPPER($B$3)="CHICAGO",IF($B$15&lt;=0,0,$B$5*C32/$B$15),IF(A32&lt;=$B$6,$B$5*A32/$B$6,MAX(0,$B$5*(1-(A32-$B$6)/$B$7)))))</f>
        <v/>
      </c>
      <c r="C32" s="18">
        <f>IF(OR(A32="",UPPER($B$3)&lt;&gt;"CHICAGO"),"",IF(A32&lt;=($B$10*$B$9),$B$11*((1-$B$13)*(((($B$10*$B$9)-A32))/$B$10)+$B$12)/((((($B$10*$B$9)-A32))/$B$10)+$B$12)^($B$13+1),$B$11*((1-$B$13)*(((A32-($B$10*$B$9)))/(1-$B$10))+$B$12)/((((A32-($B$10*$B$9)))/(1-$B$10))+$B$12)^($B$13+1)))</f>
        <v/>
      </c>
    </row>
    <row r="33">
      <c r="A33" s="5">
        <f>IF(A32="","",IF(AND(UPPER($B$3)="CHICAGO",A32&lt;($B$10*$B$9),A32+$B$8&gt;($B$10*$B$9)),($B$10*$B$9),IF(A32+$B$8&gt;(IF(UPPER($B$3)="CHICAGO",$B$9,$B$6+$B$7)),"",A32+$B$8)))</f>
        <v/>
      </c>
      <c r="B33" s="18">
        <f>IF(A33="","",IF(UPPER($B$3)="CHICAGO",IF($B$15&lt;=0,0,$B$5*C33/$B$15),IF(A33&lt;=$B$6,$B$5*A33/$B$6,MAX(0,$B$5*(1-(A33-$B$6)/$B$7)))))</f>
        <v/>
      </c>
      <c r="C33" s="18">
        <f>IF(OR(A33="",UPPER($B$3)&lt;&gt;"CHICAGO"),"",IF(A33&lt;=($B$10*$B$9),$B$11*((1-$B$13)*(((($B$10*$B$9)-A33))/$B$10)+$B$12)/((((($B$10*$B$9)-A33))/$B$10)+$B$12)^($B$13+1),$B$11*((1-$B$13)*(((A33-($B$10*$B$9)))/(1-$B$10))+$B$12)/((((A33-($B$10*$B$9)))/(1-$B$10))+$B$12)^($B$13+1)))</f>
        <v/>
      </c>
    </row>
    <row r="34">
      <c r="A34" s="5">
        <f>IF(A33="","",IF(AND(UPPER($B$3)="CHICAGO",A33&lt;($B$10*$B$9),A33+$B$8&gt;($B$10*$B$9)),($B$10*$B$9),IF(A33+$B$8&gt;(IF(UPPER($B$3)="CHICAGO",$B$9,$B$6+$B$7)),"",A33+$B$8)))</f>
        <v/>
      </c>
      <c r="B34" s="18">
        <f>IF(A34="","",IF(UPPER($B$3)="CHICAGO",IF($B$15&lt;=0,0,$B$5*C34/$B$15),IF(A34&lt;=$B$6,$B$5*A34/$B$6,MAX(0,$B$5*(1-(A34-$B$6)/$B$7)))))</f>
        <v/>
      </c>
      <c r="C34" s="18">
        <f>IF(OR(A34="",UPPER($B$3)&lt;&gt;"CHICAGO"),"",IF(A34&lt;=($B$10*$B$9),$B$11*((1-$B$13)*(((($B$10*$B$9)-A34))/$B$10)+$B$12)/((((($B$10*$B$9)-A34))/$B$10)+$B$12)^($B$13+1),$B$11*((1-$B$13)*(((A34-($B$10*$B$9)))/(1-$B$10))+$B$12)/((((A34-($B$10*$B$9)))/(1-$B$10))+$B$12)^($B$13+1)))</f>
        <v/>
      </c>
    </row>
    <row r="35">
      <c r="A35" s="5">
        <f>IF(A34="","",IF(AND(UPPER($B$3)="CHICAGO",A34&lt;($B$10*$B$9),A34+$B$8&gt;($B$10*$B$9)),($B$10*$B$9),IF(A34+$B$8&gt;(IF(UPPER($B$3)="CHICAGO",$B$9,$B$6+$B$7)),"",A34+$B$8)))</f>
        <v/>
      </c>
      <c r="B35" s="18">
        <f>IF(A35="","",IF(UPPER($B$3)="CHICAGO",IF($B$15&lt;=0,0,$B$5*C35/$B$15),IF(A35&lt;=$B$6,$B$5*A35/$B$6,MAX(0,$B$5*(1-(A35-$B$6)/$B$7)))))</f>
        <v/>
      </c>
      <c r="C35" s="18">
        <f>IF(OR(A35="",UPPER($B$3)&lt;&gt;"CHICAGO"),"",IF(A35&lt;=($B$10*$B$9),$B$11*((1-$B$13)*(((($B$10*$B$9)-A35))/$B$10)+$B$12)/((((($B$10*$B$9)-A35))/$B$10)+$B$12)^($B$13+1),$B$11*((1-$B$13)*(((A35-($B$10*$B$9)))/(1-$B$10))+$B$12)/((((A35-($B$10*$B$9)))/(1-$B$10))+$B$12)^($B$13+1)))</f>
        <v/>
      </c>
    </row>
    <row r="36">
      <c r="A36" s="5">
        <f>IF(A35="","",IF(AND(UPPER($B$3)="CHICAGO",A35&lt;($B$10*$B$9),A35+$B$8&gt;($B$10*$B$9)),($B$10*$B$9),IF(A35+$B$8&gt;(IF(UPPER($B$3)="CHICAGO",$B$9,$B$6+$B$7)),"",A35+$B$8)))</f>
        <v/>
      </c>
      <c r="B36" s="18">
        <f>IF(A36="","",IF(UPPER($B$3)="CHICAGO",IF($B$15&lt;=0,0,$B$5*C36/$B$15),IF(A36&lt;=$B$6,$B$5*A36/$B$6,MAX(0,$B$5*(1-(A36-$B$6)/$B$7)))))</f>
        <v/>
      </c>
      <c r="C36" s="18">
        <f>IF(OR(A36="",UPPER($B$3)&lt;&gt;"CHICAGO"),"",IF(A36&lt;=($B$10*$B$9),$B$11*((1-$B$13)*(((($B$10*$B$9)-A36))/$B$10)+$B$12)/((((($B$10*$B$9)-A36))/$B$10)+$B$12)^($B$13+1),$B$11*((1-$B$13)*(((A36-($B$10*$B$9)))/(1-$B$10))+$B$12)/((((A36-($B$10*$B$9)))/(1-$B$10))+$B$12)^($B$13+1)))</f>
        <v/>
      </c>
    </row>
    <row r="37">
      <c r="A37" s="5">
        <f>IF(A36="","",IF(AND(UPPER($B$3)="CHICAGO",A36&lt;($B$10*$B$9),A36+$B$8&gt;($B$10*$B$9)),($B$10*$B$9),IF(A36+$B$8&gt;(IF(UPPER($B$3)="CHICAGO",$B$9,$B$6+$B$7)),"",A36+$B$8)))</f>
        <v/>
      </c>
      <c r="B37" s="18">
        <f>IF(A37="","",IF(UPPER($B$3)="CHICAGO",IF($B$15&lt;=0,0,$B$5*C37/$B$15),IF(A37&lt;=$B$6,$B$5*A37/$B$6,MAX(0,$B$5*(1-(A37-$B$6)/$B$7)))))</f>
        <v/>
      </c>
      <c r="C37" s="18">
        <f>IF(OR(A37="",UPPER($B$3)&lt;&gt;"CHICAGO"),"",IF(A37&lt;=($B$10*$B$9),$B$11*((1-$B$13)*(((($B$10*$B$9)-A37))/$B$10)+$B$12)/((((($B$10*$B$9)-A37))/$B$10)+$B$12)^($B$13+1),$B$11*((1-$B$13)*(((A37-($B$10*$B$9)))/(1-$B$10))+$B$12)/((((A37-($B$10*$B$9)))/(1-$B$10))+$B$12)^($B$13+1)))</f>
        <v/>
      </c>
    </row>
    <row r="38">
      <c r="A38" s="5">
        <f>IF(A37="","",IF(AND(UPPER($B$3)="CHICAGO",A37&lt;($B$10*$B$9),A37+$B$8&gt;($B$10*$B$9)),($B$10*$B$9),IF(A37+$B$8&gt;(IF(UPPER($B$3)="CHICAGO",$B$9,$B$6+$B$7)),"",A37+$B$8)))</f>
        <v/>
      </c>
      <c r="B38" s="18">
        <f>IF(A38="","",IF(UPPER($B$3)="CHICAGO",IF($B$15&lt;=0,0,$B$5*C38/$B$15),IF(A38&lt;=$B$6,$B$5*A38/$B$6,MAX(0,$B$5*(1-(A38-$B$6)/$B$7)))))</f>
        <v/>
      </c>
      <c r="C38" s="18">
        <f>IF(OR(A38="",UPPER($B$3)&lt;&gt;"CHICAGO"),"",IF(A38&lt;=($B$10*$B$9),$B$11*((1-$B$13)*(((($B$10*$B$9)-A38))/$B$10)+$B$12)/((((($B$10*$B$9)-A38))/$B$10)+$B$12)^($B$13+1),$B$11*((1-$B$13)*(((A38-($B$10*$B$9)))/(1-$B$10))+$B$12)/((((A38-($B$10*$B$9)))/(1-$B$10))+$B$12)^($B$13+1)))</f>
        <v/>
      </c>
    </row>
    <row r="39">
      <c r="A39" s="5">
        <f>IF(A38="","",IF(AND(UPPER($B$3)="CHICAGO",A38&lt;($B$10*$B$9),A38+$B$8&gt;($B$10*$B$9)),($B$10*$B$9),IF(A38+$B$8&gt;(IF(UPPER($B$3)="CHICAGO",$B$9,$B$6+$B$7)),"",A38+$B$8)))</f>
        <v/>
      </c>
      <c r="B39" s="18">
        <f>IF(A39="","",IF(UPPER($B$3)="CHICAGO",IF($B$15&lt;=0,0,$B$5*C39/$B$15),IF(A39&lt;=$B$6,$B$5*A39/$B$6,MAX(0,$B$5*(1-(A39-$B$6)/$B$7)))))</f>
        <v/>
      </c>
      <c r="C39" s="18">
        <f>IF(OR(A39="",UPPER($B$3)&lt;&gt;"CHICAGO"),"",IF(A39&lt;=($B$10*$B$9),$B$11*((1-$B$13)*(((($B$10*$B$9)-A39))/$B$10)+$B$12)/((((($B$10*$B$9)-A39))/$B$10)+$B$12)^($B$13+1),$B$11*((1-$B$13)*(((A39-($B$10*$B$9)))/(1-$B$10))+$B$12)/((((A39-($B$10*$B$9)))/(1-$B$10))+$B$12)^($B$13+1)))</f>
        <v/>
      </c>
    </row>
    <row r="40">
      <c r="A40" s="5">
        <f>IF(A39="","",IF(AND(UPPER($B$3)="CHICAGO",A39&lt;($B$10*$B$9),A39+$B$8&gt;($B$10*$B$9)),($B$10*$B$9),IF(A39+$B$8&gt;(IF(UPPER($B$3)="CHICAGO",$B$9,$B$6+$B$7)),"",A39+$B$8)))</f>
        <v/>
      </c>
      <c r="B40" s="18">
        <f>IF(A40="","",IF(UPPER($B$3)="CHICAGO",IF($B$15&lt;=0,0,$B$5*C40/$B$15),IF(A40&lt;=$B$6,$B$5*A40/$B$6,MAX(0,$B$5*(1-(A40-$B$6)/$B$7)))))</f>
        <v/>
      </c>
      <c r="C40" s="18">
        <f>IF(OR(A40="",UPPER($B$3)&lt;&gt;"CHICAGO"),"",IF(A40&lt;=($B$10*$B$9),$B$11*((1-$B$13)*(((($B$10*$B$9)-A40))/$B$10)+$B$12)/((((($B$10*$B$9)-A40))/$B$10)+$B$12)^($B$13+1),$B$11*((1-$B$13)*(((A40-($B$10*$B$9)))/(1-$B$10))+$B$12)/((((A40-($B$10*$B$9)))/(1-$B$10))+$B$12)^($B$13+1)))</f>
        <v/>
      </c>
    </row>
    <row r="41">
      <c r="A41" s="5">
        <f>IF(A40="","",IF(AND(UPPER($B$3)="CHICAGO",A40&lt;($B$10*$B$9),A40+$B$8&gt;($B$10*$B$9)),($B$10*$B$9),IF(A40+$B$8&gt;(IF(UPPER($B$3)="CHICAGO",$B$9,$B$6+$B$7)),"",A40+$B$8)))</f>
        <v/>
      </c>
      <c r="B41" s="18">
        <f>IF(A41="","",IF(UPPER($B$3)="CHICAGO",IF($B$15&lt;=0,0,$B$5*C41/$B$15),IF(A41&lt;=$B$6,$B$5*A41/$B$6,MAX(0,$B$5*(1-(A41-$B$6)/$B$7)))))</f>
        <v/>
      </c>
      <c r="C41" s="18">
        <f>IF(OR(A41="",UPPER($B$3)&lt;&gt;"CHICAGO"),"",IF(A41&lt;=($B$10*$B$9),$B$11*((1-$B$13)*(((($B$10*$B$9)-A41))/$B$10)+$B$12)/((((($B$10*$B$9)-A41))/$B$10)+$B$12)^($B$13+1),$B$11*((1-$B$13)*(((A41-($B$10*$B$9)))/(1-$B$10))+$B$12)/((((A41-($B$10*$B$9)))/(1-$B$10))+$B$12)^($B$13+1)))</f>
        <v/>
      </c>
    </row>
    <row r="42">
      <c r="A42" s="5">
        <f>IF(A41="","",IF(AND(UPPER($B$3)="CHICAGO",A41&lt;($B$10*$B$9),A41+$B$8&gt;($B$10*$B$9)),($B$10*$B$9),IF(A41+$B$8&gt;(IF(UPPER($B$3)="CHICAGO",$B$9,$B$6+$B$7)),"",A41+$B$8)))</f>
        <v/>
      </c>
      <c r="B42" s="18">
        <f>IF(A42="","",IF(UPPER($B$3)="CHICAGO",IF($B$15&lt;=0,0,$B$5*C42/$B$15),IF(A42&lt;=$B$6,$B$5*A42/$B$6,MAX(0,$B$5*(1-(A42-$B$6)/$B$7)))))</f>
        <v/>
      </c>
      <c r="C42" s="18">
        <f>IF(OR(A42="",UPPER($B$3)&lt;&gt;"CHICAGO"),"",IF(A42&lt;=($B$10*$B$9),$B$11*((1-$B$13)*(((($B$10*$B$9)-A42))/$B$10)+$B$12)/((((($B$10*$B$9)-A42))/$B$10)+$B$12)^($B$13+1),$B$11*((1-$B$13)*(((A42-($B$10*$B$9)))/(1-$B$10))+$B$12)/((((A42-($B$10*$B$9)))/(1-$B$10))+$B$12)^($B$13+1)))</f>
        <v/>
      </c>
    </row>
    <row r="43">
      <c r="A43" s="5">
        <f>IF(A42="","",IF(AND(UPPER($B$3)="CHICAGO",A42&lt;($B$10*$B$9),A42+$B$8&gt;($B$10*$B$9)),($B$10*$B$9),IF(A42+$B$8&gt;(IF(UPPER($B$3)="CHICAGO",$B$9,$B$6+$B$7)),"",A42+$B$8)))</f>
        <v/>
      </c>
      <c r="B43" s="18">
        <f>IF(A43="","",IF(UPPER($B$3)="CHICAGO",IF($B$15&lt;=0,0,$B$5*C43/$B$15),IF(A43&lt;=$B$6,$B$5*A43/$B$6,MAX(0,$B$5*(1-(A43-$B$6)/$B$7)))))</f>
        <v/>
      </c>
      <c r="C43" s="18">
        <f>IF(OR(A43="",UPPER($B$3)&lt;&gt;"CHICAGO"),"",IF(A43&lt;=($B$10*$B$9),$B$11*((1-$B$13)*(((($B$10*$B$9)-A43))/$B$10)+$B$12)/((((($B$10*$B$9)-A43))/$B$10)+$B$12)^($B$13+1),$B$11*((1-$B$13)*(((A43-($B$10*$B$9)))/(1-$B$10))+$B$12)/((((A43-($B$10*$B$9)))/(1-$B$10))+$B$12)^($B$13+1)))</f>
        <v/>
      </c>
    </row>
    <row r="44">
      <c r="A44" s="5">
        <f>IF(A43="","",IF(AND(UPPER($B$3)="CHICAGO",A43&lt;($B$10*$B$9),A43+$B$8&gt;($B$10*$B$9)),($B$10*$B$9),IF(A43+$B$8&gt;(IF(UPPER($B$3)="CHICAGO",$B$9,$B$6+$B$7)),"",A43+$B$8)))</f>
        <v/>
      </c>
      <c r="B44" s="18">
        <f>IF(A44="","",IF(UPPER($B$3)="CHICAGO",IF($B$15&lt;=0,0,$B$5*C44/$B$15),IF(A44&lt;=$B$6,$B$5*A44/$B$6,MAX(0,$B$5*(1-(A44-$B$6)/$B$7)))))</f>
        <v/>
      </c>
      <c r="C44" s="18">
        <f>IF(OR(A44="",UPPER($B$3)&lt;&gt;"CHICAGO"),"",IF(A44&lt;=($B$10*$B$9),$B$11*((1-$B$13)*(((($B$10*$B$9)-A44))/$B$10)+$B$12)/((((($B$10*$B$9)-A44))/$B$10)+$B$12)^($B$13+1),$B$11*((1-$B$13)*(((A44-($B$10*$B$9)))/(1-$B$10))+$B$12)/((((A44-($B$10*$B$9)))/(1-$B$10))+$B$12)^($B$13+1)))</f>
        <v/>
      </c>
    </row>
    <row r="45">
      <c r="A45" s="5">
        <f>IF(A44="","",IF(AND(UPPER($B$3)="CHICAGO",A44&lt;($B$10*$B$9),A44+$B$8&gt;($B$10*$B$9)),($B$10*$B$9),IF(A44+$B$8&gt;(IF(UPPER($B$3)="CHICAGO",$B$9,$B$6+$B$7)),"",A44+$B$8)))</f>
        <v/>
      </c>
      <c r="B45" s="18">
        <f>IF(A45="","",IF(UPPER($B$3)="CHICAGO",IF($B$15&lt;=0,0,$B$5*C45/$B$15),IF(A45&lt;=$B$6,$B$5*A45/$B$6,MAX(0,$B$5*(1-(A45-$B$6)/$B$7)))))</f>
        <v/>
      </c>
      <c r="C45" s="18">
        <f>IF(OR(A45="",UPPER($B$3)&lt;&gt;"CHICAGO"),"",IF(A45&lt;=($B$10*$B$9),$B$11*((1-$B$13)*(((($B$10*$B$9)-A45))/$B$10)+$B$12)/((((($B$10*$B$9)-A45))/$B$10)+$B$12)^($B$13+1),$B$11*((1-$B$13)*(((A45-($B$10*$B$9)))/(1-$B$10))+$B$12)/((((A45-($B$10*$B$9)))/(1-$B$10))+$B$12)^($B$13+1)))</f>
        <v/>
      </c>
    </row>
    <row r="46">
      <c r="A46" s="5">
        <f>IF(A45="","",IF(AND(UPPER($B$3)="CHICAGO",A45&lt;($B$10*$B$9),A45+$B$8&gt;($B$10*$B$9)),($B$10*$B$9),IF(A45+$B$8&gt;(IF(UPPER($B$3)="CHICAGO",$B$9,$B$6+$B$7)),"",A45+$B$8)))</f>
        <v/>
      </c>
      <c r="B46" s="18">
        <f>IF(A46="","",IF(UPPER($B$3)="CHICAGO",IF($B$15&lt;=0,0,$B$5*C46/$B$15),IF(A46&lt;=$B$6,$B$5*A46/$B$6,MAX(0,$B$5*(1-(A46-$B$6)/$B$7)))))</f>
        <v/>
      </c>
      <c r="C46" s="18">
        <f>IF(OR(A46="",UPPER($B$3)&lt;&gt;"CHICAGO"),"",IF(A46&lt;=($B$10*$B$9),$B$11*((1-$B$13)*(((($B$10*$B$9)-A46))/$B$10)+$B$12)/((((($B$10*$B$9)-A46))/$B$10)+$B$12)^($B$13+1),$B$11*((1-$B$13)*(((A46-($B$10*$B$9)))/(1-$B$10))+$B$12)/((((A46-($B$10*$B$9)))/(1-$B$10))+$B$12)^($B$13+1)))</f>
        <v/>
      </c>
    </row>
    <row r="47">
      <c r="A47" s="5">
        <f>IF(A46="","",IF(AND(UPPER($B$3)="CHICAGO",A46&lt;($B$10*$B$9),A46+$B$8&gt;($B$10*$B$9)),($B$10*$B$9),IF(A46+$B$8&gt;(IF(UPPER($B$3)="CHICAGO",$B$9,$B$6+$B$7)),"",A46+$B$8)))</f>
        <v/>
      </c>
      <c r="B47" s="18">
        <f>IF(A47="","",IF(UPPER($B$3)="CHICAGO",IF($B$15&lt;=0,0,$B$5*C47/$B$15),IF(A47&lt;=$B$6,$B$5*A47/$B$6,MAX(0,$B$5*(1-(A47-$B$6)/$B$7)))))</f>
        <v/>
      </c>
      <c r="C47" s="18">
        <f>IF(OR(A47="",UPPER($B$3)&lt;&gt;"CHICAGO"),"",IF(A47&lt;=($B$10*$B$9),$B$11*((1-$B$13)*(((($B$10*$B$9)-A47))/$B$10)+$B$12)/((((($B$10*$B$9)-A47))/$B$10)+$B$12)^($B$13+1),$B$11*((1-$B$13)*(((A47-($B$10*$B$9)))/(1-$B$10))+$B$12)/((((A47-($B$10*$B$9)))/(1-$B$10))+$B$12)^($B$13+1)))</f>
        <v/>
      </c>
    </row>
    <row r="48">
      <c r="A48" s="5">
        <f>IF(A47="","",IF(AND(UPPER($B$3)="CHICAGO",A47&lt;($B$10*$B$9),A47+$B$8&gt;($B$10*$B$9)),($B$10*$B$9),IF(A47+$B$8&gt;(IF(UPPER($B$3)="CHICAGO",$B$9,$B$6+$B$7)),"",A47+$B$8)))</f>
        <v/>
      </c>
      <c r="B48" s="18">
        <f>IF(A48="","",IF(UPPER($B$3)="CHICAGO",IF($B$15&lt;=0,0,$B$5*C48/$B$15),IF(A48&lt;=$B$6,$B$5*A48/$B$6,MAX(0,$B$5*(1-(A48-$B$6)/$B$7)))))</f>
        <v/>
      </c>
      <c r="C48" s="18">
        <f>IF(OR(A48="",UPPER($B$3)&lt;&gt;"CHICAGO"),"",IF(A48&lt;=($B$10*$B$9),$B$11*((1-$B$13)*(((($B$10*$B$9)-A48))/$B$10)+$B$12)/((((($B$10*$B$9)-A48))/$B$10)+$B$12)^($B$13+1),$B$11*((1-$B$13)*(((A48-($B$10*$B$9)))/(1-$B$10))+$B$12)/((((A48-($B$10*$B$9)))/(1-$B$10))+$B$12)^($B$13+1)))</f>
        <v/>
      </c>
    </row>
    <row r="49">
      <c r="A49" s="5">
        <f>IF(A48="","",IF(AND(UPPER($B$3)="CHICAGO",A48&lt;($B$10*$B$9),A48+$B$8&gt;($B$10*$B$9)),($B$10*$B$9),IF(A48+$B$8&gt;(IF(UPPER($B$3)="CHICAGO",$B$9,$B$6+$B$7)),"",A48+$B$8)))</f>
        <v/>
      </c>
      <c r="B49" s="18">
        <f>IF(A49="","",IF(UPPER($B$3)="CHICAGO",IF($B$15&lt;=0,0,$B$5*C49/$B$15),IF(A49&lt;=$B$6,$B$5*A49/$B$6,MAX(0,$B$5*(1-(A49-$B$6)/$B$7)))))</f>
        <v/>
      </c>
      <c r="C49" s="18">
        <f>IF(OR(A49="",UPPER($B$3)&lt;&gt;"CHICAGO"),"",IF(A49&lt;=($B$10*$B$9),$B$11*((1-$B$13)*(((($B$10*$B$9)-A49))/$B$10)+$B$12)/((((($B$10*$B$9)-A49))/$B$10)+$B$12)^($B$13+1),$B$11*((1-$B$13)*(((A49-($B$10*$B$9)))/(1-$B$10))+$B$12)/((((A49-($B$10*$B$9)))/(1-$B$10))+$B$12)^($B$13+1)))</f>
        <v/>
      </c>
    </row>
    <row r="50">
      <c r="A50" s="5">
        <f>IF(A49="","",IF(AND(UPPER($B$3)="CHICAGO",A49&lt;($B$10*$B$9),A49+$B$8&gt;($B$10*$B$9)),($B$10*$B$9),IF(A49+$B$8&gt;(IF(UPPER($B$3)="CHICAGO",$B$9,$B$6+$B$7)),"",A49+$B$8)))</f>
        <v/>
      </c>
      <c r="B50" s="18">
        <f>IF(A50="","",IF(UPPER($B$3)="CHICAGO",IF($B$15&lt;=0,0,$B$5*C50/$B$15),IF(A50&lt;=$B$6,$B$5*A50/$B$6,MAX(0,$B$5*(1-(A50-$B$6)/$B$7)))))</f>
        <v/>
      </c>
      <c r="C50" s="18">
        <f>IF(OR(A50="",UPPER($B$3)&lt;&gt;"CHICAGO"),"",IF(A50&lt;=($B$10*$B$9),$B$11*((1-$B$13)*(((($B$10*$B$9)-A50))/$B$10)+$B$12)/((((($B$10*$B$9)-A50))/$B$10)+$B$12)^($B$13+1),$B$11*((1-$B$13)*(((A50-($B$10*$B$9)))/(1-$B$10))+$B$12)/((((A50-($B$10*$B$9)))/(1-$B$10))+$B$12)^($B$13+1)))</f>
        <v/>
      </c>
    </row>
    <row r="51">
      <c r="A51" s="5">
        <f>IF(A50="","",IF(AND(UPPER($B$3)="CHICAGO",A50&lt;($B$10*$B$9),A50+$B$8&gt;($B$10*$B$9)),($B$10*$B$9),IF(A50+$B$8&gt;(IF(UPPER($B$3)="CHICAGO",$B$9,$B$6+$B$7)),"",A50+$B$8)))</f>
        <v/>
      </c>
      <c r="B51" s="18">
        <f>IF(A51="","",IF(UPPER($B$3)="CHICAGO",IF($B$15&lt;=0,0,$B$5*C51/$B$15),IF(A51&lt;=$B$6,$B$5*A51/$B$6,MAX(0,$B$5*(1-(A51-$B$6)/$B$7)))))</f>
        <v/>
      </c>
      <c r="C51" s="18">
        <f>IF(OR(A51="",UPPER($B$3)&lt;&gt;"CHICAGO"),"",IF(A51&lt;=($B$10*$B$9),$B$11*((1-$B$13)*(((($B$10*$B$9)-A51))/$B$10)+$B$12)/((((($B$10*$B$9)-A51))/$B$10)+$B$12)^($B$13+1),$B$11*((1-$B$13)*(((A51-($B$10*$B$9)))/(1-$B$10))+$B$12)/((((A51-($B$10*$B$9)))/(1-$B$10))+$B$12)^($B$13+1)))</f>
        <v/>
      </c>
    </row>
    <row r="52">
      <c r="A52" s="5">
        <f>IF(A51="","",IF(AND(UPPER($B$3)="CHICAGO",A51&lt;($B$10*$B$9),A51+$B$8&gt;($B$10*$B$9)),($B$10*$B$9),IF(A51+$B$8&gt;(IF(UPPER($B$3)="CHICAGO",$B$9,$B$6+$B$7)),"",A51+$B$8)))</f>
        <v/>
      </c>
      <c r="B52" s="18">
        <f>IF(A52="","",IF(UPPER($B$3)="CHICAGO",IF($B$15&lt;=0,0,$B$5*C52/$B$15),IF(A52&lt;=$B$6,$B$5*A52/$B$6,MAX(0,$B$5*(1-(A52-$B$6)/$B$7)))))</f>
        <v/>
      </c>
      <c r="C52" s="18">
        <f>IF(OR(A52="",UPPER($B$3)&lt;&gt;"CHICAGO"),"",IF(A52&lt;=($B$10*$B$9),$B$11*((1-$B$13)*(((($B$10*$B$9)-A52))/$B$10)+$B$12)/((((($B$10*$B$9)-A52))/$B$10)+$B$12)^($B$13+1),$B$11*((1-$B$13)*(((A52-($B$10*$B$9)))/(1-$B$10))+$B$12)/((((A52-($B$10*$B$9)))/(1-$B$10))+$B$12)^($B$13+1)))</f>
        <v/>
      </c>
    </row>
    <row r="53">
      <c r="A53" s="5">
        <f>IF(A52="","",IF(AND(UPPER($B$3)="CHICAGO",A52&lt;($B$10*$B$9),A52+$B$8&gt;($B$10*$B$9)),($B$10*$B$9),IF(A52+$B$8&gt;(IF(UPPER($B$3)="CHICAGO",$B$9,$B$6+$B$7)),"",A52+$B$8)))</f>
        <v/>
      </c>
      <c r="B53" s="18">
        <f>IF(A53="","",IF(UPPER($B$3)="CHICAGO",IF($B$15&lt;=0,0,$B$5*C53/$B$15),IF(A53&lt;=$B$6,$B$5*A53/$B$6,MAX(0,$B$5*(1-(A53-$B$6)/$B$7)))))</f>
        <v/>
      </c>
      <c r="C53" s="18">
        <f>IF(OR(A53="",UPPER($B$3)&lt;&gt;"CHICAGO"),"",IF(A53&lt;=($B$10*$B$9),$B$11*((1-$B$13)*(((($B$10*$B$9)-A53))/$B$10)+$B$12)/((((($B$10*$B$9)-A53))/$B$10)+$B$12)^($B$13+1),$B$11*((1-$B$13)*(((A53-($B$10*$B$9)))/(1-$B$10))+$B$12)/((((A53-($B$10*$B$9)))/(1-$B$10))+$B$12)^($B$13+1)))</f>
        <v/>
      </c>
    </row>
    <row r="54">
      <c r="A54" s="5">
        <f>IF(A53="","",IF(AND(UPPER($B$3)="CHICAGO",A53&lt;($B$10*$B$9),A53+$B$8&gt;($B$10*$B$9)),($B$10*$B$9),IF(A53+$B$8&gt;(IF(UPPER($B$3)="CHICAGO",$B$9,$B$6+$B$7)),"",A53+$B$8)))</f>
        <v/>
      </c>
      <c r="B54" s="18">
        <f>IF(A54="","",IF(UPPER($B$3)="CHICAGO",IF($B$15&lt;=0,0,$B$5*C54/$B$15),IF(A54&lt;=$B$6,$B$5*A54/$B$6,MAX(0,$B$5*(1-(A54-$B$6)/$B$7)))))</f>
        <v/>
      </c>
      <c r="C54" s="18">
        <f>IF(OR(A54="",UPPER($B$3)&lt;&gt;"CHICAGO"),"",IF(A54&lt;=($B$10*$B$9),$B$11*((1-$B$13)*(((($B$10*$B$9)-A54))/$B$10)+$B$12)/((((($B$10*$B$9)-A54))/$B$10)+$B$12)^($B$13+1),$B$11*((1-$B$13)*(((A54-($B$10*$B$9)))/(1-$B$10))+$B$12)/((((A54-($B$10*$B$9)))/(1-$B$10))+$B$12)^($B$13+1)))</f>
        <v/>
      </c>
    </row>
    <row r="55">
      <c r="A55" s="5">
        <f>IF(A54="","",IF(AND(UPPER($B$3)="CHICAGO",A54&lt;($B$10*$B$9),A54+$B$8&gt;($B$10*$B$9)),($B$10*$B$9),IF(A54+$B$8&gt;(IF(UPPER($B$3)="CHICAGO",$B$9,$B$6+$B$7)),"",A54+$B$8)))</f>
        <v/>
      </c>
      <c r="B55" s="18">
        <f>IF(A55="","",IF(UPPER($B$3)="CHICAGO",IF($B$15&lt;=0,0,$B$5*C55/$B$15),IF(A55&lt;=$B$6,$B$5*A55/$B$6,MAX(0,$B$5*(1-(A55-$B$6)/$B$7)))))</f>
        <v/>
      </c>
      <c r="C55" s="18">
        <f>IF(OR(A55="",UPPER($B$3)&lt;&gt;"CHICAGO"),"",IF(A55&lt;=($B$10*$B$9),$B$11*((1-$B$13)*(((($B$10*$B$9)-A55))/$B$10)+$B$12)/((((($B$10*$B$9)-A55))/$B$10)+$B$12)^($B$13+1),$B$11*((1-$B$13)*(((A55-($B$10*$B$9)))/(1-$B$10))+$B$12)/((((A55-($B$10*$B$9)))/(1-$B$10))+$B$12)^($B$13+1)))</f>
        <v/>
      </c>
    </row>
    <row r="56">
      <c r="A56" s="5">
        <f>IF(A55="","",IF(AND(UPPER($B$3)="CHICAGO",A55&lt;($B$10*$B$9),A55+$B$8&gt;($B$10*$B$9)),($B$10*$B$9),IF(A55+$B$8&gt;(IF(UPPER($B$3)="CHICAGO",$B$9,$B$6+$B$7)),"",A55+$B$8)))</f>
        <v/>
      </c>
      <c r="B56" s="18">
        <f>IF(A56="","",IF(UPPER($B$3)="CHICAGO",IF($B$15&lt;=0,0,$B$5*C56/$B$15),IF(A56&lt;=$B$6,$B$5*A56/$B$6,MAX(0,$B$5*(1-(A56-$B$6)/$B$7)))))</f>
        <v/>
      </c>
      <c r="C56" s="18">
        <f>IF(OR(A56="",UPPER($B$3)&lt;&gt;"CHICAGO"),"",IF(A56&lt;=($B$10*$B$9),$B$11*((1-$B$13)*(((($B$10*$B$9)-A56))/$B$10)+$B$12)/((((($B$10*$B$9)-A56))/$B$10)+$B$12)^($B$13+1),$B$11*((1-$B$13)*(((A56-($B$10*$B$9)))/(1-$B$10))+$B$12)/((((A56-($B$10*$B$9)))/(1-$B$10))+$B$12)^($B$13+1)))</f>
        <v/>
      </c>
    </row>
    <row r="57">
      <c r="A57" s="5">
        <f>IF(A56="","",IF(AND(UPPER($B$3)="CHICAGO",A56&lt;($B$10*$B$9),A56+$B$8&gt;($B$10*$B$9)),($B$10*$B$9),IF(A56+$B$8&gt;(IF(UPPER($B$3)="CHICAGO",$B$9,$B$6+$B$7)),"",A56+$B$8)))</f>
        <v/>
      </c>
      <c r="B57" s="18">
        <f>IF(A57="","",IF(UPPER($B$3)="CHICAGO",IF($B$15&lt;=0,0,$B$5*C57/$B$15),IF(A57&lt;=$B$6,$B$5*A57/$B$6,MAX(0,$B$5*(1-(A57-$B$6)/$B$7)))))</f>
        <v/>
      </c>
      <c r="C57" s="18">
        <f>IF(OR(A57="",UPPER($B$3)&lt;&gt;"CHICAGO"),"",IF(A57&lt;=($B$10*$B$9),$B$11*((1-$B$13)*(((($B$10*$B$9)-A57))/$B$10)+$B$12)/((((($B$10*$B$9)-A57))/$B$10)+$B$12)^($B$13+1),$B$11*((1-$B$13)*(((A57-($B$10*$B$9)))/(1-$B$10))+$B$12)/((((A57-($B$10*$B$9)))/(1-$B$10))+$B$12)^($B$13+1)))</f>
        <v/>
      </c>
    </row>
    <row r="58">
      <c r="A58" s="5">
        <f>IF(A57="","",IF(AND(UPPER($B$3)="CHICAGO",A57&lt;($B$10*$B$9),A57+$B$8&gt;($B$10*$B$9)),($B$10*$B$9),IF(A57+$B$8&gt;(IF(UPPER($B$3)="CHICAGO",$B$9,$B$6+$B$7)),"",A57+$B$8)))</f>
        <v/>
      </c>
      <c r="B58" s="18">
        <f>IF(A58="","",IF(UPPER($B$3)="CHICAGO",IF($B$15&lt;=0,0,$B$5*C58/$B$15),IF(A58&lt;=$B$6,$B$5*A58/$B$6,MAX(0,$B$5*(1-(A58-$B$6)/$B$7)))))</f>
        <v/>
      </c>
      <c r="C58" s="18">
        <f>IF(OR(A58="",UPPER($B$3)&lt;&gt;"CHICAGO"),"",IF(A58&lt;=($B$10*$B$9),$B$11*((1-$B$13)*(((($B$10*$B$9)-A58))/$B$10)+$B$12)/((((($B$10*$B$9)-A58))/$B$10)+$B$12)^($B$13+1),$B$11*((1-$B$13)*(((A58-($B$10*$B$9)))/(1-$B$10))+$B$12)/((((A58-($B$10*$B$9)))/(1-$B$10))+$B$12)^($B$13+1)))</f>
        <v/>
      </c>
    </row>
    <row r="59">
      <c r="A59" s="5">
        <f>IF(A58="","",IF(AND(UPPER($B$3)="CHICAGO",A58&lt;($B$10*$B$9),A58+$B$8&gt;($B$10*$B$9)),($B$10*$B$9),IF(A58+$B$8&gt;(IF(UPPER($B$3)="CHICAGO",$B$9,$B$6+$B$7)),"",A58+$B$8)))</f>
        <v/>
      </c>
      <c r="B59" s="18">
        <f>IF(A59="","",IF(UPPER($B$3)="CHICAGO",IF($B$15&lt;=0,0,$B$5*C59/$B$15),IF(A59&lt;=$B$6,$B$5*A59/$B$6,MAX(0,$B$5*(1-(A59-$B$6)/$B$7)))))</f>
        <v/>
      </c>
      <c r="C59" s="18">
        <f>IF(OR(A59="",UPPER($B$3)&lt;&gt;"CHICAGO"),"",IF(A59&lt;=($B$10*$B$9),$B$11*((1-$B$13)*(((($B$10*$B$9)-A59))/$B$10)+$B$12)/((((($B$10*$B$9)-A59))/$B$10)+$B$12)^($B$13+1),$B$11*((1-$B$13)*(((A59-($B$10*$B$9)))/(1-$B$10))+$B$12)/((((A59-($B$10*$B$9)))/(1-$B$10))+$B$12)^($B$13+1)))</f>
        <v/>
      </c>
    </row>
    <row r="60">
      <c r="A60" s="5">
        <f>IF(A59="","",IF(AND(UPPER($B$3)="CHICAGO",A59&lt;($B$10*$B$9),A59+$B$8&gt;($B$10*$B$9)),($B$10*$B$9),IF(A59+$B$8&gt;(IF(UPPER($B$3)="CHICAGO",$B$9,$B$6+$B$7)),"",A59+$B$8)))</f>
        <v/>
      </c>
      <c r="B60" s="18">
        <f>IF(A60="","",IF(UPPER($B$3)="CHICAGO",IF($B$15&lt;=0,0,$B$5*C60/$B$15),IF(A60&lt;=$B$6,$B$5*A60/$B$6,MAX(0,$B$5*(1-(A60-$B$6)/$B$7)))))</f>
        <v/>
      </c>
      <c r="C60" s="18">
        <f>IF(OR(A60="",UPPER($B$3)&lt;&gt;"CHICAGO"),"",IF(A60&lt;=($B$10*$B$9),$B$11*((1-$B$13)*(((($B$10*$B$9)-A60))/$B$10)+$B$12)/((((($B$10*$B$9)-A60))/$B$10)+$B$12)^($B$13+1),$B$11*((1-$B$13)*(((A60-($B$10*$B$9)))/(1-$B$10))+$B$12)/((((A60-($B$10*$B$9)))/(1-$B$10))+$B$12)^($B$13+1)))</f>
        <v/>
      </c>
    </row>
    <row r="61">
      <c r="A61" s="5">
        <f>IF(A60="","",IF(AND(UPPER($B$3)="CHICAGO",A60&lt;($B$10*$B$9),A60+$B$8&gt;($B$10*$B$9)),($B$10*$B$9),IF(A60+$B$8&gt;(IF(UPPER($B$3)="CHICAGO",$B$9,$B$6+$B$7)),"",A60+$B$8)))</f>
        <v/>
      </c>
      <c r="B61" s="18">
        <f>IF(A61="","",IF(UPPER($B$3)="CHICAGO",IF($B$15&lt;=0,0,$B$5*C61/$B$15),IF(A61&lt;=$B$6,$B$5*A61/$B$6,MAX(0,$B$5*(1-(A61-$B$6)/$B$7)))))</f>
        <v/>
      </c>
      <c r="C61" s="18">
        <f>IF(OR(A61="",UPPER($B$3)&lt;&gt;"CHICAGO"),"",IF(A61&lt;=($B$10*$B$9),$B$11*((1-$B$13)*(((($B$10*$B$9)-A61))/$B$10)+$B$12)/((((($B$10*$B$9)-A61))/$B$10)+$B$12)^($B$13+1),$B$11*((1-$B$13)*(((A61-($B$10*$B$9)))/(1-$B$10))+$B$12)/((((A61-($B$10*$B$9)))/(1-$B$10))+$B$12)^($B$13+1)))</f>
        <v/>
      </c>
    </row>
    <row r="62">
      <c r="A62" s="5">
        <f>IF(A61="","",IF(AND(UPPER($B$3)="CHICAGO",A61&lt;($B$10*$B$9),A61+$B$8&gt;($B$10*$B$9)),($B$10*$B$9),IF(A61+$B$8&gt;(IF(UPPER($B$3)="CHICAGO",$B$9,$B$6+$B$7)),"",A61+$B$8)))</f>
        <v/>
      </c>
      <c r="B62" s="18">
        <f>IF(A62="","",IF(UPPER($B$3)="CHICAGO",IF($B$15&lt;=0,0,$B$5*C62/$B$15),IF(A62&lt;=$B$6,$B$5*A62/$B$6,MAX(0,$B$5*(1-(A62-$B$6)/$B$7)))))</f>
        <v/>
      </c>
      <c r="C62" s="18">
        <f>IF(OR(A62="",UPPER($B$3)&lt;&gt;"CHICAGO"),"",IF(A62&lt;=($B$10*$B$9),$B$11*((1-$B$13)*(((($B$10*$B$9)-A62))/$B$10)+$B$12)/((((($B$10*$B$9)-A62))/$B$10)+$B$12)^($B$13+1),$B$11*((1-$B$13)*(((A62-($B$10*$B$9)))/(1-$B$10))+$B$12)/((((A62-($B$10*$B$9)))/(1-$B$10))+$B$12)^($B$13+1)))</f>
        <v/>
      </c>
    </row>
    <row r="63">
      <c r="A63" s="5">
        <f>IF(A62="","",IF(AND(UPPER($B$3)="CHICAGO",A62&lt;($B$10*$B$9),A62+$B$8&gt;($B$10*$B$9)),($B$10*$B$9),IF(A62+$B$8&gt;(IF(UPPER($B$3)="CHICAGO",$B$9,$B$6+$B$7)),"",A62+$B$8)))</f>
        <v/>
      </c>
      <c r="B63" s="18">
        <f>IF(A63="","",IF(UPPER($B$3)="CHICAGO",IF($B$15&lt;=0,0,$B$5*C63/$B$15),IF(A63&lt;=$B$6,$B$5*A63/$B$6,MAX(0,$B$5*(1-(A63-$B$6)/$B$7)))))</f>
        <v/>
      </c>
      <c r="C63" s="18">
        <f>IF(OR(A63="",UPPER($B$3)&lt;&gt;"CHICAGO"),"",IF(A63&lt;=($B$10*$B$9),$B$11*((1-$B$13)*(((($B$10*$B$9)-A63))/$B$10)+$B$12)/((((($B$10*$B$9)-A63))/$B$10)+$B$12)^($B$13+1),$B$11*((1-$B$13)*(((A63-($B$10*$B$9)))/(1-$B$10))+$B$12)/((((A63-($B$10*$B$9)))/(1-$B$10))+$B$12)^($B$13+1)))</f>
        <v/>
      </c>
    </row>
    <row r="64">
      <c r="A64" s="5">
        <f>IF(A63="","",IF(AND(UPPER($B$3)="CHICAGO",A63&lt;($B$10*$B$9),A63+$B$8&gt;($B$10*$B$9)),($B$10*$B$9),IF(A63+$B$8&gt;(IF(UPPER($B$3)="CHICAGO",$B$9,$B$6+$B$7)),"",A63+$B$8)))</f>
        <v/>
      </c>
      <c r="B64" s="18">
        <f>IF(A64="","",IF(UPPER($B$3)="CHICAGO",IF($B$15&lt;=0,0,$B$5*C64/$B$15),IF(A64&lt;=$B$6,$B$5*A64/$B$6,MAX(0,$B$5*(1-(A64-$B$6)/$B$7)))))</f>
        <v/>
      </c>
      <c r="C64" s="18">
        <f>IF(OR(A64="",UPPER($B$3)&lt;&gt;"CHICAGO"),"",IF(A64&lt;=($B$10*$B$9),$B$11*((1-$B$13)*(((($B$10*$B$9)-A64))/$B$10)+$B$12)/((((($B$10*$B$9)-A64))/$B$10)+$B$12)^($B$13+1),$B$11*((1-$B$13)*(((A64-($B$10*$B$9)))/(1-$B$10))+$B$12)/((((A64-($B$10*$B$9)))/(1-$B$10))+$B$12)^($B$13+1)))</f>
        <v/>
      </c>
    </row>
    <row r="65">
      <c r="A65" s="5">
        <f>IF(A64="","",IF(AND(UPPER($B$3)="CHICAGO",A64&lt;($B$10*$B$9),A64+$B$8&gt;($B$10*$B$9)),($B$10*$B$9),IF(A64+$B$8&gt;(IF(UPPER($B$3)="CHICAGO",$B$9,$B$6+$B$7)),"",A64+$B$8)))</f>
        <v/>
      </c>
      <c r="B65" s="18">
        <f>IF(A65="","",IF(UPPER($B$3)="CHICAGO",IF($B$15&lt;=0,0,$B$5*C65/$B$15),IF(A65&lt;=$B$6,$B$5*A65/$B$6,MAX(0,$B$5*(1-(A65-$B$6)/$B$7)))))</f>
        <v/>
      </c>
      <c r="C65" s="18">
        <f>IF(OR(A65="",UPPER($B$3)&lt;&gt;"CHICAGO"),"",IF(A65&lt;=($B$10*$B$9),$B$11*((1-$B$13)*(((($B$10*$B$9)-A65))/$B$10)+$B$12)/((((($B$10*$B$9)-A65))/$B$10)+$B$12)^($B$13+1),$B$11*((1-$B$13)*(((A65-($B$10*$B$9)))/(1-$B$10))+$B$12)/((((A65-($B$10*$B$9)))/(1-$B$10))+$B$12)^($B$13+1)))</f>
        <v/>
      </c>
    </row>
    <row r="66">
      <c r="A66" s="5">
        <f>IF(A65="","",IF(AND(UPPER($B$3)="CHICAGO",A65&lt;($B$10*$B$9),A65+$B$8&gt;($B$10*$B$9)),($B$10*$B$9),IF(A65+$B$8&gt;(IF(UPPER($B$3)="CHICAGO",$B$9,$B$6+$B$7)),"",A65+$B$8)))</f>
        <v/>
      </c>
      <c r="B66" s="18">
        <f>IF(A66="","",IF(UPPER($B$3)="CHICAGO",IF($B$15&lt;=0,0,$B$5*C66/$B$15),IF(A66&lt;=$B$6,$B$5*A66/$B$6,MAX(0,$B$5*(1-(A66-$B$6)/$B$7)))))</f>
        <v/>
      </c>
      <c r="C66" s="18">
        <f>IF(OR(A66="",UPPER($B$3)&lt;&gt;"CHICAGO"),"",IF(A66&lt;=($B$10*$B$9),$B$11*((1-$B$13)*(((($B$10*$B$9)-A66))/$B$10)+$B$12)/((((($B$10*$B$9)-A66))/$B$10)+$B$12)^($B$13+1),$B$11*((1-$B$13)*(((A66-($B$10*$B$9)))/(1-$B$10))+$B$12)/((((A66-($B$10*$B$9)))/(1-$B$10))+$B$12)^($B$13+1)))</f>
        <v/>
      </c>
    </row>
    <row r="67">
      <c r="A67" s="5">
        <f>IF(A66="","",IF(AND(UPPER($B$3)="CHICAGO",A66&lt;($B$10*$B$9),A66+$B$8&gt;($B$10*$B$9)),($B$10*$B$9),IF(A66+$B$8&gt;(IF(UPPER($B$3)="CHICAGO",$B$9,$B$6+$B$7)),"",A66+$B$8)))</f>
        <v/>
      </c>
      <c r="B67" s="18">
        <f>IF(A67="","",IF(UPPER($B$3)="CHICAGO",IF($B$15&lt;=0,0,$B$5*C67/$B$15),IF(A67&lt;=$B$6,$B$5*A67/$B$6,MAX(0,$B$5*(1-(A67-$B$6)/$B$7)))))</f>
        <v/>
      </c>
      <c r="C67" s="18">
        <f>IF(OR(A67="",UPPER($B$3)&lt;&gt;"CHICAGO"),"",IF(A67&lt;=($B$10*$B$9),$B$11*((1-$B$13)*(((($B$10*$B$9)-A67))/$B$10)+$B$12)/((((($B$10*$B$9)-A67))/$B$10)+$B$12)^($B$13+1),$B$11*((1-$B$13)*(((A67-($B$10*$B$9)))/(1-$B$10))+$B$12)/((((A67-($B$10*$B$9)))/(1-$B$10))+$B$12)^($B$13+1)))</f>
        <v/>
      </c>
    </row>
    <row r="68">
      <c r="A68" s="5">
        <f>IF(A67="","",IF(AND(UPPER($B$3)="CHICAGO",A67&lt;($B$10*$B$9),A67+$B$8&gt;($B$10*$B$9)),($B$10*$B$9),IF(A67+$B$8&gt;(IF(UPPER($B$3)="CHICAGO",$B$9,$B$6+$B$7)),"",A67+$B$8)))</f>
        <v/>
      </c>
      <c r="B68" s="18">
        <f>IF(A68="","",IF(UPPER($B$3)="CHICAGO",IF($B$15&lt;=0,0,$B$5*C68/$B$15),IF(A68&lt;=$B$6,$B$5*A68/$B$6,MAX(0,$B$5*(1-(A68-$B$6)/$B$7)))))</f>
        <v/>
      </c>
      <c r="C68" s="18">
        <f>IF(OR(A68="",UPPER($B$3)&lt;&gt;"CHICAGO"),"",IF(A68&lt;=($B$10*$B$9),$B$11*((1-$B$13)*(((($B$10*$B$9)-A68))/$B$10)+$B$12)/((((($B$10*$B$9)-A68))/$B$10)+$B$12)^($B$13+1),$B$11*((1-$B$13)*(((A68-($B$10*$B$9)))/(1-$B$10))+$B$12)/((((A68-($B$10*$B$9)))/(1-$B$10))+$B$12)^($B$13+1)))</f>
        <v/>
      </c>
    </row>
    <row r="69">
      <c r="A69" s="5">
        <f>IF(A68="","",IF(AND(UPPER($B$3)="CHICAGO",A68&lt;($B$10*$B$9),A68+$B$8&gt;($B$10*$B$9)),($B$10*$B$9),IF(A68+$B$8&gt;(IF(UPPER($B$3)="CHICAGO",$B$9,$B$6+$B$7)),"",A68+$B$8)))</f>
        <v/>
      </c>
      <c r="B69" s="18">
        <f>IF(A69="","",IF(UPPER($B$3)="CHICAGO",IF($B$15&lt;=0,0,$B$5*C69/$B$15),IF(A69&lt;=$B$6,$B$5*A69/$B$6,MAX(0,$B$5*(1-(A69-$B$6)/$B$7)))))</f>
        <v/>
      </c>
      <c r="C69" s="18">
        <f>IF(OR(A69="",UPPER($B$3)&lt;&gt;"CHICAGO"),"",IF(A69&lt;=($B$10*$B$9),$B$11*((1-$B$13)*(((($B$10*$B$9)-A69))/$B$10)+$B$12)/((((($B$10*$B$9)-A69))/$B$10)+$B$12)^($B$13+1),$B$11*((1-$B$13)*(((A69-($B$10*$B$9)))/(1-$B$10))+$B$12)/((((A69-($B$10*$B$9)))/(1-$B$10))+$B$12)^($B$13+1)))</f>
        <v/>
      </c>
    </row>
    <row r="70">
      <c r="A70" s="5">
        <f>IF(A69="","",IF(AND(UPPER($B$3)="CHICAGO",A69&lt;($B$10*$B$9),A69+$B$8&gt;($B$10*$B$9)),($B$10*$B$9),IF(A69+$B$8&gt;(IF(UPPER($B$3)="CHICAGO",$B$9,$B$6+$B$7)),"",A69+$B$8)))</f>
        <v/>
      </c>
      <c r="B70" s="18">
        <f>IF(A70="","",IF(UPPER($B$3)="CHICAGO",IF($B$15&lt;=0,0,$B$5*C70/$B$15),IF(A70&lt;=$B$6,$B$5*A70/$B$6,MAX(0,$B$5*(1-(A70-$B$6)/$B$7)))))</f>
        <v/>
      </c>
      <c r="C70" s="18">
        <f>IF(OR(A70="",UPPER($B$3)&lt;&gt;"CHICAGO"),"",IF(A70&lt;=($B$10*$B$9),$B$11*((1-$B$13)*(((($B$10*$B$9)-A70))/$B$10)+$B$12)/((((($B$10*$B$9)-A70))/$B$10)+$B$12)^($B$13+1),$B$11*((1-$B$13)*(((A70-($B$10*$B$9)))/(1-$B$10))+$B$12)/((((A70-($B$10*$B$9)))/(1-$B$10))+$B$12)^($B$13+1)))</f>
        <v/>
      </c>
    </row>
    <row r="71">
      <c r="A71" s="5">
        <f>IF(A70="","",IF(AND(UPPER($B$3)="CHICAGO",A70&lt;($B$10*$B$9),A70+$B$8&gt;($B$10*$B$9)),($B$10*$B$9),IF(A70+$B$8&gt;(IF(UPPER($B$3)="CHICAGO",$B$9,$B$6+$B$7)),"",A70+$B$8)))</f>
        <v/>
      </c>
      <c r="B71" s="18">
        <f>IF(A71="","",IF(UPPER($B$3)="CHICAGO",IF($B$15&lt;=0,0,$B$5*C71/$B$15),IF(A71&lt;=$B$6,$B$5*A71/$B$6,MAX(0,$B$5*(1-(A71-$B$6)/$B$7)))))</f>
        <v/>
      </c>
      <c r="C71" s="18">
        <f>IF(OR(A71="",UPPER($B$3)&lt;&gt;"CHICAGO"),"",IF(A71&lt;=($B$10*$B$9),$B$11*((1-$B$13)*(((($B$10*$B$9)-A71))/$B$10)+$B$12)/((((($B$10*$B$9)-A71))/$B$10)+$B$12)^($B$13+1),$B$11*((1-$B$13)*(((A71-($B$10*$B$9)))/(1-$B$10))+$B$12)/((((A71-($B$10*$B$9)))/(1-$B$10))+$B$12)^($B$13+1)))</f>
        <v/>
      </c>
    </row>
    <row r="72">
      <c r="A72" s="5">
        <f>IF(A71="","",IF(AND(UPPER($B$3)="CHICAGO",A71&lt;($B$10*$B$9),A71+$B$8&gt;($B$10*$B$9)),($B$10*$B$9),IF(A71+$B$8&gt;(IF(UPPER($B$3)="CHICAGO",$B$9,$B$6+$B$7)),"",A71+$B$8)))</f>
        <v/>
      </c>
      <c r="B72" s="18">
        <f>IF(A72="","",IF(UPPER($B$3)="CHICAGO",IF($B$15&lt;=0,0,$B$5*C72/$B$15),IF(A72&lt;=$B$6,$B$5*A72/$B$6,MAX(0,$B$5*(1-(A72-$B$6)/$B$7)))))</f>
        <v/>
      </c>
      <c r="C72" s="18">
        <f>IF(OR(A72="",UPPER($B$3)&lt;&gt;"CHICAGO"),"",IF(A72&lt;=($B$10*$B$9),$B$11*((1-$B$13)*(((($B$10*$B$9)-A72))/$B$10)+$B$12)/((((($B$10*$B$9)-A72))/$B$10)+$B$12)^($B$13+1),$B$11*((1-$B$13)*(((A72-($B$10*$B$9)))/(1-$B$10))+$B$12)/((((A72-($B$10*$B$9)))/(1-$B$10))+$B$12)^($B$13+1)))</f>
        <v/>
      </c>
    </row>
    <row r="73">
      <c r="A73" s="5">
        <f>IF(A72="","",IF(AND(UPPER($B$3)="CHICAGO",A72&lt;($B$10*$B$9),A72+$B$8&gt;($B$10*$B$9)),($B$10*$B$9),IF(A72+$B$8&gt;(IF(UPPER($B$3)="CHICAGO",$B$9,$B$6+$B$7)),"",A72+$B$8)))</f>
        <v/>
      </c>
      <c r="B73" s="18">
        <f>IF(A73="","",IF(UPPER($B$3)="CHICAGO",IF($B$15&lt;=0,0,$B$5*C73/$B$15),IF(A73&lt;=$B$6,$B$5*A73/$B$6,MAX(0,$B$5*(1-(A73-$B$6)/$B$7)))))</f>
        <v/>
      </c>
      <c r="C73" s="18">
        <f>IF(OR(A73="",UPPER($B$3)&lt;&gt;"CHICAGO"),"",IF(A73&lt;=($B$10*$B$9),$B$11*((1-$B$13)*(((($B$10*$B$9)-A73))/$B$10)+$B$12)/((((($B$10*$B$9)-A73))/$B$10)+$B$12)^($B$13+1),$B$11*((1-$B$13)*(((A73-($B$10*$B$9)))/(1-$B$10))+$B$12)/((((A73-($B$10*$B$9)))/(1-$B$10))+$B$12)^($B$13+1)))</f>
        <v/>
      </c>
    </row>
    <row r="74">
      <c r="A74" s="5">
        <f>IF(A73="","",IF(AND(UPPER($B$3)="CHICAGO",A73&lt;($B$10*$B$9),A73+$B$8&gt;($B$10*$B$9)),($B$10*$B$9),IF(A73+$B$8&gt;(IF(UPPER($B$3)="CHICAGO",$B$9,$B$6+$B$7)),"",A73+$B$8)))</f>
        <v/>
      </c>
      <c r="B74" s="18">
        <f>IF(A74="","",IF(UPPER($B$3)="CHICAGO",IF($B$15&lt;=0,0,$B$5*C74/$B$15),IF(A74&lt;=$B$6,$B$5*A74/$B$6,MAX(0,$B$5*(1-(A74-$B$6)/$B$7)))))</f>
        <v/>
      </c>
      <c r="C74" s="18">
        <f>IF(OR(A74="",UPPER($B$3)&lt;&gt;"CHICAGO"),"",IF(A74&lt;=($B$10*$B$9),$B$11*((1-$B$13)*(((($B$10*$B$9)-A74))/$B$10)+$B$12)/((((($B$10*$B$9)-A74))/$B$10)+$B$12)^($B$13+1),$B$11*((1-$B$13)*(((A74-($B$10*$B$9)))/(1-$B$10))+$B$12)/((((A74-($B$10*$B$9)))/(1-$B$10))+$B$12)^($B$13+1)))</f>
        <v/>
      </c>
    </row>
    <row r="75">
      <c r="A75" s="5">
        <f>IF(A74="","",IF(AND(UPPER($B$3)="CHICAGO",A74&lt;($B$10*$B$9),A74+$B$8&gt;($B$10*$B$9)),($B$10*$B$9),IF(A74+$B$8&gt;(IF(UPPER($B$3)="CHICAGO",$B$9,$B$6+$B$7)),"",A74+$B$8)))</f>
        <v/>
      </c>
      <c r="B75" s="18">
        <f>IF(A75="","",IF(UPPER($B$3)="CHICAGO",IF($B$15&lt;=0,0,$B$5*C75/$B$15),IF(A75&lt;=$B$6,$B$5*A75/$B$6,MAX(0,$B$5*(1-(A75-$B$6)/$B$7)))))</f>
        <v/>
      </c>
      <c r="C75" s="18">
        <f>IF(OR(A75="",UPPER($B$3)&lt;&gt;"CHICAGO"),"",IF(A75&lt;=($B$10*$B$9),$B$11*((1-$B$13)*(((($B$10*$B$9)-A75))/$B$10)+$B$12)/((((($B$10*$B$9)-A75))/$B$10)+$B$12)^($B$13+1),$B$11*((1-$B$13)*(((A75-($B$10*$B$9)))/(1-$B$10))+$B$12)/((((A75-($B$10*$B$9)))/(1-$B$10))+$B$12)^($B$13+1)))</f>
        <v/>
      </c>
    </row>
    <row r="76">
      <c r="A76" s="5">
        <f>IF(A75="","",IF(AND(UPPER($B$3)="CHICAGO",A75&lt;($B$10*$B$9),A75+$B$8&gt;($B$10*$B$9)),($B$10*$B$9),IF(A75+$B$8&gt;(IF(UPPER($B$3)="CHICAGO",$B$9,$B$6+$B$7)),"",A75+$B$8)))</f>
        <v/>
      </c>
      <c r="B76" s="18">
        <f>IF(A76="","",IF(UPPER($B$3)="CHICAGO",IF($B$15&lt;=0,0,$B$5*C76/$B$15),IF(A76&lt;=$B$6,$B$5*A76/$B$6,MAX(0,$B$5*(1-(A76-$B$6)/$B$7)))))</f>
        <v/>
      </c>
      <c r="C76" s="18">
        <f>IF(OR(A76="",UPPER($B$3)&lt;&gt;"CHICAGO"),"",IF(A76&lt;=($B$10*$B$9),$B$11*((1-$B$13)*(((($B$10*$B$9)-A76))/$B$10)+$B$12)/((((($B$10*$B$9)-A76))/$B$10)+$B$12)^($B$13+1),$B$11*((1-$B$13)*(((A76-($B$10*$B$9)))/(1-$B$10))+$B$12)/((((A76-($B$10*$B$9)))/(1-$B$10))+$B$12)^($B$13+1)))</f>
        <v/>
      </c>
    </row>
    <row r="77">
      <c r="A77" s="5">
        <f>IF(A76="","",IF(AND(UPPER($B$3)="CHICAGO",A76&lt;($B$10*$B$9),A76+$B$8&gt;($B$10*$B$9)),($B$10*$B$9),IF(A76+$B$8&gt;(IF(UPPER($B$3)="CHICAGO",$B$9,$B$6+$B$7)),"",A76+$B$8)))</f>
        <v/>
      </c>
      <c r="B77" s="18">
        <f>IF(A77="","",IF(UPPER($B$3)="CHICAGO",IF($B$15&lt;=0,0,$B$5*C77/$B$15),IF(A77&lt;=$B$6,$B$5*A77/$B$6,MAX(0,$B$5*(1-(A77-$B$6)/$B$7)))))</f>
        <v/>
      </c>
      <c r="C77" s="18">
        <f>IF(OR(A77="",UPPER($B$3)&lt;&gt;"CHICAGO"),"",IF(A77&lt;=($B$10*$B$9),$B$11*((1-$B$13)*(((($B$10*$B$9)-A77))/$B$10)+$B$12)/((((($B$10*$B$9)-A77))/$B$10)+$B$12)^($B$13+1),$B$11*((1-$B$13)*(((A77-($B$10*$B$9)))/(1-$B$10))+$B$12)/((((A77-($B$10*$B$9)))/(1-$B$10))+$B$12)^($B$13+1)))</f>
        <v/>
      </c>
    </row>
    <row r="78">
      <c r="A78" s="5">
        <f>IF(A77="","",IF(AND(UPPER($B$3)="CHICAGO",A77&lt;($B$10*$B$9),A77+$B$8&gt;($B$10*$B$9)),($B$10*$B$9),IF(A77+$B$8&gt;(IF(UPPER($B$3)="CHICAGO",$B$9,$B$6+$B$7)),"",A77+$B$8)))</f>
        <v/>
      </c>
      <c r="B78" s="18">
        <f>IF(A78="","",IF(UPPER($B$3)="CHICAGO",IF($B$15&lt;=0,0,$B$5*C78/$B$15),IF(A78&lt;=$B$6,$B$5*A78/$B$6,MAX(0,$B$5*(1-(A78-$B$6)/$B$7)))))</f>
        <v/>
      </c>
      <c r="C78" s="18">
        <f>IF(OR(A78="",UPPER($B$3)&lt;&gt;"CHICAGO"),"",IF(A78&lt;=($B$10*$B$9),$B$11*((1-$B$13)*(((($B$10*$B$9)-A78))/$B$10)+$B$12)/((((($B$10*$B$9)-A78))/$B$10)+$B$12)^($B$13+1),$B$11*((1-$B$13)*(((A78-($B$10*$B$9)))/(1-$B$10))+$B$12)/((((A78-($B$10*$B$9)))/(1-$B$10))+$B$12)^($B$13+1)))</f>
        <v/>
      </c>
    </row>
    <row r="79">
      <c r="A79" s="5">
        <f>IF(A78="","",IF(AND(UPPER($B$3)="CHICAGO",A78&lt;($B$10*$B$9),A78+$B$8&gt;($B$10*$B$9)),($B$10*$B$9),IF(A78+$B$8&gt;(IF(UPPER($B$3)="CHICAGO",$B$9,$B$6+$B$7)),"",A78+$B$8)))</f>
        <v/>
      </c>
      <c r="B79" s="18">
        <f>IF(A79="","",IF(UPPER($B$3)="CHICAGO",IF($B$15&lt;=0,0,$B$5*C79/$B$15),IF(A79&lt;=$B$6,$B$5*A79/$B$6,MAX(0,$B$5*(1-(A79-$B$6)/$B$7)))))</f>
        <v/>
      </c>
      <c r="C79" s="18">
        <f>IF(OR(A79="",UPPER($B$3)&lt;&gt;"CHICAGO"),"",IF(A79&lt;=($B$10*$B$9),$B$11*((1-$B$13)*(((($B$10*$B$9)-A79))/$B$10)+$B$12)/((((($B$10*$B$9)-A79))/$B$10)+$B$12)^($B$13+1),$B$11*((1-$B$13)*(((A79-($B$10*$B$9)))/(1-$B$10))+$B$12)/((((A79-($B$10*$B$9)))/(1-$B$10))+$B$12)^($B$13+1)))</f>
        <v/>
      </c>
    </row>
    <row r="80">
      <c r="A80" s="5">
        <f>IF(A79="","",IF(AND(UPPER($B$3)="CHICAGO",A79&lt;($B$10*$B$9),A79+$B$8&gt;($B$10*$B$9)),($B$10*$B$9),IF(A79+$B$8&gt;(IF(UPPER($B$3)="CHICAGO",$B$9,$B$6+$B$7)),"",A79+$B$8)))</f>
        <v/>
      </c>
      <c r="B80" s="18">
        <f>IF(A80="","",IF(UPPER($B$3)="CHICAGO",IF($B$15&lt;=0,0,$B$5*C80/$B$15),IF(A80&lt;=$B$6,$B$5*A80/$B$6,MAX(0,$B$5*(1-(A80-$B$6)/$B$7)))))</f>
        <v/>
      </c>
      <c r="C80" s="18">
        <f>IF(OR(A80="",UPPER($B$3)&lt;&gt;"CHICAGO"),"",IF(A80&lt;=($B$10*$B$9),$B$11*((1-$B$13)*(((($B$10*$B$9)-A80))/$B$10)+$B$12)/((((($B$10*$B$9)-A80))/$B$10)+$B$12)^($B$13+1),$B$11*((1-$B$13)*(((A80-($B$10*$B$9)))/(1-$B$10))+$B$12)/((((A80-($B$10*$B$9)))/(1-$B$10))+$B$12)^($B$13+1)))</f>
        <v/>
      </c>
    </row>
    <row r="81">
      <c r="A81" s="5">
        <f>IF(A80="","",IF(AND(UPPER($B$3)="CHICAGO",A80&lt;($B$10*$B$9),A80+$B$8&gt;($B$10*$B$9)),($B$10*$B$9),IF(A80+$B$8&gt;(IF(UPPER($B$3)="CHICAGO",$B$9,$B$6+$B$7)),"",A80+$B$8)))</f>
        <v/>
      </c>
      <c r="B81" s="18">
        <f>IF(A81="","",IF(UPPER($B$3)="CHICAGO",IF($B$15&lt;=0,0,$B$5*C81/$B$15),IF(A81&lt;=$B$6,$B$5*A81/$B$6,MAX(0,$B$5*(1-(A81-$B$6)/$B$7)))))</f>
        <v/>
      </c>
      <c r="C81" s="18">
        <f>IF(OR(A81="",UPPER($B$3)&lt;&gt;"CHICAGO"),"",IF(A81&lt;=($B$10*$B$9),$B$11*((1-$B$13)*(((($B$10*$B$9)-A81))/$B$10)+$B$12)/((((($B$10*$B$9)-A81))/$B$10)+$B$12)^($B$13+1),$B$11*((1-$B$13)*(((A81-($B$10*$B$9)))/(1-$B$10))+$B$12)/((((A81-($B$10*$B$9)))/(1-$B$10))+$B$12)^($B$13+1)))</f>
        <v/>
      </c>
    </row>
    <row r="82">
      <c r="A82" s="5">
        <f>IF(A81="","",IF(AND(UPPER($B$3)="CHICAGO",A81&lt;($B$10*$B$9),A81+$B$8&gt;($B$10*$B$9)),($B$10*$B$9),IF(A81+$B$8&gt;(IF(UPPER($B$3)="CHICAGO",$B$9,$B$6+$B$7)),"",A81+$B$8)))</f>
        <v/>
      </c>
      <c r="B82" s="18">
        <f>IF(A82="","",IF(UPPER($B$3)="CHICAGO",IF($B$15&lt;=0,0,$B$5*C82/$B$15),IF(A82&lt;=$B$6,$B$5*A82/$B$6,MAX(0,$B$5*(1-(A82-$B$6)/$B$7)))))</f>
        <v/>
      </c>
      <c r="C82" s="18">
        <f>IF(OR(A82="",UPPER($B$3)&lt;&gt;"CHICAGO"),"",IF(A82&lt;=($B$10*$B$9),$B$11*((1-$B$13)*(((($B$10*$B$9)-A82))/$B$10)+$B$12)/((((($B$10*$B$9)-A82))/$B$10)+$B$12)^($B$13+1),$B$11*((1-$B$13)*(((A82-($B$10*$B$9)))/(1-$B$10))+$B$12)/((((A82-($B$10*$B$9)))/(1-$B$10))+$B$12)^($B$13+1)))</f>
        <v/>
      </c>
    </row>
    <row r="83">
      <c r="A83" s="5">
        <f>IF(A82="","",IF(AND(UPPER($B$3)="CHICAGO",A82&lt;($B$10*$B$9),A82+$B$8&gt;($B$10*$B$9)),($B$10*$B$9),IF(A82+$B$8&gt;(IF(UPPER($B$3)="CHICAGO",$B$9,$B$6+$B$7)),"",A82+$B$8)))</f>
        <v/>
      </c>
      <c r="B83" s="18">
        <f>IF(A83="","",IF(UPPER($B$3)="CHICAGO",IF($B$15&lt;=0,0,$B$5*C83/$B$15),IF(A83&lt;=$B$6,$B$5*A83/$B$6,MAX(0,$B$5*(1-(A83-$B$6)/$B$7)))))</f>
        <v/>
      </c>
      <c r="C83" s="18">
        <f>IF(OR(A83="",UPPER($B$3)&lt;&gt;"CHICAGO"),"",IF(A83&lt;=($B$10*$B$9),$B$11*((1-$B$13)*(((($B$10*$B$9)-A83))/$B$10)+$B$12)/((((($B$10*$B$9)-A83))/$B$10)+$B$12)^($B$13+1),$B$11*((1-$B$13)*(((A83-($B$10*$B$9)))/(1-$B$10))+$B$12)/((((A83-($B$10*$B$9)))/(1-$B$10))+$B$12)^($B$13+1)))</f>
        <v/>
      </c>
    </row>
    <row r="84">
      <c r="A84" s="5">
        <f>IF(A83="","",IF(AND(UPPER($B$3)="CHICAGO",A83&lt;($B$10*$B$9),A83+$B$8&gt;($B$10*$B$9)),($B$10*$B$9),IF(A83+$B$8&gt;(IF(UPPER($B$3)="CHICAGO",$B$9,$B$6+$B$7)),"",A83+$B$8)))</f>
        <v/>
      </c>
      <c r="B84" s="18">
        <f>IF(A84="","",IF(UPPER($B$3)="CHICAGO",IF($B$15&lt;=0,0,$B$5*C84/$B$15),IF(A84&lt;=$B$6,$B$5*A84/$B$6,MAX(0,$B$5*(1-(A84-$B$6)/$B$7)))))</f>
        <v/>
      </c>
      <c r="C84" s="18">
        <f>IF(OR(A84="",UPPER($B$3)&lt;&gt;"CHICAGO"),"",IF(A84&lt;=($B$10*$B$9),$B$11*((1-$B$13)*(((($B$10*$B$9)-A84))/$B$10)+$B$12)/((((($B$10*$B$9)-A84))/$B$10)+$B$12)^($B$13+1),$B$11*((1-$B$13)*(((A84-($B$10*$B$9)))/(1-$B$10))+$B$12)/((((A84-($B$10*$B$9)))/(1-$B$10))+$B$12)^($B$13+1)))</f>
        <v/>
      </c>
    </row>
    <row r="85">
      <c r="A85" s="5">
        <f>IF(A84="","",IF(AND(UPPER($B$3)="CHICAGO",A84&lt;($B$10*$B$9),A84+$B$8&gt;($B$10*$B$9)),($B$10*$B$9),IF(A84+$B$8&gt;(IF(UPPER($B$3)="CHICAGO",$B$9,$B$6+$B$7)),"",A84+$B$8)))</f>
        <v/>
      </c>
      <c r="B85" s="18">
        <f>IF(A85="","",IF(UPPER($B$3)="CHICAGO",IF($B$15&lt;=0,0,$B$5*C85/$B$15),IF(A85&lt;=$B$6,$B$5*A85/$B$6,MAX(0,$B$5*(1-(A85-$B$6)/$B$7)))))</f>
        <v/>
      </c>
      <c r="C85" s="18">
        <f>IF(OR(A85="",UPPER($B$3)&lt;&gt;"CHICAGO"),"",IF(A85&lt;=($B$10*$B$9),$B$11*((1-$B$13)*(((($B$10*$B$9)-A85))/$B$10)+$B$12)/((((($B$10*$B$9)-A85))/$B$10)+$B$12)^($B$13+1),$B$11*((1-$B$13)*(((A85-($B$10*$B$9)))/(1-$B$10))+$B$12)/((((A85-($B$10*$B$9)))/(1-$B$10))+$B$12)^($B$13+1)))</f>
        <v/>
      </c>
    </row>
    <row r="86">
      <c r="A86" s="5">
        <f>IF(A85="","",IF(AND(UPPER($B$3)="CHICAGO",A85&lt;($B$10*$B$9),A85+$B$8&gt;($B$10*$B$9)),($B$10*$B$9),IF(A85+$B$8&gt;(IF(UPPER($B$3)="CHICAGO",$B$9,$B$6+$B$7)),"",A85+$B$8)))</f>
        <v/>
      </c>
      <c r="B86" s="18">
        <f>IF(A86="","",IF(UPPER($B$3)="CHICAGO",IF($B$15&lt;=0,0,$B$5*C86/$B$15),IF(A86&lt;=$B$6,$B$5*A86/$B$6,MAX(0,$B$5*(1-(A86-$B$6)/$B$7)))))</f>
        <v/>
      </c>
      <c r="C86" s="18">
        <f>IF(OR(A86="",UPPER($B$3)&lt;&gt;"CHICAGO"),"",IF(A86&lt;=($B$10*$B$9),$B$11*((1-$B$13)*(((($B$10*$B$9)-A86))/$B$10)+$B$12)/((((($B$10*$B$9)-A86))/$B$10)+$B$12)^($B$13+1),$B$11*((1-$B$13)*(((A86-($B$10*$B$9)))/(1-$B$10))+$B$12)/((((A86-($B$10*$B$9)))/(1-$B$10))+$B$12)^($B$13+1)))</f>
        <v/>
      </c>
    </row>
    <row r="87">
      <c r="A87" s="5">
        <f>IF(A86="","",IF(AND(UPPER($B$3)="CHICAGO",A86&lt;($B$10*$B$9),A86+$B$8&gt;($B$10*$B$9)),($B$10*$B$9),IF(A86+$B$8&gt;(IF(UPPER($B$3)="CHICAGO",$B$9,$B$6+$B$7)),"",A86+$B$8)))</f>
        <v/>
      </c>
      <c r="B87" s="18">
        <f>IF(A87="","",IF(UPPER($B$3)="CHICAGO",IF($B$15&lt;=0,0,$B$5*C87/$B$15),IF(A87&lt;=$B$6,$B$5*A87/$B$6,MAX(0,$B$5*(1-(A87-$B$6)/$B$7)))))</f>
        <v/>
      </c>
      <c r="C87" s="18">
        <f>IF(OR(A87="",UPPER($B$3)&lt;&gt;"CHICAGO"),"",IF(A87&lt;=($B$10*$B$9),$B$11*((1-$B$13)*(((($B$10*$B$9)-A87))/$B$10)+$B$12)/((((($B$10*$B$9)-A87))/$B$10)+$B$12)^($B$13+1),$B$11*((1-$B$13)*(((A87-($B$10*$B$9)))/(1-$B$10))+$B$12)/((((A87-($B$10*$B$9)))/(1-$B$10))+$B$12)^($B$13+1)))</f>
        <v/>
      </c>
    </row>
    <row r="88">
      <c r="A88" s="5">
        <f>IF(A87="","",IF(AND(UPPER($B$3)="CHICAGO",A87&lt;($B$10*$B$9),A87+$B$8&gt;($B$10*$B$9)),($B$10*$B$9),IF(A87+$B$8&gt;(IF(UPPER($B$3)="CHICAGO",$B$9,$B$6+$B$7)),"",A87+$B$8)))</f>
        <v/>
      </c>
      <c r="B88" s="18">
        <f>IF(A88="","",IF(UPPER($B$3)="CHICAGO",IF($B$15&lt;=0,0,$B$5*C88/$B$15),IF(A88&lt;=$B$6,$B$5*A88/$B$6,MAX(0,$B$5*(1-(A88-$B$6)/$B$7)))))</f>
        <v/>
      </c>
      <c r="C88" s="18">
        <f>IF(OR(A88="",UPPER($B$3)&lt;&gt;"CHICAGO"),"",IF(A88&lt;=($B$10*$B$9),$B$11*((1-$B$13)*(((($B$10*$B$9)-A88))/$B$10)+$B$12)/((((($B$10*$B$9)-A88))/$B$10)+$B$12)^($B$13+1),$B$11*((1-$B$13)*(((A88-($B$10*$B$9)))/(1-$B$10))+$B$12)/((((A88-($B$10*$B$9)))/(1-$B$10))+$B$12)^($B$13+1)))</f>
        <v/>
      </c>
    </row>
    <row r="89">
      <c r="A89" s="5">
        <f>IF(A88="","",IF(AND(UPPER($B$3)="CHICAGO",A88&lt;($B$10*$B$9),A88+$B$8&gt;($B$10*$B$9)),($B$10*$B$9),IF(A88+$B$8&gt;(IF(UPPER($B$3)="CHICAGO",$B$9,$B$6+$B$7)),"",A88+$B$8)))</f>
        <v/>
      </c>
      <c r="B89" s="18">
        <f>IF(A89="","",IF(UPPER($B$3)="CHICAGO",IF($B$15&lt;=0,0,$B$5*C89/$B$15),IF(A89&lt;=$B$6,$B$5*A89/$B$6,MAX(0,$B$5*(1-(A89-$B$6)/$B$7)))))</f>
        <v/>
      </c>
      <c r="C89" s="18">
        <f>IF(OR(A89="",UPPER($B$3)&lt;&gt;"CHICAGO"),"",IF(A89&lt;=($B$10*$B$9),$B$11*((1-$B$13)*(((($B$10*$B$9)-A89))/$B$10)+$B$12)/((((($B$10*$B$9)-A89))/$B$10)+$B$12)^($B$13+1),$B$11*((1-$B$13)*(((A89-($B$10*$B$9)))/(1-$B$10))+$B$12)/((((A89-($B$10*$B$9)))/(1-$B$10))+$B$12)^($B$13+1)))</f>
        <v/>
      </c>
    </row>
    <row r="90">
      <c r="A90" s="5">
        <f>IF(A89="","",IF(AND(UPPER($B$3)="CHICAGO",A89&lt;($B$10*$B$9),A89+$B$8&gt;($B$10*$B$9)),($B$10*$B$9),IF(A89+$B$8&gt;(IF(UPPER($B$3)="CHICAGO",$B$9,$B$6+$B$7)),"",A89+$B$8)))</f>
        <v/>
      </c>
      <c r="B90" s="18">
        <f>IF(A90="","",IF(UPPER($B$3)="CHICAGO",IF($B$15&lt;=0,0,$B$5*C90/$B$15),IF(A90&lt;=$B$6,$B$5*A90/$B$6,MAX(0,$B$5*(1-(A90-$B$6)/$B$7)))))</f>
        <v/>
      </c>
      <c r="C90" s="18">
        <f>IF(OR(A90="",UPPER($B$3)&lt;&gt;"CHICAGO"),"",IF(A90&lt;=($B$10*$B$9),$B$11*((1-$B$13)*(((($B$10*$B$9)-A90))/$B$10)+$B$12)/((((($B$10*$B$9)-A90))/$B$10)+$B$12)^($B$13+1),$B$11*((1-$B$13)*(((A90-($B$10*$B$9)))/(1-$B$10))+$B$12)/((((A90-($B$10*$B$9)))/(1-$B$10))+$B$12)^($B$13+1)))</f>
        <v/>
      </c>
    </row>
    <row r="91">
      <c r="A91" s="5">
        <f>IF(A90="","",IF(AND(UPPER($B$3)="CHICAGO",A90&lt;($B$10*$B$9),A90+$B$8&gt;($B$10*$B$9)),($B$10*$B$9),IF(A90+$B$8&gt;(IF(UPPER($B$3)="CHICAGO",$B$9,$B$6+$B$7)),"",A90+$B$8)))</f>
        <v/>
      </c>
      <c r="B91" s="18">
        <f>IF(A91="","",IF(UPPER($B$3)="CHICAGO",IF($B$15&lt;=0,0,$B$5*C91/$B$15),IF(A91&lt;=$B$6,$B$5*A91/$B$6,MAX(0,$B$5*(1-(A91-$B$6)/$B$7)))))</f>
        <v/>
      </c>
      <c r="C91" s="18">
        <f>IF(OR(A91="",UPPER($B$3)&lt;&gt;"CHICAGO"),"",IF(A91&lt;=($B$10*$B$9),$B$11*((1-$B$13)*(((($B$10*$B$9)-A91))/$B$10)+$B$12)/((((($B$10*$B$9)-A91))/$B$10)+$B$12)^($B$13+1),$B$11*((1-$B$13)*(((A91-($B$10*$B$9)))/(1-$B$10))+$B$12)/((((A91-($B$10*$B$9)))/(1-$B$10))+$B$12)^($B$13+1)))</f>
        <v/>
      </c>
    </row>
    <row r="92">
      <c r="A92" s="5">
        <f>IF(A91="","",IF(AND(UPPER($B$3)="CHICAGO",A91&lt;($B$10*$B$9),A91+$B$8&gt;($B$10*$B$9)),($B$10*$B$9),IF(A91+$B$8&gt;(IF(UPPER($B$3)="CHICAGO",$B$9,$B$6+$B$7)),"",A91+$B$8)))</f>
        <v/>
      </c>
      <c r="B92" s="18">
        <f>IF(A92="","",IF(UPPER($B$3)="CHICAGO",IF($B$15&lt;=0,0,$B$5*C92/$B$15),IF(A92&lt;=$B$6,$B$5*A92/$B$6,MAX(0,$B$5*(1-(A92-$B$6)/$B$7)))))</f>
        <v/>
      </c>
      <c r="C92" s="18">
        <f>IF(OR(A92="",UPPER($B$3)&lt;&gt;"CHICAGO"),"",IF(A92&lt;=($B$10*$B$9),$B$11*((1-$B$13)*(((($B$10*$B$9)-A92))/$B$10)+$B$12)/((((($B$10*$B$9)-A92))/$B$10)+$B$12)^($B$13+1),$B$11*((1-$B$13)*(((A92-($B$10*$B$9)))/(1-$B$10))+$B$12)/((((A92-($B$10*$B$9)))/(1-$B$10))+$B$12)^($B$13+1)))</f>
        <v/>
      </c>
    </row>
    <row r="93">
      <c r="A93" s="5">
        <f>IF(A92="","",IF(AND(UPPER($B$3)="CHICAGO",A92&lt;($B$10*$B$9),A92+$B$8&gt;($B$10*$B$9)),($B$10*$B$9),IF(A92+$B$8&gt;(IF(UPPER($B$3)="CHICAGO",$B$9,$B$6+$B$7)),"",A92+$B$8)))</f>
        <v/>
      </c>
      <c r="B93" s="18">
        <f>IF(A93="","",IF(UPPER($B$3)="CHICAGO",IF($B$15&lt;=0,0,$B$5*C93/$B$15),IF(A93&lt;=$B$6,$B$5*A93/$B$6,MAX(0,$B$5*(1-(A93-$B$6)/$B$7)))))</f>
        <v/>
      </c>
      <c r="C93" s="18">
        <f>IF(OR(A93="",UPPER($B$3)&lt;&gt;"CHICAGO"),"",IF(A93&lt;=($B$10*$B$9),$B$11*((1-$B$13)*(((($B$10*$B$9)-A93))/$B$10)+$B$12)/((((($B$10*$B$9)-A93))/$B$10)+$B$12)^($B$13+1),$B$11*((1-$B$13)*(((A93-($B$10*$B$9)))/(1-$B$10))+$B$12)/((((A93-($B$10*$B$9)))/(1-$B$10))+$B$12)^($B$13+1)))</f>
        <v/>
      </c>
    </row>
    <row r="94">
      <c r="A94" s="5">
        <f>IF(A93="","",IF(AND(UPPER($B$3)="CHICAGO",A93&lt;($B$10*$B$9),A93+$B$8&gt;($B$10*$B$9)),($B$10*$B$9),IF(A93+$B$8&gt;(IF(UPPER($B$3)="CHICAGO",$B$9,$B$6+$B$7)),"",A93+$B$8)))</f>
        <v/>
      </c>
      <c r="B94" s="18">
        <f>IF(A94="","",IF(UPPER($B$3)="CHICAGO",IF($B$15&lt;=0,0,$B$5*C94/$B$15),IF(A94&lt;=$B$6,$B$5*A94/$B$6,MAX(0,$B$5*(1-(A94-$B$6)/$B$7)))))</f>
        <v/>
      </c>
      <c r="C94" s="18">
        <f>IF(OR(A94="",UPPER($B$3)&lt;&gt;"CHICAGO"),"",IF(A94&lt;=($B$10*$B$9),$B$11*((1-$B$13)*(((($B$10*$B$9)-A94))/$B$10)+$B$12)/((((($B$10*$B$9)-A94))/$B$10)+$B$12)^($B$13+1),$B$11*((1-$B$13)*(((A94-($B$10*$B$9)))/(1-$B$10))+$B$12)/((((A94-($B$10*$B$9)))/(1-$B$10))+$B$12)^($B$13+1)))</f>
        <v/>
      </c>
    </row>
    <row r="95">
      <c r="A95" s="5">
        <f>IF(A94="","",IF(AND(UPPER($B$3)="CHICAGO",A94&lt;($B$10*$B$9),A94+$B$8&gt;($B$10*$B$9)),($B$10*$B$9),IF(A94+$B$8&gt;(IF(UPPER($B$3)="CHICAGO",$B$9,$B$6+$B$7)),"",A94+$B$8)))</f>
        <v/>
      </c>
      <c r="B95" s="18">
        <f>IF(A95="","",IF(UPPER($B$3)="CHICAGO",IF($B$15&lt;=0,0,$B$5*C95/$B$15),IF(A95&lt;=$B$6,$B$5*A95/$B$6,MAX(0,$B$5*(1-(A95-$B$6)/$B$7)))))</f>
        <v/>
      </c>
      <c r="C95" s="18">
        <f>IF(OR(A95="",UPPER($B$3)&lt;&gt;"CHICAGO"),"",IF(A95&lt;=($B$10*$B$9),$B$11*((1-$B$13)*(((($B$10*$B$9)-A95))/$B$10)+$B$12)/((((($B$10*$B$9)-A95))/$B$10)+$B$12)^($B$13+1),$B$11*((1-$B$13)*(((A95-($B$10*$B$9)))/(1-$B$10))+$B$12)/((((A95-($B$10*$B$9)))/(1-$B$10))+$B$12)^($B$13+1)))</f>
        <v/>
      </c>
    </row>
    <row r="96">
      <c r="A96" s="5">
        <f>IF(A95="","",IF(AND(UPPER($B$3)="CHICAGO",A95&lt;($B$10*$B$9),A95+$B$8&gt;($B$10*$B$9)),($B$10*$B$9),IF(A95+$B$8&gt;(IF(UPPER($B$3)="CHICAGO",$B$9,$B$6+$B$7)),"",A95+$B$8)))</f>
        <v/>
      </c>
      <c r="B96" s="18">
        <f>IF(A96="","",IF(UPPER($B$3)="CHICAGO",IF($B$15&lt;=0,0,$B$5*C96/$B$15),IF(A96&lt;=$B$6,$B$5*A96/$B$6,MAX(0,$B$5*(1-(A96-$B$6)/$B$7)))))</f>
        <v/>
      </c>
      <c r="C96" s="18">
        <f>IF(OR(A96="",UPPER($B$3)&lt;&gt;"CHICAGO"),"",IF(A96&lt;=($B$10*$B$9),$B$11*((1-$B$13)*(((($B$10*$B$9)-A96))/$B$10)+$B$12)/((((($B$10*$B$9)-A96))/$B$10)+$B$12)^($B$13+1),$B$11*((1-$B$13)*(((A96-($B$10*$B$9)))/(1-$B$10))+$B$12)/((((A96-($B$10*$B$9)))/(1-$B$10))+$B$12)^($B$13+1)))</f>
        <v/>
      </c>
    </row>
    <row r="97">
      <c r="A97" s="5">
        <f>IF(A96="","",IF(AND(UPPER($B$3)="CHICAGO",A96&lt;($B$10*$B$9),A96+$B$8&gt;($B$10*$B$9)),($B$10*$B$9),IF(A96+$B$8&gt;(IF(UPPER($B$3)="CHICAGO",$B$9,$B$6+$B$7)),"",A96+$B$8)))</f>
        <v/>
      </c>
      <c r="B97" s="18">
        <f>IF(A97="","",IF(UPPER($B$3)="CHICAGO",IF($B$15&lt;=0,0,$B$5*C97/$B$15),IF(A97&lt;=$B$6,$B$5*A97/$B$6,MAX(0,$B$5*(1-(A97-$B$6)/$B$7)))))</f>
        <v/>
      </c>
      <c r="C97" s="18">
        <f>IF(OR(A97="",UPPER($B$3)&lt;&gt;"CHICAGO"),"",IF(A97&lt;=($B$10*$B$9),$B$11*((1-$B$13)*(((($B$10*$B$9)-A97))/$B$10)+$B$12)/((((($B$10*$B$9)-A97))/$B$10)+$B$12)^($B$13+1),$B$11*((1-$B$13)*(((A97-($B$10*$B$9)))/(1-$B$10))+$B$12)/((((A97-($B$10*$B$9)))/(1-$B$10))+$B$12)^($B$13+1)))</f>
        <v/>
      </c>
    </row>
    <row r="98">
      <c r="A98" s="5">
        <f>IF(A97="","",IF(AND(UPPER($B$3)="CHICAGO",A97&lt;($B$10*$B$9),A97+$B$8&gt;($B$10*$B$9)),($B$10*$B$9),IF(A97+$B$8&gt;(IF(UPPER($B$3)="CHICAGO",$B$9,$B$6+$B$7)),"",A97+$B$8)))</f>
        <v/>
      </c>
      <c r="B98" s="18">
        <f>IF(A98="","",IF(UPPER($B$3)="CHICAGO",IF($B$15&lt;=0,0,$B$5*C98/$B$15),IF(A98&lt;=$B$6,$B$5*A98/$B$6,MAX(0,$B$5*(1-(A98-$B$6)/$B$7)))))</f>
        <v/>
      </c>
      <c r="C98" s="18">
        <f>IF(OR(A98="",UPPER($B$3)&lt;&gt;"CHICAGO"),"",IF(A98&lt;=($B$10*$B$9),$B$11*((1-$B$13)*(((($B$10*$B$9)-A98))/$B$10)+$B$12)/((((($B$10*$B$9)-A98))/$B$10)+$B$12)^($B$13+1),$B$11*((1-$B$13)*(((A98-($B$10*$B$9)))/(1-$B$10))+$B$12)/((((A98-($B$10*$B$9)))/(1-$B$10))+$B$12)^($B$13+1)))</f>
        <v/>
      </c>
    </row>
    <row r="99">
      <c r="A99" s="5">
        <f>IF(A98="","",IF(AND(UPPER($B$3)="CHICAGO",A98&lt;($B$10*$B$9),A98+$B$8&gt;($B$10*$B$9)),($B$10*$B$9),IF(A98+$B$8&gt;(IF(UPPER($B$3)="CHICAGO",$B$9,$B$6+$B$7)),"",A98+$B$8)))</f>
        <v/>
      </c>
      <c r="B99" s="18">
        <f>IF(A99="","",IF(UPPER($B$3)="CHICAGO",IF($B$15&lt;=0,0,$B$5*C99/$B$15),IF(A99&lt;=$B$6,$B$5*A99/$B$6,MAX(0,$B$5*(1-(A99-$B$6)/$B$7)))))</f>
        <v/>
      </c>
      <c r="C99" s="18">
        <f>IF(OR(A99="",UPPER($B$3)&lt;&gt;"CHICAGO"),"",IF(A99&lt;=($B$10*$B$9),$B$11*((1-$B$13)*(((($B$10*$B$9)-A99))/$B$10)+$B$12)/((((($B$10*$B$9)-A99))/$B$10)+$B$12)^($B$13+1),$B$11*((1-$B$13)*(((A99-($B$10*$B$9)))/(1-$B$10))+$B$12)/((((A99-($B$10*$B$9)))/(1-$B$10))+$B$12)^($B$13+1)))</f>
        <v/>
      </c>
    </row>
    <row r="100">
      <c r="A100" s="5">
        <f>IF(A99="","",IF(AND(UPPER($B$3)="CHICAGO",A99&lt;($B$10*$B$9),A99+$B$8&gt;($B$10*$B$9)),($B$10*$B$9),IF(A99+$B$8&gt;(IF(UPPER($B$3)="CHICAGO",$B$9,$B$6+$B$7)),"",A99+$B$8)))</f>
        <v/>
      </c>
      <c r="B100" s="18">
        <f>IF(A100="","",IF(UPPER($B$3)="CHICAGO",IF($B$15&lt;=0,0,$B$5*C100/$B$15),IF(A100&lt;=$B$6,$B$5*A100/$B$6,MAX(0,$B$5*(1-(A100-$B$6)/$B$7)))))</f>
        <v/>
      </c>
      <c r="C100" s="18">
        <f>IF(OR(A100="",UPPER($B$3)&lt;&gt;"CHICAGO"),"",IF(A100&lt;=($B$10*$B$9),$B$11*((1-$B$13)*(((($B$10*$B$9)-A100))/$B$10)+$B$12)/((((($B$10*$B$9)-A100))/$B$10)+$B$12)^($B$13+1),$B$11*((1-$B$13)*(((A100-($B$10*$B$9)))/(1-$B$10))+$B$12)/((((A100-($B$10*$B$9)))/(1-$B$10))+$B$12)^($B$13+1)))</f>
        <v/>
      </c>
    </row>
    <row r="101">
      <c r="A101" s="5">
        <f>IF(A100="","",IF(AND(UPPER($B$3)="CHICAGO",A100&lt;($B$10*$B$9),A100+$B$8&gt;($B$10*$B$9)),($B$10*$B$9),IF(A100+$B$8&gt;(IF(UPPER($B$3)="CHICAGO",$B$9,$B$6+$B$7)),"",A100+$B$8)))</f>
        <v/>
      </c>
      <c r="B101" s="18">
        <f>IF(A101="","",IF(UPPER($B$3)="CHICAGO",IF($B$15&lt;=0,0,$B$5*C101/$B$15),IF(A101&lt;=$B$6,$B$5*A101/$B$6,MAX(0,$B$5*(1-(A101-$B$6)/$B$7)))))</f>
        <v/>
      </c>
      <c r="C101" s="18">
        <f>IF(OR(A101="",UPPER($B$3)&lt;&gt;"CHICAGO"),"",IF(A101&lt;=($B$10*$B$9),$B$11*((1-$B$13)*(((($B$10*$B$9)-A101))/$B$10)+$B$12)/((((($B$10*$B$9)-A101))/$B$10)+$B$12)^($B$13+1),$B$11*((1-$B$13)*(((A101-($B$10*$B$9)))/(1-$B$10))+$B$12)/((((A101-($B$10*$B$9)))/(1-$B$10))+$B$12)^($B$13+1)))</f>
        <v/>
      </c>
    </row>
    <row r="102">
      <c r="A102" s="5">
        <f>IF(A101="","",IF(AND(UPPER($B$3)="CHICAGO",A101&lt;($B$10*$B$9),A101+$B$8&gt;($B$10*$B$9)),($B$10*$B$9),IF(A101+$B$8&gt;(IF(UPPER($B$3)="CHICAGO",$B$9,$B$6+$B$7)),"",A101+$B$8)))</f>
        <v/>
      </c>
      <c r="B102" s="18">
        <f>IF(A102="","",IF(UPPER($B$3)="CHICAGO",IF($B$15&lt;=0,0,$B$5*C102/$B$15),IF(A102&lt;=$B$6,$B$5*A102/$B$6,MAX(0,$B$5*(1-(A102-$B$6)/$B$7)))))</f>
        <v/>
      </c>
      <c r="C102" s="18">
        <f>IF(OR(A102="",UPPER($B$3)&lt;&gt;"CHICAGO"),"",IF(A102&lt;=($B$10*$B$9),$B$11*((1-$B$13)*(((($B$10*$B$9)-A102))/$B$10)+$B$12)/((((($B$10*$B$9)-A102))/$B$10)+$B$12)^($B$13+1),$B$11*((1-$B$13)*(((A102-($B$10*$B$9)))/(1-$B$10))+$B$12)/((((A102-($B$10*$B$9)))/(1-$B$10))+$B$12)^($B$13+1)))</f>
        <v/>
      </c>
    </row>
    <row r="103">
      <c r="A103" s="5">
        <f>IF(A102="","",IF(AND(UPPER($B$3)="CHICAGO",A102&lt;($B$10*$B$9),A102+$B$8&gt;($B$10*$B$9)),($B$10*$B$9),IF(A102+$B$8&gt;(IF(UPPER($B$3)="CHICAGO",$B$9,$B$6+$B$7)),"",A102+$B$8)))</f>
        <v/>
      </c>
      <c r="B103" s="18">
        <f>IF(A103="","",IF(UPPER($B$3)="CHICAGO",IF($B$15&lt;=0,0,$B$5*C103/$B$15),IF(A103&lt;=$B$6,$B$5*A103/$B$6,MAX(0,$B$5*(1-(A103-$B$6)/$B$7)))))</f>
        <v/>
      </c>
      <c r="C103" s="18">
        <f>IF(OR(A103="",UPPER($B$3)&lt;&gt;"CHICAGO"),"",IF(A103&lt;=($B$10*$B$9),$B$11*((1-$B$13)*(((($B$10*$B$9)-A103))/$B$10)+$B$12)/((((($B$10*$B$9)-A103))/$B$10)+$B$12)^($B$13+1),$B$11*((1-$B$13)*(((A103-($B$10*$B$9)))/(1-$B$10))+$B$12)/((((A103-($B$10*$B$9)))/(1-$B$10))+$B$12)^($B$13+1)))</f>
        <v/>
      </c>
    </row>
    <row r="104">
      <c r="A104" s="5">
        <f>IF(A103="","",IF(AND(UPPER($B$3)="CHICAGO",A103&lt;($B$10*$B$9),A103+$B$8&gt;($B$10*$B$9)),($B$10*$B$9),IF(A103+$B$8&gt;(IF(UPPER($B$3)="CHICAGO",$B$9,$B$6+$B$7)),"",A103+$B$8)))</f>
        <v/>
      </c>
      <c r="B104" s="18">
        <f>IF(A104="","",IF(UPPER($B$3)="CHICAGO",IF($B$15&lt;=0,0,$B$5*C104/$B$15),IF(A104&lt;=$B$6,$B$5*A104/$B$6,MAX(0,$B$5*(1-(A104-$B$6)/$B$7)))))</f>
        <v/>
      </c>
      <c r="C104" s="18">
        <f>IF(OR(A104="",UPPER($B$3)&lt;&gt;"CHICAGO"),"",IF(A104&lt;=($B$10*$B$9),$B$11*((1-$B$13)*(((($B$10*$B$9)-A104))/$B$10)+$B$12)/((((($B$10*$B$9)-A104))/$B$10)+$B$12)^($B$13+1),$B$11*((1-$B$13)*(((A104-($B$10*$B$9)))/(1-$B$10))+$B$12)/((((A104-($B$10*$B$9)))/(1-$B$10))+$B$12)^($B$13+1)))</f>
        <v/>
      </c>
    </row>
    <row r="105">
      <c r="A105" s="5">
        <f>IF(A104="","",IF(AND(UPPER($B$3)="CHICAGO",A104&lt;($B$10*$B$9),A104+$B$8&gt;($B$10*$B$9)),($B$10*$B$9),IF(A104+$B$8&gt;(IF(UPPER($B$3)="CHICAGO",$B$9,$B$6+$B$7)),"",A104+$B$8)))</f>
        <v/>
      </c>
      <c r="B105" s="18">
        <f>IF(A105="","",IF(UPPER($B$3)="CHICAGO",IF($B$15&lt;=0,0,$B$5*C105/$B$15),IF(A105&lt;=$B$6,$B$5*A105/$B$6,MAX(0,$B$5*(1-(A105-$B$6)/$B$7)))))</f>
        <v/>
      </c>
      <c r="C105" s="18">
        <f>IF(OR(A105="",UPPER($B$3)&lt;&gt;"CHICAGO"),"",IF(A105&lt;=($B$10*$B$9),$B$11*((1-$B$13)*(((($B$10*$B$9)-A105))/$B$10)+$B$12)/((((($B$10*$B$9)-A105))/$B$10)+$B$12)^($B$13+1),$B$11*((1-$B$13)*(((A105-($B$10*$B$9)))/(1-$B$10))+$B$12)/((((A105-($B$10*$B$9)))/(1-$B$10))+$B$12)^($B$13+1)))</f>
        <v/>
      </c>
    </row>
    <row r="106">
      <c r="A106" s="5">
        <f>IF(A105="","",IF(AND(UPPER($B$3)="CHICAGO",A105&lt;($B$10*$B$9),A105+$B$8&gt;($B$10*$B$9)),($B$10*$B$9),IF(A105+$B$8&gt;(IF(UPPER($B$3)="CHICAGO",$B$9,$B$6+$B$7)),"",A105+$B$8)))</f>
        <v/>
      </c>
      <c r="B106" s="18">
        <f>IF(A106="","",IF(UPPER($B$3)="CHICAGO",IF($B$15&lt;=0,0,$B$5*C106/$B$15),IF(A106&lt;=$B$6,$B$5*A106/$B$6,MAX(0,$B$5*(1-(A106-$B$6)/$B$7)))))</f>
        <v/>
      </c>
      <c r="C106" s="18">
        <f>IF(OR(A106="",UPPER($B$3)&lt;&gt;"CHICAGO"),"",IF(A106&lt;=($B$10*$B$9),$B$11*((1-$B$13)*(((($B$10*$B$9)-A106))/$B$10)+$B$12)/((((($B$10*$B$9)-A106))/$B$10)+$B$12)^($B$13+1),$B$11*((1-$B$13)*(((A106-($B$10*$B$9)))/(1-$B$10))+$B$12)/((((A106-($B$10*$B$9)))/(1-$B$10))+$B$12)^($B$13+1)))</f>
        <v/>
      </c>
    </row>
    <row r="107">
      <c r="A107" s="5">
        <f>IF(A106="","",IF(AND(UPPER($B$3)="CHICAGO",A106&lt;($B$10*$B$9),A106+$B$8&gt;($B$10*$B$9)),($B$10*$B$9),IF(A106+$B$8&gt;(IF(UPPER($B$3)="CHICAGO",$B$9,$B$6+$B$7)),"",A106+$B$8)))</f>
        <v/>
      </c>
      <c r="B107" s="18">
        <f>IF(A107="","",IF(UPPER($B$3)="CHICAGO",IF($B$15&lt;=0,0,$B$5*C107/$B$15),IF(A107&lt;=$B$6,$B$5*A107/$B$6,MAX(0,$B$5*(1-(A107-$B$6)/$B$7)))))</f>
        <v/>
      </c>
      <c r="C107" s="18">
        <f>IF(OR(A107="",UPPER($B$3)&lt;&gt;"CHICAGO"),"",IF(A107&lt;=($B$10*$B$9),$B$11*((1-$B$13)*(((($B$10*$B$9)-A107))/$B$10)+$B$12)/((((($B$10*$B$9)-A107))/$B$10)+$B$12)^($B$13+1),$B$11*((1-$B$13)*(((A107-($B$10*$B$9)))/(1-$B$10))+$B$12)/((((A107-($B$10*$B$9)))/(1-$B$10))+$B$12)^($B$13+1)))</f>
        <v/>
      </c>
    </row>
    <row r="108">
      <c r="A108" s="5">
        <f>IF(A107="","",IF(AND(UPPER($B$3)="CHICAGO",A107&lt;($B$10*$B$9),A107+$B$8&gt;($B$10*$B$9)),($B$10*$B$9),IF(A107+$B$8&gt;(IF(UPPER($B$3)="CHICAGO",$B$9,$B$6+$B$7)),"",A107+$B$8)))</f>
        <v/>
      </c>
      <c r="B108" s="18">
        <f>IF(A108="","",IF(UPPER($B$3)="CHICAGO",IF($B$15&lt;=0,0,$B$5*C108/$B$15),IF(A108&lt;=$B$6,$B$5*A108/$B$6,MAX(0,$B$5*(1-(A108-$B$6)/$B$7)))))</f>
        <v/>
      </c>
      <c r="C108" s="18">
        <f>IF(OR(A108="",UPPER($B$3)&lt;&gt;"CHICAGO"),"",IF(A108&lt;=($B$10*$B$9),$B$11*((1-$B$13)*(((($B$10*$B$9)-A108))/$B$10)+$B$12)/((((($B$10*$B$9)-A108))/$B$10)+$B$12)^($B$13+1),$B$11*((1-$B$13)*(((A108-($B$10*$B$9)))/(1-$B$10))+$B$12)/((((A108-($B$10*$B$9)))/(1-$B$10))+$B$12)^($B$13+1)))</f>
        <v/>
      </c>
    </row>
    <row r="109">
      <c r="A109" s="5">
        <f>IF(A108="","",IF(AND(UPPER($B$3)="CHICAGO",A108&lt;($B$10*$B$9),A108+$B$8&gt;($B$10*$B$9)),($B$10*$B$9),IF(A108+$B$8&gt;(IF(UPPER($B$3)="CHICAGO",$B$9,$B$6+$B$7)),"",A108+$B$8)))</f>
        <v/>
      </c>
      <c r="B109" s="18">
        <f>IF(A109="","",IF(UPPER($B$3)="CHICAGO",IF($B$15&lt;=0,0,$B$5*C109/$B$15),IF(A109&lt;=$B$6,$B$5*A109/$B$6,MAX(0,$B$5*(1-(A109-$B$6)/$B$7)))))</f>
        <v/>
      </c>
      <c r="C109" s="18">
        <f>IF(OR(A109="",UPPER($B$3)&lt;&gt;"CHICAGO"),"",IF(A109&lt;=($B$10*$B$9),$B$11*((1-$B$13)*(((($B$10*$B$9)-A109))/$B$10)+$B$12)/((((($B$10*$B$9)-A109))/$B$10)+$B$12)^($B$13+1),$B$11*((1-$B$13)*(((A109-($B$10*$B$9)))/(1-$B$10))+$B$12)/((((A109-($B$10*$B$9)))/(1-$B$10))+$B$12)^($B$13+1)))</f>
        <v/>
      </c>
    </row>
    <row r="110">
      <c r="A110" s="5">
        <f>IF(A109="","",IF(AND(UPPER($B$3)="CHICAGO",A109&lt;($B$10*$B$9),A109+$B$8&gt;($B$10*$B$9)),($B$10*$B$9),IF(A109+$B$8&gt;(IF(UPPER($B$3)="CHICAGO",$B$9,$B$6+$B$7)),"",A109+$B$8)))</f>
        <v/>
      </c>
      <c r="B110" s="18">
        <f>IF(A110="","",IF(UPPER($B$3)="CHICAGO",IF($B$15&lt;=0,0,$B$5*C110/$B$15),IF(A110&lt;=$B$6,$B$5*A110/$B$6,MAX(0,$B$5*(1-(A110-$B$6)/$B$7)))))</f>
        <v/>
      </c>
      <c r="C110" s="18">
        <f>IF(OR(A110="",UPPER($B$3)&lt;&gt;"CHICAGO"),"",IF(A110&lt;=($B$10*$B$9),$B$11*((1-$B$13)*(((($B$10*$B$9)-A110))/$B$10)+$B$12)/((((($B$10*$B$9)-A110))/$B$10)+$B$12)^($B$13+1),$B$11*((1-$B$13)*(((A110-($B$10*$B$9)))/(1-$B$10))+$B$12)/((((A110-($B$10*$B$9)))/(1-$B$10))+$B$12)^($B$13+1)))</f>
        <v/>
      </c>
    </row>
    <row r="111">
      <c r="A111" s="5">
        <f>IF(A110="","",IF(AND(UPPER($B$3)="CHICAGO",A110&lt;($B$10*$B$9),A110+$B$8&gt;($B$10*$B$9)),($B$10*$B$9),IF(A110+$B$8&gt;(IF(UPPER($B$3)="CHICAGO",$B$9,$B$6+$B$7)),"",A110+$B$8)))</f>
        <v/>
      </c>
      <c r="B111" s="18">
        <f>IF(A111="","",IF(UPPER($B$3)="CHICAGO",IF($B$15&lt;=0,0,$B$5*C111/$B$15),IF(A111&lt;=$B$6,$B$5*A111/$B$6,MAX(0,$B$5*(1-(A111-$B$6)/$B$7)))))</f>
        <v/>
      </c>
      <c r="C111" s="18">
        <f>IF(OR(A111="",UPPER($B$3)&lt;&gt;"CHICAGO"),"",IF(A111&lt;=($B$10*$B$9),$B$11*((1-$B$13)*(((($B$10*$B$9)-A111))/$B$10)+$B$12)/((((($B$10*$B$9)-A111))/$B$10)+$B$12)^($B$13+1),$B$11*((1-$B$13)*(((A111-($B$10*$B$9)))/(1-$B$10))+$B$12)/((((A111-($B$10*$B$9)))/(1-$B$10))+$B$12)^($B$13+1)))</f>
        <v/>
      </c>
    </row>
    <row r="112">
      <c r="A112" s="5">
        <f>IF(A111="","",IF(AND(UPPER($B$3)="CHICAGO",A111&lt;($B$10*$B$9),A111+$B$8&gt;($B$10*$B$9)),($B$10*$B$9),IF(A111+$B$8&gt;(IF(UPPER($B$3)="CHICAGO",$B$9,$B$6+$B$7)),"",A111+$B$8)))</f>
        <v/>
      </c>
      <c r="B112" s="18">
        <f>IF(A112="","",IF(UPPER($B$3)="CHICAGO",IF($B$15&lt;=0,0,$B$5*C112/$B$15),IF(A112&lt;=$B$6,$B$5*A112/$B$6,MAX(0,$B$5*(1-(A112-$B$6)/$B$7)))))</f>
        <v/>
      </c>
      <c r="C112" s="18">
        <f>IF(OR(A112="",UPPER($B$3)&lt;&gt;"CHICAGO"),"",IF(A112&lt;=($B$10*$B$9),$B$11*((1-$B$13)*(((($B$10*$B$9)-A112))/$B$10)+$B$12)/((((($B$10*$B$9)-A112))/$B$10)+$B$12)^($B$13+1),$B$11*((1-$B$13)*(((A112-($B$10*$B$9)))/(1-$B$10))+$B$12)/((((A112-($B$10*$B$9)))/(1-$B$10))+$B$12)^($B$13+1)))</f>
        <v/>
      </c>
    </row>
    <row r="113">
      <c r="A113" s="5">
        <f>IF(A112="","",IF(AND(UPPER($B$3)="CHICAGO",A112&lt;($B$10*$B$9),A112+$B$8&gt;($B$10*$B$9)),($B$10*$B$9),IF(A112+$B$8&gt;(IF(UPPER($B$3)="CHICAGO",$B$9,$B$6+$B$7)),"",A112+$B$8)))</f>
        <v/>
      </c>
      <c r="B113" s="18">
        <f>IF(A113="","",IF(UPPER($B$3)="CHICAGO",IF($B$15&lt;=0,0,$B$5*C113/$B$15),IF(A113&lt;=$B$6,$B$5*A113/$B$6,MAX(0,$B$5*(1-(A113-$B$6)/$B$7)))))</f>
        <v/>
      </c>
      <c r="C113" s="18">
        <f>IF(OR(A113="",UPPER($B$3)&lt;&gt;"CHICAGO"),"",IF(A113&lt;=($B$10*$B$9),$B$11*((1-$B$13)*(((($B$10*$B$9)-A113))/$B$10)+$B$12)/((((($B$10*$B$9)-A113))/$B$10)+$B$12)^($B$13+1),$B$11*((1-$B$13)*(((A113-($B$10*$B$9)))/(1-$B$10))+$B$12)/((((A113-($B$10*$B$9)))/(1-$B$10))+$B$12)^($B$13+1)))</f>
        <v/>
      </c>
    </row>
    <row r="114">
      <c r="A114" s="5">
        <f>IF(A113="","",IF(AND(UPPER($B$3)="CHICAGO",A113&lt;($B$10*$B$9),A113+$B$8&gt;($B$10*$B$9)),($B$10*$B$9),IF(A113+$B$8&gt;(IF(UPPER($B$3)="CHICAGO",$B$9,$B$6+$B$7)),"",A113+$B$8)))</f>
        <v/>
      </c>
      <c r="B114" s="18">
        <f>IF(A114="","",IF(UPPER($B$3)="CHICAGO",IF($B$15&lt;=0,0,$B$5*C114/$B$15),IF(A114&lt;=$B$6,$B$5*A114/$B$6,MAX(0,$B$5*(1-(A114-$B$6)/$B$7)))))</f>
        <v/>
      </c>
      <c r="C114" s="18">
        <f>IF(OR(A114="",UPPER($B$3)&lt;&gt;"CHICAGO"),"",IF(A114&lt;=($B$10*$B$9),$B$11*((1-$B$13)*(((($B$10*$B$9)-A114))/$B$10)+$B$12)/((((($B$10*$B$9)-A114))/$B$10)+$B$12)^($B$13+1),$B$11*((1-$B$13)*(((A114-($B$10*$B$9)))/(1-$B$10))+$B$12)/((((A114-($B$10*$B$9)))/(1-$B$10))+$B$12)^($B$13+1)))</f>
        <v/>
      </c>
    </row>
    <row r="115">
      <c r="A115" s="5">
        <f>IF(A114="","",IF(AND(UPPER($B$3)="CHICAGO",A114&lt;($B$10*$B$9),A114+$B$8&gt;($B$10*$B$9)),($B$10*$B$9),IF(A114+$B$8&gt;(IF(UPPER($B$3)="CHICAGO",$B$9,$B$6+$B$7)),"",A114+$B$8)))</f>
        <v/>
      </c>
      <c r="B115" s="18">
        <f>IF(A115="","",IF(UPPER($B$3)="CHICAGO",IF($B$15&lt;=0,0,$B$5*C115/$B$15),IF(A115&lt;=$B$6,$B$5*A115/$B$6,MAX(0,$B$5*(1-(A115-$B$6)/$B$7)))))</f>
        <v/>
      </c>
      <c r="C115" s="18">
        <f>IF(OR(A115="",UPPER($B$3)&lt;&gt;"CHICAGO"),"",IF(A115&lt;=($B$10*$B$9),$B$11*((1-$B$13)*(((($B$10*$B$9)-A115))/$B$10)+$B$12)/((((($B$10*$B$9)-A115))/$B$10)+$B$12)^($B$13+1),$B$11*((1-$B$13)*(((A115-($B$10*$B$9)))/(1-$B$10))+$B$12)/((((A115-($B$10*$B$9)))/(1-$B$10))+$B$12)^($B$13+1)))</f>
        <v/>
      </c>
    </row>
    <row r="116">
      <c r="A116" s="5">
        <f>IF(A115="","",IF(AND(UPPER($B$3)="CHICAGO",A115&lt;($B$10*$B$9),A115+$B$8&gt;($B$10*$B$9)),($B$10*$B$9),IF(A115+$B$8&gt;(IF(UPPER($B$3)="CHICAGO",$B$9,$B$6+$B$7)),"",A115+$B$8)))</f>
        <v/>
      </c>
      <c r="B116" s="18">
        <f>IF(A116="","",IF(UPPER($B$3)="CHICAGO",IF($B$15&lt;=0,0,$B$5*C116/$B$15),IF(A116&lt;=$B$6,$B$5*A116/$B$6,MAX(0,$B$5*(1-(A116-$B$6)/$B$7)))))</f>
        <v/>
      </c>
      <c r="C116" s="18">
        <f>IF(OR(A116="",UPPER($B$3)&lt;&gt;"CHICAGO"),"",IF(A116&lt;=($B$10*$B$9),$B$11*((1-$B$13)*(((($B$10*$B$9)-A116))/$B$10)+$B$12)/((((($B$10*$B$9)-A116))/$B$10)+$B$12)^($B$13+1),$B$11*((1-$B$13)*(((A116-($B$10*$B$9)))/(1-$B$10))+$B$12)/((((A116-($B$10*$B$9)))/(1-$B$10))+$B$12)^($B$13+1)))</f>
        <v/>
      </c>
    </row>
    <row r="117">
      <c r="A117" s="5">
        <f>IF(A116="","",IF(AND(UPPER($B$3)="CHICAGO",A116&lt;($B$10*$B$9),A116+$B$8&gt;($B$10*$B$9)),($B$10*$B$9),IF(A116+$B$8&gt;(IF(UPPER($B$3)="CHICAGO",$B$9,$B$6+$B$7)),"",A116+$B$8)))</f>
        <v/>
      </c>
      <c r="B117" s="18">
        <f>IF(A117="","",IF(UPPER($B$3)="CHICAGO",IF($B$15&lt;=0,0,$B$5*C117/$B$15),IF(A117&lt;=$B$6,$B$5*A117/$B$6,MAX(0,$B$5*(1-(A117-$B$6)/$B$7)))))</f>
        <v/>
      </c>
      <c r="C117" s="18">
        <f>IF(OR(A117="",UPPER($B$3)&lt;&gt;"CHICAGO"),"",IF(A117&lt;=($B$10*$B$9),$B$11*((1-$B$13)*(((($B$10*$B$9)-A117))/$B$10)+$B$12)/((((($B$10*$B$9)-A117))/$B$10)+$B$12)^($B$13+1),$B$11*((1-$B$13)*(((A117-($B$10*$B$9)))/(1-$B$10))+$B$12)/((((A117-($B$10*$B$9)))/(1-$B$10))+$B$12)^($B$13+1)))</f>
        <v/>
      </c>
    </row>
    <row r="118">
      <c r="A118" s="5">
        <f>IF(A117="","",IF(AND(UPPER($B$3)="CHICAGO",A117&lt;($B$10*$B$9),A117+$B$8&gt;($B$10*$B$9)),($B$10*$B$9),IF(A117+$B$8&gt;(IF(UPPER($B$3)="CHICAGO",$B$9,$B$6+$B$7)),"",A117+$B$8)))</f>
        <v/>
      </c>
      <c r="B118" s="18">
        <f>IF(A118="","",IF(UPPER($B$3)="CHICAGO",IF($B$15&lt;=0,0,$B$5*C118/$B$15),IF(A118&lt;=$B$6,$B$5*A118/$B$6,MAX(0,$B$5*(1-(A118-$B$6)/$B$7)))))</f>
        <v/>
      </c>
      <c r="C118" s="18">
        <f>IF(OR(A118="",UPPER($B$3)&lt;&gt;"CHICAGO"),"",IF(A118&lt;=($B$10*$B$9),$B$11*((1-$B$13)*(((($B$10*$B$9)-A118))/$B$10)+$B$12)/((((($B$10*$B$9)-A118))/$B$10)+$B$12)^($B$13+1),$B$11*((1-$B$13)*(((A118-($B$10*$B$9)))/(1-$B$10))+$B$12)/((((A118-($B$10*$B$9)))/(1-$B$10))+$B$12)^($B$13+1)))</f>
        <v/>
      </c>
    </row>
    <row r="119">
      <c r="A119" s="5">
        <f>IF(A118="","",IF(AND(UPPER($B$3)="CHICAGO",A118&lt;($B$10*$B$9),A118+$B$8&gt;($B$10*$B$9)),($B$10*$B$9),IF(A118+$B$8&gt;(IF(UPPER($B$3)="CHICAGO",$B$9,$B$6+$B$7)),"",A118+$B$8)))</f>
        <v/>
      </c>
      <c r="B119" s="18">
        <f>IF(A119="","",IF(UPPER($B$3)="CHICAGO",IF($B$15&lt;=0,0,$B$5*C119/$B$15),IF(A119&lt;=$B$6,$B$5*A119/$B$6,MAX(0,$B$5*(1-(A119-$B$6)/$B$7)))))</f>
        <v/>
      </c>
      <c r="C119" s="18">
        <f>IF(OR(A119="",UPPER($B$3)&lt;&gt;"CHICAGO"),"",IF(A119&lt;=($B$10*$B$9),$B$11*((1-$B$13)*(((($B$10*$B$9)-A119))/$B$10)+$B$12)/((((($B$10*$B$9)-A119))/$B$10)+$B$12)^($B$13+1),$B$11*((1-$B$13)*(((A119-($B$10*$B$9)))/(1-$B$10))+$B$12)/((((A119-($B$10*$B$9)))/(1-$B$10))+$B$12)^($B$13+1)))</f>
        <v/>
      </c>
    </row>
    <row r="120">
      <c r="A120" s="5">
        <f>IF(A119="","",IF(AND(UPPER($B$3)="CHICAGO",A119&lt;($B$10*$B$9),A119+$B$8&gt;($B$10*$B$9)),($B$10*$B$9),IF(A119+$B$8&gt;(IF(UPPER($B$3)="CHICAGO",$B$9,$B$6+$B$7)),"",A119+$B$8)))</f>
        <v/>
      </c>
      <c r="B120" s="18">
        <f>IF(A120="","",IF(UPPER($B$3)="CHICAGO",IF($B$15&lt;=0,0,$B$5*C120/$B$15),IF(A120&lt;=$B$6,$B$5*A120/$B$6,MAX(0,$B$5*(1-(A120-$B$6)/$B$7)))))</f>
        <v/>
      </c>
      <c r="C120" s="18">
        <f>IF(OR(A120="",UPPER($B$3)&lt;&gt;"CHICAGO"),"",IF(A120&lt;=($B$10*$B$9),$B$11*((1-$B$13)*(((($B$10*$B$9)-A120))/$B$10)+$B$12)/((((($B$10*$B$9)-A120))/$B$10)+$B$12)^($B$13+1),$B$11*((1-$B$13)*(((A120-($B$10*$B$9)))/(1-$B$10))+$B$12)/((((A120-($B$10*$B$9)))/(1-$B$10))+$B$12)^($B$13+1)))</f>
        <v/>
      </c>
    </row>
    <row r="121">
      <c r="A121" s="5">
        <f>IF(A120="","",IF(AND(UPPER($B$3)="CHICAGO",A120&lt;($B$10*$B$9),A120+$B$8&gt;($B$10*$B$9)),($B$10*$B$9),IF(A120+$B$8&gt;(IF(UPPER($B$3)="CHICAGO",$B$9,$B$6+$B$7)),"",A120+$B$8)))</f>
        <v/>
      </c>
      <c r="B121" s="18">
        <f>IF(A121="","",IF(UPPER($B$3)="CHICAGO",IF($B$15&lt;=0,0,$B$5*C121/$B$15),IF(A121&lt;=$B$6,$B$5*A121/$B$6,MAX(0,$B$5*(1-(A121-$B$6)/$B$7)))))</f>
        <v/>
      </c>
      <c r="C121" s="18">
        <f>IF(OR(A121="",UPPER($B$3)&lt;&gt;"CHICAGO"),"",IF(A121&lt;=($B$10*$B$9),$B$11*((1-$B$13)*(((($B$10*$B$9)-A121))/$B$10)+$B$12)/((((($B$10*$B$9)-A121))/$B$10)+$B$12)^($B$13+1),$B$11*((1-$B$13)*(((A121-($B$10*$B$9)))/(1-$B$10))+$B$12)/((((A121-($B$10*$B$9)))/(1-$B$10))+$B$12)^($B$13+1)))</f>
        <v/>
      </c>
    </row>
    <row r="122">
      <c r="A122" s="5">
        <f>IF(A121="","",IF(AND(UPPER($B$3)="CHICAGO",A121&lt;($B$10*$B$9),A121+$B$8&gt;($B$10*$B$9)),($B$10*$B$9),IF(A121+$B$8&gt;(IF(UPPER($B$3)="CHICAGO",$B$9,$B$6+$B$7)),"",A121+$B$8)))</f>
        <v/>
      </c>
      <c r="B122" s="18">
        <f>IF(A122="","",IF(UPPER($B$3)="CHICAGO",IF($B$15&lt;=0,0,$B$5*C122/$B$15),IF(A122&lt;=$B$6,$B$5*A122/$B$6,MAX(0,$B$5*(1-(A122-$B$6)/$B$7)))))</f>
        <v/>
      </c>
      <c r="C122" s="18">
        <f>IF(OR(A122="",UPPER($B$3)&lt;&gt;"CHICAGO"),"",IF(A122&lt;=($B$10*$B$9),$B$11*((1-$B$13)*(((($B$10*$B$9)-A122))/$B$10)+$B$12)/((((($B$10*$B$9)-A122))/$B$10)+$B$12)^($B$13+1),$B$11*((1-$B$13)*(((A122-($B$10*$B$9)))/(1-$B$10))+$B$12)/((((A122-($B$10*$B$9)))/(1-$B$10))+$B$12)^($B$13+1)))</f>
        <v/>
      </c>
    </row>
    <row r="123">
      <c r="A123" s="5">
        <f>IF(A122="","",IF(AND(UPPER($B$3)="CHICAGO",A122&lt;($B$10*$B$9),A122+$B$8&gt;($B$10*$B$9)),($B$10*$B$9),IF(A122+$B$8&gt;(IF(UPPER($B$3)="CHICAGO",$B$9,$B$6+$B$7)),"",A122+$B$8)))</f>
        <v/>
      </c>
      <c r="B123" s="18">
        <f>IF(A123="","",IF(UPPER($B$3)="CHICAGO",IF($B$15&lt;=0,0,$B$5*C123/$B$15),IF(A123&lt;=$B$6,$B$5*A123/$B$6,MAX(0,$B$5*(1-(A123-$B$6)/$B$7)))))</f>
        <v/>
      </c>
      <c r="C123" s="18">
        <f>IF(OR(A123="",UPPER($B$3)&lt;&gt;"CHICAGO"),"",IF(A123&lt;=($B$10*$B$9),$B$11*((1-$B$13)*(((($B$10*$B$9)-A123))/$B$10)+$B$12)/((((($B$10*$B$9)-A123))/$B$10)+$B$12)^($B$13+1),$B$11*((1-$B$13)*(((A123-($B$10*$B$9)))/(1-$B$10))+$B$12)/((((A123-($B$10*$B$9)))/(1-$B$10))+$B$12)^($B$13+1)))</f>
        <v/>
      </c>
    </row>
    <row r="124">
      <c r="A124" s="5">
        <f>IF(A123="","",IF(AND(UPPER($B$3)="CHICAGO",A123&lt;($B$10*$B$9),A123+$B$8&gt;($B$10*$B$9)),($B$10*$B$9),IF(A123+$B$8&gt;(IF(UPPER($B$3)="CHICAGO",$B$9,$B$6+$B$7)),"",A123+$B$8)))</f>
        <v/>
      </c>
      <c r="B124" s="18">
        <f>IF(A124="","",IF(UPPER($B$3)="CHICAGO",IF($B$15&lt;=0,0,$B$5*C124/$B$15),IF(A124&lt;=$B$6,$B$5*A124/$B$6,MAX(0,$B$5*(1-(A124-$B$6)/$B$7)))))</f>
        <v/>
      </c>
      <c r="C124" s="18">
        <f>IF(OR(A124="",UPPER($B$3)&lt;&gt;"CHICAGO"),"",IF(A124&lt;=($B$10*$B$9),$B$11*((1-$B$13)*(((($B$10*$B$9)-A124))/$B$10)+$B$12)/((((($B$10*$B$9)-A124))/$B$10)+$B$12)^($B$13+1),$B$11*((1-$B$13)*(((A124-($B$10*$B$9)))/(1-$B$10))+$B$12)/((((A124-($B$10*$B$9)))/(1-$B$10))+$B$12)^($B$13+1)))</f>
        <v/>
      </c>
    </row>
    <row r="125">
      <c r="A125" s="5">
        <f>IF(A124="","",IF(AND(UPPER($B$3)="CHICAGO",A124&lt;($B$10*$B$9),A124+$B$8&gt;($B$10*$B$9)),($B$10*$B$9),IF(A124+$B$8&gt;(IF(UPPER($B$3)="CHICAGO",$B$9,$B$6+$B$7)),"",A124+$B$8)))</f>
        <v/>
      </c>
      <c r="B125" s="18">
        <f>IF(A125="","",IF(UPPER($B$3)="CHICAGO",IF($B$15&lt;=0,0,$B$5*C125/$B$15),IF(A125&lt;=$B$6,$B$5*A125/$B$6,MAX(0,$B$5*(1-(A125-$B$6)/$B$7)))))</f>
        <v/>
      </c>
      <c r="C125" s="18">
        <f>IF(OR(A125="",UPPER($B$3)&lt;&gt;"CHICAGO"),"",IF(A125&lt;=($B$10*$B$9),$B$11*((1-$B$13)*(((($B$10*$B$9)-A125))/$B$10)+$B$12)/((((($B$10*$B$9)-A125))/$B$10)+$B$12)^($B$13+1),$B$11*((1-$B$13)*(((A125-($B$10*$B$9)))/(1-$B$10))+$B$12)/((((A125-($B$10*$B$9)))/(1-$B$10))+$B$12)^($B$13+1)))</f>
        <v/>
      </c>
    </row>
    <row r="126">
      <c r="A126" s="5">
        <f>IF(A125="","",IF(AND(UPPER($B$3)="CHICAGO",A125&lt;($B$10*$B$9),A125+$B$8&gt;($B$10*$B$9)),($B$10*$B$9),IF(A125+$B$8&gt;(IF(UPPER($B$3)="CHICAGO",$B$9,$B$6+$B$7)),"",A125+$B$8)))</f>
        <v/>
      </c>
      <c r="B126" s="18">
        <f>IF(A126="","",IF(UPPER($B$3)="CHICAGO",IF($B$15&lt;=0,0,$B$5*C126/$B$15),IF(A126&lt;=$B$6,$B$5*A126/$B$6,MAX(0,$B$5*(1-(A126-$B$6)/$B$7)))))</f>
        <v/>
      </c>
      <c r="C126" s="18">
        <f>IF(OR(A126="",UPPER($B$3)&lt;&gt;"CHICAGO"),"",IF(A126&lt;=($B$10*$B$9),$B$11*((1-$B$13)*(((($B$10*$B$9)-A126))/$B$10)+$B$12)/((((($B$10*$B$9)-A126))/$B$10)+$B$12)^($B$13+1),$B$11*((1-$B$13)*(((A126-($B$10*$B$9)))/(1-$B$10))+$B$12)/((((A126-($B$10*$B$9)))/(1-$B$10))+$B$12)^($B$13+1)))</f>
        <v/>
      </c>
    </row>
    <row r="127">
      <c r="A127" s="5">
        <f>IF(A126="","",IF(AND(UPPER($B$3)="CHICAGO",A126&lt;($B$10*$B$9),A126+$B$8&gt;($B$10*$B$9)),($B$10*$B$9),IF(A126+$B$8&gt;(IF(UPPER($B$3)="CHICAGO",$B$9,$B$6+$B$7)),"",A126+$B$8)))</f>
        <v/>
      </c>
      <c r="B127" s="18">
        <f>IF(A127="","",IF(UPPER($B$3)="CHICAGO",IF($B$15&lt;=0,0,$B$5*C127/$B$15),IF(A127&lt;=$B$6,$B$5*A127/$B$6,MAX(0,$B$5*(1-(A127-$B$6)/$B$7)))))</f>
        <v/>
      </c>
      <c r="C127" s="18">
        <f>IF(OR(A127="",UPPER($B$3)&lt;&gt;"CHICAGO"),"",IF(A127&lt;=($B$10*$B$9),$B$11*((1-$B$13)*(((($B$10*$B$9)-A127))/$B$10)+$B$12)/((((($B$10*$B$9)-A127))/$B$10)+$B$12)^($B$13+1),$B$11*((1-$B$13)*(((A127-($B$10*$B$9)))/(1-$B$10))+$B$12)/((((A127-($B$10*$B$9)))/(1-$B$10))+$B$12)^($B$13+1)))</f>
        <v/>
      </c>
    </row>
    <row r="128">
      <c r="A128" s="5">
        <f>IF(A127="","",IF(AND(UPPER($B$3)="CHICAGO",A127&lt;($B$10*$B$9),A127+$B$8&gt;($B$10*$B$9)),($B$10*$B$9),IF(A127+$B$8&gt;(IF(UPPER($B$3)="CHICAGO",$B$9,$B$6+$B$7)),"",A127+$B$8)))</f>
        <v/>
      </c>
      <c r="B128" s="18">
        <f>IF(A128="","",IF(UPPER($B$3)="CHICAGO",IF($B$15&lt;=0,0,$B$5*C128/$B$15),IF(A128&lt;=$B$6,$B$5*A128/$B$6,MAX(0,$B$5*(1-(A128-$B$6)/$B$7)))))</f>
        <v/>
      </c>
      <c r="C128" s="18">
        <f>IF(OR(A128="",UPPER($B$3)&lt;&gt;"CHICAGO"),"",IF(A128&lt;=($B$10*$B$9),$B$11*((1-$B$13)*(((($B$10*$B$9)-A128))/$B$10)+$B$12)/((((($B$10*$B$9)-A128))/$B$10)+$B$12)^($B$13+1),$B$11*((1-$B$13)*(((A128-($B$10*$B$9)))/(1-$B$10))+$B$12)/((((A128-($B$10*$B$9)))/(1-$B$10))+$B$12)^($B$13+1)))</f>
        <v/>
      </c>
    </row>
    <row r="129">
      <c r="A129" s="5">
        <f>IF(A128="","",IF(AND(UPPER($B$3)="CHICAGO",A128&lt;($B$10*$B$9),A128+$B$8&gt;($B$10*$B$9)),($B$10*$B$9),IF(A128+$B$8&gt;(IF(UPPER($B$3)="CHICAGO",$B$9,$B$6+$B$7)),"",A128+$B$8)))</f>
        <v/>
      </c>
      <c r="B129" s="18">
        <f>IF(A129="","",IF(UPPER($B$3)="CHICAGO",IF($B$15&lt;=0,0,$B$5*C129/$B$15),IF(A129&lt;=$B$6,$B$5*A129/$B$6,MAX(0,$B$5*(1-(A129-$B$6)/$B$7)))))</f>
        <v/>
      </c>
      <c r="C129" s="18">
        <f>IF(OR(A129="",UPPER($B$3)&lt;&gt;"CHICAGO"),"",IF(A129&lt;=($B$10*$B$9),$B$11*((1-$B$13)*(((($B$10*$B$9)-A129))/$B$10)+$B$12)/((((($B$10*$B$9)-A129))/$B$10)+$B$12)^($B$13+1),$B$11*((1-$B$13)*(((A129-($B$10*$B$9)))/(1-$B$10))+$B$12)/((((A129-($B$10*$B$9)))/(1-$B$10))+$B$12)^($B$13+1)))</f>
        <v/>
      </c>
    </row>
    <row r="130">
      <c r="A130" s="5">
        <f>IF(A129="","",IF(AND(UPPER($B$3)="CHICAGO",A129&lt;($B$10*$B$9),A129+$B$8&gt;($B$10*$B$9)),($B$10*$B$9),IF(A129+$B$8&gt;(IF(UPPER($B$3)="CHICAGO",$B$9,$B$6+$B$7)),"",A129+$B$8)))</f>
        <v/>
      </c>
      <c r="B130" s="18">
        <f>IF(A130="","",IF(UPPER($B$3)="CHICAGO",IF($B$15&lt;=0,0,$B$5*C130/$B$15),IF(A130&lt;=$B$6,$B$5*A130/$B$6,MAX(0,$B$5*(1-(A130-$B$6)/$B$7)))))</f>
        <v/>
      </c>
      <c r="C130" s="18">
        <f>IF(OR(A130="",UPPER($B$3)&lt;&gt;"CHICAGO"),"",IF(A130&lt;=($B$10*$B$9),$B$11*((1-$B$13)*(((($B$10*$B$9)-A130))/$B$10)+$B$12)/((((($B$10*$B$9)-A130))/$B$10)+$B$12)^($B$13+1),$B$11*((1-$B$13)*(((A130-($B$10*$B$9)))/(1-$B$10))+$B$12)/((((A130-($B$10*$B$9)))/(1-$B$10))+$B$12)^($B$13+1)))</f>
        <v/>
      </c>
    </row>
    <row r="131">
      <c r="A131" s="5">
        <f>IF(A130="","",IF(AND(UPPER($B$3)="CHICAGO",A130&lt;($B$10*$B$9),A130+$B$8&gt;($B$10*$B$9)),($B$10*$B$9),IF(A130+$B$8&gt;(IF(UPPER($B$3)="CHICAGO",$B$9,$B$6+$B$7)),"",A130+$B$8)))</f>
        <v/>
      </c>
      <c r="B131" s="18">
        <f>IF(A131="","",IF(UPPER($B$3)="CHICAGO",IF($B$15&lt;=0,0,$B$5*C131/$B$15),IF(A131&lt;=$B$6,$B$5*A131/$B$6,MAX(0,$B$5*(1-(A131-$B$6)/$B$7)))))</f>
        <v/>
      </c>
      <c r="C131" s="18">
        <f>IF(OR(A131="",UPPER($B$3)&lt;&gt;"CHICAGO"),"",IF(A131&lt;=($B$10*$B$9),$B$11*((1-$B$13)*(((($B$10*$B$9)-A131))/$B$10)+$B$12)/((((($B$10*$B$9)-A131))/$B$10)+$B$12)^($B$13+1),$B$11*((1-$B$13)*(((A131-($B$10*$B$9)))/(1-$B$10))+$B$12)/((((A131-($B$10*$B$9)))/(1-$B$10))+$B$12)^($B$13+1)))</f>
        <v/>
      </c>
    </row>
    <row r="132">
      <c r="A132" s="5">
        <f>IF(A131="","",IF(AND(UPPER($B$3)="CHICAGO",A131&lt;($B$10*$B$9),A131+$B$8&gt;($B$10*$B$9)),($B$10*$B$9),IF(A131+$B$8&gt;(IF(UPPER($B$3)="CHICAGO",$B$9,$B$6+$B$7)),"",A131+$B$8)))</f>
        <v/>
      </c>
      <c r="B132" s="18">
        <f>IF(A132="","",IF(UPPER($B$3)="CHICAGO",IF($B$15&lt;=0,0,$B$5*C132/$B$15),IF(A132&lt;=$B$6,$B$5*A132/$B$6,MAX(0,$B$5*(1-(A132-$B$6)/$B$7)))))</f>
        <v/>
      </c>
      <c r="C132" s="18">
        <f>IF(OR(A132="",UPPER($B$3)&lt;&gt;"CHICAGO"),"",IF(A132&lt;=($B$10*$B$9),$B$11*((1-$B$13)*(((($B$10*$B$9)-A132))/$B$10)+$B$12)/((((($B$10*$B$9)-A132))/$B$10)+$B$12)^($B$13+1),$B$11*((1-$B$13)*(((A132-($B$10*$B$9)))/(1-$B$10))+$B$12)/((((A132-($B$10*$B$9)))/(1-$B$10))+$B$12)^($B$13+1)))</f>
        <v/>
      </c>
    </row>
    <row r="133">
      <c r="A133" s="5">
        <f>IF(A132="","",IF(AND(UPPER($B$3)="CHICAGO",A132&lt;($B$10*$B$9),A132+$B$8&gt;($B$10*$B$9)),($B$10*$B$9),IF(A132+$B$8&gt;(IF(UPPER($B$3)="CHICAGO",$B$9,$B$6+$B$7)),"",A132+$B$8)))</f>
        <v/>
      </c>
      <c r="B133" s="18">
        <f>IF(A133="","",IF(UPPER($B$3)="CHICAGO",IF($B$15&lt;=0,0,$B$5*C133/$B$15),IF(A133&lt;=$B$6,$B$5*A133/$B$6,MAX(0,$B$5*(1-(A133-$B$6)/$B$7)))))</f>
        <v/>
      </c>
      <c r="C133" s="18">
        <f>IF(OR(A133="",UPPER($B$3)&lt;&gt;"CHICAGO"),"",IF(A133&lt;=($B$10*$B$9),$B$11*((1-$B$13)*(((($B$10*$B$9)-A133))/$B$10)+$B$12)/((((($B$10*$B$9)-A133))/$B$10)+$B$12)^($B$13+1),$B$11*((1-$B$13)*(((A133-($B$10*$B$9)))/(1-$B$10))+$B$12)/((((A133-($B$10*$B$9)))/(1-$B$10))+$B$12)^($B$13+1)))</f>
        <v/>
      </c>
    </row>
    <row r="134">
      <c r="A134" s="5">
        <f>IF(A133="","",IF(AND(UPPER($B$3)="CHICAGO",A133&lt;($B$10*$B$9),A133+$B$8&gt;($B$10*$B$9)),($B$10*$B$9),IF(A133+$B$8&gt;(IF(UPPER($B$3)="CHICAGO",$B$9,$B$6+$B$7)),"",A133+$B$8)))</f>
        <v/>
      </c>
      <c r="B134" s="18">
        <f>IF(A134="","",IF(UPPER($B$3)="CHICAGO",IF($B$15&lt;=0,0,$B$5*C134/$B$15),IF(A134&lt;=$B$6,$B$5*A134/$B$6,MAX(0,$B$5*(1-(A134-$B$6)/$B$7)))))</f>
        <v/>
      </c>
      <c r="C134" s="18">
        <f>IF(OR(A134="",UPPER($B$3)&lt;&gt;"CHICAGO"),"",IF(A134&lt;=($B$10*$B$9),$B$11*((1-$B$13)*(((($B$10*$B$9)-A134))/$B$10)+$B$12)/((((($B$10*$B$9)-A134))/$B$10)+$B$12)^($B$13+1),$B$11*((1-$B$13)*(((A134-($B$10*$B$9)))/(1-$B$10))+$B$12)/((((A134-($B$10*$B$9)))/(1-$B$10))+$B$12)^($B$13+1)))</f>
        <v/>
      </c>
    </row>
    <row r="135">
      <c r="A135" s="5">
        <f>IF(A134="","",IF(AND(UPPER($B$3)="CHICAGO",A134&lt;($B$10*$B$9),A134+$B$8&gt;($B$10*$B$9)),($B$10*$B$9),IF(A134+$B$8&gt;(IF(UPPER($B$3)="CHICAGO",$B$9,$B$6+$B$7)),"",A134+$B$8)))</f>
        <v/>
      </c>
      <c r="B135" s="18">
        <f>IF(A135="","",IF(UPPER($B$3)="CHICAGO",IF($B$15&lt;=0,0,$B$5*C135/$B$15),IF(A135&lt;=$B$6,$B$5*A135/$B$6,MAX(0,$B$5*(1-(A135-$B$6)/$B$7)))))</f>
        <v/>
      </c>
      <c r="C135" s="18">
        <f>IF(OR(A135="",UPPER($B$3)&lt;&gt;"CHICAGO"),"",IF(A135&lt;=($B$10*$B$9),$B$11*((1-$B$13)*(((($B$10*$B$9)-A135))/$B$10)+$B$12)/((((($B$10*$B$9)-A135))/$B$10)+$B$12)^($B$13+1),$B$11*((1-$B$13)*(((A135-($B$10*$B$9)))/(1-$B$10))+$B$12)/((((A135-($B$10*$B$9)))/(1-$B$10))+$B$12)^($B$13+1)))</f>
        <v/>
      </c>
    </row>
    <row r="136">
      <c r="A136" s="5">
        <f>IF(A135="","",IF(AND(UPPER($B$3)="CHICAGO",A135&lt;($B$10*$B$9),A135+$B$8&gt;($B$10*$B$9)),($B$10*$B$9),IF(A135+$B$8&gt;(IF(UPPER($B$3)="CHICAGO",$B$9,$B$6+$B$7)),"",A135+$B$8)))</f>
        <v/>
      </c>
      <c r="B136" s="18">
        <f>IF(A136="","",IF(UPPER($B$3)="CHICAGO",IF($B$15&lt;=0,0,$B$5*C136/$B$15),IF(A136&lt;=$B$6,$B$5*A136/$B$6,MAX(0,$B$5*(1-(A136-$B$6)/$B$7)))))</f>
        <v/>
      </c>
      <c r="C136" s="18">
        <f>IF(OR(A136="",UPPER($B$3)&lt;&gt;"CHICAGO"),"",IF(A136&lt;=($B$10*$B$9),$B$11*((1-$B$13)*(((($B$10*$B$9)-A136))/$B$10)+$B$12)/((((($B$10*$B$9)-A136))/$B$10)+$B$12)^($B$13+1),$B$11*((1-$B$13)*(((A136-($B$10*$B$9)))/(1-$B$10))+$B$12)/((((A136-($B$10*$B$9)))/(1-$B$10))+$B$12)^($B$13+1)))</f>
        <v/>
      </c>
    </row>
  </sheetData>
  <mergeCells count="2">
    <mergeCell ref="A2:E2"/>
    <mergeCell ref="A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42" customWidth="1" min="4" max="4"/>
    <col width="42" customWidth="1" min="5" max="5"/>
    <col width="42" customWidth="1" min="6" max="6"/>
    <col width="38" customWidth="1" min="7" max="7"/>
    <col width="42" customWidth="1" min="8" max="8"/>
    <col width="42" customWidth="1" min="9" max="9"/>
    <col width="32" customWidth="1" min="10" max="10"/>
    <col width="42" customWidth="1" min="11" max="11"/>
  </cols>
  <sheetData>
    <row r="1">
      <c r="A1" s="15" t="inlineStr">
        <is>
          <t>Routing stockage — Puls LIVE (lit Hydrogramme_entree, y compris Chicago)</t>
        </is>
      </c>
    </row>
    <row r="2">
      <c r="A2" s="2" t="inlineStr">
        <is>
          <t>IMPORTANT: HW = PROFONDEUR (~1.7 m). WSE = ÉLÉVATION = invert + HW (~37 m). Q_in vient de Hydrogramme_entree (Chicago ou Triangle).</t>
        </is>
      </c>
    </row>
    <row r="3">
      <c r="A3" s="16" t="inlineStr">
        <is>
          <t>Formule: WSE = Parametres!C9 + HW.  2S/dt−Q = report Puls. RHS = cible Ind.</t>
        </is>
      </c>
    </row>
    <row r="4">
      <c r="A4" s="3" t="inlineStr">
        <is>
          <t>t (min)</t>
        </is>
      </c>
      <c r="B4" s="3" t="inlineStr">
        <is>
          <t>Q_in</t>
        </is>
      </c>
      <c r="C4" s="3" t="inlineStr">
        <is>
          <t>Q_pipe</t>
        </is>
      </c>
      <c r="D4" s="3" t="inlineStr">
        <is>
          <t>Q_overflow</t>
        </is>
      </c>
      <c r="E4" s="3" t="inlineStr">
        <is>
          <t>Q_out</t>
        </is>
      </c>
      <c r="F4" s="3" t="inlineStr">
        <is>
          <t>HW profondeur (m)</t>
        </is>
      </c>
      <c r="G4" s="3" t="inlineStr">
        <is>
          <t>WSE élévation (m)</t>
        </is>
      </c>
      <c r="H4" s="3" t="inlineStr">
        <is>
          <t>S stockage (m³)</t>
        </is>
      </c>
      <c r="I4" s="3" t="inlineStr">
        <is>
          <t>WSE&gt;max?</t>
        </is>
      </c>
      <c r="J4" s="3" t="inlineStr">
        <is>
          <t>RHS (Ind cible)</t>
        </is>
      </c>
      <c r="K4" s="3" t="inlineStr">
        <is>
          <t>2S/dt−Q (report Puls)</t>
        </is>
      </c>
    </row>
    <row r="5">
      <c r="A5" s="5">
        <f>Hydrogramme_entree!A17</f>
        <v/>
      </c>
      <c r="B5" s="12">
        <f>Hydrogramme_entree!B17</f>
        <v/>
      </c>
      <c r="C5" s="12" t="n">
        <v>0</v>
      </c>
      <c r="D5" s="12" t="n">
        <v>0</v>
      </c>
      <c r="E5" s="12" t="n">
        <v>0</v>
      </c>
      <c r="F5" s="12" t="n">
        <v>0</v>
      </c>
      <c r="G5" s="12">
        <f>IF(A5="","",Parametres!$C$9+F5)</f>
        <v/>
      </c>
      <c r="H5" s="12" t="n">
        <v>0</v>
      </c>
      <c r="I5" s="5">
        <f>IF(G5="","",IF(G5&gt;Parametres!$C$11,"OUI",""))</f>
        <v/>
      </c>
      <c r="J5" s="5" t="inlineStr"/>
      <c r="K5" s="12">
        <f>IF(A5="","",2*H5/(Hydrogramme_entree!$B$8*60)-E5)</f>
        <v/>
      </c>
    </row>
    <row r="6">
      <c r="A6" s="5">
        <f>Hydrogramme_entree!A18</f>
        <v/>
      </c>
      <c r="B6" s="12">
        <f>Hydrogramme_entree!B18</f>
        <v/>
      </c>
      <c r="C6" s="12">
        <f>IF(A6="","",IFERROR(FORECAST(K5+B5+B6,INDEX(Courbe_de_tarage!$C$4:$C$44,MATCH(K5+B5+B6,Courbe_de_tarage!$I$4:$I$44,1)):INDEX(Courbe_de_tarage!$C$4:$C$44,MATCH(K5+B5+B6,Courbe_de_tarage!$I$4:$I$44,1)+1),INDEX(Courbe_de_tarage!$I$4:$I$44,MATCH(K5+B5+B6,Courbe_de_tarage!$I$4:$I$44,1)):INDEX(Courbe_de_tarage!$I$4:$I$44,MATCH(K5+B5+B6,Courbe_de_tarage!$I$4:$I$44,1)+1)),IFERROR(INDEX(Courbe_de_tarage!$C$4:$C$44,MATCH(K5+B5+B6,Courbe_de_tarage!$I$4:$I$44,1)),INDEX(Courbe_de_tarage!$C$4:$C$44,1))))</f>
        <v/>
      </c>
      <c r="D6" s="12">
        <f>IF(A6="","",IFERROR(FORECAST(K5+B5+B6,INDEX(Courbe_de_tarage!$D$4:$D$44,MATCH(K5+B5+B6,Courbe_de_tarage!$I$4:$I$44,1)):INDEX(Courbe_de_tarage!$D$4:$D$44,MATCH(K5+B5+B6,Courbe_de_tarage!$I$4:$I$44,1)+1),INDEX(Courbe_de_tarage!$I$4:$I$44,MATCH(K5+B5+B6,Courbe_de_tarage!$I$4:$I$44,1)):INDEX(Courbe_de_tarage!$I$4:$I$44,MATCH(K5+B5+B6,Courbe_de_tarage!$I$4:$I$44,1)+1)),IFERROR(INDEX(Courbe_de_tarage!$D$4:$D$44,MATCH(K5+B5+B6,Courbe_de_tarage!$I$4:$I$44,1)),INDEX(Courbe_de_tarage!$D$4:$D$44,1))))</f>
        <v/>
      </c>
      <c r="E6" s="12">
        <f>IF(A6="","",IFERROR(FORECAST(K5+B5+B6,INDEX(Courbe_de_tarage!$E$4:$E$44,MATCH(K5+B5+B6,Courbe_de_tarage!$I$4:$I$44,1)):INDEX(Courbe_de_tarage!$E$4:$E$44,MATCH(K5+B5+B6,Courbe_de_tarage!$I$4:$I$44,1)+1),INDEX(Courbe_de_tarage!$I$4:$I$44,MATCH(K5+B5+B6,Courbe_de_tarage!$I$4:$I$44,1)):INDEX(Courbe_de_tarage!$I$4:$I$44,MATCH(K5+B5+B6,Courbe_de_tarage!$I$4:$I$44,1)+1)),IFERROR(INDEX(Courbe_de_tarage!$E$4:$E$44,MATCH(K5+B5+B6,Courbe_de_tarage!$I$4:$I$44,1)),INDEX(Courbe_de_tarage!$E$4:$E$44,1))))</f>
        <v/>
      </c>
      <c r="F6" s="12">
        <f>IF(A6="","",IFERROR(FORECAST(K5+B5+B6,INDEX(Courbe_de_tarage!$A$4:$A$44,MATCH(K5+B5+B6,Courbe_de_tarage!$I$4:$I$44,1)):INDEX(Courbe_de_tarage!$A$4:$A$44,MATCH(K5+B5+B6,Courbe_de_tarage!$I$4:$I$44,1)+1),INDEX(Courbe_de_tarage!$I$4:$I$44,MATCH(K5+B5+B6,Courbe_de_tarage!$I$4:$I$44,1)):INDEX(Courbe_de_tarage!$I$4:$I$44,MATCH(K5+B5+B6,Courbe_de_tarage!$I$4:$I$44,1)+1)),IFERROR(INDEX(Courbe_de_tarage!$A$4:$A$44,MATCH(K5+B5+B6,Courbe_de_tarage!$I$4:$I$44,1)),INDEX(Courbe_de_tarage!$A$4:$A$44,1))))</f>
        <v/>
      </c>
      <c r="G6" s="12">
        <f>IF(A6="","",Parametres!$C$9+F6)</f>
        <v/>
      </c>
      <c r="H6" s="12">
        <f>IF(A6="","",IFERROR(FORECAST(K5+B5+B6,INDEX(Courbe_de_tarage!$H$4:$H$44,MATCH(K5+B5+B6,Courbe_de_tarage!$I$4:$I$44,1)):INDEX(Courbe_de_tarage!$H$4:$H$44,MATCH(K5+B5+B6,Courbe_de_tarage!$I$4:$I$44,1)+1),INDEX(Courbe_de_tarage!$I$4:$I$44,MATCH(K5+B5+B6,Courbe_de_tarage!$I$4:$I$44,1)):INDEX(Courbe_de_tarage!$I$4:$I$44,MATCH(K5+B5+B6,Courbe_de_tarage!$I$4:$I$44,1)+1)),IFERROR(INDEX(Courbe_de_tarage!$H$4:$H$44,MATCH(K5+B5+B6,Courbe_de_tarage!$I$4:$I$44,1)),INDEX(Courbe_de_tarage!$H$4:$H$44,1))))</f>
        <v/>
      </c>
      <c r="I6" s="5">
        <f>IF(G6="","",IF(G6&gt;Parametres!$C$11,"OUI",""))</f>
        <v/>
      </c>
      <c r="J6" s="12">
        <f>IF(A6="","",K5+B5+B6)</f>
        <v/>
      </c>
      <c r="K6" s="12">
        <f>IF(A6="","",2*H6/(Hydrogramme_entree!$B$8*60)-E6)</f>
        <v/>
      </c>
    </row>
    <row r="7">
      <c r="A7" s="5">
        <f>Hydrogramme_entree!A19</f>
        <v/>
      </c>
      <c r="B7" s="12">
        <f>Hydrogramme_entree!B19</f>
        <v/>
      </c>
      <c r="C7" s="12">
        <f>IF(A7="","",IFERROR(FORECAST(K6+B6+B7,INDEX(Courbe_de_tarage!$C$4:$C$44,MATCH(K6+B6+B7,Courbe_de_tarage!$I$4:$I$44,1)):INDEX(Courbe_de_tarage!$C$4:$C$44,MATCH(K6+B6+B7,Courbe_de_tarage!$I$4:$I$44,1)+1),INDEX(Courbe_de_tarage!$I$4:$I$44,MATCH(K6+B6+B7,Courbe_de_tarage!$I$4:$I$44,1)):INDEX(Courbe_de_tarage!$I$4:$I$44,MATCH(K6+B6+B7,Courbe_de_tarage!$I$4:$I$44,1)+1)),IFERROR(INDEX(Courbe_de_tarage!$C$4:$C$44,MATCH(K6+B6+B7,Courbe_de_tarage!$I$4:$I$44,1)),INDEX(Courbe_de_tarage!$C$4:$C$44,1))))</f>
        <v/>
      </c>
      <c r="D7" s="12">
        <f>IF(A7="","",IFERROR(FORECAST(K6+B6+B7,INDEX(Courbe_de_tarage!$D$4:$D$44,MATCH(K6+B6+B7,Courbe_de_tarage!$I$4:$I$44,1)):INDEX(Courbe_de_tarage!$D$4:$D$44,MATCH(K6+B6+B7,Courbe_de_tarage!$I$4:$I$44,1)+1),INDEX(Courbe_de_tarage!$I$4:$I$44,MATCH(K6+B6+B7,Courbe_de_tarage!$I$4:$I$44,1)):INDEX(Courbe_de_tarage!$I$4:$I$44,MATCH(K6+B6+B7,Courbe_de_tarage!$I$4:$I$44,1)+1)),IFERROR(INDEX(Courbe_de_tarage!$D$4:$D$44,MATCH(K6+B6+B7,Courbe_de_tarage!$I$4:$I$44,1)),INDEX(Courbe_de_tarage!$D$4:$D$44,1))))</f>
        <v/>
      </c>
      <c r="E7" s="12">
        <f>IF(A7="","",IFERROR(FORECAST(K6+B6+B7,INDEX(Courbe_de_tarage!$E$4:$E$44,MATCH(K6+B6+B7,Courbe_de_tarage!$I$4:$I$44,1)):INDEX(Courbe_de_tarage!$E$4:$E$44,MATCH(K6+B6+B7,Courbe_de_tarage!$I$4:$I$44,1)+1),INDEX(Courbe_de_tarage!$I$4:$I$44,MATCH(K6+B6+B7,Courbe_de_tarage!$I$4:$I$44,1)):INDEX(Courbe_de_tarage!$I$4:$I$44,MATCH(K6+B6+B7,Courbe_de_tarage!$I$4:$I$44,1)+1)),IFERROR(INDEX(Courbe_de_tarage!$E$4:$E$44,MATCH(K6+B6+B7,Courbe_de_tarage!$I$4:$I$44,1)),INDEX(Courbe_de_tarage!$E$4:$E$44,1))))</f>
        <v/>
      </c>
      <c r="F7" s="12">
        <f>IF(A7="","",IFERROR(FORECAST(K6+B6+B7,INDEX(Courbe_de_tarage!$A$4:$A$44,MATCH(K6+B6+B7,Courbe_de_tarage!$I$4:$I$44,1)):INDEX(Courbe_de_tarage!$A$4:$A$44,MATCH(K6+B6+B7,Courbe_de_tarage!$I$4:$I$44,1)+1),INDEX(Courbe_de_tarage!$I$4:$I$44,MATCH(K6+B6+B7,Courbe_de_tarage!$I$4:$I$44,1)):INDEX(Courbe_de_tarage!$I$4:$I$44,MATCH(K6+B6+B7,Courbe_de_tarage!$I$4:$I$44,1)+1)),IFERROR(INDEX(Courbe_de_tarage!$A$4:$A$44,MATCH(K6+B6+B7,Courbe_de_tarage!$I$4:$I$44,1)),INDEX(Courbe_de_tarage!$A$4:$A$44,1))))</f>
        <v/>
      </c>
      <c r="G7" s="12">
        <f>IF(A7="","",Parametres!$C$9+F7)</f>
        <v/>
      </c>
      <c r="H7" s="12">
        <f>IF(A7="","",IFERROR(FORECAST(K6+B6+B7,INDEX(Courbe_de_tarage!$H$4:$H$44,MATCH(K6+B6+B7,Courbe_de_tarage!$I$4:$I$44,1)):INDEX(Courbe_de_tarage!$H$4:$H$44,MATCH(K6+B6+B7,Courbe_de_tarage!$I$4:$I$44,1)+1),INDEX(Courbe_de_tarage!$I$4:$I$44,MATCH(K6+B6+B7,Courbe_de_tarage!$I$4:$I$44,1)):INDEX(Courbe_de_tarage!$I$4:$I$44,MATCH(K6+B6+B7,Courbe_de_tarage!$I$4:$I$44,1)+1)),IFERROR(INDEX(Courbe_de_tarage!$H$4:$H$44,MATCH(K6+B6+B7,Courbe_de_tarage!$I$4:$I$44,1)),INDEX(Courbe_de_tarage!$H$4:$H$44,1))))</f>
        <v/>
      </c>
      <c r="I7" s="5">
        <f>IF(G7="","",IF(G7&gt;Parametres!$C$11,"OUI",""))</f>
        <v/>
      </c>
      <c r="J7" s="12">
        <f>IF(A7="","",K6+B6+B7)</f>
        <v/>
      </c>
      <c r="K7" s="12">
        <f>IF(A7="","",2*H7/(Hydrogramme_entree!$B$8*60)-E7)</f>
        <v/>
      </c>
    </row>
    <row r="8">
      <c r="A8" s="5">
        <f>Hydrogramme_entree!A20</f>
        <v/>
      </c>
      <c r="B8" s="12">
        <f>Hydrogramme_entree!B20</f>
        <v/>
      </c>
      <c r="C8" s="12">
        <f>IF(A8="","",IFERROR(FORECAST(K7+B7+B8,INDEX(Courbe_de_tarage!$C$4:$C$44,MATCH(K7+B7+B8,Courbe_de_tarage!$I$4:$I$44,1)):INDEX(Courbe_de_tarage!$C$4:$C$44,MATCH(K7+B7+B8,Courbe_de_tarage!$I$4:$I$44,1)+1),INDEX(Courbe_de_tarage!$I$4:$I$44,MATCH(K7+B7+B8,Courbe_de_tarage!$I$4:$I$44,1)):INDEX(Courbe_de_tarage!$I$4:$I$44,MATCH(K7+B7+B8,Courbe_de_tarage!$I$4:$I$44,1)+1)),IFERROR(INDEX(Courbe_de_tarage!$C$4:$C$44,MATCH(K7+B7+B8,Courbe_de_tarage!$I$4:$I$44,1)),INDEX(Courbe_de_tarage!$C$4:$C$44,1))))</f>
        <v/>
      </c>
      <c r="D8" s="12">
        <f>IF(A8="","",IFERROR(FORECAST(K7+B7+B8,INDEX(Courbe_de_tarage!$D$4:$D$44,MATCH(K7+B7+B8,Courbe_de_tarage!$I$4:$I$44,1)):INDEX(Courbe_de_tarage!$D$4:$D$44,MATCH(K7+B7+B8,Courbe_de_tarage!$I$4:$I$44,1)+1),INDEX(Courbe_de_tarage!$I$4:$I$44,MATCH(K7+B7+B8,Courbe_de_tarage!$I$4:$I$44,1)):INDEX(Courbe_de_tarage!$I$4:$I$44,MATCH(K7+B7+B8,Courbe_de_tarage!$I$4:$I$44,1)+1)),IFERROR(INDEX(Courbe_de_tarage!$D$4:$D$44,MATCH(K7+B7+B8,Courbe_de_tarage!$I$4:$I$44,1)),INDEX(Courbe_de_tarage!$D$4:$D$44,1))))</f>
        <v/>
      </c>
      <c r="E8" s="12">
        <f>IF(A8="","",IFERROR(FORECAST(K7+B7+B8,INDEX(Courbe_de_tarage!$E$4:$E$44,MATCH(K7+B7+B8,Courbe_de_tarage!$I$4:$I$44,1)):INDEX(Courbe_de_tarage!$E$4:$E$44,MATCH(K7+B7+B8,Courbe_de_tarage!$I$4:$I$44,1)+1),INDEX(Courbe_de_tarage!$I$4:$I$44,MATCH(K7+B7+B8,Courbe_de_tarage!$I$4:$I$44,1)):INDEX(Courbe_de_tarage!$I$4:$I$44,MATCH(K7+B7+B8,Courbe_de_tarage!$I$4:$I$44,1)+1)),IFERROR(INDEX(Courbe_de_tarage!$E$4:$E$44,MATCH(K7+B7+B8,Courbe_de_tarage!$I$4:$I$44,1)),INDEX(Courbe_de_tarage!$E$4:$E$44,1))))</f>
        <v/>
      </c>
      <c r="F8" s="12">
        <f>IF(A8="","",IFERROR(FORECAST(K7+B7+B8,INDEX(Courbe_de_tarage!$A$4:$A$44,MATCH(K7+B7+B8,Courbe_de_tarage!$I$4:$I$44,1)):INDEX(Courbe_de_tarage!$A$4:$A$44,MATCH(K7+B7+B8,Courbe_de_tarage!$I$4:$I$44,1)+1),INDEX(Courbe_de_tarage!$I$4:$I$44,MATCH(K7+B7+B8,Courbe_de_tarage!$I$4:$I$44,1)):INDEX(Courbe_de_tarage!$I$4:$I$44,MATCH(K7+B7+B8,Courbe_de_tarage!$I$4:$I$44,1)+1)),IFERROR(INDEX(Courbe_de_tarage!$A$4:$A$44,MATCH(K7+B7+B8,Courbe_de_tarage!$I$4:$I$44,1)),INDEX(Courbe_de_tarage!$A$4:$A$44,1))))</f>
        <v/>
      </c>
      <c r="G8" s="12">
        <f>IF(A8="","",Parametres!$C$9+F8)</f>
        <v/>
      </c>
      <c r="H8" s="12">
        <f>IF(A8="","",IFERROR(FORECAST(K7+B7+B8,INDEX(Courbe_de_tarage!$H$4:$H$44,MATCH(K7+B7+B8,Courbe_de_tarage!$I$4:$I$44,1)):INDEX(Courbe_de_tarage!$H$4:$H$44,MATCH(K7+B7+B8,Courbe_de_tarage!$I$4:$I$44,1)+1),INDEX(Courbe_de_tarage!$I$4:$I$44,MATCH(K7+B7+B8,Courbe_de_tarage!$I$4:$I$44,1)):INDEX(Courbe_de_tarage!$I$4:$I$44,MATCH(K7+B7+B8,Courbe_de_tarage!$I$4:$I$44,1)+1)),IFERROR(INDEX(Courbe_de_tarage!$H$4:$H$44,MATCH(K7+B7+B8,Courbe_de_tarage!$I$4:$I$44,1)),INDEX(Courbe_de_tarage!$H$4:$H$44,1))))</f>
        <v/>
      </c>
      <c r="I8" s="5">
        <f>IF(G8="","",IF(G8&gt;Parametres!$C$11,"OUI",""))</f>
        <v/>
      </c>
      <c r="J8" s="12">
        <f>IF(A8="","",K7+B7+B8)</f>
        <v/>
      </c>
      <c r="K8" s="12">
        <f>IF(A8="","",2*H8/(Hydrogramme_entree!$B$8*60)-E8)</f>
        <v/>
      </c>
    </row>
    <row r="9">
      <c r="A9" s="5">
        <f>Hydrogramme_entree!A21</f>
        <v/>
      </c>
      <c r="B9" s="12">
        <f>Hydrogramme_entree!B21</f>
        <v/>
      </c>
      <c r="C9" s="12">
        <f>IF(A9="","",IFERROR(FORECAST(K8+B8+B9,INDEX(Courbe_de_tarage!$C$4:$C$44,MATCH(K8+B8+B9,Courbe_de_tarage!$I$4:$I$44,1)):INDEX(Courbe_de_tarage!$C$4:$C$44,MATCH(K8+B8+B9,Courbe_de_tarage!$I$4:$I$44,1)+1),INDEX(Courbe_de_tarage!$I$4:$I$44,MATCH(K8+B8+B9,Courbe_de_tarage!$I$4:$I$44,1)):INDEX(Courbe_de_tarage!$I$4:$I$44,MATCH(K8+B8+B9,Courbe_de_tarage!$I$4:$I$44,1)+1)),IFERROR(INDEX(Courbe_de_tarage!$C$4:$C$44,MATCH(K8+B8+B9,Courbe_de_tarage!$I$4:$I$44,1)),INDEX(Courbe_de_tarage!$C$4:$C$44,1))))</f>
        <v/>
      </c>
      <c r="D9" s="12">
        <f>IF(A9="","",IFERROR(FORECAST(K8+B8+B9,INDEX(Courbe_de_tarage!$D$4:$D$44,MATCH(K8+B8+B9,Courbe_de_tarage!$I$4:$I$44,1)):INDEX(Courbe_de_tarage!$D$4:$D$44,MATCH(K8+B8+B9,Courbe_de_tarage!$I$4:$I$44,1)+1),INDEX(Courbe_de_tarage!$I$4:$I$44,MATCH(K8+B8+B9,Courbe_de_tarage!$I$4:$I$44,1)):INDEX(Courbe_de_tarage!$I$4:$I$44,MATCH(K8+B8+B9,Courbe_de_tarage!$I$4:$I$44,1)+1)),IFERROR(INDEX(Courbe_de_tarage!$D$4:$D$44,MATCH(K8+B8+B9,Courbe_de_tarage!$I$4:$I$44,1)),INDEX(Courbe_de_tarage!$D$4:$D$44,1))))</f>
        <v/>
      </c>
      <c r="E9" s="12">
        <f>IF(A9="","",IFERROR(FORECAST(K8+B8+B9,INDEX(Courbe_de_tarage!$E$4:$E$44,MATCH(K8+B8+B9,Courbe_de_tarage!$I$4:$I$44,1)):INDEX(Courbe_de_tarage!$E$4:$E$44,MATCH(K8+B8+B9,Courbe_de_tarage!$I$4:$I$44,1)+1),INDEX(Courbe_de_tarage!$I$4:$I$44,MATCH(K8+B8+B9,Courbe_de_tarage!$I$4:$I$44,1)):INDEX(Courbe_de_tarage!$I$4:$I$44,MATCH(K8+B8+B9,Courbe_de_tarage!$I$4:$I$44,1)+1)),IFERROR(INDEX(Courbe_de_tarage!$E$4:$E$44,MATCH(K8+B8+B9,Courbe_de_tarage!$I$4:$I$44,1)),INDEX(Courbe_de_tarage!$E$4:$E$44,1))))</f>
        <v/>
      </c>
      <c r="F9" s="12">
        <f>IF(A9="","",IFERROR(FORECAST(K8+B8+B9,INDEX(Courbe_de_tarage!$A$4:$A$44,MATCH(K8+B8+B9,Courbe_de_tarage!$I$4:$I$44,1)):INDEX(Courbe_de_tarage!$A$4:$A$44,MATCH(K8+B8+B9,Courbe_de_tarage!$I$4:$I$44,1)+1),INDEX(Courbe_de_tarage!$I$4:$I$44,MATCH(K8+B8+B9,Courbe_de_tarage!$I$4:$I$44,1)):INDEX(Courbe_de_tarage!$I$4:$I$44,MATCH(K8+B8+B9,Courbe_de_tarage!$I$4:$I$44,1)+1)),IFERROR(INDEX(Courbe_de_tarage!$A$4:$A$44,MATCH(K8+B8+B9,Courbe_de_tarage!$I$4:$I$44,1)),INDEX(Courbe_de_tarage!$A$4:$A$44,1))))</f>
        <v/>
      </c>
      <c r="G9" s="12">
        <f>IF(A9="","",Parametres!$C$9+F9)</f>
        <v/>
      </c>
      <c r="H9" s="12">
        <f>IF(A9="","",IFERROR(FORECAST(K8+B8+B9,INDEX(Courbe_de_tarage!$H$4:$H$44,MATCH(K8+B8+B9,Courbe_de_tarage!$I$4:$I$44,1)):INDEX(Courbe_de_tarage!$H$4:$H$44,MATCH(K8+B8+B9,Courbe_de_tarage!$I$4:$I$44,1)+1),INDEX(Courbe_de_tarage!$I$4:$I$44,MATCH(K8+B8+B9,Courbe_de_tarage!$I$4:$I$44,1)):INDEX(Courbe_de_tarage!$I$4:$I$44,MATCH(K8+B8+B9,Courbe_de_tarage!$I$4:$I$44,1)+1)),IFERROR(INDEX(Courbe_de_tarage!$H$4:$H$44,MATCH(K8+B8+B9,Courbe_de_tarage!$I$4:$I$44,1)),INDEX(Courbe_de_tarage!$H$4:$H$44,1))))</f>
        <v/>
      </c>
      <c r="I9" s="5">
        <f>IF(G9="","",IF(G9&gt;Parametres!$C$11,"OUI",""))</f>
        <v/>
      </c>
      <c r="J9" s="12">
        <f>IF(A9="","",K8+B8+B9)</f>
        <v/>
      </c>
      <c r="K9" s="12">
        <f>IF(A9="","",2*H9/(Hydrogramme_entree!$B$8*60)-E9)</f>
        <v/>
      </c>
    </row>
    <row r="10">
      <c r="A10" s="5">
        <f>Hydrogramme_entree!A22</f>
        <v/>
      </c>
      <c r="B10" s="12">
        <f>Hydrogramme_entree!B22</f>
        <v/>
      </c>
      <c r="C10" s="12">
        <f>IF(A10="","",IFERROR(FORECAST(K9+B9+B10,INDEX(Courbe_de_tarage!$C$4:$C$44,MATCH(K9+B9+B10,Courbe_de_tarage!$I$4:$I$44,1)):INDEX(Courbe_de_tarage!$C$4:$C$44,MATCH(K9+B9+B10,Courbe_de_tarage!$I$4:$I$44,1)+1),INDEX(Courbe_de_tarage!$I$4:$I$44,MATCH(K9+B9+B10,Courbe_de_tarage!$I$4:$I$44,1)):INDEX(Courbe_de_tarage!$I$4:$I$44,MATCH(K9+B9+B10,Courbe_de_tarage!$I$4:$I$44,1)+1)),IFERROR(INDEX(Courbe_de_tarage!$C$4:$C$44,MATCH(K9+B9+B10,Courbe_de_tarage!$I$4:$I$44,1)),INDEX(Courbe_de_tarage!$C$4:$C$44,1))))</f>
        <v/>
      </c>
      <c r="D10" s="12">
        <f>IF(A10="","",IFERROR(FORECAST(K9+B9+B10,INDEX(Courbe_de_tarage!$D$4:$D$44,MATCH(K9+B9+B10,Courbe_de_tarage!$I$4:$I$44,1)):INDEX(Courbe_de_tarage!$D$4:$D$44,MATCH(K9+B9+B10,Courbe_de_tarage!$I$4:$I$44,1)+1),INDEX(Courbe_de_tarage!$I$4:$I$44,MATCH(K9+B9+B10,Courbe_de_tarage!$I$4:$I$44,1)):INDEX(Courbe_de_tarage!$I$4:$I$44,MATCH(K9+B9+B10,Courbe_de_tarage!$I$4:$I$44,1)+1)),IFERROR(INDEX(Courbe_de_tarage!$D$4:$D$44,MATCH(K9+B9+B10,Courbe_de_tarage!$I$4:$I$44,1)),INDEX(Courbe_de_tarage!$D$4:$D$44,1))))</f>
        <v/>
      </c>
      <c r="E10" s="12">
        <f>IF(A10="","",IFERROR(FORECAST(K9+B9+B10,INDEX(Courbe_de_tarage!$E$4:$E$44,MATCH(K9+B9+B10,Courbe_de_tarage!$I$4:$I$44,1)):INDEX(Courbe_de_tarage!$E$4:$E$44,MATCH(K9+B9+B10,Courbe_de_tarage!$I$4:$I$44,1)+1),INDEX(Courbe_de_tarage!$I$4:$I$44,MATCH(K9+B9+B10,Courbe_de_tarage!$I$4:$I$44,1)):INDEX(Courbe_de_tarage!$I$4:$I$44,MATCH(K9+B9+B10,Courbe_de_tarage!$I$4:$I$44,1)+1)),IFERROR(INDEX(Courbe_de_tarage!$E$4:$E$44,MATCH(K9+B9+B10,Courbe_de_tarage!$I$4:$I$44,1)),INDEX(Courbe_de_tarage!$E$4:$E$44,1))))</f>
        <v/>
      </c>
      <c r="F10" s="12">
        <f>IF(A10="","",IFERROR(FORECAST(K9+B9+B10,INDEX(Courbe_de_tarage!$A$4:$A$44,MATCH(K9+B9+B10,Courbe_de_tarage!$I$4:$I$44,1)):INDEX(Courbe_de_tarage!$A$4:$A$44,MATCH(K9+B9+B10,Courbe_de_tarage!$I$4:$I$44,1)+1),INDEX(Courbe_de_tarage!$I$4:$I$44,MATCH(K9+B9+B10,Courbe_de_tarage!$I$4:$I$44,1)):INDEX(Courbe_de_tarage!$I$4:$I$44,MATCH(K9+B9+B10,Courbe_de_tarage!$I$4:$I$44,1)+1)),IFERROR(INDEX(Courbe_de_tarage!$A$4:$A$44,MATCH(K9+B9+B10,Courbe_de_tarage!$I$4:$I$44,1)),INDEX(Courbe_de_tarage!$A$4:$A$44,1))))</f>
        <v/>
      </c>
      <c r="G10" s="12">
        <f>IF(A10="","",Parametres!$C$9+F10)</f>
        <v/>
      </c>
      <c r="H10" s="12">
        <f>IF(A10="","",IFERROR(FORECAST(K9+B9+B10,INDEX(Courbe_de_tarage!$H$4:$H$44,MATCH(K9+B9+B10,Courbe_de_tarage!$I$4:$I$44,1)):INDEX(Courbe_de_tarage!$H$4:$H$44,MATCH(K9+B9+B10,Courbe_de_tarage!$I$4:$I$44,1)+1),INDEX(Courbe_de_tarage!$I$4:$I$44,MATCH(K9+B9+B10,Courbe_de_tarage!$I$4:$I$44,1)):INDEX(Courbe_de_tarage!$I$4:$I$44,MATCH(K9+B9+B10,Courbe_de_tarage!$I$4:$I$44,1)+1)),IFERROR(INDEX(Courbe_de_tarage!$H$4:$H$44,MATCH(K9+B9+B10,Courbe_de_tarage!$I$4:$I$44,1)),INDEX(Courbe_de_tarage!$H$4:$H$44,1))))</f>
        <v/>
      </c>
      <c r="I10" s="5">
        <f>IF(G10="","",IF(G10&gt;Parametres!$C$11,"OUI",""))</f>
        <v/>
      </c>
      <c r="J10" s="12">
        <f>IF(A10="","",K9+B9+B10)</f>
        <v/>
      </c>
      <c r="K10" s="12">
        <f>IF(A10="","",2*H10/(Hydrogramme_entree!$B$8*60)-E10)</f>
        <v/>
      </c>
    </row>
    <row r="11">
      <c r="A11" s="5">
        <f>Hydrogramme_entree!A23</f>
        <v/>
      </c>
      <c r="B11" s="12">
        <f>Hydrogramme_entree!B23</f>
        <v/>
      </c>
      <c r="C11" s="12">
        <f>IF(A11="","",IFERROR(FORECAST(K10+B10+B11,INDEX(Courbe_de_tarage!$C$4:$C$44,MATCH(K10+B10+B11,Courbe_de_tarage!$I$4:$I$44,1)):INDEX(Courbe_de_tarage!$C$4:$C$44,MATCH(K10+B10+B11,Courbe_de_tarage!$I$4:$I$44,1)+1),INDEX(Courbe_de_tarage!$I$4:$I$44,MATCH(K10+B10+B11,Courbe_de_tarage!$I$4:$I$44,1)):INDEX(Courbe_de_tarage!$I$4:$I$44,MATCH(K10+B10+B11,Courbe_de_tarage!$I$4:$I$44,1)+1)),IFERROR(INDEX(Courbe_de_tarage!$C$4:$C$44,MATCH(K10+B10+B11,Courbe_de_tarage!$I$4:$I$44,1)),INDEX(Courbe_de_tarage!$C$4:$C$44,1))))</f>
        <v/>
      </c>
      <c r="D11" s="12">
        <f>IF(A11="","",IFERROR(FORECAST(K10+B10+B11,INDEX(Courbe_de_tarage!$D$4:$D$44,MATCH(K10+B10+B11,Courbe_de_tarage!$I$4:$I$44,1)):INDEX(Courbe_de_tarage!$D$4:$D$44,MATCH(K10+B10+B11,Courbe_de_tarage!$I$4:$I$44,1)+1),INDEX(Courbe_de_tarage!$I$4:$I$44,MATCH(K10+B10+B11,Courbe_de_tarage!$I$4:$I$44,1)):INDEX(Courbe_de_tarage!$I$4:$I$44,MATCH(K10+B10+B11,Courbe_de_tarage!$I$4:$I$44,1)+1)),IFERROR(INDEX(Courbe_de_tarage!$D$4:$D$44,MATCH(K10+B10+B11,Courbe_de_tarage!$I$4:$I$44,1)),INDEX(Courbe_de_tarage!$D$4:$D$44,1))))</f>
        <v/>
      </c>
      <c r="E11" s="12">
        <f>IF(A11="","",IFERROR(FORECAST(K10+B10+B11,INDEX(Courbe_de_tarage!$E$4:$E$44,MATCH(K10+B10+B11,Courbe_de_tarage!$I$4:$I$44,1)):INDEX(Courbe_de_tarage!$E$4:$E$44,MATCH(K10+B10+B11,Courbe_de_tarage!$I$4:$I$44,1)+1),INDEX(Courbe_de_tarage!$I$4:$I$44,MATCH(K10+B10+B11,Courbe_de_tarage!$I$4:$I$44,1)):INDEX(Courbe_de_tarage!$I$4:$I$44,MATCH(K10+B10+B11,Courbe_de_tarage!$I$4:$I$44,1)+1)),IFERROR(INDEX(Courbe_de_tarage!$E$4:$E$44,MATCH(K10+B10+B11,Courbe_de_tarage!$I$4:$I$44,1)),INDEX(Courbe_de_tarage!$E$4:$E$44,1))))</f>
        <v/>
      </c>
      <c r="F11" s="12">
        <f>IF(A11="","",IFERROR(FORECAST(K10+B10+B11,INDEX(Courbe_de_tarage!$A$4:$A$44,MATCH(K10+B10+B11,Courbe_de_tarage!$I$4:$I$44,1)):INDEX(Courbe_de_tarage!$A$4:$A$44,MATCH(K10+B10+B11,Courbe_de_tarage!$I$4:$I$44,1)+1),INDEX(Courbe_de_tarage!$I$4:$I$44,MATCH(K10+B10+B11,Courbe_de_tarage!$I$4:$I$44,1)):INDEX(Courbe_de_tarage!$I$4:$I$44,MATCH(K10+B10+B11,Courbe_de_tarage!$I$4:$I$44,1)+1)),IFERROR(INDEX(Courbe_de_tarage!$A$4:$A$44,MATCH(K10+B10+B11,Courbe_de_tarage!$I$4:$I$44,1)),INDEX(Courbe_de_tarage!$A$4:$A$44,1))))</f>
        <v/>
      </c>
      <c r="G11" s="12">
        <f>IF(A11="","",Parametres!$C$9+F11)</f>
        <v/>
      </c>
      <c r="H11" s="12">
        <f>IF(A11="","",IFERROR(FORECAST(K10+B10+B11,INDEX(Courbe_de_tarage!$H$4:$H$44,MATCH(K10+B10+B11,Courbe_de_tarage!$I$4:$I$44,1)):INDEX(Courbe_de_tarage!$H$4:$H$44,MATCH(K10+B10+B11,Courbe_de_tarage!$I$4:$I$44,1)+1),INDEX(Courbe_de_tarage!$I$4:$I$44,MATCH(K10+B10+B11,Courbe_de_tarage!$I$4:$I$44,1)):INDEX(Courbe_de_tarage!$I$4:$I$44,MATCH(K10+B10+B11,Courbe_de_tarage!$I$4:$I$44,1)+1)),IFERROR(INDEX(Courbe_de_tarage!$H$4:$H$44,MATCH(K10+B10+B11,Courbe_de_tarage!$I$4:$I$44,1)),INDEX(Courbe_de_tarage!$H$4:$H$44,1))))</f>
        <v/>
      </c>
      <c r="I11" s="5">
        <f>IF(G11="","",IF(G11&gt;Parametres!$C$11,"OUI",""))</f>
        <v/>
      </c>
      <c r="J11" s="12">
        <f>IF(A11="","",K10+B10+B11)</f>
        <v/>
      </c>
      <c r="K11" s="12">
        <f>IF(A11="","",2*H11/(Hydrogramme_entree!$B$8*60)-E11)</f>
        <v/>
      </c>
    </row>
    <row r="12">
      <c r="A12" s="5">
        <f>Hydrogramme_entree!A24</f>
        <v/>
      </c>
      <c r="B12" s="12">
        <f>Hydrogramme_entree!B24</f>
        <v/>
      </c>
      <c r="C12" s="12">
        <f>IF(A12="","",IFERROR(FORECAST(K11+B11+B12,INDEX(Courbe_de_tarage!$C$4:$C$44,MATCH(K11+B11+B12,Courbe_de_tarage!$I$4:$I$44,1)):INDEX(Courbe_de_tarage!$C$4:$C$44,MATCH(K11+B11+B12,Courbe_de_tarage!$I$4:$I$44,1)+1),INDEX(Courbe_de_tarage!$I$4:$I$44,MATCH(K11+B11+B12,Courbe_de_tarage!$I$4:$I$44,1)):INDEX(Courbe_de_tarage!$I$4:$I$44,MATCH(K11+B11+B12,Courbe_de_tarage!$I$4:$I$44,1)+1)),IFERROR(INDEX(Courbe_de_tarage!$C$4:$C$44,MATCH(K11+B11+B12,Courbe_de_tarage!$I$4:$I$44,1)),INDEX(Courbe_de_tarage!$C$4:$C$44,1))))</f>
        <v/>
      </c>
      <c r="D12" s="12">
        <f>IF(A12="","",IFERROR(FORECAST(K11+B11+B12,INDEX(Courbe_de_tarage!$D$4:$D$44,MATCH(K11+B11+B12,Courbe_de_tarage!$I$4:$I$44,1)):INDEX(Courbe_de_tarage!$D$4:$D$44,MATCH(K11+B11+B12,Courbe_de_tarage!$I$4:$I$44,1)+1),INDEX(Courbe_de_tarage!$I$4:$I$44,MATCH(K11+B11+B12,Courbe_de_tarage!$I$4:$I$44,1)):INDEX(Courbe_de_tarage!$I$4:$I$44,MATCH(K11+B11+B12,Courbe_de_tarage!$I$4:$I$44,1)+1)),IFERROR(INDEX(Courbe_de_tarage!$D$4:$D$44,MATCH(K11+B11+B12,Courbe_de_tarage!$I$4:$I$44,1)),INDEX(Courbe_de_tarage!$D$4:$D$44,1))))</f>
        <v/>
      </c>
      <c r="E12" s="12">
        <f>IF(A12="","",IFERROR(FORECAST(K11+B11+B12,INDEX(Courbe_de_tarage!$E$4:$E$44,MATCH(K11+B11+B12,Courbe_de_tarage!$I$4:$I$44,1)):INDEX(Courbe_de_tarage!$E$4:$E$44,MATCH(K11+B11+B12,Courbe_de_tarage!$I$4:$I$44,1)+1),INDEX(Courbe_de_tarage!$I$4:$I$44,MATCH(K11+B11+B12,Courbe_de_tarage!$I$4:$I$44,1)):INDEX(Courbe_de_tarage!$I$4:$I$44,MATCH(K11+B11+B12,Courbe_de_tarage!$I$4:$I$44,1)+1)),IFERROR(INDEX(Courbe_de_tarage!$E$4:$E$44,MATCH(K11+B11+B12,Courbe_de_tarage!$I$4:$I$44,1)),INDEX(Courbe_de_tarage!$E$4:$E$44,1))))</f>
        <v/>
      </c>
      <c r="F12" s="12">
        <f>IF(A12="","",IFERROR(FORECAST(K11+B11+B12,INDEX(Courbe_de_tarage!$A$4:$A$44,MATCH(K11+B11+B12,Courbe_de_tarage!$I$4:$I$44,1)):INDEX(Courbe_de_tarage!$A$4:$A$44,MATCH(K11+B11+B12,Courbe_de_tarage!$I$4:$I$44,1)+1),INDEX(Courbe_de_tarage!$I$4:$I$44,MATCH(K11+B11+B12,Courbe_de_tarage!$I$4:$I$44,1)):INDEX(Courbe_de_tarage!$I$4:$I$44,MATCH(K11+B11+B12,Courbe_de_tarage!$I$4:$I$44,1)+1)),IFERROR(INDEX(Courbe_de_tarage!$A$4:$A$44,MATCH(K11+B11+B12,Courbe_de_tarage!$I$4:$I$44,1)),INDEX(Courbe_de_tarage!$A$4:$A$44,1))))</f>
        <v/>
      </c>
      <c r="G12" s="12">
        <f>IF(A12="","",Parametres!$C$9+F12)</f>
        <v/>
      </c>
      <c r="H12" s="12">
        <f>IF(A12="","",IFERROR(FORECAST(K11+B11+B12,INDEX(Courbe_de_tarage!$H$4:$H$44,MATCH(K11+B11+B12,Courbe_de_tarage!$I$4:$I$44,1)):INDEX(Courbe_de_tarage!$H$4:$H$44,MATCH(K11+B11+B12,Courbe_de_tarage!$I$4:$I$44,1)+1),INDEX(Courbe_de_tarage!$I$4:$I$44,MATCH(K11+B11+B12,Courbe_de_tarage!$I$4:$I$44,1)):INDEX(Courbe_de_tarage!$I$4:$I$44,MATCH(K11+B11+B12,Courbe_de_tarage!$I$4:$I$44,1)+1)),IFERROR(INDEX(Courbe_de_tarage!$H$4:$H$44,MATCH(K11+B11+B12,Courbe_de_tarage!$I$4:$I$44,1)),INDEX(Courbe_de_tarage!$H$4:$H$44,1))))</f>
        <v/>
      </c>
      <c r="I12" s="5">
        <f>IF(G12="","",IF(G12&gt;Parametres!$C$11,"OUI",""))</f>
        <v/>
      </c>
      <c r="J12" s="12">
        <f>IF(A12="","",K11+B11+B12)</f>
        <v/>
      </c>
      <c r="K12" s="12">
        <f>IF(A12="","",2*H12/(Hydrogramme_entree!$B$8*60)-E12)</f>
        <v/>
      </c>
    </row>
    <row r="13">
      <c r="A13" s="5">
        <f>Hydrogramme_entree!A25</f>
        <v/>
      </c>
      <c r="B13" s="12">
        <f>Hydrogramme_entree!B25</f>
        <v/>
      </c>
      <c r="C13" s="12">
        <f>IF(A13="","",IFERROR(FORECAST(K12+B12+B13,INDEX(Courbe_de_tarage!$C$4:$C$44,MATCH(K12+B12+B13,Courbe_de_tarage!$I$4:$I$44,1)):INDEX(Courbe_de_tarage!$C$4:$C$44,MATCH(K12+B12+B13,Courbe_de_tarage!$I$4:$I$44,1)+1),INDEX(Courbe_de_tarage!$I$4:$I$44,MATCH(K12+B12+B13,Courbe_de_tarage!$I$4:$I$44,1)):INDEX(Courbe_de_tarage!$I$4:$I$44,MATCH(K12+B12+B13,Courbe_de_tarage!$I$4:$I$44,1)+1)),IFERROR(INDEX(Courbe_de_tarage!$C$4:$C$44,MATCH(K12+B12+B13,Courbe_de_tarage!$I$4:$I$44,1)),INDEX(Courbe_de_tarage!$C$4:$C$44,1))))</f>
        <v/>
      </c>
      <c r="D13" s="12">
        <f>IF(A13="","",IFERROR(FORECAST(K12+B12+B13,INDEX(Courbe_de_tarage!$D$4:$D$44,MATCH(K12+B12+B13,Courbe_de_tarage!$I$4:$I$44,1)):INDEX(Courbe_de_tarage!$D$4:$D$44,MATCH(K12+B12+B13,Courbe_de_tarage!$I$4:$I$44,1)+1),INDEX(Courbe_de_tarage!$I$4:$I$44,MATCH(K12+B12+B13,Courbe_de_tarage!$I$4:$I$44,1)):INDEX(Courbe_de_tarage!$I$4:$I$44,MATCH(K12+B12+B13,Courbe_de_tarage!$I$4:$I$44,1)+1)),IFERROR(INDEX(Courbe_de_tarage!$D$4:$D$44,MATCH(K12+B12+B13,Courbe_de_tarage!$I$4:$I$44,1)),INDEX(Courbe_de_tarage!$D$4:$D$44,1))))</f>
        <v/>
      </c>
      <c r="E13" s="12">
        <f>IF(A13="","",IFERROR(FORECAST(K12+B12+B13,INDEX(Courbe_de_tarage!$E$4:$E$44,MATCH(K12+B12+B13,Courbe_de_tarage!$I$4:$I$44,1)):INDEX(Courbe_de_tarage!$E$4:$E$44,MATCH(K12+B12+B13,Courbe_de_tarage!$I$4:$I$44,1)+1),INDEX(Courbe_de_tarage!$I$4:$I$44,MATCH(K12+B12+B13,Courbe_de_tarage!$I$4:$I$44,1)):INDEX(Courbe_de_tarage!$I$4:$I$44,MATCH(K12+B12+B13,Courbe_de_tarage!$I$4:$I$44,1)+1)),IFERROR(INDEX(Courbe_de_tarage!$E$4:$E$44,MATCH(K12+B12+B13,Courbe_de_tarage!$I$4:$I$44,1)),INDEX(Courbe_de_tarage!$E$4:$E$44,1))))</f>
        <v/>
      </c>
      <c r="F13" s="12">
        <f>IF(A13="","",IFERROR(FORECAST(K12+B12+B13,INDEX(Courbe_de_tarage!$A$4:$A$44,MATCH(K12+B12+B13,Courbe_de_tarage!$I$4:$I$44,1)):INDEX(Courbe_de_tarage!$A$4:$A$44,MATCH(K12+B12+B13,Courbe_de_tarage!$I$4:$I$44,1)+1),INDEX(Courbe_de_tarage!$I$4:$I$44,MATCH(K12+B12+B13,Courbe_de_tarage!$I$4:$I$44,1)):INDEX(Courbe_de_tarage!$I$4:$I$44,MATCH(K12+B12+B13,Courbe_de_tarage!$I$4:$I$44,1)+1)),IFERROR(INDEX(Courbe_de_tarage!$A$4:$A$44,MATCH(K12+B12+B13,Courbe_de_tarage!$I$4:$I$44,1)),INDEX(Courbe_de_tarage!$A$4:$A$44,1))))</f>
        <v/>
      </c>
      <c r="G13" s="12">
        <f>IF(A13="","",Parametres!$C$9+F13)</f>
        <v/>
      </c>
      <c r="H13" s="12">
        <f>IF(A13="","",IFERROR(FORECAST(K12+B12+B13,INDEX(Courbe_de_tarage!$H$4:$H$44,MATCH(K12+B12+B13,Courbe_de_tarage!$I$4:$I$44,1)):INDEX(Courbe_de_tarage!$H$4:$H$44,MATCH(K12+B12+B13,Courbe_de_tarage!$I$4:$I$44,1)+1),INDEX(Courbe_de_tarage!$I$4:$I$44,MATCH(K12+B12+B13,Courbe_de_tarage!$I$4:$I$44,1)):INDEX(Courbe_de_tarage!$I$4:$I$44,MATCH(K12+B12+B13,Courbe_de_tarage!$I$4:$I$44,1)+1)),IFERROR(INDEX(Courbe_de_tarage!$H$4:$H$44,MATCH(K12+B12+B13,Courbe_de_tarage!$I$4:$I$44,1)),INDEX(Courbe_de_tarage!$H$4:$H$44,1))))</f>
        <v/>
      </c>
      <c r="I13" s="5">
        <f>IF(G13="","",IF(G13&gt;Parametres!$C$11,"OUI",""))</f>
        <v/>
      </c>
      <c r="J13" s="12">
        <f>IF(A13="","",K12+B12+B13)</f>
        <v/>
      </c>
      <c r="K13" s="12">
        <f>IF(A13="","",2*H13/(Hydrogramme_entree!$B$8*60)-E13)</f>
        <v/>
      </c>
    </row>
    <row r="14">
      <c r="A14" s="5">
        <f>Hydrogramme_entree!A26</f>
        <v/>
      </c>
      <c r="B14" s="12">
        <f>Hydrogramme_entree!B26</f>
        <v/>
      </c>
      <c r="C14" s="12">
        <f>IF(A14="","",IFERROR(FORECAST(K13+B13+B14,INDEX(Courbe_de_tarage!$C$4:$C$44,MATCH(K13+B13+B14,Courbe_de_tarage!$I$4:$I$44,1)):INDEX(Courbe_de_tarage!$C$4:$C$44,MATCH(K13+B13+B14,Courbe_de_tarage!$I$4:$I$44,1)+1),INDEX(Courbe_de_tarage!$I$4:$I$44,MATCH(K13+B13+B14,Courbe_de_tarage!$I$4:$I$44,1)):INDEX(Courbe_de_tarage!$I$4:$I$44,MATCH(K13+B13+B14,Courbe_de_tarage!$I$4:$I$44,1)+1)),IFERROR(INDEX(Courbe_de_tarage!$C$4:$C$44,MATCH(K13+B13+B14,Courbe_de_tarage!$I$4:$I$44,1)),INDEX(Courbe_de_tarage!$C$4:$C$44,1))))</f>
        <v/>
      </c>
      <c r="D14" s="12">
        <f>IF(A14="","",IFERROR(FORECAST(K13+B13+B14,INDEX(Courbe_de_tarage!$D$4:$D$44,MATCH(K13+B13+B14,Courbe_de_tarage!$I$4:$I$44,1)):INDEX(Courbe_de_tarage!$D$4:$D$44,MATCH(K13+B13+B14,Courbe_de_tarage!$I$4:$I$44,1)+1),INDEX(Courbe_de_tarage!$I$4:$I$44,MATCH(K13+B13+B14,Courbe_de_tarage!$I$4:$I$44,1)):INDEX(Courbe_de_tarage!$I$4:$I$44,MATCH(K13+B13+B14,Courbe_de_tarage!$I$4:$I$44,1)+1)),IFERROR(INDEX(Courbe_de_tarage!$D$4:$D$44,MATCH(K13+B13+B14,Courbe_de_tarage!$I$4:$I$44,1)),INDEX(Courbe_de_tarage!$D$4:$D$44,1))))</f>
        <v/>
      </c>
      <c r="E14" s="12">
        <f>IF(A14="","",IFERROR(FORECAST(K13+B13+B14,INDEX(Courbe_de_tarage!$E$4:$E$44,MATCH(K13+B13+B14,Courbe_de_tarage!$I$4:$I$44,1)):INDEX(Courbe_de_tarage!$E$4:$E$44,MATCH(K13+B13+B14,Courbe_de_tarage!$I$4:$I$44,1)+1),INDEX(Courbe_de_tarage!$I$4:$I$44,MATCH(K13+B13+B14,Courbe_de_tarage!$I$4:$I$44,1)):INDEX(Courbe_de_tarage!$I$4:$I$44,MATCH(K13+B13+B14,Courbe_de_tarage!$I$4:$I$44,1)+1)),IFERROR(INDEX(Courbe_de_tarage!$E$4:$E$44,MATCH(K13+B13+B14,Courbe_de_tarage!$I$4:$I$44,1)),INDEX(Courbe_de_tarage!$E$4:$E$44,1))))</f>
        <v/>
      </c>
      <c r="F14" s="12">
        <f>IF(A14="","",IFERROR(FORECAST(K13+B13+B14,INDEX(Courbe_de_tarage!$A$4:$A$44,MATCH(K13+B13+B14,Courbe_de_tarage!$I$4:$I$44,1)):INDEX(Courbe_de_tarage!$A$4:$A$44,MATCH(K13+B13+B14,Courbe_de_tarage!$I$4:$I$44,1)+1),INDEX(Courbe_de_tarage!$I$4:$I$44,MATCH(K13+B13+B14,Courbe_de_tarage!$I$4:$I$44,1)):INDEX(Courbe_de_tarage!$I$4:$I$44,MATCH(K13+B13+B14,Courbe_de_tarage!$I$4:$I$44,1)+1)),IFERROR(INDEX(Courbe_de_tarage!$A$4:$A$44,MATCH(K13+B13+B14,Courbe_de_tarage!$I$4:$I$44,1)),INDEX(Courbe_de_tarage!$A$4:$A$44,1))))</f>
        <v/>
      </c>
      <c r="G14" s="12">
        <f>IF(A14="","",Parametres!$C$9+F14)</f>
        <v/>
      </c>
      <c r="H14" s="12">
        <f>IF(A14="","",IFERROR(FORECAST(K13+B13+B14,INDEX(Courbe_de_tarage!$H$4:$H$44,MATCH(K13+B13+B14,Courbe_de_tarage!$I$4:$I$44,1)):INDEX(Courbe_de_tarage!$H$4:$H$44,MATCH(K13+B13+B14,Courbe_de_tarage!$I$4:$I$44,1)+1),INDEX(Courbe_de_tarage!$I$4:$I$44,MATCH(K13+B13+B14,Courbe_de_tarage!$I$4:$I$44,1)):INDEX(Courbe_de_tarage!$I$4:$I$44,MATCH(K13+B13+B14,Courbe_de_tarage!$I$4:$I$44,1)+1)),IFERROR(INDEX(Courbe_de_tarage!$H$4:$H$44,MATCH(K13+B13+B14,Courbe_de_tarage!$I$4:$I$44,1)),INDEX(Courbe_de_tarage!$H$4:$H$44,1))))</f>
        <v/>
      </c>
      <c r="I14" s="5">
        <f>IF(G14="","",IF(G14&gt;Parametres!$C$11,"OUI",""))</f>
        <v/>
      </c>
      <c r="J14" s="12">
        <f>IF(A14="","",K13+B13+B14)</f>
        <v/>
      </c>
      <c r="K14" s="12">
        <f>IF(A14="","",2*H14/(Hydrogramme_entree!$B$8*60)-E14)</f>
        <v/>
      </c>
    </row>
    <row r="15">
      <c r="A15" s="5">
        <f>Hydrogramme_entree!A27</f>
        <v/>
      </c>
      <c r="B15" s="12">
        <f>Hydrogramme_entree!B27</f>
        <v/>
      </c>
      <c r="C15" s="12">
        <f>IF(A15="","",IFERROR(FORECAST(K14+B14+B15,INDEX(Courbe_de_tarage!$C$4:$C$44,MATCH(K14+B14+B15,Courbe_de_tarage!$I$4:$I$44,1)):INDEX(Courbe_de_tarage!$C$4:$C$44,MATCH(K14+B14+B15,Courbe_de_tarage!$I$4:$I$44,1)+1),INDEX(Courbe_de_tarage!$I$4:$I$44,MATCH(K14+B14+B15,Courbe_de_tarage!$I$4:$I$44,1)):INDEX(Courbe_de_tarage!$I$4:$I$44,MATCH(K14+B14+B15,Courbe_de_tarage!$I$4:$I$44,1)+1)),IFERROR(INDEX(Courbe_de_tarage!$C$4:$C$44,MATCH(K14+B14+B15,Courbe_de_tarage!$I$4:$I$44,1)),INDEX(Courbe_de_tarage!$C$4:$C$44,1))))</f>
        <v/>
      </c>
      <c r="D15" s="12">
        <f>IF(A15="","",IFERROR(FORECAST(K14+B14+B15,INDEX(Courbe_de_tarage!$D$4:$D$44,MATCH(K14+B14+B15,Courbe_de_tarage!$I$4:$I$44,1)):INDEX(Courbe_de_tarage!$D$4:$D$44,MATCH(K14+B14+B15,Courbe_de_tarage!$I$4:$I$44,1)+1),INDEX(Courbe_de_tarage!$I$4:$I$44,MATCH(K14+B14+B15,Courbe_de_tarage!$I$4:$I$44,1)):INDEX(Courbe_de_tarage!$I$4:$I$44,MATCH(K14+B14+B15,Courbe_de_tarage!$I$4:$I$44,1)+1)),IFERROR(INDEX(Courbe_de_tarage!$D$4:$D$44,MATCH(K14+B14+B15,Courbe_de_tarage!$I$4:$I$44,1)),INDEX(Courbe_de_tarage!$D$4:$D$44,1))))</f>
        <v/>
      </c>
      <c r="E15" s="12">
        <f>IF(A15="","",IFERROR(FORECAST(K14+B14+B15,INDEX(Courbe_de_tarage!$E$4:$E$44,MATCH(K14+B14+B15,Courbe_de_tarage!$I$4:$I$44,1)):INDEX(Courbe_de_tarage!$E$4:$E$44,MATCH(K14+B14+B15,Courbe_de_tarage!$I$4:$I$44,1)+1),INDEX(Courbe_de_tarage!$I$4:$I$44,MATCH(K14+B14+B15,Courbe_de_tarage!$I$4:$I$44,1)):INDEX(Courbe_de_tarage!$I$4:$I$44,MATCH(K14+B14+B15,Courbe_de_tarage!$I$4:$I$44,1)+1)),IFERROR(INDEX(Courbe_de_tarage!$E$4:$E$44,MATCH(K14+B14+B15,Courbe_de_tarage!$I$4:$I$44,1)),INDEX(Courbe_de_tarage!$E$4:$E$44,1))))</f>
        <v/>
      </c>
      <c r="F15" s="12">
        <f>IF(A15="","",IFERROR(FORECAST(K14+B14+B15,INDEX(Courbe_de_tarage!$A$4:$A$44,MATCH(K14+B14+B15,Courbe_de_tarage!$I$4:$I$44,1)):INDEX(Courbe_de_tarage!$A$4:$A$44,MATCH(K14+B14+B15,Courbe_de_tarage!$I$4:$I$44,1)+1),INDEX(Courbe_de_tarage!$I$4:$I$44,MATCH(K14+B14+B15,Courbe_de_tarage!$I$4:$I$44,1)):INDEX(Courbe_de_tarage!$I$4:$I$44,MATCH(K14+B14+B15,Courbe_de_tarage!$I$4:$I$44,1)+1)),IFERROR(INDEX(Courbe_de_tarage!$A$4:$A$44,MATCH(K14+B14+B15,Courbe_de_tarage!$I$4:$I$44,1)),INDEX(Courbe_de_tarage!$A$4:$A$44,1))))</f>
        <v/>
      </c>
      <c r="G15" s="12">
        <f>IF(A15="","",Parametres!$C$9+F15)</f>
        <v/>
      </c>
      <c r="H15" s="12">
        <f>IF(A15="","",IFERROR(FORECAST(K14+B14+B15,INDEX(Courbe_de_tarage!$H$4:$H$44,MATCH(K14+B14+B15,Courbe_de_tarage!$I$4:$I$44,1)):INDEX(Courbe_de_tarage!$H$4:$H$44,MATCH(K14+B14+B15,Courbe_de_tarage!$I$4:$I$44,1)+1),INDEX(Courbe_de_tarage!$I$4:$I$44,MATCH(K14+B14+B15,Courbe_de_tarage!$I$4:$I$44,1)):INDEX(Courbe_de_tarage!$I$4:$I$44,MATCH(K14+B14+B15,Courbe_de_tarage!$I$4:$I$44,1)+1)),IFERROR(INDEX(Courbe_de_tarage!$H$4:$H$44,MATCH(K14+B14+B15,Courbe_de_tarage!$I$4:$I$44,1)),INDEX(Courbe_de_tarage!$H$4:$H$44,1))))</f>
        <v/>
      </c>
      <c r="I15" s="5">
        <f>IF(G15="","",IF(G15&gt;Parametres!$C$11,"OUI",""))</f>
        <v/>
      </c>
      <c r="J15" s="12">
        <f>IF(A15="","",K14+B14+B15)</f>
        <v/>
      </c>
      <c r="K15" s="12">
        <f>IF(A15="","",2*H15/(Hydrogramme_entree!$B$8*60)-E15)</f>
        <v/>
      </c>
    </row>
    <row r="16">
      <c r="A16" s="5">
        <f>Hydrogramme_entree!A28</f>
        <v/>
      </c>
      <c r="B16" s="12">
        <f>Hydrogramme_entree!B28</f>
        <v/>
      </c>
      <c r="C16" s="12">
        <f>IF(A16="","",IFERROR(FORECAST(K15+B15+B16,INDEX(Courbe_de_tarage!$C$4:$C$44,MATCH(K15+B15+B16,Courbe_de_tarage!$I$4:$I$44,1)):INDEX(Courbe_de_tarage!$C$4:$C$44,MATCH(K15+B15+B16,Courbe_de_tarage!$I$4:$I$44,1)+1),INDEX(Courbe_de_tarage!$I$4:$I$44,MATCH(K15+B15+B16,Courbe_de_tarage!$I$4:$I$44,1)):INDEX(Courbe_de_tarage!$I$4:$I$44,MATCH(K15+B15+B16,Courbe_de_tarage!$I$4:$I$44,1)+1)),IFERROR(INDEX(Courbe_de_tarage!$C$4:$C$44,MATCH(K15+B15+B16,Courbe_de_tarage!$I$4:$I$44,1)),INDEX(Courbe_de_tarage!$C$4:$C$44,1))))</f>
        <v/>
      </c>
      <c r="D16" s="12">
        <f>IF(A16="","",IFERROR(FORECAST(K15+B15+B16,INDEX(Courbe_de_tarage!$D$4:$D$44,MATCH(K15+B15+B16,Courbe_de_tarage!$I$4:$I$44,1)):INDEX(Courbe_de_tarage!$D$4:$D$44,MATCH(K15+B15+B16,Courbe_de_tarage!$I$4:$I$44,1)+1),INDEX(Courbe_de_tarage!$I$4:$I$44,MATCH(K15+B15+B16,Courbe_de_tarage!$I$4:$I$44,1)):INDEX(Courbe_de_tarage!$I$4:$I$44,MATCH(K15+B15+B16,Courbe_de_tarage!$I$4:$I$44,1)+1)),IFERROR(INDEX(Courbe_de_tarage!$D$4:$D$44,MATCH(K15+B15+B16,Courbe_de_tarage!$I$4:$I$44,1)),INDEX(Courbe_de_tarage!$D$4:$D$44,1))))</f>
        <v/>
      </c>
      <c r="E16" s="12">
        <f>IF(A16="","",IFERROR(FORECAST(K15+B15+B16,INDEX(Courbe_de_tarage!$E$4:$E$44,MATCH(K15+B15+B16,Courbe_de_tarage!$I$4:$I$44,1)):INDEX(Courbe_de_tarage!$E$4:$E$44,MATCH(K15+B15+B16,Courbe_de_tarage!$I$4:$I$44,1)+1),INDEX(Courbe_de_tarage!$I$4:$I$44,MATCH(K15+B15+B16,Courbe_de_tarage!$I$4:$I$44,1)):INDEX(Courbe_de_tarage!$I$4:$I$44,MATCH(K15+B15+B16,Courbe_de_tarage!$I$4:$I$44,1)+1)),IFERROR(INDEX(Courbe_de_tarage!$E$4:$E$44,MATCH(K15+B15+B16,Courbe_de_tarage!$I$4:$I$44,1)),INDEX(Courbe_de_tarage!$E$4:$E$44,1))))</f>
        <v/>
      </c>
      <c r="F16" s="12">
        <f>IF(A16="","",IFERROR(FORECAST(K15+B15+B16,INDEX(Courbe_de_tarage!$A$4:$A$44,MATCH(K15+B15+B16,Courbe_de_tarage!$I$4:$I$44,1)):INDEX(Courbe_de_tarage!$A$4:$A$44,MATCH(K15+B15+B16,Courbe_de_tarage!$I$4:$I$44,1)+1),INDEX(Courbe_de_tarage!$I$4:$I$44,MATCH(K15+B15+B16,Courbe_de_tarage!$I$4:$I$44,1)):INDEX(Courbe_de_tarage!$I$4:$I$44,MATCH(K15+B15+B16,Courbe_de_tarage!$I$4:$I$44,1)+1)),IFERROR(INDEX(Courbe_de_tarage!$A$4:$A$44,MATCH(K15+B15+B16,Courbe_de_tarage!$I$4:$I$44,1)),INDEX(Courbe_de_tarage!$A$4:$A$44,1))))</f>
        <v/>
      </c>
      <c r="G16" s="12">
        <f>IF(A16="","",Parametres!$C$9+F16)</f>
        <v/>
      </c>
      <c r="H16" s="12">
        <f>IF(A16="","",IFERROR(FORECAST(K15+B15+B16,INDEX(Courbe_de_tarage!$H$4:$H$44,MATCH(K15+B15+B16,Courbe_de_tarage!$I$4:$I$44,1)):INDEX(Courbe_de_tarage!$H$4:$H$44,MATCH(K15+B15+B16,Courbe_de_tarage!$I$4:$I$44,1)+1),INDEX(Courbe_de_tarage!$I$4:$I$44,MATCH(K15+B15+B16,Courbe_de_tarage!$I$4:$I$44,1)):INDEX(Courbe_de_tarage!$I$4:$I$44,MATCH(K15+B15+B16,Courbe_de_tarage!$I$4:$I$44,1)+1)),IFERROR(INDEX(Courbe_de_tarage!$H$4:$H$44,MATCH(K15+B15+B16,Courbe_de_tarage!$I$4:$I$44,1)),INDEX(Courbe_de_tarage!$H$4:$H$44,1))))</f>
        <v/>
      </c>
      <c r="I16" s="5">
        <f>IF(G16="","",IF(G16&gt;Parametres!$C$11,"OUI",""))</f>
        <v/>
      </c>
      <c r="J16" s="12">
        <f>IF(A16="","",K15+B15+B16)</f>
        <v/>
      </c>
      <c r="K16" s="12">
        <f>IF(A16="","",2*H16/(Hydrogramme_entree!$B$8*60)-E16)</f>
        <v/>
      </c>
    </row>
    <row r="17">
      <c r="A17" s="5">
        <f>Hydrogramme_entree!A29</f>
        <v/>
      </c>
      <c r="B17" s="12">
        <f>Hydrogramme_entree!B29</f>
        <v/>
      </c>
      <c r="C17" s="12">
        <f>IF(A17="","",IFERROR(FORECAST(K16+B16+B17,INDEX(Courbe_de_tarage!$C$4:$C$44,MATCH(K16+B16+B17,Courbe_de_tarage!$I$4:$I$44,1)):INDEX(Courbe_de_tarage!$C$4:$C$44,MATCH(K16+B16+B17,Courbe_de_tarage!$I$4:$I$44,1)+1),INDEX(Courbe_de_tarage!$I$4:$I$44,MATCH(K16+B16+B17,Courbe_de_tarage!$I$4:$I$44,1)):INDEX(Courbe_de_tarage!$I$4:$I$44,MATCH(K16+B16+B17,Courbe_de_tarage!$I$4:$I$44,1)+1)),IFERROR(INDEX(Courbe_de_tarage!$C$4:$C$44,MATCH(K16+B16+B17,Courbe_de_tarage!$I$4:$I$44,1)),INDEX(Courbe_de_tarage!$C$4:$C$44,1))))</f>
        <v/>
      </c>
      <c r="D17" s="12">
        <f>IF(A17="","",IFERROR(FORECAST(K16+B16+B17,INDEX(Courbe_de_tarage!$D$4:$D$44,MATCH(K16+B16+B17,Courbe_de_tarage!$I$4:$I$44,1)):INDEX(Courbe_de_tarage!$D$4:$D$44,MATCH(K16+B16+B17,Courbe_de_tarage!$I$4:$I$44,1)+1),INDEX(Courbe_de_tarage!$I$4:$I$44,MATCH(K16+B16+B17,Courbe_de_tarage!$I$4:$I$44,1)):INDEX(Courbe_de_tarage!$I$4:$I$44,MATCH(K16+B16+B17,Courbe_de_tarage!$I$4:$I$44,1)+1)),IFERROR(INDEX(Courbe_de_tarage!$D$4:$D$44,MATCH(K16+B16+B17,Courbe_de_tarage!$I$4:$I$44,1)),INDEX(Courbe_de_tarage!$D$4:$D$44,1))))</f>
        <v/>
      </c>
      <c r="E17" s="12">
        <f>IF(A17="","",IFERROR(FORECAST(K16+B16+B17,INDEX(Courbe_de_tarage!$E$4:$E$44,MATCH(K16+B16+B17,Courbe_de_tarage!$I$4:$I$44,1)):INDEX(Courbe_de_tarage!$E$4:$E$44,MATCH(K16+B16+B17,Courbe_de_tarage!$I$4:$I$44,1)+1),INDEX(Courbe_de_tarage!$I$4:$I$44,MATCH(K16+B16+B17,Courbe_de_tarage!$I$4:$I$44,1)):INDEX(Courbe_de_tarage!$I$4:$I$44,MATCH(K16+B16+B17,Courbe_de_tarage!$I$4:$I$44,1)+1)),IFERROR(INDEX(Courbe_de_tarage!$E$4:$E$44,MATCH(K16+B16+B17,Courbe_de_tarage!$I$4:$I$44,1)),INDEX(Courbe_de_tarage!$E$4:$E$44,1))))</f>
        <v/>
      </c>
      <c r="F17" s="12">
        <f>IF(A17="","",IFERROR(FORECAST(K16+B16+B17,INDEX(Courbe_de_tarage!$A$4:$A$44,MATCH(K16+B16+B17,Courbe_de_tarage!$I$4:$I$44,1)):INDEX(Courbe_de_tarage!$A$4:$A$44,MATCH(K16+B16+B17,Courbe_de_tarage!$I$4:$I$44,1)+1),INDEX(Courbe_de_tarage!$I$4:$I$44,MATCH(K16+B16+B17,Courbe_de_tarage!$I$4:$I$44,1)):INDEX(Courbe_de_tarage!$I$4:$I$44,MATCH(K16+B16+B17,Courbe_de_tarage!$I$4:$I$44,1)+1)),IFERROR(INDEX(Courbe_de_tarage!$A$4:$A$44,MATCH(K16+B16+B17,Courbe_de_tarage!$I$4:$I$44,1)),INDEX(Courbe_de_tarage!$A$4:$A$44,1))))</f>
        <v/>
      </c>
      <c r="G17" s="12">
        <f>IF(A17="","",Parametres!$C$9+F17)</f>
        <v/>
      </c>
      <c r="H17" s="12">
        <f>IF(A17="","",IFERROR(FORECAST(K16+B16+B17,INDEX(Courbe_de_tarage!$H$4:$H$44,MATCH(K16+B16+B17,Courbe_de_tarage!$I$4:$I$44,1)):INDEX(Courbe_de_tarage!$H$4:$H$44,MATCH(K16+B16+B17,Courbe_de_tarage!$I$4:$I$44,1)+1),INDEX(Courbe_de_tarage!$I$4:$I$44,MATCH(K16+B16+B17,Courbe_de_tarage!$I$4:$I$44,1)):INDEX(Courbe_de_tarage!$I$4:$I$44,MATCH(K16+B16+B17,Courbe_de_tarage!$I$4:$I$44,1)+1)),IFERROR(INDEX(Courbe_de_tarage!$H$4:$H$44,MATCH(K16+B16+B17,Courbe_de_tarage!$I$4:$I$44,1)),INDEX(Courbe_de_tarage!$H$4:$H$44,1))))</f>
        <v/>
      </c>
      <c r="I17" s="5">
        <f>IF(G17="","",IF(G17&gt;Parametres!$C$11,"OUI",""))</f>
        <v/>
      </c>
      <c r="J17" s="12">
        <f>IF(A17="","",K16+B16+B17)</f>
        <v/>
      </c>
      <c r="K17" s="12">
        <f>IF(A17="","",2*H17/(Hydrogramme_entree!$B$8*60)-E17)</f>
        <v/>
      </c>
    </row>
    <row r="18">
      <c r="A18" s="5">
        <f>Hydrogramme_entree!A30</f>
        <v/>
      </c>
      <c r="B18" s="12">
        <f>Hydrogramme_entree!B30</f>
        <v/>
      </c>
      <c r="C18" s="12">
        <f>IF(A18="","",IFERROR(FORECAST(K17+B17+B18,INDEX(Courbe_de_tarage!$C$4:$C$44,MATCH(K17+B17+B18,Courbe_de_tarage!$I$4:$I$44,1)):INDEX(Courbe_de_tarage!$C$4:$C$44,MATCH(K17+B17+B18,Courbe_de_tarage!$I$4:$I$44,1)+1),INDEX(Courbe_de_tarage!$I$4:$I$44,MATCH(K17+B17+B18,Courbe_de_tarage!$I$4:$I$44,1)):INDEX(Courbe_de_tarage!$I$4:$I$44,MATCH(K17+B17+B18,Courbe_de_tarage!$I$4:$I$44,1)+1)),IFERROR(INDEX(Courbe_de_tarage!$C$4:$C$44,MATCH(K17+B17+B18,Courbe_de_tarage!$I$4:$I$44,1)),INDEX(Courbe_de_tarage!$C$4:$C$44,1))))</f>
        <v/>
      </c>
      <c r="D18" s="12">
        <f>IF(A18="","",IFERROR(FORECAST(K17+B17+B18,INDEX(Courbe_de_tarage!$D$4:$D$44,MATCH(K17+B17+B18,Courbe_de_tarage!$I$4:$I$44,1)):INDEX(Courbe_de_tarage!$D$4:$D$44,MATCH(K17+B17+B18,Courbe_de_tarage!$I$4:$I$44,1)+1),INDEX(Courbe_de_tarage!$I$4:$I$44,MATCH(K17+B17+B18,Courbe_de_tarage!$I$4:$I$44,1)):INDEX(Courbe_de_tarage!$I$4:$I$44,MATCH(K17+B17+B18,Courbe_de_tarage!$I$4:$I$44,1)+1)),IFERROR(INDEX(Courbe_de_tarage!$D$4:$D$44,MATCH(K17+B17+B18,Courbe_de_tarage!$I$4:$I$44,1)),INDEX(Courbe_de_tarage!$D$4:$D$44,1))))</f>
        <v/>
      </c>
      <c r="E18" s="12">
        <f>IF(A18="","",IFERROR(FORECAST(K17+B17+B18,INDEX(Courbe_de_tarage!$E$4:$E$44,MATCH(K17+B17+B18,Courbe_de_tarage!$I$4:$I$44,1)):INDEX(Courbe_de_tarage!$E$4:$E$44,MATCH(K17+B17+B18,Courbe_de_tarage!$I$4:$I$44,1)+1),INDEX(Courbe_de_tarage!$I$4:$I$44,MATCH(K17+B17+B18,Courbe_de_tarage!$I$4:$I$44,1)):INDEX(Courbe_de_tarage!$I$4:$I$44,MATCH(K17+B17+B18,Courbe_de_tarage!$I$4:$I$44,1)+1)),IFERROR(INDEX(Courbe_de_tarage!$E$4:$E$44,MATCH(K17+B17+B18,Courbe_de_tarage!$I$4:$I$44,1)),INDEX(Courbe_de_tarage!$E$4:$E$44,1))))</f>
        <v/>
      </c>
      <c r="F18" s="12">
        <f>IF(A18="","",IFERROR(FORECAST(K17+B17+B18,INDEX(Courbe_de_tarage!$A$4:$A$44,MATCH(K17+B17+B18,Courbe_de_tarage!$I$4:$I$44,1)):INDEX(Courbe_de_tarage!$A$4:$A$44,MATCH(K17+B17+B18,Courbe_de_tarage!$I$4:$I$44,1)+1),INDEX(Courbe_de_tarage!$I$4:$I$44,MATCH(K17+B17+B18,Courbe_de_tarage!$I$4:$I$44,1)):INDEX(Courbe_de_tarage!$I$4:$I$44,MATCH(K17+B17+B18,Courbe_de_tarage!$I$4:$I$44,1)+1)),IFERROR(INDEX(Courbe_de_tarage!$A$4:$A$44,MATCH(K17+B17+B18,Courbe_de_tarage!$I$4:$I$44,1)),INDEX(Courbe_de_tarage!$A$4:$A$44,1))))</f>
        <v/>
      </c>
      <c r="G18" s="12">
        <f>IF(A18="","",Parametres!$C$9+F18)</f>
        <v/>
      </c>
      <c r="H18" s="12">
        <f>IF(A18="","",IFERROR(FORECAST(K17+B17+B18,INDEX(Courbe_de_tarage!$H$4:$H$44,MATCH(K17+B17+B18,Courbe_de_tarage!$I$4:$I$44,1)):INDEX(Courbe_de_tarage!$H$4:$H$44,MATCH(K17+B17+B18,Courbe_de_tarage!$I$4:$I$44,1)+1),INDEX(Courbe_de_tarage!$I$4:$I$44,MATCH(K17+B17+B18,Courbe_de_tarage!$I$4:$I$44,1)):INDEX(Courbe_de_tarage!$I$4:$I$44,MATCH(K17+B17+B18,Courbe_de_tarage!$I$4:$I$44,1)+1)),IFERROR(INDEX(Courbe_de_tarage!$H$4:$H$44,MATCH(K17+B17+B18,Courbe_de_tarage!$I$4:$I$44,1)),INDEX(Courbe_de_tarage!$H$4:$H$44,1))))</f>
        <v/>
      </c>
      <c r="I18" s="5">
        <f>IF(G18="","",IF(G18&gt;Parametres!$C$11,"OUI",""))</f>
        <v/>
      </c>
      <c r="J18" s="12">
        <f>IF(A18="","",K17+B17+B18)</f>
        <v/>
      </c>
      <c r="K18" s="12">
        <f>IF(A18="","",2*H18/(Hydrogramme_entree!$B$8*60)-E18)</f>
        <v/>
      </c>
    </row>
    <row r="19">
      <c r="A19" s="5">
        <f>Hydrogramme_entree!A31</f>
        <v/>
      </c>
      <c r="B19" s="12">
        <f>Hydrogramme_entree!B31</f>
        <v/>
      </c>
      <c r="C19" s="12">
        <f>IF(A19="","",IFERROR(FORECAST(K18+B18+B19,INDEX(Courbe_de_tarage!$C$4:$C$44,MATCH(K18+B18+B19,Courbe_de_tarage!$I$4:$I$44,1)):INDEX(Courbe_de_tarage!$C$4:$C$44,MATCH(K18+B18+B19,Courbe_de_tarage!$I$4:$I$44,1)+1),INDEX(Courbe_de_tarage!$I$4:$I$44,MATCH(K18+B18+B19,Courbe_de_tarage!$I$4:$I$44,1)):INDEX(Courbe_de_tarage!$I$4:$I$44,MATCH(K18+B18+B19,Courbe_de_tarage!$I$4:$I$44,1)+1)),IFERROR(INDEX(Courbe_de_tarage!$C$4:$C$44,MATCH(K18+B18+B19,Courbe_de_tarage!$I$4:$I$44,1)),INDEX(Courbe_de_tarage!$C$4:$C$44,1))))</f>
        <v/>
      </c>
      <c r="D19" s="12">
        <f>IF(A19="","",IFERROR(FORECAST(K18+B18+B19,INDEX(Courbe_de_tarage!$D$4:$D$44,MATCH(K18+B18+B19,Courbe_de_tarage!$I$4:$I$44,1)):INDEX(Courbe_de_tarage!$D$4:$D$44,MATCH(K18+B18+B19,Courbe_de_tarage!$I$4:$I$44,1)+1),INDEX(Courbe_de_tarage!$I$4:$I$44,MATCH(K18+B18+B19,Courbe_de_tarage!$I$4:$I$44,1)):INDEX(Courbe_de_tarage!$I$4:$I$44,MATCH(K18+B18+B19,Courbe_de_tarage!$I$4:$I$44,1)+1)),IFERROR(INDEX(Courbe_de_tarage!$D$4:$D$44,MATCH(K18+B18+B19,Courbe_de_tarage!$I$4:$I$44,1)),INDEX(Courbe_de_tarage!$D$4:$D$44,1))))</f>
        <v/>
      </c>
      <c r="E19" s="12">
        <f>IF(A19="","",IFERROR(FORECAST(K18+B18+B19,INDEX(Courbe_de_tarage!$E$4:$E$44,MATCH(K18+B18+B19,Courbe_de_tarage!$I$4:$I$44,1)):INDEX(Courbe_de_tarage!$E$4:$E$44,MATCH(K18+B18+B19,Courbe_de_tarage!$I$4:$I$44,1)+1),INDEX(Courbe_de_tarage!$I$4:$I$44,MATCH(K18+B18+B19,Courbe_de_tarage!$I$4:$I$44,1)):INDEX(Courbe_de_tarage!$I$4:$I$44,MATCH(K18+B18+B19,Courbe_de_tarage!$I$4:$I$44,1)+1)),IFERROR(INDEX(Courbe_de_tarage!$E$4:$E$44,MATCH(K18+B18+B19,Courbe_de_tarage!$I$4:$I$44,1)),INDEX(Courbe_de_tarage!$E$4:$E$44,1))))</f>
        <v/>
      </c>
      <c r="F19" s="12">
        <f>IF(A19="","",IFERROR(FORECAST(K18+B18+B19,INDEX(Courbe_de_tarage!$A$4:$A$44,MATCH(K18+B18+B19,Courbe_de_tarage!$I$4:$I$44,1)):INDEX(Courbe_de_tarage!$A$4:$A$44,MATCH(K18+B18+B19,Courbe_de_tarage!$I$4:$I$44,1)+1),INDEX(Courbe_de_tarage!$I$4:$I$44,MATCH(K18+B18+B19,Courbe_de_tarage!$I$4:$I$44,1)):INDEX(Courbe_de_tarage!$I$4:$I$44,MATCH(K18+B18+B19,Courbe_de_tarage!$I$4:$I$44,1)+1)),IFERROR(INDEX(Courbe_de_tarage!$A$4:$A$44,MATCH(K18+B18+B19,Courbe_de_tarage!$I$4:$I$44,1)),INDEX(Courbe_de_tarage!$A$4:$A$44,1))))</f>
        <v/>
      </c>
      <c r="G19" s="12">
        <f>IF(A19="","",Parametres!$C$9+F19)</f>
        <v/>
      </c>
      <c r="H19" s="12">
        <f>IF(A19="","",IFERROR(FORECAST(K18+B18+B19,INDEX(Courbe_de_tarage!$H$4:$H$44,MATCH(K18+B18+B19,Courbe_de_tarage!$I$4:$I$44,1)):INDEX(Courbe_de_tarage!$H$4:$H$44,MATCH(K18+B18+B19,Courbe_de_tarage!$I$4:$I$44,1)+1),INDEX(Courbe_de_tarage!$I$4:$I$44,MATCH(K18+B18+B19,Courbe_de_tarage!$I$4:$I$44,1)):INDEX(Courbe_de_tarage!$I$4:$I$44,MATCH(K18+B18+B19,Courbe_de_tarage!$I$4:$I$44,1)+1)),IFERROR(INDEX(Courbe_de_tarage!$H$4:$H$44,MATCH(K18+B18+B19,Courbe_de_tarage!$I$4:$I$44,1)),INDEX(Courbe_de_tarage!$H$4:$H$44,1))))</f>
        <v/>
      </c>
      <c r="I19" s="5">
        <f>IF(G19="","",IF(G19&gt;Parametres!$C$11,"OUI",""))</f>
        <v/>
      </c>
      <c r="J19" s="12">
        <f>IF(A19="","",K18+B18+B19)</f>
        <v/>
      </c>
      <c r="K19" s="12">
        <f>IF(A19="","",2*H19/(Hydrogramme_entree!$B$8*60)-E19)</f>
        <v/>
      </c>
    </row>
    <row r="20">
      <c r="A20" s="5">
        <f>Hydrogramme_entree!A32</f>
        <v/>
      </c>
      <c r="B20" s="12">
        <f>Hydrogramme_entree!B32</f>
        <v/>
      </c>
      <c r="C20" s="12">
        <f>IF(A20="","",IFERROR(FORECAST(K19+B19+B20,INDEX(Courbe_de_tarage!$C$4:$C$44,MATCH(K19+B19+B20,Courbe_de_tarage!$I$4:$I$44,1)):INDEX(Courbe_de_tarage!$C$4:$C$44,MATCH(K19+B19+B20,Courbe_de_tarage!$I$4:$I$44,1)+1),INDEX(Courbe_de_tarage!$I$4:$I$44,MATCH(K19+B19+B20,Courbe_de_tarage!$I$4:$I$44,1)):INDEX(Courbe_de_tarage!$I$4:$I$44,MATCH(K19+B19+B20,Courbe_de_tarage!$I$4:$I$44,1)+1)),IFERROR(INDEX(Courbe_de_tarage!$C$4:$C$44,MATCH(K19+B19+B20,Courbe_de_tarage!$I$4:$I$44,1)),INDEX(Courbe_de_tarage!$C$4:$C$44,1))))</f>
        <v/>
      </c>
      <c r="D20" s="12">
        <f>IF(A20="","",IFERROR(FORECAST(K19+B19+B20,INDEX(Courbe_de_tarage!$D$4:$D$44,MATCH(K19+B19+B20,Courbe_de_tarage!$I$4:$I$44,1)):INDEX(Courbe_de_tarage!$D$4:$D$44,MATCH(K19+B19+B20,Courbe_de_tarage!$I$4:$I$44,1)+1),INDEX(Courbe_de_tarage!$I$4:$I$44,MATCH(K19+B19+B20,Courbe_de_tarage!$I$4:$I$44,1)):INDEX(Courbe_de_tarage!$I$4:$I$44,MATCH(K19+B19+B20,Courbe_de_tarage!$I$4:$I$44,1)+1)),IFERROR(INDEX(Courbe_de_tarage!$D$4:$D$44,MATCH(K19+B19+B20,Courbe_de_tarage!$I$4:$I$44,1)),INDEX(Courbe_de_tarage!$D$4:$D$44,1))))</f>
        <v/>
      </c>
      <c r="E20" s="12">
        <f>IF(A20="","",IFERROR(FORECAST(K19+B19+B20,INDEX(Courbe_de_tarage!$E$4:$E$44,MATCH(K19+B19+B20,Courbe_de_tarage!$I$4:$I$44,1)):INDEX(Courbe_de_tarage!$E$4:$E$44,MATCH(K19+B19+B20,Courbe_de_tarage!$I$4:$I$44,1)+1),INDEX(Courbe_de_tarage!$I$4:$I$44,MATCH(K19+B19+B20,Courbe_de_tarage!$I$4:$I$44,1)):INDEX(Courbe_de_tarage!$I$4:$I$44,MATCH(K19+B19+B20,Courbe_de_tarage!$I$4:$I$44,1)+1)),IFERROR(INDEX(Courbe_de_tarage!$E$4:$E$44,MATCH(K19+B19+B20,Courbe_de_tarage!$I$4:$I$44,1)),INDEX(Courbe_de_tarage!$E$4:$E$44,1))))</f>
        <v/>
      </c>
      <c r="F20" s="12">
        <f>IF(A20="","",IFERROR(FORECAST(K19+B19+B20,INDEX(Courbe_de_tarage!$A$4:$A$44,MATCH(K19+B19+B20,Courbe_de_tarage!$I$4:$I$44,1)):INDEX(Courbe_de_tarage!$A$4:$A$44,MATCH(K19+B19+B20,Courbe_de_tarage!$I$4:$I$44,1)+1),INDEX(Courbe_de_tarage!$I$4:$I$44,MATCH(K19+B19+B20,Courbe_de_tarage!$I$4:$I$44,1)):INDEX(Courbe_de_tarage!$I$4:$I$44,MATCH(K19+B19+B20,Courbe_de_tarage!$I$4:$I$44,1)+1)),IFERROR(INDEX(Courbe_de_tarage!$A$4:$A$44,MATCH(K19+B19+B20,Courbe_de_tarage!$I$4:$I$44,1)),INDEX(Courbe_de_tarage!$A$4:$A$44,1))))</f>
        <v/>
      </c>
      <c r="G20" s="12">
        <f>IF(A20="","",Parametres!$C$9+F20)</f>
        <v/>
      </c>
      <c r="H20" s="12">
        <f>IF(A20="","",IFERROR(FORECAST(K19+B19+B20,INDEX(Courbe_de_tarage!$H$4:$H$44,MATCH(K19+B19+B20,Courbe_de_tarage!$I$4:$I$44,1)):INDEX(Courbe_de_tarage!$H$4:$H$44,MATCH(K19+B19+B20,Courbe_de_tarage!$I$4:$I$44,1)+1),INDEX(Courbe_de_tarage!$I$4:$I$44,MATCH(K19+B19+B20,Courbe_de_tarage!$I$4:$I$44,1)):INDEX(Courbe_de_tarage!$I$4:$I$44,MATCH(K19+B19+B20,Courbe_de_tarage!$I$4:$I$44,1)+1)),IFERROR(INDEX(Courbe_de_tarage!$H$4:$H$44,MATCH(K19+B19+B20,Courbe_de_tarage!$I$4:$I$44,1)),INDEX(Courbe_de_tarage!$H$4:$H$44,1))))</f>
        <v/>
      </c>
      <c r="I20" s="5">
        <f>IF(G20="","",IF(G20&gt;Parametres!$C$11,"OUI",""))</f>
        <v/>
      </c>
      <c r="J20" s="12">
        <f>IF(A20="","",K19+B19+B20)</f>
        <v/>
      </c>
      <c r="K20" s="12">
        <f>IF(A20="","",2*H20/(Hydrogramme_entree!$B$8*60)-E20)</f>
        <v/>
      </c>
    </row>
    <row r="21">
      <c r="A21" s="5">
        <f>Hydrogramme_entree!A33</f>
        <v/>
      </c>
      <c r="B21" s="12">
        <f>Hydrogramme_entree!B33</f>
        <v/>
      </c>
      <c r="C21" s="12">
        <f>IF(A21="","",IFERROR(FORECAST(K20+B20+B21,INDEX(Courbe_de_tarage!$C$4:$C$44,MATCH(K20+B20+B21,Courbe_de_tarage!$I$4:$I$44,1)):INDEX(Courbe_de_tarage!$C$4:$C$44,MATCH(K20+B20+B21,Courbe_de_tarage!$I$4:$I$44,1)+1),INDEX(Courbe_de_tarage!$I$4:$I$44,MATCH(K20+B20+B21,Courbe_de_tarage!$I$4:$I$44,1)):INDEX(Courbe_de_tarage!$I$4:$I$44,MATCH(K20+B20+B21,Courbe_de_tarage!$I$4:$I$44,1)+1)),IFERROR(INDEX(Courbe_de_tarage!$C$4:$C$44,MATCH(K20+B20+B21,Courbe_de_tarage!$I$4:$I$44,1)),INDEX(Courbe_de_tarage!$C$4:$C$44,1))))</f>
        <v/>
      </c>
      <c r="D21" s="12">
        <f>IF(A21="","",IFERROR(FORECAST(K20+B20+B21,INDEX(Courbe_de_tarage!$D$4:$D$44,MATCH(K20+B20+B21,Courbe_de_tarage!$I$4:$I$44,1)):INDEX(Courbe_de_tarage!$D$4:$D$44,MATCH(K20+B20+B21,Courbe_de_tarage!$I$4:$I$44,1)+1),INDEX(Courbe_de_tarage!$I$4:$I$44,MATCH(K20+B20+B21,Courbe_de_tarage!$I$4:$I$44,1)):INDEX(Courbe_de_tarage!$I$4:$I$44,MATCH(K20+B20+B21,Courbe_de_tarage!$I$4:$I$44,1)+1)),IFERROR(INDEX(Courbe_de_tarage!$D$4:$D$44,MATCH(K20+B20+B21,Courbe_de_tarage!$I$4:$I$44,1)),INDEX(Courbe_de_tarage!$D$4:$D$44,1))))</f>
        <v/>
      </c>
      <c r="E21" s="12">
        <f>IF(A21="","",IFERROR(FORECAST(K20+B20+B21,INDEX(Courbe_de_tarage!$E$4:$E$44,MATCH(K20+B20+B21,Courbe_de_tarage!$I$4:$I$44,1)):INDEX(Courbe_de_tarage!$E$4:$E$44,MATCH(K20+B20+B21,Courbe_de_tarage!$I$4:$I$44,1)+1),INDEX(Courbe_de_tarage!$I$4:$I$44,MATCH(K20+B20+B21,Courbe_de_tarage!$I$4:$I$44,1)):INDEX(Courbe_de_tarage!$I$4:$I$44,MATCH(K20+B20+B21,Courbe_de_tarage!$I$4:$I$44,1)+1)),IFERROR(INDEX(Courbe_de_tarage!$E$4:$E$44,MATCH(K20+B20+B21,Courbe_de_tarage!$I$4:$I$44,1)),INDEX(Courbe_de_tarage!$E$4:$E$44,1))))</f>
        <v/>
      </c>
      <c r="F21" s="12">
        <f>IF(A21="","",IFERROR(FORECAST(K20+B20+B21,INDEX(Courbe_de_tarage!$A$4:$A$44,MATCH(K20+B20+B21,Courbe_de_tarage!$I$4:$I$44,1)):INDEX(Courbe_de_tarage!$A$4:$A$44,MATCH(K20+B20+B21,Courbe_de_tarage!$I$4:$I$44,1)+1),INDEX(Courbe_de_tarage!$I$4:$I$44,MATCH(K20+B20+B21,Courbe_de_tarage!$I$4:$I$44,1)):INDEX(Courbe_de_tarage!$I$4:$I$44,MATCH(K20+B20+B21,Courbe_de_tarage!$I$4:$I$44,1)+1)),IFERROR(INDEX(Courbe_de_tarage!$A$4:$A$44,MATCH(K20+B20+B21,Courbe_de_tarage!$I$4:$I$44,1)),INDEX(Courbe_de_tarage!$A$4:$A$44,1))))</f>
        <v/>
      </c>
      <c r="G21" s="12">
        <f>IF(A21="","",Parametres!$C$9+F21)</f>
        <v/>
      </c>
      <c r="H21" s="12">
        <f>IF(A21="","",IFERROR(FORECAST(K20+B20+B21,INDEX(Courbe_de_tarage!$H$4:$H$44,MATCH(K20+B20+B21,Courbe_de_tarage!$I$4:$I$44,1)):INDEX(Courbe_de_tarage!$H$4:$H$44,MATCH(K20+B20+B21,Courbe_de_tarage!$I$4:$I$44,1)+1),INDEX(Courbe_de_tarage!$I$4:$I$44,MATCH(K20+B20+B21,Courbe_de_tarage!$I$4:$I$44,1)):INDEX(Courbe_de_tarage!$I$4:$I$44,MATCH(K20+B20+B21,Courbe_de_tarage!$I$4:$I$44,1)+1)),IFERROR(INDEX(Courbe_de_tarage!$H$4:$H$44,MATCH(K20+B20+B21,Courbe_de_tarage!$I$4:$I$44,1)),INDEX(Courbe_de_tarage!$H$4:$H$44,1))))</f>
        <v/>
      </c>
      <c r="I21" s="5">
        <f>IF(G21="","",IF(G21&gt;Parametres!$C$11,"OUI",""))</f>
        <v/>
      </c>
      <c r="J21" s="12">
        <f>IF(A21="","",K20+B20+B21)</f>
        <v/>
      </c>
      <c r="K21" s="12">
        <f>IF(A21="","",2*H21/(Hydrogramme_entree!$B$8*60)-E21)</f>
        <v/>
      </c>
    </row>
    <row r="22">
      <c r="A22" s="5">
        <f>Hydrogramme_entree!A34</f>
        <v/>
      </c>
      <c r="B22" s="12">
        <f>Hydrogramme_entree!B34</f>
        <v/>
      </c>
      <c r="C22" s="12">
        <f>IF(A22="","",IFERROR(FORECAST(K21+B21+B22,INDEX(Courbe_de_tarage!$C$4:$C$44,MATCH(K21+B21+B22,Courbe_de_tarage!$I$4:$I$44,1)):INDEX(Courbe_de_tarage!$C$4:$C$44,MATCH(K21+B21+B22,Courbe_de_tarage!$I$4:$I$44,1)+1),INDEX(Courbe_de_tarage!$I$4:$I$44,MATCH(K21+B21+B22,Courbe_de_tarage!$I$4:$I$44,1)):INDEX(Courbe_de_tarage!$I$4:$I$44,MATCH(K21+B21+B22,Courbe_de_tarage!$I$4:$I$44,1)+1)),IFERROR(INDEX(Courbe_de_tarage!$C$4:$C$44,MATCH(K21+B21+B22,Courbe_de_tarage!$I$4:$I$44,1)),INDEX(Courbe_de_tarage!$C$4:$C$44,1))))</f>
        <v/>
      </c>
      <c r="D22" s="12">
        <f>IF(A22="","",IFERROR(FORECAST(K21+B21+B22,INDEX(Courbe_de_tarage!$D$4:$D$44,MATCH(K21+B21+B22,Courbe_de_tarage!$I$4:$I$44,1)):INDEX(Courbe_de_tarage!$D$4:$D$44,MATCH(K21+B21+B22,Courbe_de_tarage!$I$4:$I$44,1)+1),INDEX(Courbe_de_tarage!$I$4:$I$44,MATCH(K21+B21+B22,Courbe_de_tarage!$I$4:$I$44,1)):INDEX(Courbe_de_tarage!$I$4:$I$44,MATCH(K21+B21+B22,Courbe_de_tarage!$I$4:$I$44,1)+1)),IFERROR(INDEX(Courbe_de_tarage!$D$4:$D$44,MATCH(K21+B21+B22,Courbe_de_tarage!$I$4:$I$44,1)),INDEX(Courbe_de_tarage!$D$4:$D$44,1))))</f>
        <v/>
      </c>
      <c r="E22" s="12">
        <f>IF(A22="","",IFERROR(FORECAST(K21+B21+B22,INDEX(Courbe_de_tarage!$E$4:$E$44,MATCH(K21+B21+B22,Courbe_de_tarage!$I$4:$I$44,1)):INDEX(Courbe_de_tarage!$E$4:$E$44,MATCH(K21+B21+B22,Courbe_de_tarage!$I$4:$I$44,1)+1),INDEX(Courbe_de_tarage!$I$4:$I$44,MATCH(K21+B21+B22,Courbe_de_tarage!$I$4:$I$44,1)):INDEX(Courbe_de_tarage!$I$4:$I$44,MATCH(K21+B21+B22,Courbe_de_tarage!$I$4:$I$44,1)+1)),IFERROR(INDEX(Courbe_de_tarage!$E$4:$E$44,MATCH(K21+B21+B22,Courbe_de_tarage!$I$4:$I$44,1)),INDEX(Courbe_de_tarage!$E$4:$E$44,1))))</f>
        <v/>
      </c>
      <c r="F22" s="12">
        <f>IF(A22="","",IFERROR(FORECAST(K21+B21+B22,INDEX(Courbe_de_tarage!$A$4:$A$44,MATCH(K21+B21+B22,Courbe_de_tarage!$I$4:$I$44,1)):INDEX(Courbe_de_tarage!$A$4:$A$44,MATCH(K21+B21+B22,Courbe_de_tarage!$I$4:$I$44,1)+1),INDEX(Courbe_de_tarage!$I$4:$I$44,MATCH(K21+B21+B22,Courbe_de_tarage!$I$4:$I$44,1)):INDEX(Courbe_de_tarage!$I$4:$I$44,MATCH(K21+B21+B22,Courbe_de_tarage!$I$4:$I$44,1)+1)),IFERROR(INDEX(Courbe_de_tarage!$A$4:$A$44,MATCH(K21+B21+B22,Courbe_de_tarage!$I$4:$I$44,1)),INDEX(Courbe_de_tarage!$A$4:$A$44,1))))</f>
        <v/>
      </c>
      <c r="G22" s="12">
        <f>IF(A22="","",Parametres!$C$9+F22)</f>
        <v/>
      </c>
      <c r="H22" s="12">
        <f>IF(A22="","",IFERROR(FORECAST(K21+B21+B22,INDEX(Courbe_de_tarage!$H$4:$H$44,MATCH(K21+B21+B22,Courbe_de_tarage!$I$4:$I$44,1)):INDEX(Courbe_de_tarage!$H$4:$H$44,MATCH(K21+B21+B22,Courbe_de_tarage!$I$4:$I$44,1)+1),INDEX(Courbe_de_tarage!$I$4:$I$44,MATCH(K21+B21+B22,Courbe_de_tarage!$I$4:$I$44,1)):INDEX(Courbe_de_tarage!$I$4:$I$44,MATCH(K21+B21+B22,Courbe_de_tarage!$I$4:$I$44,1)+1)),IFERROR(INDEX(Courbe_de_tarage!$H$4:$H$44,MATCH(K21+B21+B22,Courbe_de_tarage!$I$4:$I$44,1)),INDEX(Courbe_de_tarage!$H$4:$H$44,1))))</f>
        <v/>
      </c>
      <c r="I22" s="5">
        <f>IF(G22="","",IF(G22&gt;Parametres!$C$11,"OUI",""))</f>
        <v/>
      </c>
      <c r="J22" s="12">
        <f>IF(A22="","",K21+B21+B22)</f>
        <v/>
      </c>
      <c r="K22" s="12">
        <f>IF(A22="","",2*H22/(Hydrogramme_entree!$B$8*60)-E22)</f>
        <v/>
      </c>
    </row>
    <row r="23">
      <c r="A23" s="5">
        <f>Hydrogramme_entree!A35</f>
        <v/>
      </c>
      <c r="B23" s="12">
        <f>Hydrogramme_entree!B35</f>
        <v/>
      </c>
      <c r="C23" s="12">
        <f>IF(A23="","",IFERROR(FORECAST(K22+B22+B23,INDEX(Courbe_de_tarage!$C$4:$C$44,MATCH(K22+B22+B23,Courbe_de_tarage!$I$4:$I$44,1)):INDEX(Courbe_de_tarage!$C$4:$C$44,MATCH(K22+B22+B23,Courbe_de_tarage!$I$4:$I$44,1)+1),INDEX(Courbe_de_tarage!$I$4:$I$44,MATCH(K22+B22+B23,Courbe_de_tarage!$I$4:$I$44,1)):INDEX(Courbe_de_tarage!$I$4:$I$44,MATCH(K22+B22+B23,Courbe_de_tarage!$I$4:$I$44,1)+1)),IFERROR(INDEX(Courbe_de_tarage!$C$4:$C$44,MATCH(K22+B22+B23,Courbe_de_tarage!$I$4:$I$44,1)),INDEX(Courbe_de_tarage!$C$4:$C$44,1))))</f>
        <v/>
      </c>
      <c r="D23" s="12">
        <f>IF(A23="","",IFERROR(FORECAST(K22+B22+B23,INDEX(Courbe_de_tarage!$D$4:$D$44,MATCH(K22+B22+B23,Courbe_de_tarage!$I$4:$I$44,1)):INDEX(Courbe_de_tarage!$D$4:$D$44,MATCH(K22+B22+B23,Courbe_de_tarage!$I$4:$I$44,1)+1),INDEX(Courbe_de_tarage!$I$4:$I$44,MATCH(K22+B22+B23,Courbe_de_tarage!$I$4:$I$44,1)):INDEX(Courbe_de_tarage!$I$4:$I$44,MATCH(K22+B22+B23,Courbe_de_tarage!$I$4:$I$44,1)+1)),IFERROR(INDEX(Courbe_de_tarage!$D$4:$D$44,MATCH(K22+B22+B23,Courbe_de_tarage!$I$4:$I$44,1)),INDEX(Courbe_de_tarage!$D$4:$D$44,1))))</f>
        <v/>
      </c>
      <c r="E23" s="12">
        <f>IF(A23="","",IFERROR(FORECAST(K22+B22+B23,INDEX(Courbe_de_tarage!$E$4:$E$44,MATCH(K22+B22+B23,Courbe_de_tarage!$I$4:$I$44,1)):INDEX(Courbe_de_tarage!$E$4:$E$44,MATCH(K22+B22+B23,Courbe_de_tarage!$I$4:$I$44,1)+1),INDEX(Courbe_de_tarage!$I$4:$I$44,MATCH(K22+B22+B23,Courbe_de_tarage!$I$4:$I$44,1)):INDEX(Courbe_de_tarage!$I$4:$I$44,MATCH(K22+B22+B23,Courbe_de_tarage!$I$4:$I$44,1)+1)),IFERROR(INDEX(Courbe_de_tarage!$E$4:$E$44,MATCH(K22+B22+B23,Courbe_de_tarage!$I$4:$I$44,1)),INDEX(Courbe_de_tarage!$E$4:$E$44,1))))</f>
        <v/>
      </c>
      <c r="F23" s="12">
        <f>IF(A23="","",IFERROR(FORECAST(K22+B22+B23,INDEX(Courbe_de_tarage!$A$4:$A$44,MATCH(K22+B22+B23,Courbe_de_tarage!$I$4:$I$44,1)):INDEX(Courbe_de_tarage!$A$4:$A$44,MATCH(K22+B22+B23,Courbe_de_tarage!$I$4:$I$44,1)+1),INDEX(Courbe_de_tarage!$I$4:$I$44,MATCH(K22+B22+B23,Courbe_de_tarage!$I$4:$I$44,1)):INDEX(Courbe_de_tarage!$I$4:$I$44,MATCH(K22+B22+B23,Courbe_de_tarage!$I$4:$I$44,1)+1)),IFERROR(INDEX(Courbe_de_tarage!$A$4:$A$44,MATCH(K22+B22+B23,Courbe_de_tarage!$I$4:$I$44,1)),INDEX(Courbe_de_tarage!$A$4:$A$44,1))))</f>
        <v/>
      </c>
      <c r="G23" s="12">
        <f>IF(A23="","",Parametres!$C$9+F23)</f>
        <v/>
      </c>
      <c r="H23" s="12">
        <f>IF(A23="","",IFERROR(FORECAST(K22+B22+B23,INDEX(Courbe_de_tarage!$H$4:$H$44,MATCH(K22+B22+B23,Courbe_de_tarage!$I$4:$I$44,1)):INDEX(Courbe_de_tarage!$H$4:$H$44,MATCH(K22+B22+B23,Courbe_de_tarage!$I$4:$I$44,1)+1),INDEX(Courbe_de_tarage!$I$4:$I$44,MATCH(K22+B22+B23,Courbe_de_tarage!$I$4:$I$44,1)):INDEX(Courbe_de_tarage!$I$4:$I$44,MATCH(K22+B22+B23,Courbe_de_tarage!$I$4:$I$44,1)+1)),IFERROR(INDEX(Courbe_de_tarage!$H$4:$H$44,MATCH(K22+B22+B23,Courbe_de_tarage!$I$4:$I$44,1)),INDEX(Courbe_de_tarage!$H$4:$H$44,1))))</f>
        <v/>
      </c>
      <c r="I23" s="5">
        <f>IF(G23="","",IF(G23&gt;Parametres!$C$11,"OUI",""))</f>
        <v/>
      </c>
      <c r="J23" s="12">
        <f>IF(A23="","",K22+B22+B23)</f>
        <v/>
      </c>
      <c r="K23" s="12">
        <f>IF(A23="","",2*H23/(Hydrogramme_entree!$B$8*60)-E23)</f>
        <v/>
      </c>
    </row>
    <row r="24">
      <c r="A24" s="5">
        <f>Hydrogramme_entree!A36</f>
        <v/>
      </c>
      <c r="B24" s="12">
        <f>Hydrogramme_entree!B36</f>
        <v/>
      </c>
      <c r="C24" s="12">
        <f>IF(A24="","",IFERROR(FORECAST(K23+B23+B24,INDEX(Courbe_de_tarage!$C$4:$C$44,MATCH(K23+B23+B24,Courbe_de_tarage!$I$4:$I$44,1)):INDEX(Courbe_de_tarage!$C$4:$C$44,MATCH(K23+B23+B24,Courbe_de_tarage!$I$4:$I$44,1)+1),INDEX(Courbe_de_tarage!$I$4:$I$44,MATCH(K23+B23+B24,Courbe_de_tarage!$I$4:$I$44,1)):INDEX(Courbe_de_tarage!$I$4:$I$44,MATCH(K23+B23+B24,Courbe_de_tarage!$I$4:$I$44,1)+1)),IFERROR(INDEX(Courbe_de_tarage!$C$4:$C$44,MATCH(K23+B23+B24,Courbe_de_tarage!$I$4:$I$44,1)),INDEX(Courbe_de_tarage!$C$4:$C$44,1))))</f>
        <v/>
      </c>
      <c r="D24" s="12">
        <f>IF(A24="","",IFERROR(FORECAST(K23+B23+B24,INDEX(Courbe_de_tarage!$D$4:$D$44,MATCH(K23+B23+B24,Courbe_de_tarage!$I$4:$I$44,1)):INDEX(Courbe_de_tarage!$D$4:$D$44,MATCH(K23+B23+B24,Courbe_de_tarage!$I$4:$I$44,1)+1),INDEX(Courbe_de_tarage!$I$4:$I$44,MATCH(K23+B23+B24,Courbe_de_tarage!$I$4:$I$44,1)):INDEX(Courbe_de_tarage!$I$4:$I$44,MATCH(K23+B23+B24,Courbe_de_tarage!$I$4:$I$44,1)+1)),IFERROR(INDEX(Courbe_de_tarage!$D$4:$D$44,MATCH(K23+B23+B24,Courbe_de_tarage!$I$4:$I$44,1)),INDEX(Courbe_de_tarage!$D$4:$D$44,1))))</f>
        <v/>
      </c>
      <c r="E24" s="12">
        <f>IF(A24="","",IFERROR(FORECAST(K23+B23+B24,INDEX(Courbe_de_tarage!$E$4:$E$44,MATCH(K23+B23+B24,Courbe_de_tarage!$I$4:$I$44,1)):INDEX(Courbe_de_tarage!$E$4:$E$44,MATCH(K23+B23+B24,Courbe_de_tarage!$I$4:$I$44,1)+1),INDEX(Courbe_de_tarage!$I$4:$I$44,MATCH(K23+B23+B24,Courbe_de_tarage!$I$4:$I$44,1)):INDEX(Courbe_de_tarage!$I$4:$I$44,MATCH(K23+B23+B24,Courbe_de_tarage!$I$4:$I$44,1)+1)),IFERROR(INDEX(Courbe_de_tarage!$E$4:$E$44,MATCH(K23+B23+B24,Courbe_de_tarage!$I$4:$I$44,1)),INDEX(Courbe_de_tarage!$E$4:$E$44,1))))</f>
        <v/>
      </c>
      <c r="F24" s="12">
        <f>IF(A24="","",IFERROR(FORECAST(K23+B23+B24,INDEX(Courbe_de_tarage!$A$4:$A$44,MATCH(K23+B23+B24,Courbe_de_tarage!$I$4:$I$44,1)):INDEX(Courbe_de_tarage!$A$4:$A$44,MATCH(K23+B23+B24,Courbe_de_tarage!$I$4:$I$44,1)+1),INDEX(Courbe_de_tarage!$I$4:$I$44,MATCH(K23+B23+B24,Courbe_de_tarage!$I$4:$I$44,1)):INDEX(Courbe_de_tarage!$I$4:$I$44,MATCH(K23+B23+B24,Courbe_de_tarage!$I$4:$I$44,1)+1)),IFERROR(INDEX(Courbe_de_tarage!$A$4:$A$44,MATCH(K23+B23+B24,Courbe_de_tarage!$I$4:$I$44,1)),INDEX(Courbe_de_tarage!$A$4:$A$44,1))))</f>
        <v/>
      </c>
      <c r="G24" s="12">
        <f>IF(A24="","",Parametres!$C$9+F24)</f>
        <v/>
      </c>
      <c r="H24" s="12">
        <f>IF(A24="","",IFERROR(FORECAST(K23+B23+B24,INDEX(Courbe_de_tarage!$H$4:$H$44,MATCH(K23+B23+B24,Courbe_de_tarage!$I$4:$I$44,1)):INDEX(Courbe_de_tarage!$H$4:$H$44,MATCH(K23+B23+B24,Courbe_de_tarage!$I$4:$I$44,1)+1),INDEX(Courbe_de_tarage!$I$4:$I$44,MATCH(K23+B23+B24,Courbe_de_tarage!$I$4:$I$44,1)):INDEX(Courbe_de_tarage!$I$4:$I$44,MATCH(K23+B23+B24,Courbe_de_tarage!$I$4:$I$44,1)+1)),IFERROR(INDEX(Courbe_de_tarage!$H$4:$H$44,MATCH(K23+B23+B24,Courbe_de_tarage!$I$4:$I$44,1)),INDEX(Courbe_de_tarage!$H$4:$H$44,1))))</f>
        <v/>
      </c>
      <c r="I24" s="5">
        <f>IF(G24="","",IF(G24&gt;Parametres!$C$11,"OUI",""))</f>
        <v/>
      </c>
      <c r="J24" s="12">
        <f>IF(A24="","",K23+B23+B24)</f>
        <v/>
      </c>
      <c r="K24" s="12">
        <f>IF(A24="","",2*H24/(Hydrogramme_entree!$B$8*60)-E24)</f>
        <v/>
      </c>
    </row>
    <row r="25">
      <c r="A25" s="5">
        <f>Hydrogramme_entree!A37</f>
        <v/>
      </c>
      <c r="B25" s="12">
        <f>Hydrogramme_entree!B37</f>
        <v/>
      </c>
      <c r="C25" s="12">
        <f>IF(A25="","",IFERROR(FORECAST(K24+B24+B25,INDEX(Courbe_de_tarage!$C$4:$C$44,MATCH(K24+B24+B25,Courbe_de_tarage!$I$4:$I$44,1)):INDEX(Courbe_de_tarage!$C$4:$C$44,MATCH(K24+B24+B25,Courbe_de_tarage!$I$4:$I$44,1)+1),INDEX(Courbe_de_tarage!$I$4:$I$44,MATCH(K24+B24+B25,Courbe_de_tarage!$I$4:$I$44,1)):INDEX(Courbe_de_tarage!$I$4:$I$44,MATCH(K24+B24+B25,Courbe_de_tarage!$I$4:$I$44,1)+1)),IFERROR(INDEX(Courbe_de_tarage!$C$4:$C$44,MATCH(K24+B24+B25,Courbe_de_tarage!$I$4:$I$44,1)),INDEX(Courbe_de_tarage!$C$4:$C$44,1))))</f>
        <v/>
      </c>
      <c r="D25" s="12">
        <f>IF(A25="","",IFERROR(FORECAST(K24+B24+B25,INDEX(Courbe_de_tarage!$D$4:$D$44,MATCH(K24+B24+B25,Courbe_de_tarage!$I$4:$I$44,1)):INDEX(Courbe_de_tarage!$D$4:$D$44,MATCH(K24+B24+B25,Courbe_de_tarage!$I$4:$I$44,1)+1),INDEX(Courbe_de_tarage!$I$4:$I$44,MATCH(K24+B24+B25,Courbe_de_tarage!$I$4:$I$44,1)):INDEX(Courbe_de_tarage!$I$4:$I$44,MATCH(K24+B24+B25,Courbe_de_tarage!$I$4:$I$44,1)+1)),IFERROR(INDEX(Courbe_de_tarage!$D$4:$D$44,MATCH(K24+B24+B25,Courbe_de_tarage!$I$4:$I$44,1)),INDEX(Courbe_de_tarage!$D$4:$D$44,1))))</f>
        <v/>
      </c>
      <c r="E25" s="12">
        <f>IF(A25="","",IFERROR(FORECAST(K24+B24+B25,INDEX(Courbe_de_tarage!$E$4:$E$44,MATCH(K24+B24+B25,Courbe_de_tarage!$I$4:$I$44,1)):INDEX(Courbe_de_tarage!$E$4:$E$44,MATCH(K24+B24+B25,Courbe_de_tarage!$I$4:$I$44,1)+1),INDEX(Courbe_de_tarage!$I$4:$I$44,MATCH(K24+B24+B25,Courbe_de_tarage!$I$4:$I$44,1)):INDEX(Courbe_de_tarage!$I$4:$I$44,MATCH(K24+B24+B25,Courbe_de_tarage!$I$4:$I$44,1)+1)),IFERROR(INDEX(Courbe_de_tarage!$E$4:$E$44,MATCH(K24+B24+B25,Courbe_de_tarage!$I$4:$I$44,1)),INDEX(Courbe_de_tarage!$E$4:$E$44,1))))</f>
        <v/>
      </c>
      <c r="F25" s="12">
        <f>IF(A25="","",IFERROR(FORECAST(K24+B24+B25,INDEX(Courbe_de_tarage!$A$4:$A$44,MATCH(K24+B24+B25,Courbe_de_tarage!$I$4:$I$44,1)):INDEX(Courbe_de_tarage!$A$4:$A$44,MATCH(K24+B24+B25,Courbe_de_tarage!$I$4:$I$44,1)+1),INDEX(Courbe_de_tarage!$I$4:$I$44,MATCH(K24+B24+B25,Courbe_de_tarage!$I$4:$I$44,1)):INDEX(Courbe_de_tarage!$I$4:$I$44,MATCH(K24+B24+B25,Courbe_de_tarage!$I$4:$I$44,1)+1)),IFERROR(INDEX(Courbe_de_tarage!$A$4:$A$44,MATCH(K24+B24+B25,Courbe_de_tarage!$I$4:$I$44,1)),INDEX(Courbe_de_tarage!$A$4:$A$44,1))))</f>
        <v/>
      </c>
      <c r="G25" s="12">
        <f>IF(A25="","",Parametres!$C$9+F25)</f>
        <v/>
      </c>
      <c r="H25" s="12">
        <f>IF(A25="","",IFERROR(FORECAST(K24+B24+B25,INDEX(Courbe_de_tarage!$H$4:$H$44,MATCH(K24+B24+B25,Courbe_de_tarage!$I$4:$I$44,1)):INDEX(Courbe_de_tarage!$H$4:$H$44,MATCH(K24+B24+B25,Courbe_de_tarage!$I$4:$I$44,1)+1),INDEX(Courbe_de_tarage!$I$4:$I$44,MATCH(K24+B24+B25,Courbe_de_tarage!$I$4:$I$44,1)):INDEX(Courbe_de_tarage!$I$4:$I$44,MATCH(K24+B24+B25,Courbe_de_tarage!$I$4:$I$44,1)+1)),IFERROR(INDEX(Courbe_de_tarage!$H$4:$H$44,MATCH(K24+B24+B25,Courbe_de_tarage!$I$4:$I$44,1)),INDEX(Courbe_de_tarage!$H$4:$H$44,1))))</f>
        <v/>
      </c>
      <c r="I25" s="5">
        <f>IF(G25="","",IF(G25&gt;Parametres!$C$11,"OUI",""))</f>
        <v/>
      </c>
      <c r="J25" s="12">
        <f>IF(A25="","",K24+B24+B25)</f>
        <v/>
      </c>
      <c r="K25" s="12">
        <f>IF(A25="","",2*H25/(Hydrogramme_entree!$B$8*60)-E25)</f>
        <v/>
      </c>
    </row>
    <row r="26">
      <c r="A26" s="5">
        <f>Hydrogramme_entree!A38</f>
        <v/>
      </c>
      <c r="B26" s="12">
        <f>Hydrogramme_entree!B38</f>
        <v/>
      </c>
      <c r="C26" s="12">
        <f>IF(A26="","",IFERROR(FORECAST(K25+B25+B26,INDEX(Courbe_de_tarage!$C$4:$C$44,MATCH(K25+B25+B26,Courbe_de_tarage!$I$4:$I$44,1)):INDEX(Courbe_de_tarage!$C$4:$C$44,MATCH(K25+B25+B26,Courbe_de_tarage!$I$4:$I$44,1)+1),INDEX(Courbe_de_tarage!$I$4:$I$44,MATCH(K25+B25+B26,Courbe_de_tarage!$I$4:$I$44,1)):INDEX(Courbe_de_tarage!$I$4:$I$44,MATCH(K25+B25+B26,Courbe_de_tarage!$I$4:$I$44,1)+1)),IFERROR(INDEX(Courbe_de_tarage!$C$4:$C$44,MATCH(K25+B25+B26,Courbe_de_tarage!$I$4:$I$44,1)),INDEX(Courbe_de_tarage!$C$4:$C$44,1))))</f>
        <v/>
      </c>
      <c r="D26" s="12">
        <f>IF(A26="","",IFERROR(FORECAST(K25+B25+B26,INDEX(Courbe_de_tarage!$D$4:$D$44,MATCH(K25+B25+B26,Courbe_de_tarage!$I$4:$I$44,1)):INDEX(Courbe_de_tarage!$D$4:$D$44,MATCH(K25+B25+B26,Courbe_de_tarage!$I$4:$I$44,1)+1),INDEX(Courbe_de_tarage!$I$4:$I$44,MATCH(K25+B25+B26,Courbe_de_tarage!$I$4:$I$44,1)):INDEX(Courbe_de_tarage!$I$4:$I$44,MATCH(K25+B25+B26,Courbe_de_tarage!$I$4:$I$44,1)+1)),IFERROR(INDEX(Courbe_de_tarage!$D$4:$D$44,MATCH(K25+B25+B26,Courbe_de_tarage!$I$4:$I$44,1)),INDEX(Courbe_de_tarage!$D$4:$D$44,1))))</f>
        <v/>
      </c>
      <c r="E26" s="12">
        <f>IF(A26="","",IFERROR(FORECAST(K25+B25+B26,INDEX(Courbe_de_tarage!$E$4:$E$44,MATCH(K25+B25+B26,Courbe_de_tarage!$I$4:$I$44,1)):INDEX(Courbe_de_tarage!$E$4:$E$44,MATCH(K25+B25+B26,Courbe_de_tarage!$I$4:$I$44,1)+1),INDEX(Courbe_de_tarage!$I$4:$I$44,MATCH(K25+B25+B26,Courbe_de_tarage!$I$4:$I$44,1)):INDEX(Courbe_de_tarage!$I$4:$I$44,MATCH(K25+B25+B26,Courbe_de_tarage!$I$4:$I$44,1)+1)),IFERROR(INDEX(Courbe_de_tarage!$E$4:$E$44,MATCH(K25+B25+B26,Courbe_de_tarage!$I$4:$I$44,1)),INDEX(Courbe_de_tarage!$E$4:$E$44,1))))</f>
        <v/>
      </c>
      <c r="F26" s="12">
        <f>IF(A26="","",IFERROR(FORECAST(K25+B25+B26,INDEX(Courbe_de_tarage!$A$4:$A$44,MATCH(K25+B25+B26,Courbe_de_tarage!$I$4:$I$44,1)):INDEX(Courbe_de_tarage!$A$4:$A$44,MATCH(K25+B25+B26,Courbe_de_tarage!$I$4:$I$44,1)+1),INDEX(Courbe_de_tarage!$I$4:$I$44,MATCH(K25+B25+B26,Courbe_de_tarage!$I$4:$I$44,1)):INDEX(Courbe_de_tarage!$I$4:$I$44,MATCH(K25+B25+B26,Courbe_de_tarage!$I$4:$I$44,1)+1)),IFERROR(INDEX(Courbe_de_tarage!$A$4:$A$44,MATCH(K25+B25+B26,Courbe_de_tarage!$I$4:$I$44,1)),INDEX(Courbe_de_tarage!$A$4:$A$44,1))))</f>
        <v/>
      </c>
      <c r="G26" s="12">
        <f>IF(A26="","",Parametres!$C$9+F26)</f>
        <v/>
      </c>
      <c r="H26" s="12">
        <f>IF(A26="","",IFERROR(FORECAST(K25+B25+B26,INDEX(Courbe_de_tarage!$H$4:$H$44,MATCH(K25+B25+B26,Courbe_de_tarage!$I$4:$I$44,1)):INDEX(Courbe_de_tarage!$H$4:$H$44,MATCH(K25+B25+B26,Courbe_de_tarage!$I$4:$I$44,1)+1),INDEX(Courbe_de_tarage!$I$4:$I$44,MATCH(K25+B25+B26,Courbe_de_tarage!$I$4:$I$44,1)):INDEX(Courbe_de_tarage!$I$4:$I$44,MATCH(K25+B25+B26,Courbe_de_tarage!$I$4:$I$44,1)+1)),IFERROR(INDEX(Courbe_de_tarage!$H$4:$H$44,MATCH(K25+B25+B26,Courbe_de_tarage!$I$4:$I$44,1)),INDEX(Courbe_de_tarage!$H$4:$H$44,1))))</f>
        <v/>
      </c>
      <c r="I26" s="5">
        <f>IF(G26="","",IF(G26&gt;Parametres!$C$11,"OUI",""))</f>
        <v/>
      </c>
      <c r="J26" s="12">
        <f>IF(A26="","",K25+B25+B26)</f>
        <v/>
      </c>
      <c r="K26" s="12">
        <f>IF(A26="","",2*H26/(Hydrogramme_entree!$B$8*60)-E26)</f>
        <v/>
      </c>
    </row>
    <row r="27">
      <c r="A27" s="5">
        <f>Hydrogramme_entree!A39</f>
        <v/>
      </c>
      <c r="B27" s="12">
        <f>Hydrogramme_entree!B39</f>
        <v/>
      </c>
      <c r="C27" s="12">
        <f>IF(A27="","",IFERROR(FORECAST(K26+B26+B27,INDEX(Courbe_de_tarage!$C$4:$C$44,MATCH(K26+B26+B27,Courbe_de_tarage!$I$4:$I$44,1)):INDEX(Courbe_de_tarage!$C$4:$C$44,MATCH(K26+B26+B27,Courbe_de_tarage!$I$4:$I$44,1)+1),INDEX(Courbe_de_tarage!$I$4:$I$44,MATCH(K26+B26+B27,Courbe_de_tarage!$I$4:$I$44,1)):INDEX(Courbe_de_tarage!$I$4:$I$44,MATCH(K26+B26+B27,Courbe_de_tarage!$I$4:$I$44,1)+1)),IFERROR(INDEX(Courbe_de_tarage!$C$4:$C$44,MATCH(K26+B26+B27,Courbe_de_tarage!$I$4:$I$44,1)),INDEX(Courbe_de_tarage!$C$4:$C$44,1))))</f>
        <v/>
      </c>
      <c r="D27" s="12">
        <f>IF(A27="","",IFERROR(FORECAST(K26+B26+B27,INDEX(Courbe_de_tarage!$D$4:$D$44,MATCH(K26+B26+B27,Courbe_de_tarage!$I$4:$I$44,1)):INDEX(Courbe_de_tarage!$D$4:$D$44,MATCH(K26+B26+B27,Courbe_de_tarage!$I$4:$I$44,1)+1),INDEX(Courbe_de_tarage!$I$4:$I$44,MATCH(K26+B26+B27,Courbe_de_tarage!$I$4:$I$44,1)):INDEX(Courbe_de_tarage!$I$4:$I$44,MATCH(K26+B26+B27,Courbe_de_tarage!$I$4:$I$44,1)+1)),IFERROR(INDEX(Courbe_de_tarage!$D$4:$D$44,MATCH(K26+B26+B27,Courbe_de_tarage!$I$4:$I$44,1)),INDEX(Courbe_de_tarage!$D$4:$D$44,1))))</f>
        <v/>
      </c>
      <c r="E27" s="12">
        <f>IF(A27="","",IFERROR(FORECAST(K26+B26+B27,INDEX(Courbe_de_tarage!$E$4:$E$44,MATCH(K26+B26+B27,Courbe_de_tarage!$I$4:$I$44,1)):INDEX(Courbe_de_tarage!$E$4:$E$44,MATCH(K26+B26+B27,Courbe_de_tarage!$I$4:$I$44,1)+1),INDEX(Courbe_de_tarage!$I$4:$I$44,MATCH(K26+B26+B27,Courbe_de_tarage!$I$4:$I$44,1)):INDEX(Courbe_de_tarage!$I$4:$I$44,MATCH(K26+B26+B27,Courbe_de_tarage!$I$4:$I$44,1)+1)),IFERROR(INDEX(Courbe_de_tarage!$E$4:$E$44,MATCH(K26+B26+B27,Courbe_de_tarage!$I$4:$I$44,1)),INDEX(Courbe_de_tarage!$E$4:$E$44,1))))</f>
        <v/>
      </c>
      <c r="F27" s="12">
        <f>IF(A27="","",IFERROR(FORECAST(K26+B26+B27,INDEX(Courbe_de_tarage!$A$4:$A$44,MATCH(K26+B26+B27,Courbe_de_tarage!$I$4:$I$44,1)):INDEX(Courbe_de_tarage!$A$4:$A$44,MATCH(K26+B26+B27,Courbe_de_tarage!$I$4:$I$44,1)+1),INDEX(Courbe_de_tarage!$I$4:$I$44,MATCH(K26+B26+B27,Courbe_de_tarage!$I$4:$I$44,1)):INDEX(Courbe_de_tarage!$I$4:$I$44,MATCH(K26+B26+B27,Courbe_de_tarage!$I$4:$I$44,1)+1)),IFERROR(INDEX(Courbe_de_tarage!$A$4:$A$44,MATCH(K26+B26+B27,Courbe_de_tarage!$I$4:$I$44,1)),INDEX(Courbe_de_tarage!$A$4:$A$44,1))))</f>
        <v/>
      </c>
      <c r="G27" s="12">
        <f>IF(A27="","",Parametres!$C$9+F27)</f>
        <v/>
      </c>
      <c r="H27" s="12">
        <f>IF(A27="","",IFERROR(FORECAST(K26+B26+B27,INDEX(Courbe_de_tarage!$H$4:$H$44,MATCH(K26+B26+B27,Courbe_de_tarage!$I$4:$I$44,1)):INDEX(Courbe_de_tarage!$H$4:$H$44,MATCH(K26+B26+B27,Courbe_de_tarage!$I$4:$I$44,1)+1),INDEX(Courbe_de_tarage!$I$4:$I$44,MATCH(K26+B26+B27,Courbe_de_tarage!$I$4:$I$44,1)):INDEX(Courbe_de_tarage!$I$4:$I$44,MATCH(K26+B26+B27,Courbe_de_tarage!$I$4:$I$44,1)+1)),IFERROR(INDEX(Courbe_de_tarage!$H$4:$H$44,MATCH(K26+B26+B27,Courbe_de_tarage!$I$4:$I$44,1)),INDEX(Courbe_de_tarage!$H$4:$H$44,1))))</f>
        <v/>
      </c>
      <c r="I27" s="5">
        <f>IF(G27="","",IF(G27&gt;Parametres!$C$11,"OUI",""))</f>
        <v/>
      </c>
      <c r="J27" s="12">
        <f>IF(A27="","",K26+B26+B27)</f>
        <v/>
      </c>
      <c r="K27" s="12">
        <f>IF(A27="","",2*H27/(Hydrogramme_entree!$B$8*60)-E27)</f>
        <v/>
      </c>
    </row>
    <row r="28">
      <c r="A28" s="5">
        <f>Hydrogramme_entree!A40</f>
        <v/>
      </c>
      <c r="B28" s="12">
        <f>Hydrogramme_entree!B40</f>
        <v/>
      </c>
      <c r="C28" s="12">
        <f>IF(A28="","",IFERROR(FORECAST(K27+B27+B28,INDEX(Courbe_de_tarage!$C$4:$C$44,MATCH(K27+B27+B28,Courbe_de_tarage!$I$4:$I$44,1)):INDEX(Courbe_de_tarage!$C$4:$C$44,MATCH(K27+B27+B28,Courbe_de_tarage!$I$4:$I$44,1)+1),INDEX(Courbe_de_tarage!$I$4:$I$44,MATCH(K27+B27+B28,Courbe_de_tarage!$I$4:$I$44,1)):INDEX(Courbe_de_tarage!$I$4:$I$44,MATCH(K27+B27+B28,Courbe_de_tarage!$I$4:$I$44,1)+1)),IFERROR(INDEX(Courbe_de_tarage!$C$4:$C$44,MATCH(K27+B27+B28,Courbe_de_tarage!$I$4:$I$44,1)),INDEX(Courbe_de_tarage!$C$4:$C$44,1))))</f>
        <v/>
      </c>
      <c r="D28" s="12">
        <f>IF(A28="","",IFERROR(FORECAST(K27+B27+B28,INDEX(Courbe_de_tarage!$D$4:$D$44,MATCH(K27+B27+B28,Courbe_de_tarage!$I$4:$I$44,1)):INDEX(Courbe_de_tarage!$D$4:$D$44,MATCH(K27+B27+B28,Courbe_de_tarage!$I$4:$I$44,1)+1),INDEX(Courbe_de_tarage!$I$4:$I$44,MATCH(K27+B27+B28,Courbe_de_tarage!$I$4:$I$44,1)):INDEX(Courbe_de_tarage!$I$4:$I$44,MATCH(K27+B27+B28,Courbe_de_tarage!$I$4:$I$44,1)+1)),IFERROR(INDEX(Courbe_de_tarage!$D$4:$D$44,MATCH(K27+B27+B28,Courbe_de_tarage!$I$4:$I$44,1)),INDEX(Courbe_de_tarage!$D$4:$D$44,1))))</f>
        <v/>
      </c>
      <c r="E28" s="12">
        <f>IF(A28="","",IFERROR(FORECAST(K27+B27+B28,INDEX(Courbe_de_tarage!$E$4:$E$44,MATCH(K27+B27+B28,Courbe_de_tarage!$I$4:$I$44,1)):INDEX(Courbe_de_tarage!$E$4:$E$44,MATCH(K27+B27+B28,Courbe_de_tarage!$I$4:$I$44,1)+1),INDEX(Courbe_de_tarage!$I$4:$I$44,MATCH(K27+B27+B28,Courbe_de_tarage!$I$4:$I$44,1)):INDEX(Courbe_de_tarage!$I$4:$I$44,MATCH(K27+B27+B28,Courbe_de_tarage!$I$4:$I$44,1)+1)),IFERROR(INDEX(Courbe_de_tarage!$E$4:$E$44,MATCH(K27+B27+B28,Courbe_de_tarage!$I$4:$I$44,1)),INDEX(Courbe_de_tarage!$E$4:$E$44,1))))</f>
        <v/>
      </c>
      <c r="F28" s="12">
        <f>IF(A28="","",IFERROR(FORECAST(K27+B27+B28,INDEX(Courbe_de_tarage!$A$4:$A$44,MATCH(K27+B27+B28,Courbe_de_tarage!$I$4:$I$44,1)):INDEX(Courbe_de_tarage!$A$4:$A$44,MATCH(K27+B27+B28,Courbe_de_tarage!$I$4:$I$44,1)+1),INDEX(Courbe_de_tarage!$I$4:$I$44,MATCH(K27+B27+B28,Courbe_de_tarage!$I$4:$I$44,1)):INDEX(Courbe_de_tarage!$I$4:$I$44,MATCH(K27+B27+B28,Courbe_de_tarage!$I$4:$I$44,1)+1)),IFERROR(INDEX(Courbe_de_tarage!$A$4:$A$44,MATCH(K27+B27+B28,Courbe_de_tarage!$I$4:$I$44,1)),INDEX(Courbe_de_tarage!$A$4:$A$44,1))))</f>
        <v/>
      </c>
      <c r="G28" s="12">
        <f>IF(A28="","",Parametres!$C$9+F28)</f>
        <v/>
      </c>
      <c r="H28" s="12">
        <f>IF(A28="","",IFERROR(FORECAST(K27+B27+B28,INDEX(Courbe_de_tarage!$H$4:$H$44,MATCH(K27+B27+B28,Courbe_de_tarage!$I$4:$I$44,1)):INDEX(Courbe_de_tarage!$H$4:$H$44,MATCH(K27+B27+B28,Courbe_de_tarage!$I$4:$I$44,1)+1),INDEX(Courbe_de_tarage!$I$4:$I$44,MATCH(K27+B27+B28,Courbe_de_tarage!$I$4:$I$44,1)):INDEX(Courbe_de_tarage!$I$4:$I$44,MATCH(K27+B27+B28,Courbe_de_tarage!$I$4:$I$44,1)+1)),IFERROR(INDEX(Courbe_de_tarage!$H$4:$H$44,MATCH(K27+B27+B28,Courbe_de_tarage!$I$4:$I$44,1)),INDEX(Courbe_de_tarage!$H$4:$H$44,1))))</f>
        <v/>
      </c>
      <c r="I28" s="5">
        <f>IF(G28="","",IF(G28&gt;Parametres!$C$11,"OUI",""))</f>
        <v/>
      </c>
      <c r="J28" s="12">
        <f>IF(A28="","",K27+B27+B28)</f>
        <v/>
      </c>
      <c r="K28" s="12">
        <f>IF(A28="","",2*H28/(Hydrogramme_entree!$B$8*60)-E28)</f>
        <v/>
      </c>
    </row>
    <row r="29">
      <c r="A29" s="5">
        <f>Hydrogramme_entree!A41</f>
        <v/>
      </c>
      <c r="B29" s="12">
        <f>Hydrogramme_entree!B41</f>
        <v/>
      </c>
      <c r="C29" s="12">
        <f>IF(A29="","",IFERROR(FORECAST(K28+B28+B29,INDEX(Courbe_de_tarage!$C$4:$C$44,MATCH(K28+B28+B29,Courbe_de_tarage!$I$4:$I$44,1)):INDEX(Courbe_de_tarage!$C$4:$C$44,MATCH(K28+B28+B29,Courbe_de_tarage!$I$4:$I$44,1)+1),INDEX(Courbe_de_tarage!$I$4:$I$44,MATCH(K28+B28+B29,Courbe_de_tarage!$I$4:$I$44,1)):INDEX(Courbe_de_tarage!$I$4:$I$44,MATCH(K28+B28+B29,Courbe_de_tarage!$I$4:$I$44,1)+1)),IFERROR(INDEX(Courbe_de_tarage!$C$4:$C$44,MATCH(K28+B28+B29,Courbe_de_tarage!$I$4:$I$44,1)),INDEX(Courbe_de_tarage!$C$4:$C$44,1))))</f>
        <v/>
      </c>
      <c r="D29" s="12">
        <f>IF(A29="","",IFERROR(FORECAST(K28+B28+B29,INDEX(Courbe_de_tarage!$D$4:$D$44,MATCH(K28+B28+B29,Courbe_de_tarage!$I$4:$I$44,1)):INDEX(Courbe_de_tarage!$D$4:$D$44,MATCH(K28+B28+B29,Courbe_de_tarage!$I$4:$I$44,1)+1),INDEX(Courbe_de_tarage!$I$4:$I$44,MATCH(K28+B28+B29,Courbe_de_tarage!$I$4:$I$44,1)):INDEX(Courbe_de_tarage!$I$4:$I$44,MATCH(K28+B28+B29,Courbe_de_tarage!$I$4:$I$44,1)+1)),IFERROR(INDEX(Courbe_de_tarage!$D$4:$D$44,MATCH(K28+B28+B29,Courbe_de_tarage!$I$4:$I$44,1)),INDEX(Courbe_de_tarage!$D$4:$D$44,1))))</f>
        <v/>
      </c>
      <c r="E29" s="12">
        <f>IF(A29="","",IFERROR(FORECAST(K28+B28+B29,INDEX(Courbe_de_tarage!$E$4:$E$44,MATCH(K28+B28+B29,Courbe_de_tarage!$I$4:$I$44,1)):INDEX(Courbe_de_tarage!$E$4:$E$44,MATCH(K28+B28+B29,Courbe_de_tarage!$I$4:$I$44,1)+1),INDEX(Courbe_de_tarage!$I$4:$I$44,MATCH(K28+B28+B29,Courbe_de_tarage!$I$4:$I$44,1)):INDEX(Courbe_de_tarage!$I$4:$I$44,MATCH(K28+B28+B29,Courbe_de_tarage!$I$4:$I$44,1)+1)),IFERROR(INDEX(Courbe_de_tarage!$E$4:$E$44,MATCH(K28+B28+B29,Courbe_de_tarage!$I$4:$I$44,1)),INDEX(Courbe_de_tarage!$E$4:$E$44,1))))</f>
        <v/>
      </c>
      <c r="F29" s="12">
        <f>IF(A29="","",IFERROR(FORECAST(K28+B28+B29,INDEX(Courbe_de_tarage!$A$4:$A$44,MATCH(K28+B28+B29,Courbe_de_tarage!$I$4:$I$44,1)):INDEX(Courbe_de_tarage!$A$4:$A$44,MATCH(K28+B28+B29,Courbe_de_tarage!$I$4:$I$44,1)+1),INDEX(Courbe_de_tarage!$I$4:$I$44,MATCH(K28+B28+B29,Courbe_de_tarage!$I$4:$I$44,1)):INDEX(Courbe_de_tarage!$I$4:$I$44,MATCH(K28+B28+B29,Courbe_de_tarage!$I$4:$I$44,1)+1)),IFERROR(INDEX(Courbe_de_tarage!$A$4:$A$44,MATCH(K28+B28+B29,Courbe_de_tarage!$I$4:$I$44,1)),INDEX(Courbe_de_tarage!$A$4:$A$44,1))))</f>
        <v/>
      </c>
      <c r="G29" s="12">
        <f>IF(A29="","",Parametres!$C$9+F29)</f>
        <v/>
      </c>
      <c r="H29" s="12">
        <f>IF(A29="","",IFERROR(FORECAST(K28+B28+B29,INDEX(Courbe_de_tarage!$H$4:$H$44,MATCH(K28+B28+B29,Courbe_de_tarage!$I$4:$I$44,1)):INDEX(Courbe_de_tarage!$H$4:$H$44,MATCH(K28+B28+B29,Courbe_de_tarage!$I$4:$I$44,1)+1),INDEX(Courbe_de_tarage!$I$4:$I$44,MATCH(K28+B28+B29,Courbe_de_tarage!$I$4:$I$44,1)):INDEX(Courbe_de_tarage!$I$4:$I$44,MATCH(K28+B28+B29,Courbe_de_tarage!$I$4:$I$44,1)+1)),IFERROR(INDEX(Courbe_de_tarage!$H$4:$H$44,MATCH(K28+B28+B29,Courbe_de_tarage!$I$4:$I$44,1)),INDEX(Courbe_de_tarage!$H$4:$H$44,1))))</f>
        <v/>
      </c>
      <c r="I29" s="5">
        <f>IF(G29="","",IF(G29&gt;Parametres!$C$11,"OUI",""))</f>
        <v/>
      </c>
      <c r="J29" s="12">
        <f>IF(A29="","",K28+B28+B29)</f>
        <v/>
      </c>
      <c r="K29" s="12">
        <f>IF(A29="","",2*H29/(Hydrogramme_entree!$B$8*60)-E29)</f>
        <v/>
      </c>
    </row>
    <row r="30">
      <c r="A30" s="5">
        <f>Hydrogramme_entree!A42</f>
        <v/>
      </c>
      <c r="B30" s="12">
        <f>Hydrogramme_entree!B42</f>
        <v/>
      </c>
      <c r="C30" s="12">
        <f>IF(A30="","",IFERROR(FORECAST(K29+B29+B30,INDEX(Courbe_de_tarage!$C$4:$C$44,MATCH(K29+B29+B30,Courbe_de_tarage!$I$4:$I$44,1)):INDEX(Courbe_de_tarage!$C$4:$C$44,MATCH(K29+B29+B30,Courbe_de_tarage!$I$4:$I$44,1)+1),INDEX(Courbe_de_tarage!$I$4:$I$44,MATCH(K29+B29+B30,Courbe_de_tarage!$I$4:$I$44,1)):INDEX(Courbe_de_tarage!$I$4:$I$44,MATCH(K29+B29+B30,Courbe_de_tarage!$I$4:$I$44,1)+1)),IFERROR(INDEX(Courbe_de_tarage!$C$4:$C$44,MATCH(K29+B29+B30,Courbe_de_tarage!$I$4:$I$44,1)),INDEX(Courbe_de_tarage!$C$4:$C$44,1))))</f>
        <v/>
      </c>
      <c r="D30" s="12">
        <f>IF(A30="","",IFERROR(FORECAST(K29+B29+B30,INDEX(Courbe_de_tarage!$D$4:$D$44,MATCH(K29+B29+B30,Courbe_de_tarage!$I$4:$I$44,1)):INDEX(Courbe_de_tarage!$D$4:$D$44,MATCH(K29+B29+B30,Courbe_de_tarage!$I$4:$I$44,1)+1),INDEX(Courbe_de_tarage!$I$4:$I$44,MATCH(K29+B29+B30,Courbe_de_tarage!$I$4:$I$44,1)):INDEX(Courbe_de_tarage!$I$4:$I$44,MATCH(K29+B29+B30,Courbe_de_tarage!$I$4:$I$44,1)+1)),IFERROR(INDEX(Courbe_de_tarage!$D$4:$D$44,MATCH(K29+B29+B30,Courbe_de_tarage!$I$4:$I$44,1)),INDEX(Courbe_de_tarage!$D$4:$D$44,1))))</f>
        <v/>
      </c>
      <c r="E30" s="12">
        <f>IF(A30="","",IFERROR(FORECAST(K29+B29+B30,INDEX(Courbe_de_tarage!$E$4:$E$44,MATCH(K29+B29+B30,Courbe_de_tarage!$I$4:$I$44,1)):INDEX(Courbe_de_tarage!$E$4:$E$44,MATCH(K29+B29+B30,Courbe_de_tarage!$I$4:$I$44,1)+1),INDEX(Courbe_de_tarage!$I$4:$I$44,MATCH(K29+B29+B30,Courbe_de_tarage!$I$4:$I$44,1)):INDEX(Courbe_de_tarage!$I$4:$I$44,MATCH(K29+B29+B30,Courbe_de_tarage!$I$4:$I$44,1)+1)),IFERROR(INDEX(Courbe_de_tarage!$E$4:$E$44,MATCH(K29+B29+B30,Courbe_de_tarage!$I$4:$I$44,1)),INDEX(Courbe_de_tarage!$E$4:$E$44,1))))</f>
        <v/>
      </c>
      <c r="F30" s="12">
        <f>IF(A30="","",IFERROR(FORECAST(K29+B29+B30,INDEX(Courbe_de_tarage!$A$4:$A$44,MATCH(K29+B29+B30,Courbe_de_tarage!$I$4:$I$44,1)):INDEX(Courbe_de_tarage!$A$4:$A$44,MATCH(K29+B29+B30,Courbe_de_tarage!$I$4:$I$44,1)+1),INDEX(Courbe_de_tarage!$I$4:$I$44,MATCH(K29+B29+B30,Courbe_de_tarage!$I$4:$I$44,1)):INDEX(Courbe_de_tarage!$I$4:$I$44,MATCH(K29+B29+B30,Courbe_de_tarage!$I$4:$I$44,1)+1)),IFERROR(INDEX(Courbe_de_tarage!$A$4:$A$44,MATCH(K29+B29+B30,Courbe_de_tarage!$I$4:$I$44,1)),INDEX(Courbe_de_tarage!$A$4:$A$44,1))))</f>
        <v/>
      </c>
      <c r="G30" s="12">
        <f>IF(A30="","",Parametres!$C$9+F30)</f>
        <v/>
      </c>
      <c r="H30" s="12">
        <f>IF(A30="","",IFERROR(FORECAST(K29+B29+B30,INDEX(Courbe_de_tarage!$H$4:$H$44,MATCH(K29+B29+B30,Courbe_de_tarage!$I$4:$I$44,1)):INDEX(Courbe_de_tarage!$H$4:$H$44,MATCH(K29+B29+B30,Courbe_de_tarage!$I$4:$I$44,1)+1),INDEX(Courbe_de_tarage!$I$4:$I$44,MATCH(K29+B29+B30,Courbe_de_tarage!$I$4:$I$44,1)):INDEX(Courbe_de_tarage!$I$4:$I$44,MATCH(K29+B29+B30,Courbe_de_tarage!$I$4:$I$44,1)+1)),IFERROR(INDEX(Courbe_de_tarage!$H$4:$H$44,MATCH(K29+B29+B30,Courbe_de_tarage!$I$4:$I$44,1)),INDEX(Courbe_de_tarage!$H$4:$H$44,1))))</f>
        <v/>
      </c>
      <c r="I30" s="5">
        <f>IF(G30="","",IF(G30&gt;Parametres!$C$11,"OUI",""))</f>
        <v/>
      </c>
      <c r="J30" s="12">
        <f>IF(A30="","",K29+B29+B30)</f>
        <v/>
      </c>
      <c r="K30" s="12">
        <f>IF(A30="","",2*H30/(Hydrogramme_entree!$B$8*60)-E30)</f>
        <v/>
      </c>
    </row>
    <row r="31">
      <c r="A31" s="5">
        <f>Hydrogramme_entree!A43</f>
        <v/>
      </c>
      <c r="B31" s="12">
        <f>Hydrogramme_entree!B43</f>
        <v/>
      </c>
      <c r="C31" s="12">
        <f>IF(A31="","",IFERROR(FORECAST(K30+B30+B31,INDEX(Courbe_de_tarage!$C$4:$C$44,MATCH(K30+B30+B31,Courbe_de_tarage!$I$4:$I$44,1)):INDEX(Courbe_de_tarage!$C$4:$C$44,MATCH(K30+B30+B31,Courbe_de_tarage!$I$4:$I$44,1)+1),INDEX(Courbe_de_tarage!$I$4:$I$44,MATCH(K30+B30+B31,Courbe_de_tarage!$I$4:$I$44,1)):INDEX(Courbe_de_tarage!$I$4:$I$44,MATCH(K30+B30+B31,Courbe_de_tarage!$I$4:$I$44,1)+1)),IFERROR(INDEX(Courbe_de_tarage!$C$4:$C$44,MATCH(K30+B30+B31,Courbe_de_tarage!$I$4:$I$44,1)),INDEX(Courbe_de_tarage!$C$4:$C$44,1))))</f>
        <v/>
      </c>
      <c r="D31" s="12">
        <f>IF(A31="","",IFERROR(FORECAST(K30+B30+B31,INDEX(Courbe_de_tarage!$D$4:$D$44,MATCH(K30+B30+B31,Courbe_de_tarage!$I$4:$I$44,1)):INDEX(Courbe_de_tarage!$D$4:$D$44,MATCH(K30+B30+B31,Courbe_de_tarage!$I$4:$I$44,1)+1),INDEX(Courbe_de_tarage!$I$4:$I$44,MATCH(K30+B30+B31,Courbe_de_tarage!$I$4:$I$44,1)):INDEX(Courbe_de_tarage!$I$4:$I$44,MATCH(K30+B30+B31,Courbe_de_tarage!$I$4:$I$44,1)+1)),IFERROR(INDEX(Courbe_de_tarage!$D$4:$D$44,MATCH(K30+B30+B31,Courbe_de_tarage!$I$4:$I$44,1)),INDEX(Courbe_de_tarage!$D$4:$D$44,1))))</f>
        <v/>
      </c>
      <c r="E31" s="12">
        <f>IF(A31="","",IFERROR(FORECAST(K30+B30+B31,INDEX(Courbe_de_tarage!$E$4:$E$44,MATCH(K30+B30+B31,Courbe_de_tarage!$I$4:$I$44,1)):INDEX(Courbe_de_tarage!$E$4:$E$44,MATCH(K30+B30+B31,Courbe_de_tarage!$I$4:$I$44,1)+1),INDEX(Courbe_de_tarage!$I$4:$I$44,MATCH(K30+B30+B31,Courbe_de_tarage!$I$4:$I$44,1)):INDEX(Courbe_de_tarage!$I$4:$I$44,MATCH(K30+B30+B31,Courbe_de_tarage!$I$4:$I$44,1)+1)),IFERROR(INDEX(Courbe_de_tarage!$E$4:$E$44,MATCH(K30+B30+B31,Courbe_de_tarage!$I$4:$I$44,1)),INDEX(Courbe_de_tarage!$E$4:$E$44,1))))</f>
        <v/>
      </c>
      <c r="F31" s="12">
        <f>IF(A31="","",IFERROR(FORECAST(K30+B30+B31,INDEX(Courbe_de_tarage!$A$4:$A$44,MATCH(K30+B30+B31,Courbe_de_tarage!$I$4:$I$44,1)):INDEX(Courbe_de_tarage!$A$4:$A$44,MATCH(K30+B30+B31,Courbe_de_tarage!$I$4:$I$44,1)+1),INDEX(Courbe_de_tarage!$I$4:$I$44,MATCH(K30+B30+B31,Courbe_de_tarage!$I$4:$I$44,1)):INDEX(Courbe_de_tarage!$I$4:$I$44,MATCH(K30+B30+B31,Courbe_de_tarage!$I$4:$I$44,1)+1)),IFERROR(INDEX(Courbe_de_tarage!$A$4:$A$44,MATCH(K30+B30+B31,Courbe_de_tarage!$I$4:$I$44,1)),INDEX(Courbe_de_tarage!$A$4:$A$44,1))))</f>
        <v/>
      </c>
      <c r="G31" s="12">
        <f>IF(A31="","",Parametres!$C$9+F31)</f>
        <v/>
      </c>
      <c r="H31" s="12">
        <f>IF(A31="","",IFERROR(FORECAST(K30+B30+B31,INDEX(Courbe_de_tarage!$H$4:$H$44,MATCH(K30+B30+B31,Courbe_de_tarage!$I$4:$I$44,1)):INDEX(Courbe_de_tarage!$H$4:$H$44,MATCH(K30+B30+B31,Courbe_de_tarage!$I$4:$I$44,1)+1),INDEX(Courbe_de_tarage!$I$4:$I$44,MATCH(K30+B30+B31,Courbe_de_tarage!$I$4:$I$44,1)):INDEX(Courbe_de_tarage!$I$4:$I$44,MATCH(K30+B30+B31,Courbe_de_tarage!$I$4:$I$44,1)+1)),IFERROR(INDEX(Courbe_de_tarage!$H$4:$H$44,MATCH(K30+B30+B31,Courbe_de_tarage!$I$4:$I$44,1)),INDEX(Courbe_de_tarage!$H$4:$H$44,1))))</f>
        <v/>
      </c>
      <c r="I31" s="5">
        <f>IF(G31="","",IF(G31&gt;Parametres!$C$11,"OUI",""))</f>
        <v/>
      </c>
      <c r="J31" s="12">
        <f>IF(A31="","",K30+B30+B31)</f>
        <v/>
      </c>
      <c r="K31" s="12">
        <f>IF(A31="","",2*H31/(Hydrogramme_entree!$B$8*60)-E31)</f>
        <v/>
      </c>
    </row>
    <row r="32">
      <c r="A32" s="5">
        <f>Hydrogramme_entree!A44</f>
        <v/>
      </c>
      <c r="B32" s="12">
        <f>Hydrogramme_entree!B44</f>
        <v/>
      </c>
      <c r="C32" s="12">
        <f>IF(A32="","",IFERROR(FORECAST(K31+B31+B32,INDEX(Courbe_de_tarage!$C$4:$C$44,MATCH(K31+B31+B32,Courbe_de_tarage!$I$4:$I$44,1)):INDEX(Courbe_de_tarage!$C$4:$C$44,MATCH(K31+B31+B32,Courbe_de_tarage!$I$4:$I$44,1)+1),INDEX(Courbe_de_tarage!$I$4:$I$44,MATCH(K31+B31+B32,Courbe_de_tarage!$I$4:$I$44,1)):INDEX(Courbe_de_tarage!$I$4:$I$44,MATCH(K31+B31+B32,Courbe_de_tarage!$I$4:$I$44,1)+1)),IFERROR(INDEX(Courbe_de_tarage!$C$4:$C$44,MATCH(K31+B31+B32,Courbe_de_tarage!$I$4:$I$44,1)),INDEX(Courbe_de_tarage!$C$4:$C$44,1))))</f>
        <v/>
      </c>
      <c r="D32" s="12">
        <f>IF(A32="","",IFERROR(FORECAST(K31+B31+B32,INDEX(Courbe_de_tarage!$D$4:$D$44,MATCH(K31+B31+B32,Courbe_de_tarage!$I$4:$I$44,1)):INDEX(Courbe_de_tarage!$D$4:$D$44,MATCH(K31+B31+B32,Courbe_de_tarage!$I$4:$I$44,1)+1),INDEX(Courbe_de_tarage!$I$4:$I$44,MATCH(K31+B31+B32,Courbe_de_tarage!$I$4:$I$44,1)):INDEX(Courbe_de_tarage!$I$4:$I$44,MATCH(K31+B31+B32,Courbe_de_tarage!$I$4:$I$44,1)+1)),IFERROR(INDEX(Courbe_de_tarage!$D$4:$D$44,MATCH(K31+B31+B32,Courbe_de_tarage!$I$4:$I$44,1)),INDEX(Courbe_de_tarage!$D$4:$D$44,1))))</f>
        <v/>
      </c>
      <c r="E32" s="12">
        <f>IF(A32="","",IFERROR(FORECAST(K31+B31+B32,INDEX(Courbe_de_tarage!$E$4:$E$44,MATCH(K31+B31+B32,Courbe_de_tarage!$I$4:$I$44,1)):INDEX(Courbe_de_tarage!$E$4:$E$44,MATCH(K31+B31+B32,Courbe_de_tarage!$I$4:$I$44,1)+1),INDEX(Courbe_de_tarage!$I$4:$I$44,MATCH(K31+B31+B32,Courbe_de_tarage!$I$4:$I$44,1)):INDEX(Courbe_de_tarage!$I$4:$I$44,MATCH(K31+B31+B32,Courbe_de_tarage!$I$4:$I$44,1)+1)),IFERROR(INDEX(Courbe_de_tarage!$E$4:$E$44,MATCH(K31+B31+B32,Courbe_de_tarage!$I$4:$I$44,1)),INDEX(Courbe_de_tarage!$E$4:$E$44,1))))</f>
        <v/>
      </c>
      <c r="F32" s="12">
        <f>IF(A32="","",IFERROR(FORECAST(K31+B31+B32,INDEX(Courbe_de_tarage!$A$4:$A$44,MATCH(K31+B31+B32,Courbe_de_tarage!$I$4:$I$44,1)):INDEX(Courbe_de_tarage!$A$4:$A$44,MATCH(K31+B31+B32,Courbe_de_tarage!$I$4:$I$44,1)+1),INDEX(Courbe_de_tarage!$I$4:$I$44,MATCH(K31+B31+B32,Courbe_de_tarage!$I$4:$I$44,1)):INDEX(Courbe_de_tarage!$I$4:$I$44,MATCH(K31+B31+B32,Courbe_de_tarage!$I$4:$I$44,1)+1)),IFERROR(INDEX(Courbe_de_tarage!$A$4:$A$44,MATCH(K31+B31+B32,Courbe_de_tarage!$I$4:$I$44,1)),INDEX(Courbe_de_tarage!$A$4:$A$44,1))))</f>
        <v/>
      </c>
      <c r="G32" s="12">
        <f>IF(A32="","",Parametres!$C$9+F32)</f>
        <v/>
      </c>
      <c r="H32" s="12">
        <f>IF(A32="","",IFERROR(FORECAST(K31+B31+B32,INDEX(Courbe_de_tarage!$H$4:$H$44,MATCH(K31+B31+B32,Courbe_de_tarage!$I$4:$I$44,1)):INDEX(Courbe_de_tarage!$H$4:$H$44,MATCH(K31+B31+B32,Courbe_de_tarage!$I$4:$I$44,1)+1),INDEX(Courbe_de_tarage!$I$4:$I$44,MATCH(K31+B31+B32,Courbe_de_tarage!$I$4:$I$44,1)):INDEX(Courbe_de_tarage!$I$4:$I$44,MATCH(K31+B31+B32,Courbe_de_tarage!$I$4:$I$44,1)+1)),IFERROR(INDEX(Courbe_de_tarage!$H$4:$H$44,MATCH(K31+B31+B32,Courbe_de_tarage!$I$4:$I$44,1)),INDEX(Courbe_de_tarage!$H$4:$H$44,1))))</f>
        <v/>
      </c>
      <c r="I32" s="5">
        <f>IF(G32="","",IF(G32&gt;Parametres!$C$11,"OUI",""))</f>
        <v/>
      </c>
      <c r="J32" s="12">
        <f>IF(A32="","",K31+B31+B32)</f>
        <v/>
      </c>
      <c r="K32" s="12">
        <f>IF(A32="","",2*H32/(Hydrogramme_entree!$B$8*60)-E32)</f>
        <v/>
      </c>
    </row>
    <row r="33">
      <c r="A33" s="5">
        <f>Hydrogramme_entree!A45</f>
        <v/>
      </c>
      <c r="B33" s="12">
        <f>Hydrogramme_entree!B45</f>
        <v/>
      </c>
      <c r="C33" s="12">
        <f>IF(A33="","",IFERROR(FORECAST(K32+B32+B33,INDEX(Courbe_de_tarage!$C$4:$C$44,MATCH(K32+B32+B33,Courbe_de_tarage!$I$4:$I$44,1)):INDEX(Courbe_de_tarage!$C$4:$C$44,MATCH(K32+B32+B33,Courbe_de_tarage!$I$4:$I$44,1)+1),INDEX(Courbe_de_tarage!$I$4:$I$44,MATCH(K32+B32+B33,Courbe_de_tarage!$I$4:$I$44,1)):INDEX(Courbe_de_tarage!$I$4:$I$44,MATCH(K32+B32+B33,Courbe_de_tarage!$I$4:$I$44,1)+1)),IFERROR(INDEX(Courbe_de_tarage!$C$4:$C$44,MATCH(K32+B32+B33,Courbe_de_tarage!$I$4:$I$44,1)),INDEX(Courbe_de_tarage!$C$4:$C$44,1))))</f>
        <v/>
      </c>
      <c r="D33" s="12">
        <f>IF(A33="","",IFERROR(FORECAST(K32+B32+B33,INDEX(Courbe_de_tarage!$D$4:$D$44,MATCH(K32+B32+B33,Courbe_de_tarage!$I$4:$I$44,1)):INDEX(Courbe_de_tarage!$D$4:$D$44,MATCH(K32+B32+B33,Courbe_de_tarage!$I$4:$I$44,1)+1),INDEX(Courbe_de_tarage!$I$4:$I$44,MATCH(K32+B32+B33,Courbe_de_tarage!$I$4:$I$44,1)):INDEX(Courbe_de_tarage!$I$4:$I$44,MATCH(K32+B32+B33,Courbe_de_tarage!$I$4:$I$44,1)+1)),IFERROR(INDEX(Courbe_de_tarage!$D$4:$D$44,MATCH(K32+B32+B33,Courbe_de_tarage!$I$4:$I$44,1)),INDEX(Courbe_de_tarage!$D$4:$D$44,1))))</f>
        <v/>
      </c>
      <c r="E33" s="12">
        <f>IF(A33="","",IFERROR(FORECAST(K32+B32+B33,INDEX(Courbe_de_tarage!$E$4:$E$44,MATCH(K32+B32+B33,Courbe_de_tarage!$I$4:$I$44,1)):INDEX(Courbe_de_tarage!$E$4:$E$44,MATCH(K32+B32+B33,Courbe_de_tarage!$I$4:$I$44,1)+1),INDEX(Courbe_de_tarage!$I$4:$I$44,MATCH(K32+B32+B33,Courbe_de_tarage!$I$4:$I$44,1)):INDEX(Courbe_de_tarage!$I$4:$I$44,MATCH(K32+B32+B33,Courbe_de_tarage!$I$4:$I$44,1)+1)),IFERROR(INDEX(Courbe_de_tarage!$E$4:$E$44,MATCH(K32+B32+B33,Courbe_de_tarage!$I$4:$I$44,1)),INDEX(Courbe_de_tarage!$E$4:$E$44,1))))</f>
        <v/>
      </c>
      <c r="F33" s="12">
        <f>IF(A33="","",IFERROR(FORECAST(K32+B32+B33,INDEX(Courbe_de_tarage!$A$4:$A$44,MATCH(K32+B32+B33,Courbe_de_tarage!$I$4:$I$44,1)):INDEX(Courbe_de_tarage!$A$4:$A$44,MATCH(K32+B32+B33,Courbe_de_tarage!$I$4:$I$44,1)+1),INDEX(Courbe_de_tarage!$I$4:$I$44,MATCH(K32+B32+B33,Courbe_de_tarage!$I$4:$I$44,1)):INDEX(Courbe_de_tarage!$I$4:$I$44,MATCH(K32+B32+B33,Courbe_de_tarage!$I$4:$I$44,1)+1)),IFERROR(INDEX(Courbe_de_tarage!$A$4:$A$44,MATCH(K32+B32+B33,Courbe_de_tarage!$I$4:$I$44,1)),INDEX(Courbe_de_tarage!$A$4:$A$44,1))))</f>
        <v/>
      </c>
      <c r="G33" s="12">
        <f>IF(A33="","",Parametres!$C$9+F33)</f>
        <v/>
      </c>
      <c r="H33" s="12">
        <f>IF(A33="","",IFERROR(FORECAST(K32+B32+B33,INDEX(Courbe_de_tarage!$H$4:$H$44,MATCH(K32+B32+B33,Courbe_de_tarage!$I$4:$I$44,1)):INDEX(Courbe_de_tarage!$H$4:$H$44,MATCH(K32+B32+B33,Courbe_de_tarage!$I$4:$I$44,1)+1),INDEX(Courbe_de_tarage!$I$4:$I$44,MATCH(K32+B32+B33,Courbe_de_tarage!$I$4:$I$44,1)):INDEX(Courbe_de_tarage!$I$4:$I$44,MATCH(K32+B32+B33,Courbe_de_tarage!$I$4:$I$44,1)+1)),IFERROR(INDEX(Courbe_de_tarage!$H$4:$H$44,MATCH(K32+B32+B33,Courbe_de_tarage!$I$4:$I$44,1)),INDEX(Courbe_de_tarage!$H$4:$H$44,1))))</f>
        <v/>
      </c>
      <c r="I33" s="5">
        <f>IF(G33="","",IF(G33&gt;Parametres!$C$11,"OUI",""))</f>
        <v/>
      </c>
      <c r="J33" s="12">
        <f>IF(A33="","",K32+B32+B33)</f>
        <v/>
      </c>
      <c r="K33" s="12">
        <f>IF(A33="","",2*H33/(Hydrogramme_entree!$B$8*60)-E33)</f>
        <v/>
      </c>
    </row>
    <row r="34">
      <c r="A34" s="5">
        <f>Hydrogramme_entree!A46</f>
        <v/>
      </c>
      <c r="B34" s="12">
        <f>Hydrogramme_entree!B46</f>
        <v/>
      </c>
      <c r="C34" s="12">
        <f>IF(A34="","",IFERROR(FORECAST(K33+B33+B34,INDEX(Courbe_de_tarage!$C$4:$C$44,MATCH(K33+B33+B34,Courbe_de_tarage!$I$4:$I$44,1)):INDEX(Courbe_de_tarage!$C$4:$C$44,MATCH(K33+B33+B34,Courbe_de_tarage!$I$4:$I$44,1)+1),INDEX(Courbe_de_tarage!$I$4:$I$44,MATCH(K33+B33+B34,Courbe_de_tarage!$I$4:$I$44,1)):INDEX(Courbe_de_tarage!$I$4:$I$44,MATCH(K33+B33+B34,Courbe_de_tarage!$I$4:$I$44,1)+1)),IFERROR(INDEX(Courbe_de_tarage!$C$4:$C$44,MATCH(K33+B33+B34,Courbe_de_tarage!$I$4:$I$44,1)),INDEX(Courbe_de_tarage!$C$4:$C$44,1))))</f>
        <v/>
      </c>
      <c r="D34" s="12">
        <f>IF(A34="","",IFERROR(FORECAST(K33+B33+B34,INDEX(Courbe_de_tarage!$D$4:$D$44,MATCH(K33+B33+B34,Courbe_de_tarage!$I$4:$I$44,1)):INDEX(Courbe_de_tarage!$D$4:$D$44,MATCH(K33+B33+B34,Courbe_de_tarage!$I$4:$I$44,1)+1),INDEX(Courbe_de_tarage!$I$4:$I$44,MATCH(K33+B33+B34,Courbe_de_tarage!$I$4:$I$44,1)):INDEX(Courbe_de_tarage!$I$4:$I$44,MATCH(K33+B33+B34,Courbe_de_tarage!$I$4:$I$44,1)+1)),IFERROR(INDEX(Courbe_de_tarage!$D$4:$D$44,MATCH(K33+B33+B34,Courbe_de_tarage!$I$4:$I$44,1)),INDEX(Courbe_de_tarage!$D$4:$D$44,1))))</f>
        <v/>
      </c>
      <c r="E34" s="12">
        <f>IF(A34="","",IFERROR(FORECAST(K33+B33+B34,INDEX(Courbe_de_tarage!$E$4:$E$44,MATCH(K33+B33+B34,Courbe_de_tarage!$I$4:$I$44,1)):INDEX(Courbe_de_tarage!$E$4:$E$44,MATCH(K33+B33+B34,Courbe_de_tarage!$I$4:$I$44,1)+1),INDEX(Courbe_de_tarage!$I$4:$I$44,MATCH(K33+B33+B34,Courbe_de_tarage!$I$4:$I$44,1)):INDEX(Courbe_de_tarage!$I$4:$I$44,MATCH(K33+B33+B34,Courbe_de_tarage!$I$4:$I$44,1)+1)),IFERROR(INDEX(Courbe_de_tarage!$E$4:$E$44,MATCH(K33+B33+B34,Courbe_de_tarage!$I$4:$I$44,1)),INDEX(Courbe_de_tarage!$E$4:$E$44,1))))</f>
        <v/>
      </c>
      <c r="F34" s="12">
        <f>IF(A34="","",IFERROR(FORECAST(K33+B33+B34,INDEX(Courbe_de_tarage!$A$4:$A$44,MATCH(K33+B33+B34,Courbe_de_tarage!$I$4:$I$44,1)):INDEX(Courbe_de_tarage!$A$4:$A$44,MATCH(K33+B33+B34,Courbe_de_tarage!$I$4:$I$44,1)+1),INDEX(Courbe_de_tarage!$I$4:$I$44,MATCH(K33+B33+B34,Courbe_de_tarage!$I$4:$I$44,1)):INDEX(Courbe_de_tarage!$I$4:$I$44,MATCH(K33+B33+B34,Courbe_de_tarage!$I$4:$I$44,1)+1)),IFERROR(INDEX(Courbe_de_tarage!$A$4:$A$44,MATCH(K33+B33+B34,Courbe_de_tarage!$I$4:$I$44,1)),INDEX(Courbe_de_tarage!$A$4:$A$44,1))))</f>
        <v/>
      </c>
      <c r="G34" s="12">
        <f>IF(A34="","",Parametres!$C$9+F34)</f>
        <v/>
      </c>
      <c r="H34" s="12">
        <f>IF(A34="","",IFERROR(FORECAST(K33+B33+B34,INDEX(Courbe_de_tarage!$H$4:$H$44,MATCH(K33+B33+B34,Courbe_de_tarage!$I$4:$I$44,1)):INDEX(Courbe_de_tarage!$H$4:$H$44,MATCH(K33+B33+B34,Courbe_de_tarage!$I$4:$I$44,1)+1),INDEX(Courbe_de_tarage!$I$4:$I$44,MATCH(K33+B33+B34,Courbe_de_tarage!$I$4:$I$44,1)):INDEX(Courbe_de_tarage!$I$4:$I$44,MATCH(K33+B33+B34,Courbe_de_tarage!$I$4:$I$44,1)+1)),IFERROR(INDEX(Courbe_de_tarage!$H$4:$H$44,MATCH(K33+B33+B34,Courbe_de_tarage!$I$4:$I$44,1)),INDEX(Courbe_de_tarage!$H$4:$H$44,1))))</f>
        <v/>
      </c>
      <c r="I34" s="5">
        <f>IF(G34="","",IF(G34&gt;Parametres!$C$11,"OUI",""))</f>
        <v/>
      </c>
      <c r="J34" s="12">
        <f>IF(A34="","",K33+B33+B34)</f>
        <v/>
      </c>
      <c r="K34" s="12">
        <f>IF(A34="","",2*H34/(Hydrogramme_entree!$B$8*60)-E34)</f>
        <v/>
      </c>
    </row>
    <row r="35">
      <c r="A35" s="5">
        <f>Hydrogramme_entree!A47</f>
        <v/>
      </c>
      <c r="B35" s="12">
        <f>Hydrogramme_entree!B47</f>
        <v/>
      </c>
      <c r="C35" s="12">
        <f>IF(A35="","",IFERROR(FORECAST(K34+B34+B35,INDEX(Courbe_de_tarage!$C$4:$C$44,MATCH(K34+B34+B35,Courbe_de_tarage!$I$4:$I$44,1)):INDEX(Courbe_de_tarage!$C$4:$C$44,MATCH(K34+B34+B35,Courbe_de_tarage!$I$4:$I$44,1)+1),INDEX(Courbe_de_tarage!$I$4:$I$44,MATCH(K34+B34+B35,Courbe_de_tarage!$I$4:$I$44,1)):INDEX(Courbe_de_tarage!$I$4:$I$44,MATCH(K34+B34+B35,Courbe_de_tarage!$I$4:$I$44,1)+1)),IFERROR(INDEX(Courbe_de_tarage!$C$4:$C$44,MATCH(K34+B34+B35,Courbe_de_tarage!$I$4:$I$44,1)),INDEX(Courbe_de_tarage!$C$4:$C$44,1))))</f>
        <v/>
      </c>
      <c r="D35" s="12">
        <f>IF(A35="","",IFERROR(FORECAST(K34+B34+B35,INDEX(Courbe_de_tarage!$D$4:$D$44,MATCH(K34+B34+B35,Courbe_de_tarage!$I$4:$I$44,1)):INDEX(Courbe_de_tarage!$D$4:$D$44,MATCH(K34+B34+B35,Courbe_de_tarage!$I$4:$I$44,1)+1),INDEX(Courbe_de_tarage!$I$4:$I$44,MATCH(K34+B34+B35,Courbe_de_tarage!$I$4:$I$44,1)):INDEX(Courbe_de_tarage!$I$4:$I$44,MATCH(K34+B34+B35,Courbe_de_tarage!$I$4:$I$44,1)+1)),IFERROR(INDEX(Courbe_de_tarage!$D$4:$D$44,MATCH(K34+B34+B35,Courbe_de_tarage!$I$4:$I$44,1)),INDEX(Courbe_de_tarage!$D$4:$D$44,1))))</f>
        <v/>
      </c>
      <c r="E35" s="12">
        <f>IF(A35="","",IFERROR(FORECAST(K34+B34+B35,INDEX(Courbe_de_tarage!$E$4:$E$44,MATCH(K34+B34+B35,Courbe_de_tarage!$I$4:$I$44,1)):INDEX(Courbe_de_tarage!$E$4:$E$44,MATCH(K34+B34+B35,Courbe_de_tarage!$I$4:$I$44,1)+1),INDEX(Courbe_de_tarage!$I$4:$I$44,MATCH(K34+B34+B35,Courbe_de_tarage!$I$4:$I$44,1)):INDEX(Courbe_de_tarage!$I$4:$I$44,MATCH(K34+B34+B35,Courbe_de_tarage!$I$4:$I$44,1)+1)),IFERROR(INDEX(Courbe_de_tarage!$E$4:$E$44,MATCH(K34+B34+B35,Courbe_de_tarage!$I$4:$I$44,1)),INDEX(Courbe_de_tarage!$E$4:$E$44,1))))</f>
        <v/>
      </c>
      <c r="F35" s="12">
        <f>IF(A35="","",IFERROR(FORECAST(K34+B34+B35,INDEX(Courbe_de_tarage!$A$4:$A$44,MATCH(K34+B34+B35,Courbe_de_tarage!$I$4:$I$44,1)):INDEX(Courbe_de_tarage!$A$4:$A$44,MATCH(K34+B34+B35,Courbe_de_tarage!$I$4:$I$44,1)+1),INDEX(Courbe_de_tarage!$I$4:$I$44,MATCH(K34+B34+B35,Courbe_de_tarage!$I$4:$I$44,1)):INDEX(Courbe_de_tarage!$I$4:$I$44,MATCH(K34+B34+B35,Courbe_de_tarage!$I$4:$I$44,1)+1)),IFERROR(INDEX(Courbe_de_tarage!$A$4:$A$44,MATCH(K34+B34+B35,Courbe_de_tarage!$I$4:$I$44,1)),INDEX(Courbe_de_tarage!$A$4:$A$44,1))))</f>
        <v/>
      </c>
      <c r="G35" s="12">
        <f>IF(A35="","",Parametres!$C$9+F35)</f>
        <v/>
      </c>
      <c r="H35" s="12">
        <f>IF(A35="","",IFERROR(FORECAST(K34+B34+B35,INDEX(Courbe_de_tarage!$H$4:$H$44,MATCH(K34+B34+B35,Courbe_de_tarage!$I$4:$I$44,1)):INDEX(Courbe_de_tarage!$H$4:$H$44,MATCH(K34+B34+B35,Courbe_de_tarage!$I$4:$I$44,1)+1),INDEX(Courbe_de_tarage!$I$4:$I$44,MATCH(K34+B34+B35,Courbe_de_tarage!$I$4:$I$44,1)):INDEX(Courbe_de_tarage!$I$4:$I$44,MATCH(K34+B34+B35,Courbe_de_tarage!$I$4:$I$44,1)+1)),IFERROR(INDEX(Courbe_de_tarage!$H$4:$H$44,MATCH(K34+B34+B35,Courbe_de_tarage!$I$4:$I$44,1)),INDEX(Courbe_de_tarage!$H$4:$H$44,1))))</f>
        <v/>
      </c>
      <c r="I35" s="5">
        <f>IF(G35="","",IF(G35&gt;Parametres!$C$11,"OUI",""))</f>
        <v/>
      </c>
      <c r="J35" s="12">
        <f>IF(A35="","",K34+B34+B35)</f>
        <v/>
      </c>
      <c r="K35" s="12">
        <f>IF(A35="","",2*H35/(Hydrogramme_entree!$B$8*60)-E35)</f>
        <v/>
      </c>
    </row>
    <row r="36">
      <c r="A36" s="5">
        <f>Hydrogramme_entree!A48</f>
        <v/>
      </c>
      <c r="B36" s="12">
        <f>Hydrogramme_entree!B48</f>
        <v/>
      </c>
      <c r="C36" s="12">
        <f>IF(A36="","",IFERROR(FORECAST(K35+B35+B36,INDEX(Courbe_de_tarage!$C$4:$C$44,MATCH(K35+B35+B36,Courbe_de_tarage!$I$4:$I$44,1)):INDEX(Courbe_de_tarage!$C$4:$C$44,MATCH(K35+B35+B36,Courbe_de_tarage!$I$4:$I$44,1)+1),INDEX(Courbe_de_tarage!$I$4:$I$44,MATCH(K35+B35+B36,Courbe_de_tarage!$I$4:$I$44,1)):INDEX(Courbe_de_tarage!$I$4:$I$44,MATCH(K35+B35+B36,Courbe_de_tarage!$I$4:$I$44,1)+1)),IFERROR(INDEX(Courbe_de_tarage!$C$4:$C$44,MATCH(K35+B35+B36,Courbe_de_tarage!$I$4:$I$44,1)),INDEX(Courbe_de_tarage!$C$4:$C$44,1))))</f>
        <v/>
      </c>
      <c r="D36" s="12">
        <f>IF(A36="","",IFERROR(FORECAST(K35+B35+B36,INDEX(Courbe_de_tarage!$D$4:$D$44,MATCH(K35+B35+B36,Courbe_de_tarage!$I$4:$I$44,1)):INDEX(Courbe_de_tarage!$D$4:$D$44,MATCH(K35+B35+B36,Courbe_de_tarage!$I$4:$I$44,1)+1),INDEX(Courbe_de_tarage!$I$4:$I$44,MATCH(K35+B35+B36,Courbe_de_tarage!$I$4:$I$44,1)):INDEX(Courbe_de_tarage!$I$4:$I$44,MATCH(K35+B35+B36,Courbe_de_tarage!$I$4:$I$44,1)+1)),IFERROR(INDEX(Courbe_de_tarage!$D$4:$D$44,MATCH(K35+B35+B36,Courbe_de_tarage!$I$4:$I$44,1)),INDEX(Courbe_de_tarage!$D$4:$D$44,1))))</f>
        <v/>
      </c>
      <c r="E36" s="12">
        <f>IF(A36="","",IFERROR(FORECAST(K35+B35+B36,INDEX(Courbe_de_tarage!$E$4:$E$44,MATCH(K35+B35+B36,Courbe_de_tarage!$I$4:$I$44,1)):INDEX(Courbe_de_tarage!$E$4:$E$44,MATCH(K35+B35+B36,Courbe_de_tarage!$I$4:$I$44,1)+1),INDEX(Courbe_de_tarage!$I$4:$I$44,MATCH(K35+B35+B36,Courbe_de_tarage!$I$4:$I$44,1)):INDEX(Courbe_de_tarage!$I$4:$I$44,MATCH(K35+B35+B36,Courbe_de_tarage!$I$4:$I$44,1)+1)),IFERROR(INDEX(Courbe_de_tarage!$E$4:$E$44,MATCH(K35+B35+B36,Courbe_de_tarage!$I$4:$I$44,1)),INDEX(Courbe_de_tarage!$E$4:$E$44,1))))</f>
        <v/>
      </c>
      <c r="F36" s="12">
        <f>IF(A36="","",IFERROR(FORECAST(K35+B35+B36,INDEX(Courbe_de_tarage!$A$4:$A$44,MATCH(K35+B35+B36,Courbe_de_tarage!$I$4:$I$44,1)):INDEX(Courbe_de_tarage!$A$4:$A$44,MATCH(K35+B35+B36,Courbe_de_tarage!$I$4:$I$44,1)+1),INDEX(Courbe_de_tarage!$I$4:$I$44,MATCH(K35+B35+B36,Courbe_de_tarage!$I$4:$I$44,1)):INDEX(Courbe_de_tarage!$I$4:$I$44,MATCH(K35+B35+B36,Courbe_de_tarage!$I$4:$I$44,1)+1)),IFERROR(INDEX(Courbe_de_tarage!$A$4:$A$44,MATCH(K35+B35+B36,Courbe_de_tarage!$I$4:$I$44,1)),INDEX(Courbe_de_tarage!$A$4:$A$44,1))))</f>
        <v/>
      </c>
      <c r="G36" s="12">
        <f>IF(A36="","",Parametres!$C$9+F36)</f>
        <v/>
      </c>
      <c r="H36" s="12">
        <f>IF(A36="","",IFERROR(FORECAST(K35+B35+B36,INDEX(Courbe_de_tarage!$H$4:$H$44,MATCH(K35+B35+B36,Courbe_de_tarage!$I$4:$I$44,1)):INDEX(Courbe_de_tarage!$H$4:$H$44,MATCH(K35+B35+B36,Courbe_de_tarage!$I$4:$I$44,1)+1),INDEX(Courbe_de_tarage!$I$4:$I$44,MATCH(K35+B35+B36,Courbe_de_tarage!$I$4:$I$44,1)):INDEX(Courbe_de_tarage!$I$4:$I$44,MATCH(K35+B35+B36,Courbe_de_tarage!$I$4:$I$44,1)+1)),IFERROR(INDEX(Courbe_de_tarage!$H$4:$H$44,MATCH(K35+B35+B36,Courbe_de_tarage!$I$4:$I$44,1)),INDEX(Courbe_de_tarage!$H$4:$H$44,1))))</f>
        <v/>
      </c>
      <c r="I36" s="5">
        <f>IF(G36="","",IF(G36&gt;Parametres!$C$11,"OUI",""))</f>
        <v/>
      </c>
      <c r="J36" s="12">
        <f>IF(A36="","",K35+B35+B36)</f>
        <v/>
      </c>
      <c r="K36" s="12">
        <f>IF(A36="","",2*H36/(Hydrogramme_entree!$B$8*60)-E36)</f>
        <v/>
      </c>
    </row>
    <row r="37">
      <c r="A37" s="5">
        <f>Hydrogramme_entree!A49</f>
        <v/>
      </c>
      <c r="B37" s="12">
        <f>Hydrogramme_entree!B49</f>
        <v/>
      </c>
      <c r="C37" s="12">
        <f>IF(A37="","",IFERROR(FORECAST(K36+B36+B37,INDEX(Courbe_de_tarage!$C$4:$C$44,MATCH(K36+B36+B37,Courbe_de_tarage!$I$4:$I$44,1)):INDEX(Courbe_de_tarage!$C$4:$C$44,MATCH(K36+B36+B37,Courbe_de_tarage!$I$4:$I$44,1)+1),INDEX(Courbe_de_tarage!$I$4:$I$44,MATCH(K36+B36+B37,Courbe_de_tarage!$I$4:$I$44,1)):INDEX(Courbe_de_tarage!$I$4:$I$44,MATCH(K36+B36+B37,Courbe_de_tarage!$I$4:$I$44,1)+1)),IFERROR(INDEX(Courbe_de_tarage!$C$4:$C$44,MATCH(K36+B36+B37,Courbe_de_tarage!$I$4:$I$44,1)),INDEX(Courbe_de_tarage!$C$4:$C$44,1))))</f>
        <v/>
      </c>
      <c r="D37" s="12">
        <f>IF(A37="","",IFERROR(FORECAST(K36+B36+B37,INDEX(Courbe_de_tarage!$D$4:$D$44,MATCH(K36+B36+B37,Courbe_de_tarage!$I$4:$I$44,1)):INDEX(Courbe_de_tarage!$D$4:$D$44,MATCH(K36+B36+B37,Courbe_de_tarage!$I$4:$I$44,1)+1),INDEX(Courbe_de_tarage!$I$4:$I$44,MATCH(K36+B36+B37,Courbe_de_tarage!$I$4:$I$44,1)):INDEX(Courbe_de_tarage!$I$4:$I$44,MATCH(K36+B36+B37,Courbe_de_tarage!$I$4:$I$44,1)+1)),IFERROR(INDEX(Courbe_de_tarage!$D$4:$D$44,MATCH(K36+B36+B37,Courbe_de_tarage!$I$4:$I$44,1)),INDEX(Courbe_de_tarage!$D$4:$D$44,1))))</f>
        <v/>
      </c>
      <c r="E37" s="12">
        <f>IF(A37="","",IFERROR(FORECAST(K36+B36+B37,INDEX(Courbe_de_tarage!$E$4:$E$44,MATCH(K36+B36+B37,Courbe_de_tarage!$I$4:$I$44,1)):INDEX(Courbe_de_tarage!$E$4:$E$44,MATCH(K36+B36+B37,Courbe_de_tarage!$I$4:$I$44,1)+1),INDEX(Courbe_de_tarage!$I$4:$I$44,MATCH(K36+B36+B37,Courbe_de_tarage!$I$4:$I$44,1)):INDEX(Courbe_de_tarage!$I$4:$I$44,MATCH(K36+B36+B37,Courbe_de_tarage!$I$4:$I$44,1)+1)),IFERROR(INDEX(Courbe_de_tarage!$E$4:$E$44,MATCH(K36+B36+B37,Courbe_de_tarage!$I$4:$I$44,1)),INDEX(Courbe_de_tarage!$E$4:$E$44,1))))</f>
        <v/>
      </c>
      <c r="F37" s="12">
        <f>IF(A37="","",IFERROR(FORECAST(K36+B36+B37,INDEX(Courbe_de_tarage!$A$4:$A$44,MATCH(K36+B36+B37,Courbe_de_tarage!$I$4:$I$44,1)):INDEX(Courbe_de_tarage!$A$4:$A$44,MATCH(K36+B36+B37,Courbe_de_tarage!$I$4:$I$44,1)+1),INDEX(Courbe_de_tarage!$I$4:$I$44,MATCH(K36+B36+B37,Courbe_de_tarage!$I$4:$I$44,1)):INDEX(Courbe_de_tarage!$I$4:$I$44,MATCH(K36+B36+B37,Courbe_de_tarage!$I$4:$I$44,1)+1)),IFERROR(INDEX(Courbe_de_tarage!$A$4:$A$44,MATCH(K36+B36+B37,Courbe_de_tarage!$I$4:$I$44,1)),INDEX(Courbe_de_tarage!$A$4:$A$44,1))))</f>
        <v/>
      </c>
      <c r="G37" s="12">
        <f>IF(A37="","",Parametres!$C$9+F37)</f>
        <v/>
      </c>
      <c r="H37" s="12">
        <f>IF(A37="","",IFERROR(FORECAST(K36+B36+B37,INDEX(Courbe_de_tarage!$H$4:$H$44,MATCH(K36+B36+B37,Courbe_de_tarage!$I$4:$I$44,1)):INDEX(Courbe_de_tarage!$H$4:$H$44,MATCH(K36+B36+B37,Courbe_de_tarage!$I$4:$I$44,1)+1),INDEX(Courbe_de_tarage!$I$4:$I$44,MATCH(K36+B36+B37,Courbe_de_tarage!$I$4:$I$44,1)):INDEX(Courbe_de_tarage!$I$4:$I$44,MATCH(K36+B36+B37,Courbe_de_tarage!$I$4:$I$44,1)+1)),IFERROR(INDEX(Courbe_de_tarage!$H$4:$H$44,MATCH(K36+B36+B37,Courbe_de_tarage!$I$4:$I$44,1)),INDEX(Courbe_de_tarage!$H$4:$H$44,1))))</f>
        <v/>
      </c>
      <c r="I37" s="5">
        <f>IF(G37="","",IF(G37&gt;Parametres!$C$11,"OUI",""))</f>
        <v/>
      </c>
      <c r="J37" s="12">
        <f>IF(A37="","",K36+B36+B37)</f>
        <v/>
      </c>
      <c r="K37" s="12">
        <f>IF(A37="","",2*H37/(Hydrogramme_entree!$B$8*60)-E37)</f>
        <v/>
      </c>
    </row>
    <row r="38">
      <c r="A38" s="5">
        <f>Hydrogramme_entree!A50</f>
        <v/>
      </c>
      <c r="B38" s="12">
        <f>Hydrogramme_entree!B50</f>
        <v/>
      </c>
      <c r="C38" s="12">
        <f>IF(A38="","",IFERROR(FORECAST(K37+B37+B38,INDEX(Courbe_de_tarage!$C$4:$C$44,MATCH(K37+B37+B38,Courbe_de_tarage!$I$4:$I$44,1)):INDEX(Courbe_de_tarage!$C$4:$C$44,MATCH(K37+B37+B38,Courbe_de_tarage!$I$4:$I$44,1)+1),INDEX(Courbe_de_tarage!$I$4:$I$44,MATCH(K37+B37+B38,Courbe_de_tarage!$I$4:$I$44,1)):INDEX(Courbe_de_tarage!$I$4:$I$44,MATCH(K37+B37+B38,Courbe_de_tarage!$I$4:$I$44,1)+1)),IFERROR(INDEX(Courbe_de_tarage!$C$4:$C$44,MATCH(K37+B37+B38,Courbe_de_tarage!$I$4:$I$44,1)),INDEX(Courbe_de_tarage!$C$4:$C$44,1))))</f>
        <v/>
      </c>
      <c r="D38" s="12">
        <f>IF(A38="","",IFERROR(FORECAST(K37+B37+B38,INDEX(Courbe_de_tarage!$D$4:$D$44,MATCH(K37+B37+B38,Courbe_de_tarage!$I$4:$I$44,1)):INDEX(Courbe_de_tarage!$D$4:$D$44,MATCH(K37+B37+B38,Courbe_de_tarage!$I$4:$I$44,1)+1),INDEX(Courbe_de_tarage!$I$4:$I$44,MATCH(K37+B37+B38,Courbe_de_tarage!$I$4:$I$44,1)):INDEX(Courbe_de_tarage!$I$4:$I$44,MATCH(K37+B37+B38,Courbe_de_tarage!$I$4:$I$44,1)+1)),IFERROR(INDEX(Courbe_de_tarage!$D$4:$D$44,MATCH(K37+B37+B38,Courbe_de_tarage!$I$4:$I$44,1)),INDEX(Courbe_de_tarage!$D$4:$D$44,1))))</f>
        <v/>
      </c>
      <c r="E38" s="12">
        <f>IF(A38="","",IFERROR(FORECAST(K37+B37+B38,INDEX(Courbe_de_tarage!$E$4:$E$44,MATCH(K37+B37+B38,Courbe_de_tarage!$I$4:$I$44,1)):INDEX(Courbe_de_tarage!$E$4:$E$44,MATCH(K37+B37+B38,Courbe_de_tarage!$I$4:$I$44,1)+1),INDEX(Courbe_de_tarage!$I$4:$I$44,MATCH(K37+B37+B38,Courbe_de_tarage!$I$4:$I$44,1)):INDEX(Courbe_de_tarage!$I$4:$I$44,MATCH(K37+B37+B38,Courbe_de_tarage!$I$4:$I$44,1)+1)),IFERROR(INDEX(Courbe_de_tarage!$E$4:$E$44,MATCH(K37+B37+B38,Courbe_de_tarage!$I$4:$I$44,1)),INDEX(Courbe_de_tarage!$E$4:$E$44,1))))</f>
        <v/>
      </c>
      <c r="F38" s="12">
        <f>IF(A38="","",IFERROR(FORECAST(K37+B37+B38,INDEX(Courbe_de_tarage!$A$4:$A$44,MATCH(K37+B37+B38,Courbe_de_tarage!$I$4:$I$44,1)):INDEX(Courbe_de_tarage!$A$4:$A$44,MATCH(K37+B37+B38,Courbe_de_tarage!$I$4:$I$44,1)+1),INDEX(Courbe_de_tarage!$I$4:$I$44,MATCH(K37+B37+B38,Courbe_de_tarage!$I$4:$I$44,1)):INDEX(Courbe_de_tarage!$I$4:$I$44,MATCH(K37+B37+B38,Courbe_de_tarage!$I$4:$I$44,1)+1)),IFERROR(INDEX(Courbe_de_tarage!$A$4:$A$44,MATCH(K37+B37+B38,Courbe_de_tarage!$I$4:$I$44,1)),INDEX(Courbe_de_tarage!$A$4:$A$44,1))))</f>
        <v/>
      </c>
      <c r="G38" s="12">
        <f>IF(A38="","",Parametres!$C$9+F38)</f>
        <v/>
      </c>
      <c r="H38" s="12">
        <f>IF(A38="","",IFERROR(FORECAST(K37+B37+B38,INDEX(Courbe_de_tarage!$H$4:$H$44,MATCH(K37+B37+B38,Courbe_de_tarage!$I$4:$I$44,1)):INDEX(Courbe_de_tarage!$H$4:$H$44,MATCH(K37+B37+B38,Courbe_de_tarage!$I$4:$I$44,1)+1),INDEX(Courbe_de_tarage!$I$4:$I$44,MATCH(K37+B37+B38,Courbe_de_tarage!$I$4:$I$44,1)):INDEX(Courbe_de_tarage!$I$4:$I$44,MATCH(K37+B37+B38,Courbe_de_tarage!$I$4:$I$44,1)+1)),IFERROR(INDEX(Courbe_de_tarage!$H$4:$H$44,MATCH(K37+B37+B38,Courbe_de_tarage!$I$4:$I$44,1)),INDEX(Courbe_de_tarage!$H$4:$H$44,1))))</f>
        <v/>
      </c>
      <c r="I38" s="5">
        <f>IF(G38="","",IF(G38&gt;Parametres!$C$11,"OUI",""))</f>
        <v/>
      </c>
      <c r="J38" s="12">
        <f>IF(A38="","",K37+B37+B38)</f>
        <v/>
      </c>
      <c r="K38" s="12">
        <f>IF(A38="","",2*H38/(Hydrogramme_entree!$B$8*60)-E38)</f>
        <v/>
      </c>
    </row>
    <row r="39">
      <c r="A39" s="5">
        <f>Hydrogramme_entree!A51</f>
        <v/>
      </c>
      <c r="B39" s="12">
        <f>Hydrogramme_entree!B51</f>
        <v/>
      </c>
      <c r="C39" s="12">
        <f>IF(A39="","",IFERROR(FORECAST(K38+B38+B39,INDEX(Courbe_de_tarage!$C$4:$C$44,MATCH(K38+B38+B39,Courbe_de_tarage!$I$4:$I$44,1)):INDEX(Courbe_de_tarage!$C$4:$C$44,MATCH(K38+B38+B39,Courbe_de_tarage!$I$4:$I$44,1)+1),INDEX(Courbe_de_tarage!$I$4:$I$44,MATCH(K38+B38+B39,Courbe_de_tarage!$I$4:$I$44,1)):INDEX(Courbe_de_tarage!$I$4:$I$44,MATCH(K38+B38+B39,Courbe_de_tarage!$I$4:$I$44,1)+1)),IFERROR(INDEX(Courbe_de_tarage!$C$4:$C$44,MATCH(K38+B38+B39,Courbe_de_tarage!$I$4:$I$44,1)),INDEX(Courbe_de_tarage!$C$4:$C$44,1))))</f>
        <v/>
      </c>
      <c r="D39" s="12">
        <f>IF(A39="","",IFERROR(FORECAST(K38+B38+B39,INDEX(Courbe_de_tarage!$D$4:$D$44,MATCH(K38+B38+B39,Courbe_de_tarage!$I$4:$I$44,1)):INDEX(Courbe_de_tarage!$D$4:$D$44,MATCH(K38+B38+B39,Courbe_de_tarage!$I$4:$I$44,1)+1),INDEX(Courbe_de_tarage!$I$4:$I$44,MATCH(K38+B38+B39,Courbe_de_tarage!$I$4:$I$44,1)):INDEX(Courbe_de_tarage!$I$4:$I$44,MATCH(K38+B38+B39,Courbe_de_tarage!$I$4:$I$44,1)+1)),IFERROR(INDEX(Courbe_de_tarage!$D$4:$D$44,MATCH(K38+B38+B39,Courbe_de_tarage!$I$4:$I$44,1)),INDEX(Courbe_de_tarage!$D$4:$D$44,1))))</f>
        <v/>
      </c>
      <c r="E39" s="12">
        <f>IF(A39="","",IFERROR(FORECAST(K38+B38+B39,INDEX(Courbe_de_tarage!$E$4:$E$44,MATCH(K38+B38+B39,Courbe_de_tarage!$I$4:$I$44,1)):INDEX(Courbe_de_tarage!$E$4:$E$44,MATCH(K38+B38+B39,Courbe_de_tarage!$I$4:$I$44,1)+1),INDEX(Courbe_de_tarage!$I$4:$I$44,MATCH(K38+B38+B39,Courbe_de_tarage!$I$4:$I$44,1)):INDEX(Courbe_de_tarage!$I$4:$I$44,MATCH(K38+B38+B39,Courbe_de_tarage!$I$4:$I$44,1)+1)),IFERROR(INDEX(Courbe_de_tarage!$E$4:$E$44,MATCH(K38+B38+B39,Courbe_de_tarage!$I$4:$I$44,1)),INDEX(Courbe_de_tarage!$E$4:$E$44,1))))</f>
        <v/>
      </c>
      <c r="F39" s="12">
        <f>IF(A39="","",IFERROR(FORECAST(K38+B38+B39,INDEX(Courbe_de_tarage!$A$4:$A$44,MATCH(K38+B38+B39,Courbe_de_tarage!$I$4:$I$44,1)):INDEX(Courbe_de_tarage!$A$4:$A$44,MATCH(K38+B38+B39,Courbe_de_tarage!$I$4:$I$44,1)+1),INDEX(Courbe_de_tarage!$I$4:$I$44,MATCH(K38+B38+B39,Courbe_de_tarage!$I$4:$I$44,1)):INDEX(Courbe_de_tarage!$I$4:$I$44,MATCH(K38+B38+B39,Courbe_de_tarage!$I$4:$I$44,1)+1)),IFERROR(INDEX(Courbe_de_tarage!$A$4:$A$44,MATCH(K38+B38+B39,Courbe_de_tarage!$I$4:$I$44,1)),INDEX(Courbe_de_tarage!$A$4:$A$44,1))))</f>
        <v/>
      </c>
      <c r="G39" s="12">
        <f>IF(A39="","",Parametres!$C$9+F39)</f>
        <v/>
      </c>
      <c r="H39" s="12">
        <f>IF(A39="","",IFERROR(FORECAST(K38+B38+B39,INDEX(Courbe_de_tarage!$H$4:$H$44,MATCH(K38+B38+B39,Courbe_de_tarage!$I$4:$I$44,1)):INDEX(Courbe_de_tarage!$H$4:$H$44,MATCH(K38+B38+B39,Courbe_de_tarage!$I$4:$I$44,1)+1),INDEX(Courbe_de_tarage!$I$4:$I$44,MATCH(K38+B38+B39,Courbe_de_tarage!$I$4:$I$44,1)):INDEX(Courbe_de_tarage!$I$4:$I$44,MATCH(K38+B38+B39,Courbe_de_tarage!$I$4:$I$44,1)+1)),IFERROR(INDEX(Courbe_de_tarage!$H$4:$H$44,MATCH(K38+B38+B39,Courbe_de_tarage!$I$4:$I$44,1)),INDEX(Courbe_de_tarage!$H$4:$H$44,1))))</f>
        <v/>
      </c>
      <c r="I39" s="5">
        <f>IF(G39="","",IF(G39&gt;Parametres!$C$11,"OUI",""))</f>
        <v/>
      </c>
      <c r="J39" s="12">
        <f>IF(A39="","",K38+B38+B39)</f>
        <v/>
      </c>
      <c r="K39" s="12">
        <f>IF(A39="","",2*H39/(Hydrogramme_entree!$B$8*60)-E39)</f>
        <v/>
      </c>
    </row>
    <row r="40">
      <c r="A40" s="5">
        <f>Hydrogramme_entree!A52</f>
        <v/>
      </c>
      <c r="B40" s="12">
        <f>Hydrogramme_entree!B52</f>
        <v/>
      </c>
      <c r="C40" s="12">
        <f>IF(A40="","",IFERROR(FORECAST(K39+B39+B40,INDEX(Courbe_de_tarage!$C$4:$C$44,MATCH(K39+B39+B40,Courbe_de_tarage!$I$4:$I$44,1)):INDEX(Courbe_de_tarage!$C$4:$C$44,MATCH(K39+B39+B40,Courbe_de_tarage!$I$4:$I$44,1)+1),INDEX(Courbe_de_tarage!$I$4:$I$44,MATCH(K39+B39+B40,Courbe_de_tarage!$I$4:$I$44,1)):INDEX(Courbe_de_tarage!$I$4:$I$44,MATCH(K39+B39+B40,Courbe_de_tarage!$I$4:$I$44,1)+1)),IFERROR(INDEX(Courbe_de_tarage!$C$4:$C$44,MATCH(K39+B39+B40,Courbe_de_tarage!$I$4:$I$44,1)),INDEX(Courbe_de_tarage!$C$4:$C$44,1))))</f>
        <v/>
      </c>
      <c r="D40" s="12">
        <f>IF(A40="","",IFERROR(FORECAST(K39+B39+B40,INDEX(Courbe_de_tarage!$D$4:$D$44,MATCH(K39+B39+B40,Courbe_de_tarage!$I$4:$I$44,1)):INDEX(Courbe_de_tarage!$D$4:$D$44,MATCH(K39+B39+B40,Courbe_de_tarage!$I$4:$I$44,1)+1),INDEX(Courbe_de_tarage!$I$4:$I$44,MATCH(K39+B39+B40,Courbe_de_tarage!$I$4:$I$44,1)):INDEX(Courbe_de_tarage!$I$4:$I$44,MATCH(K39+B39+B40,Courbe_de_tarage!$I$4:$I$44,1)+1)),IFERROR(INDEX(Courbe_de_tarage!$D$4:$D$44,MATCH(K39+B39+B40,Courbe_de_tarage!$I$4:$I$44,1)),INDEX(Courbe_de_tarage!$D$4:$D$44,1))))</f>
        <v/>
      </c>
      <c r="E40" s="12">
        <f>IF(A40="","",IFERROR(FORECAST(K39+B39+B40,INDEX(Courbe_de_tarage!$E$4:$E$44,MATCH(K39+B39+B40,Courbe_de_tarage!$I$4:$I$44,1)):INDEX(Courbe_de_tarage!$E$4:$E$44,MATCH(K39+B39+B40,Courbe_de_tarage!$I$4:$I$44,1)+1),INDEX(Courbe_de_tarage!$I$4:$I$44,MATCH(K39+B39+B40,Courbe_de_tarage!$I$4:$I$44,1)):INDEX(Courbe_de_tarage!$I$4:$I$44,MATCH(K39+B39+B40,Courbe_de_tarage!$I$4:$I$44,1)+1)),IFERROR(INDEX(Courbe_de_tarage!$E$4:$E$44,MATCH(K39+B39+B40,Courbe_de_tarage!$I$4:$I$44,1)),INDEX(Courbe_de_tarage!$E$4:$E$44,1))))</f>
        <v/>
      </c>
      <c r="F40" s="12">
        <f>IF(A40="","",IFERROR(FORECAST(K39+B39+B40,INDEX(Courbe_de_tarage!$A$4:$A$44,MATCH(K39+B39+B40,Courbe_de_tarage!$I$4:$I$44,1)):INDEX(Courbe_de_tarage!$A$4:$A$44,MATCH(K39+B39+B40,Courbe_de_tarage!$I$4:$I$44,1)+1),INDEX(Courbe_de_tarage!$I$4:$I$44,MATCH(K39+B39+B40,Courbe_de_tarage!$I$4:$I$44,1)):INDEX(Courbe_de_tarage!$I$4:$I$44,MATCH(K39+B39+B40,Courbe_de_tarage!$I$4:$I$44,1)+1)),IFERROR(INDEX(Courbe_de_tarage!$A$4:$A$44,MATCH(K39+B39+B40,Courbe_de_tarage!$I$4:$I$44,1)),INDEX(Courbe_de_tarage!$A$4:$A$44,1))))</f>
        <v/>
      </c>
      <c r="G40" s="12">
        <f>IF(A40="","",Parametres!$C$9+F40)</f>
        <v/>
      </c>
      <c r="H40" s="12">
        <f>IF(A40="","",IFERROR(FORECAST(K39+B39+B40,INDEX(Courbe_de_tarage!$H$4:$H$44,MATCH(K39+B39+B40,Courbe_de_tarage!$I$4:$I$44,1)):INDEX(Courbe_de_tarage!$H$4:$H$44,MATCH(K39+B39+B40,Courbe_de_tarage!$I$4:$I$44,1)+1),INDEX(Courbe_de_tarage!$I$4:$I$44,MATCH(K39+B39+B40,Courbe_de_tarage!$I$4:$I$44,1)):INDEX(Courbe_de_tarage!$I$4:$I$44,MATCH(K39+B39+B40,Courbe_de_tarage!$I$4:$I$44,1)+1)),IFERROR(INDEX(Courbe_de_tarage!$H$4:$H$44,MATCH(K39+B39+B40,Courbe_de_tarage!$I$4:$I$44,1)),INDEX(Courbe_de_tarage!$H$4:$H$44,1))))</f>
        <v/>
      </c>
      <c r="I40" s="5">
        <f>IF(G40="","",IF(G40&gt;Parametres!$C$11,"OUI",""))</f>
        <v/>
      </c>
      <c r="J40" s="12">
        <f>IF(A40="","",K39+B39+B40)</f>
        <v/>
      </c>
      <c r="K40" s="12">
        <f>IF(A40="","",2*H40/(Hydrogramme_entree!$B$8*60)-E40)</f>
        <v/>
      </c>
    </row>
    <row r="41">
      <c r="A41" s="5">
        <f>Hydrogramme_entree!A53</f>
        <v/>
      </c>
      <c r="B41" s="12">
        <f>Hydrogramme_entree!B53</f>
        <v/>
      </c>
      <c r="C41" s="12">
        <f>IF(A41="","",IFERROR(FORECAST(K40+B40+B41,INDEX(Courbe_de_tarage!$C$4:$C$44,MATCH(K40+B40+B41,Courbe_de_tarage!$I$4:$I$44,1)):INDEX(Courbe_de_tarage!$C$4:$C$44,MATCH(K40+B40+B41,Courbe_de_tarage!$I$4:$I$44,1)+1),INDEX(Courbe_de_tarage!$I$4:$I$44,MATCH(K40+B40+B41,Courbe_de_tarage!$I$4:$I$44,1)):INDEX(Courbe_de_tarage!$I$4:$I$44,MATCH(K40+B40+B41,Courbe_de_tarage!$I$4:$I$44,1)+1)),IFERROR(INDEX(Courbe_de_tarage!$C$4:$C$44,MATCH(K40+B40+B41,Courbe_de_tarage!$I$4:$I$44,1)),INDEX(Courbe_de_tarage!$C$4:$C$44,1))))</f>
        <v/>
      </c>
      <c r="D41" s="12">
        <f>IF(A41="","",IFERROR(FORECAST(K40+B40+B41,INDEX(Courbe_de_tarage!$D$4:$D$44,MATCH(K40+B40+B41,Courbe_de_tarage!$I$4:$I$44,1)):INDEX(Courbe_de_tarage!$D$4:$D$44,MATCH(K40+B40+B41,Courbe_de_tarage!$I$4:$I$44,1)+1),INDEX(Courbe_de_tarage!$I$4:$I$44,MATCH(K40+B40+B41,Courbe_de_tarage!$I$4:$I$44,1)):INDEX(Courbe_de_tarage!$I$4:$I$44,MATCH(K40+B40+B41,Courbe_de_tarage!$I$4:$I$44,1)+1)),IFERROR(INDEX(Courbe_de_tarage!$D$4:$D$44,MATCH(K40+B40+B41,Courbe_de_tarage!$I$4:$I$44,1)),INDEX(Courbe_de_tarage!$D$4:$D$44,1))))</f>
        <v/>
      </c>
      <c r="E41" s="12">
        <f>IF(A41="","",IFERROR(FORECAST(K40+B40+B41,INDEX(Courbe_de_tarage!$E$4:$E$44,MATCH(K40+B40+B41,Courbe_de_tarage!$I$4:$I$44,1)):INDEX(Courbe_de_tarage!$E$4:$E$44,MATCH(K40+B40+B41,Courbe_de_tarage!$I$4:$I$44,1)+1),INDEX(Courbe_de_tarage!$I$4:$I$44,MATCH(K40+B40+B41,Courbe_de_tarage!$I$4:$I$44,1)):INDEX(Courbe_de_tarage!$I$4:$I$44,MATCH(K40+B40+B41,Courbe_de_tarage!$I$4:$I$44,1)+1)),IFERROR(INDEX(Courbe_de_tarage!$E$4:$E$44,MATCH(K40+B40+B41,Courbe_de_tarage!$I$4:$I$44,1)),INDEX(Courbe_de_tarage!$E$4:$E$44,1))))</f>
        <v/>
      </c>
      <c r="F41" s="12">
        <f>IF(A41="","",IFERROR(FORECAST(K40+B40+B41,INDEX(Courbe_de_tarage!$A$4:$A$44,MATCH(K40+B40+B41,Courbe_de_tarage!$I$4:$I$44,1)):INDEX(Courbe_de_tarage!$A$4:$A$44,MATCH(K40+B40+B41,Courbe_de_tarage!$I$4:$I$44,1)+1),INDEX(Courbe_de_tarage!$I$4:$I$44,MATCH(K40+B40+B41,Courbe_de_tarage!$I$4:$I$44,1)):INDEX(Courbe_de_tarage!$I$4:$I$44,MATCH(K40+B40+B41,Courbe_de_tarage!$I$4:$I$44,1)+1)),IFERROR(INDEX(Courbe_de_tarage!$A$4:$A$44,MATCH(K40+B40+B41,Courbe_de_tarage!$I$4:$I$44,1)),INDEX(Courbe_de_tarage!$A$4:$A$44,1))))</f>
        <v/>
      </c>
      <c r="G41" s="12">
        <f>IF(A41="","",Parametres!$C$9+F41)</f>
        <v/>
      </c>
      <c r="H41" s="12">
        <f>IF(A41="","",IFERROR(FORECAST(K40+B40+B41,INDEX(Courbe_de_tarage!$H$4:$H$44,MATCH(K40+B40+B41,Courbe_de_tarage!$I$4:$I$44,1)):INDEX(Courbe_de_tarage!$H$4:$H$44,MATCH(K40+B40+B41,Courbe_de_tarage!$I$4:$I$44,1)+1),INDEX(Courbe_de_tarage!$I$4:$I$44,MATCH(K40+B40+B41,Courbe_de_tarage!$I$4:$I$44,1)):INDEX(Courbe_de_tarage!$I$4:$I$44,MATCH(K40+B40+B41,Courbe_de_tarage!$I$4:$I$44,1)+1)),IFERROR(INDEX(Courbe_de_tarage!$H$4:$H$44,MATCH(K40+B40+B41,Courbe_de_tarage!$I$4:$I$44,1)),INDEX(Courbe_de_tarage!$H$4:$H$44,1))))</f>
        <v/>
      </c>
      <c r="I41" s="5">
        <f>IF(G41="","",IF(G41&gt;Parametres!$C$11,"OUI",""))</f>
        <v/>
      </c>
      <c r="J41" s="12">
        <f>IF(A41="","",K40+B40+B41)</f>
        <v/>
      </c>
      <c r="K41" s="12">
        <f>IF(A41="","",2*H41/(Hydrogramme_entree!$B$8*60)-E41)</f>
        <v/>
      </c>
    </row>
    <row r="42">
      <c r="A42" s="5">
        <f>Hydrogramme_entree!A54</f>
        <v/>
      </c>
      <c r="B42" s="12">
        <f>Hydrogramme_entree!B54</f>
        <v/>
      </c>
      <c r="C42" s="12">
        <f>IF(A42="","",IFERROR(FORECAST(K41+B41+B42,INDEX(Courbe_de_tarage!$C$4:$C$44,MATCH(K41+B41+B42,Courbe_de_tarage!$I$4:$I$44,1)):INDEX(Courbe_de_tarage!$C$4:$C$44,MATCH(K41+B41+B42,Courbe_de_tarage!$I$4:$I$44,1)+1),INDEX(Courbe_de_tarage!$I$4:$I$44,MATCH(K41+B41+B42,Courbe_de_tarage!$I$4:$I$44,1)):INDEX(Courbe_de_tarage!$I$4:$I$44,MATCH(K41+B41+B42,Courbe_de_tarage!$I$4:$I$44,1)+1)),IFERROR(INDEX(Courbe_de_tarage!$C$4:$C$44,MATCH(K41+B41+B42,Courbe_de_tarage!$I$4:$I$44,1)),INDEX(Courbe_de_tarage!$C$4:$C$44,1))))</f>
        <v/>
      </c>
      <c r="D42" s="12">
        <f>IF(A42="","",IFERROR(FORECAST(K41+B41+B42,INDEX(Courbe_de_tarage!$D$4:$D$44,MATCH(K41+B41+B42,Courbe_de_tarage!$I$4:$I$44,1)):INDEX(Courbe_de_tarage!$D$4:$D$44,MATCH(K41+B41+B42,Courbe_de_tarage!$I$4:$I$44,1)+1),INDEX(Courbe_de_tarage!$I$4:$I$44,MATCH(K41+B41+B42,Courbe_de_tarage!$I$4:$I$44,1)):INDEX(Courbe_de_tarage!$I$4:$I$44,MATCH(K41+B41+B42,Courbe_de_tarage!$I$4:$I$44,1)+1)),IFERROR(INDEX(Courbe_de_tarage!$D$4:$D$44,MATCH(K41+B41+B42,Courbe_de_tarage!$I$4:$I$44,1)),INDEX(Courbe_de_tarage!$D$4:$D$44,1))))</f>
        <v/>
      </c>
      <c r="E42" s="12">
        <f>IF(A42="","",IFERROR(FORECAST(K41+B41+B42,INDEX(Courbe_de_tarage!$E$4:$E$44,MATCH(K41+B41+B42,Courbe_de_tarage!$I$4:$I$44,1)):INDEX(Courbe_de_tarage!$E$4:$E$44,MATCH(K41+B41+B42,Courbe_de_tarage!$I$4:$I$44,1)+1),INDEX(Courbe_de_tarage!$I$4:$I$44,MATCH(K41+B41+B42,Courbe_de_tarage!$I$4:$I$44,1)):INDEX(Courbe_de_tarage!$I$4:$I$44,MATCH(K41+B41+B42,Courbe_de_tarage!$I$4:$I$44,1)+1)),IFERROR(INDEX(Courbe_de_tarage!$E$4:$E$44,MATCH(K41+B41+B42,Courbe_de_tarage!$I$4:$I$44,1)),INDEX(Courbe_de_tarage!$E$4:$E$44,1))))</f>
        <v/>
      </c>
      <c r="F42" s="12">
        <f>IF(A42="","",IFERROR(FORECAST(K41+B41+B42,INDEX(Courbe_de_tarage!$A$4:$A$44,MATCH(K41+B41+B42,Courbe_de_tarage!$I$4:$I$44,1)):INDEX(Courbe_de_tarage!$A$4:$A$44,MATCH(K41+B41+B42,Courbe_de_tarage!$I$4:$I$44,1)+1),INDEX(Courbe_de_tarage!$I$4:$I$44,MATCH(K41+B41+B42,Courbe_de_tarage!$I$4:$I$44,1)):INDEX(Courbe_de_tarage!$I$4:$I$44,MATCH(K41+B41+B42,Courbe_de_tarage!$I$4:$I$44,1)+1)),IFERROR(INDEX(Courbe_de_tarage!$A$4:$A$44,MATCH(K41+B41+B42,Courbe_de_tarage!$I$4:$I$44,1)),INDEX(Courbe_de_tarage!$A$4:$A$44,1))))</f>
        <v/>
      </c>
      <c r="G42" s="12">
        <f>IF(A42="","",Parametres!$C$9+F42)</f>
        <v/>
      </c>
      <c r="H42" s="12">
        <f>IF(A42="","",IFERROR(FORECAST(K41+B41+B42,INDEX(Courbe_de_tarage!$H$4:$H$44,MATCH(K41+B41+B42,Courbe_de_tarage!$I$4:$I$44,1)):INDEX(Courbe_de_tarage!$H$4:$H$44,MATCH(K41+B41+B42,Courbe_de_tarage!$I$4:$I$44,1)+1),INDEX(Courbe_de_tarage!$I$4:$I$44,MATCH(K41+B41+B42,Courbe_de_tarage!$I$4:$I$44,1)):INDEX(Courbe_de_tarage!$I$4:$I$44,MATCH(K41+B41+B42,Courbe_de_tarage!$I$4:$I$44,1)+1)),IFERROR(INDEX(Courbe_de_tarage!$H$4:$H$44,MATCH(K41+B41+B42,Courbe_de_tarage!$I$4:$I$44,1)),INDEX(Courbe_de_tarage!$H$4:$H$44,1))))</f>
        <v/>
      </c>
      <c r="I42" s="5">
        <f>IF(G42="","",IF(G42&gt;Parametres!$C$11,"OUI",""))</f>
        <v/>
      </c>
      <c r="J42" s="12">
        <f>IF(A42="","",K41+B41+B42)</f>
        <v/>
      </c>
      <c r="K42" s="12">
        <f>IF(A42="","",2*H42/(Hydrogramme_entree!$B$8*60)-E42)</f>
        <v/>
      </c>
    </row>
    <row r="43">
      <c r="A43" s="5">
        <f>Hydrogramme_entree!A55</f>
        <v/>
      </c>
      <c r="B43" s="12">
        <f>Hydrogramme_entree!B55</f>
        <v/>
      </c>
      <c r="C43" s="12">
        <f>IF(A43="","",IFERROR(FORECAST(K42+B42+B43,INDEX(Courbe_de_tarage!$C$4:$C$44,MATCH(K42+B42+B43,Courbe_de_tarage!$I$4:$I$44,1)):INDEX(Courbe_de_tarage!$C$4:$C$44,MATCH(K42+B42+B43,Courbe_de_tarage!$I$4:$I$44,1)+1),INDEX(Courbe_de_tarage!$I$4:$I$44,MATCH(K42+B42+B43,Courbe_de_tarage!$I$4:$I$44,1)):INDEX(Courbe_de_tarage!$I$4:$I$44,MATCH(K42+B42+B43,Courbe_de_tarage!$I$4:$I$44,1)+1)),IFERROR(INDEX(Courbe_de_tarage!$C$4:$C$44,MATCH(K42+B42+B43,Courbe_de_tarage!$I$4:$I$44,1)),INDEX(Courbe_de_tarage!$C$4:$C$44,1))))</f>
        <v/>
      </c>
      <c r="D43" s="12">
        <f>IF(A43="","",IFERROR(FORECAST(K42+B42+B43,INDEX(Courbe_de_tarage!$D$4:$D$44,MATCH(K42+B42+B43,Courbe_de_tarage!$I$4:$I$44,1)):INDEX(Courbe_de_tarage!$D$4:$D$44,MATCH(K42+B42+B43,Courbe_de_tarage!$I$4:$I$44,1)+1),INDEX(Courbe_de_tarage!$I$4:$I$44,MATCH(K42+B42+B43,Courbe_de_tarage!$I$4:$I$44,1)):INDEX(Courbe_de_tarage!$I$4:$I$44,MATCH(K42+B42+B43,Courbe_de_tarage!$I$4:$I$44,1)+1)),IFERROR(INDEX(Courbe_de_tarage!$D$4:$D$44,MATCH(K42+B42+B43,Courbe_de_tarage!$I$4:$I$44,1)),INDEX(Courbe_de_tarage!$D$4:$D$44,1))))</f>
        <v/>
      </c>
      <c r="E43" s="12">
        <f>IF(A43="","",IFERROR(FORECAST(K42+B42+B43,INDEX(Courbe_de_tarage!$E$4:$E$44,MATCH(K42+B42+B43,Courbe_de_tarage!$I$4:$I$44,1)):INDEX(Courbe_de_tarage!$E$4:$E$44,MATCH(K42+B42+B43,Courbe_de_tarage!$I$4:$I$44,1)+1),INDEX(Courbe_de_tarage!$I$4:$I$44,MATCH(K42+B42+B43,Courbe_de_tarage!$I$4:$I$44,1)):INDEX(Courbe_de_tarage!$I$4:$I$44,MATCH(K42+B42+B43,Courbe_de_tarage!$I$4:$I$44,1)+1)),IFERROR(INDEX(Courbe_de_tarage!$E$4:$E$44,MATCH(K42+B42+B43,Courbe_de_tarage!$I$4:$I$44,1)),INDEX(Courbe_de_tarage!$E$4:$E$44,1))))</f>
        <v/>
      </c>
      <c r="F43" s="12">
        <f>IF(A43="","",IFERROR(FORECAST(K42+B42+B43,INDEX(Courbe_de_tarage!$A$4:$A$44,MATCH(K42+B42+B43,Courbe_de_tarage!$I$4:$I$44,1)):INDEX(Courbe_de_tarage!$A$4:$A$44,MATCH(K42+B42+B43,Courbe_de_tarage!$I$4:$I$44,1)+1),INDEX(Courbe_de_tarage!$I$4:$I$44,MATCH(K42+B42+B43,Courbe_de_tarage!$I$4:$I$44,1)):INDEX(Courbe_de_tarage!$I$4:$I$44,MATCH(K42+B42+B43,Courbe_de_tarage!$I$4:$I$44,1)+1)),IFERROR(INDEX(Courbe_de_tarage!$A$4:$A$44,MATCH(K42+B42+B43,Courbe_de_tarage!$I$4:$I$44,1)),INDEX(Courbe_de_tarage!$A$4:$A$44,1))))</f>
        <v/>
      </c>
      <c r="G43" s="12">
        <f>IF(A43="","",Parametres!$C$9+F43)</f>
        <v/>
      </c>
      <c r="H43" s="12">
        <f>IF(A43="","",IFERROR(FORECAST(K42+B42+B43,INDEX(Courbe_de_tarage!$H$4:$H$44,MATCH(K42+B42+B43,Courbe_de_tarage!$I$4:$I$44,1)):INDEX(Courbe_de_tarage!$H$4:$H$44,MATCH(K42+B42+B43,Courbe_de_tarage!$I$4:$I$44,1)+1),INDEX(Courbe_de_tarage!$I$4:$I$44,MATCH(K42+B42+B43,Courbe_de_tarage!$I$4:$I$44,1)):INDEX(Courbe_de_tarage!$I$4:$I$44,MATCH(K42+B42+B43,Courbe_de_tarage!$I$4:$I$44,1)+1)),IFERROR(INDEX(Courbe_de_tarage!$H$4:$H$44,MATCH(K42+B42+B43,Courbe_de_tarage!$I$4:$I$44,1)),INDEX(Courbe_de_tarage!$H$4:$H$44,1))))</f>
        <v/>
      </c>
      <c r="I43" s="5">
        <f>IF(G43="","",IF(G43&gt;Parametres!$C$11,"OUI",""))</f>
        <v/>
      </c>
      <c r="J43" s="12">
        <f>IF(A43="","",K42+B42+B43)</f>
        <v/>
      </c>
      <c r="K43" s="12">
        <f>IF(A43="","",2*H43/(Hydrogramme_entree!$B$8*60)-E43)</f>
        <v/>
      </c>
    </row>
    <row r="44">
      <c r="A44" s="5">
        <f>Hydrogramme_entree!A56</f>
        <v/>
      </c>
      <c r="B44" s="12">
        <f>Hydrogramme_entree!B56</f>
        <v/>
      </c>
      <c r="C44" s="12">
        <f>IF(A44="","",IFERROR(FORECAST(K43+B43+B44,INDEX(Courbe_de_tarage!$C$4:$C$44,MATCH(K43+B43+B44,Courbe_de_tarage!$I$4:$I$44,1)):INDEX(Courbe_de_tarage!$C$4:$C$44,MATCH(K43+B43+B44,Courbe_de_tarage!$I$4:$I$44,1)+1),INDEX(Courbe_de_tarage!$I$4:$I$44,MATCH(K43+B43+B44,Courbe_de_tarage!$I$4:$I$44,1)):INDEX(Courbe_de_tarage!$I$4:$I$44,MATCH(K43+B43+B44,Courbe_de_tarage!$I$4:$I$44,1)+1)),IFERROR(INDEX(Courbe_de_tarage!$C$4:$C$44,MATCH(K43+B43+B44,Courbe_de_tarage!$I$4:$I$44,1)),INDEX(Courbe_de_tarage!$C$4:$C$44,1))))</f>
        <v/>
      </c>
      <c r="D44" s="12">
        <f>IF(A44="","",IFERROR(FORECAST(K43+B43+B44,INDEX(Courbe_de_tarage!$D$4:$D$44,MATCH(K43+B43+B44,Courbe_de_tarage!$I$4:$I$44,1)):INDEX(Courbe_de_tarage!$D$4:$D$44,MATCH(K43+B43+B44,Courbe_de_tarage!$I$4:$I$44,1)+1),INDEX(Courbe_de_tarage!$I$4:$I$44,MATCH(K43+B43+B44,Courbe_de_tarage!$I$4:$I$44,1)):INDEX(Courbe_de_tarage!$I$4:$I$44,MATCH(K43+B43+B44,Courbe_de_tarage!$I$4:$I$44,1)+1)),IFERROR(INDEX(Courbe_de_tarage!$D$4:$D$44,MATCH(K43+B43+B44,Courbe_de_tarage!$I$4:$I$44,1)),INDEX(Courbe_de_tarage!$D$4:$D$44,1))))</f>
        <v/>
      </c>
      <c r="E44" s="12">
        <f>IF(A44="","",IFERROR(FORECAST(K43+B43+B44,INDEX(Courbe_de_tarage!$E$4:$E$44,MATCH(K43+B43+B44,Courbe_de_tarage!$I$4:$I$44,1)):INDEX(Courbe_de_tarage!$E$4:$E$44,MATCH(K43+B43+B44,Courbe_de_tarage!$I$4:$I$44,1)+1),INDEX(Courbe_de_tarage!$I$4:$I$44,MATCH(K43+B43+B44,Courbe_de_tarage!$I$4:$I$44,1)):INDEX(Courbe_de_tarage!$I$4:$I$44,MATCH(K43+B43+B44,Courbe_de_tarage!$I$4:$I$44,1)+1)),IFERROR(INDEX(Courbe_de_tarage!$E$4:$E$44,MATCH(K43+B43+B44,Courbe_de_tarage!$I$4:$I$44,1)),INDEX(Courbe_de_tarage!$E$4:$E$44,1))))</f>
        <v/>
      </c>
      <c r="F44" s="12">
        <f>IF(A44="","",IFERROR(FORECAST(K43+B43+B44,INDEX(Courbe_de_tarage!$A$4:$A$44,MATCH(K43+B43+B44,Courbe_de_tarage!$I$4:$I$44,1)):INDEX(Courbe_de_tarage!$A$4:$A$44,MATCH(K43+B43+B44,Courbe_de_tarage!$I$4:$I$44,1)+1),INDEX(Courbe_de_tarage!$I$4:$I$44,MATCH(K43+B43+B44,Courbe_de_tarage!$I$4:$I$44,1)):INDEX(Courbe_de_tarage!$I$4:$I$44,MATCH(K43+B43+B44,Courbe_de_tarage!$I$4:$I$44,1)+1)),IFERROR(INDEX(Courbe_de_tarage!$A$4:$A$44,MATCH(K43+B43+B44,Courbe_de_tarage!$I$4:$I$44,1)),INDEX(Courbe_de_tarage!$A$4:$A$44,1))))</f>
        <v/>
      </c>
      <c r="G44" s="12">
        <f>IF(A44="","",Parametres!$C$9+F44)</f>
        <v/>
      </c>
      <c r="H44" s="12">
        <f>IF(A44="","",IFERROR(FORECAST(K43+B43+B44,INDEX(Courbe_de_tarage!$H$4:$H$44,MATCH(K43+B43+B44,Courbe_de_tarage!$I$4:$I$44,1)):INDEX(Courbe_de_tarage!$H$4:$H$44,MATCH(K43+B43+B44,Courbe_de_tarage!$I$4:$I$44,1)+1),INDEX(Courbe_de_tarage!$I$4:$I$44,MATCH(K43+B43+B44,Courbe_de_tarage!$I$4:$I$44,1)):INDEX(Courbe_de_tarage!$I$4:$I$44,MATCH(K43+B43+B44,Courbe_de_tarage!$I$4:$I$44,1)+1)),IFERROR(INDEX(Courbe_de_tarage!$H$4:$H$44,MATCH(K43+B43+B44,Courbe_de_tarage!$I$4:$I$44,1)),INDEX(Courbe_de_tarage!$H$4:$H$44,1))))</f>
        <v/>
      </c>
      <c r="I44" s="5">
        <f>IF(G44="","",IF(G44&gt;Parametres!$C$11,"OUI",""))</f>
        <v/>
      </c>
      <c r="J44" s="12">
        <f>IF(A44="","",K43+B43+B44)</f>
        <v/>
      </c>
      <c r="K44" s="12">
        <f>IF(A44="","",2*H44/(Hydrogramme_entree!$B$8*60)-E44)</f>
        <v/>
      </c>
    </row>
    <row r="45">
      <c r="A45" s="5">
        <f>Hydrogramme_entree!A57</f>
        <v/>
      </c>
      <c r="B45" s="12">
        <f>Hydrogramme_entree!B57</f>
        <v/>
      </c>
      <c r="C45" s="12">
        <f>IF(A45="","",IFERROR(FORECAST(K44+B44+B45,INDEX(Courbe_de_tarage!$C$4:$C$44,MATCH(K44+B44+B45,Courbe_de_tarage!$I$4:$I$44,1)):INDEX(Courbe_de_tarage!$C$4:$C$44,MATCH(K44+B44+B45,Courbe_de_tarage!$I$4:$I$44,1)+1),INDEX(Courbe_de_tarage!$I$4:$I$44,MATCH(K44+B44+B45,Courbe_de_tarage!$I$4:$I$44,1)):INDEX(Courbe_de_tarage!$I$4:$I$44,MATCH(K44+B44+B45,Courbe_de_tarage!$I$4:$I$44,1)+1)),IFERROR(INDEX(Courbe_de_tarage!$C$4:$C$44,MATCH(K44+B44+B45,Courbe_de_tarage!$I$4:$I$44,1)),INDEX(Courbe_de_tarage!$C$4:$C$44,1))))</f>
        <v/>
      </c>
      <c r="D45" s="12">
        <f>IF(A45="","",IFERROR(FORECAST(K44+B44+B45,INDEX(Courbe_de_tarage!$D$4:$D$44,MATCH(K44+B44+B45,Courbe_de_tarage!$I$4:$I$44,1)):INDEX(Courbe_de_tarage!$D$4:$D$44,MATCH(K44+B44+B45,Courbe_de_tarage!$I$4:$I$44,1)+1),INDEX(Courbe_de_tarage!$I$4:$I$44,MATCH(K44+B44+B45,Courbe_de_tarage!$I$4:$I$44,1)):INDEX(Courbe_de_tarage!$I$4:$I$44,MATCH(K44+B44+B45,Courbe_de_tarage!$I$4:$I$44,1)+1)),IFERROR(INDEX(Courbe_de_tarage!$D$4:$D$44,MATCH(K44+B44+B45,Courbe_de_tarage!$I$4:$I$44,1)),INDEX(Courbe_de_tarage!$D$4:$D$44,1))))</f>
        <v/>
      </c>
      <c r="E45" s="12">
        <f>IF(A45="","",IFERROR(FORECAST(K44+B44+B45,INDEX(Courbe_de_tarage!$E$4:$E$44,MATCH(K44+B44+B45,Courbe_de_tarage!$I$4:$I$44,1)):INDEX(Courbe_de_tarage!$E$4:$E$44,MATCH(K44+B44+B45,Courbe_de_tarage!$I$4:$I$44,1)+1),INDEX(Courbe_de_tarage!$I$4:$I$44,MATCH(K44+B44+B45,Courbe_de_tarage!$I$4:$I$44,1)):INDEX(Courbe_de_tarage!$I$4:$I$44,MATCH(K44+B44+B45,Courbe_de_tarage!$I$4:$I$44,1)+1)),IFERROR(INDEX(Courbe_de_tarage!$E$4:$E$44,MATCH(K44+B44+B45,Courbe_de_tarage!$I$4:$I$44,1)),INDEX(Courbe_de_tarage!$E$4:$E$44,1))))</f>
        <v/>
      </c>
      <c r="F45" s="12">
        <f>IF(A45="","",IFERROR(FORECAST(K44+B44+B45,INDEX(Courbe_de_tarage!$A$4:$A$44,MATCH(K44+B44+B45,Courbe_de_tarage!$I$4:$I$44,1)):INDEX(Courbe_de_tarage!$A$4:$A$44,MATCH(K44+B44+B45,Courbe_de_tarage!$I$4:$I$44,1)+1),INDEX(Courbe_de_tarage!$I$4:$I$44,MATCH(K44+B44+B45,Courbe_de_tarage!$I$4:$I$44,1)):INDEX(Courbe_de_tarage!$I$4:$I$44,MATCH(K44+B44+B45,Courbe_de_tarage!$I$4:$I$44,1)+1)),IFERROR(INDEX(Courbe_de_tarage!$A$4:$A$44,MATCH(K44+B44+B45,Courbe_de_tarage!$I$4:$I$44,1)),INDEX(Courbe_de_tarage!$A$4:$A$44,1))))</f>
        <v/>
      </c>
      <c r="G45" s="12">
        <f>IF(A45="","",Parametres!$C$9+F45)</f>
        <v/>
      </c>
      <c r="H45" s="12">
        <f>IF(A45="","",IFERROR(FORECAST(K44+B44+B45,INDEX(Courbe_de_tarage!$H$4:$H$44,MATCH(K44+B44+B45,Courbe_de_tarage!$I$4:$I$44,1)):INDEX(Courbe_de_tarage!$H$4:$H$44,MATCH(K44+B44+B45,Courbe_de_tarage!$I$4:$I$44,1)+1),INDEX(Courbe_de_tarage!$I$4:$I$44,MATCH(K44+B44+B45,Courbe_de_tarage!$I$4:$I$44,1)):INDEX(Courbe_de_tarage!$I$4:$I$44,MATCH(K44+B44+B45,Courbe_de_tarage!$I$4:$I$44,1)+1)),IFERROR(INDEX(Courbe_de_tarage!$H$4:$H$44,MATCH(K44+B44+B45,Courbe_de_tarage!$I$4:$I$44,1)),INDEX(Courbe_de_tarage!$H$4:$H$44,1))))</f>
        <v/>
      </c>
      <c r="I45" s="5">
        <f>IF(G45="","",IF(G45&gt;Parametres!$C$11,"OUI",""))</f>
        <v/>
      </c>
      <c r="J45" s="12">
        <f>IF(A45="","",K44+B44+B45)</f>
        <v/>
      </c>
      <c r="K45" s="12">
        <f>IF(A45="","",2*H45/(Hydrogramme_entree!$B$8*60)-E45)</f>
        <v/>
      </c>
    </row>
    <row r="46">
      <c r="A46" s="5">
        <f>Hydrogramme_entree!A58</f>
        <v/>
      </c>
      <c r="B46" s="12">
        <f>Hydrogramme_entree!B58</f>
        <v/>
      </c>
      <c r="C46" s="12">
        <f>IF(A46="","",IFERROR(FORECAST(K45+B45+B46,INDEX(Courbe_de_tarage!$C$4:$C$44,MATCH(K45+B45+B46,Courbe_de_tarage!$I$4:$I$44,1)):INDEX(Courbe_de_tarage!$C$4:$C$44,MATCH(K45+B45+B46,Courbe_de_tarage!$I$4:$I$44,1)+1),INDEX(Courbe_de_tarage!$I$4:$I$44,MATCH(K45+B45+B46,Courbe_de_tarage!$I$4:$I$44,1)):INDEX(Courbe_de_tarage!$I$4:$I$44,MATCH(K45+B45+B46,Courbe_de_tarage!$I$4:$I$44,1)+1)),IFERROR(INDEX(Courbe_de_tarage!$C$4:$C$44,MATCH(K45+B45+B46,Courbe_de_tarage!$I$4:$I$44,1)),INDEX(Courbe_de_tarage!$C$4:$C$44,1))))</f>
        <v/>
      </c>
      <c r="D46" s="12">
        <f>IF(A46="","",IFERROR(FORECAST(K45+B45+B46,INDEX(Courbe_de_tarage!$D$4:$D$44,MATCH(K45+B45+B46,Courbe_de_tarage!$I$4:$I$44,1)):INDEX(Courbe_de_tarage!$D$4:$D$44,MATCH(K45+B45+B46,Courbe_de_tarage!$I$4:$I$44,1)+1),INDEX(Courbe_de_tarage!$I$4:$I$44,MATCH(K45+B45+B46,Courbe_de_tarage!$I$4:$I$44,1)):INDEX(Courbe_de_tarage!$I$4:$I$44,MATCH(K45+B45+B46,Courbe_de_tarage!$I$4:$I$44,1)+1)),IFERROR(INDEX(Courbe_de_tarage!$D$4:$D$44,MATCH(K45+B45+B46,Courbe_de_tarage!$I$4:$I$44,1)),INDEX(Courbe_de_tarage!$D$4:$D$44,1))))</f>
        <v/>
      </c>
      <c r="E46" s="12">
        <f>IF(A46="","",IFERROR(FORECAST(K45+B45+B46,INDEX(Courbe_de_tarage!$E$4:$E$44,MATCH(K45+B45+B46,Courbe_de_tarage!$I$4:$I$44,1)):INDEX(Courbe_de_tarage!$E$4:$E$44,MATCH(K45+B45+B46,Courbe_de_tarage!$I$4:$I$44,1)+1),INDEX(Courbe_de_tarage!$I$4:$I$44,MATCH(K45+B45+B46,Courbe_de_tarage!$I$4:$I$44,1)):INDEX(Courbe_de_tarage!$I$4:$I$44,MATCH(K45+B45+B46,Courbe_de_tarage!$I$4:$I$44,1)+1)),IFERROR(INDEX(Courbe_de_tarage!$E$4:$E$44,MATCH(K45+B45+B46,Courbe_de_tarage!$I$4:$I$44,1)),INDEX(Courbe_de_tarage!$E$4:$E$44,1))))</f>
        <v/>
      </c>
      <c r="F46" s="12">
        <f>IF(A46="","",IFERROR(FORECAST(K45+B45+B46,INDEX(Courbe_de_tarage!$A$4:$A$44,MATCH(K45+B45+B46,Courbe_de_tarage!$I$4:$I$44,1)):INDEX(Courbe_de_tarage!$A$4:$A$44,MATCH(K45+B45+B46,Courbe_de_tarage!$I$4:$I$44,1)+1),INDEX(Courbe_de_tarage!$I$4:$I$44,MATCH(K45+B45+B46,Courbe_de_tarage!$I$4:$I$44,1)):INDEX(Courbe_de_tarage!$I$4:$I$44,MATCH(K45+B45+B46,Courbe_de_tarage!$I$4:$I$44,1)+1)),IFERROR(INDEX(Courbe_de_tarage!$A$4:$A$44,MATCH(K45+B45+B46,Courbe_de_tarage!$I$4:$I$44,1)),INDEX(Courbe_de_tarage!$A$4:$A$44,1))))</f>
        <v/>
      </c>
      <c r="G46" s="12">
        <f>IF(A46="","",Parametres!$C$9+F46)</f>
        <v/>
      </c>
      <c r="H46" s="12">
        <f>IF(A46="","",IFERROR(FORECAST(K45+B45+B46,INDEX(Courbe_de_tarage!$H$4:$H$44,MATCH(K45+B45+B46,Courbe_de_tarage!$I$4:$I$44,1)):INDEX(Courbe_de_tarage!$H$4:$H$44,MATCH(K45+B45+B46,Courbe_de_tarage!$I$4:$I$44,1)+1),INDEX(Courbe_de_tarage!$I$4:$I$44,MATCH(K45+B45+B46,Courbe_de_tarage!$I$4:$I$44,1)):INDEX(Courbe_de_tarage!$I$4:$I$44,MATCH(K45+B45+B46,Courbe_de_tarage!$I$4:$I$44,1)+1)),IFERROR(INDEX(Courbe_de_tarage!$H$4:$H$44,MATCH(K45+B45+B46,Courbe_de_tarage!$I$4:$I$44,1)),INDEX(Courbe_de_tarage!$H$4:$H$44,1))))</f>
        <v/>
      </c>
      <c r="I46" s="5">
        <f>IF(G46="","",IF(G46&gt;Parametres!$C$11,"OUI",""))</f>
        <v/>
      </c>
      <c r="J46" s="12">
        <f>IF(A46="","",K45+B45+B46)</f>
        <v/>
      </c>
      <c r="K46" s="12">
        <f>IF(A46="","",2*H46/(Hydrogramme_entree!$B$8*60)-E46)</f>
        <v/>
      </c>
    </row>
    <row r="47">
      <c r="A47" s="5">
        <f>Hydrogramme_entree!A59</f>
        <v/>
      </c>
      <c r="B47" s="12">
        <f>Hydrogramme_entree!B59</f>
        <v/>
      </c>
      <c r="C47" s="12">
        <f>IF(A47="","",IFERROR(FORECAST(K46+B46+B47,INDEX(Courbe_de_tarage!$C$4:$C$44,MATCH(K46+B46+B47,Courbe_de_tarage!$I$4:$I$44,1)):INDEX(Courbe_de_tarage!$C$4:$C$44,MATCH(K46+B46+B47,Courbe_de_tarage!$I$4:$I$44,1)+1),INDEX(Courbe_de_tarage!$I$4:$I$44,MATCH(K46+B46+B47,Courbe_de_tarage!$I$4:$I$44,1)):INDEX(Courbe_de_tarage!$I$4:$I$44,MATCH(K46+B46+B47,Courbe_de_tarage!$I$4:$I$44,1)+1)),IFERROR(INDEX(Courbe_de_tarage!$C$4:$C$44,MATCH(K46+B46+B47,Courbe_de_tarage!$I$4:$I$44,1)),INDEX(Courbe_de_tarage!$C$4:$C$44,1))))</f>
        <v/>
      </c>
      <c r="D47" s="12">
        <f>IF(A47="","",IFERROR(FORECAST(K46+B46+B47,INDEX(Courbe_de_tarage!$D$4:$D$44,MATCH(K46+B46+B47,Courbe_de_tarage!$I$4:$I$44,1)):INDEX(Courbe_de_tarage!$D$4:$D$44,MATCH(K46+B46+B47,Courbe_de_tarage!$I$4:$I$44,1)+1),INDEX(Courbe_de_tarage!$I$4:$I$44,MATCH(K46+B46+B47,Courbe_de_tarage!$I$4:$I$44,1)):INDEX(Courbe_de_tarage!$I$4:$I$44,MATCH(K46+B46+B47,Courbe_de_tarage!$I$4:$I$44,1)+1)),IFERROR(INDEX(Courbe_de_tarage!$D$4:$D$44,MATCH(K46+B46+B47,Courbe_de_tarage!$I$4:$I$44,1)),INDEX(Courbe_de_tarage!$D$4:$D$44,1))))</f>
        <v/>
      </c>
      <c r="E47" s="12">
        <f>IF(A47="","",IFERROR(FORECAST(K46+B46+B47,INDEX(Courbe_de_tarage!$E$4:$E$44,MATCH(K46+B46+B47,Courbe_de_tarage!$I$4:$I$44,1)):INDEX(Courbe_de_tarage!$E$4:$E$44,MATCH(K46+B46+B47,Courbe_de_tarage!$I$4:$I$44,1)+1),INDEX(Courbe_de_tarage!$I$4:$I$44,MATCH(K46+B46+B47,Courbe_de_tarage!$I$4:$I$44,1)):INDEX(Courbe_de_tarage!$I$4:$I$44,MATCH(K46+B46+B47,Courbe_de_tarage!$I$4:$I$44,1)+1)),IFERROR(INDEX(Courbe_de_tarage!$E$4:$E$44,MATCH(K46+B46+B47,Courbe_de_tarage!$I$4:$I$44,1)),INDEX(Courbe_de_tarage!$E$4:$E$44,1))))</f>
        <v/>
      </c>
      <c r="F47" s="12">
        <f>IF(A47="","",IFERROR(FORECAST(K46+B46+B47,INDEX(Courbe_de_tarage!$A$4:$A$44,MATCH(K46+B46+B47,Courbe_de_tarage!$I$4:$I$44,1)):INDEX(Courbe_de_tarage!$A$4:$A$44,MATCH(K46+B46+B47,Courbe_de_tarage!$I$4:$I$44,1)+1),INDEX(Courbe_de_tarage!$I$4:$I$44,MATCH(K46+B46+B47,Courbe_de_tarage!$I$4:$I$44,1)):INDEX(Courbe_de_tarage!$I$4:$I$44,MATCH(K46+B46+B47,Courbe_de_tarage!$I$4:$I$44,1)+1)),IFERROR(INDEX(Courbe_de_tarage!$A$4:$A$44,MATCH(K46+B46+B47,Courbe_de_tarage!$I$4:$I$44,1)),INDEX(Courbe_de_tarage!$A$4:$A$44,1))))</f>
        <v/>
      </c>
      <c r="G47" s="12">
        <f>IF(A47="","",Parametres!$C$9+F47)</f>
        <v/>
      </c>
      <c r="H47" s="12">
        <f>IF(A47="","",IFERROR(FORECAST(K46+B46+B47,INDEX(Courbe_de_tarage!$H$4:$H$44,MATCH(K46+B46+B47,Courbe_de_tarage!$I$4:$I$44,1)):INDEX(Courbe_de_tarage!$H$4:$H$44,MATCH(K46+B46+B47,Courbe_de_tarage!$I$4:$I$44,1)+1),INDEX(Courbe_de_tarage!$I$4:$I$44,MATCH(K46+B46+B47,Courbe_de_tarage!$I$4:$I$44,1)):INDEX(Courbe_de_tarage!$I$4:$I$44,MATCH(K46+B46+B47,Courbe_de_tarage!$I$4:$I$44,1)+1)),IFERROR(INDEX(Courbe_de_tarage!$H$4:$H$44,MATCH(K46+B46+B47,Courbe_de_tarage!$I$4:$I$44,1)),INDEX(Courbe_de_tarage!$H$4:$H$44,1))))</f>
        <v/>
      </c>
      <c r="I47" s="5">
        <f>IF(G47="","",IF(G47&gt;Parametres!$C$11,"OUI",""))</f>
        <v/>
      </c>
      <c r="J47" s="12">
        <f>IF(A47="","",K46+B46+B47)</f>
        <v/>
      </c>
      <c r="K47" s="12">
        <f>IF(A47="","",2*H47/(Hydrogramme_entree!$B$8*60)-E47)</f>
        <v/>
      </c>
    </row>
    <row r="48">
      <c r="A48" s="5">
        <f>Hydrogramme_entree!A60</f>
        <v/>
      </c>
      <c r="B48" s="12">
        <f>Hydrogramme_entree!B60</f>
        <v/>
      </c>
      <c r="C48" s="12">
        <f>IF(A48="","",IFERROR(FORECAST(K47+B47+B48,INDEX(Courbe_de_tarage!$C$4:$C$44,MATCH(K47+B47+B48,Courbe_de_tarage!$I$4:$I$44,1)):INDEX(Courbe_de_tarage!$C$4:$C$44,MATCH(K47+B47+B48,Courbe_de_tarage!$I$4:$I$44,1)+1),INDEX(Courbe_de_tarage!$I$4:$I$44,MATCH(K47+B47+B48,Courbe_de_tarage!$I$4:$I$44,1)):INDEX(Courbe_de_tarage!$I$4:$I$44,MATCH(K47+B47+B48,Courbe_de_tarage!$I$4:$I$44,1)+1)),IFERROR(INDEX(Courbe_de_tarage!$C$4:$C$44,MATCH(K47+B47+B48,Courbe_de_tarage!$I$4:$I$44,1)),INDEX(Courbe_de_tarage!$C$4:$C$44,1))))</f>
        <v/>
      </c>
      <c r="D48" s="12">
        <f>IF(A48="","",IFERROR(FORECAST(K47+B47+B48,INDEX(Courbe_de_tarage!$D$4:$D$44,MATCH(K47+B47+B48,Courbe_de_tarage!$I$4:$I$44,1)):INDEX(Courbe_de_tarage!$D$4:$D$44,MATCH(K47+B47+B48,Courbe_de_tarage!$I$4:$I$44,1)+1),INDEX(Courbe_de_tarage!$I$4:$I$44,MATCH(K47+B47+B48,Courbe_de_tarage!$I$4:$I$44,1)):INDEX(Courbe_de_tarage!$I$4:$I$44,MATCH(K47+B47+B48,Courbe_de_tarage!$I$4:$I$44,1)+1)),IFERROR(INDEX(Courbe_de_tarage!$D$4:$D$44,MATCH(K47+B47+B48,Courbe_de_tarage!$I$4:$I$44,1)),INDEX(Courbe_de_tarage!$D$4:$D$44,1))))</f>
        <v/>
      </c>
      <c r="E48" s="12">
        <f>IF(A48="","",IFERROR(FORECAST(K47+B47+B48,INDEX(Courbe_de_tarage!$E$4:$E$44,MATCH(K47+B47+B48,Courbe_de_tarage!$I$4:$I$44,1)):INDEX(Courbe_de_tarage!$E$4:$E$44,MATCH(K47+B47+B48,Courbe_de_tarage!$I$4:$I$44,1)+1),INDEX(Courbe_de_tarage!$I$4:$I$44,MATCH(K47+B47+B48,Courbe_de_tarage!$I$4:$I$44,1)):INDEX(Courbe_de_tarage!$I$4:$I$44,MATCH(K47+B47+B48,Courbe_de_tarage!$I$4:$I$44,1)+1)),IFERROR(INDEX(Courbe_de_tarage!$E$4:$E$44,MATCH(K47+B47+B48,Courbe_de_tarage!$I$4:$I$44,1)),INDEX(Courbe_de_tarage!$E$4:$E$44,1))))</f>
        <v/>
      </c>
      <c r="F48" s="12">
        <f>IF(A48="","",IFERROR(FORECAST(K47+B47+B48,INDEX(Courbe_de_tarage!$A$4:$A$44,MATCH(K47+B47+B48,Courbe_de_tarage!$I$4:$I$44,1)):INDEX(Courbe_de_tarage!$A$4:$A$44,MATCH(K47+B47+B48,Courbe_de_tarage!$I$4:$I$44,1)+1),INDEX(Courbe_de_tarage!$I$4:$I$44,MATCH(K47+B47+B48,Courbe_de_tarage!$I$4:$I$44,1)):INDEX(Courbe_de_tarage!$I$4:$I$44,MATCH(K47+B47+B48,Courbe_de_tarage!$I$4:$I$44,1)+1)),IFERROR(INDEX(Courbe_de_tarage!$A$4:$A$44,MATCH(K47+B47+B48,Courbe_de_tarage!$I$4:$I$44,1)),INDEX(Courbe_de_tarage!$A$4:$A$44,1))))</f>
        <v/>
      </c>
      <c r="G48" s="12">
        <f>IF(A48="","",Parametres!$C$9+F48)</f>
        <v/>
      </c>
      <c r="H48" s="12">
        <f>IF(A48="","",IFERROR(FORECAST(K47+B47+B48,INDEX(Courbe_de_tarage!$H$4:$H$44,MATCH(K47+B47+B48,Courbe_de_tarage!$I$4:$I$44,1)):INDEX(Courbe_de_tarage!$H$4:$H$44,MATCH(K47+B47+B48,Courbe_de_tarage!$I$4:$I$44,1)+1),INDEX(Courbe_de_tarage!$I$4:$I$44,MATCH(K47+B47+B48,Courbe_de_tarage!$I$4:$I$44,1)):INDEX(Courbe_de_tarage!$I$4:$I$44,MATCH(K47+B47+B48,Courbe_de_tarage!$I$4:$I$44,1)+1)),IFERROR(INDEX(Courbe_de_tarage!$H$4:$H$44,MATCH(K47+B47+B48,Courbe_de_tarage!$I$4:$I$44,1)),INDEX(Courbe_de_tarage!$H$4:$H$44,1))))</f>
        <v/>
      </c>
      <c r="I48" s="5">
        <f>IF(G48="","",IF(G48&gt;Parametres!$C$11,"OUI",""))</f>
        <v/>
      </c>
      <c r="J48" s="12">
        <f>IF(A48="","",K47+B47+B48)</f>
        <v/>
      </c>
      <c r="K48" s="12">
        <f>IF(A48="","",2*H48/(Hydrogramme_entree!$B$8*60)-E48)</f>
        <v/>
      </c>
    </row>
    <row r="49">
      <c r="A49" s="5">
        <f>Hydrogramme_entree!A61</f>
        <v/>
      </c>
      <c r="B49" s="12">
        <f>Hydrogramme_entree!B61</f>
        <v/>
      </c>
      <c r="C49" s="12">
        <f>IF(A49="","",IFERROR(FORECAST(K48+B48+B49,INDEX(Courbe_de_tarage!$C$4:$C$44,MATCH(K48+B48+B49,Courbe_de_tarage!$I$4:$I$44,1)):INDEX(Courbe_de_tarage!$C$4:$C$44,MATCH(K48+B48+B49,Courbe_de_tarage!$I$4:$I$44,1)+1),INDEX(Courbe_de_tarage!$I$4:$I$44,MATCH(K48+B48+B49,Courbe_de_tarage!$I$4:$I$44,1)):INDEX(Courbe_de_tarage!$I$4:$I$44,MATCH(K48+B48+B49,Courbe_de_tarage!$I$4:$I$44,1)+1)),IFERROR(INDEX(Courbe_de_tarage!$C$4:$C$44,MATCH(K48+B48+B49,Courbe_de_tarage!$I$4:$I$44,1)),INDEX(Courbe_de_tarage!$C$4:$C$44,1))))</f>
        <v/>
      </c>
      <c r="D49" s="12">
        <f>IF(A49="","",IFERROR(FORECAST(K48+B48+B49,INDEX(Courbe_de_tarage!$D$4:$D$44,MATCH(K48+B48+B49,Courbe_de_tarage!$I$4:$I$44,1)):INDEX(Courbe_de_tarage!$D$4:$D$44,MATCH(K48+B48+B49,Courbe_de_tarage!$I$4:$I$44,1)+1),INDEX(Courbe_de_tarage!$I$4:$I$44,MATCH(K48+B48+B49,Courbe_de_tarage!$I$4:$I$44,1)):INDEX(Courbe_de_tarage!$I$4:$I$44,MATCH(K48+B48+B49,Courbe_de_tarage!$I$4:$I$44,1)+1)),IFERROR(INDEX(Courbe_de_tarage!$D$4:$D$44,MATCH(K48+B48+B49,Courbe_de_tarage!$I$4:$I$44,1)),INDEX(Courbe_de_tarage!$D$4:$D$44,1))))</f>
        <v/>
      </c>
      <c r="E49" s="12">
        <f>IF(A49="","",IFERROR(FORECAST(K48+B48+B49,INDEX(Courbe_de_tarage!$E$4:$E$44,MATCH(K48+B48+B49,Courbe_de_tarage!$I$4:$I$44,1)):INDEX(Courbe_de_tarage!$E$4:$E$44,MATCH(K48+B48+B49,Courbe_de_tarage!$I$4:$I$44,1)+1),INDEX(Courbe_de_tarage!$I$4:$I$44,MATCH(K48+B48+B49,Courbe_de_tarage!$I$4:$I$44,1)):INDEX(Courbe_de_tarage!$I$4:$I$44,MATCH(K48+B48+B49,Courbe_de_tarage!$I$4:$I$44,1)+1)),IFERROR(INDEX(Courbe_de_tarage!$E$4:$E$44,MATCH(K48+B48+B49,Courbe_de_tarage!$I$4:$I$44,1)),INDEX(Courbe_de_tarage!$E$4:$E$44,1))))</f>
        <v/>
      </c>
      <c r="F49" s="12">
        <f>IF(A49="","",IFERROR(FORECAST(K48+B48+B49,INDEX(Courbe_de_tarage!$A$4:$A$44,MATCH(K48+B48+B49,Courbe_de_tarage!$I$4:$I$44,1)):INDEX(Courbe_de_tarage!$A$4:$A$44,MATCH(K48+B48+B49,Courbe_de_tarage!$I$4:$I$44,1)+1),INDEX(Courbe_de_tarage!$I$4:$I$44,MATCH(K48+B48+B49,Courbe_de_tarage!$I$4:$I$44,1)):INDEX(Courbe_de_tarage!$I$4:$I$44,MATCH(K48+B48+B49,Courbe_de_tarage!$I$4:$I$44,1)+1)),IFERROR(INDEX(Courbe_de_tarage!$A$4:$A$44,MATCH(K48+B48+B49,Courbe_de_tarage!$I$4:$I$44,1)),INDEX(Courbe_de_tarage!$A$4:$A$44,1))))</f>
        <v/>
      </c>
      <c r="G49" s="12">
        <f>IF(A49="","",Parametres!$C$9+F49)</f>
        <v/>
      </c>
      <c r="H49" s="12">
        <f>IF(A49="","",IFERROR(FORECAST(K48+B48+B49,INDEX(Courbe_de_tarage!$H$4:$H$44,MATCH(K48+B48+B49,Courbe_de_tarage!$I$4:$I$44,1)):INDEX(Courbe_de_tarage!$H$4:$H$44,MATCH(K48+B48+B49,Courbe_de_tarage!$I$4:$I$44,1)+1),INDEX(Courbe_de_tarage!$I$4:$I$44,MATCH(K48+B48+B49,Courbe_de_tarage!$I$4:$I$44,1)):INDEX(Courbe_de_tarage!$I$4:$I$44,MATCH(K48+B48+B49,Courbe_de_tarage!$I$4:$I$44,1)+1)),IFERROR(INDEX(Courbe_de_tarage!$H$4:$H$44,MATCH(K48+B48+B49,Courbe_de_tarage!$I$4:$I$44,1)),INDEX(Courbe_de_tarage!$H$4:$H$44,1))))</f>
        <v/>
      </c>
      <c r="I49" s="5">
        <f>IF(G49="","",IF(G49&gt;Parametres!$C$11,"OUI",""))</f>
        <v/>
      </c>
      <c r="J49" s="12">
        <f>IF(A49="","",K48+B48+B49)</f>
        <v/>
      </c>
      <c r="K49" s="12">
        <f>IF(A49="","",2*H49/(Hydrogramme_entree!$B$8*60)-E49)</f>
        <v/>
      </c>
    </row>
    <row r="50">
      <c r="A50" s="5">
        <f>Hydrogramme_entree!A62</f>
        <v/>
      </c>
      <c r="B50" s="12">
        <f>Hydrogramme_entree!B62</f>
        <v/>
      </c>
      <c r="C50" s="12">
        <f>IF(A50="","",IFERROR(FORECAST(K49+B49+B50,INDEX(Courbe_de_tarage!$C$4:$C$44,MATCH(K49+B49+B50,Courbe_de_tarage!$I$4:$I$44,1)):INDEX(Courbe_de_tarage!$C$4:$C$44,MATCH(K49+B49+B50,Courbe_de_tarage!$I$4:$I$44,1)+1),INDEX(Courbe_de_tarage!$I$4:$I$44,MATCH(K49+B49+B50,Courbe_de_tarage!$I$4:$I$44,1)):INDEX(Courbe_de_tarage!$I$4:$I$44,MATCH(K49+B49+B50,Courbe_de_tarage!$I$4:$I$44,1)+1)),IFERROR(INDEX(Courbe_de_tarage!$C$4:$C$44,MATCH(K49+B49+B50,Courbe_de_tarage!$I$4:$I$44,1)),INDEX(Courbe_de_tarage!$C$4:$C$44,1))))</f>
        <v/>
      </c>
      <c r="D50" s="12">
        <f>IF(A50="","",IFERROR(FORECAST(K49+B49+B50,INDEX(Courbe_de_tarage!$D$4:$D$44,MATCH(K49+B49+B50,Courbe_de_tarage!$I$4:$I$44,1)):INDEX(Courbe_de_tarage!$D$4:$D$44,MATCH(K49+B49+B50,Courbe_de_tarage!$I$4:$I$44,1)+1),INDEX(Courbe_de_tarage!$I$4:$I$44,MATCH(K49+B49+B50,Courbe_de_tarage!$I$4:$I$44,1)):INDEX(Courbe_de_tarage!$I$4:$I$44,MATCH(K49+B49+B50,Courbe_de_tarage!$I$4:$I$44,1)+1)),IFERROR(INDEX(Courbe_de_tarage!$D$4:$D$44,MATCH(K49+B49+B50,Courbe_de_tarage!$I$4:$I$44,1)),INDEX(Courbe_de_tarage!$D$4:$D$44,1))))</f>
        <v/>
      </c>
      <c r="E50" s="12">
        <f>IF(A50="","",IFERROR(FORECAST(K49+B49+B50,INDEX(Courbe_de_tarage!$E$4:$E$44,MATCH(K49+B49+B50,Courbe_de_tarage!$I$4:$I$44,1)):INDEX(Courbe_de_tarage!$E$4:$E$44,MATCH(K49+B49+B50,Courbe_de_tarage!$I$4:$I$44,1)+1),INDEX(Courbe_de_tarage!$I$4:$I$44,MATCH(K49+B49+B50,Courbe_de_tarage!$I$4:$I$44,1)):INDEX(Courbe_de_tarage!$I$4:$I$44,MATCH(K49+B49+B50,Courbe_de_tarage!$I$4:$I$44,1)+1)),IFERROR(INDEX(Courbe_de_tarage!$E$4:$E$44,MATCH(K49+B49+B50,Courbe_de_tarage!$I$4:$I$44,1)),INDEX(Courbe_de_tarage!$E$4:$E$44,1))))</f>
        <v/>
      </c>
      <c r="F50" s="12">
        <f>IF(A50="","",IFERROR(FORECAST(K49+B49+B50,INDEX(Courbe_de_tarage!$A$4:$A$44,MATCH(K49+B49+B50,Courbe_de_tarage!$I$4:$I$44,1)):INDEX(Courbe_de_tarage!$A$4:$A$44,MATCH(K49+B49+B50,Courbe_de_tarage!$I$4:$I$44,1)+1),INDEX(Courbe_de_tarage!$I$4:$I$44,MATCH(K49+B49+B50,Courbe_de_tarage!$I$4:$I$44,1)):INDEX(Courbe_de_tarage!$I$4:$I$44,MATCH(K49+B49+B50,Courbe_de_tarage!$I$4:$I$44,1)+1)),IFERROR(INDEX(Courbe_de_tarage!$A$4:$A$44,MATCH(K49+B49+B50,Courbe_de_tarage!$I$4:$I$44,1)),INDEX(Courbe_de_tarage!$A$4:$A$44,1))))</f>
        <v/>
      </c>
      <c r="G50" s="12">
        <f>IF(A50="","",Parametres!$C$9+F50)</f>
        <v/>
      </c>
      <c r="H50" s="12">
        <f>IF(A50="","",IFERROR(FORECAST(K49+B49+B50,INDEX(Courbe_de_tarage!$H$4:$H$44,MATCH(K49+B49+B50,Courbe_de_tarage!$I$4:$I$44,1)):INDEX(Courbe_de_tarage!$H$4:$H$44,MATCH(K49+B49+B50,Courbe_de_tarage!$I$4:$I$44,1)+1),INDEX(Courbe_de_tarage!$I$4:$I$44,MATCH(K49+B49+B50,Courbe_de_tarage!$I$4:$I$44,1)):INDEX(Courbe_de_tarage!$I$4:$I$44,MATCH(K49+B49+B50,Courbe_de_tarage!$I$4:$I$44,1)+1)),IFERROR(INDEX(Courbe_de_tarage!$H$4:$H$44,MATCH(K49+B49+B50,Courbe_de_tarage!$I$4:$I$44,1)),INDEX(Courbe_de_tarage!$H$4:$H$44,1))))</f>
        <v/>
      </c>
      <c r="I50" s="5">
        <f>IF(G50="","",IF(G50&gt;Parametres!$C$11,"OUI",""))</f>
        <v/>
      </c>
      <c r="J50" s="12">
        <f>IF(A50="","",K49+B49+B50)</f>
        <v/>
      </c>
      <c r="K50" s="12">
        <f>IF(A50="","",2*H50/(Hydrogramme_entree!$B$8*60)-E50)</f>
        <v/>
      </c>
    </row>
    <row r="51">
      <c r="A51" s="5">
        <f>Hydrogramme_entree!A63</f>
        <v/>
      </c>
      <c r="B51" s="12">
        <f>Hydrogramme_entree!B63</f>
        <v/>
      </c>
      <c r="C51" s="12">
        <f>IF(A51="","",IFERROR(FORECAST(K50+B50+B51,INDEX(Courbe_de_tarage!$C$4:$C$44,MATCH(K50+B50+B51,Courbe_de_tarage!$I$4:$I$44,1)):INDEX(Courbe_de_tarage!$C$4:$C$44,MATCH(K50+B50+B51,Courbe_de_tarage!$I$4:$I$44,1)+1),INDEX(Courbe_de_tarage!$I$4:$I$44,MATCH(K50+B50+B51,Courbe_de_tarage!$I$4:$I$44,1)):INDEX(Courbe_de_tarage!$I$4:$I$44,MATCH(K50+B50+B51,Courbe_de_tarage!$I$4:$I$44,1)+1)),IFERROR(INDEX(Courbe_de_tarage!$C$4:$C$44,MATCH(K50+B50+B51,Courbe_de_tarage!$I$4:$I$44,1)),INDEX(Courbe_de_tarage!$C$4:$C$44,1))))</f>
        <v/>
      </c>
      <c r="D51" s="12">
        <f>IF(A51="","",IFERROR(FORECAST(K50+B50+B51,INDEX(Courbe_de_tarage!$D$4:$D$44,MATCH(K50+B50+B51,Courbe_de_tarage!$I$4:$I$44,1)):INDEX(Courbe_de_tarage!$D$4:$D$44,MATCH(K50+B50+B51,Courbe_de_tarage!$I$4:$I$44,1)+1),INDEX(Courbe_de_tarage!$I$4:$I$44,MATCH(K50+B50+B51,Courbe_de_tarage!$I$4:$I$44,1)):INDEX(Courbe_de_tarage!$I$4:$I$44,MATCH(K50+B50+B51,Courbe_de_tarage!$I$4:$I$44,1)+1)),IFERROR(INDEX(Courbe_de_tarage!$D$4:$D$44,MATCH(K50+B50+B51,Courbe_de_tarage!$I$4:$I$44,1)),INDEX(Courbe_de_tarage!$D$4:$D$44,1))))</f>
        <v/>
      </c>
      <c r="E51" s="12">
        <f>IF(A51="","",IFERROR(FORECAST(K50+B50+B51,INDEX(Courbe_de_tarage!$E$4:$E$44,MATCH(K50+B50+B51,Courbe_de_tarage!$I$4:$I$44,1)):INDEX(Courbe_de_tarage!$E$4:$E$44,MATCH(K50+B50+B51,Courbe_de_tarage!$I$4:$I$44,1)+1),INDEX(Courbe_de_tarage!$I$4:$I$44,MATCH(K50+B50+B51,Courbe_de_tarage!$I$4:$I$44,1)):INDEX(Courbe_de_tarage!$I$4:$I$44,MATCH(K50+B50+B51,Courbe_de_tarage!$I$4:$I$44,1)+1)),IFERROR(INDEX(Courbe_de_tarage!$E$4:$E$44,MATCH(K50+B50+B51,Courbe_de_tarage!$I$4:$I$44,1)),INDEX(Courbe_de_tarage!$E$4:$E$44,1))))</f>
        <v/>
      </c>
      <c r="F51" s="12">
        <f>IF(A51="","",IFERROR(FORECAST(K50+B50+B51,INDEX(Courbe_de_tarage!$A$4:$A$44,MATCH(K50+B50+B51,Courbe_de_tarage!$I$4:$I$44,1)):INDEX(Courbe_de_tarage!$A$4:$A$44,MATCH(K50+B50+B51,Courbe_de_tarage!$I$4:$I$44,1)+1),INDEX(Courbe_de_tarage!$I$4:$I$44,MATCH(K50+B50+B51,Courbe_de_tarage!$I$4:$I$44,1)):INDEX(Courbe_de_tarage!$I$4:$I$44,MATCH(K50+B50+B51,Courbe_de_tarage!$I$4:$I$44,1)+1)),IFERROR(INDEX(Courbe_de_tarage!$A$4:$A$44,MATCH(K50+B50+B51,Courbe_de_tarage!$I$4:$I$44,1)),INDEX(Courbe_de_tarage!$A$4:$A$44,1))))</f>
        <v/>
      </c>
      <c r="G51" s="12">
        <f>IF(A51="","",Parametres!$C$9+F51)</f>
        <v/>
      </c>
      <c r="H51" s="12">
        <f>IF(A51="","",IFERROR(FORECAST(K50+B50+B51,INDEX(Courbe_de_tarage!$H$4:$H$44,MATCH(K50+B50+B51,Courbe_de_tarage!$I$4:$I$44,1)):INDEX(Courbe_de_tarage!$H$4:$H$44,MATCH(K50+B50+B51,Courbe_de_tarage!$I$4:$I$44,1)+1),INDEX(Courbe_de_tarage!$I$4:$I$44,MATCH(K50+B50+B51,Courbe_de_tarage!$I$4:$I$44,1)):INDEX(Courbe_de_tarage!$I$4:$I$44,MATCH(K50+B50+B51,Courbe_de_tarage!$I$4:$I$44,1)+1)),IFERROR(INDEX(Courbe_de_tarage!$H$4:$H$44,MATCH(K50+B50+B51,Courbe_de_tarage!$I$4:$I$44,1)),INDEX(Courbe_de_tarage!$H$4:$H$44,1))))</f>
        <v/>
      </c>
      <c r="I51" s="5">
        <f>IF(G51="","",IF(G51&gt;Parametres!$C$11,"OUI",""))</f>
        <v/>
      </c>
      <c r="J51" s="12">
        <f>IF(A51="","",K50+B50+B51)</f>
        <v/>
      </c>
      <c r="K51" s="12">
        <f>IF(A51="","",2*H51/(Hydrogramme_entree!$B$8*60)-E51)</f>
        <v/>
      </c>
    </row>
    <row r="52">
      <c r="A52" s="5">
        <f>Hydrogramme_entree!A64</f>
        <v/>
      </c>
      <c r="B52" s="12">
        <f>Hydrogramme_entree!B64</f>
        <v/>
      </c>
      <c r="C52" s="12">
        <f>IF(A52="","",IFERROR(FORECAST(K51+B51+B52,INDEX(Courbe_de_tarage!$C$4:$C$44,MATCH(K51+B51+B52,Courbe_de_tarage!$I$4:$I$44,1)):INDEX(Courbe_de_tarage!$C$4:$C$44,MATCH(K51+B51+B52,Courbe_de_tarage!$I$4:$I$44,1)+1),INDEX(Courbe_de_tarage!$I$4:$I$44,MATCH(K51+B51+B52,Courbe_de_tarage!$I$4:$I$44,1)):INDEX(Courbe_de_tarage!$I$4:$I$44,MATCH(K51+B51+B52,Courbe_de_tarage!$I$4:$I$44,1)+1)),IFERROR(INDEX(Courbe_de_tarage!$C$4:$C$44,MATCH(K51+B51+B52,Courbe_de_tarage!$I$4:$I$44,1)),INDEX(Courbe_de_tarage!$C$4:$C$44,1))))</f>
        <v/>
      </c>
      <c r="D52" s="12">
        <f>IF(A52="","",IFERROR(FORECAST(K51+B51+B52,INDEX(Courbe_de_tarage!$D$4:$D$44,MATCH(K51+B51+B52,Courbe_de_tarage!$I$4:$I$44,1)):INDEX(Courbe_de_tarage!$D$4:$D$44,MATCH(K51+B51+B52,Courbe_de_tarage!$I$4:$I$44,1)+1),INDEX(Courbe_de_tarage!$I$4:$I$44,MATCH(K51+B51+B52,Courbe_de_tarage!$I$4:$I$44,1)):INDEX(Courbe_de_tarage!$I$4:$I$44,MATCH(K51+B51+B52,Courbe_de_tarage!$I$4:$I$44,1)+1)),IFERROR(INDEX(Courbe_de_tarage!$D$4:$D$44,MATCH(K51+B51+B52,Courbe_de_tarage!$I$4:$I$44,1)),INDEX(Courbe_de_tarage!$D$4:$D$44,1))))</f>
        <v/>
      </c>
      <c r="E52" s="12">
        <f>IF(A52="","",IFERROR(FORECAST(K51+B51+B52,INDEX(Courbe_de_tarage!$E$4:$E$44,MATCH(K51+B51+B52,Courbe_de_tarage!$I$4:$I$44,1)):INDEX(Courbe_de_tarage!$E$4:$E$44,MATCH(K51+B51+B52,Courbe_de_tarage!$I$4:$I$44,1)+1),INDEX(Courbe_de_tarage!$I$4:$I$44,MATCH(K51+B51+B52,Courbe_de_tarage!$I$4:$I$44,1)):INDEX(Courbe_de_tarage!$I$4:$I$44,MATCH(K51+B51+B52,Courbe_de_tarage!$I$4:$I$44,1)+1)),IFERROR(INDEX(Courbe_de_tarage!$E$4:$E$44,MATCH(K51+B51+B52,Courbe_de_tarage!$I$4:$I$44,1)),INDEX(Courbe_de_tarage!$E$4:$E$44,1))))</f>
        <v/>
      </c>
      <c r="F52" s="12">
        <f>IF(A52="","",IFERROR(FORECAST(K51+B51+B52,INDEX(Courbe_de_tarage!$A$4:$A$44,MATCH(K51+B51+B52,Courbe_de_tarage!$I$4:$I$44,1)):INDEX(Courbe_de_tarage!$A$4:$A$44,MATCH(K51+B51+B52,Courbe_de_tarage!$I$4:$I$44,1)+1),INDEX(Courbe_de_tarage!$I$4:$I$44,MATCH(K51+B51+B52,Courbe_de_tarage!$I$4:$I$44,1)):INDEX(Courbe_de_tarage!$I$4:$I$44,MATCH(K51+B51+B52,Courbe_de_tarage!$I$4:$I$44,1)+1)),IFERROR(INDEX(Courbe_de_tarage!$A$4:$A$44,MATCH(K51+B51+B52,Courbe_de_tarage!$I$4:$I$44,1)),INDEX(Courbe_de_tarage!$A$4:$A$44,1))))</f>
        <v/>
      </c>
      <c r="G52" s="12">
        <f>IF(A52="","",Parametres!$C$9+F52)</f>
        <v/>
      </c>
      <c r="H52" s="12">
        <f>IF(A52="","",IFERROR(FORECAST(K51+B51+B52,INDEX(Courbe_de_tarage!$H$4:$H$44,MATCH(K51+B51+B52,Courbe_de_tarage!$I$4:$I$44,1)):INDEX(Courbe_de_tarage!$H$4:$H$44,MATCH(K51+B51+B52,Courbe_de_tarage!$I$4:$I$44,1)+1),INDEX(Courbe_de_tarage!$I$4:$I$44,MATCH(K51+B51+B52,Courbe_de_tarage!$I$4:$I$44,1)):INDEX(Courbe_de_tarage!$I$4:$I$44,MATCH(K51+B51+B52,Courbe_de_tarage!$I$4:$I$44,1)+1)),IFERROR(INDEX(Courbe_de_tarage!$H$4:$H$44,MATCH(K51+B51+B52,Courbe_de_tarage!$I$4:$I$44,1)),INDEX(Courbe_de_tarage!$H$4:$H$44,1))))</f>
        <v/>
      </c>
      <c r="I52" s="5">
        <f>IF(G52="","",IF(G52&gt;Parametres!$C$11,"OUI",""))</f>
        <v/>
      </c>
      <c r="J52" s="12">
        <f>IF(A52="","",K51+B51+B52)</f>
        <v/>
      </c>
      <c r="K52" s="12">
        <f>IF(A52="","",2*H52/(Hydrogramme_entree!$B$8*60)-E52)</f>
        <v/>
      </c>
    </row>
    <row r="53">
      <c r="A53" s="5">
        <f>Hydrogramme_entree!A65</f>
        <v/>
      </c>
      <c r="B53" s="12">
        <f>Hydrogramme_entree!B65</f>
        <v/>
      </c>
      <c r="C53" s="12">
        <f>IF(A53="","",IFERROR(FORECAST(K52+B52+B53,INDEX(Courbe_de_tarage!$C$4:$C$44,MATCH(K52+B52+B53,Courbe_de_tarage!$I$4:$I$44,1)):INDEX(Courbe_de_tarage!$C$4:$C$44,MATCH(K52+B52+B53,Courbe_de_tarage!$I$4:$I$44,1)+1),INDEX(Courbe_de_tarage!$I$4:$I$44,MATCH(K52+B52+B53,Courbe_de_tarage!$I$4:$I$44,1)):INDEX(Courbe_de_tarage!$I$4:$I$44,MATCH(K52+B52+B53,Courbe_de_tarage!$I$4:$I$44,1)+1)),IFERROR(INDEX(Courbe_de_tarage!$C$4:$C$44,MATCH(K52+B52+B53,Courbe_de_tarage!$I$4:$I$44,1)),INDEX(Courbe_de_tarage!$C$4:$C$44,1))))</f>
        <v/>
      </c>
      <c r="D53" s="12">
        <f>IF(A53="","",IFERROR(FORECAST(K52+B52+B53,INDEX(Courbe_de_tarage!$D$4:$D$44,MATCH(K52+B52+B53,Courbe_de_tarage!$I$4:$I$44,1)):INDEX(Courbe_de_tarage!$D$4:$D$44,MATCH(K52+B52+B53,Courbe_de_tarage!$I$4:$I$44,1)+1),INDEX(Courbe_de_tarage!$I$4:$I$44,MATCH(K52+B52+B53,Courbe_de_tarage!$I$4:$I$44,1)):INDEX(Courbe_de_tarage!$I$4:$I$44,MATCH(K52+B52+B53,Courbe_de_tarage!$I$4:$I$44,1)+1)),IFERROR(INDEX(Courbe_de_tarage!$D$4:$D$44,MATCH(K52+B52+B53,Courbe_de_tarage!$I$4:$I$44,1)),INDEX(Courbe_de_tarage!$D$4:$D$44,1))))</f>
        <v/>
      </c>
      <c r="E53" s="12">
        <f>IF(A53="","",IFERROR(FORECAST(K52+B52+B53,INDEX(Courbe_de_tarage!$E$4:$E$44,MATCH(K52+B52+B53,Courbe_de_tarage!$I$4:$I$44,1)):INDEX(Courbe_de_tarage!$E$4:$E$44,MATCH(K52+B52+B53,Courbe_de_tarage!$I$4:$I$44,1)+1),INDEX(Courbe_de_tarage!$I$4:$I$44,MATCH(K52+B52+B53,Courbe_de_tarage!$I$4:$I$44,1)):INDEX(Courbe_de_tarage!$I$4:$I$44,MATCH(K52+B52+B53,Courbe_de_tarage!$I$4:$I$44,1)+1)),IFERROR(INDEX(Courbe_de_tarage!$E$4:$E$44,MATCH(K52+B52+B53,Courbe_de_tarage!$I$4:$I$44,1)),INDEX(Courbe_de_tarage!$E$4:$E$44,1))))</f>
        <v/>
      </c>
      <c r="F53" s="12">
        <f>IF(A53="","",IFERROR(FORECAST(K52+B52+B53,INDEX(Courbe_de_tarage!$A$4:$A$44,MATCH(K52+B52+B53,Courbe_de_tarage!$I$4:$I$44,1)):INDEX(Courbe_de_tarage!$A$4:$A$44,MATCH(K52+B52+B53,Courbe_de_tarage!$I$4:$I$44,1)+1),INDEX(Courbe_de_tarage!$I$4:$I$44,MATCH(K52+B52+B53,Courbe_de_tarage!$I$4:$I$44,1)):INDEX(Courbe_de_tarage!$I$4:$I$44,MATCH(K52+B52+B53,Courbe_de_tarage!$I$4:$I$44,1)+1)),IFERROR(INDEX(Courbe_de_tarage!$A$4:$A$44,MATCH(K52+B52+B53,Courbe_de_tarage!$I$4:$I$44,1)),INDEX(Courbe_de_tarage!$A$4:$A$44,1))))</f>
        <v/>
      </c>
      <c r="G53" s="12">
        <f>IF(A53="","",Parametres!$C$9+F53)</f>
        <v/>
      </c>
      <c r="H53" s="12">
        <f>IF(A53="","",IFERROR(FORECAST(K52+B52+B53,INDEX(Courbe_de_tarage!$H$4:$H$44,MATCH(K52+B52+B53,Courbe_de_tarage!$I$4:$I$44,1)):INDEX(Courbe_de_tarage!$H$4:$H$44,MATCH(K52+B52+B53,Courbe_de_tarage!$I$4:$I$44,1)+1),INDEX(Courbe_de_tarage!$I$4:$I$44,MATCH(K52+B52+B53,Courbe_de_tarage!$I$4:$I$44,1)):INDEX(Courbe_de_tarage!$I$4:$I$44,MATCH(K52+B52+B53,Courbe_de_tarage!$I$4:$I$44,1)+1)),IFERROR(INDEX(Courbe_de_tarage!$H$4:$H$44,MATCH(K52+B52+B53,Courbe_de_tarage!$I$4:$I$44,1)),INDEX(Courbe_de_tarage!$H$4:$H$44,1))))</f>
        <v/>
      </c>
      <c r="I53" s="5">
        <f>IF(G53="","",IF(G53&gt;Parametres!$C$11,"OUI",""))</f>
        <v/>
      </c>
      <c r="J53" s="12">
        <f>IF(A53="","",K52+B52+B53)</f>
        <v/>
      </c>
      <c r="K53" s="12">
        <f>IF(A53="","",2*H53/(Hydrogramme_entree!$B$8*60)-E53)</f>
        <v/>
      </c>
    </row>
    <row r="54">
      <c r="A54" s="5">
        <f>Hydrogramme_entree!A66</f>
        <v/>
      </c>
      <c r="B54" s="12">
        <f>Hydrogramme_entree!B66</f>
        <v/>
      </c>
      <c r="C54" s="12">
        <f>IF(A54="","",IFERROR(FORECAST(K53+B53+B54,INDEX(Courbe_de_tarage!$C$4:$C$44,MATCH(K53+B53+B54,Courbe_de_tarage!$I$4:$I$44,1)):INDEX(Courbe_de_tarage!$C$4:$C$44,MATCH(K53+B53+B54,Courbe_de_tarage!$I$4:$I$44,1)+1),INDEX(Courbe_de_tarage!$I$4:$I$44,MATCH(K53+B53+B54,Courbe_de_tarage!$I$4:$I$44,1)):INDEX(Courbe_de_tarage!$I$4:$I$44,MATCH(K53+B53+B54,Courbe_de_tarage!$I$4:$I$44,1)+1)),IFERROR(INDEX(Courbe_de_tarage!$C$4:$C$44,MATCH(K53+B53+B54,Courbe_de_tarage!$I$4:$I$44,1)),INDEX(Courbe_de_tarage!$C$4:$C$44,1))))</f>
        <v/>
      </c>
      <c r="D54" s="12">
        <f>IF(A54="","",IFERROR(FORECAST(K53+B53+B54,INDEX(Courbe_de_tarage!$D$4:$D$44,MATCH(K53+B53+B54,Courbe_de_tarage!$I$4:$I$44,1)):INDEX(Courbe_de_tarage!$D$4:$D$44,MATCH(K53+B53+B54,Courbe_de_tarage!$I$4:$I$44,1)+1),INDEX(Courbe_de_tarage!$I$4:$I$44,MATCH(K53+B53+B54,Courbe_de_tarage!$I$4:$I$44,1)):INDEX(Courbe_de_tarage!$I$4:$I$44,MATCH(K53+B53+B54,Courbe_de_tarage!$I$4:$I$44,1)+1)),IFERROR(INDEX(Courbe_de_tarage!$D$4:$D$44,MATCH(K53+B53+B54,Courbe_de_tarage!$I$4:$I$44,1)),INDEX(Courbe_de_tarage!$D$4:$D$44,1))))</f>
        <v/>
      </c>
      <c r="E54" s="12">
        <f>IF(A54="","",IFERROR(FORECAST(K53+B53+B54,INDEX(Courbe_de_tarage!$E$4:$E$44,MATCH(K53+B53+B54,Courbe_de_tarage!$I$4:$I$44,1)):INDEX(Courbe_de_tarage!$E$4:$E$44,MATCH(K53+B53+B54,Courbe_de_tarage!$I$4:$I$44,1)+1),INDEX(Courbe_de_tarage!$I$4:$I$44,MATCH(K53+B53+B54,Courbe_de_tarage!$I$4:$I$44,1)):INDEX(Courbe_de_tarage!$I$4:$I$44,MATCH(K53+B53+B54,Courbe_de_tarage!$I$4:$I$44,1)+1)),IFERROR(INDEX(Courbe_de_tarage!$E$4:$E$44,MATCH(K53+B53+B54,Courbe_de_tarage!$I$4:$I$44,1)),INDEX(Courbe_de_tarage!$E$4:$E$44,1))))</f>
        <v/>
      </c>
      <c r="F54" s="12">
        <f>IF(A54="","",IFERROR(FORECAST(K53+B53+B54,INDEX(Courbe_de_tarage!$A$4:$A$44,MATCH(K53+B53+B54,Courbe_de_tarage!$I$4:$I$44,1)):INDEX(Courbe_de_tarage!$A$4:$A$44,MATCH(K53+B53+B54,Courbe_de_tarage!$I$4:$I$44,1)+1),INDEX(Courbe_de_tarage!$I$4:$I$44,MATCH(K53+B53+B54,Courbe_de_tarage!$I$4:$I$44,1)):INDEX(Courbe_de_tarage!$I$4:$I$44,MATCH(K53+B53+B54,Courbe_de_tarage!$I$4:$I$44,1)+1)),IFERROR(INDEX(Courbe_de_tarage!$A$4:$A$44,MATCH(K53+B53+B54,Courbe_de_tarage!$I$4:$I$44,1)),INDEX(Courbe_de_tarage!$A$4:$A$44,1))))</f>
        <v/>
      </c>
      <c r="G54" s="12">
        <f>IF(A54="","",Parametres!$C$9+F54)</f>
        <v/>
      </c>
      <c r="H54" s="12">
        <f>IF(A54="","",IFERROR(FORECAST(K53+B53+B54,INDEX(Courbe_de_tarage!$H$4:$H$44,MATCH(K53+B53+B54,Courbe_de_tarage!$I$4:$I$44,1)):INDEX(Courbe_de_tarage!$H$4:$H$44,MATCH(K53+B53+B54,Courbe_de_tarage!$I$4:$I$44,1)+1),INDEX(Courbe_de_tarage!$I$4:$I$44,MATCH(K53+B53+B54,Courbe_de_tarage!$I$4:$I$44,1)):INDEX(Courbe_de_tarage!$I$4:$I$44,MATCH(K53+B53+B54,Courbe_de_tarage!$I$4:$I$44,1)+1)),IFERROR(INDEX(Courbe_de_tarage!$H$4:$H$44,MATCH(K53+B53+B54,Courbe_de_tarage!$I$4:$I$44,1)),INDEX(Courbe_de_tarage!$H$4:$H$44,1))))</f>
        <v/>
      </c>
      <c r="I54" s="5">
        <f>IF(G54="","",IF(G54&gt;Parametres!$C$11,"OUI",""))</f>
        <v/>
      </c>
      <c r="J54" s="12">
        <f>IF(A54="","",K53+B53+B54)</f>
        <v/>
      </c>
      <c r="K54" s="12">
        <f>IF(A54="","",2*H54/(Hydrogramme_entree!$B$8*60)-E54)</f>
        <v/>
      </c>
    </row>
    <row r="55">
      <c r="A55" s="5">
        <f>Hydrogramme_entree!A67</f>
        <v/>
      </c>
      <c r="B55" s="12">
        <f>Hydrogramme_entree!B67</f>
        <v/>
      </c>
      <c r="C55" s="12">
        <f>IF(A55="","",IFERROR(FORECAST(K54+B54+B55,INDEX(Courbe_de_tarage!$C$4:$C$44,MATCH(K54+B54+B55,Courbe_de_tarage!$I$4:$I$44,1)):INDEX(Courbe_de_tarage!$C$4:$C$44,MATCH(K54+B54+B55,Courbe_de_tarage!$I$4:$I$44,1)+1),INDEX(Courbe_de_tarage!$I$4:$I$44,MATCH(K54+B54+B55,Courbe_de_tarage!$I$4:$I$44,1)):INDEX(Courbe_de_tarage!$I$4:$I$44,MATCH(K54+B54+B55,Courbe_de_tarage!$I$4:$I$44,1)+1)),IFERROR(INDEX(Courbe_de_tarage!$C$4:$C$44,MATCH(K54+B54+B55,Courbe_de_tarage!$I$4:$I$44,1)),INDEX(Courbe_de_tarage!$C$4:$C$44,1))))</f>
        <v/>
      </c>
      <c r="D55" s="12">
        <f>IF(A55="","",IFERROR(FORECAST(K54+B54+B55,INDEX(Courbe_de_tarage!$D$4:$D$44,MATCH(K54+B54+B55,Courbe_de_tarage!$I$4:$I$44,1)):INDEX(Courbe_de_tarage!$D$4:$D$44,MATCH(K54+B54+B55,Courbe_de_tarage!$I$4:$I$44,1)+1),INDEX(Courbe_de_tarage!$I$4:$I$44,MATCH(K54+B54+B55,Courbe_de_tarage!$I$4:$I$44,1)):INDEX(Courbe_de_tarage!$I$4:$I$44,MATCH(K54+B54+B55,Courbe_de_tarage!$I$4:$I$44,1)+1)),IFERROR(INDEX(Courbe_de_tarage!$D$4:$D$44,MATCH(K54+B54+B55,Courbe_de_tarage!$I$4:$I$44,1)),INDEX(Courbe_de_tarage!$D$4:$D$44,1))))</f>
        <v/>
      </c>
      <c r="E55" s="12">
        <f>IF(A55="","",IFERROR(FORECAST(K54+B54+B55,INDEX(Courbe_de_tarage!$E$4:$E$44,MATCH(K54+B54+B55,Courbe_de_tarage!$I$4:$I$44,1)):INDEX(Courbe_de_tarage!$E$4:$E$44,MATCH(K54+B54+B55,Courbe_de_tarage!$I$4:$I$44,1)+1),INDEX(Courbe_de_tarage!$I$4:$I$44,MATCH(K54+B54+B55,Courbe_de_tarage!$I$4:$I$44,1)):INDEX(Courbe_de_tarage!$I$4:$I$44,MATCH(K54+B54+B55,Courbe_de_tarage!$I$4:$I$44,1)+1)),IFERROR(INDEX(Courbe_de_tarage!$E$4:$E$44,MATCH(K54+B54+B55,Courbe_de_tarage!$I$4:$I$44,1)),INDEX(Courbe_de_tarage!$E$4:$E$44,1))))</f>
        <v/>
      </c>
      <c r="F55" s="12">
        <f>IF(A55="","",IFERROR(FORECAST(K54+B54+B55,INDEX(Courbe_de_tarage!$A$4:$A$44,MATCH(K54+B54+B55,Courbe_de_tarage!$I$4:$I$44,1)):INDEX(Courbe_de_tarage!$A$4:$A$44,MATCH(K54+B54+B55,Courbe_de_tarage!$I$4:$I$44,1)+1),INDEX(Courbe_de_tarage!$I$4:$I$44,MATCH(K54+B54+B55,Courbe_de_tarage!$I$4:$I$44,1)):INDEX(Courbe_de_tarage!$I$4:$I$44,MATCH(K54+B54+B55,Courbe_de_tarage!$I$4:$I$44,1)+1)),IFERROR(INDEX(Courbe_de_tarage!$A$4:$A$44,MATCH(K54+B54+B55,Courbe_de_tarage!$I$4:$I$44,1)),INDEX(Courbe_de_tarage!$A$4:$A$44,1))))</f>
        <v/>
      </c>
      <c r="G55" s="12">
        <f>IF(A55="","",Parametres!$C$9+F55)</f>
        <v/>
      </c>
      <c r="H55" s="12">
        <f>IF(A55="","",IFERROR(FORECAST(K54+B54+B55,INDEX(Courbe_de_tarage!$H$4:$H$44,MATCH(K54+B54+B55,Courbe_de_tarage!$I$4:$I$44,1)):INDEX(Courbe_de_tarage!$H$4:$H$44,MATCH(K54+B54+B55,Courbe_de_tarage!$I$4:$I$44,1)+1),INDEX(Courbe_de_tarage!$I$4:$I$44,MATCH(K54+B54+B55,Courbe_de_tarage!$I$4:$I$44,1)):INDEX(Courbe_de_tarage!$I$4:$I$44,MATCH(K54+B54+B55,Courbe_de_tarage!$I$4:$I$44,1)+1)),IFERROR(INDEX(Courbe_de_tarage!$H$4:$H$44,MATCH(K54+B54+B55,Courbe_de_tarage!$I$4:$I$44,1)),INDEX(Courbe_de_tarage!$H$4:$H$44,1))))</f>
        <v/>
      </c>
      <c r="I55" s="5">
        <f>IF(G55="","",IF(G55&gt;Parametres!$C$11,"OUI",""))</f>
        <v/>
      </c>
      <c r="J55" s="12">
        <f>IF(A55="","",K54+B54+B55)</f>
        <v/>
      </c>
      <c r="K55" s="12">
        <f>IF(A55="","",2*H55/(Hydrogramme_entree!$B$8*60)-E55)</f>
        <v/>
      </c>
    </row>
    <row r="56">
      <c r="A56" s="5">
        <f>Hydrogramme_entree!A68</f>
        <v/>
      </c>
      <c r="B56" s="12">
        <f>Hydrogramme_entree!B68</f>
        <v/>
      </c>
      <c r="C56" s="12">
        <f>IF(A56="","",IFERROR(FORECAST(K55+B55+B56,INDEX(Courbe_de_tarage!$C$4:$C$44,MATCH(K55+B55+B56,Courbe_de_tarage!$I$4:$I$44,1)):INDEX(Courbe_de_tarage!$C$4:$C$44,MATCH(K55+B55+B56,Courbe_de_tarage!$I$4:$I$44,1)+1),INDEX(Courbe_de_tarage!$I$4:$I$44,MATCH(K55+B55+B56,Courbe_de_tarage!$I$4:$I$44,1)):INDEX(Courbe_de_tarage!$I$4:$I$44,MATCH(K55+B55+B56,Courbe_de_tarage!$I$4:$I$44,1)+1)),IFERROR(INDEX(Courbe_de_tarage!$C$4:$C$44,MATCH(K55+B55+B56,Courbe_de_tarage!$I$4:$I$44,1)),INDEX(Courbe_de_tarage!$C$4:$C$44,1))))</f>
        <v/>
      </c>
      <c r="D56" s="12">
        <f>IF(A56="","",IFERROR(FORECAST(K55+B55+B56,INDEX(Courbe_de_tarage!$D$4:$D$44,MATCH(K55+B55+B56,Courbe_de_tarage!$I$4:$I$44,1)):INDEX(Courbe_de_tarage!$D$4:$D$44,MATCH(K55+B55+B56,Courbe_de_tarage!$I$4:$I$44,1)+1),INDEX(Courbe_de_tarage!$I$4:$I$44,MATCH(K55+B55+B56,Courbe_de_tarage!$I$4:$I$44,1)):INDEX(Courbe_de_tarage!$I$4:$I$44,MATCH(K55+B55+B56,Courbe_de_tarage!$I$4:$I$44,1)+1)),IFERROR(INDEX(Courbe_de_tarage!$D$4:$D$44,MATCH(K55+B55+B56,Courbe_de_tarage!$I$4:$I$44,1)),INDEX(Courbe_de_tarage!$D$4:$D$44,1))))</f>
        <v/>
      </c>
      <c r="E56" s="12">
        <f>IF(A56="","",IFERROR(FORECAST(K55+B55+B56,INDEX(Courbe_de_tarage!$E$4:$E$44,MATCH(K55+B55+B56,Courbe_de_tarage!$I$4:$I$44,1)):INDEX(Courbe_de_tarage!$E$4:$E$44,MATCH(K55+B55+B56,Courbe_de_tarage!$I$4:$I$44,1)+1),INDEX(Courbe_de_tarage!$I$4:$I$44,MATCH(K55+B55+B56,Courbe_de_tarage!$I$4:$I$44,1)):INDEX(Courbe_de_tarage!$I$4:$I$44,MATCH(K55+B55+B56,Courbe_de_tarage!$I$4:$I$44,1)+1)),IFERROR(INDEX(Courbe_de_tarage!$E$4:$E$44,MATCH(K55+B55+B56,Courbe_de_tarage!$I$4:$I$44,1)),INDEX(Courbe_de_tarage!$E$4:$E$44,1))))</f>
        <v/>
      </c>
      <c r="F56" s="12">
        <f>IF(A56="","",IFERROR(FORECAST(K55+B55+B56,INDEX(Courbe_de_tarage!$A$4:$A$44,MATCH(K55+B55+B56,Courbe_de_tarage!$I$4:$I$44,1)):INDEX(Courbe_de_tarage!$A$4:$A$44,MATCH(K55+B55+B56,Courbe_de_tarage!$I$4:$I$44,1)+1),INDEX(Courbe_de_tarage!$I$4:$I$44,MATCH(K55+B55+B56,Courbe_de_tarage!$I$4:$I$44,1)):INDEX(Courbe_de_tarage!$I$4:$I$44,MATCH(K55+B55+B56,Courbe_de_tarage!$I$4:$I$44,1)+1)),IFERROR(INDEX(Courbe_de_tarage!$A$4:$A$44,MATCH(K55+B55+B56,Courbe_de_tarage!$I$4:$I$44,1)),INDEX(Courbe_de_tarage!$A$4:$A$44,1))))</f>
        <v/>
      </c>
      <c r="G56" s="12">
        <f>IF(A56="","",Parametres!$C$9+F56)</f>
        <v/>
      </c>
      <c r="H56" s="12">
        <f>IF(A56="","",IFERROR(FORECAST(K55+B55+B56,INDEX(Courbe_de_tarage!$H$4:$H$44,MATCH(K55+B55+B56,Courbe_de_tarage!$I$4:$I$44,1)):INDEX(Courbe_de_tarage!$H$4:$H$44,MATCH(K55+B55+B56,Courbe_de_tarage!$I$4:$I$44,1)+1),INDEX(Courbe_de_tarage!$I$4:$I$44,MATCH(K55+B55+B56,Courbe_de_tarage!$I$4:$I$44,1)):INDEX(Courbe_de_tarage!$I$4:$I$44,MATCH(K55+B55+B56,Courbe_de_tarage!$I$4:$I$44,1)+1)),IFERROR(INDEX(Courbe_de_tarage!$H$4:$H$44,MATCH(K55+B55+B56,Courbe_de_tarage!$I$4:$I$44,1)),INDEX(Courbe_de_tarage!$H$4:$H$44,1))))</f>
        <v/>
      </c>
      <c r="I56" s="5">
        <f>IF(G56="","",IF(G56&gt;Parametres!$C$11,"OUI",""))</f>
        <v/>
      </c>
      <c r="J56" s="12">
        <f>IF(A56="","",K55+B55+B56)</f>
        <v/>
      </c>
      <c r="K56" s="12">
        <f>IF(A56="","",2*H56/(Hydrogramme_entree!$B$8*60)-E56)</f>
        <v/>
      </c>
    </row>
    <row r="57">
      <c r="A57" s="5">
        <f>Hydrogramme_entree!A69</f>
        <v/>
      </c>
      <c r="B57" s="12">
        <f>Hydrogramme_entree!B69</f>
        <v/>
      </c>
      <c r="C57" s="12">
        <f>IF(A57="","",IFERROR(FORECAST(K56+B56+B57,INDEX(Courbe_de_tarage!$C$4:$C$44,MATCH(K56+B56+B57,Courbe_de_tarage!$I$4:$I$44,1)):INDEX(Courbe_de_tarage!$C$4:$C$44,MATCH(K56+B56+B57,Courbe_de_tarage!$I$4:$I$44,1)+1),INDEX(Courbe_de_tarage!$I$4:$I$44,MATCH(K56+B56+B57,Courbe_de_tarage!$I$4:$I$44,1)):INDEX(Courbe_de_tarage!$I$4:$I$44,MATCH(K56+B56+B57,Courbe_de_tarage!$I$4:$I$44,1)+1)),IFERROR(INDEX(Courbe_de_tarage!$C$4:$C$44,MATCH(K56+B56+B57,Courbe_de_tarage!$I$4:$I$44,1)),INDEX(Courbe_de_tarage!$C$4:$C$44,1))))</f>
        <v/>
      </c>
      <c r="D57" s="12">
        <f>IF(A57="","",IFERROR(FORECAST(K56+B56+B57,INDEX(Courbe_de_tarage!$D$4:$D$44,MATCH(K56+B56+B57,Courbe_de_tarage!$I$4:$I$44,1)):INDEX(Courbe_de_tarage!$D$4:$D$44,MATCH(K56+B56+B57,Courbe_de_tarage!$I$4:$I$44,1)+1),INDEX(Courbe_de_tarage!$I$4:$I$44,MATCH(K56+B56+B57,Courbe_de_tarage!$I$4:$I$44,1)):INDEX(Courbe_de_tarage!$I$4:$I$44,MATCH(K56+B56+B57,Courbe_de_tarage!$I$4:$I$44,1)+1)),IFERROR(INDEX(Courbe_de_tarage!$D$4:$D$44,MATCH(K56+B56+B57,Courbe_de_tarage!$I$4:$I$44,1)),INDEX(Courbe_de_tarage!$D$4:$D$44,1))))</f>
        <v/>
      </c>
      <c r="E57" s="12">
        <f>IF(A57="","",IFERROR(FORECAST(K56+B56+B57,INDEX(Courbe_de_tarage!$E$4:$E$44,MATCH(K56+B56+B57,Courbe_de_tarage!$I$4:$I$44,1)):INDEX(Courbe_de_tarage!$E$4:$E$44,MATCH(K56+B56+B57,Courbe_de_tarage!$I$4:$I$44,1)+1),INDEX(Courbe_de_tarage!$I$4:$I$44,MATCH(K56+B56+B57,Courbe_de_tarage!$I$4:$I$44,1)):INDEX(Courbe_de_tarage!$I$4:$I$44,MATCH(K56+B56+B57,Courbe_de_tarage!$I$4:$I$44,1)+1)),IFERROR(INDEX(Courbe_de_tarage!$E$4:$E$44,MATCH(K56+B56+B57,Courbe_de_tarage!$I$4:$I$44,1)),INDEX(Courbe_de_tarage!$E$4:$E$44,1))))</f>
        <v/>
      </c>
      <c r="F57" s="12">
        <f>IF(A57="","",IFERROR(FORECAST(K56+B56+B57,INDEX(Courbe_de_tarage!$A$4:$A$44,MATCH(K56+B56+B57,Courbe_de_tarage!$I$4:$I$44,1)):INDEX(Courbe_de_tarage!$A$4:$A$44,MATCH(K56+B56+B57,Courbe_de_tarage!$I$4:$I$44,1)+1),INDEX(Courbe_de_tarage!$I$4:$I$44,MATCH(K56+B56+B57,Courbe_de_tarage!$I$4:$I$44,1)):INDEX(Courbe_de_tarage!$I$4:$I$44,MATCH(K56+B56+B57,Courbe_de_tarage!$I$4:$I$44,1)+1)),IFERROR(INDEX(Courbe_de_tarage!$A$4:$A$44,MATCH(K56+B56+B57,Courbe_de_tarage!$I$4:$I$44,1)),INDEX(Courbe_de_tarage!$A$4:$A$44,1))))</f>
        <v/>
      </c>
      <c r="G57" s="12">
        <f>IF(A57="","",Parametres!$C$9+F57)</f>
        <v/>
      </c>
      <c r="H57" s="12">
        <f>IF(A57="","",IFERROR(FORECAST(K56+B56+B57,INDEX(Courbe_de_tarage!$H$4:$H$44,MATCH(K56+B56+B57,Courbe_de_tarage!$I$4:$I$44,1)):INDEX(Courbe_de_tarage!$H$4:$H$44,MATCH(K56+B56+B57,Courbe_de_tarage!$I$4:$I$44,1)+1),INDEX(Courbe_de_tarage!$I$4:$I$44,MATCH(K56+B56+B57,Courbe_de_tarage!$I$4:$I$44,1)):INDEX(Courbe_de_tarage!$I$4:$I$44,MATCH(K56+B56+B57,Courbe_de_tarage!$I$4:$I$44,1)+1)),IFERROR(INDEX(Courbe_de_tarage!$H$4:$H$44,MATCH(K56+B56+B57,Courbe_de_tarage!$I$4:$I$44,1)),INDEX(Courbe_de_tarage!$H$4:$H$44,1))))</f>
        <v/>
      </c>
      <c r="I57" s="5">
        <f>IF(G57="","",IF(G57&gt;Parametres!$C$11,"OUI",""))</f>
        <v/>
      </c>
      <c r="J57" s="12">
        <f>IF(A57="","",K56+B56+B57)</f>
        <v/>
      </c>
      <c r="K57" s="12">
        <f>IF(A57="","",2*H57/(Hydrogramme_entree!$B$8*60)-E57)</f>
        <v/>
      </c>
    </row>
    <row r="58">
      <c r="A58" s="5">
        <f>Hydrogramme_entree!A70</f>
        <v/>
      </c>
      <c r="B58" s="12">
        <f>Hydrogramme_entree!B70</f>
        <v/>
      </c>
      <c r="C58" s="12">
        <f>IF(A58="","",IFERROR(FORECAST(K57+B57+B58,INDEX(Courbe_de_tarage!$C$4:$C$44,MATCH(K57+B57+B58,Courbe_de_tarage!$I$4:$I$44,1)):INDEX(Courbe_de_tarage!$C$4:$C$44,MATCH(K57+B57+B58,Courbe_de_tarage!$I$4:$I$44,1)+1),INDEX(Courbe_de_tarage!$I$4:$I$44,MATCH(K57+B57+B58,Courbe_de_tarage!$I$4:$I$44,1)):INDEX(Courbe_de_tarage!$I$4:$I$44,MATCH(K57+B57+B58,Courbe_de_tarage!$I$4:$I$44,1)+1)),IFERROR(INDEX(Courbe_de_tarage!$C$4:$C$44,MATCH(K57+B57+B58,Courbe_de_tarage!$I$4:$I$44,1)),INDEX(Courbe_de_tarage!$C$4:$C$44,1))))</f>
        <v/>
      </c>
      <c r="D58" s="12">
        <f>IF(A58="","",IFERROR(FORECAST(K57+B57+B58,INDEX(Courbe_de_tarage!$D$4:$D$44,MATCH(K57+B57+B58,Courbe_de_tarage!$I$4:$I$44,1)):INDEX(Courbe_de_tarage!$D$4:$D$44,MATCH(K57+B57+B58,Courbe_de_tarage!$I$4:$I$44,1)+1),INDEX(Courbe_de_tarage!$I$4:$I$44,MATCH(K57+B57+B58,Courbe_de_tarage!$I$4:$I$44,1)):INDEX(Courbe_de_tarage!$I$4:$I$44,MATCH(K57+B57+B58,Courbe_de_tarage!$I$4:$I$44,1)+1)),IFERROR(INDEX(Courbe_de_tarage!$D$4:$D$44,MATCH(K57+B57+B58,Courbe_de_tarage!$I$4:$I$44,1)),INDEX(Courbe_de_tarage!$D$4:$D$44,1))))</f>
        <v/>
      </c>
      <c r="E58" s="12">
        <f>IF(A58="","",IFERROR(FORECAST(K57+B57+B58,INDEX(Courbe_de_tarage!$E$4:$E$44,MATCH(K57+B57+B58,Courbe_de_tarage!$I$4:$I$44,1)):INDEX(Courbe_de_tarage!$E$4:$E$44,MATCH(K57+B57+B58,Courbe_de_tarage!$I$4:$I$44,1)+1),INDEX(Courbe_de_tarage!$I$4:$I$44,MATCH(K57+B57+B58,Courbe_de_tarage!$I$4:$I$44,1)):INDEX(Courbe_de_tarage!$I$4:$I$44,MATCH(K57+B57+B58,Courbe_de_tarage!$I$4:$I$44,1)+1)),IFERROR(INDEX(Courbe_de_tarage!$E$4:$E$44,MATCH(K57+B57+B58,Courbe_de_tarage!$I$4:$I$44,1)),INDEX(Courbe_de_tarage!$E$4:$E$44,1))))</f>
        <v/>
      </c>
      <c r="F58" s="12">
        <f>IF(A58="","",IFERROR(FORECAST(K57+B57+B58,INDEX(Courbe_de_tarage!$A$4:$A$44,MATCH(K57+B57+B58,Courbe_de_tarage!$I$4:$I$44,1)):INDEX(Courbe_de_tarage!$A$4:$A$44,MATCH(K57+B57+B58,Courbe_de_tarage!$I$4:$I$44,1)+1),INDEX(Courbe_de_tarage!$I$4:$I$44,MATCH(K57+B57+B58,Courbe_de_tarage!$I$4:$I$44,1)):INDEX(Courbe_de_tarage!$I$4:$I$44,MATCH(K57+B57+B58,Courbe_de_tarage!$I$4:$I$44,1)+1)),IFERROR(INDEX(Courbe_de_tarage!$A$4:$A$44,MATCH(K57+B57+B58,Courbe_de_tarage!$I$4:$I$44,1)),INDEX(Courbe_de_tarage!$A$4:$A$44,1))))</f>
        <v/>
      </c>
      <c r="G58" s="12">
        <f>IF(A58="","",Parametres!$C$9+F58)</f>
        <v/>
      </c>
      <c r="H58" s="12">
        <f>IF(A58="","",IFERROR(FORECAST(K57+B57+B58,INDEX(Courbe_de_tarage!$H$4:$H$44,MATCH(K57+B57+B58,Courbe_de_tarage!$I$4:$I$44,1)):INDEX(Courbe_de_tarage!$H$4:$H$44,MATCH(K57+B57+B58,Courbe_de_tarage!$I$4:$I$44,1)+1),INDEX(Courbe_de_tarage!$I$4:$I$44,MATCH(K57+B57+B58,Courbe_de_tarage!$I$4:$I$44,1)):INDEX(Courbe_de_tarage!$I$4:$I$44,MATCH(K57+B57+B58,Courbe_de_tarage!$I$4:$I$44,1)+1)),IFERROR(INDEX(Courbe_de_tarage!$H$4:$H$44,MATCH(K57+B57+B58,Courbe_de_tarage!$I$4:$I$44,1)),INDEX(Courbe_de_tarage!$H$4:$H$44,1))))</f>
        <v/>
      </c>
      <c r="I58" s="5">
        <f>IF(G58="","",IF(G58&gt;Parametres!$C$11,"OUI",""))</f>
        <v/>
      </c>
      <c r="J58" s="12">
        <f>IF(A58="","",K57+B57+B58)</f>
        <v/>
      </c>
      <c r="K58" s="12">
        <f>IF(A58="","",2*H58/(Hydrogramme_entree!$B$8*60)-E58)</f>
        <v/>
      </c>
    </row>
    <row r="59">
      <c r="A59" s="5">
        <f>Hydrogramme_entree!A71</f>
        <v/>
      </c>
      <c r="B59" s="12">
        <f>Hydrogramme_entree!B71</f>
        <v/>
      </c>
      <c r="C59" s="12">
        <f>IF(A59="","",IFERROR(FORECAST(K58+B58+B59,INDEX(Courbe_de_tarage!$C$4:$C$44,MATCH(K58+B58+B59,Courbe_de_tarage!$I$4:$I$44,1)):INDEX(Courbe_de_tarage!$C$4:$C$44,MATCH(K58+B58+B59,Courbe_de_tarage!$I$4:$I$44,1)+1),INDEX(Courbe_de_tarage!$I$4:$I$44,MATCH(K58+B58+B59,Courbe_de_tarage!$I$4:$I$44,1)):INDEX(Courbe_de_tarage!$I$4:$I$44,MATCH(K58+B58+B59,Courbe_de_tarage!$I$4:$I$44,1)+1)),IFERROR(INDEX(Courbe_de_tarage!$C$4:$C$44,MATCH(K58+B58+B59,Courbe_de_tarage!$I$4:$I$44,1)),INDEX(Courbe_de_tarage!$C$4:$C$44,1))))</f>
        <v/>
      </c>
      <c r="D59" s="12">
        <f>IF(A59="","",IFERROR(FORECAST(K58+B58+B59,INDEX(Courbe_de_tarage!$D$4:$D$44,MATCH(K58+B58+B59,Courbe_de_tarage!$I$4:$I$44,1)):INDEX(Courbe_de_tarage!$D$4:$D$44,MATCH(K58+B58+B59,Courbe_de_tarage!$I$4:$I$44,1)+1),INDEX(Courbe_de_tarage!$I$4:$I$44,MATCH(K58+B58+B59,Courbe_de_tarage!$I$4:$I$44,1)):INDEX(Courbe_de_tarage!$I$4:$I$44,MATCH(K58+B58+B59,Courbe_de_tarage!$I$4:$I$44,1)+1)),IFERROR(INDEX(Courbe_de_tarage!$D$4:$D$44,MATCH(K58+B58+B59,Courbe_de_tarage!$I$4:$I$44,1)),INDEX(Courbe_de_tarage!$D$4:$D$44,1))))</f>
        <v/>
      </c>
      <c r="E59" s="12">
        <f>IF(A59="","",IFERROR(FORECAST(K58+B58+B59,INDEX(Courbe_de_tarage!$E$4:$E$44,MATCH(K58+B58+B59,Courbe_de_tarage!$I$4:$I$44,1)):INDEX(Courbe_de_tarage!$E$4:$E$44,MATCH(K58+B58+B59,Courbe_de_tarage!$I$4:$I$44,1)+1),INDEX(Courbe_de_tarage!$I$4:$I$44,MATCH(K58+B58+B59,Courbe_de_tarage!$I$4:$I$44,1)):INDEX(Courbe_de_tarage!$I$4:$I$44,MATCH(K58+B58+B59,Courbe_de_tarage!$I$4:$I$44,1)+1)),IFERROR(INDEX(Courbe_de_tarage!$E$4:$E$44,MATCH(K58+B58+B59,Courbe_de_tarage!$I$4:$I$44,1)),INDEX(Courbe_de_tarage!$E$4:$E$44,1))))</f>
        <v/>
      </c>
      <c r="F59" s="12">
        <f>IF(A59="","",IFERROR(FORECAST(K58+B58+B59,INDEX(Courbe_de_tarage!$A$4:$A$44,MATCH(K58+B58+B59,Courbe_de_tarage!$I$4:$I$44,1)):INDEX(Courbe_de_tarage!$A$4:$A$44,MATCH(K58+B58+B59,Courbe_de_tarage!$I$4:$I$44,1)+1),INDEX(Courbe_de_tarage!$I$4:$I$44,MATCH(K58+B58+B59,Courbe_de_tarage!$I$4:$I$44,1)):INDEX(Courbe_de_tarage!$I$4:$I$44,MATCH(K58+B58+B59,Courbe_de_tarage!$I$4:$I$44,1)+1)),IFERROR(INDEX(Courbe_de_tarage!$A$4:$A$44,MATCH(K58+B58+B59,Courbe_de_tarage!$I$4:$I$44,1)),INDEX(Courbe_de_tarage!$A$4:$A$44,1))))</f>
        <v/>
      </c>
      <c r="G59" s="12">
        <f>IF(A59="","",Parametres!$C$9+F59)</f>
        <v/>
      </c>
      <c r="H59" s="12">
        <f>IF(A59="","",IFERROR(FORECAST(K58+B58+B59,INDEX(Courbe_de_tarage!$H$4:$H$44,MATCH(K58+B58+B59,Courbe_de_tarage!$I$4:$I$44,1)):INDEX(Courbe_de_tarage!$H$4:$H$44,MATCH(K58+B58+B59,Courbe_de_tarage!$I$4:$I$44,1)+1),INDEX(Courbe_de_tarage!$I$4:$I$44,MATCH(K58+B58+B59,Courbe_de_tarage!$I$4:$I$44,1)):INDEX(Courbe_de_tarage!$I$4:$I$44,MATCH(K58+B58+B59,Courbe_de_tarage!$I$4:$I$44,1)+1)),IFERROR(INDEX(Courbe_de_tarage!$H$4:$H$44,MATCH(K58+B58+B59,Courbe_de_tarage!$I$4:$I$44,1)),INDEX(Courbe_de_tarage!$H$4:$H$44,1))))</f>
        <v/>
      </c>
      <c r="I59" s="5">
        <f>IF(G59="","",IF(G59&gt;Parametres!$C$11,"OUI",""))</f>
        <v/>
      </c>
      <c r="J59" s="12">
        <f>IF(A59="","",K58+B58+B59)</f>
        <v/>
      </c>
      <c r="K59" s="12">
        <f>IF(A59="","",2*H59/(Hydrogramme_entree!$B$8*60)-E59)</f>
        <v/>
      </c>
    </row>
    <row r="60">
      <c r="A60" s="5">
        <f>Hydrogramme_entree!A72</f>
        <v/>
      </c>
      <c r="B60" s="12">
        <f>Hydrogramme_entree!B72</f>
        <v/>
      </c>
      <c r="C60" s="12">
        <f>IF(A60="","",IFERROR(FORECAST(K59+B59+B60,INDEX(Courbe_de_tarage!$C$4:$C$44,MATCH(K59+B59+B60,Courbe_de_tarage!$I$4:$I$44,1)):INDEX(Courbe_de_tarage!$C$4:$C$44,MATCH(K59+B59+B60,Courbe_de_tarage!$I$4:$I$44,1)+1),INDEX(Courbe_de_tarage!$I$4:$I$44,MATCH(K59+B59+B60,Courbe_de_tarage!$I$4:$I$44,1)):INDEX(Courbe_de_tarage!$I$4:$I$44,MATCH(K59+B59+B60,Courbe_de_tarage!$I$4:$I$44,1)+1)),IFERROR(INDEX(Courbe_de_tarage!$C$4:$C$44,MATCH(K59+B59+B60,Courbe_de_tarage!$I$4:$I$44,1)),INDEX(Courbe_de_tarage!$C$4:$C$44,1))))</f>
        <v/>
      </c>
      <c r="D60" s="12">
        <f>IF(A60="","",IFERROR(FORECAST(K59+B59+B60,INDEX(Courbe_de_tarage!$D$4:$D$44,MATCH(K59+B59+B60,Courbe_de_tarage!$I$4:$I$44,1)):INDEX(Courbe_de_tarage!$D$4:$D$44,MATCH(K59+B59+B60,Courbe_de_tarage!$I$4:$I$44,1)+1),INDEX(Courbe_de_tarage!$I$4:$I$44,MATCH(K59+B59+B60,Courbe_de_tarage!$I$4:$I$44,1)):INDEX(Courbe_de_tarage!$I$4:$I$44,MATCH(K59+B59+B60,Courbe_de_tarage!$I$4:$I$44,1)+1)),IFERROR(INDEX(Courbe_de_tarage!$D$4:$D$44,MATCH(K59+B59+B60,Courbe_de_tarage!$I$4:$I$44,1)),INDEX(Courbe_de_tarage!$D$4:$D$44,1))))</f>
        <v/>
      </c>
      <c r="E60" s="12">
        <f>IF(A60="","",IFERROR(FORECAST(K59+B59+B60,INDEX(Courbe_de_tarage!$E$4:$E$44,MATCH(K59+B59+B60,Courbe_de_tarage!$I$4:$I$44,1)):INDEX(Courbe_de_tarage!$E$4:$E$44,MATCH(K59+B59+B60,Courbe_de_tarage!$I$4:$I$44,1)+1),INDEX(Courbe_de_tarage!$I$4:$I$44,MATCH(K59+B59+B60,Courbe_de_tarage!$I$4:$I$44,1)):INDEX(Courbe_de_tarage!$I$4:$I$44,MATCH(K59+B59+B60,Courbe_de_tarage!$I$4:$I$44,1)+1)),IFERROR(INDEX(Courbe_de_tarage!$E$4:$E$44,MATCH(K59+B59+B60,Courbe_de_tarage!$I$4:$I$44,1)),INDEX(Courbe_de_tarage!$E$4:$E$44,1))))</f>
        <v/>
      </c>
      <c r="F60" s="12">
        <f>IF(A60="","",IFERROR(FORECAST(K59+B59+B60,INDEX(Courbe_de_tarage!$A$4:$A$44,MATCH(K59+B59+B60,Courbe_de_tarage!$I$4:$I$44,1)):INDEX(Courbe_de_tarage!$A$4:$A$44,MATCH(K59+B59+B60,Courbe_de_tarage!$I$4:$I$44,1)+1),INDEX(Courbe_de_tarage!$I$4:$I$44,MATCH(K59+B59+B60,Courbe_de_tarage!$I$4:$I$44,1)):INDEX(Courbe_de_tarage!$I$4:$I$44,MATCH(K59+B59+B60,Courbe_de_tarage!$I$4:$I$44,1)+1)),IFERROR(INDEX(Courbe_de_tarage!$A$4:$A$44,MATCH(K59+B59+B60,Courbe_de_tarage!$I$4:$I$44,1)),INDEX(Courbe_de_tarage!$A$4:$A$44,1))))</f>
        <v/>
      </c>
      <c r="G60" s="12">
        <f>IF(A60="","",Parametres!$C$9+F60)</f>
        <v/>
      </c>
      <c r="H60" s="12">
        <f>IF(A60="","",IFERROR(FORECAST(K59+B59+B60,INDEX(Courbe_de_tarage!$H$4:$H$44,MATCH(K59+B59+B60,Courbe_de_tarage!$I$4:$I$44,1)):INDEX(Courbe_de_tarage!$H$4:$H$44,MATCH(K59+B59+B60,Courbe_de_tarage!$I$4:$I$44,1)+1),INDEX(Courbe_de_tarage!$I$4:$I$44,MATCH(K59+B59+B60,Courbe_de_tarage!$I$4:$I$44,1)):INDEX(Courbe_de_tarage!$I$4:$I$44,MATCH(K59+B59+B60,Courbe_de_tarage!$I$4:$I$44,1)+1)),IFERROR(INDEX(Courbe_de_tarage!$H$4:$H$44,MATCH(K59+B59+B60,Courbe_de_tarage!$I$4:$I$44,1)),INDEX(Courbe_de_tarage!$H$4:$H$44,1))))</f>
        <v/>
      </c>
      <c r="I60" s="5">
        <f>IF(G60="","",IF(G60&gt;Parametres!$C$11,"OUI",""))</f>
        <v/>
      </c>
      <c r="J60" s="12">
        <f>IF(A60="","",K59+B59+B60)</f>
        <v/>
      </c>
      <c r="K60" s="12">
        <f>IF(A60="","",2*H60/(Hydrogramme_entree!$B$8*60)-E60)</f>
        <v/>
      </c>
    </row>
    <row r="61">
      <c r="A61" s="5">
        <f>Hydrogramme_entree!A73</f>
        <v/>
      </c>
      <c r="B61" s="12">
        <f>Hydrogramme_entree!B73</f>
        <v/>
      </c>
      <c r="C61" s="12">
        <f>IF(A61="","",IFERROR(FORECAST(K60+B60+B61,INDEX(Courbe_de_tarage!$C$4:$C$44,MATCH(K60+B60+B61,Courbe_de_tarage!$I$4:$I$44,1)):INDEX(Courbe_de_tarage!$C$4:$C$44,MATCH(K60+B60+B61,Courbe_de_tarage!$I$4:$I$44,1)+1),INDEX(Courbe_de_tarage!$I$4:$I$44,MATCH(K60+B60+B61,Courbe_de_tarage!$I$4:$I$44,1)):INDEX(Courbe_de_tarage!$I$4:$I$44,MATCH(K60+B60+B61,Courbe_de_tarage!$I$4:$I$44,1)+1)),IFERROR(INDEX(Courbe_de_tarage!$C$4:$C$44,MATCH(K60+B60+B61,Courbe_de_tarage!$I$4:$I$44,1)),INDEX(Courbe_de_tarage!$C$4:$C$44,1))))</f>
        <v/>
      </c>
      <c r="D61" s="12">
        <f>IF(A61="","",IFERROR(FORECAST(K60+B60+B61,INDEX(Courbe_de_tarage!$D$4:$D$44,MATCH(K60+B60+B61,Courbe_de_tarage!$I$4:$I$44,1)):INDEX(Courbe_de_tarage!$D$4:$D$44,MATCH(K60+B60+B61,Courbe_de_tarage!$I$4:$I$44,1)+1),INDEX(Courbe_de_tarage!$I$4:$I$44,MATCH(K60+B60+B61,Courbe_de_tarage!$I$4:$I$44,1)):INDEX(Courbe_de_tarage!$I$4:$I$44,MATCH(K60+B60+B61,Courbe_de_tarage!$I$4:$I$44,1)+1)),IFERROR(INDEX(Courbe_de_tarage!$D$4:$D$44,MATCH(K60+B60+B61,Courbe_de_tarage!$I$4:$I$44,1)),INDEX(Courbe_de_tarage!$D$4:$D$44,1))))</f>
        <v/>
      </c>
      <c r="E61" s="12">
        <f>IF(A61="","",IFERROR(FORECAST(K60+B60+B61,INDEX(Courbe_de_tarage!$E$4:$E$44,MATCH(K60+B60+B61,Courbe_de_tarage!$I$4:$I$44,1)):INDEX(Courbe_de_tarage!$E$4:$E$44,MATCH(K60+B60+B61,Courbe_de_tarage!$I$4:$I$44,1)+1),INDEX(Courbe_de_tarage!$I$4:$I$44,MATCH(K60+B60+B61,Courbe_de_tarage!$I$4:$I$44,1)):INDEX(Courbe_de_tarage!$I$4:$I$44,MATCH(K60+B60+B61,Courbe_de_tarage!$I$4:$I$44,1)+1)),IFERROR(INDEX(Courbe_de_tarage!$E$4:$E$44,MATCH(K60+B60+B61,Courbe_de_tarage!$I$4:$I$44,1)),INDEX(Courbe_de_tarage!$E$4:$E$44,1))))</f>
        <v/>
      </c>
      <c r="F61" s="12">
        <f>IF(A61="","",IFERROR(FORECAST(K60+B60+B61,INDEX(Courbe_de_tarage!$A$4:$A$44,MATCH(K60+B60+B61,Courbe_de_tarage!$I$4:$I$44,1)):INDEX(Courbe_de_tarage!$A$4:$A$44,MATCH(K60+B60+B61,Courbe_de_tarage!$I$4:$I$44,1)+1),INDEX(Courbe_de_tarage!$I$4:$I$44,MATCH(K60+B60+B61,Courbe_de_tarage!$I$4:$I$44,1)):INDEX(Courbe_de_tarage!$I$4:$I$44,MATCH(K60+B60+B61,Courbe_de_tarage!$I$4:$I$44,1)+1)),IFERROR(INDEX(Courbe_de_tarage!$A$4:$A$44,MATCH(K60+B60+B61,Courbe_de_tarage!$I$4:$I$44,1)),INDEX(Courbe_de_tarage!$A$4:$A$44,1))))</f>
        <v/>
      </c>
      <c r="G61" s="12">
        <f>IF(A61="","",Parametres!$C$9+F61)</f>
        <v/>
      </c>
      <c r="H61" s="12">
        <f>IF(A61="","",IFERROR(FORECAST(K60+B60+B61,INDEX(Courbe_de_tarage!$H$4:$H$44,MATCH(K60+B60+B61,Courbe_de_tarage!$I$4:$I$44,1)):INDEX(Courbe_de_tarage!$H$4:$H$44,MATCH(K60+B60+B61,Courbe_de_tarage!$I$4:$I$44,1)+1),INDEX(Courbe_de_tarage!$I$4:$I$44,MATCH(K60+B60+B61,Courbe_de_tarage!$I$4:$I$44,1)):INDEX(Courbe_de_tarage!$I$4:$I$44,MATCH(K60+B60+B61,Courbe_de_tarage!$I$4:$I$44,1)+1)),IFERROR(INDEX(Courbe_de_tarage!$H$4:$H$44,MATCH(K60+B60+B61,Courbe_de_tarage!$I$4:$I$44,1)),INDEX(Courbe_de_tarage!$H$4:$H$44,1))))</f>
        <v/>
      </c>
      <c r="I61" s="5">
        <f>IF(G61="","",IF(G61&gt;Parametres!$C$11,"OUI",""))</f>
        <v/>
      </c>
      <c r="J61" s="12">
        <f>IF(A61="","",K60+B60+B61)</f>
        <v/>
      </c>
      <c r="K61" s="12">
        <f>IF(A61="","",2*H61/(Hydrogramme_entree!$B$8*60)-E61)</f>
        <v/>
      </c>
    </row>
    <row r="62">
      <c r="A62" s="5">
        <f>Hydrogramme_entree!A74</f>
        <v/>
      </c>
      <c r="B62" s="12">
        <f>Hydrogramme_entree!B74</f>
        <v/>
      </c>
      <c r="C62" s="12">
        <f>IF(A62="","",IFERROR(FORECAST(K61+B61+B62,INDEX(Courbe_de_tarage!$C$4:$C$44,MATCH(K61+B61+B62,Courbe_de_tarage!$I$4:$I$44,1)):INDEX(Courbe_de_tarage!$C$4:$C$44,MATCH(K61+B61+B62,Courbe_de_tarage!$I$4:$I$44,1)+1),INDEX(Courbe_de_tarage!$I$4:$I$44,MATCH(K61+B61+B62,Courbe_de_tarage!$I$4:$I$44,1)):INDEX(Courbe_de_tarage!$I$4:$I$44,MATCH(K61+B61+B62,Courbe_de_tarage!$I$4:$I$44,1)+1)),IFERROR(INDEX(Courbe_de_tarage!$C$4:$C$44,MATCH(K61+B61+B62,Courbe_de_tarage!$I$4:$I$44,1)),INDEX(Courbe_de_tarage!$C$4:$C$44,1))))</f>
        <v/>
      </c>
      <c r="D62" s="12">
        <f>IF(A62="","",IFERROR(FORECAST(K61+B61+B62,INDEX(Courbe_de_tarage!$D$4:$D$44,MATCH(K61+B61+B62,Courbe_de_tarage!$I$4:$I$44,1)):INDEX(Courbe_de_tarage!$D$4:$D$44,MATCH(K61+B61+B62,Courbe_de_tarage!$I$4:$I$44,1)+1),INDEX(Courbe_de_tarage!$I$4:$I$44,MATCH(K61+B61+B62,Courbe_de_tarage!$I$4:$I$44,1)):INDEX(Courbe_de_tarage!$I$4:$I$44,MATCH(K61+B61+B62,Courbe_de_tarage!$I$4:$I$44,1)+1)),IFERROR(INDEX(Courbe_de_tarage!$D$4:$D$44,MATCH(K61+B61+B62,Courbe_de_tarage!$I$4:$I$44,1)),INDEX(Courbe_de_tarage!$D$4:$D$44,1))))</f>
        <v/>
      </c>
      <c r="E62" s="12">
        <f>IF(A62="","",IFERROR(FORECAST(K61+B61+B62,INDEX(Courbe_de_tarage!$E$4:$E$44,MATCH(K61+B61+B62,Courbe_de_tarage!$I$4:$I$44,1)):INDEX(Courbe_de_tarage!$E$4:$E$44,MATCH(K61+B61+B62,Courbe_de_tarage!$I$4:$I$44,1)+1),INDEX(Courbe_de_tarage!$I$4:$I$44,MATCH(K61+B61+B62,Courbe_de_tarage!$I$4:$I$44,1)):INDEX(Courbe_de_tarage!$I$4:$I$44,MATCH(K61+B61+B62,Courbe_de_tarage!$I$4:$I$44,1)+1)),IFERROR(INDEX(Courbe_de_tarage!$E$4:$E$44,MATCH(K61+B61+B62,Courbe_de_tarage!$I$4:$I$44,1)),INDEX(Courbe_de_tarage!$E$4:$E$44,1))))</f>
        <v/>
      </c>
      <c r="F62" s="12">
        <f>IF(A62="","",IFERROR(FORECAST(K61+B61+B62,INDEX(Courbe_de_tarage!$A$4:$A$44,MATCH(K61+B61+B62,Courbe_de_tarage!$I$4:$I$44,1)):INDEX(Courbe_de_tarage!$A$4:$A$44,MATCH(K61+B61+B62,Courbe_de_tarage!$I$4:$I$44,1)+1),INDEX(Courbe_de_tarage!$I$4:$I$44,MATCH(K61+B61+B62,Courbe_de_tarage!$I$4:$I$44,1)):INDEX(Courbe_de_tarage!$I$4:$I$44,MATCH(K61+B61+B62,Courbe_de_tarage!$I$4:$I$44,1)+1)),IFERROR(INDEX(Courbe_de_tarage!$A$4:$A$44,MATCH(K61+B61+B62,Courbe_de_tarage!$I$4:$I$44,1)),INDEX(Courbe_de_tarage!$A$4:$A$44,1))))</f>
        <v/>
      </c>
      <c r="G62" s="12">
        <f>IF(A62="","",Parametres!$C$9+F62)</f>
        <v/>
      </c>
      <c r="H62" s="12">
        <f>IF(A62="","",IFERROR(FORECAST(K61+B61+B62,INDEX(Courbe_de_tarage!$H$4:$H$44,MATCH(K61+B61+B62,Courbe_de_tarage!$I$4:$I$44,1)):INDEX(Courbe_de_tarage!$H$4:$H$44,MATCH(K61+B61+B62,Courbe_de_tarage!$I$4:$I$44,1)+1),INDEX(Courbe_de_tarage!$I$4:$I$44,MATCH(K61+B61+B62,Courbe_de_tarage!$I$4:$I$44,1)):INDEX(Courbe_de_tarage!$I$4:$I$44,MATCH(K61+B61+B62,Courbe_de_tarage!$I$4:$I$44,1)+1)),IFERROR(INDEX(Courbe_de_tarage!$H$4:$H$44,MATCH(K61+B61+B62,Courbe_de_tarage!$I$4:$I$44,1)),INDEX(Courbe_de_tarage!$H$4:$H$44,1))))</f>
        <v/>
      </c>
      <c r="I62" s="5">
        <f>IF(G62="","",IF(G62&gt;Parametres!$C$11,"OUI",""))</f>
        <v/>
      </c>
      <c r="J62" s="12">
        <f>IF(A62="","",K61+B61+B62)</f>
        <v/>
      </c>
      <c r="K62" s="12">
        <f>IF(A62="","",2*H62/(Hydrogramme_entree!$B$8*60)-E62)</f>
        <v/>
      </c>
    </row>
    <row r="63">
      <c r="A63" s="5">
        <f>Hydrogramme_entree!A75</f>
        <v/>
      </c>
      <c r="B63" s="12">
        <f>Hydrogramme_entree!B75</f>
        <v/>
      </c>
      <c r="C63" s="12">
        <f>IF(A63="","",IFERROR(FORECAST(K62+B62+B63,INDEX(Courbe_de_tarage!$C$4:$C$44,MATCH(K62+B62+B63,Courbe_de_tarage!$I$4:$I$44,1)):INDEX(Courbe_de_tarage!$C$4:$C$44,MATCH(K62+B62+B63,Courbe_de_tarage!$I$4:$I$44,1)+1),INDEX(Courbe_de_tarage!$I$4:$I$44,MATCH(K62+B62+B63,Courbe_de_tarage!$I$4:$I$44,1)):INDEX(Courbe_de_tarage!$I$4:$I$44,MATCH(K62+B62+B63,Courbe_de_tarage!$I$4:$I$44,1)+1)),IFERROR(INDEX(Courbe_de_tarage!$C$4:$C$44,MATCH(K62+B62+B63,Courbe_de_tarage!$I$4:$I$44,1)),INDEX(Courbe_de_tarage!$C$4:$C$44,1))))</f>
        <v/>
      </c>
      <c r="D63" s="12">
        <f>IF(A63="","",IFERROR(FORECAST(K62+B62+B63,INDEX(Courbe_de_tarage!$D$4:$D$44,MATCH(K62+B62+B63,Courbe_de_tarage!$I$4:$I$44,1)):INDEX(Courbe_de_tarage!$D$4:$D$44,MATCH(K62+B62+B63,Courbe_de_tarage!$I$4:$I$44,1)+1),INDEX(Courbe_de_tarage!$I$4:$I$44,MATCH(K62+B62+B63,Courbe_de_tarage!$I$4:$I$44,1)):INDEX(Courbe_de_tarage!$I$4:$I$44,MATCH(K62+B62+B63,Courbe_de_tarage!$I$4:$I$44,1)+1)),IFERROR(INDEX(Courbe_de_tarage!$D$4:$D$44,MATCH(K62+B62+B63,Courbe_de_tarage!$I$4:$I$44,1)),INDEX(Courbe_de_tarage!$D$4:$D$44,1))))</f>
        <v/>
      </c>
      <c r="E63" s="12">
        <f>IF(A63="","",IFERROR(FORECAST(K62+B62+B63,INDEX(Courbe_de_tarage!$E$4:$E$44,MATCH(K62+B62+B63,Courbe_de_tarage!$I$4:$I$44,1)):INDEX(Courbe_de_tarage!$E$4:$E$44,MATCH(K62+B62+B63,Courbe_de_tarage!$I$4:$I$44,1)+1),INDEX(Courbe_de_tarage!$I$4:$I$44,MATCH(K62+B62+B63,Courbe_de_tarage!$I$4:$I$44,1)):INDEX(Courbe_de_tarage!$I$4:$I$44,MATCH(K62+B62+B63,Courbe_de_tarage!$I$4:$I$44,1)+1)),IFERROR(INDEX(Courbe_de_tarage!$E$4:$E$44,MATCH(K62+B62+B63,Courbe_de_tarage!$I$4:$I$44,1)),INDEX(Courbe_de_tarage!$E$4:$E$44,1))))</f>
        <v/>
      </c>
      <c r="F63" s="12">
        <f>IF(A63="","",IFERROR(FORECAST(K62+B62+B63,INDEX(Courbe_de_tarage!$A$4:$A$44,MATCH(K62+B62+B63,Courbe_de_tarage!$I$4:$I$44,1)):INDEX(Courbe_de_tarage!$A$4:$A$44,MATCH(K62+B62+B63,Courbe_de_tarage!$I$4:$I$44,1)+1),INDEX(Courbe_de_tarage!$I$4:$I$44,MATCH(K62+B62+B63,Courbe_de_tarage!$I$4:$I$44,1)):INDEX(Courbe_de_tarage!$I$4:$I$44,MATCH(K62+B62+B63,Courbe_de_tarage!$I$4:$I$44,1)+1)),IFERROR(INDEX(Courbe_de_tarage!$A$4:$A$44,MATCH(K62+B62+B63,Courbe_de_tarage!$I$4:$I$44,1)),INDEX(Courbe_de_tarage!$A$4:$A$44,1))))</f>
        <v/>
      </c>
      <c r="G63" s="12">
        <f>IF(A63="","",Parametres!$C$9+F63)</f>
        <v/>
      </c>
      <c r="H63" s="12">
        <f>IF(A63="","",IFERROR(FORECAST(K62+B62+B63,INDEX(Courbe_de_tarage!$H$4:$H$44,MATCH(K62+B62+B63,Courbe_de_tarage!$I$4:$I$44,1)):INDEX(Courbe_de_tarage!$H$4:$H$44,MATCH(K62+B62+B63,Courbe_de_tarage!$I$4:$I$44,1)+1),INDEX(Courbe_de_tarage!$I$4:$I$44,MATCH(K62+B62+B63,Courbe_de_tarage!$I$4:$I$44,1)):INDEX(Courbe_de_tarage!$I$4:$I$44,MATCH(K62+B62+B63,Courbe_de_tarage!$I$4:$I$44,1)+1)),IFERROR(INDEX(Courbe_de_tarage!$H$4:$H$44,MATCH(K62+B62+B63,Courbe_de_tarage!$I$4:$I$44,1)),INDEX(Courbe_de_tarage!$H$4:$H$44,1))))</f>
        <v/>
      </c>
      <c r="I63" s="5">
        <f>IF(G63="","",IF(G63&gt;Parametres!$C$11,"OUI",""))</f>
        <v/>
      </c>
      <c r="J63" s="12">
        <f>IF(A63="","",K62+B62+B63)</f>
        <v/>
      </c>
      <c r="K63" s="12">
        <f>IF(A63="","",2*H63/(Hydrogramme_entree!$B$8*60)-E63)</f>
        <v/>
      </c>
    </row>
    <row r="64">
      <c r="A64" s="5">
        <f>Hydrogramme_entree!A76</f>
        <v/>
      </c>
      <c r="B64" s="12">
        <f>Hydrogramme_entree!B76</f>
        <v/>
      </c>
      <c r="C64" s="12">
        <f>IF(A64="","",IFERROR(FORECAST(K63+B63+B64,INDEX(Courbe_de_tarage!$C$4:$C$44,MATCH(K63+B63+B64,Courbe_de_tarage!$I$4:$I$44,1)):INDEX(Courbe_de_tarage!$C$4:$C$44,MATCH(K63+B63+B64,Courbe_de_tarage!$I$4:$I$44,1)+1),INDEX(Courbe_de_tarage!$I$4:$I$44,MATCH(K63+B63+B64,Courbe_de_tarage!$I$4:$I$44,1)):INDEX(Courbe_de_tarage!$I$4:$I$44,MATCH(K63+B63+B64,Courbe_de_tarage!$I$4:$I$44,1)+1)),IFERROR(INDEX(Courbe_de_tarage!$C$4:$C$44,MATCH(K63+B63+B64,Courbe_de_tarage!$I$4:$I$44,1)),INDEX(Courbe_de_tarage!$C$4:$C$44,1))))</f>
        <v/>
      </c>
      <c r="D64" s="12">
        <f>IF(A64="","",IFERROR(FORECAST(K63+B63+B64,INDEX(Courbe_de_tarage!$D$4:$D$44,MATCH(K63+B63+B64,Courbe_de_tarage!$I$4:$I$44,1)):INDEX(Courbe_de_tarage!$D$4:$D$44,MATCH(K63+B63+B64,Courbe_de_tarage!$I$4:$I$44,1)+1),INDEX(Courbe_de_tarage!$I$4:$I$44,MATCH(K63+B63+B64,Courbe_de_tarage!$I$4:$I$44,1)):INDEX(Courbe_de_tarage!$I$4:$I$44,MATCH(K63+B63+B64,Courbe_de_tarage!$I$4:$I$44,1)+1)),IFERROR(INDEX(Courbe_de_tarage!$D$4:$D$44,MATCH(K63+B63+B64,Courbe_de_tarage!$I$4:$I$44,1)),INDEX(Courbe_de_tarage!$D$4:$D$44,1))))</f>
        <v/>
      </c>
      <c r="E64" s="12">
        <f>IF(A64="","",IFERROR(FORECAST(K63+B63+B64,INDEX(Courbe_de_tarage!$E$4:$E$44,MATCH(K63+B63+B64,Courbe_de_tarage!$I$4:$I$44,1)):INDEX(Courbe_de_tarage!$E$4:$E$44,MATCH(K63+B63+B64,Courbe_de_tarage!$I$4:$I$44,1)+1),INDEX(Courbe_de_tarage!$I$4:$I$44,MATCH(K63+B63+B64,Courbe_de_tarage!$I$4:$I$44,1)):INDEX(Courbe_de_tarage!$I$4:$I$44,MATCH(K63+B63+B64,Courbe_de_tarage!$I$4:$I$44,1)+1)),IFERROR(INDEX(Courbe_de_tarage!$E$4:$E$44,MATCH(K63+B63+B64,Courbe_de_tarage!$I$4:$I$44,1)),INDEX(Courbe_de_tarage!$E$4:$E$44,1))))</f>
        <v/>
      </c>
      <c r="F64" s="12">
        <f>IF(A64="","",IFERROR(FORECAST(K63+B63+B64,INDEX(Courbe_de_tarage!$A$4:$A$44,MATCH(K63+B63+B64,Courbe_de_tarage!$I$4:$I$44,1)):INDEX(Courbe_de_tarage!$A$4:$A$44,MATCH(K63+B63+B64,Courbe_de_tarage!$I$4:$I$44,1)+1),INDEX(Courbe_de_tarage!$I$4:$I$44,MATCH(K63+B63+B64,Courbe_de_tarage!$I$4:$I$44,1)):INDEX(Courbe_de_tarage!$I$4:$I$44,MATCH(K63+B63+B64,Courbe_de_tarage!$I$4:$I$44,1)+1)),IFERROR(INDEX(Courbe_de_tarage!$A$4:$A$44,MATCH(K63+B63+B64,Courbe_de_tarage!$I$4:$I$44,1)),INDEX(Courbe_de_tarage!$A$4:$A$44,1))))</f>
        <v/>
      </c>
      <c r="G64" s="12">
        <f>IF(A64="","",Parametres!$C$9+F64)</f>
        <v/>
      </c>
      <c r="H64" s="12">
        <f>IF(A64="","",IFERROR(FORECAST(K63+B63+B64,INDEX(Courbe_de_tarage!$H$4:$H$44,MATCH(K63+B63+B64,Courbe_de_tarage!$I$4:$I$44,1)):INDEX(Courbe_de_tarage!$H$4:$H$44,MATCH(K63+B63+B64,Courbe_de_tarage!$I$4:$I$44,1)+1),INDEX(Courbe_de_tarage!$I$4:$I$44,MATCH(K63+B63+B64,Courbe_de_tarage!$I$4:$I$44,1)):INDEX(Courbe_de_tarage!$I$4:$I$44,MATCH(K63+B63+B64,Courbe_de_tarage!$I$4:$I$44,1)+1)),IFERROR(INDEX(Courbe_de_tarage!$H$4:$H$44,MATCH(K63+B63+B64,Courbe_de_tarage!$I$4:$I$44,1)),INDEX(Courbe_de_tarage!$H$4:$H$44,1))))</f>
        <v/>
      </c>
      <c r="I64" s="5">
        <f>IF(G64="","",IF(G64&gt;Parametres!$C$11,"OUI",""))</f>
        <v/>
      </c>
      <c r="J64" s="12">
        <f>IF(A64="","",K63+B63+B64)</f>
        <v/>
      </c>
      <c r="K64" s="12">
        <f>IF(A64="","",2*H64/(Hydrogramme_entree!$B$8*60)-E64)</f>
        <v/>
      </c>
    </row>
    <row r="65">
      <c r="A65" s="5">
        <f>Hydrogramme_entree!A77</f>
        <v/>
      </c>
      <c r="B65" s="12">
        <f>Hydrogramme_entree!B77</f>
        <v/>
      </c>
      <c r="C65" s="12">
        <f>IF(A65="","",IFERROR(FORECAST(K64+B64+B65,INDEX(Courbe_de_tarage!$C$4:$C$44,MATCH(K64+B64+B65,Courbe_de_tarage!$I$4:$I$44,1)):INDEX(Courbe_de_tarage!$C$4:$C$44,MATCH(K64+B64+B65,Courbe_de_tarage!$I$4:$I$44,1)+1),INDEX(Courbe_de_tarage!$I$4:$I$44,MATCH(K64+B64+B65,Courbe_de_tarage!$I$4:$I$44,1)):INDEX(Courbe_de_tarage!$I$4:$I$44,MATCH(K64+B64+B65,Courbe_de_tarage!$I$4:$I$44,1)+1)),IFERROR(INDEX(Courbe_de_tarage!$C$4:$C$44,MATCH(K64+B64+B65,Courbe_de_tarage!$I$4:$I$44,1)),INDEX(Courbe_de_tarage!$C$4:$C$44,1))))</f>
        <v/>
      </c>
      <c r="D65" s="12">
        <f>IF(A65="","",IFERROR(FORECAST(K64+B64+B65,INDEX(Courbe_de_tarage!$D$4:$D$44,MATCH(K64+B64+B65,Courbe_de_tarage!$I$4:$I$44,1)):INDEX(Courbe_de_tarage!$D$4:$D$44,MATCH(K64+B64+B65,Courbe_de_tarage!$I$4:$I$44,1)+1),INDEX(Courbe_de_tarage!$I$4:$I$44,MATCH(K64+B64+B65,Courbe_de_tarage!$I$4:$I$44,1)):INDEX(Courbe_de_tarage!$I$4:$I$44,MATCH(K64+B64+B65,Courbe_de_tarage!$I$4:$I$44,1)+1)),IFERROR(INDEX(Courbe_de_tarage!$D$4:$D$44,MATCH(K64+B64+B65,Courbe_de_tarage!$I$4:$I$44,1)),INDEX(Courbe_de_tarage!$D$4:$D$44,1))))</f>
        <v/>
      </c>
      <c r="E65" s="12">
        <f>IF(A65="","",IFERROR(FORECAST(K64+B64+B65,INDEX(Courbe_de_tarage!$E$4:$E$44,MATCH(K64+B64+B65,Courbe_de_tarage!$I$4:$I$44,1)):INDEX(Courbe_de_tarage!$E$4:$E$44,MATCH(K64+B64+B65,Courbe_de_tarage!$I$4:$I$44,1)+1),INDEX(Courbe_de_tarage!$I$4:$I$44,MATCH(K64+B64+B65,Courbe_de_tarage!$I$4:$I$44,1)):INDEX(Courbe_de_tarage!$I$4:$I$44,MATCH(K64+B64+B65,Courbe_de_tarage!$I$4:$I$44,1)+1)),IFERROR(INDEX(Courbe_de_tarage!$E$4:$E$44,MATCH(K64+B64+B65,Courbe_de_tarage!$I$4:$I$44,1)),INDEX(Courbe_de_tarage!$E$4:$E$44,1))))</f>
        <v/>
      </c>
      <c r="F65" s="12">
        <f>IF(A65="","",IFERROR(FORECAST(K64+B64+B65,INDEX(Courbe_de_tarage!$A$4:$A$44,MATCH(K64+B64+B65,Courbe_de_tarage!$I$4:$I$44,1)):INDEX(Courbe_de_tarage!$A$4:$A$44,MATCH(K64+B64+B65,Courbe_de_tarage!$I$4:$I$44,1)+1),INDEX(Courbe_de_tarage!$I$4:$I$44,MATCH(K64+B64+B65,Courbe_de_tarage!$I$4:$I$44,1)):INDEX(Courbe_de_tarage!$I$4:$I$44,MATCH(K64+B64+B65,Courbe_de_tarage!$I$4:$I$44,1)+1)),IFERROR(INDEX(Courbe_de_tarage!$A$4:$A$44,MATCH(K64+B64+B65,Courbe_de_tarage!$I$4:$I$44,1)),INDEX(Courbe_de_tarage!$A$4:$A$44,1))))</f>
        <v/>
      </c>
      <c r="G65" s="12">
        <f>IF(A65="","",Parametres!$C$9+F65)</f>
        <v/>
      </c>
      <c r="H65" s="12">
        <f>IF(A65="","",IFERROR(FORECAST(K64+B64+B65,INDEX(Courbe_de_tarage!$H$4:$H$44,MATCH(K64+B64+B65,Courbe_de_tarage!$I$4:$I$44,1)):INDEX(Courbe_de_tarage!$H$4:$H$44,MATCH(K64+B64+B65,Courbe_de_tarage!$I$4:$I$44,1)+1),INDEX(Courbe_de_tarage!$I$4:$I$44,MATCH(K64+B64+B65,Courbe_de_tarage!$I$4:$I$44,1)):INDEX(Courbe_de_tarage!$I$4:$I$44,MATCH(K64+B64+B65,Courbe_de_tarage!$I$4:$I$44,1)+1)),IFERROR(INDEX(Courbe_de_tarage!$H$4:$H$44,MATCH(K64+B64+B65,Courbe_de_tarage!$I$4:$I$44,1)),INDEX(Courbe_de_tarage!$H$4:$H$44,1))))</f>
        <v/>
      </c>
      <c r="I65" s="5">
        <f>IF(G65="","",IF(G65&gt;Parametres!$C$11,"OUI",""))</f>
        <v/>
      </c>
      <c r="J65" s="12">
        <f>IF(A65="","",K64+B64+B65)</f>
        <v/>
      </c>
      <c r="K65" s="12">
        <f>IF(A65="","",2*H65/(Hydrogramme_entree!$B$8*60)-E65)</f>
        <v/>
      </c>
    </row>
    <row r="66">
      <c r="A66" s="5">
        <f>Hydrogramme_entree!A78</f>
        <v/>
      </c>
      <c r="B66" s="12">
        <f>Hydrogramme_entree!B78</f>
        <v/>
      </c>
      <c r="C66" s="12">
        <f>IF(A66="","",IFERROR(FORECAST(K65+B65+B66,INDEX(Courbe_de_tarage!$C$4:$C$44,MATCH(K65+B65+B66,Courbe_de_tarage!$I$4:$I$44,1)):INDEX(Courbe_de_tarage!$C$4:$C$44,MATCH(K65+B65+B66,Courbe_de_tarage!$I$4:$I$44,1)+1),INDEX(Courbe_de_tarage!$I$4:$I$44,MATCH(K65+B65+B66,Courbe_de_tarage!$I$4:$I$44,1)):INDEX(Courbe_de_tarage!$I$4:$I$44,MATCH(K65+B65+B66,Courbe_de_tarage!$I$4:$I$44,1)+1)),IFERROR(INDEX(Courbe_de_tarage!$C$4:$C$44,MATCH(K65+B65+B66,Courbe_de_tarage!$I$4:$I$44,1)),INDEX(Courbe_de_tarage!$C$4:$C$44,1))))</f>
        <v/>
      </c>
      <c r="D66" s="12">
        <f>IF(A66="","",IFERROR(FORECAST(K65+B65+B66,INDEX(Courbe_de_tarage!$D$4:$D$44,MATCH(K65+B65+B66,Courbe_de_tarage!$I$4:$I$44,1)):INDEX(Courbe_de_tarage!$D$4:$D$44,MATCH(K65+B65+B66,Courbe_de_tarage!$I$4:$I$44,1)+1),INDEX(Courbe_de_tarage!$I$4:$I$44,MATCH(K65+B65+B66,Courbe_de_tarage!$I$4:$I$44,1)):INDEX(Courbe_de_tarage!$I$4:$I$44,MATCH(K65+B65+B66,Courbe_de_tarage!$I$4:$I$44,1)+1)),IFERROR(INDEX(Courbe_de_tarage!$D$4:$D$44,MATCH(K65+B65+B66,Courbe_de_tarage!$I$4:$I$44,1)),INDEX(Courbe_de_tarage!$D$4:$D$44,1))))</f>
        <v/>
      </c>
      <c r="E66" s="12">
        <f>IF(A66="","",IFERROR(FORECAST(K65+B65+B66,INDEX(Courbe_de_tarage!$E$4:$E$44,MATCH(K65+B65+B66,Courbe_de_tarage!$I$4:$I$44,1)):INDEX(Courbe_de_tarage!$E$4:$E$44,MATCH(K65+B65+B66,Courbe_de_tarage!$I$4:$I$44,1)+1),INDEX(Courbe_de_tarage!$I$4:$I$44,MATCH(K65+B65+B66,Courbe_de_tarage!$I$4:$I$44,1)):INDEX(Courbe_de_tarage!$I$4:$I$44,MATCH(K65+B65+B66,Courbe_de_tarage!$I$4:$I$44,1)+1)),IFERROR(INDEX(Courbe_de_tarage!$E$4:$E$44,MATCH(K65+B65+B66,Courbe_de_tarage!$I$4:$I$44,1)),INDEX(Courbe_de_tarage!$E$4:$E$44,1))))</f>
        <v/>
      </c>
      <c r="F66" s="12">
        <f>IF(A66="","",IFERROR(FORECAST(K65+B65+B66,INDEX(Courbe_de_tarage!$A$4:$A$44,MATCH(K65+B65+B66,Courbe_de_tarage!$I$4:$I$44,1)):INDEX(Courbe_de_tarage!$A$4:$A$44,MATCH(K65+B65+B66,Courbe_de_tarage!$I$4:$I$44,1)+1),INDEX(Courbe_de_tarage!$I$4:$I$44,MATCH(K65+B65+B66,Courbe_de_tarage!$I$4:$I$44,1)):INDEX(Courbe_de_tarage!$I$4:$I$44,MATCH(K65+B65+B66,Courbe_de_tarage!$I$4:$I$44,1)+1)),IFERROR(INDEX(Courbe_de_tarage!$A$4:$A$44,MATCH(K65+B65+B66,Courbe_de_tarage!$I$4:$I$44,1)),INDEX(Courbe_de_tarage!$A$4:$A$44,1))))</f>
        <v/>
      </c>
      <c r="G66" s="12">
        <f>IF(A66="","",Parametres!$C$9+F66)</f>
        <v/>
      </c>
      <c r="H66" s="12">
        <f>IF(A66="","",IFERROR(FORECAST(K65+B65+B66,INDEX(Courbe_de_tarage!$H$4:$H$44,MATCH(K65+B65+B66,Courbe_de_tarage!$I$4:$I$44,1)):INDEX(Courbe_de_tarage!$H$4:$H$44,MATCH(K65+B65+B66,Courbe_de_tarage!$I$4:$I$44,1)+1),INDEX(Courbe_de_tarage!$I$4:$I$44,MATCH(K65+B65+B66,Courbe_de_tarage!$I$4:$I$44,1)):INDEX(Courbe_de_tarage!$I$4:$I$44,MATCH(K65+B65+B66,Courbe_de_tarage!$I$4:$I$44,1)+1)),IFERROR(INDEX(Courbe_de_tarage!$H$4:$H$44,MATCH(K65+B65+B66,Courbe_de_tarage!$I$4:$I$44,1)),INDEX(Courbe_de_tarage!$H$4:$H$44,1))))</f>
        <v/>
      </c>
      <c r="I66" s="5">
        <f>IF(G66="","",IF(G66&gt;Parametres!$C$11,"OUI",""))</f>
        <v/>
      </c>
      <c r="J66" s="12">
        <f>IF(A66="","",K65+B65+B66)</f>
        <v/>
      </c>
      <c r="K66" s="12">
        <f>IF(A66="","",2*H66/(Hydrogramme_entree!$B$8*60)-E66)</f>
        <v/>
      </c>
    </row>
    <row r="67">
      <c r="A67" s="5">
        <f>Hydrogramme_entree!A79</f>
        <v/>
      </c>
      <c r="B67" s="12">
        <f>Hydrogramme_entree!B79</f>
        <v/>
      </c>
      <c r="C67" s="12">
        <f>IF(A67="","",IFERROR(FORECAST(K66+B66+B67,INDEX(Courbe_de_tarage!$C$4:$C$44,MATCH(K66+B66+B67,Courbe_de_tarage!$I$4:$I$44,1)):INDEX(Courbe_de_tarage!$C$4:$C$44,MATCH(K66+B66+B67,Courbe_de_tarage!$I$4:$I$44,1)+1),INDEX(Courbe_de_tarage!$I$4:$I$44,MATCH(K66+B66+B67,Courbe_de_tarage!$I$4:$I$44,1)):INDEX(Courbe_de_tarage!$I$4:$I$44,MATCH(K66+B66+B67,Courbe_de_tarage!$I$4:$I$44,1)+1)),IFERROR(INDEX(Courbe_de_tarage!$C$4:$C$44,MATCH(K66+B66+B67,Courbe_de_tarage!$I$4:$I$44,1)),INDEX(Courbe_de_tarage!$C$4:$C$44,1))))</f>
        <v/>
      </c>
      <c r="D67" s="12">
        <f>IF(A67="","",IFERROR(FORECAST(K66+B66+B67,INDEX(Courbe_de_tarage!$D$4:$D$44,MATCH(K66+B66+B67,Courbe_de_tarage!$I$4:$I$44,1)):INDEX(Courbe_de_tarage!$D$4:$D$44,MATCH(K66+B66+B67,Courbe_de_tarage!$I$4:$I$44,1)+1),INDEX(Courbe_de_tarage!$I$4:$I$44,MATCH(K66+B66+B67,Courbe_de_tarage!$I$4:$I$44,1)):INDEX(Courbe_de_tarage!$I$4:$I$44,MATCH(K66+B66+B67,Courbe_de_tarage!$I$4:$I$44,1)+1)),IFERROR(INDEX(Courbe_de_tarage!$D$4:$D$44,MATCH(K66+B66+B67,Courbe_de_tarage!$I$4:$I$44,1)),INDEX(Courbe_de_tarage!$D$4:$D$44,1))))</f>
        <v/>
      </c>
      <c r="E67" s="12">
        <f>IF(A67="","",IFERROR(FORECAST(K66+B66+B67,INDEX(Courbe_de_tarage!$E$4:$E$44,MATCH(K66+B66+B67,Courbe_de_tarage!$I$4:$I$44,1)):INDEX(Courbe_de_tarage!$E$4:$E$44,MATCH(K66+B66+B67,Courbe_de_tarage!$I$4:$I$44,1)+1),INDEX(Courbe_de_tarage!$I$4:$I$44,MATCH(K66+B66+B67,Courbe_de_tarage!$I$4:$I$44,1)):INDEX(Courbe_de_tarage!$I$4:$I$44,MATCH(K66+B66+B67,Courbe_de_tarage!$I$4:$I$44,1)+1)),IFERROR(INDEX(Courbe_de_tarage!$E$4:$E$44,MATCH(K66+B66+B67,Courbe_de_tarage!$I$4:$I$44,1)),INDEX(Courbe_de_tarage!$E$4:$E$44,1))))</f>
        <v/>
      </c>
      <c r="F67" s="12">
        <f>IF(A67="","",IFERROR(FORECAST(K66+B66+B67,INDEX(Courbe_de_tarage!$A$4:$A$44,MATCH(K66+B66+B67,Courbe_de_tarage!$I$4:$I$44,1)):INDEX(Courbe_de_tarage!$A$4:$A$44,MATCH(K66+B66+B67,Courbe_de_tarage!$I$4:$I$44,1)+1),INDEX(Courbe_de_tarage!$I$4:$I$44,MATCH(K66+B66+B67,Courbe_de_tarage!$I$4:$I$44,1)):INDEX(Courbe_de_tarage!$I$4:$I$44,MATCH(K66+B66+B67,Courbe_de_tarage!$I$4:$I$44,1)+1)),IFERROR(INDEX(Courbe_de_tarage!$A$4:$A$44,MATCH(K66+B66+B67,Courbe_de_tarage!$I$4:$I$44,1)),INDEX(Courbe_de_tarage!$A$4:$A$44,1))))</f>
        <v/>
      </c>
      <c r="G67" s="12">
        <f>IF(A67="","",Parametres!$C$9+F67)</f>
        <v/>
      </c>
      <c r="H67" s="12">
        <f>IF(A67="","",IFERROR(FORECAST(K66+B66+B67,INDEX(Courbe_de_tarage!$H$4:$H$44,MATCH(K66+B66+B67,Courbe_de_tarage!$I$4:$I$44,1)):INDEX(Courbe_de_tarage!$H$4:$H$44,MATCH(K66+B66+B67,Courbe_de_tarage!$I$4:$I$44,1)+1),INDEX(Courbe_de_tarage!$I$4:$I$44,MATCH(K66+B66+B67,Courbe_de_tarage!$I$4:$I$44,1)):INDEX(Courbe_de_tarage!$I$4:$I$44,MATCH(K66+B66+B67,Courbe_de_tarage!$I$4:$I$44,1)+1)),IFERROR(INDEX(Courbe_de_tarage!$H$4:$H$44,MATCH(K66+B66+B67,Courbe_de_tarage!$I$4:$I$44,1)),INDEX(Courbe_de_tarage!$H$4:$H$44,1))))</f>
        <v/>
      </c>
      <c r="I67" s="5">
        <f>IF(G67="","",IF(G67&gt;Parametres!$C$11,"OUI",""))</f>
        <v/>
      </c>
      <c r="J67" s="12">
        <f>IF(A67="","",K66+B66+B67)</f>
        <v/>
      </c>
      <c r="K67" s="12">
        <f>IF(A67="","",2*H67/(Hydrogramme_entree!$B$8*60)-E67)</f>
        <v/>
      </c>
    </row>
    <row r="68">
      <c r="A68" s="5">
        <f>Hydrogramme_entree!A80</f>
        <v/>
      </c>
      <c r="B68" s="12">
        <f>Hydrogramme_entree!B80</f>
        <v/>
      </c>
      <c r="C68" s="12">
        <f>IF(A68="","",IFERROR(FORECAST(K67+B67+B68,INDEX(Courbe_de_tarage!$C$4:$C$44,MATCH(K67+B67+B68,Courbe_de_tarage!$I$4:$I$44,1)):INDEX(Courbe_de_tarage!$C$4:$C$44,MATCH(K67+B67+B68,Courbe_de_tarage!$I$4:$I$44,1)+1),INDEX(Courbe_de_tarage!$I$4:$I$44,MATCH(K67+B67+B68,Courbe_de_tarage!$I$4:$I$44,1)):INDEX(Courbe_de_tarage!$I$4:$I$44,MATCH(K67+B67+B68,Courbe_de_tarage!$I$4:$I$44,1)+1)),IFERROR(INDEX(Courbe_de_tarage!$C$4:$C$44,MATCH(K67+B67+B68,Courbe_de_tarage!$I$4:$I$44,1)),INDEX(Courbe_de_tarage!$C$4:$C$44,1))))</f>
        <v/>
      </c>
      <c r="D68" s="12">
        <f>IF(A68="","",IFERROR(FORECAST(K67+B67+B68,INDEX(Courbe_de_tarage!$D$4:$D$44,MATCH(K67+B67+B68,Courbe_de_tarage!$I$4:$I$44,1)):INDEX(Courbe_de_tarage!$D$4:$D$44,MATCH(K67+B67+B68,Courbe_de_tarage!$I$4:$I$44,1)+1),INDEX(Courbe_de_tarage!$I$4:$I$44,MATCH(K67+B67+B68,Courbe_de_tarage!$I$4:$I$44,1)):INDEX(Courbe_de_tarage!$I$4:$I$44,MATCH(K67+B67+B68,Courbe_de_tarage!$I$4:$I$44,1)+1)),IFERROR(INDEX(Courbe_de_tarage!$D$4:$D$44,MATCH(K67+B67+B68,Courbe_de_tarage!$I$4:$I$44,1)),INDEX(Courbe_de_tarage!$D$4:$D$44,1))))</f>
        <v/>
      </c>
      <c r="E68" s="12">
        <f>IF(A68="","",IFERROR(FORECAST(K67+B67+B68,INDEX(Courbe_de_tarage!$E$4:$E$44,MATCH(K67+B67+B68,Courbe_de_tarage!$I$4:$I$44,1)):INDEX(Courbe_de_tarage!$E$4:$E$44,MATCH(K67+B67+B68,Courbe_de_tarage!$I$4:$I$44,1)+1),INDEX(Courbe_de_tarage!$I$4:$I$44,MATCH(K67+B67+B68,Courbe_de_tarage!$I$4:$I$44,1)):INDEX(Courbe_de_tarage!$I$4:$I$44,MATCH(K67+B67+B68,Courbe_de_tarage!$I$4:$I$44,1)+1)),IFERROR(INDEX(Courbe_de_tarage!$E$4:$E$44,MATCH(K67+B67+B68,Courbe_de_tarage!$I$4:$I$44,1)),INDEX(Courbe_de_tarage!$E$4:$E$44,1))))</f>
        <v/>
      </c>
      <c r="F68" s="12">
        <f>IF(A68="","",IFERROR(FORECAST(K67+B67+B68,INDEX(Courbe_de_tarage!$A$4:$A$44,MATCH(K67+B67+B68,Courbe_de_tarage!$I$4:$I$44,1)):INDEX(Courbe_de_tarage!$A$4:$A$44,MATCH(K67+B67+B68,Courbe_de_tarage!$I$4:$I$44,1)+1),INDEX(Courbe_de_tarage!$I$4:$I$44,MATCH(K67+B67+B68,Courbe_de_tarage!$I$4:$I$44,1)):INDEX(Courbe_de_tarage!$I$4:$I$44,MATCH(K67+B67+B68,Courbe_de_tarage!$I$4:$I$44,1)+1)),IFERROR(INDEX(Courbe_de_tarage!$A$4:$A$44,MATCH(K67+B67+B68,Courbe_de_tarage!$I$4:$I$44,1)),INDEX(Courbe_de_tarage!$A$4:$A$44,1))))</f>
        <v/>
      </c>
      <c r="G68" s="12">
        <f>IF(A68="","",Parametres!$C$9+F68)</f>
        <v/>
      </c>
      <c r="H68" s="12">
        <f>IF(A68="","",IFERROR(FORECAST(K67+B67+B68,INDEX(Courbe_de_tarage!$H$4:$H$44,MATCH(K67+B67+B68,Courbe_de_tarage!$I$4:$I$44,1)):INDEX(Courbe_de_tarage!$H$4:$H$44,MATCH(K67+B67+B68,Courbe_de_tarage!$I$4:$I$44,1)+1),INDEX(Courbe_de_tarage!$I$4:$I$44,MATCH(K67+B67+B68,Courbe_de_tarage!$I$4:$I$44,1)):INDEX(Courbe_de_tarage!$I$4:$I$44,MATCH(K67+B67+B68,Courbe_de_tarage!$I$4:$I$44,1)+1)),IFERROR(INDEX(Courbe_de_tarage!$H$4:$H$44,MATCH(K67+B67+B68,Courbe_de_tarage!$I$4:$I$44,1)),INDEX(Courbe_de_tarage!$H$4:$H$44,1))))</f>
        <v/>
      </c>
      <c r="I68" s="5">
        <f>IF(G68="","",IF(G68&gt;Parametres!$C$11,"OUI",""))</f>
        <v/>
      </c>
      <c r="J68" s="12">
        <f>IF(A68="","",K67+B67+B68)</f>
        <v/>
      </c>
      <c r="K68" s="12">
        <f>IF(A68="","",2*H68/(Hydrogramme_entree!$B$8*60)-E68)</f>
        <v/>
      </c>
    </row>
    <row r="69">
      <c r="A69" s="5">
        <f>Hydrogramme_entree!A81</f>
        <v/>
      </c>
      <c r="B69" s="12">
        <f>Hydrogramme_entree!B81</f>
        <v/>
      </c>
      <c r="C69" s="12">
        <f>IF(A69="","",IFERROR(FORECAST(K68+B68+B69,INDEX(Courbe_de_tarage!$C$4:$C$44,MATCH(K68+B68+B69,Courbe_de_tarage!$I$4:$I$44,1)):INDEX(Courbe_de_tarage!$C$4:$C$44,MATCH(K68+B68+B69,Courbe_de_tarage!$I$4:$I$44,1)+1),INDEX(Courbe_de_tarage!$I$4:$I$44,MATCH(K68+B68+B69,Courbe_de_tarage!$I$4:$I$44,1)):INDEX(Courbe_de_tarage!$I$4:$I$44,MATCH(K68+B68+B69,Courbe_de_tarage!$I$4:$I$44,1)+1)),IFERROR(INDEX(Courbe_de_tarage!$C$4:$C$44,MATCH(K68+B68+B69,Courbe_de_tarage!$I$4:$I$44,1)),INDEX(Courbe_de_tarage!$C$4:$C$44,1))))</f>
        <v/>
      </c>
      <c r="D69" s="12">
        <f>IF(A69="","",IFERROR(FORECAST(K68+B68+B69,INDEX(Courbe_de_tarage!$D$4:$D$44,MATCH(K68+B68+B69,Courbe_de_tarage!$I$4:$I$44,1)):INDEX(Courbe_de_tarage!$D$4:$D$44,MATCH(K68+B68+B69,Courbe_de_tarage!$I$4:$I$44,1)+1),INDEX(Courbe_de_tarage!$I$4:$I$44,MATCH(K68+B68+B69,Courbe_de_tarage!$I$4:$I$44,1)):INDEX(Courbe_de_tarage!$I$4:$I$44,MATCH(K68+B68+B69,Courbe_de_tarage!$I$4:$I$44,1)+1)),IFERROR(INDEX(Courbe_de_tarage!$D$4:$D$44,MATCH(K68+B68+B69,Courbe_de_tarage!$I$4:$I$44,1)),INDEX(Courbe_de_tarage!$D$4:$D$44,1))))</f>
        <v/>
      </c>
      <c r="E69" s="12">
        <f>IF(A69="","",IFERROR(FORECAST(K68+B68+B69,INDEX(Courbe_de_tarage!$E$4:$E$44,MATCH(K68+B68+B69,Courbe_de_tarage!$I$4:$I$44,1)):INDEX(Courbe_de_tarage!$E$4:$E$44,MATCH(K68+B68+B69,Courbe_de_tarage!$I$4:$I$44,1)+1),INDEX(Courbe_de_tarage!$I$4:$I$44,MATCH(K68+B68+B69,Courbe_de_tarage!$I$4:$I$44,1)):INDEX(Courbe_de_tarage!$I$4:$I$44,MATCH(K68+B68+B69,Courbe_de_tarage!$I$4:$I$44,1)+1)),IFERROR(INDEX(Courbe_de_tarage!$E$4:$E$44,MATCH(K68+B68+B69,Courbe_de_tarage!$I$4:$I$44,1)),INDEX(Courbe_de_tarage!$E$4:$E$44,1))))</f>
        <v/>
      </c>
      <c r="F69" s="12">
        <f>IF(A69="","",IFERROR(FORECAST(K68+B68+B69,INDEX(Courbe_de_tarage!$A$4:$A$44,MATCH(K68+B68+B69,Courbe_de_tarage!$I$4:$I$44,1)):INDEX(Courbe_de_tarage!$A$4:$A$44,MATCH(K68+B68+B69,Courbe_de_tarage!$I$4:$I$44,1)+1),INDEX(Courbe_de_tarage!$I$4:$I$44,MATCH(K68+B68+B69,Courbe_de_tarage!$I$4:$I$44,1)):INDEX(Courbe_de_tarage!$I$4:$I$44,MATCH(K68+B68+B69,Courbe_de_tarage!$I$4:$I$44,1)+1)),IFERROR(INDEX(Courbe_de_tarage!$A$4:$A$44,MATCH(K68+B68+B69,Courbe_de_tarage!$I$4:$I$44,1)),INDEX(Courbe_de_tarage!$A$4:$A$44,1))))</f>
        <v/>
      </c>
      <c r="G69" s="12">
        <f>IF(A69="","",Parametres!$C$9+F69)</f>
        <v/>
      </c>
      <c r="H69" s="12">
        <f>IF(A69="","",IFERROR(FORECAST(K68+B68+B69,INDEX(Courbe_de_tarage!$H$4:$H$44,MATCH(K68+B68+B69,Courbe_de_tarage!$I$4:$I$44,1)):INDEX(Courbe_de_tarage!$H$4:$H$44,MATCH(K68+B68+B69,Courbe_de_tarage!$I$4:$I$44,1)+1),INDEX(Courbe_de_tarage!$I$4:$I$44,MATCH(K68+B68+B69,Courbe_de_tarage!$I$4:$I$44,1)):INDEX(Courbe_de_tarage!$I$4:$I$44,MATCH(K68+B68+B69,Courbe_de_tarage!$I$4:$I$44,1)+1)),IFERROR(INDEX(Courbe_de_tarage!$H$4:$H$44,MATCH(K68+B68+B69,Courbe_de_tarage!$I$4:$I$44,1)),INDEX(Courbe_de_tarage!$H$4:$H$44,1))))</f>
        <v/>
      </c>
      <c r="I69" s="5">
        <f>IF(G69="","",IF(G69&gt;Parametres!$C$11,"OUI",""))</f>
        <v/>
      </c>
      <c r="J69" s="12">
        <f>IF(A69="","",K68+B68+B69)</f>
        <v/>
      </c>
      <c r="K69" s="12">
        <f>IF(A69="","",2*H69/(Hydrogramme_entree!$B$8*60)-E69)</f>
        <v/>
      </c>
    </row>
    <row r="70">
      <c r="A70" s="5">
        <f>Hydrogramme_entree!A82</f>
        <v/>
      </c>
      <c r="B70" s="12">
        <f>Hydrogramme_entree!B82</f>
        <v/>
      </c>
      <c r="C70" s="12">
        <f>IF(A70="","",IFERROR(FORECAST(K69+B69+B70,INDEX(Courbe_de_tarage!$C$4:$C$44,MATCH(K69+B69+B70,Courbe_de_tarage!$I$4:$I$44,1)):INDEX(Courbe_de_tarage!$C$4:$C$44,MATCH(K69+B69+B70,Courbe_de_tarage!$I$4:$I$44,1)+1),INDEX(Courbe_de_tarage!$I$4:$I$44,MATCH(K69+B69+B70,Courbe_de_tarage!$I$4:$I$44,1)):INDEX(Courbe_de_tarage!$I$4:$I$44,MATCH(K69+B69+B70,Courbe_de_tarage!$I$4:$I$44,1)+1)),IFERROR(INDEX(Courbe_de_tarage!$C$4:$C$44,MATCH(K69+B69+B70,Courbe_de_tarage!$I$4:$I$44,1)),INDEX(Courbe_de_tarage!$C$4:$C$44,1))))</f>
        <v/>
      </c>
      <c r="D70" s="12">
        <f>IF(A70="","",IFERROR(FORECAST(K69+B69+B70,INDEX(Courbe_de_tarage!$D$4:$D$44,MATCH(K69+B69+B70,Courbe_de_tarage!$I$4:$I$44,1)):INDEX(Courbe_de_tarage!$D$4:$D$44,MATCH(K69+B69+B70,Courbe_de_tarage!$I$4:$I$44,1)+1),INDEX(Courbe_de_tarage!$I$4:$I$44,MATCH(K69+B69+B70,Courbe_de_tarage!$I$4:$I$44,1)):INDEX(Courbe_de_tarage!$I$4:$I$44,MATCH(K69+B69+B70,Courbe_de_tarage!$I$4:$I$44,1)+1)),IFERROR(INDEX(Courbe_de_tarage!$D$4:$D$44,MATCH(K69+B69+B70,Courbe_de_tarage!$I$4:$I$44,1)),INDEX(Courbe_de_tarage!$D$4:$D$44,1))))</f>
        <v/>
      </c>
      <c r="E70" s="12">
        <f>IF(A70="","",IFERROR(FORECAST(K69+B69+B70,INDEX(Courbe_de_tarage!$E$4:$E$44,MATCH(K69+B69+B70,Courbe_de_tarage!$I$4:$I$44,1)):INDEX(Courbe_de_tarage!$E$4:$E$44,MATCH(K69+B69+B70,Courbe_de_tarage!$I$4:$I$44,1)+1),INDEX(Courbe_de_tarage!$I$4:$I$44,MATCH(K69+B69+B70,Courbe_de_tarage!$I$4:$I$44,1)):INDEX(Courbe_de_tarage!$I$4:$I$44,MATCH(K69+B69+B70,Courbe_de_tarage!$I$4:$I$44,1)+1)),IFERROR(INDEX(Courbe_de_tarage!$E$4:$E$44,MATCH(K69+B69+B70,Courbe_de_tarage!$I$4:$I$44,1)),INDEX(Courbe_de_tarage!$E$4:$E$44,1))))</f>
        <v/>
      </c>
      <c r="F70" s="12">
        <f>IF(A70="","",IFERROR(FORECAST(K69+B69+B70,INDEX(Courbe_de_tarage!$A$4:$A$44,MATCH(K69+B69+B70,Courbe_de_tarage!$I$4:$I$44,1)):INDEX(Courbe_de_tarage!$A$4:$A$44,MATCH(K69+B69+B70,Courbe_de_tarage!$I$4:$I$44,1)+1),INDEX(Courbe_de_tarage!$I$4:$I$44,MATCH(K69+B69+B70,Courbe_de_tarage!$I$4:$I$44,1)):INDEX(Courbe_de_tarage!$I$4:$I$44,MATCH(K69+B69+B70,Courbe_de_tarage!$I$4:$I$44,1)+1)),IFERROR(INDEX(Courbe_de_tarage!$A$4:$A$44,MATCH(K69+B69+B70,Courbe_de_tarage!$I$4:$I$44,1)),INDEX(Courbe_de_tarage!$A$4:$A$44,1))))</f>
        <v/>
      </c>
      <c r="G70" s="12">
        <f>IF(A70="","",Parametres!$C$9+F70)</f>
        <v/>
      </c>
      <c r="H70" s="12">
        <f>IF(A70="","",IFERROR(FORECAST(K69+B69+B70,INDEX(Courbe_de_tarage!$H$4:$H$44,MATCH(K69+B69+B70,Courbe_de_tarage!$I$4:$I$44,1)):INDEX(Courbe_de_tarage!$H$4:$H$44,MATCH(K69+B69+B70,Courbe_de_tarage!$I$4:$I$44,1)+1),INDEX(Courbe_de_tarage!$I$4:$I$44,MATCH(K69+B69+B70,Courbe_de_tarage!$I$4:$I$44,1)):INDEX(Courbe_de_tarage!$I$4:$I$44,MATCH(K69+B69+B70,Courbe_de_tarage!$I$4:$I$44,1)+1)),IFERROR(INDEX(Courbe_de_tarage!$H$4:$H$44,MATCH(K69+B69+B70,Courbe_de_tarage!$I$4:$I$44,1)),INDEX(Courbe_de_tarage!$H$4:$H$44,1))))</f>
        <v/>
      </c>
      <c r="I70" s="5">
        <f>IF(G70="","",IF(G70&gt;Parametres!$C$11,"OUI",""))</f>
        <v/>
      </c>
      <c r="J70" s="12">
        <f>IF(A70="","",K69+B69+B70)</f>
        <v/>
      </c>
      <c r="K70" s="12">
        <f>IF(A70="","",2*H70/(Hydrogramme_entree!$B$8*60)-E70)</f>
        <v/>
      </c>
    </row>
    <row r="71">
      <c r="A71" s="5">
        <f>Hydrogramme_entree!A83</f>
        <v/>
      </c>
      <c r="B71" s="12">
        <f>Hydrogramme_entree!B83</f>
        <v/>
      </c>
      <c r="C71" s="12">
        <f>IF(A71="","",IFERROR(FORECAST(K70+B70+B71,INDEX(Courbe_de_tarage!$C$4:$C$44,MATCH(K70+B70+B71,Courbe_de_tarage!$I$4:$I$44,1)):INDEX(Courbe_de_tarage!$C$4:$C$44,MATCH(K70+B70+B71,Courbe_de_tarage!$I$4:$I$44,1)+1),INDEX(Courbe_de_tarage!$I$4:$I$44,MATCH(K70+B70+B71,Courbe_de_tarage!$I$4:$I$44,1)):INDEX(Courbe_de_tarage!$I$4:$I$44,MATCH(K70+B70+B71,Courbe_de_tarage!$I$4:$I$44,1)+1)),IFERROR(INDEX(Courbe_de_tarage!$C$4:$C$44,MATCH(K70+B70+B71,Courbe_de_tarage!$I$4:$I$44,1)),INDEX(Courbe_de_tarage!$C$4:$C$44,1))))</f>
        <v/>
      </c>
      <c r="D71" s="12">
        <f>IF(A71="","",IFERROR(FORECAST(K70+B70+B71,INDEX(Courbe_de_tarage!$D$4:$D$44,MATCH(K70+B70+B71,Courbe_de_tarage!$I$4:$I$44,1)):INDEX(Courbe_de_tarage!$D$4:$D$44,MATCH(K70+B70+B71,Courbe_de_tarage!$I$4:$I$44,1)+1),INDEX(Courbe_de_tarage!$I$4:$I$44,MATCH(K70+B70+B71,Courbe_de_tarage!$I$4:$I$44,1)):INDEX(Courbe_de_tarage!$I$4:$I$44,MATCH(K70+B70+B71,Courbe_de_tarage!$I$4:$I$44,1)+1)),IFERROR(INDEX(Courbe_de_tarage!$D$4:$D$44,MATCH(K70+B70+B71,Courbe_de_tarage!$I$4:$I$44,1)),INDEX(Courbe_de_tarage!$D$4:$D$44,1))))</f>
        <v/>
      </c>
      <c r="E71" s="12">
        <f>IF(A71="","",IFERROR(FORECAST(K70+B70+B71,INDEX(Courbe_de_tarage!$E$4:$E$44,MATCH(K70+B70+B71,Courbe_de_tarage!$I$4:$I$44,1)):INDEX(Courbe_de_tarage!$E$4:$E$44,MATCH(K70+B70+B71,Courbe_de_tarage!$I$4:$I$44,1)+1),INDEX(Courbe_de_tarage!$I$4:$I$44,MATCH(K70+B70+B71,Courbe_de_tarage!$I$4:$I$44,1)):INDEX(Courbe_de_tarage!$I$4:$I$44,MATCH(K70+B70+B71,Courbe_de_tarage!$I$4:$I$44,1)+1)),IFERROR(INDEX(Courbe_de_tarage!$E$4:$E$44,MATCH(K70+B70+B71,Courbe_de_tarage!$I$4:$I$44,1)),INDEX(Courbe_de_tarage!$E$4:$E$44,1))))</f>
        <v/>
      </c>
      <c r="F71" s="12">
        <f>IF(A71="","",IFERROR(FORECAST(K70+B70+B71,INDEX(Courbe_de_tarage!$A$4:$A$44,MATCH(K70+B70+B71,Courbe_de_tarage!$I$4:$I$44,1)):INDEX(Courbe_de_tarage!$A$4:$A$44,MATCH(K70+B70+B71,Courbe_de_tarage!$I$4:$I$44,1)+1),INDEX(Courbe_de_tarage!$I$4:$I$44,MATCH(K70+B70+B71,Courbe_de_tarage!$I$4:$I$44,1)):INDEX(Courbe_de_tarage!$I$4:$I$44,MATCH(K70+B70+B71,Courbe_de_tarage!$I$4:$I$44,1)+1)),IFERROR(INDEX(Courbe_de_tarage!$A$4:$A$44,MATCH(K70+B70+B71,Courbe_de_tarage!$I$4:$I$44,1)),INDEX(Courbe_de_tarage!$A$4:$A$44,1))))</f>
        <v/>
      </c>
      <c r="G71" s="12">
        <f>IF(A71="","",Parametres!$C$9+F71)</f>
        <v/>
      </c>
      <c r="H71" s="12">
        <f>IF(A71="","",IFERROR(FORECAST(K70+B70+B71,INDEX(Courbe_de_tarage!$H$4:$H$44,MATCH(K70+B70+B71,Courbe_de_tarage!$I$4:$I$44,1)):INDEX(Courbe_de_tarage!$H$4:$H$44,MATCH(K70+B70+B71,Courbe_de_tarage!$I$4:$I$44,1)+1),INDEX(Courbe_de_tarage!$I$4:$I$44,MATCH(K70+B70+B71,Courbe_de_tarage!$I$4:$I$44,1)):INDEX(Courbe_de_tarage!$I$4:$I$44,MATCH(K70+B70+B71,Courbe_de_tarage!$I$4:$I$44,1)+1)),IFERROR(INDEX(Courbe_de_tarage!$H$4:$H$44,MATCH(K70+B70+B71,Courbe_de_tarage!$I$4:$I$44,1)),INDEX(Courbe_de_tarage!$H$4:$H$44,1))))</f>
        <v/>
      </c>
      <c r="I71" s="5">
        <f>IF(G71="","",IF(G71&gt;Parametres!$C$11,"OUI",""))</f>
        <v/>
      </c>
      <c r="J71" s="12">
        <f>IF(A71="","",K70+B70+B71)</f>
        <v/>
      </c>
      <c r="K71" s="12">
        <f>IF(A71="","",2*H71/(Hydrogramme_entree!$B$8*60)-E71)</f>
        <v/>
      </c>
    </row>
    <row r="72">
      <c r="A72" s="5">
        <f>Hydrogramme_entree!A84</f>
        <v/>
      </c>
      <c r="B72" s="12">
        <f>Hydrogramme_entree!B84</f>
        <v/>
      </c>
      <c r="C72" s="12">
        <f>IF(A72="","",IFERROR(FORECAST(K71+B71+B72,INDEX(Courbe_de_tarage!$C$4:$C$44,MATCH(K71+B71+B72,Courbe_de_tarage!$I$4:$I$44,1)):INDEX(Courbe_de_tarage!$C$4:$C$44,MATCH(K71+B71+B72,Courbe_de_tarage!$I$4:$I$44,1)+1),INDEX(Courbe_de_tarage!$I$4:$I$44,MATCH(K71+B71+B72,Courbe_de_tarage!$I$4:$I$44,1)):INDEX(Courbe_de_tarage!$I$4:$I$44,MATCH(K71+B71+B72,Courbe_de_tarage!$I$4:$I$44,1)+1)),IFERROR(INDEX(Courbe_de_tarage!$C$4:$C$44,MATCH(K71+B71+B72,Courbe_de_tarage!$I$4:$I$44,1)),INDEX(Courbe_de_tarage!$C$4:$C$44,1))))</f>
        <v/>
      </c>
      <c r="D72" s="12">
        <f>IF(A72="","",IFERROR(FORECAST(K71+B71+B72,INDEX(Courbe_de_tarage!$D$4:$D$44,MATCH(K71+B71+B72,Courbe_de_tarage!$I$4:$I$44,1)):INDEX(Courbe_de_tarage!$D$4:$D$44,MATCH(K71+B71+B72,Courbe_de_tarage!$I$4:$I$44,1)+1),INDEX(Courbe_de_tarage!$I$4:$I$44,MATCH(K71+B71+B72,Courbe_de_tarage!$I$4:$I$44,1)):INDEX(Courbe_de_tarage!$I$4:$I$44,MATCH(K71+B71+B72,Courbe_de_tarage!$I$4:$I$44,1)+1)),IFERROR(INDEX(Courbe_de_tarage!$D$4:$D$44,MATCH(K71+B71+B72,Courbe_de_tarage!$I$4:$I$44,1)),INDEX(Courbe_de_tarage!$D$4:$D$44,1))))</f>
        <v/>
      </c>
      <c r="E72" s="12">
        <f>IF(A72="","",IFERROR(FORECAST(K71+B71+B72,INDEX(Courbe_de_tarage!$E$4:$E$44,MATCH(K71+B71+B72,Courbe_de_tarage!$I$4:$I$44,1)):INDEX(Courbe_de_tarage!$E$4:$E$44,MATCH(K71+B71+B72,Courbe_de_tarage!$I$4:$I$44,1)+1),INDEX(Courbe_de_tarage!$I$4:$I$44,MATCH(K71+B71+B72,Courbe_de_tarage!$I$4:$I$44,1)):INDEX(Courbe_de_tarage!$I$4:$I$44,MATCH(K71+B71+B72,Courbe_de_tarage!$I$4:$I$44,1)+1)),IFERROR(INDEX(Courbe_de_tarage!$E$4:$E$44,MATCH(K71+B71+B72,Courbe_de_tarage!$I$4:$I$44,1)),INDEX(Courbe_de_tarage!$E$4:$E$44,1))))</f>
        <v/>
      </c>
      <c r="F72" s="12">
        <f>IF(A72="","",IFERROR(FORECAST(K71+B71+B72,INDEX(Courbe_de_tarage!$A$4:$A$44,MATCH(K71+B71+B72,Courbe_de_tarage!$I$4:$I$44,1)):INDEX(Courbe_de_tarage!$A$4:$A$44,MATCH(K71+B71+B72,Courbe_de_tarage!$I$4:$I$44,1)+1),INDEX(Courbe_de_tarage!$I$4:$I$44,MATCH(K71+B71+B72,Courbe_de_tarage!$I$4:$I$44,1)):INDEX(Courbe_de_tarage!$I$4:$I$44,MATCH(K71+B71+B72,Courbe_de_tarage!$I$4:$I$44,1)+1)),IFERROR(INDEX(Courbe_de_tarage!$A$4:$A$44,MATCH(K71+B71+B72,Courbe_de_tarage!$I$4:$I$44,1)),INDEX(Courbe_de_tarage!$A$4:$A$44,1))))</f>
        <v/>
      </c>
      <c r="G72" s="12">
        <f>IF(A72="","",Parametres!$C$9+F72)</f>
        <v/>
      </c>
      <c r="H72" s="12">
        <f>IF(A72="","",IFERROR(FORECAST(K71+B71+B72,INDEX(Courbe_de_tarage!$H$4:$H$44,MATCH(K71+B71+B72,Courbe_de_tarage!$I$4:$I$44,1)):INDEX(Courbe_de_tarage!$H$4:$H$44,MATCH(K71+B71+B72,Courbe_de_tarage!$I$4:$I$44,1)+1),INDEX(Courbe_de_tarage!$I$4:$I$44,MATCH(K71+B71+B72,Courbe_de_tarage!$I$4:$I$44,1)):INDEX(Courbe_de_tarage!$I$4:$I$44,MATCH(K71+B71+B72,Courbe_de_tarage!$I$4:$I$44,1)+1)),IFERROR(INDEX(Courbe_de_tarage!$H$4:$H$44,MATCH(K71+B71+B72,Courbe_de_tarage!$I$4:$I$44,1)),INDEX(Courbe_de_tarage!$H$4:$H$44,1))))</f>
        <v/>
      </c>
      <c r="I72" s="5">
        <f>IF(G72="","",IF(G72&gt;Parametres!$C$11,"OUI",""))</f>
        <v/>
      </c>
      <c r="J72" s="12">
        <f>IF(A72="","",K71+B71+B72)</f>
        <v/>
      </c>
      <c r="K72" s="12">
        <f>IF(A72="","",2*H72/(Hydrogramme_entree!$B$8*60)-E72)</f>
        <v/>
      </c>
    </row>
    <row r="73">
      <c r="A73" s="5">
        <f>Hydrogramme_entree!A85</f>
        <v/>
      </c>
      <c r="B73" s="12">
        <f>Hydrogramme_entree!B85</f>
        <v/>
      </c>
      <c r="C73" s="12">
        <f>IF(A73="","",IFERROR(FORECAST(K72+B72+B73,INDEX(Courbe_de_tarage!$C$4:$C$44,MATCH(K72+B72+B73,Courbe_de_tarage!$I$4:$I$44,1)):INDEX(Courbe_de_tarage!$C$4:$C$44,MATCH(K72+B72+B73,Courbe_de_tarage!$I$4:$I$44,1)+1),INDEX(Courbe_de_tarage!$I$4:$I$44,MATCH(K72+B72+B73,Courbe_de_tarage!$I$4:$I$44,1)):INDEX(Courbe_de_tarage!$I$4:$I$44,MATCH(K72+B72+B73,Courbe_de_tarage!$I$4:$I$44,1)+1)),IFERROR(INDEX(Courbe_de_tarage!$C$4:$C$44,MATCH(K72+B72+B73,Courbe_de_tarage!$I$4:$I$44,1)),INDEX(Courbe_de_tarage!$C$4:$C$44,1))))</f>
        <v/>
      </c>
      <c r="D73" s="12">
        <f>IF(A73="","",IFERROR(FORECAST(K72+B72+B73,INDEX(Courbe_de_tarage!$D$4:$D$44,MATCH(K72+B72+B73,Courbe_de_tarage!$I$4:$I$44,1)):INDEX(Courbe_de_tarage!$D$4:$D$44,MATCH(K72+B72+B73,Courbe_de_tarage!$I$4:$I$44,1)+1),INDEX(Courbe_de_tarage!$I$4:$I$44,MATCH(K72+B72+B73,Courbe_de_tarage!$I$4:$I$44,1)):INDEX(Courbe_de_tarage!$I$4:$I$44,MATCH(K72+B72+B73,Courbe_de_tarage!$I$4:$I$44,1)+1)),IFERROR(INDEX(Courbe_de_tarage!$D$4:$D$44,MATCH(K72+B72+B73,Courbe_de_tarage!$I$4:$I$44,1)),INDEX(Courbe_de_tarage!$D$4:$D$44,1))))</f>
        <v/>
      </c>
      <c r="E73" s="12">
        <f>IF(A73="","",IFERROR(FORECAST(K72+B72+B73,INDEX(Courbe_de_tarage!$E$4:$E$44,MATCH(K72+B72+B73,Courbe_de_tarage!$I$4:$I$44,1)):INDEX(Courbe_de_tarage!$E$4:$E$44,MATCH(K72+B72+B73,Courbe_de_tarage!$I$4:$I$44,1)+1),INDEX(Courbe_de_tarage!$I$4:$I$44,MATCH(K72+B72+B73,Courbe_de_tarage!$I$4:$I$44,1)):INDEX(Courbe_de_tarage!$I$4:$I$44,MATCH(K72+B72+B73,Courbe_de_tarage!$I$4:$I$44,1)+1)),IFERROR(INDEX(Courbe_de_tarage!$E$4:$E$44,MATCH(K72+B72+B73,Courbe_de_tarage!$I$4:$I$44,1)),INDEX(Courbe_de_tarage!$E$4:$E$44,1))))</f>
        <v/>
      </c>
      <c r="F73" s="12">
        <f>IF(A73="","",IFERROR(FORECAST(K72+B72+B73,INDEX(Courbe_de_tarage!$A$4:$A$44,MATCH(K72+B72+B73,Courbe_de_tarage!$I$4:$I$44,1)):INDEX(Courbe_de_tarage!$A$4:$A$44,MATCH(K72+B72+B73,Courbe_de_tarage!$I$4:$I$44,1)+1),INDEX(Courbe_de_tarage!$I$4:$I$44,MATCH(K72+B72+B73,Courbe_de_tarage!$I$4:$I$44,1)):INDEX(Courbe_de_tarage!$I$4:$I$44,MATCH(K72+B72+B73,Courbe_de_tarage!$I$4:$I$44,1)+1)),IFERROR(INDEX(Courbe_de_tarage!$A$4:$A$44,MATCH(K72+B72+B73,Courbe_de_tarage!$I$4:$I$44,1)),INDEX(Courbe_de_tarage!$A$4:$A$44,1))))</f>
        <v/>
      </c>
      <c r="G73" s="12">
        <f>IF(A73="","",Parametres!$C$9+F73)</f>
        <v/>
      </c>
      <c r="H73" s="12">
        <f>IF(A73="","",IFERROR(FORECAST(K72+B72+B73,INDEX(Courbe_de_tarage!$H$4:$H$44,MATCH(K72+B72+B73,Courbe_de_tarage!$I$4:$I$44,1)):INDEX(Courbe_de_tarage!$H$4:$H$44,MATCH(K72+B72+B73,Courbe_de_tarage!$I$4:$I$44,1)+1),INDEX(Courbe_de_tarage!$I$4:$I$44,MATCH(K72+B72+B73,Courbe_de_tarage!$I$4:$I$44,1)):INDEX(Courbe_de_tarage!$I$4:$I$44,MATCH(K72+B72+B73,Courbe_de_tarage!$I$4:$I$44,1)+1)),IFERROR(INDEX(Courbe_de_tarage!$H$4:$H$44,MATCH(K72+B72+B73,Courbe_de_tarage!$I$4:$I$44,1)),INDEX(Courbe_de_tarage!$H$4:$H$44,1))))</f>
        <v/>
      </c>
      <c r="I73" s="5">
        <f>IF(G73="","",IF(G73&gt;Parametres!$C$11,"OUI",""))</f>
        <v/>
      </c>
      <c r="J73" s="12">
        <f>IF(A73="","",K72+B72+B73)</f>
        <v/>
      </c>
      <c r="K73" s="12">
        <f>IF(A73="","",2*H73/(Hydrogramme_entree!$B$8*60)-E73)</f>
        <v/>
      </c>
    </row>
    <row r="74">
      <c r="A74" s="5">
        <f>Hydrogramme_entree!A86</f>
        <v/>
      </c>
      <c r="B74" s="12">
        <f>Hydrogramme_entree!B86</f>
        <v/>
      </c>
      <c r="C74" s="12">
        <f>IF(A74="","",IFERROR(FORECAST(K73+B73+B74,INDEX(Courbe_de_tarage!$C$4:$C$44,MATCH(K73+B73+B74,Courbe_de_tarage!$I$4:$I$44,1)):INDEX(Courbe_de_tarage!$C$4:$C$44,MATCH(K73+B73+B74,Courbe_de_tarage!$I$4:$I$44,1)+1),INDEX(Courbe_de_tarage!$I$4:$I$44,MATCH(K73+B73+B74,Courbe_de_tarage!$I$4:$I$44,1)):INDEX(Courbe_de_tarage!$I$4:$I$44,MATCH(K73+B73+B74,Courbe_de_tarage!$I$4:$I$44,1)+1)),IFERROR(INDEX(Courbe_de_tarage!$C$4:$C$44,MATCH(K73+B73+B74,Courbe_de_tarage!$I$4:$I$44,1)),INDEX(Courbe_de_tarage!$C$4:$C$44,1))))</f>
        <v/>
      </c>
      <c r="D74" s="12">
        <f>IF(A74="","",IFERROR(FORECAST(K73+B73+B74,INDEX(Courbe_de_tarage!$D$4:$D$44,MATCH(K73+B73+B74,Courbe_de_tarage!$I$4:$I$44,1)):INDEX(Courbe_de_tarage!$D$4:$D$44,MATCH(K73+B73+B74,Courbe_de_tarage!$I$4:$I$44,1)+1),INDEX(Courbe_de_tarage!$I$4:$I$44,MATCH(K73+B73+B74,Courbe_de_tarage!$I$4:$I$44,1)):INDEX(Courbe_de_tarage!$I$4:$I$44,MATCH(K73+B73+B74,Courbe_de_tarage!$I$4:$I$44,1)+1)),IFERROR(INDEX(Courbe_de_tarage!$D$4:$D$44,MATCH(K73+B73+B74,Courbe_de_tarage!$I$4:$I$44,1)),INDEX(Courbe_de_tarage!$D$4:$D$44,1))))</f>
        <v/>
      </c>
      <c r="E74" s="12">
        <f>IF(A74="","",IFERROR(FORECAST(K73+B73+B74,INDEX(Courbe_de_tarage!$E$4:$E$44,MATCH(K73+B73+B74,Courbe_de_tarage!$I$4:$I$44,1)):INDEX(Courbe_de_tarage!$E$4:$E$44,MATCH(K73+B73+B74,Courbe_de_tarage!$I$4:$I$44,1)+1),INDEX(Courbe_de_tarage!$I$4:$I$44,MATCH(K73+B73+B74,Courbe_de_tarage!$I$4:$I$44,1)):INDEX(Courbe_de_tarage!$I$4:$I$44,MATCH(K73+B73+B74,Courbe_de_tarage!$I$4:$I$44,1)+1)),IFERROR(INDEX(Courbe_de_tarage!$E$4:$E$44,MATCH(K73+B73+B74,Courbe_de_tarage!$I$4:$I$44,1)),INDEX(Courbe_de_tarage!$E$4:$E$44,1))))</f>
        <v/>
      </c>
      <c r="F74" s="12">
        <f>IF(A74="","",IFERROR(FORECAST(K73+B73+B74,INDEX(Courbe_de_tarage!$A$4:$A$44,MATCH(K73+B73+B74,Courbe_de_tarage!$I$4:$I$44,1)):INDEX(Courbe_de_tarage!$A$4:$A$44,MATCH(K73+B73+B74,Courbe_de_tarage!$I$4:$I$44,1)+1),INDEX(Courbe_de_tarage!$I$4:$I$44,MATCH(K73+B73+B74,Courbe_de_tarage!$I$4:$I$44,1)):INDEX(Courbe_de_tarage!$I$4:$I$44,MATCH(K73+B73+B74,Courbe_de_tarage!$I$4:$I$44,1)+1)),IFERROR(INDEX(Courbe_de_tarage!$A$4:$A$44,MATCH(K73+B73+B74,Courbe_de_tarage!$I$4:$I$44,1)),INDEX(Courbe_de_tarage!$A$4:$A$44,1))))</f>
        <v/>
      </c>
      <c r="G74" s="12">
        <f>IF(A74="","",Parametres!$C$9+F74)</f>
        <v/>
      </c>
      <c r="H74" s="12">
        <f>IF(A74="","",IFERROR(FORECAST(K73+B73+B74,INDEX(Courbe_de_tarage!$H$4:$H$44,MATCH(K73+B73+B74,Courbe_de_tarage!$I$4:$I$44,1)):INDEX(Courbe_de_tarage!$H$4:$H$44,MATCH(K73+B73+B74,Courbe_de_tarage!$I$4:$I$44,1)+1),INDEX(Courbe_de_tarage!$I$4:$I$44,MATCH(K73+B73+B74,Courbe_de_tarage!$I$4:$I$44,1)):INDEX(Courbe_de_tarage!$I$4:$I$44,MATCH(K73+B73+B74,Courbe_de_tarage!$I$4:$I$44,1)+1)),IFERROR(INDEX(Courbe_de_tarage!$H$4:$H$44,MATCH(K73+B73+B74,Courbe_de_tarage!$I$4:$I$44,1)),INDEX(Courbe_de_tarage!$H$4:$H$44,1))))</f>
        <v/>
      </c>
      <c r="I74" s="5">
        <f>IF(G74="","",IF(G74&gt;Parametres!$C$11,"OUI",""))</f>
        <v/>
      </c>
      <c r="J74" s="12">
        <f>IF(A74="","",K73+B73+B74)</f>
        <v/>
      </c>
      <c r="K74" s="12">
        <f>IF(A74="","",2*H74/(Hydrogramme_entree!$B$8*60)-E74)</f>
        <v/>
      </c>
    </row>
    <row r="75">
      <c r="A75" s="5">
        <f>Hydrogramme_entree!A87</f>
        <v/>
      </c>
      <c r="B75" s="12">
        <f>Hydrogramme_entree!B87</f>
        <v/>
      </c>
      <c r="C75" s="12">
        <f>IF(A75="","",IFERROR(FORECAST(K74+B74+B75,INDEX(Courbe_de_tarage!$C$4:$C$44,MATCH(K74+B74+B75,Courbe_de_tarage!$I$4:$I$44,1)):INDEX(Courbe_de_tarage!$C$4:$C$44,MATCH(K74+B74+B75,Courbe_de_tarage!$I$4:$I$44,1)+1),INDEX(Courbe_de_tarage!$I$4:$I$44,MATCH(K74+B74+B75,Courbe_de_tarage!$I$4:$I$44,1)):INDEX(Courbe_de_tarage!$I$4:$I$44,MATCH(K74+B74+B75,Courbe_de_tarage!$I$4:$I$44,1)+1)),IFERROR(INDEX(Courbe_de_tarage!$C$4:$C$44,MATCH(K74+B74+B75,Courbe_de_tarage!$I$4:$I$44,1)),INDEX(Courbe_de_tarage!$C$4:$C$44,1))))</f>
        <v/>
      </c>
      <c r="D75" s="12">
        <f>IF(A75="","",IFERROR(FORECAST(K74+B74+B75,INDEX(Courbe_de_tarage!$D$4:$D$44,MATCH(K74+B74+B75,Courbe_de_tarage!$I$4:$I$44,1)):INDEX(Courbe_de_tarage!$D$4:$D$44,MATCH(K74+B74+B75,Courbe_de_tarage!$I$4:$I$44,1)+1),INDEX(Courbe_de_tarage!$I$4:$I$44,MATCH(K74+B74+B75,Courbe_de_tarage!$I$4:$I$44,1)):INDEX(Courbe_de_tarage!$I$4:$I$44,MATCH(K74+B74+B75,Courbe_de_tarage!$I$4:$I$44,1)+1)),IFERROR(INDEX(Courbe_de_tarage!$D$4:$D$44,MATCH(K74+B74+B75,Courbe_de_tarage!$I$4:$I$44,1)),INDEX(Courbe_de_tarage!$D$4:$D$44,1))))</f>
        <v/>
      </c>
      <c r="E75" s="12">
        <f>IF(A75="","",IFERROR(FORECAST(K74+B74+B75,INDEX(Courbe_de_tarage!$E$4:$E$44,MATCH(K74+B74+B75,Courbe_de_tarage!$I$4:$I$44,1)):INDEX(Courbe_de_tarage!$E$4:$E$44,MATCH(K74+B74+B75,Courbe_de_tarage!$I$4:$I$44,1)+1),INDEX(Courbe_de_tarage!$I$4:$I$44,MATCH(K74+B74+B75,Courbe_de_tarage!$I$4:$I$44,1)):INDEX(Courbe_de_tarage!$I$4:$I$44,MATCH(K74+B74+B75,Courbe_de_tarage!$I$4:$I$44,1)+1)),IFERROR(INDEX(Courbe_de_tarage!$E$4:$E$44,MATCH(K74+B74+B75,Courbe_de_tarage!$I$4:$I$44,1)),INDEX(Courbe_de_tarage!$E$4:$E$44,1))))</f>
        <v/>
      </c>
      <c r="F75" s="12">
        <f>IF(A75="","",IFERROR(FORECAST(K74+B74+B75,INDEX(Courbe_de_tarage!$A$4:$A$44,MATCH(K74+B74+B75,Courbe_de_tarage!$I$4:$I$44,1)):INDEX(Courbe_de_tarage!$A$4:$A$44,MATCH(K74+B74+B75,Courbe_de_tarage!$I$4:$I$44,1)+1),INDEX(Courbe_de_tarage!$I$4:$I$44,MATCH(K74+B74+B75,Courbe_de_tarage!$I$4:$I$44,1)):INDEX(Courbe_de_tarage!$I$4:$I$44,MATCH(K74+B74+B75,Courbe_de_tarage!$I$4:$I$44,1)+1)),IFERROR(INDEX(Courbe_de_tarage!$A$4:$A$44,MATCH(K74+B74+B75,Courbe_de_tarage!$I$4:$I$44,1)),INDEX(Courbe_de_tarage!$A$4:$A$44,1))))</f>
        <v/>
      </c>
      <c r="G75" s="12">
        <f>IF(A75="","",Parametres!$C$9+F75)</f>
        <v/>
      </c>
      <c r="H75" s="12">
        <f>IF(A75="","",IFERROR(FORECAST(K74+B74+B75,INDEX(Courbe_de_tarage!$H$4:$H$44,MATCH(K74+B74+B75,Courbe_de_tarage!$I$4:$I$44,1)):INDEX(Courbe_de_tarage!$H$4:$H$44,MATCH(K74+B74+B75,Courbe_de_tarage!$I$4:$I$44,1)+1),INDEX(Courbe_de_tarage!$I$4:$I$44,MATCH(K74+B74+B75,Courbe_de_tarage!$I$4:$I$44,1)):INDEX(Courbe_de_tarage!$I$4:$I$44,MATCH(K74+B74+B75,Courbe_de_tarage!$I$4:$I$44,1)+1)),IFERROR(INDEX(Courbe_de_tarage!$H$4:$H$44,MATCH(K74+B74+B75,Courbe_de_tarage!$I$4:$I$44,1)),INDEX(Courbe_de_tarage!$H$4:$H$44,1))))</f>
        <v/>
      </c>
      <c r="I75" s="5">
        <f>IF(G75="","",IF(G75&gt;Parametres!$C$11,"OUI",""))</f>
        <v/>
      </c>
      <c r="J75" s="12">
        <f>IF(A75="","",K74+B74+B75)</f>
        <v/>
      </c>
      <c r="K75" s="12">
        <f>IF(A75="","",2*H75/(Hydrogramme_entree!$B$8*60)-E75)</f>
        <v/>
      </c>
    </row>
    <row r="76">
      <c r="A76" s="5">
        <f>Hydrogramme_entree!A88</f>
        <v/>
      </c>
      <c r="B76" s="12">
        <f>Hydrogramme_entree!B88</f>
        <v/>
      </c>
      <c r="C76" s="12">
        <f>IF(A76="","",IFERROR(FORECAST(K75+B75+B76,INDEX(Courbe_de_tarage!$C$4:$C$44,MATCH(K75+B75+B76,Courbe_de_tarage!$I$4:$I$44,1)):INDEX(Courbe_de_tarage!$C$4:$C$44,MATCH(K75+B75+B76,Courbe_de_tarage!$I$4:$I$44,1)+1),INDEX(Courbe_de_tarage!$I$4:$I$44,MATCH(K75+B75+B76,Courbe_de_tarage!$I$4:$I$44,1)):INDEX(Courbe_de_tarage!$I$4:$I$44,MATCH(K75+B75+B76,Courbe_de_tarage!$I$4:$I$44,1)+1)),IFERROR(INDEX(Courbe_de_tarage!$C$4:$C$44,MATCH(K75+B75+B76,Courbe_de_tarage!$I$4:$I$44,1)),INDEX(Courbe_de_tarage!$C$4:$C$44,1))))</f>
        <v/>
      </c>
      <c r="D76" s="12">
        <f>IF(A76="","",IFERROR(FORECAST(K75+B75+B76,INDEX(Courbe_de_tarage!$D$4:$D$44,MATCH(K75+B75+B76,Courbe_de_tarage!$I$4:$I$44,1)):INDEX(Courbe_de_tarage!$D$4:$D$44,MATCH(K75+B75+B76,Courbe_de_tarage!$I$4:$I$44,1)+1),INDEX(Courbe_de_tarage!$I$4:$I$44,MATCH(K75+B75+B76,Courbe_de_tarage!$I$4:$I$44,1)):INDEX(Courbe_de_tarage!$I$4:$I$44,MATCH(K75+B75+B76,Courbe_de_tarage!$I$4:$I$44,1)+1)),IFERROR(INDEX(Courbe_de_tarage!$D$4:$D$44,MATCH(K75+B75+B76,Courbe_de_tarage!$I$4:$I$44,1)),INDEX(Courbe_de_tarage!$D$4:$D$44,1))))</f>
        <v/>
      </c>
      <c r="E76" s="12">
        <f>IF(A76="","",IFERROR(FORECAST(K75+B75+B76,INDEX(Courbe_de_tarage!$E$4:$E$44,MATCH(K75+B75+B76,Courbe_de_tarage!$I$4:$I$44,1)):INDEX(Courbe_de_tarage!$E$4:$E$44,MATCH(K75+B75+B76,Courbe_de_tarage!$I$4:$I$44,1)+1),INDEX(Courbe_de_tarage!$I$4:$I$44,MATCH(K75+B75+B76,Courbe_de_tarage!$I$4:$I$44,1)):INDEX(Courbe_de_tarage!$I$4:$I$44,MATCH(K75+B75+B76,Courbe_de_tarage!$I$4:$I$44,1)+1)),IFERROR(INDEX(Courbe_de_tarage!$E$4:$E$44,MATCH(K75+B75+B76,Courbe_de_tarage!$I$4:$I$44,1)),INDEX(Courbe_de_tarage!$E$4:$E$44,1))))</f>
        <v/>
      </c>
      <c r="F76" s="12">
        <f>IF(A76="","",IFERROR(FORECAST(K75+B75+B76,INDEX(Courbe_de_tarage!$A$4:$A$44,MATCH(K75+B75+B76,Courbe_de_tarage!$I$4:$I$44,1)):INDEX(Courbe_de_tarage!$A$4:$A$44,MATCH(K75+B75+B76,Courbe_de_tarage!$I$4:$I$44,1)+1),INDEX(Courbe_de_tarage!$I$4:$I$44,MATCH(K75+B75+B76,Courbe_de_tarage!$I$4:$I$44,1)):INDEX(Courbe_de_tarage!$I$4:$I$44,MATCH(K75+B75+B76,Courbe_de_tarage!$I$4:$I$44,1)+1)),IFERROR(INDEX(Courbe_de_tarage!$A$4:$A$44,MATCH(K75+B75+B76,Courbe_de_tarage!$I$4:$I$44,1)),INDEX(Courbe_de_tarage!$A$4:$A$44,1))))</f>
        <v/>
      </c>
      <c r="G76" s="12">
        <f>IF(A76="","",Parametres!$C$9+F76)</f>
        <v/>
      </c>
      <c r="H76" s="12">
        <f>IF(A76="","",IFERROR(FORECAST(K75+B75+B76,INDEX(Courbe_de_tarage!$H$4:$H$44,MATCH(K75+B75+B76,Courbe_de_tarage!$I$4:$I$44,1)):INDEX(Courbe_de_tarage!$H$4:$H$44,MATCH(K75+B75+B76,Courbe_de_tarage!$I$4:$I$44,1)+1),INDEX(Courbe_de_tarage!$I$4:$I$44,MATCH(K75+B75+B76,Courbe_de_tarage!$I$4:$I$44,1)):INDEX(Courbe_de_tarage!$I$4:$I$44,MATCH(K75+B75+B76,Courbe_de_tarage!$I$4:$I$44,1)+1)),IFERROR(INDEX(Courbe_de_tarage!$H$4:$H$44,MATCH(K75+B75+B76,Courbe_de_tarage!$I$4:$I$44,1)),INDEX(Courbe_de_tarage!$H$4:$H$44,1))))</f>
        <v/>
      </c>
      <c r="I76" s="5">
        <f>IF(G76="","",IF(G76&gt;Parametres!$C$11,"OUI",""))</f>
        <v/>
      </c>
      <c r="J76" s="12">
        <f>IF(A76="","",K75+B75+B76)</f>
        <v/>
      </c>
      <c r="K76" s="12">
        <f>IF(A76="","",2*H76/(Hydrogramme_entree!$B$8*60)-E76)</f>
        <v/>
      </c>
    </row>
    <row r="77">
      <c r="A77" s="5">
        <f>Hydrogramme_entree!A89</f>
        <v/>
      </c>
      <c r="B77" s="12">
        <f>Hydrogramme_entree!B89</f>
        <v/>
      </c>
      <c r="C77" s="12">
        <f>IF(A77="","",IFERROR(FORECAST(K76+B76+B77,INDEX(Courbe_de_tarage!$C$4:$C$44,MATCH(K76+B76+B77,Courbe_de_tarage!$I$4:$I$44,1)):INDEX(Courbe_de_tarage!$C$4:$C$44,MATCH(K76+B76+B77,Courbe_de_tarage!$I$4:$I$44,1)+1),INDEX(Courbe_de_tarage!$I$4:$I$44,MATCH(K76+B76+B77,Courbe_de_tarage!$I$4:$I$44,1)):INDEX(Courbe_de_tarage!$I$4:$I$44,MATCH(K76+B76+B77,Courbe_de_tarage!$I$4:$I$44,1)+1)),IFERROR(INDEX(Courbe_de_tarage!$C$4:$C$44,MATCH(K76+B76+B77,Courbe_de_tarage!$I$4:$I$44,1)),INDEX(Courbe_de_tarage!$C$4:$C$44,1))))</f>
        <v/>
      </c>
      <c r="D77" s="12">
        <f>IF(A77="","",IFERROR(FORECAST(K76+B76+B77,INDEX(Courbe_de_tarage!$D$4:$D$44,MATCH(K76+B76+B77,Courbe_de_tarage!$I$4:$I$44,1)):INDEX(Courbe_de_tarage!$D$4:$D$44,MATCH(K76+B76+B77,Courbe_de_tarage!$I$4:$I$44,1)+1),INDEX(Courbe_de_tarage!$I$4:$I$44,MATCH(K76+B76+B77,Courbe_de_tarage!$I$4:$I$44,1)):INDEX(Courbe_de_tarage!$I$4:$I$44,MATCH(K76+B76+B77,Courbe_de_tarage!$I$4:$I$44,1)+1)),IFERROR(INDEX(Courbe_de_tarage!$D$4:$D$44,MATCH(K76+B76+B77,Courbe_de_tarage!$I$4:$I$44,1)),INDEX(Courbe_de_tarage!$D$4:$D$44,1))))</f>
        <v/>
      </c>
      <c r="E77" s="12">
        <f>IF(A77="","",IFERROR(FORECAST(K76+B76+B77,INDEX(Courbe_de_tarage!$E$4:$E$44,MATCH(K76+B76+B77,Courbe_de_tarage!$I$4:$I$44,1)):INDEX(Courbe_de_tarage!$E$4:$E$44,MATCH(K76+B76+B77,Courbe_de_tarage!$I$4:$I$44,1)+1),INDEX(Courbe_de_tarage!$I$4:$I$44,MATCH(K76+B76+B77,Courbe_de_tarage!$I$4:$I$44,1)):INDEX(Courbe_de_tarage!$I$4:$I$44,MATCH(K76+B76+B77,Courbe_de_tarage!$I$4:$I$44,1)+1)),IFERROR(INDEX(Courbe_de_tarage!$E$4:$E$44,MATCH(K76+B76+B77,Courbe_de_tarage!$I$4:$I$44,1)),INDEX(Courbe_de_tarage!$E$4:$E$44,1))))</f>
        <v/>
      </c>
      <c r="F77" s="12">
        <f>IF(A77="","",IFERROR(FORECAST(K76+B76+B77,INDEX(Courbe_de_tarage!$A$4:$A$44,MATCH(K76+B76+B77,Courbe_de_tarage!$I$4:$I$44,1)):INDEX(Courbe_de_tarage!$A$4:$A$44,MATCH(K76+B76+B77,Courbe_de_tarage!$I$4:$I$44,1)+1),INDEX(Courbe_de_tarage!$I$4:$I$44,MATCH(K76+B76+B77,Courbe_de_tarage!$I$4:$I$44,1)):INDEX(Courbe_de_tarage!$I$4:$I$44,MATCH(K76+B76+B77,Courbe_de_tarage!$I$4:$I$44,1)+1)),IFERROR(INDEX(Courbe_de_tarage!$A$4:$A$44,MATCH(K76+B76+B77,Courbe_de_tarage!$I$4:$I$44,1)),INDEX(Courbe_de_tarage!$A$4:$A$44,1))))</f>
        <v/>
      </c>
      <c r="G77" s="12">
        <f>IF(A77="","",Parametres!$C$9+F77)</f>
        <v/>
      </c>
      <c r="H77" s="12">
        <f>IF(A77="","",IFERROR(FORECAST(K76+B76+B77,INDEX(Courbe_de_tarage!$H$4:$H$44,MATCH(K76+B76+B77,Courbe_de_tarage!$I$4:$I$44,1)):INDEX(Courbe_de_tarage!$H$4:$H$44,MATCH(K76+B76+B77,Courbe_de_tarage!$I$4:$I$44,1)+1),INDEX(Courbe_de_tarage!$I$4:$I$44,MATCH(K76+B76+B77,Courbe_de_tarage!$I$4:$I$44,1)):INDEX(Courbe_de_tarage!$I$4:$I$44,MATCH(K76+B76+B77,Courbe_de_tarage!$I$4:$I$44,1)+1)),IFERROR(INDEX(Courbe_de_tarage!$H$4:$H$44,MATCH(K76+B76+B77,Courbe_de_tarage!$I$4:$I$44,1)),INDEX(Courbe_de_tarage!$H$4:$H$44,1))))</f>
        <v/>
      </c>
      <c r="I77" s="5">
        <f>IF(G77="","",IF(G77&gt;Parametres!$C$11,"OUI",""))</f>
        <v/>
      </c>
      <c r="J77" s="12">
        <f>IF(A77="","",K76+B76+B77)</f>
        <v/>
      </c>
      <c r="K77" s="12">
        <f>IF(A77="","",2*H77/(Hydrogramme_entree!$B$8*60)-E77)</f>
        <v/>
      </c>
    </row>
    <row r="78">
      <c r="A78" s="5">
        <f>Hydrogramme_entree!A90</f>
        <v/>
      </c>
      <c r="B78" s="12">
        <f>Hydrogramme_entree!B90</f>
        <v/>
      </c>
      <c r="C78" s="12">
        <f>IF(A78="","",IFERROR(FORECAST(K77+B77+B78,INDEX(Courbe_de_tarage!$C$4:$C$44,MATCH(K77+B77+B78,Courbe_de_tarage!$I$4:$I$44,1)):INDEX(Courbe_de_tarage!$C$4:$C$44,MATCH(K77+B77+B78,Courbe_de_tarage!$I$4:$I$44,1)+1),INDEX(Courbe_de_tarage!$I$4:$I$44,MATCH(K77+B77+B78,Courbe_de_tarage!$I$4:$I$44,1)):INDEX(Courbe_de_tarage!$I$4:$I$44,MATCH(K77+B77+B78,Courbe_de_tarage!$I$4:$I$44,1)+1)),IFERROR(INDEX(Courbe_de_tarage!$C$4:$C$44,MATCH(K77+B77+B78,Courbe_de_tarage!$I$4:$I$44,1)),INDEX(Courbe_de_tarage!$C$4:$C$44,1))))</f>
        <v/>
      </c>
      <c r="D78" s="12">
        <f>IF(A78="","",IFERROR(FORECAST(K77+B77+B78,INDEX(Courbe_de_tarage!$D$4:$D$44,MATCH(K77+B77+B78,Courbe_de_tarage!$I$4:$I$44,1)):INDEX(Courbe_de_tarage!$D$4:$D$44,MATCH(K77+B77+B78,Courbe_de_tarage!$I$4:$I$44,1)+1),INDEX(Courbe_de_tarage!$I$4:$I$44,MATCH(K77+B77+B78,Courbe_de_tarage!$I$4:$I$44,1)):INDEX(Courbe_de_tarage!$I$4:$I$44,MATCH(K77+B77+B78,Courbe_de_tarage!$I$4:$I$44,1)+1)),IFERROR(INDEX(Courbe_de_tarage!$D$4:$D$44,MATCH(K77+B77+B78,Courbe_de_tarage!$I$4:$I$44,1)),INDEX(Courbe_de_tarage!$D$4:$D$44,1))))</f>
        <v/>
      </c>
      <c r="E78" s="12">
        <f>IF(A78="","",IFERROR(FORECAST(K77+B77+B78,INDEX(Courbe_de_tarage!$E$4:$E$44,MATCH(K77+B77+B78,Courbe_de_tarage!$I$4:$I$44,1)):INDEX(Courbe_de_tarage!$E$4:$E$44,MATCH(K77+B77+B78,Courbe_de_tarage!$I$4:$I$44,1)+1),INDEX(Courbe_de_tarage!$I$4:$I$44,MATCH(K77+B77+B78,Courbe_de_tarage!$I$4:$I$44,1)):INDEX(Courbe_de_tarage!$I$4:$I$44,MATCH(K77+B77+B78,Courbe_de_tarage!$I$4:$I$44,1)+1)),IFERROR(INDEX(Courbe_de_tarage!$E$4:$E$44,MATCH(K77+B77+B78,Courbe_de_tarage!$I$4:$I$44,1)),INDEX(Courbe_de_tarage!$E$4:$E$44,1))))</f>
        <v/>
      </c>
      <c r="F78" s="12">
        <f>IF(A78="","",IFERROR(FORECAST(K77+B77+B78,INDEX(Courbe_de_tarage!$A$4:$A$44,MATCH(K77+B77+B78,Courbe_de_tarage!$I$4:$I$44,1)):INDEX(Courbe_de_tarage!$A$4:$A$44,MATCH(K77+B77+B78,Courbe_de_tarage!$I$4:$I$44,1)+1),INDEX(Courbe_de_tarage!$I$4:$I$44,MATCH(K77+B77+B78,Courbe_de_tarage!$I$4:$I$44,1)):INDEX(Courbe_de_tarage!$I$4:$I$44,MATCH(K77+B77+B78,Courbe_de_tarage!$I$4:$I$44,1)+1)),IFERROR(INDEX(Courbe_de_tarage!$A$4:$A$44,MATCH(K77+B77+B78,Courbe_de_tarage!$I$4:$I$44,1)),INDEX(Courbe_de_tarage!$A$4:$A$44,1))))</f>
        <v/>
      </c>
      <c r="G78" s="12">
        <f>IF(A78="","",Parametres!$C$9+F78)</f>
        <v/>
      </c>
      <c r="H78" s="12">
        <f>IF(A78="","",IFERROR(FORECAST(K77+B77+B78,INDEX(Courbe_de_tarage!$H$4:$H$44,MATCH(K77+B77+B78,Courbe_de_tarage!$I$4:$I$44,1)):INDEX(Courbe_de_tarage!$H$4:$H$44,MATCH(K77+B77+B78,Courbe_de_tarage!$I$4:$I$44,1)+1),INDEX(Courbe_de_tarage!$I$4:$I$44,MATCH(K77+B77+B78,Courbe_de_tarage!$I$4:$I$44,1)):INDEX(Courbe_de_tarage!$I$4:$I$44,MATCH(K77+B77+B78,Courbe_de_tarage!$I$4:$I$44,1)+1)),IFERROR(INDEX(Courbe_de_tarage!$H$4:$H$44,MATCH(K77+B77+B78,Courbe_de_tarage!$I$4:$I$44,1)),INDEX(Courbe_de_tarage!$H$4:$H$44,1))))</f>
        <v/>
      </c>
      <c r="I78" s="5">
        <f>IF(G78="","",IF(G78&gt;Parametres!$C$11,"OUI",""))</f>
        <v/>
      </c>
      <c r="J78" s="12">
        <f>IF(A78="","",K77+B77+B78)</f>
        <v/>
      </c>
      <c r="K78" s="12">
        <f>IF(A78="","",2*H78/(Hydrogramme_entree!$B$8*60)-E78)</f>
        <v/>
      </c>
    </row>
    <row r="79">
      <c r="A79" s="5">
        <f>Hydrogramme_entree!A91</f>
        <v/>
      </c>
      <c r="B79" s="12">
        <f>Hydrogramme_entree!B91</f>
        <v/>
      </c>
      <c r="C79" s="12">
        <f>IF(A79="","",IFERROR(FORECAST(K78+B78+B79,INDEX(Courbe_de_tarage!$C$4:$C$44,MATCH(K78+B78+B79,Courbe_de_tarage!$I$4:$I$44,1)):INDEX(Courbe_de_tarage!$C$4:$C$44,MATCH(K78+B78+B79,Courbe_de_tarage!$I$4:$I$44,1)+1),INDEX(Courbe_de_tarage!$I$4:$I$44,MATCH(K78+B78+B79,Courbe_de_tarage!$I$4:$I$44,1)):INDEX(Courbe_de_tarage!$I$4:$I$44,MATCH(K78+B78+B79,Courbe_de_tarage!$I$4:$I$44,1)+1)),IFERROR(INDEX(Courbe_de_tarage!$C$4:$C$44,MATCH(K78+B78+B79,Courbe_de_tarage!$I$4:$I$44,1)),INDEX(Courbe_de_tarage!$C$4:$C$44,1))))</f>
        <v/>
      </c>
      <c r="D79" s="12">
        <f>IF(A79="","",IFERROR(FORECAST(K78+B78+B79,INDEX(Courbe_de_tarage!$D$4:$D$44,MATCH(K78+B78+B79,Courbe_de_tarage!$I$4:$I$44,1)):INDEX(Courbe_de_tarage!$D$4:$D$44,MATCH(K78+B78+B79,Courbe_de_tarage!$I$4:$I$44,1)+1),INDEX(Courbe_de_tarage!$I$4:$I$44,MATCH(K78+B78+B79,Courbe_de_tarage!$I$4:$I$44,1)):INDEX(Courbe_de_tarage!$I$4:$I$44,MATCH(K78+B78+B79,Courbe_de_tarage!$I$4:$I$44,1)+1)),IFERROR(INDEX(Courbe_de_tarage!$D$4:$D$44,MATCH(K78+B78+B79,Courbe_de_tarage!$I$4:$I$44,1)),INDEX(Courbe_de_tarage!$D$4:$D$44,1))))</f>
        <v/>
      </c>
      <c r="E79" s="12">
        <f>IF(A79="","",IFERROR(FORECAST(K78+B78+B79,INDEX(Courbe_de_tarage!$E$4:$E$44,MATCH(K78+B78+B79,Courbe_de_tarage!$I$4:$I$44,1)):INDEX(Courbe_de_tarage!$E$4:$E$44,MATCH(K78+B78+B79,Courbe_de_tarage!$I$4:$I$44,1)+1),INDEX(Courbe_de_tarage!$I$4:$I$44,MATCH(K78+B78+B79,Courbe_de_tarage!$I$4:$I$44,1)):INDEX(Courbe_de_tarage!$I$4:$I$44,MATCH(K78+B78+B79,Courbe_de_tarage!$I$4:$I$44,1)+1)),IFERROR(INDEX(Courbe_de_tarage!$E$4:$E$44,MATCH(K78+B78+B79,Courbe_de_tarage!$I$4:$I$44,1)),INDEX(Courbe_de_tarage!$E$4:$E$44,1))))</f>
        <v/>
      </c>
      <c r="F79" s="12">
        <f>IF(A79="","",IFERROR(FORECAST(K78+B78+B79,INDEX(Courbe_de_tarage!$A$4:$A$44,MATCH(K78+B78+B79,Courbe_de_tarage!$I$4:$I$44,1)):INDEX(Courbe_de_tarage!$A$4:$A$44,MATCH(K78+B78+B79,Courbe_de_tarage!$I$4:$I$44,1)+1),INDEX(Courbe_de_tarage!$I$4:$I$44,MATCH(K78+B78+B79,Courbe_de_tarage!$I$4:$I$44,1)):INDEX(Courbe_de_tarage!$I$4:$I$44,MATCH(K78+B78+B79,Courbe_de_tarage!$I$4:$I$44,1)+1)),IFERROR(INDEX(Courbe_de_tarage!$A$4:$A$44,MATCH(K78+B78+B79,Courbe_de_tarage!$I$4:$I$44,1)),INDEX(Courbe_de_tarage!$A$4:$A$44,1))))</f>
        <v/>
      </c>
      <c r="G79" s="12">
        <f>IF(A79="","",Parametres!$C$9+F79)</f>
        <v/>
      </c>
      <c r="H79" s="12">
        <f>IF(A79="","",IFERROR(FORECAST(K78+B78+B79,INDEX(Courbe_de_tarage!$H$4:$H$44,MATCH(K78+B78+B79,Courbe_de_tarage!$I$4:$I$44,1)):INDEX(Courbe_de_tarage!$H$4:$H$44,MATCH(K78+B78+B79,Courbe_de_tarage!$I$4:$I$44,1)+1),INDEX(Courbe_de_tarage!$I$4:$I$44,MATCH(K78+B78+B79,Courbe_de_tarage!$I$4:$I$44,1)):INDEX(Courbe_de_tarage!$I$4:$I$44,MATCH(K78+B78+B79,Courbe_de_tarage!$I$4:$I$44,1)+1)),IFERROR(INDEX(Courbe_de_tarage!$H$4:$H$44,MATCH(K78+B78+B79,Courbe_de_tarage!$I$4:$I$44,1)),INDEX(Courbe_de_tarage!$H$4:$H$44,1))))</f>
        <v/>
      </c>
      <c r="I79" s="5">
        <f>IF(G79="","",IF(G79&gt;Parametres!$C$11,"OUI",""))</f>
        <v/>
      </c>
      <c r="J79" s="12">
        <f>IF(A79="","",K78+B78+B79)</f>
        <v/>
      </c>
      <c r="K79" s="12">
        <f>IF(A79="","",2*H79/(Hydrogramme_entree!$B$8*60)-E79)</f>
        <v/>
      </c>
    </row>
    <row r="80">
      <c r="A80" s="5">
        <f>Hydrogramme_entree!A92</f>
        <v/>
      </c>
      <c r="B80" s="12">
        <f>Hydrogramme_entree!B92</f>
        <v/>
      </c>
      <c r="C80" s="12">
        <f>IF(A80="","",IFERROR(FORECAST(K79+B79+B80,INDEX(Courbe_de_tarage!$C$4:$C$44,MATCH(K79+B79+B80,Courbe_de_tarage!$I$4:$I$44,1)):INDEX(Courbe_de_tarage!$C$4:$C$44,MATCH(K79+B79+B80,Courbe_de_tarage!$I$4:$I$44,1)+1),INDEX(Courbe_de_tarage!$I$4:$I$44,MATCH(K79+B79+B80,Courbe_de_tarage!$I$4:$I$44,1)):INDEX(Courbe_de_tarage!$I$4:$I$44,MATCH(K79+B79+B80,Courbe_de_tarage!$I$4:$I$44,1)+1)),IFERROR(INDEX(Courbe_de_tarage!$C$4:$C$44,MATCH(K79+B79+B80,Courbe_de_tarage!$I$4:$I$44,1)),INDEX(Courbe_de_tarage!$C$4:$C$44,1))))</f>
        <v/>
      </c>
      <c r="D80" s="12">
        <f>IF(A80="","",IFERROR(FORECAST(K79+B79+B80,INDEX(Courbe_de_tarage!$D$4:$D$44,MATCH(K79+B79+B80,Courbe_de_tarage!$I$4:$I$44,1)):INDEX(Courbe_de_tarage!$D$4:$D$44,MATCH(K79+B79+B80,Courbe_de_tarage!$I$4:$I$44,1)+1),INDEX(Courbe_de_tarage!$I$4:$I$44,MATCH(K79+B79+B80,Courbe_de_tarage!$I$4:$I$44,1)):INDEX(Courbe_de_tarage!$I$4:$I$44,MATCH(K79+B79+B80,Courbe_de_tarage!$I$4:$I$44,1)+1)),IFERROR(INDEX(Courbe_de_tarage!$D$4:$D$44,MATCH(K79+B79+B80,Courbe_de_tarage!$I$4:$I$44,1)),INDEX(Courbe_de_tarage!$D$4:$D$44,1))))</f>
        <v/>
      </c>
      <c r="E80" s="12">
        <f>IF(A80="","",IFERROR(FORECAST(K79+B79+B80,INDEX(Courbe_de_tarage!$E$4:$E$44,MATCH(K79+B79+B80,Courbe_de_tarage!$I$4:$I$44,1)):INDEX(Courbe_de_tarage!$E$4:$E$44,MATCH(K79+B79+B80,Courbe_de_tarage!$I$4:$I$44,1)+1),INDEX(Courbe_de_tarage!$I$4:$I$44,MATCH(K79+B79+B80,Courbe_de_tarage!$I$4:$I$44,1)):INDEX(Courbe_de_tarage!$I$4:$I$44,MATCH(K79+B79+B80,Courbe_de_tarage!$I$4:$I$44,1)+1)),IFERROR(INDEX(Courbe_de_tarage!$E$4:$E$44,MATCH(K79+B79+B80,Courbe_de_tarage!$I$4:$I$44,1)),INDEX(Courbe_de_tarage!$E$4:$E$44,1))))</f>
        <v/>
      </c>
      <c r="F80" s="12">
        <f>IF(A80="","",IFERROR(FORECAST(K79+B79+B80,INDEX(Courbe_de_tarage!$A$4:$A$44,MATCH(K79+B79+B80,Courbe_de_tarage!$I$4:$I$44,1)):INDEX(Courbe_de_tarage!$A$4:$A$44,MATCH(K79+B79+B80,Courbe_de_tarage!$I$4:$I$44,1)+1),INDEX(Courbe_de_tarage!$I$4:$I$44,MATCH(K79+B79+B80,Courbe_de_tarage!$I$4:$I$44,1)):INDEX(Courbe_de_tarage!$I$4:$I$44,MATCH(K79+B79+B80,Courbe_de_tarage!$I$4:$I$44,1)+1)),IFERROR(INDEX(Courbe_de_tarage!$A$4:$A$44,MATCH(K79+B79+B80,Courbe_de_tarage!$I$4:$I$44,1)),INDEX(Courbe_de_tarage!$A$4:$A$44,1))))</f>
        <v/>
      </c>
      <c r="G80" s="12">
        <f>IF(A80="","",Parametres!$C$9+F80)</f>
        <v/>
      </c>
      <c r="H80" s="12">
        <f>IF(A80="","",IFERROR(FORECAST(K79+B79+B80,INDEX(Courbe_de_tarage!$H$4:$H$44,MATCH(K79+B79+B80,Courbe_de_tarage!$I$4:$I$44,1)):INDEX(Courbe_de_tarage!$H$4:$H$44,MATCH(K79+B79+B80,Courbe_de_tarage!$I$4:$I$44,1)+1),INDEX(Courbe_de_tarage!$I$4:$I$44,MATCH(K79+B79+B80,Courbe_de_tarage!$I$4:$I$44,1)):INDEX(Courbe_de_tarage!$I$4:$I$44,MATCH(K79+B79+B80,Courbe_de_tarage!$I$4:$I$44,1)+1)),IFERROR(INDEX(Courbe_de_tarage!$H$4:$H$44,MATCH(K79+B79+B80,Courbe_de_tarage!$I$4:$I$44,1)),INDEX(Courbe_de_tarage!$H$4:$H$44,1))))</f>
        <v/>
      </c>
      <c r="I80" s="5">
        <f>IF(G80="","",IF(G80&gt;Parametres!$C$11,"OUI",""))</f>
        <v/>
      </c>
      <c r="J80" s="12">
        <f>IF(A80="","",K79+B79+B80)</f>
        <v/>
      </c>
      <c r="K80" s="12">
        <f>IF(A80="","",2*H80/(Hydrogramme_entree!$B$8*60)-E80)</f>
        <v/>
      </c>
    </row>
    <row r="81">
      <c r="A81" s="5">
        <f>Hydrogramme_entree!A93</f>
        <v/>
      </c>
      <c r="B81" s="12">
        <f>Hydrogramme_entree!B93</f>
        <v/>
      </c>
      <c r="C81" s="12">
        <f>IF(A81="","",IFERROR(FORECAST(K80+B80+B81,INDEX(Courbe_de_tarage!$C$4:$C$44,MATCH(K80+B80+B81,Courbe_de_tarage!$I$4:$I$44,1)):INDEX(Courbe_de_tarage!$C$4:$C$44,MATCH(K80+B80+B81,Courbe_de_tarage!$I$4:$I$44,1)+1),INDEX(Courbe_de_tarage!$I$4:$I$44,MATCH(K80+B80+B81,Courbe_de_tarage!$I$4:$I$44,1)):INDEX(Courbe_de_tarage!$I$4:$I$44,MATCH(K80+B80+B81,Courbe_de_tarage!$I$4:$I$44,1)+1)),IFERROR(INDEX(Courbe_de_tarage!$C$4:$C$44,MATCH(K80+B80+B81,Courbe_de_tarage!$I$4:$I$44,1)),INDEX(Courbe_de_tarage!$C$4:$C$44,1))))</f>
        <v/>
      </c>
      <c r="D81" s="12">
        <f>IF(A81="","",IFERROR(FORECAST(K80+B80+B81,INDEX(Courbe_de_tarage!$D$4:$D$44,MATCH(K80+B80+B81,Courbe_de_tarage!$I$4:$I$44,1)):INDEX(Courbe_de_tarage!$D$4:$D$44,MATCH(K80+B80+B81,Courbe_de_tarage!$I$4:$I$44,1)+1),INDEX(Courbe_de_tarage!$I$4:$I$44,MATCH(K80+B80+B81,Courbe_de_tarage!$I$4:$I$44,1)):INDEX(Courbe_de_tarage!$I$4:$I$44,MATCH(K80+B80+B81,Courbe_de_tarage!$I$4:$I$44,1)+1)),IFERROR(INDEX(Courbe_de_tarage!$D$4:$D$44,MATCH(K80+B80+B81,Courbe_de_tarage!$I$4:$I$44,1)),INDEX(Courbe_de_tarage!$D$4:$D$44,1))))</f>
        <v/>
      </c>
      <c r="E81" s="12">
        <f>IF(A81="","",IFERROR(FORECAST(K80+B80+B81,INDEX(Courbe_de_tarage!$E$4:$E$44,MATCH(K80+B80+B81,Courbe_de_tarage!$I$4:$I$44,1)):INDEX(Courbe_de_tarage!$E$4:$E$44,MATCH(K80+B80+B81,Courbe_de_tarage!$I$4:$I$44,1)+1),INDEX(Courbe_de_tarage!$I$4:$I$44,MATCH(K80+B80+B81,Courbe_de_tarage!$I$4:$I$44,1)):INDEX(Courbe_de_tarage!$I$4:$I$44,MATCH(K80+B80+B81,Courbe_de_tarage!$I$4:$I$44,1)+1)),IFERROR(INDEX(Courbe_de_tarage!$E$4:$E$44,MATCH(K80+B80+B81,Courbe_de_tarage!$I$4:$I$44,1)),INDEX(Courbe_de_tarage!$E$4:$E$44,1))))</f>
        <v/>
      </c>
      <c r="F81" s="12">
        <f>IF(A81="","",IFERROR(FORECAST(K80+B80+B81,INDEX(Courbe_de_tarage!$A$4:$A$44,MATCH(K80+B80+B81,Courbe_de_tarage!$I$4:$I$44,1)):INDEX(Courbe_de_tarage!$A$4:$A$44,MATCH(K80+B80+B81,Courbe_de_tarage!$I$4:$I$44,1)+1),INDEX(Courbe_de_tarage!$I$4:$I$44,MATCH(K80+B80+B81,Courbe_de_tarage!$I$4:$I$44,1)):INDEX(Courbe_de_tarage!$I$4:$I$44,MATCH(K80+B80+B81,Courbe_de_tarage!$I$4:$I$44,1)+1)),IFERROR(INDEX(Courbe_de_tarage!$A$4:$A$44,MATCH(K80+B80+B81,Courbe_de_tarage!$I$4:$I$44,1)),INDEX(Courbe_de_tarage!$A$4:$A$44,1))))</f>
        <v/>
      </c>
      <c r="G81" s="12">
        <f>IF(A81="","",Parametres!$C$9+F81)</f>
        <v/>
      </c>
      <c r="H81" s="12">
        <f>IF(A81="","",IFERROR(FORECAST(K80+B80+B81,INDEX(Courbe_de_tarage!$H$4:$H$44,MATCH(K80+B80+B81,Courbe_de_tarage!$I$4:$I$44,1)):INDEX(Courbe_de_tarage!$H$4:$H$44,MATCH(K80+B80+B81,Courbe_de_tarage!$I$4:$I$44,1)+1),INDEX(Courbe_de_tarage!$I$4:$I$44,MATCH(K80+B80+B81,Courbe_de_tarage!$I$4:$I$44,1)):INDEX(Courbe_de_tarage!$I$4:$I$44,MATCH(K80+B80+B81,Courbe_de_tarage!$I$4:$I$44,1)+1)),IFERROR(INDEX(Courbe_de_tarage!$H$4:$H$44,MATCH(K80+B80+B81,Courbe_de_tarage!$I$4:$I$44,1)),INDEX(Courbe_de_tarage!$H$4:$H$44,1))))</f>
        <v/>
      </c>
      <c r="I81" s="5">
        <f>IF(G81="","",IF(G81&gt;Parametres!$C$11,"OUI",""))</f>
        <v/>
      </c>
      <c r="J81" s="12">
        <f>IF(A81="","",K80+B80+B81)</f>
        <v/>
      </c>
      <c r="K81" s="12">
        <f>IF(A81="","",2*H81/(Hydrogramme_entree!$B$8*60)-E81)</f>
        <v/>
      </c>
    </row>
    <row r="82">
      <c r="A82" s="5">
        <f>Hydrogramme_entree!A94</f>
        <v/>
      </c>
      <c r="B82" s="12">
        <f>Hydrogramme_entree!B94</f>
        <v/>
      </c>
      <c r="C82" s="12">
        <f>IF(A82="","",IFERROR(FORECAST(K81+B81+B82,INDEX(Courbe_de_tarage!$C$4:$C$44,MATCH(K81+B81+B82,Courbe_de_tarage!$I$4:$I$44,1)):INDEX(Courbe_de_tarage!$C$4:$C$44,MATCH(K81+B81+B82,Courbe_de_tarage!$I$4:$I$44,1)+1),INDEX(Courbe_de_tarage!$I$4:$I$44,MATCH(K81+B81+B82,Courbe_de_tarage!$I$4:$I$44,1)):INDEX(Courbe_de_tarage!$I$4:$I$44,MATCH(K81+B81+B82,Courbe_de_tarage!$I$4:$I$44,1)+1)),IFERROR(INDEX(Courbe_de_tarage!$C$4:$C$44,MATCH(K81+B81+B82,Courbe_de_tarage!$I$4:$I$44,1)),INDEX(Courbe_de_tarage!$C$4:$C$44,1))))</f>
        <v/>
      </c>
      <c r="D82" s="12">
        <f>IF(A82="","",IFERROR(FORECAST(K81+B81+B82,INDEX(Courbe_de_tarage!$D$4:$D$44,MATCH(K81+B81+B82,Courbe_de_tarage!$I$4:$I$44,1)):INDEX(Courbe_de_tarage!$D$4:$D$44,MATCH(K81+B81+B82,Courbe_de_tarage!$I$4:$I$44,1)+1),INDEX(Courbe_de_tarage!$I$4:$I$44,MATCH(K81+B81+B82,Courbe_de_tarage!$I$4:$I$44,1)):INDEX(Courbe_de_tarage!$I$4:$I$44,MATCH(K81+B81+B82,Courbe_de_tarage!$I$4:$I$44,1)+1)),IFERROR(INDEX(Courbe_de_tarage!$D$4:$D$44,MATCH(K81+B81+B82,Courbe_de_tarage!$I$4:$I$44,1)),INDEX(Courbe_de_tarage!$D$4:$D$44,1))))</f>
        <v/>
      </c>
      <c r="E82" s="12">
        <f>IF(A82="","",IFERROR(FORECAST(K81+B81+B82,INDEX(Courbe_de_tarage!$E$4:$E$44,MATCH(K81+B81+B82,Courbe_de_tarage!$I$4:$I$44,1)):INDEX(Courbe_de_tarage!$E$4:$E$44,MATCH(K81+B81+B82,Courbe_de_tarage!$I$4:$I$44,1)+1),INDEX(Courbe_de_tarage!$I$4:$I$44,MATCH(K81+B81+B82,Courbe_de_tarage!$I$4:$I$44,1)):INDEX(Courbe_de_tarage!$I$4:$I$44,MATCH(K81+B81+B82,Courbe_de_tarage!$I$4:$I$44,1)+1)),IFERROR(INDEX(Courbe_de_tarage!$E$4:$E$44,MATCH(K81+B81+B82,Courbe_de_tarage!$I$4:$I$44,1)),INDEX(Courbe_de_tarage!$E$4:$E$44,1))))</f>
        <v/>
      </c>
      <c r="F82" s="12">
        <f>IF(A82="","",IFERROR(FORECAST(K81+B81+B82,INDEX(Courbe_de_tarage!$A$4:$A$44,MATCH(K81+B81+B82,Courbe_de_tarage!$I$4:$I$44,1)):INDEX(Courbe_de_tarage!$A$4:$A$44,MATCH(K81+B81+B82,Courbe_de_tarage!$I$4:$I$44,1)+1),INDEX(Courbe_de_tarage!$I$4:$I$44,MATCH(K81+B81+B82,Courbe_de_tarage!$I$4:$I$44,1)):INDEX(Courbe_de_tarage!$I$4:$I$44,MATCH(K81+B81+B82,Courbe_de_tarage!$I$4:$I$44,1)+1)),IFERROR(INDEX(Courbe_de_tarage!$A$4:$A$44,MATCH(K81+B81+B82,Courbe_de_tarage!$I$4:$I$44,1)),INDEX(Courbe_de_tarage!$A$4:$A$44,1))))</f>
        <v/>
      </c>
      <c r="G82" s="12">
        <f>IF(A82="","",Parametres!$C$9+F82)</f>
        <v/>
      </c>
      <c r="H82" s="12">
        <f>IF(A82="","",IFERROR(FORECAST(K81+B81+B82,INDEX(Courbe_de_tarage!$H$4:$H$44,MATCH(K81+B81+B82,Courbe_de_tarage!$I$4:$I$44,1)):INDEX(Courbe_de_tarage!$H$4:$H$44,MATCH(K81+B81+B82,Courbe_de_tarage!$I$4:$I$44,1)+1),INDEX(Courbe_de_tarage!$I$4:$I$44,MATCH(K81+B81+B82,Courbe_de_tarage!$I$4:$I$44,1)):INDEX(Courbe_de_tarage!$I$4:$I$44,MATCH(K81+B81+B82,Courbe_de_tarage!$I$4:$I$44,1)+1)),IFERROR(INDEX(Courbe_de_tarage!$H$4:$H$44,MATCH(K81+B81+B82,Courbe_de_tarage!$I$4:$I$44,1)),INDEX(Courbe_de_tarage!$H$4:$H$44,1))))</f>
        <v/>
      </c>
      <c r="I82" s="5">
        <f>IF(G82="","",IF(G82&gt;Parametres!$C$11,"OUI",""))</f>
        <v/>
      </c>
      <c r="J82" s="12">
        <f>IF(A82="","",K81+B81+B82)</f>
        <v/>
      </c>
      <c r="K82" s="12">
        <f>IF(A82="","",2*H82/(Hydrogramme_entree!$B$8*60)-E82)</f>
        <v/>
      </c>
    </row>
    <row r="83">
      <c r="A83" s="5">
        <f>Hydrogramme_entree!A95</f>
        <v/>
      </c>
      <c r="B83" s="12">
        <f>Hydrogramme_entree!B95</f>
        <v/>
      </c>
      <c r="C83" s="12">
        <f>IF(A83="","",IFERROR(FORECAST(K82+B82+B83,INDEX(Courbe_de_tarage!$C$4:$C$44,MATCH(K82+B82+B83,Courbe_de_tarage!$I$4:$I$44,1)):INDEX(Courbe_de_tarage!$C$4:$C$44,MATCH(K82+B82+B83,Courbe_de_tarage!$I$4:$I$44,1)+1),INDEX(Courbe_de_tarage!$I$4:$I$44,MATCH(K82+B82+B83,Courbe_de_tarage!$I$4:$I$44,1)):INDEX(Courbe_de_tarage!$I$4:$I$44,MATCH(K82+B82+B83,Courbe_de_tarage!$I$4:$I$44,1)+1)),IFERROR(INDEX(Courbe_de_tarage!$C$4:$C$44,MATCH(K82+B82+B83,Courbe_de_tarage!$I$4:$I$44,1)),INDEX(Courbe_de_tarage!$C$4:$C$44,1))))</f>
        <v/>
      </c>
      <c r="D83" s="12">
        <f>IF(A83="","",IFERROR(FORECAST(K82+B82+B83,INDEX(Courbe_de_tarage!$D$4:$D$44,MATCH(K82+B82+B83,Courbe_de_tarage!$I$4:$I$44,1)):INDEX(Courbe_de_tarage!$D$4:$D$44,MATCH(K82+B82+B83,Courbe_de_tarage!$I$4:$I$44,1)+1),INDEX(Courbe_de_tarage!$I$4:$I$44,MATCH(K82+B82+B83,Courbe_de_tarage!$I$4:$I$44,1)):INDEX(Courbe_de_tarage!$I$4:$I$44,MATCH(K82+B82+B83,Courbe_de_tarage!$I$4:$I$44,1)+1)),IFERROR(INDEX(Courbe_de_tarage!$D$4:$D$44,MATCH(K82+B82+B83,Courbe_de_tarage!$I$4:$I$44,1)),INDEX(Courbe_de_tarage!$D$4:$D$44,1))))</f>
        <v/>
      </c>
      <c r="E83" s="12">
        <f>IF(A83="","",IFERROR(FORECAST(K82+B82+B83,INDEX(Courbe_de_tarage!$E$4:$E$44,MATCH(K82+B82+B83,Courbe_de_tarage!$I$4:$I$44,1)):INDEX(Courbe_de_tarage!$E$4:$E$44,MATCH(K82+B82+B83,Courbe_de_tarage!$I$4:$I$44,1)+1),INDEX(Courbe_de_tarage!$I$4:$I$44,MATCH(K82+B82+B83,Courbe_de_tarage!$I$4:$I$44,1)):INDEX(Courbe_de_tarage!$I$4:$I$44,MATCH(K82+B82+B83,Courbe_de_tarage!$I$4:$I$44,1)+1)),IFERROR(INDEX(Courbe_de_tarage!$E$4:$E$44,MATCH(K82+B82+B83,Courbe_de_tarage!$I$4:$I$44,1)),INDEX(Courbe_de_tarage!$E$4:$E$44,1))))</f>
        <v/>
      </c>
      <c r="F83" s="12">
        <f>IF(A83="","",IFERROR(FORECAST(K82+B82+B83,INDEX(Courbe_de_tarage!$A$4:$A$44,MATCH(K82+B82+B83,Courbe_de_tarage!$I$4:$I$44,1)):INDEX(Courbe_de_tarage!$A$4:$A$44,MATCH(K82+B82+B83,Courbe_de_tarage!$I$4:$I$44,1)+1),INDEX(Courbe_de_tarage!$I$4:$I$44,MATCH(K82+B82+B83,Courbe_de_tarage!$I$4:$I$44,1)):INDEX(Courbe_de_tarage!$I$4:$I$44,MATCH(K82+B82+B83,Courbe_de_tarage!$I$4:$I$44,1)+1)),IFERROR(INDEX(Courbe_de_tarage!$A$4:$A$44,MATCH(K82+B82+B83,Courbe_de_tarage!$I$4:$I$44,1)),INDEX(Courbe_de_tarage!$A$4:$A$44,1))))</f>
        <v/>
      </c>
      <c r="G83" s="12">
        <f>IF(A83="","",Parametres!$C$9+F83)</f>
        <v/>
      </c>
      <c r="H83" s="12">
        <f>IF(A83="","",IFERROR(FORECAST(K82+B82+B83,INDEX(Courbe_de_tarage!$H$4:$H$44,MATCH(K82+B82+B83,Courbe_de_tarage!$I$4:$I$44,1)):INDEX(Courbe_de_tarage!$H$4:$H$44,MATCH(K82+B82+B83,Courbe_de_tarage!$I$4:$I$44,1)+1),INDEX(Courbe_de_tarage!$I$4:$I$44,MATCH(K82+B82+B83,Courbe_de_tarage!$I$4:$I$44,1)):INDEX(Courbe_de_tarage!$I$4:$I$44,MATCH(K82+B82+B83,Courbe_de_tarage!$I$4:$I$44,1)+1)),IFERROR(INDEX(Courbe_de_tarage!$H$4:$H$44,MATCH(K82+B82+B83,Courbe_de_tarage!$I$4:$I$44,1)),INDEX(Courbe_de_tarage!$H$4:$H$44,1))))</f>
        <v/>
      </c>
      <c r="I83" s="5">
        <f>IF(G83="","",IF(G83&gt;Parametres!$C$11,"OUI",""))</f>
        <v/>
      </c>
      <c r="J83" s="12">
        <f>IF(A83="","",K82+B82+B83)</f>
        <v/>
      </c>
      <c r="K83" s="12">
        <f>IF(A83="","",2*H83/(Hydrogramme_entree!$B$8*60)-E83)</f>
        <v/>
      </c>
    </row>
    <row r="84">
      <c r="A84" s="5">
        <f>Hydrogramme_entree!A96</f>
        <v/>
      </c>
      <c r="B84" s="12">
        <f>Hydrogramme_entree!B96</f>
        <v/>
      </c>
      <c r="C84" s="12">
        <f>IF(A84="","",IFERROR(FORECAST(K83+B83+B84,INDEX(Courbe_de_tarage!$C$4:$C$44,MATCH(K83+B83+B84,Courbe_de_tarage!$I$4:$I$44,1)):INDEX(Courbe_de_tarage!$C$4:$C$44,MATCH(K83+B83+B84,Courbe_de_tarage!$I$4:$I$44,1)+1),INDEX(Courbe_de_tarage!$I$4:$I$44,MATCH(K83+B83+B84,Courbe_de_tarage!$I$4:$I$44,1)):INDEX(Courbe_de_tarage!$I$4:$I$44,MATCH(K83+B83+B84,Courbe_de_tarage!$I$4:$I$44,1)+1)),IFERROR(INDEX(Courbe_de_tarage!$C$4:$C$44,MATCH(K83+B83+B84,Courbe_de_tarage!$I$4:$I$44,1)),INDEX(Courbe_de_tarage!$C$4:$C$44,1))))</f>
        <v/>
      </c>
      <c r="D84" s="12">
        <f>IF(A84="","",IFERROR(FORECAST(K83+B83+B84,INDEX(Courbe_de_tarage!$D$4:$D$44,MATCH(K83+B83+B84,Courbe_de_tarage!$I$4:$I$44,1)):INDEX(Courbe_de_tarage!$D$4:$D$44,MATCH(K83+B83+B84,Courbe_de_tarage!$I$4:$I$44,1)+1),INDEX(Courbe_de_tarage!$I$4:$I$44,MATCH(K83+B83+B84,Courbe_de_tarage!$I$4:$I$44,1)):INDEX(Courbe_de_tarage!$I$4:$I$44,MATCH(K83+B83+B84,Courbe_de_tarage!$I$4:$I$44,1)+1)),IFERROR(INDEX(Courbe_de_tarage!$D$4:$D$44,MATCH(K83+B83+B84,Courbe_de_tarage!$I$4:$I$44,1)),INDEX(Courbe_de_tarage!$D$4:$D$44,1))))</f>
        <v/>
      </c>
      <c r="E84" s="12">
        <f>IF(A84="","",IFERROR(FORECAST(K83+B83+B84,INDEX(Courbe_de_tarage!$E$4:$E$44,MATCH(K83+B83+B84,Courbe_de_tarage!$I$4:$I$44,1)):INDEX(Courbe_de_tarage!$E$4:$E$44,MATCH(K83+B83+B84,Courbe_de_tarage!$I$4:$I$44,1)+1),INDEX(Courbe_de_tarage!$I$4:$I$44,MATCH(K83+B83+B84,Courbe_de_tarage!$I$4:$I$44,1)):INDEX(Courbe_de_tarage!$I$4:$I$44,MATCH(K83+B83+B84,Courbe_de_tarage!$I$4:$I$44,1)+1)),IFERROR(INDEX(Courbe_de_tarage!$E$4:$E$44,MATCH(K83+B83+B84,Courbe_de_tarage!$I$4:$I$44,1)),INDEX(Courbe_de_tarage!$E$4:$E$44,1))))</f>
        <v/>
      </c>
      <c r="F84" s="12">
        <f>IF(A84="","",IFERROR(FORECAST(K83+B83+B84,INDEX(Courbe_de_tarage!$A$4:$A$44,MATCH(K83+B83+B84,Courbe_de_tarage!$I$4:$I$44,1)):INDEX(Courbe_de_tarage!$A$4:$A$44,MATCH(K83+B83+B84,Courbe_de_tarage!$I$4:$I$44,1)+1),INDEX(Courbe_de_tarage!$I$4:$I$44,MATCH(K83+B83+B84,Courbe_de_tarage!$I$4:$I$44,1)):INDEX(Courbe_de_tarage!$I$4:$I$44,MATCH(K83+B83+B84,Courbe_de_tarage!$I$4:$I$44,1)+1)),IFERROR(INDEX(Courbe_de_tarage!$A$4:$A$44,MATCH(K83+B83+B84,Courbe_de_tarage!$I$4:$I$44,1)),INDEX(Courbe_de_tarage!$A$4:$A$44,1))))</f>
        <v/>
      </c>
      <c r="G84" s="12">
        <f>IF(A84="","",Parametres!$C$9+F84)</f>
        <v/>
      </c>
      <c r="H84" s="12">
        <f>IF(A84="","",IFERROR(FORECAST(K83+B83+B84,INDEX(Courbe_de_tarage!$H$4:$H$44,MATCH(K83+B83+B84,Courbe_de_tarage!$I$4:$I$44,1)):INDEX(Courbe_de_tarage!$H$4:$H$44,MATCH(K83+B83+B84,Courbe_de_tarage!$I$4:$I$44,1)+1),INDEX(Courbe_de_tarage!$I$4:$I$44,MATCH(K83+B83+B84,Courbe_de_tarage!$I$4:$I$44,1)):INDEX(Courbe_de_tarage!$I$4:$I$44,MATCH(K83+B83+B84,Courbe_de_tarage!$I$4:$I$44,1)+1)),IFERROR(INDEX(Courbe_de_tarage!$H$4:$H$44,MATCH(K83+B83+B84,Courbe_de_tarage!$I$4:$I$44,1)),INDEX(Courbe_de_tarage!$H$4:$H$44,1))))</f>
        <v/>
      </c>
      <c r="I84" s="5">
        <f>IF(G84="","",IF(G84&gt;Parametres!$C$11,"OUI",""))</f>
        <v/>
      </c>
      <c r="J84" s="12">
        <f>IF(A84="","",K83+B83+B84)</f>
        <v/>
      </c>
      <c r="K84" s="12">
        <f>IF(A84="","",2*H84/(Hydrogramme_entree!$B$8*60)-E84)</f>
        <v/>
      </c>
    </row>
    <row r="85">
      <c r="A85" s="5">
        <f>Hydrogramme_entree!A97</f>
        <v/>
      </c>
      <c r="B85" s="12">
        <f>Hydrogramme_entree!B97</f>
        <v/>
      </c>
      <c r="C85" s="12">
        <f>IF(A85="","",IFERROR(FORECAST(K84+B84+B85,INDEX(Courbe_de_tarage!$C$4:$C$44,MATCH(K84+B84+B85,Courbe_de_tarage!$I$4:$I$44,1)):INDEX(Courbe_de_tarage!$C$4:$C$44,MATCH(K84+B84+B85,Courbe_de_tarage!$I$4:$I$44,1)+1),INDEX(Courbe_de_tarage!$I$4:$I$44,MATCH(K84+B84+B85,Courbe_de_tarage!$I$4:$I$44,1)):INDEX(Courbe_de_tarage!$I$4:$I$44,MATCH(K84+B84+B85,Courbe_de_tarage!$I$4:$I$44,1)+1)),IFERROR(INDEX(Courbe_de_tarage!$C$4:$C$44,MATCH(K84+B84+B85,Courbe_de_tarage!$I$4:$I$44,1)),INDEX(Courbe_de_tarage!$C$4:$C$44,1))))</f>
        <v/>
      </c>
      <c r="D85" s="12">
        <f>IF(A85="","",IFERROR(FORECAST(K84+B84+B85,INDEX(Courbe_de_tarage!$D$4:$D$44,MATCH(K84+B84+B85,Courbe_de_tarage!$I$4:$I$44,1)):INDEX(Courbe_de_tarage!$D$4:$D$44,MATCH(K84+B84+B85,Courbe_de_tarage!$I$4:$I$44,1)+1),INDEX(Courbe_de_tarage!$I$4:$I$44,MATCH(K84+B84+B85,Courbe_de_tarage!$I$4:$I$44,1)):INDEX(Courbe_de_tarage!$I$4:$I$44,MATCH(K84+B84+B85,Courbe_de_tarage!$I$4:$I$44,1)+1)),IFERROR(INDEX(Courbe_de_tarage!$D$4:$D$44,MATCH(K84+B84+B85,Courbe_de_tarage!$I$4:$I$44,1)),INDEX(Courbe_de_tarage!$D$4:$D$44,1))))</f>
        <v/>
      </c>
      <c r="E85" s="12">
        <f>IF(A85="","",IFERROR(FORECAST(K84+B84+B85,INDEX(Courbe_de_tarage!$E$4:$E$44,MATCH(K84+B84+B85,Courbe_de_tarage!$I$4:$I$44,1)):INDEX(Courbe_de_tarage!$E$4:$E$44,MATCH(K84+B84+B85,Courbe_de_tarage!$I$4:$I$44,1)+1),INDEX(Courbe_de_tarage!$I$4:$I$44,MATCH(K84+B84+B85,Courbe_de_tarage!$I$4:$I$44,1)):INDEX(Courbe_de_tarage!$I$4:$I$44,MATCH(K84+B84+B85,Courbe_de_tarage!$I$4:$I$44,1)+1)),IFERROR(INDEX(Courbe_de_tarage!$E$4:$E$44,MATCH(K84+B84+B85,Courbe_de_tarage!$I$4:$I$44,1)),INDEX(Courbe_de_tarage!$E$4:$E$44,1))))</f>
        <v/>
      </c>
      <c r="F85" s="12">
        <f>IF(A85="","",IFERROR(FORECAST(K84+B84+B85,INDEX(Courbe_de_tarage!$A$4:$A$44,MATCH(K84+B84+B85,Courbe_de_tarage!$I$4:$I$44,1)):INDEX(Courbe_de_tarage!$A$4:$A$44,MATCH(K84+B84+B85,Courbe_de_tarage!$I$4:$I$44,1)+1),INDEX(Courbe_de_tarage!$I$4:$I$44,MATCH(K84+B84+B85,Courbe_de_tarage!$I$4:$I$44,1)):INDEX(Courbe_de_tarage!$I$4:$I$44,MATCH(K84+B84+B85,Courbe_de_tarage!$I$4:$I$44,1)+1)),IFERROR(INDEX(Courbe_de_tarage!$A$4:$A$44,MATCH(K84+B84+B85,Courbe_de_tarage!$I$4:$I$44,1)),INDEX(Courbe_de_tarage!$A$4:$A$44,1))))</f>
        <v/>
      </c>
      <c r="G85" s="12">
        <f>IF(A85="","",Parametres!$C$9+F85)</f>
        <v/>
      </c>
      <c r="H85" s="12">
        <f>IF(A85="","",IFERROR(FORECAST(K84+B84+B85,INDEX(Courbe_de_tarage!$H$4:$H$44,MATCH(K84+B84+B85,Courbe_de_tarage!$I$4:$I$44,1)):INDEX(Courbe_de_tarage!$H$4:$H$44,MATCH(K84+B84+B85,Courbe_de_tarage!$I$4:$I$44,1)+1),INDEX(Courbe_de_tarage!$I$4:$I$44,MATCH(K84+B84+B85,Courbe_de_tarage!$I$4:$I$44,1)):INDEX(Courbe_de_tarage!$I$4:$I$44,MATCH(K84+B84+B85,Courbe_de_tarage!$I$4:$I$44,1)+1)),IFERROR(INDEX(Courbe_de_tarage!$H$4:$H$44,MATCH(K84+B84+B85,Courbe_de_tarage!$I$4:$I$44,1)),INDEX(Courbe_de_tarage!$H$4:$H$44,1))))</f>
        <v/>
      </c>
      <c r="I85" s="5">
        <f>IF(G85="","",IF(G85&gt;Parametres!$C$11,"OUI",""))</f>
        <v/>
      </c>
      <c r="J85" s="12">
        <f>IF(A85="","",K84+B84+B85)</f>
        <v/>
      </c>
      <c r="K85" s="12">
        <f>IF(A85="","",2*H85/(Hydrogramme_entree!$B$8*60)-E85)</f>
        <v/>
      </c>
    </row>
    <row r="86">
      <c r="A86" s="5">
        <f>Hydrogramme_entree!A98</f>
        <v/>
      </c>
      <c r="B86" s="12">
        <f>Hydrogramme_entree!B98</f>
        <v/>
      </c>
      <c r="C86" s="12">
        <f>IF(A86="","",IFERROR(FORECAST(K85+B85+B86,INDEX(Courbe_de_tarage!$C$4:$C$44,MATCH(K85+B85+B86,Courbe_de_tarage!$I$4:$I$44,1)):INDEX(Courbe_de_tarage!$C$4:$C$44,MATCH(K85+B85+B86,Courbe_de_tarage!$I$4:$I$44,1)+1),INDEX(Courbe_de_tarage!$I$4:$I$44,MATCH(K85+B85+B86,Courbe_de_tarage!$I$4:$I$44,1)):INDEX(Courbe_de_tarage!$I$4:$I$44,MATCH(K85+B85+B86,Courbe_de_tarage!$I$4:$I$44,1)+1)),IFERROR(INDEX(Courbe_de_tarage!$C$4:$C$44,MATCH(K85+B85+B86,Courbe_de_tarage!$I$4:$I$44,1)),INDEX(Courbe_de_tarage!$C$4:$C$44,1))))</f>
        <v/>
      </c>
      <c r="D86" s="12">
        <f>IF(A86="","",IFERROR(FORECAST(K85+B85+B86,INDEX(Courbe_de_tarage!$D$4:$D$44,MATCH(K85+B85+B86,Courbe_de_tarage!$I$4:$I$44,1)):INDEX(Courbe_de_tarage!$D$4:$D$44,MATCH(K85+B85+B86,Courbe_de_tarage!$I$4:$I$44,1)+1),INDEX(Courbe_de_tarage!$I$4:$I$44,MATCH(K85+B85+B86,Courbe_de_tarage!$I$4:$I$44,1)):INDEX(Courbe_de_tarage!$I$4:$I$44,MATCH(K85+B85+B86,Courbe_de_tarage!$I$4:$I$44,1)+1)),IFERROR(INDEX(Courbe_de_tarage!$D$4:$D$44,MATCH(K85+B85+B86,Courbe_de_tarage!$I$4:$I$44,1)),INDEX(Courbe_de_tarage!$D$4:$D$44,1))))</f>
        <v/>
      </c>
      <c r="E86" s="12">
        <f>IF(A86="","",IFERROR(FORECAST(K85+B85+B86,INDEX(Courbe_de_tarage!$E$4:$E$44,MATCH(K85+B85+B86,Courbe_de_tarage!$I$4:$I$44,1)):INDEX(Courbe_de_tarage!$E$4:$E$44,MATCH(K85+B85+B86,Courbe_de_tarage!$I$4:$I$44,1)+1),INDEX(Courbe_de_tarage!$I$4:$I$44,MATCH(K85+B85+B86,Courbe_de_tarage!$I$4:$I$44,1)):INDEX(Courbe_de_tarage!$I$4:$I$44,MATCH(K85+B85+B86,Courbe_de_tarage!$I$4:$I$44,1)+1)),IFERROR(INDEX(Courbe_de_tarage!$E$4:$E$44,MATCH(K85+B85+B86,Courbe_de_tarage!$I$4:$I$44,1)),INDEX(Courbe_de_tarage!$E$4:$E$44,1))))</f>
        <v/>
      </c>
      <c r="F86" s="12">
        <f>IF(A86="","",IFERROR(FORECAST(K85+B85+B86,INDEX(Courbe_de_tarage!$A$4:$A$44,MATCH(K85+B85+B86,Courbe_de_tarage!$I$4:$I$44,1)):INDEX(Courbe_de_tarage!$A$4:$A$44,MATCH(K85+B85+B86,Courbe_de_tarage!$I$4:$I$44,1)+1),INDEX(Courbe_de_tarage!$I$4:$I$44,MATCH(K85+B85+B86,Courbe_de_tarage!$I$4:$I$44,1)):INDEX(Courbe_de_tarage!$I$4:$I$44,MATCH(K85+B85+B86,Courbe_de_tarage!$I$4:$I$44,1)+1)),IFERROR(INDEX(Courbe_de_tarage!$A$4:$A$44,MATCH(K85+B85+B86,Courbe_de_tarage!$I$4:$I$44,1)),INDEX(Courbe_de_tarage!$A$4:$A$44,1))))</f>
        <v/>
      </c>
      <c r="G86" s="12">
        <f>IF(A86="","",Parametres!$C$9+F86)</f>
        <v/>
      </c>
      <c r="H86" s="12">
        <f>IF(A86="","",IFERROR(FORECAST(K85+B85+B86,INDEX(Courbe_de_tarage!$H$4:$H$44,MATCH(K85+B85+B86,Courbe_de_tarage!$I$4:$I$44,1)):INDEX(Courbe_de_tarage!$H$4:$H$44,MATCH(K85+B85+B86,Courbe_de_tarage!$I$4:$I$44,1)+1),INDEX(Courbe_de_tarage!$I$4:$I$44,MATCH(K85+B85+B86,Courbe_de_tarage!$I$4:$I$44,1)):INDEX(Courbe_de_tarage!$I$4:$I$44,MATCH(K85+B85+B86,Courbe_de_tarage!$I$4:$I$44,1)+1)),IFERROR(INDEX(Courbe_de_tarage!$H$4:$H$44,MATCH(K85+B85+B86,Courbe_de_tarage!$I$4:$I$44,1)),INDEX(Courbe_de_tarage!$H$4:$H$44,1))))</f>
        <v/>
      </c>
      <c r="I86" s="5">
        <f>IF(G86="","",IF(G86&gt;Parametres!$C$11,"OUI",""))</f>
        <v/>
      </c>
      <c r="J86" s="12">
        <f>IF(A86="","",K85+B85+B86)</f>
        <v/>
      </c>
      <c r="K86" s="12">
        <f>IF(A86="","",2*H86/(Hydrogramme_entree!$B$8*60)-E86)</f>
        <v/>
      </c>
    </row>
    <row r="87">
      <c r="A87" s="5">
        <f>Hydrogramme_entree!A99</f>
        <v/>
      </c>
      <c r="B87" s="12">
        <f>Hydrogramme_entree!B99</f>
        <v/>
      </c>
      <c r="C87" s="12">
        <f>IF(A87="","",IFERROR(FORECAST(K86+B86+B87,INDEX(Courbe_de_tarage!$C$4:$C$44,MATCH(K86+B86+B87,Courbe_de_tarage!$I$4:$I$44,1)):INDEX(Courbe_de_tarage!$C$4:$C$44,MATCH(K86+B86+B87,Courbe_de_tarage!$I$4:$I$44,1)+1),INDEX(Courbe_de_tarage!$I$4:$I$44,MATCH(K86+B86+B87,Courbe_de_tarage!$I$4:$I$44,1)):INDEX(Courbe_de_tarage!$I$4:$I$44,MATCH(K86+B86+B87,Courbe_de_tarage!$I$4:$I$44,1)+1)),IFERROR(INDEX(Courbe_de_tarage!$C$4:$C$44,MATCH(K86+B86+B87,Courbe_de_tarage!$I$4:$I$44,1)),INDEX(Courbe_de_tarage!$C$4:$C$44,1))))</f>
        <v/>
      </c>
      <c r="D87" s="12">
        <f>IF(A87="","",IFERROR(FORECAST(K86+B86+B87,INDEX(Courbe_de_tarage!$D$4:$D$44,MATCH(K86+B86+B87,Courbe_de_tarage!$I$4:$I$44,1)):INDEX(Courbe_de_tarage!$D$4:$D$44,MATCH(K86+B86+B87,Courbe_de_tarage!$I$4:$I$44,1)+1),INDEX(Courbe_de_tarage!$I$4:$I$44,MATCH(K86+B86+B87,Courbe_de_tarage!$I$4:$I$44,1)):INDEX(Courbe_de_tarage!$I$4:$I$44,MATCH(K86+B86+B87,Courbe_de_tarage!$I$4:$I$44,1)+1)),IFERROR(INDEX(Courbe_de_tarage!$D$4:$D$44,MATCH(K86+B86+B87,Courbe_de_tarage!$I$4:$I$44,1)),INDEX(Courbe_de_tarage!$D$4:$D$44,1))))</f>
        <v/>
      </c>
      <c r="E87" s="12">
        <f>IF(A87="","",IFERROR(FORECAST(K86+B86+B87,INDEX(Courbe_de_tarage!$E$4:$E$44,MATCH(K86+B86+B87,Courbe_de_tarage!$I$4:$I$44,1)):INDEX(Courbe_de_tarage!$E$4:$E$44,MATCH(K86+B86+B87,Courbe_de_tarage!$I$4:$I$44,1)+1),INDEX(Courbe_de_tarage!$I$4:$I$44,MATCH(K86+B86+B87,Courbe_de_tarage!$I$4:$I$44,1)):INDEX(Courbe_de_tarage!$I$4:$I$44,MATCH(K86+B86+B87,Courbe_de_tarage!$I$4:$I$44,1)+1)),IFERROR(INDEX(Courbe_de_tarage!$E$4:$E$44,MATCH(K86+B86+B87,Courbe_de_tarage!$I$4:$I$44,1)),INDEX(Courbe_de_tarage!$E$4:$E$44,1))))</f>
        <v/>
      </c>
      <c r="F87" s="12">
        <f>IF(A87="","",IFERROR(FORECAST(K86+B86+B87,INDEX(Courbe_de_tarage!$A$4:$A$44,MATCH(K86+B86+B87,Courbe_de_tarage!$I$4:$I$44,1)):INDEX(Courbe_de_tarage!$A$4:$A$44,MATCH(K86+B86+B87,Courbe_de_tarage!$I$4:$I$44,1)+1),INDEX(Courbe_de_tarage!$I$4:$I$44,MATCH(K86+B86+B87,Courbe_de_tarage!$I$4:$I$44,1)):INDEX(Courbe_de_tarage!$I$4:$I$44,MATCH(K86+B86+B87,Courbe_de_tarage!$I$4:$I$44,1)+1)),IFERROR(INDEX(Courbe_de_tarage!$A$4:$A$44,MATCH(K86+B86+B87,Courbe_de_tarage!$I$4:$I$44,1)),INDEX(Courbe_de_tarage!$A$4:$A$44,1))))</f>
        <v/>
      </c>
      <c r="G87" s="12">
        <f>IF(A87="","",Parametres!$C$9+F87)</f>
        <v/>
      </c>
      <c r="H87" s="12">
        <f>IF(A87="","",IFERROR(FORECAST(K86+B86+B87,INDEX(Courbe_de_tarage!$H$4:$H$44,MATCH(K86+B86+B87,Courbe_de_tarage!$I$4:$I$44,1)):INDEX(Courbe_de_tarage!$H$4:$H$44,MATCH(K86+B86+B87,Courbe_de_tarage!$I$4:$I$44,1)+1),INDEX(Courbe_de_tarage!$I$4:$I$44,MATCH(K86+B86+B87,Courbe_de_tarage!$I$4:$I$44,1)):INDEX(Courbe_de_tarage!$I$4:$I$44,MATCH(K86+B86+B87,Courbe_de_tarage!$I$4:$I$44,1)+1)),IFERROR(INDEX(Courbe_de_tarage!$H$4:$H$44,MATCH(K86+B86+B87,Courbe_de_tarage!$I$4:$I$44,1)),INDEX(Courbe_de_tarage!$H$4:$H$44,1))))</f>
        <v/>
      </c>
      <c r="I87" s="5">
        <f>IF(G87="","",IF(G87&gt;Parametres!$C$11,"OUI",""))</f>
        <v/>
      </c>
      <c r="J87" s="12">
        <f>IF(A87="","",K86+B86+B87)</f>
        <v/>
      </c>
      <c r="K87" s="12">
        <f>IF(A87="","",2*H87/(Hydrogramme_entree!$B$8*60)-E87)</f>
        <v/>
      </c>
    </row>
    <row r="88">
      <c r="A88" s="5">
        <f>Hydrogramme_entree!A100</f>
        <v/>
      </c>
      <c r="B88" s="12">
        <f>Hydrogramme_entree!B100</f>
        <v/>
      </c>
      <c r="C88" s="12">
        <f>IF(A88="","",IFERROR(FORECAST(K87+B87+B88,INDEX(Courbe_de_tarage!$C$4:$C$44,MATCH(K87+B87+B88,Courbe_de_tarage!$I$4:$I$44,1)):INDEX(Courbe_de_tarage!$C$4:$C$44,MATCH(K87+B87+B88,Courbe_de_tarage!$I$4:$I$44,1)+1),INDEX(Courbe_de_tarage!$I$4:$I$44,MATCH(K87+B87+B88,Courbe_de_tarage!$I$4:$I$44,1)):INDEX(Courbe_de_tarage!$I$4:$I$44,MATCH(K87+B87+B88,Courbe_de_tarage!$I$4:$I$44,1)+1)),IFERROR(INDEX(Courbe_de_tarage!$C$4:$C$44,MATCH(K87+B87+B88,Courbe_de_tarage!$I$4:$I$44,1)),INDEX(Courbe_de_tarage!$C$4:$C$44,1))))</f>
        <v/>
      </c>
      <c r="D88" s="12">
        <f>IF(A88="","",IFERROR(FORECAST(K87+B87+B88,INDEX(Courbe_de_tarage!$D$4:$D$44,MATCH(K87+B87+B88,Courbe_de_tarage!$I$4:$I$44,1)):INDEX(Courbe_de_tarage!$D$4:$D$44,MATCH(K87+B87+B88,Courbe_de_tarage!$I$4:$I$44,1)+1),INDEX(Courbe_de_tarage!$I$4:$I$44,MATCH(K87+B87+B88,Courbe_de_tarage!$I$4:$I$44,1)):INDEX(Courbe_de_tarage!$I$4:$I$44,MATCH(K87+B87+B88,Courbe_de_tarage!$I$4:$I$44,1)+1)),IFERROR(INDEX(Courbe_de_tarage!$D$4:$D$44,MATCH(K87+B87+B88,Courbe_de_tarage!$I$4:$I$44,1)),INDEX(Courbe_de_tarage!$D$4:$D$44,1))))</f>
        <v/>
      </c>
      <c r="E88" s="12">
        <f>IF(A88="","",IFERROR(FORECAST(K87+B87+B88,INDEX(Courbe_de_tarage!$E$4:$E$44,MATCH(K87+B87+B88,Courbe_de_tarage!$I$4:$I$44,1)):INDEX(Courbe_de_tarage!$E$4:$E$44,MATCH(K87+B87+B88,Courbe_de_tarage!$I$4:$I$44,1)+1),INDEX(Courbe_de_tarage!$I$4:$I$44,MATCH(K87+B87+B88,Courbe_de_tarage!$I$4:$I$44,1)):INDEX(Courbe_de_tarage!$I$4:$I$44,MATCH(K87+B87+B88,Courbe_de_tarage!$I$4:$I$44,1)+1)),IFERROR(INDEX(Courbe_de_tarage!$E$4:$E$44,MATCH(K87+B87+B88,Courbe_de_tarage!$I$4:$I$44,1)),INDEX(Courbe_de_tarage!$E$4:$E$44,1))))</f>
        <v/>
      </c>
      <c r="F88" s="12">
        <f>IF(A88="","",IFERROR(FORECAST(K87+B87+B88,INDEX(Courbe_de_tarage!$A$4:$A$44,MATCH(K87+B87+B88,Courbe_de_tarage!$I$4:$I$44,1)):INDEX(Courbe_de_tarage!$A$4:$A$44,MATCH(K87+B87+B88,Courbe_de_tarage!$I$4:$I$44,1)+1),INDEX(Courbe_de_tarage!$I$4:$I$44,MATCH(K87+B87+B88,Courbe_de_tarage!$I$4:$I$44,1)):INDEX(Courbe_de_tarage!$I$4:$I$44,MATCH(K87+B87+B88,Courbe_de_tarage!$I$4:$I$44,1)+1)),IFERROR(INDEX(Courbe_de_tarage!$A$4:$A$44,MATCH(K87+B87+B88,Courbe_de_tarage!$I$4:$I$44,1)),INDEX(Courbe_de_tarage!$A$4:$A$44,1))))</f>
        <v/>
      </c>
      <c r="G88" s="12">
        <f>IF(A88="","",Parametres!$C$9+F88)</f>
        <v/>
      </c>
      <c r="H88" s="12">
        <f>IF(A88="","",IFERROR(FORECAST(K87+B87+B88,INDEX(Courbe_de_tarage!$H$4:$H$44,MATCH(K87+B87+B88,Courbe_de_tarage!$I$4:$I$44,1)):INDEX(Courbe_de_tarage!$H$4:$H$44,MATCH(K87+B87+B88,Courbe_de_tarage!$I$4:$I$44,1)+1),INDEX(Courbe_de_tarage!$I$4:$I$44,MATCH(K87+B87+B88,Courbe_de_tarage!$I$4:$I$44,1)):INDEX(Courbe_de_tarage!$I$4:$I$44,MATCH(K87+B87+B88,Courbe_de_tarage!$I$4:$I$44,1)+1)),IFERROR(INDEX(Courbe_de_tarage!$H$4:$H$44,MATCH(K87+B87+B88,Courbe_de_tarage!$I$4:$I$44,1)),INDEX(Courbe_de_tarage!$H$4:$H$44,1))))</f>
        <v/>
      </c>
      <c r="I88" s="5">
        <f>IF(G88="","",IF(G88&gt;Parametres!$C$11,"OUI",""))</f>
        <v/>
      </c>
      <c r="J88" s="12">
        <f>IF(A88="","",K87+B87+B88)</f>
        <v/>
      </c>
      <c r="K88" s="12">
        <f>IF(A88="","",2*H88/(Hydrogramme_entree!$B$8*60)-E88)</f>
        <v/>
      </c>
    </row>
    <row r="89">
      <c r="A89" s="5">
        <f>Hydrogramme_entree!A101</f>
        <v/>
      </c>
      <c r="B89" s="12">
        <f>Hydrogramme_entree!B101</f>
        <v/>
      </c>
      <c r="C89" s="12">
        <f>IF(A89="","",IFERROR(FORECAST(K88+B88+B89,INDEX(Courbe_de_tarage!$C$4:$C$44,MATCH(K88+B88+B89,Courbe_de_tarage!$I$4:$I$44,1)):INDEX(Courbe_de_tarage!$C$4:$C$44,MATCH(K88+B88+B89,Courbe_de_tarage!$I$4:$I$44,1)+1),INDEX(Courbe_de_tarage!$I$4:$I$44,MATCH(K88+B88+B89,Courbe_de_tarage!$I$4:$I$44,1)):INDEX(Courbe_de_tarage!$I$4:$I$44,MATCH(K88+B88+B89,Courbe_de_tarage!$I$4:$I$44,1)+1)),IFERROR(INDEX(Courbe_de_tarage!$C$4:$C$44,MATCH(K88+B88+B89,Courbe_de_tarage!$I$4:$I$44,1)),INDEX(Courbe_de_tarage!$C$4:$C$44,1))))</f>
        <v/>
      </c>
      <c r="D89" s="12">
        <f>IF(A89="","",IFERROR(FORECAST(K88+B88+B89,INDEX(Courbe_de_tarage!$D$4:$D$44,MATCH(K88+B88+B89,Courbe_de_tarage!$I$4:$I$44,1)):INDEX(Courbe_de_tarage!$D$4:$D$44,MATCH(K88+B88+B89,Courbe_de_tarage!$I$4:$I$44,1)+1),INDEX(Courbe_de_tarage!$I$4:$I$44,MATCH(K88+B88+B89,Courbe_de_tarage!$I$4:$I$44,1)):INDEX(Courbe_de_tarage!$I$4:$I$44,MATCH(K88+B88+B89,Courbe_de_tarage!$I$4:$I$44,1)+1)),IFERROR(INDEX(Courbe_de_tarage!$D$4:$D$44,MATCH(K88+B88+B89,Courbe_de_tarage!$I$4:$I$44,1)),INDEX(Courbe_de_tarage!$D$4:$D$44,1))))</f>
        <v/>
      </c>
      <c r="E89" s="12">
        <f>IF(A89="","",IFERROR(FORECAST(K88+B88+B89,INDEX(Courbe_de_tarage!$E$4:$E$44,MATCH(K88+B88+B89,Courbe_de_tarage!$I$4:$I$44,1)):INDEX(Courbe_de_tarage!$E$4:$E$44,MATCH(K88+B88+B89,Courbe_de_tarage!$I$4:$I$44,1)+1),INDEX(Courbe_de_tarage!$I$4:$I$44,MATCH(K88+B88+B89,Courbe_de_tarage!$I$4:$I$44,1)):INDEX(Courbe_de_tarage!$I$4:$I$44,MATCH(K88+B88+B89,Courbe_de_tarage!$I$4:$I$44,1)+1)),IFERROR(INDEX(Courbe_de_tarage!$E$4:$E$44,MATCH(K88+B88+B89,Courbe_de_tarage!$I$4:$I$44,1)),INDEX(Courbe_de_tarage!$E$4:$E$44,1))))</f>
        <v/>
      </c>
      <c r="F89" s="12">
        <f>IF(A89="","",IFERROR(FORECAST(K88+B88+B89,INDEX(Courbe_de_tarage!$A$4:$A$44,MATCH(K88+B88+B89,Courbe_de_tarage!$I$4:$I$44,1)):INDEX(Courbe_de_tarage!$A$4:$A$44,MATCH(K88+B88+B89,Courbe_de_tarage!$I$4:$I$44,1)+1),INDEX(Courbe_de_tarage!$I$4:$I$44,MATCH(K88+B88+B89,Courbe_de_tarage!$I$4:$I$44,1)):INDEX(Courbe_de_tarage!$I$4:$I$44,MATCH(K88+B88+B89,Courbe_de_tarage!$I$4:$I$44,1)+1)),IFERROR(INDEX(Courbe_de_tarage!$A$4:$A$44,MATCH(K88+B88+B89,Courbe_de_tarage!$I$4:$I$44,1)),INDEX(Courbe_de_tarage!$A$4:$A$44,1))))</f>
        <v/>
      </c>
      <c r="G89" s="12">
        <f>IF(A89="","",Parametres!$C$9+F89)</f>
        <v/>
      </c>
      <c r="H89" s="12">
        <f>IF(A89="","",IFERROR(FORECAST(K88+B88+B89,INDEX(Courbe_de_tarage!$H$4:$H$44,MATCH(K88+B88+B89,Courbe_de_tarage!$I$4:$I$44,1)):INDEX(Courbe_de_tarage!$H$4:$H$44,MATCH(K88+B88+B89,Courbe_de_tarage!$I$4:$I$44,1)+1),INDEX(Courbe_de_tarage!$I$4:$I$44,MATCH(K88+B88+B89,Courbe_de_tarage!$I$4:$I$44,1)):INDEX(Courbe_de_tarage!$I$4:$I$44,MATCH(K88+B88+B89,Courbe_de_tarage!$I$4:$I$44,1)+1)),IFERROR(INDEX(Courbe_de_tarage!$H$4:$H$44,MATCH(K88+B88+B89,Courbe_de_tarage!$I$4:$I$44,1)),INDEX(Courbe_de_tarage!$H$4:$H$44,1))))</f>
        <v/>
      </c>
      <c r="I89" s="5">
        <f>IF(G89="","",IF(G89&gt;Parametres!$C$11,"OUI",""))</f>
        <v/>
      </c>
      <c r="J89" s="12">
        <f>IF(A89="","",K88+B88+B89)</f>
        <v/>
      </c>
      <c r="K89" s="12">
        <f>IF(A89="","",2*H89/(Hydrogramme_entree!$B$8*60)-E89)</f>
        <v/>
      </c>
    </row>
    <row r="90">
      <c r="A90" s="5">
        <f>Hydrogramme_entree!A102</f>
        <v/>
      </c>
      <c r="B90" s="12">
        <f>Hydrogramme_entree!B102</f>
        <v/>
      </c>
      <c r="C90" s="12">
        <f>IF(A90="","",IFERROR(FORECAST(K89+B89+B90,INDEX(Courbe_de_tarage!$C$4:$C$44,MATCH(K89+B89+B90,Courbe_de_tarage!$I$4:$I$44,1)):INDEX(Courbe_de_tarage!$C$4:$C$44,MATCH(K89+B89+B90,Courbe_de_tarage!$I$4:$I$44,1)+1),INDEX(Courbe_de_tarage!$I$4:$I$44,MATCH(K89+B89+B90,Courbe_de_tarage!$I$4:$I$44,1)):INDEX(Courbe_de_tarage!$I$4:$I$44,MATCH(K89+B89+B90,Courbe_de_tarage!$I$4:$I$44,1)+1)),IFERROR(INDEX(Courbe_de_tarage!$C$4:$C$44,MATCH(K89+B89+B90,Courbe_de_tarage!$I$4:$I$44,1)),INDEX(Courbe_de_tarage!$C$4:$C$44,1))))</f>
        <v/>
      </c>
      <c r="D90" s="12">
        <f>IF(A90="","",IFERROR(FORECAST(K89+B89+B90,INDEX(Courbe_de_tarage!$D$4:$D$44,MATCH(K89+B89+B90,Courbe_de_tarage!$I$4:$I$44,1)):INDEX(Courbe_de_tarage!$D$4:$D$44,MATCH(K89+B89+B90,Courbe_de_tarage!$I$4:$I$44,1)+1),INDEX(Courbe_de_tarage!$I$4:$I$44,MATCH(K89+B89+B90,Courbe_de_tarage!$I$4:$I$44,1)):INDEX(Courbe_de_tarage!$I$4:$I$44,MATCH(K89+B89+B90,Courbe_de_tarage!$I$4:$I$44,1)+1)),IFERROR(INDEX(Courbe_de_tarage!$D$4:$D$44,MATCH(K89+B89+B90,Courbe_de_tarage!$I$4:$I$44,1)),INDEX(Courbe_de_tarage!$D$4:$D$44,1))))</f>
        <v/>
      </c>
      <c r="E90" s="12">
        <f>IF(A90="","",IFERROR(FORECAST(K89+B89+B90,INDEX(Courbe_de_tarage!$E$4:$E$44,MATCH(K89+B89+B90,Courbe_de_tarage!$I$4:$I$44,1)):INDEX(Courbe_de_tarage!$E$4:$E$44,MATCH(K89+B89+B90,Courbe_de_tarage!$I$4:$I$44,1)+1),INDEX(Courbe_de_tarage!$I$4:$I$44,MATCH(K89+B89+B90,Courbe_de_tarage!$I$4:$I$44,1)):INDEX(Courbe_de_tarage!$I$4:$I$44,MATCH(K89+B89+B90,Courbe_de_tarage!$I$4:$I$44,1)+1)),IFERROR(INDEX(Courbe_de_tarage!$E$4:$E$44,MATCH(K89+B89+B90,Courbe_de_tarage!$I$4:$I$44,1)),INDEX(Courbe_de_tarage!$E$4:$E$44,1))))</f>
        <v/>
      </c>
      <c r="F90" s="12">
        <f>IF(A90="","",IFERROR(FORECAST(K89+B89+B90,INDEX(Courbe_de_tarage!$A$4:$A$44,MATCH(K89+B89+B90,Courbe_de_tarage!$I$4:$I$44,1)):INDEX(Courbe_de_tarage!$A$4:$A$44,MATCH(K89+B89+B90,Courbe_de_tarage!$I$4:$I$44,1)+1),INDEX(Courbe_de_tarage!$I$4:$I$44,MATCH(K89+B89+B90,Courbe_de_tarage!$I$4:$I$44,1)):INDEX(Courbe_de_tarage!$I$4:$I$44,MATCH(K89+B89+B90,Courbe_de_tarage!$I$4:$I$44,1)+1)),IFERROR(INDEX(Courbe_de_tarage!$A$4:$A$44,MATCH(K89+B89+B90,Courbe_de_tarage!$I$4:$I$44,1)),INDEX(Courbe_de_tarage!$A$4:$A$44,1))))</f>
        <v/>
      </c>
      <c r="G90" s="12">
        <f>IF(A90="","",Parametres!$C$9+F90)</f>
        <v/>
      </c>
      <c r="H90" s="12">
        <f>IF(A90="","",IFERROR(FORECAST(K89+B89+B90,INDEX(Courbe_de_tarage!$H$4:$H$44,MATCH(K89+B89+B90,Courbe_de_tarage!$I$4:$I$44,1)):INDEX(Courbe_de_tarage!$H$4:$H$44,MATCH(K89+B89+B90,Courbe_de_tarage!$I$4:$I$44,1)+1),INDEX(Courbe_de_tarage!$I$4:$I$44,MATCH(K89+B89+B90,Courbe_de_tarage!$I$4:$I$44,1)):INDEX(Courbe_de_tarage!$I$4:$I$44,MATCH(K89+B89+B90,Courbe_de_tarage!$I$4:$I$44,1)+1)),IFERROR(INDEX(Courbe_de_tarage!$H$4:$H$44,MATCH(K89+B89+B90,Courbe_de_tarage!$I$4:$I$44,1)),INDEX(Courbe_de_tarage!$H$4:$H$44,1))))</f>
        <v/>
      </c>
      <c r="I90" s="5">
        <f>IF(G90="","",IF(G90&gt;Parametres!$C$11,"OUI",""))</f>
        <v/>
      </c>
      <c r="J90" s="12">
        <f>IF(A90="","",K89+B89+B90)</f>
        <v/>
      </c>
      <c r="K90" s="12">
        <f>IF(A90="","",2*H90/(Hydrogramme_entree!$B$8*60)-E90)</f>
        <v/>
      </c>
    </row>
    <row r="91">
      <c r="A91" s="5">
        <f>Hydrogramme_entree!A103</f>
        <v/>
      </c>
      <c r="B91" s="12">
        <f>Hydrogramme_entree!B103</f>
        <v/>
      </c>
      <c r="C91" s="12">
        <f>IF(A91="","",IFERROR(FORECAST(K90+B90+B91,INDEX(Courbe_de_tarage!$C$4:$C$44,MATCH(K90+B90+B91,Courbe_de_tarage!$I$4:$I$44,1)):INDEX(Courbe_de_tarage!$C$4:$C$44,MATCH(K90+B90+B91,Courbe_de_tarage!$I$4:$I$44,1)+1),INDEX(Courbe_de_tarage!$I$4:$I$44,MATCH(K90+B90+B91,Courbe_de_tarage!$I$4:$I$44,1)):INDEX(Courbe_de_tarage!$I$4:$I$44,MATCH(K90+B90+B91,Courbe_de_tarage!$I$4:$I$44,1)+1)),IFERROR(INDEX(Courbe_de_tarage!$C$4:$C$44,MATCH(K90+B90+B91,Courbe_de_tarage!$I$4:$I$44,1)),INDEX(Courbe_de_tarage!$C$4:$C$44,1))))</f>
        <v/>
      </c>
      <c r="D91" s="12">
        <f>IF(A91="","",IFERROR(FORECAST(K90+B90+B91,INDEX(Courbe_de_tarage!$D$4:$D$44,MATCH(K90+B90+B91,Courbe_de_tarage!$I$4:$I$44,1)):INDEX(Courbe_de_tarage!$D$4:$D$44,MATCH(K90+B90+B91,Courbe_de_tarage!$I$4:$I$44,1)+1),INDEX(Courbe_de_tarage!$I$4:$I$44,MATCH(K90+B90+B91,Courbe_de_tarage!$I$4:$I$44,1)):INDEX(Courbe_de_tarage!$I$4:$I$44,MATCH(K90+B90+B91,Courbe_de_tarage!$I$4:$I$44,1)+1)),IFERROR(INDEX(Courbe_de_tarage!$D$4:$D$44,MATCH(K90+B90+B91,Courbe_de_tarage!$I$4:$I$44,1)),INDEX(Courbe_de_tarage!$D$4:$D$44,1))))</f>
        <v/>
      </c>
      <c r="E91" s="12">
        <f>IF(A91="","",IFERROR(FORECAST(K90+B90+B91,INDEX(Courbe_de_tarage!$E$4:$E$44,MATCH(K90+B90+B91,Courbe_de_tarage!$I$4:$I$44,1)):INDEX(Courbe_de_tarage!$E$4:$E$44,MATCH(K90+B90+B91,Courbe_de_tarage!$I$4:$I$44,1)+1),INDEX(Courbe_de_tarage!$I$4:$I$44,MATCH(K90+B90+B91,Courbe_de_tarage!$I$4:$I$44,1)):INDEX(Courbe_de_tarage!$I$4:$I$44,MATCH(K90+B90+B91,Courbe_de_tarage!$I$4:$I$44,1)+1)),IFERROR(INDEX(Courbe_de_tarage!$E$4:$E$44,MATCH(K90+B90+B91,Courbe_de_tarage!$I$4:$I$44,1)),INDEX(Courbe_de_tarage!$E$4:$E$44,1))))</f>
        <v/>
      </c>
      <c r="F91" s="12">
        <f>IF(A91="","",IFERROR(FORECAST(K90+B90+B91,INDEX(Courbe_de_tarage!$A$4:$A$44,MATCH(K90+B90+B91,Courbe_de_tarage!$I$4:$I$44,1)):INDEX(Courbe_de_tarage!$A$4:$A$44,MATCH(K90+B90+B91,Courbe_de_tarage!$I$4:$I$44,1)+1),INDEX(Courbe_de_tarage!$I$4:$I$44,MATCH(K90+B90+B91,Courbe_de_tarage!$I$4:$I$44,1)):INDEX(Courbe_de_tarage!$I$4:$I$44,MATCH(K90+B90+B91,Courbe_de_tarage!$I$4:$I$44,1)+1)),IFERROR(INDEX(Courbe_de_tarage!$A$4:$A$44,MATCH(K90+B90+B91,Courbe_de_tarage!$I$4:$I$44,1)),INDEX(Courbe_de_tarage!$A$4:$A$44,1))))</f>
        <v/>
      </c>
      <c r="G91" s="12">
        <f>IF(A91="","",Parametres!$C$9+F91)</f>
        <v/>
      </c>
      <c r="H91" s="12">
        <f>IF(A91="","",IFERROR(FORECAST(K90+B90+B91,INDEX(Courbe_de_tarage!$H$4:$H$44,MATCH(K90+B90+B91,Courbe_de_tarage!$I$4:$I$44,1)):INDEX(Courbe_de_tarage!$H$4:$H$44,MATCH(K90+B90+B91,Courbe_de_tarage!$I$4:$I$44,1)+1),INDEX(Courbe_de_tarage!$I$4:$I$44,MATCH(K90+B90+B91,Courbe_de_tarage!$I$4:$I$44,1)):INDEX(Courbe_de_tarage!$I$4:$I$44,MATCH(K90+B90+B91,Courbe_de_tarage!$I$4:$I$44,1)+1)),IFERROR(INDEX(Courbe_de_tarage!$H$4:$H$44,MATCH(K90+B90+B91,Courbe_de_tarage!$I$4:$I$44,1)),INDEX(Courbe_de_tarage!$H$4:$H$44,1))))</f>
        <v/>
      </c>
      <c r="I91" s="5">
        <f>IF(G91="","",IF(G91&gt;Parametres!$C$11,"OUI",""))</f>
        <v/>
      </c>
      <c r="J91" s="12">
        <f>IF(A91="","",K90+B90+B91)</f>
        <v/>
      </c>
      <c r="K91" s="12">
        <f>IF(A91="","",2*H91/(Hydrogramme_entree!$B$8*60)-E91)</f>
        <v/>
      </c>
    </row>
    <row r="92">
      <c r="A92" s="5">
        <f>Hydrogramme_entree!A104</f>
        <v/>
      </c>
      <c r="B92" s="12">
        <f>Hydrogramme_entree!B104</f>
        <v/>
      </c>
      <c r="C92" s="12">
        <f>IF(A92="","",IFERROR(FORECAST(K91+B91+B92,INDEX(Courbe_de_tarage!$C$4:$C$44,MATCH(K91+B91+B92,Courbe_de_tarage!$I$4:$I$44,1)):INDEX(Courbe_de_tarage!$C$4:$C$44,MATCH(K91+B91+B92,Courbe_de_tarage!$I$4:$I$44,1)+1),INDEX(Courbe_de_tarage!$I$4:$I$44,MATCH(K91+B91+B92,Courbe_de_tarage!$I$4:$I$44,1)):INDEX(Courbe_de_tarage!$I$4:$I$44,MATCH(K91+B91+B92,Courbe_de_tarage!$I$4:$I$44,1)+1)),IFERROR(INDEX(Courbe_de_tarage!$C$4:$C$44,MATCH(K91+B91+B92,Courbe_de_tarage!$I$4:$I$44,1)),INDEX(Courbe_de_tarage!$C$4:$C$44,1))))</f>
        <v/>
      </c>
      <c r="D92" s="12">
        <f>IF(A92="","",IFERROR(FORECAST(K91+B91+B92,INDEX(Courbe_de_tarage!$D$4:$D$44,MATCH(K91+B91+B92,Courbe_de_tarage!$I$4:$I$44,1)):INDEX(Courbe_de_tarage!$D$4:$D$44,MATCH(K91+B91+B92,Courbe_de_tarage!$I$4:$I$44,1)+1),INDEX(Courbe_de_tarage!$I$4:$I$44,MATCH(K91+B91+B92,Courbe_de_tarage!$I$4:$I$44,1)):INDEX(Courbe_de_tarage!$I$4:$I$44,MATCH(K91+B91+B92,Courbe_de_tarage!$I$4:$I$44,1)+1)),IFERROR(INDEX(Courbe_de_tarage!$D$4:$D$44,MATCH(K91+B91+B92,Courbe_de_tarage!$I$4:$I$44,1)),INDEX(Courbe_de_tarage!$D$4:$D$44,1))))</f>
        <v/>
      </c>
      <c r="E92" s="12">
        <f>IF(A92="","",IFERROR(FORECAST(K91+B91+B92,INDEX(Courbe_de_tarage!$E$4:$E$44,MATCH(K91+B91+B92,Courbe_de_tarage!$I$4:$I$44,1)):INDEX(Courbe_de_tarage!$E$4:$E$44,MATCH(K91+B91+B92,Courbe_de_tarage!$I$4:$I$44,1)+1),INDEX(Courbe_de_tarage!$I$4:$I$44,MATCH(K91+B91+B92,Courbe_de_tarage!$I$4:$I$44,1)):INDEX(Courbe_de_tarage!$I$4:$I$44,MATCH(K91+B91+B92,Courbe_de_tarage!$I$4:$I$44,1)+1)),IFERROR(INDEX(Courbe_de_tarage!$E$4:$E$44,MATCH(K91+B91+B92,Courbe_de_tarage!$I$4:$I$44,1)),INDEX(Courbe_de_tarage!$E$4:$E$44,1))))</f>
        <v/>
      </c>
      <c r="F92" s="12">
        <f>IF(A92="","",IFERROR(FORECAST(K91+B91+B92,INDEX(Courbe_de_tarage!$A$4:$A$44,MATCH(K91+B91+B92,Courbe_de_tarage!$I$4:$I$44,1)):INDEX(Courbe_de_tarage!$A$4:$A$44,MATCH(K91+B91+B92,Courbe_de_tarage!$I$4:$I$44,1)+1),INDEX(Courbe_de_tarage!$I$4:$I$44,MATCH(K91+B91+B92,Courbe_de_tarage!$I$4:$I$44,1)):INDEX(Courbe_de_tarage!$I$4:$I$44,MATCH(K91+B91+B92,Courbe_de_tarage!$I$4:$I$44,1)+1)),IFERROR(INDEX(Courbe_de_tarage!$A$4:$A$44,MATCH(K91+B91+B92,Courbe_de_tarage!$I$4:$I$44,1)),INDEX(Courbe_de_tarage!$A$4:$A$44,1))))</f>
        <v/>
      </c>
      <c r="G92" s="12">
        <f>IF(A92="","",Parametres!$C$9+F92)</f>
        <v/>
      </c>
      <c r="H92" s="12">
        <f>IF(A92="","",IFERROR(FORECAST(K91+B91+B92,INDEX(Courbe_de_tarage!$H$4:$H$44,MATCH(K91+B91+B92,Courbe_de_tarage!$I$4:$I$44,1)):INDEX(Courbe_de_tarage!$H$4:$H$44,MATCH(K91+B91+B92,Courbe_de_tarage!$I$4:$I$44,1)+1),INDEX(Courbe_de_tarage!$I$4:$I$44,MATCH(K91+B91+B92,Courbe_de_tarage!$I$4:$I$44,1)):INDEX(Courbe_de_tarage!$I$4:$I$44,MATCH(K91+B91+B92,Courbe_de_tarage!$I$4:$I$44,1)+1)),IFERROR(INDEX(Courbe_de_tarage!$H$4:$H$44,MATCH(K91+B91+B92,Courbe_de_tarage!$I$4:$I$44,1)),INDEX(Courbe_de_tarage!$H$4:$H$44,1))))</f>
        <v/>
      </c>
      <c r="I92" s="5">
        <f>IF(G92="","",IF(G92&gt;Parametres!$C$11,"OUI",""))</f>
        <v/>
      </c>
      <c r="J92" s="12">
        <f>IF(A92="","",K91+B91+B92)</f>
        <v/>
      </c>
      <c r="K92" s="12">
        <f>IF(A92="","",2*H92/(Hydrogramme_entree!$B$8*60)-E92)</f>
        <v/>
      </c>
    </row>
    <row r="93">
      <c r="A93" s="5">
        <f>Hydrogramme_entree!A105</f>
        <v/>
      </c>
      <c r="B93" s="12">
        <f>Hydrogramme_entree!B105</f>
        <v/>
      </c>
      <c r="C93" s="12">
        <f>IF(A93="","",IFERROR(FORECAST(K92+B92+B93,INDEX(Courbe_de_tarage!$C$4:$C$44,MATCH(K92+B92+B93,Courbe_de_tarage!$I$4:$I$44,1)):INDEX(Courbe_de_tarage!$C$4:$C$44,MATCH(K92+B92+B93,Courbe_de_tarage!$I$4:$I$44,1)+1),INDEX(Courbe_de_tarage!$I$4:$I$44,MATCH(K92+B92+B93,Courbe_de_tarage!$I$4:$I$44,1)):INDEX(Courbe_de_tarage!$I$4:$I$44,MATCH(K92+B92+B93,Courbe_de_tarage!$I$4:$I$44,1)+1)),IFERROR(INDEX(Courbe_de_tarage!$C$4:$C$44,MATCH(K92+B92+B93,Courbe_de_tarage!$I$4:$I$44,1)),INDEX(Courbe_de_tarage!$C$4:$C$44,1))))</f>
        <v/>
      </c>
      <c r="D93" s="12">
        <f>IF(A93="","",IFERROR(FORECAST(K92+B92+B93,INDEX(Courbe_de_tarage!$D$4:$D$44,MATCH(K92+B92+B93,Courbe_de_tarage!$I$4:$I$44,1)):INDEX(Courbe_de_tarage!$D$4:$D$44,MATCH(K92+B92+B93,Courbe_de_tarage!$I$4:$I$44,1)+1),INDEX(Courbe_de_tarage!$I$4:$I$44,MATCH(K92+B92+B93,Courbe_de_tarage!$I$4:$I$44,1)):INDEX(Courbe_de_tarage!$I$4:$I$44,MATCH(K92+B92+B93,Courbe_de_tarage!$I$4:$I$44,1)+1)),IFERROR(INDEX(Courbe_de_tarage!$D$4:$D$44,MATCH(K92+B92+B93,Courbe_de_tarage!$I$4:$I$44,1)),INDEX(Courbe_de_tarage!$D$4:$D$44,1))))</f>
        <v/>
      </c>
      <c r="E93" s="12">
        <f>IF(A93="","",IFERROR(FORECAST(K92+B92+B93,INDEX(Courbe_de_tarage!$E$4:$E$44,MATCH(K92+B92+B93,Courbe_de_tarage!$I$4:$I$44,1)):INDEX(Courbe_de_tarage!$E$4:$E$44,MATCH(K92+B92+B93,Courbe_de_tarage!$I$4:$I$44,1)+1),INDEX(Courbe_de_tarage!$I$4:$I$44,MATCH(K92+B92+B93,Courbe_de_tarage!$I$4:$I$44,1)):INDEX(Courbe_de_tarage!$I$4:$I$44,MATCH(K92+B92+B93,Courbe_de_tarage!$I$4:$I$44,1)+1)),IFERROR(INDEX(Courbe_de_tarage!$E$4:$E$44,MATCH(K92+B92+B93,Courbe_de_tarage!$I$4:$I$44,1)),INDEX(Courbe_de_tarage!$E$4:$E$44,1))))</f>
        <v/>
      </c>
      <c r="F93" s="12">
        <f>IF(A93="","",IFERROR(FORECAST(K92+B92+B93,INDEX(Courbe_de_tarage!$A$4:$A$44,MATCH(K92+B92+B93,Courbe_de_tarage!$I$4:$I$44,1)):INDEX(Courbe_de_tarage!$A$4:$A$44,MATCH(K92+B92+B93,Courbe_de_tarage!$I$4:$I$44,1)+1),INDEX(Courbe_de_tarage!$I$4:$I$44,MATCH(K92+B92+B93,Courbe_de_tarage!$I$4:$I$44,1)):INDEX(Courbe_de_tarage!$I$4:$I$44,MATCH(K92+B92+B93,Courbe_de_tarage!$I$4:$I$44,1)+1)),IFERROR(INDEX(Courbe_de_tarage!$A$4:$A$44,MATCH(K92+B92+B93,Courbe_de_tarage!$I$4:$I$44,1)),INDEX(Courbe_de_tarage!$A$4:$A$44,1))))</f>
        <v/>
      </c>
      <c r="G93" s="12">
        <f>IF(A93="","",Parametres!$C$9+F93)</f>
        <v/>
      </c>
      <c r="H93" s="12">
        <f>IF(A93="","",IFERROR(FORECAST(K92+B92+B93,INDEX(Courbe_de_tarage!$H$4:$H$44,MATCH(K92+B92+B93,Courbe_de_tarage!$I$4:$I$44,1)):INDEX(Courbe_de_tarage!$H$4:$H$44,MATCH(K92+B92+B93,Courbe_de_tarage!$I$4:$I$44,1)+1),INDEX(Courbe_de_tarage!$I$4:$I$44,MATCH(K92+B92+B93,Courbe_de_tarage!$I$4:$I$44,1)):INDEX(Courbe_de_tarage!$I$4:$I$44,MATCH(K92+B92+B93,Courbe_de_tarage!$I$4:$I$44,1)+1)),IFERROR(INDEX(Courbe_de_tarage!$H$4:$H$44,MATCH(K92+B92+B93,Courbe_de_tarage!$I$4:$I$44,1)),INDEX(Courbe_de_tarage!$H$4:$H$44,1))))</f>
        <v/>
      </c>
      <c r="I93" s="5">
        <f>IF(G93="","",IF(G93&gt;Parametres!$C$11,"OUI",""))</f>
        <v/>
      </c>
      <c r="J93" s="12">
        <f>IF(A93="","",K92+B92+B93)</f>
        <v/>
      </c>
      <c r="K93" s="12">
        <f>IF(A93="","",2*H93/(Hydrogramme_entree!$B$8*60)-E93)</f>
        <v/>
      </c>
    </row>
    <row r="94">
      <c r="A94" s="5">
        <f>Hydrogramme_entree!A106</f>
        <v/>
      </c>
      <c r="B94" s="12">
        <f>Hydrogramme_entree!B106</f>
        <v/>
      </c>
      <c r="C94" s="12">
        <f>IF(A94="","",IFERROR(FORECAST(K93+B93+B94,INDEX(Courbe_de_tarage!$C$4:$C$44,MATCH(K93+B93+B94,Courbe_de_tarage!$I$4:$I$44,1)):INDEX(Courbe_de_tarage!$C$4:$C$44,MATCH(K93+B93+B94,Courbe_de_tarage!$I$4:$I$44,1)+1),INDEX(Courbe_de_tarage!$I$4:$I$44,MATCH(K93+B93+B94,Courbe_de_tarage!$I$4:$I$44,1)):INDEX(Courbe_de_tarage!$I$4:$I$44,MATCH(K93+B93+B94,Courbe_de_tarage!$I$4:$I$44,1)+1)),IFERROR(INDEX(Courbe_de_tarage!$C$4:$C$44,MATCH(K93+B93+B94,Courbe_de_tarage!$I$4:$I$44,1)),INDEX(Courbe_de_tarage!$C$4:$C$44,1))))</f>
        <v/>
      </c>
      <c r="D94" s="12">
        <f>IF(A94="","",IFERROR(FORECAST(K93+B93+B94,INDEX(Courbe_de_tarage!$D$4:$D$44,MATCH(K93+B93+B94,Courbe_de_tarage!$I$4:$I$44,1)):INDEX(Courbe_de_tarage!$D$4:$D$44,MATCH(K93+B93+B94,Courbe_de_tarage!$I$4:$I$44,1)+1),INDEX(Courbe_de_tarage!$I$4:$I$44,MATCH(K93+B93+B94,Courbe_de_tarage!$I$4:$I$44,1)):INDEX(Courbe_de_tarage!$I$4:$I$44,MATCH(K93+B93+B94,Courbe_de_tarage!$I$4:$I$44,1)+1)),IFERROR(INDEX(Courbe_de_tarage!$D$4:$D$44,MATCH(K93+B93+B94,Courbe_de_tarage!$I$4:$I$44,1)),INDEX(Courbe_de_tarage!$D$4:$D$44,1))))</f>
        <v/>
      </c>
      <c r="E94" s="12">
        <f>IF(A94="","",IFERROR(FORECAST(K93+B93+B94,INDEX(Courbe_de_tarage!$E$4:$E$44,MATCH(K93+B93+B94,Courbe_de_tarage!$I$4:$I$44,1)):INDEX(Courbe_de_tarage!$E$4:$E$44,MATCH(K93+B93+B94,Courbe_de_tarage!$I$4:$I$44,1)+1),INDEX(Courbe_de_tarage!$I$4:$I$44,MATCH(K93+B93+B94,Courbe_de_tarage!$I$4:$I$44,1)):INDEX(Courbe_de_tarage!$I$4:$I$44,MATCH(K93+B93+B94,Courbe_de_tarage!$I$4:$I$44,1)+1)),IFERROR(INDEX(Courbe_de_tarage!$E$4:$E$44,MATCH(K93+B93+B94,Courbe_de_tarage!$I$4:$I$44,1)),INDEX(Courbe_de_tarage!$E$4:$E$44,1))))</f>
        <v/>
      </c>
      <c r="F94" s="12">
        <f>IF(A94="","",IFERROR(FORECAST(K93+B93+B94,INDEX(Courbe_de_tarage!$A$4:$A$44,MATCH(K93+B93+B94,Courbe_de_tarage!$I$4:$I$44,1)):INDEX(Courbe_de_tarage!$A$4:$A$44,MATCH(K93+B93+B94,Courbe_de_tarage!$I$4:$I$44,1)+1),INDEX(Courbe_de_tarage!$I$4:$I$44,MATCH(K93+B93+B94,Courbe_de_tarage!$I$4:$I$44,1)):INDEX(Courbe_de_tarage!$I$4:$I$44,MATCH(K93+B93+B94,Courbe_de_tarage!$I$4:$I$44,1)+1)),IFERROR(INDEX(Courbe_de_tarage!$A$4:$A$44,MATCH(K93+B93+B94,Courbe_de_tarage!$I$4:$I$44,1)),INDEX(Courbe_de_tarage!$A$4:$A$44,1))))</f>
        <v/>
      </c>
      <c r="G94" s="12">
        <f>IF(A94="","",Parametres!$C$9+F94)</f>
        <v/>
      </c>
      <c r="H94" s="12">
        <f>IF(A94="","",IFERROR(FORECAST(K93+B93+B94,INDEX(Courbe_de_tarage!$H$4:$H$44,MATCH(K93+B93+B94,Courbe_de_tarage!$I$4:$I$44,1)):INDEX(Courbe_de_tarage!$H$4:$H$44,MATCH(K93+B93+B94,Courbe_de_tarage!$I$4:$I$44,1)+1),INDEX(Courbe_de_tarage!$I$4:$I$44,MATCH(K93+B93+B94,Courbe_de_tarage!$I$4:$I$44,1)):INDEX(Courbe_de_tarage!$I$4:$I$44,MATCH(K93+B93+B94,Courbe_de_tarage!$I$4:$I$44,1)+1)),IFERROR(INDEX(Courbe_de_tarage!$H$4:$H$44,MATCH(K93+B93+B94,Courbe_de_tarage!$I$4:$I$44,1)),INDEX(Courbe_de_tarage!$H$4:$H$44,1))))</f>
        <v/>
      </c>
      <c r="I94" s="5">
        <f>IF(G94="","",IF(G94&gt;Parametres!$C$11,"OUI",""))</f>
        <v/>
      </c>
      <c r="J94" s="12">
        <f>IF(A94="","",K93+B93+B94)</f>
        <v/>
      </c>
      <c r="K94" s="12">
        <f>IF(A94="","",2*H94/(Hydrogramme_entree!$B$8*60)-E94)</f>
        <v/>
      </c>
    </row>
    <row r="95">
      <c r="A95" s="5">
        <f>Hydrogramme_entree!A107</f>
        <v/>
      </c>
      <c r="B95" s="12">
        <f>Hydrogramme_entree!B107</f>
        <v/>
      </c>
      <c r="C95" s="12">
        <f>IF(A95="","",IFERROR(FORECAST(K94+B94+B95,INDEX(Courbe_de_tarage!$C$4:$C$44,MATCH(K94+B94+B95,Courbe_de_tarage!$I$4:$I$44,1)):INDEX(Courbe_de_tarage!$C$4:$C$44,MATCH(K94+B94+B95,Courbe_de_tarage!$I$4:$I$44,1)+1),INDEX(Courbe_de_tarage!$I$4:$I$44,MATCH(K94+B94+B95,Courbe_de_tarage!$I$4:$I$44,1)):INDEX(Courbe_de_tarage!$I$4:$I$44,MATCH(K94+B94+B95,Courbe_de_tarage!$I$4:$I$44,1)+1)),IFERROR(INDEX(Courbe_de_tarage!$C$4:$C$44,MATCH(K94+B94+B95,Courbe_de_tarage!$I$4:$I$44,1)),INDEX(Courbe_de_tarage!$C$4:$C$44,1))))</f>
        <v/>
      </c>
      <c r="D95" s="12">
        <f>IF(A95="","",IFERROR(FORECAST(K94+B94+B95,INDEX(Courbe_de_tarage!$D$4:$D$44,MATCH(K94+B94+B95,Courbe_de_tarage!$I$4:$I$44,1)):INDEX(Courbe_de_tarage!$D$4:$D$44,MATCH(K94+B94+B95,Courbe_de_tarage!$I$4:$I$44,1)+1),INDEX(Courbe_de_tarage!$I$4:$I$44,MATCH(K94+B94+B95,Courbe_de_tarage!$I$4:$I$44,1)):INDEX(Courbe_de_tarage!$I$4:$I$44,MATCH(K94+B94+B95,Courbe_de_tarage!$I$4:$I$44,1)+1)),IFERROR(INDEX(Courbe_de_tarage!$D$4:$D$44,MATCH(K94+B94+B95,Courbe_de_tarage!$I$4:$I$44,1)),INDEX(Courbe_de_tarage!$D$4:$D$44,1))))</f>
        <v/>
      </c>
      <c r="E95" s="12">
        <f>IF(A95="","",IFERROR(FORECAST(K94+B94+B95,INDEX(Courbe_de_tarage!$E$4:$E$44,MATCH(K94+B94+B95,Courbe_de_tarage!$I$4:$I$44,1)):INDEX(Courbe_de_tarage!$E$4:$E$44,MATCH(K94+B94+B95,Courbe_de_tarage!$I$4:$I$44,1)+1),INDEX(Courbe_de_tarage!$I$4:$I$44,MATCH(K94+B94+B95,Courbe_de_tarage!$I$4:$I$44,1)):INDEX(Courbe_de_tarage!$I$4:$I$44,MATCH(K94+B94+B95,Courbe_de_tarage!$I$4:$I$44,1)+1)),IFERROR(INDEX(Courbe_de_tarage!$E$4:$E$44,MATCH(K94+B94+B95,Courbe_de_tarage!$I$4:$I$44,1)),INDEX(Courbe_de_tarage!$E$4:$E$44,1))))</f>
        <v/>
      </c>
      <c r="F95" s="12">
        <f>IF(A95="","",IFERROR(FORECAST(K94+B94+B95,INDEX(Courbe_de_tarage!$A$4:$A$44,MATCH(K94+B94+B95,Courbe_de_tarage!$I$4:$I$44,1)):INDEX(Courbe_de_tarage!$A$4:$A$44,MATCH(K94+B94+B95,Courbe_de_tarage!$I$4:$I$44,1)+1),INDEX(Courbe_de_tarage!$I$4:$I$44,MATCH(K94+B94+B95,Courbe_de_tarage!$I$4:$I$44,1)):INDEX(Courbe_de_tarage!$I$4:$I$44,MATCH(K94+B94+B95,Courbe_de_tarage!$I$4:$I$44,1)+1)),IFERROR(INDEX(Courbe_de_tarage!$A$4:$A$44,MATCH(K94+B94+B95,Courbe_de_tarage!$I$4:$I$44,1)),INDEX(Courbe_de_tarage!$A$4:$A$44,1))))</f>
        <v/>
      </c>
      <c r="G95" s="12">
        <f>IF(A95="","",Parametres!$C$9+F95)</f>
        <v/>
      </c>
      <c r="H95" s="12">
        <f>IF(A95="","",IFERROR(FORECAST(K94+B94+B95,INDEX(Courbe_de_tarage!$H$4:$H$44,MATCH(K94+B94+B95,Courbe_de_tarage!$I$4:$I$44,1)):INDEX(Courbe_de_tarage!$H$4:$H$44,MATCH(K94+B94+B95,Courbe_de_tarage!$I$4:$I$44,1)+1),INDEX(Courbe_de_tarage!$I$4:$I$44,MATCH(K94+B94+B95,Courbe_de_tarage!$I$4:$I$44,1)):INDEX(Courbe_de_tarage!$I$4:$I$44,MATCH(K94+B94+B95,Courbe_de_tarage!$I$4:$I$44,1)+1)),IFERROR(INDEX(Courbe_de_tarage!$H$4:$H$44,MATCH(K94+B94+B95,Courbe_de_tarage!$I$4:$I$44,1)),INDEX(Courbe_de_tarage!$H$4:$H$44,1))))</f>
        <v/>
      </c>
      <c r="I95" s="5">
        <f>IF(G95="","",IF(G95&gt;Parametres!$C$11,"OUI",""))</f>
        <v/>
      </c>
      <c r="J95" s="12">
        <f>IF(A95="","",K94+B94+B95)</f>
        <v/>
      </c>
      <c r="K95" s="12">
        <f>IF(A95="","",2*H95/(Hydrogramme_entree!$B$8*60)-E95)</f>
        <v/>
      </c>
    </row>
    <row r="96">
      <c r="A96" s="5">
        <f>Hydrogramme_entree!A108</f>
        <v/>
      </c>
      <c r="B96" s="12">
        <f>Hydrogramme_entree!B108</f>
        <v/>
      </c>
      <c r="C96" s="12">
        <f>IF(A96="","",IFERROR(FORECAST(K95+B95+B96,INDEX(Courbe_de_tarage!$C$4:$C$44,MATCH(K95+B95+B96,Courbe_de_tarage!$I$4:$I$44,1)):INDEX(Courbe_de_tarage!$C$4:$C$44,MATCH(K95+B95+B96,Courbe_de_tarage!$I$4:$I$44,1)+1),INDEX(Courbe_de_tarage!$I$4:$I$44,MATCH(K95+B95+B96,Courbe_de_tarage!$I$4:$I$44,1)):INDEX(Courbe_de_tarage!$I$4:$I$44,MATCH(K95+B95+B96,Courbe_de_tarage!$I$4:$I$44,1)+1)),IFERROR(INDEX(Courbe_de_tarage!$C$4:$C$44,MATCH(K95+B95+B96,Courbe_de_tarage!$I$4:$I$44,1)),INDEX(Courbe_de_tarage!$C$4:$C$44,1))))</f>
        <v/>
      </c>
      <c r="D96" s="12">
        <f>IF(A96="","",IFERROR(FORECAST(K95+B95+B96,INDEX(Courbe_de_tarage!$D$4:$D$44,MATCH(K95+B95+B96,Courbe_de_tarage!$I$4:$I$44,1)):INDEX(Courbe_de_tarage!$D$4:$D$44,MATCH(K95+B95+B96,Courbe_de_tarage!$I$4:$I$44,1)+1),INDEX(Courbe_de_tarage!$I$4:$I$44,MATCH(K95+B95+B96,Courbe_de_tarage!$I$4:$I$44,1)):INDEX(Courbe_de_tarage!$I$4:$I$44,MATCH(K95+B95+B96,Courbe_de_tarage!$I$4:$I$44,1)+1)),IFERROR(INDEX(Courbe_de_tarage!$D$4:$D$44,MATCH(K95+B95+B96,Courbe_de_tarage!$I$4:$I$44,1)),INDEX(Courbe_de_tarage!$D$4:$D$44,1))))</f>
        <v/>
      </c>
      <c r="E96" s="12">
        <f>IF(A96="","",IFERROR(FORECAST(K95+B95+B96,INDEX(Courbe_de_tarage!$E$4:$E$44,MATCH(K95+B95+B96,Courbe_de_tarage!$I$4:$I$44,1)):INDEX(Courbe_de_tarage!$E$4:$E$44,MATCH(K95+B95+B96,Courbe_de_tarage!$I$4:$I$44,1)+1),INDEX(Courbe_de_tarage!$I$4:$I$44,MATCH(K95+B95+B96,Courbe_de_tarage!$I$4:$I$44,1)):INDEX(Courbe_de_tarage!$I$4:$I$44,MATCH(K95+B95+B96,Courbe_de_tarage!$I$4:$I$44,1)+1)),IFERROR(INDEX(Courbe_de_tarage!$E$4:$E$44,MATCH(K95+B95+B96,Courbe_de_tarage!$I$4:$I$44,1)),INDEX(Courbe_de_tarage!$E$4:$E$44,1))))</f>
        <v/>
      </c>
      <c r="F96" s="12">
        <f>IF(A96="","",IFERROR(FORECAST(K95+B95+B96,INDEX(Courbe_de_tarage!$A$4:$A$44,MATCH(K95+B95+B96,Courbe_de_tarage!$I$4:$I$44,1)):INDEX(Courbe_de_tarage!$A$4:$A$44,MATCH(K95+B95+B96,Courbe_de_tarage!$I$4:$I$44,1)+1),INDEX(Courbe_de_tarage!$I$4:$I$44,MATCH(K95+B95+B96,Courbe_de_tarage!$I$4:$I$44,1)):INDEX(Courbe_de_tarage!$I$4:$I$44,MATCH(K95+B95+B96,Courbe_de_tarage!$I$4:$I$44,1)+1)),IFERROR(INDEX(Courbe_de_tarage!$A$4:$A$44,MATCH(K95+B95+B96,Courbe_de_tarage!$I$4:$I$44,1)),INDEX(Courbe_de_tarage!$A$4:$A$44,1))))</f>
        <v/>
      </c>
      <c r="G96" s="12">
        <f>IF(A96="","",Parametres!$C$9+F96)</f>
        <v/>
      </c>
      <c r="H96" s="12">
        <f>IF(A96="","",IFERROR(FORECAST(K95+B95+B96,INDEX(Courbe_de_tarage!$H$4:$H$44,MATCH(K95+B95+B96,Courbe_de_tarage!$I$4:$I$44,1)):INDEX(Courbe_de_tarage!$H$4:$H$44,MATCH(K95+B95+B96,Courbe_de_tarage!$I$4:$I$44,1)+1),INDEX(Courbe_de_tarage!$I$4:$I$44,MATCH(K95+B95+B96,Courbe_de_tarage!$I$4:$I$44,1)):INDEX(Courbe_de_tarage!$I$4:$I$44,MATCH(K95+B95+B96,Courbe_de_tarage!$I$4:$I$44,1)+1)),IFERROR(INDEX(Courbe_de_tarage!$H$4:$H$44,MATCH(K95+B95+B96,Courbe_de_tarage!$I$4:$I$44,1)),INDEX(Courbe_de_tarage!$H$4:$H$44,1))))</f>
        <v/>
      </c>
      <c r="I96" s="5">
        <f>IF(G96="","",IF(G96&gt;Parametres!$C$11,"OUI",""))</f>
        <v/>
      </c>
      <c r="J96" s="12">
        <f>IF(A96="","",K95+B95+B96)</f>
        <v/>
      </c>
      <c r="K96" s="12">
        <f>IF(A96="","",2*H96/(Hydrogramme_entree!$B$8*60)-E96)</f>
        <v/>
      </c>
    </row>
    <row r="97">
      <c r="A97" s="5">
        <f>Hydrogramme_entree!A109</f>
        <v/>
      </c>
      <c r="B97" s="12">
        <f>Hydrogramme_entree!B109</f>
        <v/>
      </c>
      <c r="C97" s="12">
        <f>IF(A97="","",IFERROR(FORECAST(K96+B96+B97,INDEX(Courbe_de_tarage!$C$4:$C$44,MATCH(K96+B96+B97,Courbe_de_tarage!$I$4:$I$44,1)):INDEX(Courbe_de_tarage!$C$4:$C$44,MATCH(K96+B96+B97,Courbe_de_tarage!$I$4:$I$44,1)+1),INDEX(Courbe_de_tarage!$I$4:$I$44,MATCH(K96+B96+B97,Courbe_de_tarage!$I$4:$I$44,1)):INDEX(Courbe_de_tarage!$I$4:$I$44,MATCH(K96+B96+B97,Courbe_de_tarage!$I$4:$I$44,1)+1)),IFERROR(INDEX(Courbe_de_tarage!$C$4:$C$44,MATCH(K96+B96+B97,Courbe_de_tarage!$I$4:$I$44,1)),INDEX(Courbe_de_tarage!$C$4:$C$44,1))))</f>
        <v/>
      </c>
      <c r="D97" s="12">
        <f>IF(A97="","",IFERROR(FORECAST(K96+B96+B97,INDEX(Courbe_de_tarage!$D$4:$D$44,MATCH(K96+B96+B97,Courbe_de_tarage!$I$4:$I$44,1)):INDEX(Courbe_de_tarage!$D$4:$D$44,MATCH(K96+B96+B97,Courbe_de_tarage!$I$4:$I$44,1)+1),INDEX(Courbe_de_tarage!$I$4:$I$44,MATCH(K96+B96+B97,Courbe_de_tarage!$I$4:$I$44,1)):INDEX(Courbe_de_tarage!$I$4:$I$44,MATCH(K96+B96+B97,Courbe_de_tarage!$I$4:$I$44,1)+1)),IFERROR(INDEX(Courbe_de_tarage!$D$4:$D$44,MATCH(K96+B96+B97,Courbe_de_tarage!$I$4:$I$44,1)),INDEX(Courbe_de_tarage!$D$4:$D$44,1))))</f>
        <v/>
      </c>
      <c r="E97" s="12">
        <f>IF(A97="","",IFERROR(FORECAST(K96+B96+B97,INDEX(Courbe_de_tarage!$E$4:$E$44,MATCH(K96+B96+B97,Courbe_de_tarage!$I$4:$I$44,1)):INDEX(Courbe_de_tarage!$E$4:$E$44,MATCH(K96+B96+B97,Courbe_de_tarage!$I$4:$I$44,1)+1),INDEX(Courbe_de_tarage!$I$4:$I$44,MATCH(K96+B96+B97,Courbe_de_tarage!$I$4:$I$44,1)):INDEX(Courbe_de_tarage!$I$4:$I$44,MATCH(K96+B96+B97,Courbe_de_tarage!$I$4:$I$44,1)+1)),IFERROR(INDEX(Courbe_de_tarage!$E$4:$E$44,MATCH(K96+B96+B97,Courbe_de_tarage!$I$4:$I$44,1)),INDEX(Courbe_de_tarage!$E$4:$E$44,1))))</f>
        <v/>
      </c>
      <c r="F97" s="12">
        <f>IF(A97="","",IFERROR(FORECAST(K96+B96+B97,INDEX(Courbe_de_tarage!$A$4:$A$44,MATCH(K96+B96+B97,Courbe_de_tarage!$I$4:$I$44,1)):INDEX(Courbe_de_tarage!$A$4:$A$44,MATCH(K96+B96+B97,Courbe_de_tarage!$I$4:$I$44,1)+1),INDEX(Courbe_de_tarage!$I$4:$I$44,MATCH(K96+B96+B97,Courbe_de_tarage!$I$4:$I$44,1)):INDEX(Courbe_de_tarage!$I$4:$I$44,MATCH(K96+B96+B97,Courbe_de_tarage!$I$4:$I$44,1)+1)),IFERROR(INDEX(Courbe_de_tarage!$A$4:$A$44,MATCH(K96+B96+B97,Courbe_de_tarage!$I$4:$I$44,1)),INDEX(Courbe_de_tarage!$A$4:$A$44,1))))</f>
        <v/>
      </c>
      <c r="G97" s="12">
        <f>IF(A97="","",Parametres!$C$9+F97)</f>
        <v/>
      </c>
      <c r="H97" s="12">
        <f>IF(A97="","",IFERROR(FORECAST(K96+B96+B97,INDEX(Courbe_de_tarage!$H$4:$H$44,MATCH(K96+B96+B97,Courbe_de_tarage!$I$4:$I$44,1)):INDEX(Courbe_de_tarage!$H$4:$H$44,MATCH(K96+B96+B97,Courbe_de_tarage!$I$4:$I$44,1)+1),INDEX(Courbe_de_tarage!$I$4:$I$44,MATCH(K96+B96+B97,Courbe_de_tarage!$I$4:$I$44,1)):INDEX(Courbe_de_tarage!$I$4:$I$44,MATCH(K96+B96+B97,Courbe_de_tarage!$I$4:$I$44,1)+1)),IFERROR(INDEX(Courbe_de_tarage!$H$4:$H$44,MATCH(K96+B96+B97,Courbe_de_tarage!$I$4:$I$44,1)),INDEX(Courbe_de_tarage!$H$4:$H$44,1))))</f>
        <v/>
      </c>
      <c r="I97" s="5">
        <f>IF(G97="","",IF(G97&gt;Parametres!$C$11,"OUI",""))</f>
        <v/>
      </c>
      <c r="J97" s="12">
        <f>IF(A97="","",K96+B96+B97)</f>
        <v/>
      </c>
      <c r="K97" s="12">
        <f>IF(A97="","",2*H97/(Hydrogramme_entree!$B$8*60)-E97)</f>
        <v/>
      </c>
    </row>
    <row r="98">
      <c r="A98" s="5">
        <f>Hydrogramme_entree!A110</f>
        <v/>
      </c>
      <c r="B98" s="12">
        <f>Hydrogramme_entree!B110</f>
        <v/>
      </c>
      <c r="C98" s="12">
        <f>IF(A98="","",IFERROR(FORECAST(K97+B97+B98,INDEX(Courbe_de_tarage!$C$4:$C$44,MATCH(K97+B97+B98,Courbe_de_tarage!$I$4:$I$44,1)):INDEX(Courbe_de_tarage!$C$4:$C$44,MATCH(K97+B97+B98,Courbe_de_tarage!$I$4:$I$44,1)+1),INDEX(Courbe_de_tarage!$I$4:$I$44,MATCH(K97+B97+B98,Courbe_de_tarage!$I$4:$I$44,1)):INDEX(Courbe_de_tarage!$I$4:$I$44,MATCH(K97+B97+B98,Courbe_de_tarage!$I$4:$I$44,1)+1)),IFERROR(INDEX(Courbe_de_tarage!$C$4:$C$44,MATCH(K97+B97+B98,Courbe_de_tarage!$I$4:$I$44,1)),INDEX(Courbe_de_tarage!$C$4:$C$44,1))))</f>
        <v/>
      </c>
      <c r="D98" s="12">
        <f>IF(A98="","",IFERROR(FORECAST(K97+B97+B98,INDEX(Courbe_de_tarage!$D$4:$D$44,MATCH(K97+B97+B98,Courbe_de_tarage!$I$4:$I$44,1)):INDEX(Courbe_de_tarage!$D$4:$D$44,MATCH(K97+B97+B98,Courbe_de_tarage!$I$4:$I$44,1)+1),INDEX(Courbe_de_tarage!$I$4:$I$44,MATCH(K97+B97+B98,Courbe_de_tarage!$I$4:$I$44,1)):INDEX(Courbe_de_tarage!$I$4:$I$44,MATCH(K97+B97+B98,Courbe_de_tarage!$I$4:$I$44,1)+1)),IFERROR(INDEX(Courbe_de_tarage!$D$4:$D$44,MATCH(K97+B97+B98,Courbe_de_tarage!$I$4:$I$44,1)),INDEX(Courbe_de_tarage!$D$4:$D$44,1))))</f>
        <v/>
      </c>
      <c r="E98" s="12">
        <f>IF(A98="","",IFERROR(FORECAST(K97+B97+B98,INDEX(Courbe_de_tarage!$E$4:$E$44,MATCH(K97+B97+B98,Courbe_de_tarage!$I$4:$I$44,1)):INDEX(Courbe_de_tarage!$E$4:$E$44,MATCH(K97+B97+B98,Courbe_de_tarage!$I$4:$I$44,1)+1),INDEX(Courbe_de_tarage!$I$4:$I$44,MATCH(K97+B97+B98,Courbe_de_tarage!$I$4:$I$44,1)):INDEX(Courbe_de_tarage!$I$4:$I$44,MATCH(K97+B97+B98,Courbe_de_tarage!$I$4:$I$44,1)+1)),IFERROR(INDEX(Courbe_de_tarage!$E$4:$E$44,MATCH(K97+B97+B98,Courbe_de_tarage!$I$4:$I$44,1)),INDEX(Courbe_de_tarage!$E$4:$E$44,1))))</f>
        <v/>
      </c>
      <c r="F98" s="12">
        <f>IF(A98="","",IFERROR(FORECAST(K97+B97+B98,INDEX(Courbe_de_tarage!$A$4:$A$44,MATCH(K97+B97+B98,Courbe_de_tarage!$I$4:$I$44,1)):INDEX(Courbe_de_tarage!$A$4:$A$44,MATCH(K97+B97+B98,Courbe_de_tarage!$I$4:$I$44,1)+1),INDEX(Courbe_de_tarage!$I$4:$I$44,MATCH(K97+B97+B98,Courbe_de_tarage!$I$4:$I$44,1)):INDEX(Courbe_de_tarage!$I$4:$I$44,MATCH(K97+B97+B98,Courbe_de_tarage!$I$4:$I$44,1)+1)),IFERROR(INDEX(Courbe_de_tarage!$A$4:$A$44,MATCH(K97+B97+B98,Courbe_de_tarage!$I$4:$I$44,1)),INDEX(Courbe_de_tarage!$A$4:$A$44,1))))</f>
        <v/>
      </c>
      <c r="G98" s="12">
        <f>IF(A98="","",Parametres!$C$9+F98)</f>
        <v/>
      </c>
      <c r="H98" s="12">
        <f>IF(A98="","",IFERROR(FORECAST(K97+B97+B98,INDEX(Courbe_de_tarage!$H$4:$H$44,MATCH(K97+B97+B98,Courbe_de_tarage!$I$4:$I$44,1)):INDEX(Courbe_de_tarage!$H$4:$H$44,MATCH(K97+B97+B98,Courbe_de_tarage!$I$4:$I$44,1)+1),INDEX(Courbe_de_tarage!$I$4:$I$44,MATCH(K97+B97+B98,Courbe_de_tarage!$I$4:$I$44,1)):INDEX(Courbe_de_tarage!$I$4:$I$44,MATCH(K97+B97+B98,Courbe_de_tarage!$I$4:$I$44,1)+1)),IFERROR(INDEX(Courbe_de_tarage!$H$4:$H$44,MATCH(K97+B97+B98,Courbe_de_tarage!$I$4:$I$44,1)),INDEX(Courbe_de_tarage!$H$4:$H$44,1))))</f>
        <v/>
      </c>
      <c r="I98" s="5">
        <f>IF(G98="","",IF(G98&gt;Parametres!$C$11,"OUI",""))</f>
        <v/>
      </c>
      <c r="J98" s="12">
        <f>IF(A98="","",K97+B97+B98)</f>
        <v/>
      </c>
      <c r="K98" s="12">
        <f>IF(A98="","",2*H98/(Hydrogramme_entree!$B$8*60)-E98)</f>
        <v/>
      </c>
    </row>
    <row r="99">
      <c r="A99" s="5">
        <f>Hydrogramme_entree!A111</f>
        <v/>
      </c>
      <c r="B99" s="12">
        <f>Hydrogramme_entree!B111</f>
        <v/>
      </c>
      <c r="C99" s="12">
        <f>IF(A99="","",IFERROR(FORECAST(K98+B98+B99,INDEX(Courbe_de_tarage!$C$4:$C$44,MATCH(K98+B98+B99,Courbe_de_tarage!$I$4:$I$44,1)):INDEX(Courbe_de_tarage!$C$4:$C$44,MATCH(K98+B98+B99,Courbe_de_tarage!$I$4:$I$44,1)+1),INDEX(Courbe_de_tarage!$I$4:$I$44,MATCH(K98+B98+B99,Courbe_de_tarage!$I$4:$I$44,1)):INDEX(Courbe_de_tarage!$I$4:$I$44,MATCH(K98+B98+B99,Courbe_de_tarage!$I$4:$I$44,1)+1)),IFERROR(INDEX(Courbe_de_tarage!$C$4:$C$44,MATCH(K98+B98+B99,Courbe_de_tarage!$I$4:$I$44,1)),INDEX(Courbe_de_tarage!$C$4:$C$44,1))))</f>
        <v/>
      </c>
      <c r="D99" s="12">
        <f>IF(A99="","",IFERROR(FORECAST(K98+B98+B99,INDEX(Courbe_de_tarage!$D$4:$D$44,MATCH(K98+B98+B99,Courbe_de_tarage!$I$4:$I$44,1)):INDEX(Courbe_de_tarage!$D$4:$D$44,MATCH(K98+B98+B99,Courbe_de_tarage!$I$4:$I$44,1)+1),INDEX(Courbe_de_tarage!$I$4:$I$44,MATCH(K98+B98+B99,Courbe_de_tarage!$I$4:$I$44,1)):INDEX(Courbe_de_tarage!$I$4:$I$44,MATCH(K98+B98+B99,Courbe_de_tarage!$I$4:$I$44,1)+1)),IFERROR(INDEX(Courbe_de_tarage!$D$4:$D$44,MATCH(K98+B98+B99,Courbe_de_tarage!$I$4:$I$44,1)),INDEX(Courbe_de_tarage!$D$4:$D$44,1))))</f>
        <v/>
      </c>
      <c r="E99" s="12">
        <f>IF(A99="","",IFERROR(FORECAST(K98+B98+B99,INDEX(Courbe_de_tarage!$E$4:$E$44,MATCH(K98+B98+B99,Courbe_de_tarage!$I$4:$I$44,1)):INDEX(Courbe_de_tarage!$E$4:$E$44,MATCH(K98+B98+B99,Courbe_de_tarage!$I$4:$I$44,1)+1),INDEX(Courbe_de_tarage!$I$4:$I$44,MATCH(K98+B98+B99,Courbe_de_tarage!$I$4:$I$44,1)):INDEX(Courbe_de_tarage!$I$4:$I$44,MATCH(K98+B98+B99,Courbe_de_tarage!$I$4:$I$44,1)+1)),IFERROR(INDEX(Courbe_de_tarage!$E$4:$E$44,MATCH(K98+B98+B99,Courbe_de_tarage!$I$4:$I$44,1)),INDEX(Courbe_de_tarage!$E$4:$E$44,1))))</f>
        <v/>
      </c>
      <c r="F99" s="12">
        <f>IF(A99="","",IFERROR(FORECAST(K98+B98+B99,INDEX(Courbe_de_tarage!$A$4:$A$44,MATCH(K98+B98+B99,Courbe_de_tarage!$I$4:$I$44,1)):INDEX(Courbe_de_tarage!$A$4:$A$44,MATCH(K98+B98+B99,Courbe_de_tarage!$I$4:$I$44,1)+1),INDEX(Courbe_de_tarage!$I$4:$I$44,MATCH(K98+B98+B99,Courbe_de_tarage!$I$4:$I$44,1)):INDEX(Courbe_de_tarage!$I$4:$I$44,MATCH(K98+B98+B99,Courbe_de_tarage!$I$4:$I$44,1)+1)),IFERROR(INDEX(Courbe_de_tarage!$A$4:$A$44,MATCH(K98+B98+B99,Courbe_de_tarage!$I$4:$I$44,1)),INDEX(Courbe_de_tarage!$A$4:$A$44,1))))</f>
        <v/>
      </c>
      <c r="G99" s="12">
        <f>IF(A99="","",Parametres!$C$9+F99)</f>
        <v/>
      </c>
      <c r="H99" s="12">
        <f>IF(A99="","",IFERROR(FORECAST(K98+B98+B99,INDEX(Courbe_de_tarage!$H$4:$H$44,MATCH(K98+B98+B99,Courbe_de_tarage!$I$4:$I$44,1)):INDEX(Courbe_de_tarage!$H$4:$H$44,MATCH(K98+B98+B99,Courbe_de_tarage!$I$4:$I$44,1)+1),INDEX(Courbe_de_tarage!$I$4:$I$44,MATCH(K98+B98+B99,Courbe_de_tarage!$I$4:$I$44,1)):INDEX(Courbe_de_tarage!$I$4:$I$44,MATCH(K98+B98+B99,Courbe_de_tarage!$I$4:$I$44,1)+1)),IFERROR(INDEX(Courbe_de_tarage!$H$4:$H$44,MATCH(K98+B98+B99,Courbe_de_tarage!$I$4:$I$44,1)),INDEX(Courbe_de_tarage!$H$4:$H$44,1))))</f>
        <v/>
      </c>
      <c r="I99" s="5">
        <f>IF(G99="","",IF(G99&gt;Parametres!$C$11,"OUI",""))</f>
        <v/>
      </c>
      <c r="J99" s="12">
        <f>IF(A99="","",K98+B98+B99)</f>
        <v/>
      </c>
      <c r="K99" s="12">
        <f>IF(A99="","",2*H99/(Hydrogramme_entree!$B$8*60)-E99)</f>
        <v/>
      </c>
    </row>
    <row r="100">
      <c r="A100" s="5">
        <f>Hydrogramme_entree!A112</f>
        <v/>
      </c>
      <c r="B100" s="12">
        <f>Hydrogramme_entree!B112</f>
        <v/>
      </c>
      <c r="C100" s="12">
        <f>IF(A100="","",IFERROR(FORECAST(K99+B99+B100,INDEX(Courbe_de_tarage!$C$4:$C$44,MATCH(K99+B99+B100,Courbe_de_tarage!$I$4:$I$44,1)):INDEX(Courbe_de_tarage!$C$4:$C$44,MATCH(K99+B99+B100,Courbe_de_tarage!$I$4:$I$44,1)+1),INDEX(Courbe_de_tarage!$I$4:$I$44,MATCH(K99+B99+B100,Courbe_de_tarage!$I$4:$I$44,1)):INDEX(Courbe_de_tarage!$I$4:$I$44,MATCH(K99+B99+B100,Courbe_de_tarage!$I$4:$I$44,1)+1)),IFERROR(INDEX(Courbe_de_tarage!$C$4:$C$44,MATCH(K99+B99+B100,Courbe_de_tarage!$I$4:$I$44,1)),INDEX(Courbe_de_tarage!$C$4:$C$44,1))))</f>
        <v/>
      </c>
      <c r="D100" s="12">
        <f>IF(A100="","",IFERROR(FORECAST(K99+B99+B100,INDEX(Courbe_de_tarage!$D$4:$D$44,MATCH(K99+B99+B100,Courbe_de_tarage!$I$4:$I$44,1)):INDEX(Courbe_de_tarage!$D$4:$D$44,MATCH(K99+B99+B100,Courbe_de_tarage!$I$4:$I$44,1)+1),INDEX(Courbe_de_tarage!$I$4:$I$44,MATCH(K99+B99+B100,Courbe_de_tarage!$I$4:$I$44,1)):INDEX(Courbe_de_tarage!$I$4:$I$44,MATCH(K99+B99+B100,Courbe_de_tarage!$I$4:$I$44,1)+1)),IFERROR(INDEX(Courbe_de_tarage!$D$4:$D$44,MATCH(K99+B99+B100,Courbe_de_tarage!$I$4:$I$44,1)),INDEX(Courbe_de_tarage!$D$4:$D$44,1))))</f>
        <v/>
      </c>
      <c r="E100" s="12">
        <f>IF(A100="","",IFERROR(FORECAST(K99+B99+B100,INDEX(Courbe_de_tarage!$E$4:$E$44,MATCH(K99+B99+B100,Courbe_de_tarage!$I$4:$I$44,1)):INDEX(Courbe_de_tarage!$E$4:$E$44,MATCH(K99+B99+B100,Courbe_de_tarage!$I$4:$I$44,1)+1),INDEX(Courbe_de_tarage!$I$4:$I$44,MATCH(K99+B99+B100,Courbe_de_tarage!$I$4:$I$44,1)):INDEX(Courbe_de_tarage!$I$4:$I$44,MATCH(K99+B99+B100,Courbe_de_tarage!$I$4:$I$44,1)+1)),IFERROR(INDEX(Courbe_de_tarage!$E$4:$E$44,MATCH(K99+B99+B100,Courbe_de_tarage!$I$4:$I$44,1)),INDEX(Courbe_de_tarage!$E$4:$E$44,1))))</f>
        <v/>
      </c>
      <c r="F100" s="12">
        <f>IF(A100="","",IFERROR(FORECAST(K99+B99+B100,INDEX(Courbe_de_tarage!$A$4:$A$44,MATCH(K99+B99+B100,Courbe_de_tarage!$I$4:$I$44,1)):INDEX(Courbe_de_tarage!$A$4:$A$44,MATCH(K99+B99+B100,Courbe_de_tarage!$I$4:$I$44,1)+1),INDEX(Courbe_de_tarage!$I$4:$I$44,MATCH(K99+B99+B100,Courbe_de_tarage!$I$4:$I$44,1)):INDEX(Courbe_de_tarage!$I$4:$I$44,MATCH(K99+B99+B100,Courbe_de_tarage!$I$4:$I$44,1)+1)),IFERROR(INDEX(Courbe_de_tarage!$A$4:$A$44,MATCH(K99+B99+B100,Courbe_de_tarage!$I$4:$I$44,1)),INDEX(Courbe_de_tarage!$A$4:$A$44,1))))</f>
        <v/>
      </c>
      <c r="G100" s="12">
        <f>IF(A100="","",Parametres!$C$9+F100)</f>
        <v/>
      </c>
      <c r="H100" s="12">
        <f>IF(A100="","",IFERROR(FORECAST(K99+B99+B100,INDEX(Courbe_de_tarage!$H$4:$H$44,MATCH(K99+B99+B100,Courbe_de_tarage!$I$4:$I$44,1)):INDEX(Courbe_de_tarage!$H$4:$H$44,MATCH(K99+B99+B100,Courbe_de_tarage!$I$4:$I$44,1)+1),INDEX(Courbe_de_tarage!$I$4:$I$44,MATCH(K99+B99+B100,Courbe_de_tarage!$I$4:$I$44,1)):INDEX(Courbe_de_tarage!$I$4:$I$44,MATCH(K99+B99+B100,Courbe_de_tarage!$I$4:$I$44,1)+1)),IFERROR(INDEX(Courbe_de_tarage!$H$4:$H$44,MATCH(K99+B99+B100,Courbe_de_tarage!$I$4:$I$44,1)),INDEX(Courbe_de_tarage!$H$4:$H$44,1))))</f>
        <v/>
      </c>
      <c r="I100" s="5">
        <f>IF(G100="","",IF(G100&gt;Parametres!$C$11,"OUI",""))</f>
        <v/>
      </c>
      <c r="J100" s="12">
        <f>IF(A100="","",K99+B99+B100)</f>
        <v/>
      </c>
      <c r="K100" s="12">
        <f>IF(A100="","",2*H100/(Hydrogramme_entree!$B$8*60)-E100)</f>
        <v/>
      </c>
    </row>
    <row r="101">
      <c r="A101" s="5">
        <f>Hydrogramme_entree!A113</f>
        <v/>
      </c>
      <c r="B101" s="12">
        <f>Hydrogramme_entree!B113</f>
        <v/>
      </c>
      <c r="C101" s="12">
        <f>IF(A101="","",IFERROR(FORECAST(K100+B100+B101,INDEX(Courbe_de_tarage!$C$4:$C$44,MATCH(K100+B100+B101,Courbe_de_tarage!$I$4:$I$44,1)):INDEX(Courbe_de_tarage!$C$4:$C$44,MATCH(K100+B100+B101,Courbe_de_tarage!$I$4:$I$44,1)+1),INDEX(Courbe_de_tarage!$I$4:$I$44,MATCH(K100+B100+B101,Courbe_de_tarage!$I$4:$I$44,1)):INDEX(Courbe_de_tarage!$I$4:$I$44,MATCH(K100+B100+B101,Courbe_de_tarage!$I$4:$I$44,1)+1)),IFERROR(INDEX(Courbe_de_tarage!$C$4:$C$44,MATCH(K100+B100+B101,Courbe_de_tarage!$I$4:$I$44,1)),INDEX(Courbe_de_tarage!$C$4:$C$44,1))))</f>
        <v/>
      </c>
      <c r="D101" s="12">
        <f>IF(A101="","",IFERROR(FORECAST(K100+B100+B101,INDEX(Courbe_de_tarage!$D$4:$D$44,MATCH(K100+B100+B101,Courbe_de_tarage!$I$4:$I$44,1)):INDEX(Courbe_de_tarage!$D$4:$D$44,MATCH(K100+B100+B101,Courbe_de_tarage!$I$4:$I$44,1)+1),INDEX(Courbe_de_tarage!$I$4:$I$44,MATCH(K100+B100+B101,Courbe_de_tarage!$I$4:$I$44,1)):INDEX(Courbe_de_tarage!$I$4:$I$44,MATCH(K100+B100+B101,Courbe_de_tarage!$I$4:$I$44,1)+1)),IFERROR(INDEX(Courbe_de_tarage!$D$4:$D$44,MATCH(K100+B100+B101,Courbe_de_tarage!$I$4:$I$44,1)),INDEX(Courbe_de_tarage!$D$4:$D$44,1))))</f>
        <v/>
      </c>
      <c r="E101" s="12">
        <f>IF(A101="","",IFERROR(FORECAST(K100+B100+B101,INDEX(Courbe_de_tarage!$E$4:$E$44,MATCH(K100+B100+B101,Courbe_de_tarage!$I$4:$I$44,1)):INDEX(Courbe_de_tarage!$E$4:$E$44,MATCH(K100+B100+B101,Courbe_de_tarage!$I$4:$I$44,1)+1),INDEX(Courbe_de_tarage!$I$4:$I$44,MATCH(K100+B100+B101,Courbe_de_tarage!$I$4:$I$44,1)):INDEX(Courbe_de_tarage!$I$4:$I$44,MATCH(K100+B100+B101,Courbe_de_tarage!$I$4:$I$44,1)+1)),IFERROR(INDEX(Courbe_de_tarage!$E$4:$E$44,MATCH(K100+B100+B101,Courbe_de_tarage!$I$4:$I$44,1)),INDEX(Courbe_de_tarage!$E$4:$E$44,1))))</f>
        <v/>
      </c>
      <c r="F101" s="12">
        <f>IF(A101="","",IFERROR(FORECAST(K100+B100+B101,INDEX(Courbe_de_tarage!$A$4:$A$44,MATCH(K100+B100+B101,Courbe_de_tarage!$I$4:$I$44,1)):INDEX(Courbe_de_tarage!$A$4:$A$44,MATCH(K100+B100+B101,Courbe_de_tarage!$I$4:$I$44,1)+1),INDEX(Courbe_de_tarage!$I$4:$I$44,MATCH(K100+B100+B101,Courbe_de_tarage!$I$4:$I$44,1)):INDEX(Courbe_de_tarage!$I$4:$I$44,MATCH(K100+B100+B101,Courbe_de_tarage!$I$4:$I$44,1)+1)),IFERROR(INDEX(Courbe_de_tarage!$A$4:$A$44,MATCH(K100+B100+B101,Courbe_de_tarage!$I$4:$I$44,1)),INDEX(Courbe_de_tarage!$A$4:$A$44,1))))</f>
        <v/>
      </c>
      <c r="G101" s="12">
        <f>IF(A101="","",Parametres!$C$9+F101)</f>
        <v/>
      </c>
      <c r="H101" s="12">
        <f>IF(A101="","",IFERROR(FORECAST(K100+B100+B101,INDEX(Courbe_de_tarage!$H$4:$H$44,MATCH(K100+B100+B101,Courbe_de_tarage!$I$4:$I$44,1)):INDEX(Courbe_de_tarage!$H$4:$H$44,MATCH(K100+B100+B101,Courbe_de_tarage!$I$4:$I$44,1)+1),INDEX(Courbe_de_tarage!$I$4:$I$44,MATCH(K100+B100+B101,Courbe_de_tarage!$I$4:$I$44,1)):INDEX(Courbe_de_tarage!$I$4:$I$44,MATCH(K100+B100+B101,Courbe_de_tarage!$I$4:$I$44,1)+1)),IFERROR(INDEX(Courbe_de_tarage!$H$4:$H$44,MATCH(K100+B100+B101,Courbe_de_tarage!$I$4:$I$44,1)),INDEX(Courbe_de_tarage!$H$4:$H$44,1))))</f>
        <v/>
      </c>
      <c r="I101" s="5">
        <f>IF(G101="","",IF(G101&gt;Parametres!$C$11,"OUI",""))</f>
        <v/>
      </c>
      <c r="J101" s="12">
        <f>IF(A101="","",K100+B100+B101)</f>
        <v/>
      </c>
      <c r="K101" s="12">
        <f>IF(A101="","",2*H101/(Hydrogramme_entree!$B$8*60)-E101)</f>
        <v/>
      </c>
    </row>
    <row r="102">
      <c r="A102" s="5">
        <f>Hydrogramme_entree!A114</f>
        <v/>
      </c>
      <c r="B102" s="12">
        <f>Hydrogramme_entree!B114</f>
        <v/>
      </c>
      <c r="C102" s="12">
        <f>IF(A102="","",IFERROR(FORECAST(K101+B101+B102,INDEX(Courbe_de_tarage!$C$4:$C$44,MATCH(K101+B101+B102,Courbe_de_tarage!$I$4:$I$44,1)):INDEX(Courbe_de_tarage!$C$4:$C$44,MATCH(K101+B101+B102,Courbe_de_tarage!$I$4:$I$44,1)+1),INDEX(Courbe_de_tarage!$I$4:$I$44,MATCH(K101+B101+B102,Courbe_de_tarage!$I$4:$I$44,1)):INDEX(Courbe_de_tarage!$I$4:$I$44,MATCH(K101+B101+B102,Courbe_de_tarage!$I$4:$I$44,1)+1)),IFERROR(INDEX(Courbe_de_tarage!$C$4:$C$44,MATCH(K101+B101+B102,Courbe_de_tarage!$I$4:$I$44,1)),INDEX(Courbe_de_tarage!$C$4:$C$44,1))))</f>
        <v/>
      </c>
      <c r="D102" s="12">
        <f>IF(A102="","",IFERROR(FORECAST(K101+B101+B102,INDEX(Courbe_de_tarage!$D$4:$D$44,MATCH(K101+B101+B102,Courbe_de_tarage!$I$4:$I$44,1)):INDEX(Courbe_de_tarage!$D$4:$D$44,MATCH(K101+B101+B102,Courbe_de_tarage!$I$4:$I$44,1)+1),INDEX(Courbe_de_tarage!$I$4:$I$44,MATCH(K101+B101+B102,Courbe_de_tarage!$I$4:$I$44,1)):INDEX(Courbe_de_tarage!$I$4:$I$44,MATCH(K101+B101+B102,Courbe_de_tarage!$I$4:$I$44,1)+1)),IFERROR(INDEX(Courbe_de_tarage!$D$4:$D$44,MATCH(K101+B101+B102,Courbe_de_tarage!$I$4:$I$44,1)),INDEX(Courbe_de_tarage!$D$4:$D$44,1))))</f>
        <v/>
      </c>
      <c r="E102" s="12">
        <f>IF(A102="","",IFERROR(FORECAST(K101+B101+B102,INDEX(Courbe_de_tarage!$E$4:$E$44,MATCH(K101+B101+B102,Courbe_de_tarage!$I$4:$I$44,1)):INDEX(Courbe_de_tarage!$E$4:$E$44,MATCH(K101+B101+B102,Courbe_de_tarage!$I$4:$I$44,1)+1),INDEX(Courbe_de_tarage!$I$4:$I$44,MATCH(K101+B101+B102,Courbe_de_tarage!$I$4:$I$44,1)):INDEX(Courbe_de_tarage!$I$4:$I$44,MATCH(K101+B101+B102,Courbe_de_tarage!$I$4:$I$44,1)+1)),IFERROR(INDEX(Courbe_de_tarage!$E$4:$E$44,MATCH(K101+B101+B102,Courbe_de_tarage!$I$4:$I$44,1)),INDEX(Courbe_de_tarage!$E$4:$E$44,1))))</f>
        <v/>
      </c>
      <c r="F102" s="12">
        <f>IF(A102="","",IFERROR(FORECAST(K101+B101+B102,INDEX(Courbe_de_tarage!$A$4:$A$44,MATCH(K101+B101+B102,Courbe_de_tarage!$I$4:$I$44,1)):INDEX(Courbe_de_tarage!$A$4:$A$44,MATCH(K101+B101+B102,Courbe_de_tarage!$I$4:$I$44,1)+1),INDEX(Courbe_de_tarage!$I$4:$I$44,MATCH(K101+B101+B102,Courbe_de_tarage!$I$4:$I$44,1)):INDEX(Courbe_de_tarage!$I$4:$I$44,MATCH(K101+B101+B102,Courbe_de_tarage!$I$4:$I$44,1)+1)),IFERROR(INDEX(Courbe_de_tarage!$A$4:$A$44,MATCH(K101+B101+B102,Courbe_de_tarage!$I$4:$I$44,1)),INDEX(Courbe_de_tarage!$A$4:$A$44,1))))</f>
        <v/>
      </c>
      <c r="G102" s="12">
        <f>IF(A102="","",Parametres!$C$9+F102)</f>
        <v/>
      </c>
      <c r="H102" s="12">
        <f>IF(A102="","",IFERROR(FORECAST(K101+B101+B102,INDEX(Courbe_de_tarage!$H$4:$H$44,MATCH(K101+B101+B102,Courbe_de_tarage!$I$4:$I$44,1)):INDEX(Courbe_de_tarage!$H$4:$H$44,MATCH(K101+B101+B102,Courbe_de_tarage!$I$4:$I$44,1)+1),INDEX(Courbe_de_tarage!$I$4:$I$44,MATCH(K101+B101+B102,Courbe_de_tarage!$I$4:$I$44,1)):INDEX(Courbe_de_tarage!$I$4:$I$44,MATCH(K101+B101+B102,Courbe_de_tarage!$I$4:$I$44,1)+1)),IFERROR(INDEX(Courbe_de_tarage!$H$4:$H$44,MATCH(K101+B101+B102,Courbe_de_tarage!$I$4:$I$44,1)),INDEX(Courbe_de_tarage!$H$4:$H$44,1))))</f>
        <v/>
      </c>
      <c r="I102" s="5">
        <f>IF(G102="","",IF(G102&gt;Parametres!$C$11,"OUI",""))</f>
        <v/>
      </c>
      <c r="J102" s="12">
        <f>IF(A102="","",K101+B101+B102)</f>
        <v/>
      </c>
      <c r="K102" s="12">
        <f>IF(A102="","",2*H102/(Hydrogramme_entree!$B$8*60)-E102)</f>
        <v/>
      </c>
    </row>
    <row r="103">
      <c r="A103" s="5">
        <f>Hydrogramme_entree!A115</f>
        <v/>
      </c>
      <c r="B103" s="12">
        <f>Hydrogramme_entree!B115</f>
        <v/>
      </c>
      <c r="C103" s="12">
        <f>IF(A103="","",IFERROR(FORECAST(K102+B102+B103,INDEX(Courbe_de_tarage!$C$4:$C$44,MATCH(K102+B102+B103,Courbe_de_tarage!$I$4:$I$44,1)):INDEX(Courbe_de_tarage!$C$4:$C$44,MATCH(K102+B102+B103,Courbe_de_tarage!$I$4:$I$44,1)+1),INDEX(Courbe_de_tarage!$I$4:$I$44,MATCH(K102+B102+B103,Courbe_de_tarage!$I$4:$I$44,1)):INDEX(Courbe_de_tarage!$I$4:$I$44,MATCH(K102+B102+B103,Courbe_de_tarage!$I$4:$I$44,1)+1)),IFERROR(INDEX(Courbe_de_tarage!$C$4:$C$44,MATCH(K102+B102+B103,Courbe_de_tarage!$I$4:$I$44,1)),INDEX(Courbe_de_tarage!$C$4:$C$44,1))))</f>
        <v/>
      </c>
      <c r="D103" s="12">
        <f>IF(A103="","",IFERROR(FORECAST(K102+B102+B103,INDEX(Courbe_de_tarage!$D$4:$D$44,MATCH(K102+B102+B103,Courbe_de_tarage!$I$4:$I$44,1)):INDEX(Courbe_de_tarage!$D$4:$D$44,MATCH(K102+B102+B103,Courbe_de_tarage!$I$4:$I$44,1)+1),INDEX(Courbe_de_tarage!$I$4:$I$44,MATCH(K102+B102+B103,Courbe_de_tarage!$I$4:$I$44,1)):INDEX(Courbe_de_tarage!$I$4:$I$44,MATCH(K102+B102+B103,Courbe_de_tarage!$I$4:$I$44,1)+1)),IFERROR(INDEX(Courbe_de_tarage!$D$4:$D$44,MATCH(K102+B102+B103,Courbe_de_tarage!$I$4:$I$44,1)),INDEX(Courbe_de_tarage!$D$4:$D$44,1))))</f>
        <v/>
      </c>
      <c r="E103" s="12">
        <f>IF(A103="","",IFERROR(FORECAST(K102+B102+B103,INDEX(Courbe_de_tarage!$E$4:$E$44,MATCH(K102+B102+B103,Courbe_de_tarage!$I$4:$I$44,1)):INDEX(Courbe_de_tarage!$E$4:$E$44,MATCH(K102+B102+B103,Courbe_de_tarage!$I$4:$I$44,1)+1),INDEX(Courbe_de_tarage!$I$4:$I$44,MATCH(K102+B102+B103,Courbe_de_tarage!$I$4:$I$44,1)):INDEX(Courbe_de_tarage!$I$4:$I$44,MATCH(K102+B102+B103,Courbe_de_tarage!$I$4:$I$44,1)+1)),IFERROR(INDEX(Courbe_de_tarage!$E$4:$E$44,MATCH(K102+B102+B103,Courbe_de_tarage!$I$4:$I$44,1)),INDEX(Courbe_de_tarage!$E$4:$E$44,1))))</f>
        <v/>
      </c>
      <c r="F103" s="12">
        <f>IF(A103="","",IFERROR(FORECAST(K102+B102+B103,INDEX(Courbe_de_tarage!$A$4:$A$44,MATCH(K102+B102+B103,Courbe_de_tarage!$I$4:$I$44,1)):INDEX(Courbe_de_tarage!$A$4:$A$44,MATCH(K102+B102+B103,Courbe_de_tarage!$I$4:$I$44,1)+1),INDEX(Courbe_de_tarage!$I$4:$I$44,MATCH(K102+B102+B103,Courbe_de_tarage!$I$4:$I$44,1)):INDEX(Courbe_de_tarage!$I$4:$I$44,MATCH(K102+B102+B103,Courbe_de_tarage!$I$4:$I$44,1)+1)),IFERROR(INDEX(Courbe_de_tarage!$A$4:$A$44,MATCH(K102+B102+B103,Courbe_de_tarage!$I$4:$I$44,1)),INDEX(Courbe_de_tarage!$A$4:$A$44,1))))</f>
        <v/>
      </c>
      <c r="G103" s="12">
        <f>IF(A103="","",Parametres!$C$9+F103)</f>
        <v/>
      </c>
      <c r="H103" s="12">
        <f>IF(A103="","",IFERROR(FORECAST(K102+B102+B103,INDEX(Courbe_de_tarage!$H$4:$H$44,MATCH(K102+B102+B103,Courbe_de_tarage!$I$4:$I$44,1)):INDEX(Courbe_de_tarage!$H$4:$H$44,MATCH(K102+B102+B103,Courbe_de_tarage!$I$4:$I$44,1)+1),INDEX(Courbe_de_tarage!$I$4:$I$44,MATCH(K102+B102+B103,Courbe_de_tarage!$I$4:$I$44,1)):INDEX(Courbe_de_tarage!$I$4:$I$44,MATCH(K102+B102+B103,Courbe_de_tarage!$I$4:$I$44,1)+1)),IFERROR(INDEX(Courbe_de_tarage!$H$4:$H$44,MATCH(K102+B102+B103,Courbe_de_tarage!$I$4:$I$44,1)),INDEX(Courbe_de_tarage!$H$4:$H$44,1))))</f>
        <v/>
      </c>
      <c r="I103" s="5">
        <f>IF(G103="","",IF(G103&gt;Parametres!$C$11,"OUI",""))</f>
        <v/>
      </c>
      <c r="J103" s="12">
        <f>IF(A103="","",K102+B102+B103)</f>
        <v/>
      </c>
      <c r="K103" s="12">
        <f>IF(A103="","",2*H103/(Hydrogramme_entree!$B$8*60)-E103)</f>
        <v/>
      </c>
    </row>
    <row r="104">
      <c r="A104" s="5">
        <f>Hydrogramme_entree!A116</f>
        <v/>
      </c>
      <c r="B104" s="12">
        <f>Hydrogramme_entree!B116</f>
        <v/>
      </c>
      <c r="C104" s="12">
        <f>IF(A104="","",IFERROR(FORECAST(K103+B103+B104,INDEX(Courbe_de_tarage!$C$4:$C$44,MATCH(K103+B103+B104,Courbe_de_tarage!$I$4:$I$44,1)):INDEX(Courbe_de_tarage!$C$4:$C$44,MATCH(K103+B103+B104,Courbe_de_tarage!$I$4:$I$44,1)+1),INDEX(Courbe_de_tarage!$I$4:$I$44,MATCH(K103+B103+B104,Courbe_de_tarage!$I$4:$I$44,1)):INDEX(Courbe_de_tarage!$I$4:$I$44,MATCH(K103+B103+B104,Courbe_de_tarage!$I$4:$I$44,1)+1)),IFERROR(INDEX(Courbe_de_tarage!$C$4:$C$44,MATCH(K103+B103+B104,Courbe_de_tarage!$I$4:$I$44,1)),INDEX(Courbe_de_tarage!$C$4:$C$44,1))))</f>
        <v/>
      </c>
      <c r="D104" s="12">
        <f>IF(A104="","",IFERROR(FORECAST(K103+B103+B104,INDEX(Courbe_de_tarage!$D$4:$D$44,MATCH(K103+B103+B104,Courbe_de_tarage!$I$4:$I$44,1)):INDEX(Courbe_de_tarage!$D$4:$D$44,MATCH(K103+B103+B104,Courbe_de_tarage!$I$4:$I$44,1)+1),INDEX(Courbe_de_tarage!$I$4:$I$44,MATCH(K103+B103+B104,Courbe_de_tarage!$I$4:$I$44,1)):INDEX(Courbe_de_tarage!$I$4:$I$44,MATCH(K103+B103+B104,Courbe_de_tarage!$I$4:$I$44,1)+1)),IFERROR(INDEX(Courbe_de_tarage!$D$4:$D$44,MATCH(K103+B103+B104,Courbe_de_tarage!$I$4:$I$44,1)),INDEX(Courbe_de_tarage!$D$4:$D$44,1))))</f>
        <v/>
      </c>
      <c r="E104" s="12">
        <f>IF(A104="","",IFERROR(FORECAST(K103+B103+B104,INDEX(Courbe_de_tarage!$E$4:$E$44,MATCH(K103+B103+B104,Courbe_de_tarage!$I$4:$I$44,1)):INDEX(Courbe_de_tarage!$E$4:$E$44,MATCH(K103+B103+B104,Courbe_de_tarage!$I$4:$I$44,1)+1),INDEX(Courbe_de_tarage!$I$4:$I$44,MATCH(K103+B103+B104,Courbe_de_tarage!$I$4:$I$44,1)):INDEX(Courbe_de_tarage!$I$4:$I$44,MATCH(K103+B103+B104,Courbe_de_tarage!$I$4:$I$44,1)+1)),IFERROR(INDEX(Courbe_de_tarage!$E$4:$E$44,MATCH(K103+B103+B104,Courbe_de_tarage!$I$4:$I$44,1)),INDEX(Courbe_de_tarage!$E$4:$E$44,1))))</f>
        <v/>
      </c>
      <c r="F104" s="12">
        <f>IF(A104="","",IFERROR(FORECAST(K103+B103+B104,INDEX(Courbe_de_tarage!$A$4:$A$44,MATCH(K103+B103+B104,Courbe_de_tarage!$I$4:$I$44,1)):INDEX(Courbe_de_tarage!$A$4:$A$44,MATCH(K103+B103+B104,Courbe_de_tarage!$I$4:$I$44,1)+1),INDEX(Courbe_de_tarage!$I$4:$I$44,MATCH(K103+B103+B104,Courbe_de_tarage!$I$4:$I$44,1)):INDEX(Courbe_de_tarage!$I$4:$I$44,MATCH(K103+B103+B104,Courbe_de_tarage!$I$4:$I$44,1)+1)),IFERROR(INDEX(Courbe_de_tarage!$A$4:$A$44,MATCH(K103+B103+B104,Courbe_de_tarage!$I$4:$I$44,1)),INDEX(Courbe_de_tarage!$A$4:$A$44,1))))</f>
        <v/>
      </c>
      <c r="G104" s="12">
        <f>IF(A104="","",Parametres!$C$9+F104)</f>
        <v/>
      </c>
      <c r="H104" s="12">
        <f>IF(A104="","",IFERROR(FORECAST(K103+B103+B104,INDEX(Courbe_de_tarage!$H$4:$H$44,MATCH(K103+B103+B104,Courbe_de_tarage!$I$4:$I$44,1)):INDEX(Courbe_de_tarage!$H$4:$H$44,MATCH(K103+B103+B104,Courbe_de_tarage!$I$4:$I$44,1)+1),INDEX(Courbe_de_tarage!$I$4:$I$44,MATCH(K103+B103+B104,Courbe_de_tarage!$I$4:$I$44,1)):INDEX(Courbe_de_tarage!$I$4:$I$44,MATCH(K103+B103+B104,Courbe_de_tarage!$I$4:$I$44,1)+1)),IFERROR(INDEX(Courbe_de_tarage!$H$4:$H$44,MATCH(K103+B103+B104,Courbe_de_tarage!$I$4:$I$44,1)),INDEX(Courbe_de_tarage!$H$4:$H$44,1))))</f>
        <v/>
      </c>
      <c r="I104" s="5">
        <f>IF(G104="","",IF(G104&gt;Parametres!$C$11,"OUI",""))</f>
        <v/>
      </c>
      <c r="J104" s="12">
        <f>IF(A104="","",K103+B103+B104)</f>
        <v/>
      </c>
      <c r="K104" s="12">
        <f>IF(A104="","",2*H104/(Hydrogramme_entree!$B$8*60)-E104)</f>
        <v/>
      </c>
    </row>
    <row r="105">
      <c r="A105" s="5">
        <f>Hydrogramme_entree!A117</f>
        <v/>
      </c>
      <c r="B105" s="12">
        <f>Hydrogramme_entree!B117</f>
        <v/>
      </c>
      <c r="C105" s="12">
        <f>IF(A105="","",IFERROR(FORECAST(K104+B104+B105,INDEX(Courbe_de_tarage!$C$4:$C$44,MATCH(K104+B104+B105,Courbe_de_tarage!$I$4:$I$44,1)):INDEX(Courbe_de_tarage!$C$4:$C$44,MATCH(K104+B104+B105,Courbe_de_tarage!$I$4:$I$44,1)+1),INDEX(Courbe_de_tarage!$I$4:$I$44,MATCH(K104+B104+B105,Courbe_de_tarage!$I$4:$I$44,1)):INDEX(Courbe_de_tarage!$I$4:$I$44,MATCH(K104+B104+B105,Courbe_de_tarage!$I$4:$I$44,1)+1)),IFERROR(INDEX(Courbe_de_tarage!$C$4:$C$44,MATCH(K104+B104+B105,Courbe_de_tarage!$I$4:$I$44,1)),INDEX(Courbe_de_tarage!$C$4:$C$44,1))))</f>
        <v/>
      </c>
      <c r="D105" s="12">
        <f>IF(A105="","",IFERROR(FORECAST(K104+B104+B105,INDEX(Courbe_de_tarage!$D$4:$D$44,MATCH(K104+B104+B105,Courbe_de_tarage!$I$4:$I$44,1)):INDEX(Courbe_de_tarage!$D$4:$D$44,MATCH(K104+B104+B105,Courbe_de_tarage!$I$4:$I$44,1)+1),INDEX(Courbe_de_tarage!$I$4:$I$44,MATCH(K104+B104+B105,Courbe_de_tarage!$I$4:$I$44,1)):INDEX(Courbe_de_tarage!$I$4:$I$44,MATCH(K104+B104+B105,Courbe_de_tarage!$I$4:$I$44,1)+1)),IFERROR(INDEX(Courbe_de_tarage!$D$4:$D$44,MATCH(K104+B104+B105,Courbe_de_tarage!$I$4:$I$44,1)),INDEX(Courbe_de_tarage!$D$4:$D$44,1))))</f>
        <v/>
      </c>
      <c r="E105" s="12">
        <f>IF(A105="","",IFERROR(FORECAST(K104+B104+B105,INDEX(Courbe_de_tarage!$E$4:$E$44,MATCH(K104+B104+B105,Courbe_de_tarage!$I$4:$I$44,1)):INDEX(Courbe_de_tarage!$E$4:$E$44,MATCH(K104+B104+B105,Courbe_de_tarage!$I$4:$I$44,1)+1),INDEX(Courbe_de_tarage!$I$4:$I$44,MATCH(K104+B104+B105,Courbe_de_tarage!$I$4:$I$44,1)):INDEX(Courbe_de_tarage!$I$4:$I$44,MATCH(K104+B104+B105,Courbe_de_tarage!$I$4:$I$44,1)+1)),IFERROR(INDEX(Courbe_de_tarage!$E$4:$E$44,MATCH(K104+B104+B105,Courbe_de_tarage!$I$4:$I$44,1)),INDEX(Courbe_de_tarage!$E$4:$E$44,1))))</f>
        <v/>
      </c>
      <c r="F105" s="12">
        <f>IF(A105="","",IFERROR(FORECAST(K104+B104+B105,INDEX(Courbe_de_tarage!$A$4:$A$44,MATCH(K104+B104+B105,Courbe_de_tarage!$I$4:$I$44,1)):INDEX(Courbe_de_tarage!$A$4:$A$44,MATCH(K104+B104+B105,Courbe_de_tarage!$I$4:$I$44,1)+1),INDEX(Courbe_de_tarage!$I$4:$I$44,MATCH(K104+B104+B105,Courbe_de_tarage!$I$4:$I$44,1)):INDEX(Courbe_de_tarage!$I$4:$I$44,MATCH(K104+B104+B105,Courbe_de_tarage!$I$4:$I$44,1)+1)),IFERROR(INDEX(Courbe_de_tarage!$A$4:$A$44,MATCH(K104+B104+B105,Courbe_de_tarage!$I$4:$I$44,1)),INDEX(Courbe_de_tarage!$A$4:$A$44,1))))</f>
        <v/>
      </c>
      <c r="G105" s="12">
        <f>IF(A105="","",Parametres!$C$9+F105)</f>
        <v/>
      </c>
      <c r="H105" s="12">
        <f>IF(A105="","",IFERROR(FORECAST(K104+B104+B105,INDEX(Courbe_de_tarage!$H$4:$H$44,MATCH(K104+B104+B105,Courbe_de_tarage!$I$4:$I$44,1)):INDEX(Courbe_de_tarage!$H$4:$H$44,MATCH(K104+B104+B105,Courbe_de_tarage!$I$4:$I$44,1)+1),INDEX(Courbe_de_tarage!$I$4:$I$44,MATCH(K104+B104+B105,Courbe_de_tarage!$I$4:$I$44,1)):INDEX(Courbe_de_tarage!$I$4:$I$44,MATCH(K104+B104+B105,Courbe_de_tarage!$I$4:$I$44,1)+1)),IFERROR(INDEX(Courbe_de_tarage!$H$4:$H$44,MATCH(K104+B104+B105,Courbe_de_tarage!$I$4:$I$44,1)),INDEX(Courbe_de_tarage!$H$4:$H$44,1))))</f>
        <v/>
      </c>
      <c r="I105" s="5">
        <f>IF(G105="","",IF(G105&gt;Parametres!$C$11,"OUI",""))</f>
        <v/>
      </c>
      <c r="J105" s="12">
        <f>IF(A105="","",K104+B104+B105)</f>
        <v/>
      </c>
      <c r="K105" s="12">
        <f>IF(A105="","",2*H105/(Hydrogramme_entree!$B$8*60)-E105)</f>
        <v/>
      </c>
    </row>
    <row r="106">
      <c r="A106" s="5">
        <f>Hydrogramme_entree!A118</f>
        <v/>
      </c>
      <c r="B106" s="12">
        <f>Hydrogramme_entree!B118</f>
        <v/>
      </c>
      <c r="C106" s="12">
        <f>IF(A106="","",IFERROR(FORECAST(K105+B105+B106,INDEX(Courbe_de_tarage!$C$4:$C$44,MATCH(K105+B105+B106,Courbe_de_tarage!$I$4:$I$44,1)):INDEX(Courbe_de_tarage!$C$4:$C$44,MATCH(K105+B105+B106,Courbe_de_tarage!$I$4:$I$44,1)+1),INDEX(Courbe_de_tarage!$I$4:$I$44,MATCH(K105+B105+B106,Courbe_de_tarage!$I$4:$I$44,1)):INDEX(Courbe_de_tarage!$I$4:$I$44,MATCH(K105+B105+B106,Courbe_de_tarage!$I$4:$I$44,1)+1)),IFERROR(INDEX(Courbe_de_tarage!$C$4:$C$44,MATCH(K105+B105+B106,Courbe_de_tarage!$I$4:$I$44,1)),INDEX(Courbe_de_tarage!$C$4:$C$44,1))))</f>
        <v/>
      </c>
      <c r="D106" s="12">
        <f>IF(A106="","",IFERROR(FORECAST(K105+B105+B106,INDEX(Courbe_de_tarage!$D$4:$D$44,MATCH(K105+B105+B106,Courbe_de_tarage!$I$4:$I$44,1)):INDEX(Courbe_de_tarage!$D$4:$D$44,MATCH(K105+B105+B106,Courbe_de_tarage!$I$4:$I$44,1)+1),INDEX(Courbe_de_tarage!$I$4:$I$44,MATCH(K105+B105+B106,Courbe_de_tarage!$I$4:$I$44,1)):INDEX(Courbe_de_tarage!$I$4:$I$44,MATCH(K105+B105+B106,Courbe_de_tarage!$I$4:$I$44,1)+1)),IFERROR(INDEX(Courbe_de_tarage!$D$4:$D$44,MATCH(K105+B105+B106,Courbe_de_tarage!$I$4:$I$44,1)),INDEX(Courbe_de_tarage!$D$4:$D$44,1))))</f>
        <v/>
      </c>
      <c r="E106" s="12">
        <f>IF(A106="","",IFERROR(FORECAST(K105+B105+B106,INDEX(Courbe_de_tarage!$E$4:$E$44,MATCH(K105+B105+B106,Courbe_de_tarage!$I$4:$I$44,1)):INDEX(Courbe_de_tarage!$E$4:$E$44,MATCH(K105+B105+B106,Courbe_de_tarage!$I$4:$I$44,1)+1),INDEX(Courbe_de_tarage!$I$4:$I$44,MATCH(K105+B105+B106,Courbe_de_tarage!$I$4:$I$44,1)):INDEX(Courbe_de_tarage!$I$4:$I$44,MATCH(K105+B105+B106,Courbe_de_tarage!$I$4:$I$44,1)+1)),IFERROR(INDEX(Courbe_de_tarage!$E$4:$E$44,MATCH(K105+B105+B106,Courbe_de_tarage!$I$4:$I$44,1)),INDEX(Courbe_de_tarage!$E$4:$E$44,1))))</f>
        <v/>
      </c>
      <c r="F106" s="12">
        <f>IF(A106="","",IFERROR(FORECAST(K105+B105+B106,INDEX(Courbe_de_tarage!$A$4:$A$44,MATCH(K105+B105+B106,Courbe_de_tarage!$I$4:$I$44,1)):INDEX(Courbe_de_tarage!$A$4:$A$44,MATCH(K105+B105+B106,Courbe_de_tarage!$I$4:$I$44,1)+1),INDEX(Courbe_de_tarage!$I$4:$I$44,MATCH(K105+B105+B106,Courbe_de_tarage!$I$4:$I$44,1)):INDEX(Courbe_de_tarage!$I$4:$I$44,MATCH(K105+B105+B106,Courbe_de_tarage!$I$4:$I$44,1)+1)),IFERROR(INDEX(Courbe_de_tarage!$A$4:$A$44,MATCH(K105+B105+B106,Courbe_de_tarage!$I$4:$I$44,1)),INDEX(Courbe_de_tarage!$A$4:$A$44,1))))</f>
        <v/>
      </c>
      <c r="G106" s="12">
        <f>IF(A106="","",Parametres!$C$9+F106)</f>
        <v/>
      </c>
      <c r="H106" s="12">
        <f>IF(A106="","",IFERROR(FORECAST(K105+B105+B106,INDEX(Courbe_de_tarage!$H$4:$H$44,MATCH(K105+B105+B106,Courbe_de_tarage!$I$4:$I$44,1)):INDEX(Courbe_de_tarage!$H$4:$H$44,MATCH(K105+B105+B106,Courbe_de_tarage!$I$4:$I$44,1)+1),INDEX(Courbe_de_tarage!$I$4:$I$44,MATCH(K105+B105+B106,Courbe_de_tarage!$I$4:$I$44,1)):INDEX(Courbe_de_tarage!$I$4:$I$44,MATCH(K105+B105+B106,Courbe_de_tarage!$I$4:$I$44,1)+1)),IFERROR(INDEX(Courbe_de_tarage!$H$4:$H$44,MATCH(K105+B105+B106,Courbe_de_tarage!$I$4:$I$44,1)),INDEX(Courbe_de_tarage!$H$4:$H$44,1))))</f>
        <v/>
      </c>
      <c r="I106" s="5">
        <f>IF(G106="","",IF(G106&gt;Parametres!$C$11,"OUI",""))</f>
        <v/>
      </c>
      <c r="J106" s="12">
        <f>IF(A106="","",K105+B105+B106)</f>
        <v/>
      </c>
      <c r="K106" s="12">
        <f>IF(A106="","",2*H106/(Hydrogramme_entree!$B$8*60)-E106)</f>
        <v/>
      </c>
    </row>
    <row r="107">
      <c r="A107" s="5">
        <f>Hydrogramme_entree!A119</f>
        <v/>
      </c>
      <c r="B107" s="12">
        <f>Hydrogramme_entree!B119</f>
        <v/>
      </c>
      <c r="C107" s="12">
        <f>IF(A107="","",IFERROR(FORECAST(K106+B106+B107,INDEX(Courbe_de_tarage!$C$4:$C$44,MATCH(K106+B106+B107,Courbe_de_tarage!$I$4:$I$44,1)):INDEX(Courbe_de_tarage!$C$4:$C$44,MATCH(K106+B106+B107,Courbe_de_tarage!$I$4:$I$44,1)+1),INDEX(Courbe_de_tarage!$I$4:$I$44,MATCH(K106+B106+B107,Courbe_de_tarage!$I$4:$I$44,1)):INDEX(Courbe_de_tarage!$I$4:$I$44,MATCH(K106+B106+B107,Courbe_de_tarage!$I$4:$I$44,1)+1)),IFERROR(INDEX(Courbe_de_tarage!$C$4:$C$44,MATCH(K106+B106+B107,Courbe_de_tarage!$I$4:$I$44,1)),INDEX(Courbe_de_tarage!$C$4:$C$44,1))))</f>
        <v/>
      </c>
      <c r="D107" s="12">
        <f>IF(A107="","",IFERROR(FORECAST(K106+B106+B107,INDEX(Courbe_de_tarage!$D$4:$D$44,MATCH(K106+B106+B107,Courbe_de_tarage!$I$4:$I$44,1)):INDEX(Courbe_de_tarage!$D$4:$D$44,MATCH(K106+B106+B107,Courbe_de_tarage!$I$4:$I$44,1)+1),INDEX(Courbe_de_tarage!$I$4:$I$44,MATCH(K106+B106+B107,Courbe_de_tarage!$I$4:$I$44,1)):INDEX(Courbe_de_tarage!$I$4:$I$44,MATCH(K106+B106+B107,Courbe_de_tarage!$I$4:$I$44,1)+1)),IFERROR(INDEX(Courbe_de_tarage!$D$4:$D$44,MATCH(K106+B106+B107,Courbe_de_tarage!$I$4:$I$44,1)),INDEX(Courbe_de_tarage!$D$4:$D$44,1))))</f>
        <v/>
      </c>
      <c r="E107" s="12">
        <f>IF(A107="","",IFERROR(FORECAST(K106+B106+B107,INDEX(Courbe_de_tarage!$E$4:$E$44,MATCH(K106+B106+B107,Courbe_de_tarage!$I$4:$I$44,1)):INDEX(Courbe_de_tarage!$E$4:$E$44,MATCH(K106+B106+B107,Courbe_de_tarage!$I$4:$I$44,1)+1),INDEX(Courbe_de_tarage!$I$4:$I$44,MATCH(K106+B106+B107,Courbe_de_tarage!$I$4:$I$44,1)):INDEX(Courbe_de_tarage!$I$4:$I$44,MATCH(K106+B106+B107,Courbe_de_tarage!$I$4:$I$44,1)+1)),IFERROR(INDEX(Courbe_de_tarage!$E$4:$E$44,MATCH(K106+B106+B107,Courbe_de_tarage!$I$4:$I$44,1)),INDEX(Courbe_de_tarage!$E$4:$E$44,1))))</f>
        <v/>
      </c>
      <c r="F107" s="12">
        <f>IF(A107="","",IFERROR(FORECAST(K106+B106+B107,INDEX(Courbe_de_tarage!$A$4:$A$44,MATCH(K106+B106+B107,Courbe_de_tarage!$I$4:$I$44,1)):INDEX(Courbe_de_tarage!$A$4:$A$44,MATCH(K106+B106+B107,Courbe_de_tarage!$I$4:$I$44,1)+1),INDEX(Courbe_de_tarage!$I$4:$I$44,MATCH(K106+B106+B107,Courbe_de_tarage!$I$4:$I$44,1)):INDEX(Courbe_de_tarage!$I$4:$I$44,MATCH(K106+B106+B107,Courbe_de_tarage!$I$4:$I$44,1)+1)),IFERROR(INDEX(Courbe_de_tarage!$A$4:$A$44,MATCH(K106+B106+B107,Courbe_de_tarage!$I$4:$I$44,1)),INDEX(Courbe_de_tarage!$A$4:$A$44,1))))</f>
        <v/>
      </c>
      <c r="G107" s="12">
        <f>IF(A107="","",Parametres!$C$9+F107)</f>
        <v/>
      </c>
      <c r="H107" s="12">
        <f>IF(A107="","",IFERROR(FORECAST(K106+B106+B107,INDEX(Courbe_de_tarage!$H$4:$H$44,MATCH(K106+B106+B107,Courbe_de_tarage!$I$4:$I$44,1)):INDEX(Courbe_de_tarage!$H$4:$H$44,MATCH(K106+B106+B107,Courbe_de_tarage!$I$4:$I$44,1)+1),INDEX(Courbe_de_tarage!$I$4:$I$44,MATCH(K106+B106+B107,Courbe_de_tarage!$I$4:$I$44,1)):INDEX(Courbe_de_tarage!$I$4:$I$44,MATCH(K106+B106+B107,Courbe_de_tarage!$I$4:$I$44,1)+1)),IFERROR(INDEX(Courbe_de_tarage!$H$4:$H$44,MATCH(K106+B106+B107,Courbe_de_tarage!$I$4:$I$44,1)),INDEX(Courbe_de_tarage!$H$4:$H$44,1))))</f>
        <v/>
      </c>
      <c r="I107" s="5">
        <f>IF(G107="","",IF(G107&gt;Parametres!$C$11,"OUI",""))</f>
        <v/>
      </c>
      <c r="J107" s="12">
        <f>IF(A107="","",K106+B106+B107)</f>
        <v/>
      </c>
      <c r="K107" s="12">
        <f>IF(A107="","",2*H107/(Hydrogramme_entree!$B$8*60)-E107)</f>
        <v/>
      </c>
    </row>
    <row r="108">
      <c r="A108" s="5">
        <f>Hydrogramme_entree!A120</f>
        <v/>
      </c>
      <c r="B108" s="12">
        <f>Hydrogramme_entree!B120</f>
        <v/>
      </c>
      <c r="C108" s="12">
        <f>IF(A108="","",IFERROR(FORECAST(K107+B107+B108,INDEX(Courbe_de_tarage!$C$4:$C$44,MATCH(K107+B107+B108,Courbe_de_tarage!$I$4:$I$44,1)):INDEX(Courbe_de_tarage!$C$4:$C$44,MATCH(K107+B107+B108,Courbe_de_tarage!$I$4:$I$44,1)+1),INDEX(Courbe_de_tarage!$I$4:$I$44,MATCH(K107+B107+B108,Courbe_de_tarage!$I$4:$I$44,1)):INDEX(Courbe_de_tarage!$I$4:$I$44,MATCH(K107+B107+B108,Courbe_de_tarage!$I$4:$I$44,1)+1)),IFERROR(INDEX(Courbe_de_tarage!$C$4:$C$44,MATCH(K107+B107+B108,Courbe_de_tarage!$I$4:$I$44,1)),INDEX(Courbe_de_tarage!$C$4:$C$44,1))))</f>
        <v/>
      </c>
      <c r="D108" s="12">
        <f>IF(A108="","",IFERROR(FORECAST(K107+B107+B108,INDEX(Courbe_de_tarage!$D$4:$D$44,MATCH(K107+B107+B108,Courbe_de_tarage!$I$4:$I$44,1)):INDEX(Courbe_de_tarage!$D$4:$D$44,MATCH(K107+B107+B108,Courbe_de_tarage!$I$4:$I$44,1)+1),INDEX(Courbe_de_tarage!$I$4:$I$44,MATCH(K107+B107+B108,Courbe_de_tarage!$I$4:$I$44,1)):INDEX(Courbe_de_tarage!$I$4:$I$44,MATCH(K107+B107+B108,Courbe_de_tarage!$I$4:$I$44,1)+1)),IFERROR(INDEX(Courbe_de_tarage!$D$4:$D$44,MATCH(K107+B107+B108,Courbe_de_tarage!$I$4:$I$44,1)),INDEX(Courbe_de_tarage!$D$4:$D$44,1))))</f>
        <v/>
      </c>
      <c r="E108" s="12">
        <f>IF(A108="","",IFERROR(FORECAST(K107+B107+B108,INDEX(Courbe_de_tarage!$E$4:$E$44,MATCH(K107+B107+B108,Courbe_de_tarage!$I$4:$I$44,1)):INDEX(Courbe_de_tarage!$E$4:$E$44,MATCH(K107+B107+B108,Courbe_de_tarage!$I$4:$I$44,1)+1),INDEX(Courbe_de_tarage!$I$4:$I$44,MATCH(K107+B107+B108,Courbe_de_tarage!$I$4:$I$44,1)):INDEX(Courbe_de_tarage!$I$4:$I$44,MATCH(K107+B107+B108,Courbe_de_tarage!$I$4:$I$44,1)+1)),IFERROR(INDEX(Courbe_de_tarage!$E$4:$E$44,MATCH(K107+B107+B108,Courbe_de_tarage!$I$4:$I$44,1)),INDEX(Courbe_de_tarage!$E$4:$E$44,1))))</f>
        <v/>
      </c>
      <c r="F108" s="12">
        <f>IF(A108="","",IFERROR(FORECAST(K107+B107+B108,INDEX(Courbe_de_tarage!$A$4:$A$44,MATCH(K107+B107+B108,Courbe_de_tarage!$I$4:$I$44,1)):INDEX(Courbe_de_tarage!$A$4:$A$44,MATCH(K107+B107+B108,Courbe_de_tarage!$I$4:$I$44,1)+1),INDEX(Courbe_de_tarage!$I$4:$I$44,MATCH(K107+B107+B108,Courbe_de_tarage!$I$4:$I$44,1)):INDEX(Courbe_de_tarage!$I$4:$I$44,MATCH(K107+B107+B108,Courbe_de_tarage!$I$4:$I$44,1)+1)),IFERROR(INDEX(Courbe_de_tarage!$A$4:$A$44,MATCH(K107+B107+B108,Courbe_de_tarage!$I$4:$I$44,1)),INDEX(Courbe_de_tarage!$A$4:$A$44,1))))</f>
        <v/>
      </c>
      <c r="G108" s="12">
        <f>IF(A108="","",Parametres!$C$9+F108)</f>
        <v/>
      </c>
      <c r="H108" s="12">
        <f>IF(A108="","",IFERROR(FORECAST(K107+B107+B108,INDEX(Courbe_de_tarage!$H$4:$H$44,MATCH(K107+B107+B108,Courbe_de_tarage!$I$4:$I$44,1)):INDEX(Courbe_de_tarage!$H$4:$H$44,MATCH(K107+B107+B108,Courbe_de_tarage!$I$4:$I$44,1)+1),INDEX(Courbe_de_tarage!$I$4:$I$44,MATCH(K107+B107+B108,Courbe_de_tarage!$I$4:$I$44,1)):INDEX(Courbe_de_tarage!$I$4:$I$44,MATCH(K107+B107+B108,Courbe_de_tarage!$I$4:$I$44,1)+1)),IFERROR(INDEX(Courbe_de_tarage!$H$4:$H$44,MATCH(K107+B107+B108,Courbe_de_tarage!$I$4:$I$44,1)),INDEX(Courbe_de_tarage!$H$4:$H$44,1))))</f>
        <v/>
      </c>
      <c r="I108" s="5">
        <f>IF(G108="","",IF(G108&gt;Parametres!$C$11,"OUI",""))</f>
        <v/>
      </c>
      <c r="J108" s="12">
        <f>IF(A108="","",K107+B107+B108)</f>
        <v/>
      </c>
      <c r="K108" s="12">
        <f>IF(A108="","",2*H108/(Hydrogramme_entree!$B$8*60)-E108)</f>
        <v/>
      </c>
    </row>
    <row r="109">
      <c r="A109" s="5">
        <f>Hydrogramme_entree!A121</f>
        <v/>
      </c>
      <c r="B109" s="12">
        <f>Hydrogramme_entree!B121</f>
        <v/>
      </c>
      <c r="C109" s="12">
        <f>IF(A109="","",IFERROR(FORECAST(K108+B108+B109,INDEX(Courbe_de_tarage!$C$4:$C$44,MATCH(K108+B108+B109,Courbe_de_tarage!$I$4:$I$44,1)):INDEX(Courbe_de_tarage!$C$4:$C$44,MATCH(K108+B108+B109,Courbe_de_tarage!$I$4:$I$44,1)+1),INDEX(Courbe_de_tarage!$I$4:$I$44,MATCH(K108+B108+B109,Courbe_de_tarage!$I$4:$I$44,1)):INDEX(Courbe_de_tarage!$I$4:$I$44,MATCH(K108+B108+B109,Courbe_de_tarage!$I$4:$I$44,1)+1)),IFERROR(INDEX(Courbe_de_tarage!$C$4:$C$44,MATCH(K108+B108+B109,Courbe_de_tarage!$I$4:$I$44,1)),INDEX(Courbe_de_tarage!$C$4:$C$44,1))))</f>
        <v/>
      </c>
      <c r="D109" s="12">
        <f>IF(A109="","",IFERROR(FORECAST(K108+B108+B109,INDEX(Courbe_de_tarage!$D$4:$D$44,MATCH(K108+B108+B109,Courbe_de_tarage!$I$4:$I$44,1)):INDEX(Courbe_de_tarage!$D$4:$D$44,MATCH(K108+B108+B109,Courbe_de_tarage!$I$4:$I$44,1)+1),INDEX(Courbe_de_tarage!$I$4:$I$44,MATCH(K108+B108+B109,Courbe_de_tarage!$I$4:$I$44,1)):INDEX(Courbe_de_tarage!$I$4:$I$44,MATCH(K108+B108+B109,Courbe_de_tarage!$I$4:$I$44,1)+1)),IFERROR(INDEX(Courbe_de_tarage!$D$4:$D$44,MATCH(K108+B108+B109,Courbe_de_tarage!$I$4:$I$44,1)),INDEX(Courbe_de_tarage!$D$4:$D$44,1))))</f>
        <v/>
      </c>
      <c r="E109" s="12">
        <f>IF(A109="","",IFERROR(FORECAST(K108+B108+B109,INDEX(Courbe_de_tarage!$E$4:$E$44,MATCH(K108+B108+B109,Courbe_de_tarage!$I$4:$I$44,1)):INDEX(Courbe_de_tarage!$E$4:$E$44,MATCH(K108+B108+B109,Courbe_de_tarage!$I$4:$I$44,1)+1),INDEX(Courbe_de_tarage!$I$4:$I$44,MATCH(K108+B108+B109,Courbe_de_tarage!$I$4:$I$44,1)):INDEX(Courbe_de_tarage!$I$4:$I$44,MATCH(K108+B108+B109,Courbe_de_tarage!$I$4:$I$44,1)+1)),IFERROR(INDEX(Courbe_de_tarage!$E$4:$E$44,MATCH(K108+B108+B109,Courbe_de_tarage!$I$4:$I$44,1)),INDEX(Courbe_de_tarage!$E$4:$E$44,1))))</f>
        <v/>
      </c>
      <c r="F109" s="12">
        <f>IF(A109="","",IFERROR(FORECAST(K108+B108+B109,INDEX(Courbe_de_tarage!$A$4:$A$44,MATCH(K108+B108+B109,Courbe_de_tarage!$I$4:$I$44,1)):INDEX(Courbe_de_tarage!$A$4:$A$44,MATCH(K108+B108+B109,Courbe_de_tarage!$I$4:$I$44,1)+1),INDEX(Courbe_de_tarage!$I$4:$I$44,MATCH(K108+B108+B109,Courbe_de_tarage!$I$4:$I$44,1)):INDEX(Courbe_de_tarage!$I$4:$I$44,MATCH(K108+B108+B109,Courbe_de_tarage!$I$4:$I$44,1)+1)),IFERROR(INDEX(Courbe_de_tarage!$A$4:$A$44,MATCH(K108+B108+B109,Courbe_de_tarage!$I$4:$I$44,1)),INDEX(Courbe_de_tarage!$A$4:$A$44,1))))</f>
        <v/>
      </c>
      <c r="G109" s="12">
        <f>IF(A109="","",Parametres!$C$9+F109)</f>
        <v/>
      </c>
      <c r="H109" s="12">
        <f>IF(A109="","",IFERROR(FORECAST(K108+B108+B109,INDEX(Courbe_de_tarage!$H$4:$H$44,MATCH(K108+B108+B109,Courbe_de_tarage!$I$4:$I$44,1)):INDEX(Courbe_de_tarage!$H$4:$H$44,MATCH(K108+B108+B109,Courbe_de_tarage!$I$4:$I$44,1)+1),INDEX(Courbe_de_tarage!$I$4:$I$44,MATCH(K108+B108+B109,Courbe_de_tarage!$I$4:$I$44,1)):INDEX(Courbe_de_tarage!$I$4:$I$44,MATCH(K108+B108+B109,Courbe_de_tarage!$I$4:$I$44,1)+1)),IFERROR(INDEX(Courbe_de_tarage!$H$4:$H$44,MATCH(K108+B108+B109,Courbe_de_tarage!$I$4:$I$44,1)),INDEX(Courbe_de_tarage!$H$4:$H$44,1))))</f>
        <v/>
      </c>
      <c r="I109" s="5">
        <f>IF(G109="","",IF(G109&gt;Parametres!$C$11,"OUI",""))</f>
        <v/>
      </c>
      <c r="J109" s="12">
        <f>IF(A109="","",K108+B108+B109)</f>
        <v/>
      </c>
      <c r="K109" s="12">
        <f>IF(A109="","",2*H109/(Hydrogramme_entree!$B$8*60)-E109)</f>
        <v/>
      </c>
    </row>
    <row r="110">
      <c r="A110" s="5">
        <f>Hydrogramme_entree!A122</f>
        <v/>
      </c>
      <c r="B110" s="12">
        <f>Hydrogramme_entree!B122</f>
        <v/>
      </c>
      <c r="C110" s="12">
        <f>IF(A110="","",IFERROR(FORECAST(K109+B109+B110,INDEX(Courbe_de_tarage!$C$4:$C$44,MATCH(K109+B109+B110,Courbe_de_tarage!$I$4:$I$44,1)):INDEX(Courbe_de_tarage!$C$4:$C$44,MATCH(K109+B109+B110,Courbe_de_tarage!$I$4:$I$44,1)+1),INDEX(Courbe_de_tarage!$I$4:$I$44,MATCH(K109+B109+B110,Courbe_de_tarage!$I$4:$I$44,1)):INDEX(Courbe_de_tarage!$I$4:$I$44,MATCH(K109+B109+B110,Courbe_de_tarage!$I$4:$I$44,1)+1)),IFERROR(INDEX(Courbe_de_tarage!$C$4:$C$44,MATCH(K109+B109+B110,Courbe_de_tarage!$I$4:$I$44,1)),INDEX(Courbe_de_tarage!$C$4:$C$44,1))))</f>
        <v/>
      </c>
      <c r="D110" s="12">
        <f>IF(A110="","",IFERROR(FORECAST(K109+B109+B110,INDEX(Courbe_de_tarage!$D$4:$D$44,MATCH(K109+B109+B110,Courbe_de_tarage!$I$4:$I$44,1)):INDEX(Courbe_de_tarage!$D$4:$D$44,MATCH(K109+B109+B110,Courbe_de_tarage!$I$4:$I$44,1)+1),INDEX(Courbe_de_tarage!$I$4:$I$44,MATCH(K109+B109+B110,Courbe_de_tarage!$I$4:$I$44,1)):INDEX(Courbe_de_tarage!$I$4:$I$44,MATCH(K109+B109+B110,Courbe_de_tarage!$I$4:$I$44,1)+1)),IFERROR(INDEX(Courbe_de_tarage!$D$4:$D$44,MATCH(K109+B109+B110,Courbe_de_tarage!$I$4:$I$44,1)),INDEX(Courbe_de_tarage!$D$4:$D$44,1))))</f>
        <v/>
      </c>
      <c r="E110" s="12">
        <f>IF(A110="","",IFERROR(FORECAST(K109+B109+B110,INDEX(Courbe_de_tarage!$E$4:$E$44,MATCH(K109+B109+B110,Courbe_de_tarage!$I$4:$I$44,1)):INDEX(Courbe_de_tarage!$E$4:$E$44,MATCH(K109+B109+B110,Courbe_de_tarage!$I$4:$I$44,1)+1),INDEX(Courbe_de_tarage!$I$4:$I$44,MATCH(K109+B109+B110,Courbe_de_tarage!$I$4:$I$44,1)):INDEX(Courbe_de_tarage!$I$4:$I$44,MATCH(K109+B109+B110,Courbe_de_tarage!$I$4:$I$44,1)+1)),IFERROR(INDEX(Courbe_de_tarage!$E$4:$E$44,MATCH(K109+B109+B110,Courbe_de_tarage!$I$4:$I$44,1)),INDEX(Courbe_de_tarage!$E$4:$E$44,1))))</f>
        <v/>
      </c>
      <c r="F110" s="12">
        <f>IF(A110="","",IFERROR(FORECAST(K109+B109+B110,INDEX(Courbe_de_tarage!$A$4:$A$44,MATCH(K109+B109+B110,Courbe_de_tarage!$I$4:$I$44,1)):INDEX(Courbe_de_tarage!$A$4:$A$44,MATCH(K109+B109+B110,Courbe_de_tarage!$I$4:$I$44,1)+1),INDEX(Courbe_de_tarage!$I$4:$I$44,MATCH(K109+B109+B110,Courbe_de_tarage!$I$4:$I$44,1)):INDEX(Courbe_de_tarage!$I$4:$I$44,MATCH(K109+B109+B110,Courbe_de_tarage!$I$4:$I$44,1)+1)),IFERROR(INDEX(Courbe_de_tarage!$A$4:$A$44,MATCH(K109+B109+B110,Courbe_de_tarage!$I$4:$I$44,1)),INDEX(Courbe_de_tarage!$A$4:$A$44,1))))</f>
        <v/>
      </c>
      <c r="G110" s="12">
        <f>IF(A110="","",Parametres!$C$9+F110)</f>
        <v/>
      </c>
      <c r="H110" s="12">
        <f>IF(A110="","",IFERROR(FORECAST(K109+B109+B110,INDEX(Courbe_de_tarage!$H$4:$H$44,MATCH(K109+B109+B110,Courbe_de_tarage!$I$4:$I$44,1)):INDEX(Courbe_de_tarage!$H$4:$H$44,MATCH(K109+B109+B110,Courbe_de_tarage!$I$4:$I$44,1)+1),INDEX(Courbe_de_tarage!$I$4:$I$44,MATCH(K109+B109+B110,Courbe_de_tarage!$I$4:$I$44,1)):INDEX(Courbe_de_tarage!$I$4:$I$44,MATCH(K109+B109+B110,Courbe_de_tarage!$I$4:$I$44,1)+1)),IFERROR(INDEX(Courbe_de_tarage!$H$4:$H$44,MATCH(K109+B109+B110,Courbe_de_tarage!$I$4:$I$44,1)),INDEX(Courbe_de_tarage!$H$4:$H$44,1))))</f>
        <v/>
      </c>
      <c r="I110" s="5">
        <f>IF(G110="","",IF(G110&gt;Parametres!$C$11,"OUI",""))</f>
        <v/>
      </c>
      <c r="J110" s="12">
        <f>IF(A110="","",K109+B109+B110)</f>
        <v/>
      </c>
      <c r="K110" s="12">
        <f>IF(A110="","",2*H110/(Hydrogramme_entree!$B$8*60)-E110)</f>
        <v/>
      </c>
    </row>
    <row r="111">
      <c r="A111" s="5">
        <f>Hydrogramme_entree!A123</f>
        <v/>
      </c>
      <c r="B111" s="12">
        <f>Hydrogramme_entree!B123</f>
        <v/>
      </c>
      <c r="C111" s="12">
        <f>IF(A111="","",IFERROR(FORECAST(K110+B110+B111,INDEX(Courbe_de_tarage!$C$4:$C$44,MATCH(K110+B110+B111,Courbe_de_tarage!$I$4:$I$44,1)):INDEX(Courbe_de_tarage!$C$4:$C$44,MATCH(K110+B110+B111,Courbe_de_tarage!$I$4:$I$44,1)+1),INDEX(Courbe_de_tarage!$I$4:$I$44,MATCH(K110+B110+B111,Courbe_de_tarage!$I$4:$I$44,1)):INDEX(Courbe_de_tarage!$I$4:$I$44,MATCH(K110+B110+B111,Courbe_de_tarage!$I$4:$I$44,1)+1)),IFERROR(INDEX(Courbe_de_tarage!$C$4:$C$44,MATCH(K110+B110+B111,Courbe_de_tarage!$I$4:$I$44,1)),INDEX(Courbe_de_tarage!$C$4:$C$44,1))))</f>
        <v/>
      </c>
      <c r="D111" s="12">
        <f>IF(A111="","",IFERROR(FORECAST(K110+B110+B111,INDEX(Courbe_de_tarage!$D$4:$D$44,MATCH(K110+B110+B111,Courbe_de_tarage!$I$4:$I$44,1)):INDEX(Courbe_de_tarage!$D$4:$D$44,MATCH(K110+B110+B111,Courbe_de_tarage!$I$4:$I$44,1)+1),INDEX(Courbe_de_tarage!$I$4:$I$44,MATCH(K110+B110+B111,Courbe_de_tarage!$I$4:$I$44,1)):INDEX(Courbe_de_tarage!$I$4:$I$44,MATCH(K110+B110+B111,Courbe_de_tarage!$I$4:$I$44,1)+1)),IFERROR(INDEX(Courbe_de_tarage!$D$4:$D$44,MATCH(K110+B110+B111,Courbe_de_tarage!$I$4:$I$44,1)),INDEX(Courbe_de_tarage!$D$4:$D$44,1))))</f>
        <v/>
      </c>
      <c r="E111" s="12">
        <f>IF(A111="","",IFERROR(FORECAST(K110+B110+B111,INDEX(Courbe_de_tarage!$E$4:$E$44,MATCH(K110+B110+B111,Courbe_de_tarage!$I$4:$I$44,1)):INDEX(Courbe_de_tarage!$E$4:$E$44,MATCH(K110+B110+B111,Courbe_de_tarage!$I$4:$I$44,1)+1),INDEX(Courbe_de_tarage!$I$4:$I$44,MATCH(K110+B110+B111,Courbe_de_tarage!$I$4:$I$44,1)):INDEX(Courbe_de_tarage!$I$4:$I$44,MATCH(K110+B110+B111,Courbe_de_tarage!$I$4:$I$44,1)+1)),IFERROR(INDEX(Courbe_de_tarage!$E$4:$E$44,MATCH(K110+B110+B111,Courbe_de_tarage!$I$4:$I$44,1)),INDEX(Courbe_de_tarage!$E$4:$E$44,1))))</f>
        <v/>
      </c>
      <c r="F111" s="12">
        <f>IF(A111="","",IFERROR(FORECAST(K110+B110+B111,INDEX(Courbe_de_tarage!$A$4:$A$44,MATCH(K110+B110+B111,Courbe_de_tarage!$I$4:$I$44,1)):INDEX(Courbe_de_tarage!$A$4:$A$44,MATCH(K110+B110+B111,Courbe_de_tarage!$I$4:$I$44,1)+1),INDEX(Courbe_de_tarage!$I$4:$I$44,MATCH(K110+B110+B111,Courbe_de_tarage!$I$4:$I$44,1)):INDEX(Courbe_de_tarage!$I$4:$I$44,MATCH(K110+B110+B111,Courbe_de_tarage!$I$4:$I$44,1)+1)),IFERROR(INDEX(Courbe_de_tarage!$A$4:$A$44,MATCH(K110+B110+B111,Courbe_de_tarage!$I$4:$I$44,1)),INDEX(Courbe_de_tarage!$A$4:$A$44,1))))</f>
        <v/>
      </c>
      <c r="G111" s="12">
        <f>IF(A111="","",Parametres!$C$9+F111)</f>
        <v/>
      </c>
      <c r="H111" s="12">
        <f>IF(A111="","",IFERROR(FORECAST(K110+B110+B111,INDEX(Courbe_de_tarage!$H$4:$H$44,MATCH(K110+B110+B111,Courbe_de_tarage!$I$4:$I$44,1)):INDEX(Courbe_de_tarage!$H$4:$H$44,MATCH(K110+B110+B111,Courbe_de_tarage!$I$4:$I$44,1)+1),INDEX(Courbe_de_tarage!$I$4:$I$44,MATCH(K110+B110+B111,Courbe_de_tarage!$I$4:$I$44,1)):INDEX(Courbe_de_tarage!$I$4:$I$44,MATCH(K110+B110+B111,Courbe_de_tarage!$I$4:$I$44,1)+1)),IFERROR(INDEX(Courbe_de_tarage!$H$4:$H$44,MATCH(K110+B110+B111,Courbe_de_tarage!$I$4:$I$44,1)),INDEX(Courbe_de_tarage!$H$4:$H$44,1))))</f>
        <v/>
      </c>
      <c r="I111" s="5">
        <f>IF(G111="","",IF(G111&gt;Parametres!$C$11,"OUI",""))</f>
        <v/>
      </c>
      <c r="J111" s="12">
        <f>IF(A111="","",K110+B110+B111)</f>
        <v/>
      </c>
      <c r="K111" s="12">
        <f>IF(A111="","",2*H111/(Hydrogramme_entree!$B$8*60)-E111)</f>
        <v/>
      </c>
    </row>
    <row r="112">
      <c r="A112" s="5">
        <f>Hydrogramme_entree!A124</f>
        <v/>
      </c>
      <c r="B112" s="12">
        <f>Hydrogramme_entree!B124</f>
        <v/>
      </c>
      <c r="C112" s="12">
        <f>IF(A112="","",IFERROR(FORECAST(K111+B111+B112,INDEX(Courbe_de_tarage!$C$4:$C$44,MATCH(K111+B111+B112,Courbe_de_tarage!$I$4:$I$44,1)):INDEX(Courbe_de_tarage!$C$4:$C$44,MATCH(K111+B111+B112,Courbe_de_tarage!$I$4:$I$44,1)+1),INDEX(Courbe_de_tarage!$I$4:$I$44,MATCH(K111+B111+B112,Courbe_de_tarage!$I$4:$I$44,1)):INDEX(Courbe_de_tarage!$I$4:$I$44,MATCH(K111+B111+B112,Courbe_de_tarage!$I$4:$I$44,1)+1)),IFERROR(INDEX(Courbe_de_tarage!$C$4:$C$44,MATCH(K111+B111+B112,Courbe_de_tarage!$I$4:$I$44,1)),INDEX(Courbe_de_tarage!$C$4:$C$44,1))))</f>
        <v/>
      </c>
      <c r="D112" s="12">
        <f>IF(A112="","",IFERROR(FORECAST(K111+B111+B112,INDEX(Courbe_de_tarage!$D$4:$D$44,MATCH(K111+B111+B112,Courbe_de_tarage!$I$4:$I$44,1)):INDEX(Courbe_de_tarage!$D$4:$D$44,MATCH(K111+B111+B112,Courbe_de_tarage!$I$4:$I$44,1)+1),INDEX(Courbe_de_tarage!$I$4:$I$44,MATCH(K111+B111+B112,Courbe_de_tarage!$I$4:$I$44,1)):INDEX(Courbe_de_tarage!$I$4:$I$44,MATCH(K111+B111+B112,Courbe_de_tarage!$I$4:$I$44,1)+1)),IFERROR(INDEX(Courbe_de_tarage!$D$4:$D$44,MATCH(K111+B111+B112,Courbe_de_tarage!$I$4:$I$44,1)),INDEX(Courbe_de_tarage!$D$4:$D$44,1))))</f>
        <v/>
      </c>
      <c r="E112" s="12">
        <f>IF(A112="","",IFERROR(FORECAST(K111+B111+B112,INDEX(Courbe_de_tarage!$E$4:$E$44,MATCH(K111+B111+B112,Courbe_de_tarage!$I$4:$I$44,1)):INDEX(Courbe_de_tarage!$E$4:$E$44,MATCH(K111+B111+B112,Courbe_de_tarage!$I$4:$I$44,1)+1),INDEX(Courbe_de_tarage!$I$4:$I$44,MATCH(K111+B111+B112,Courbe_de_tarage!$I$4:$I$44,1)):INDEX(Courbe_de_tarage!$I$4:$I$44,MATCH(K111+B111+B112,Courbe_de_tarage!$I$4:$I$44,1)+1)),IFERROR(INDEX(Courbe_de_tarage!$E$4:$E$44,MATCH(K111+B111+B112,Courbe_de_tarage!$I$4:$I$44,1)),INDEX(Courbe_de_tarage!$E$4:$E$44,1))))</f>
        <v/>
      </c>
      <c r="F112" s="12">
        <f>IF(A112="","",IFERROR(FORECAST(K111+B111+B112,INDEX(Courbe_de_tarage!$A$4:$A$44,MATCH(K111+B111+B112,Courbe_de_tarage!$I$4:$I$44,1)):INDEX(Courbe_de_tarage!$A$4:$A$44,MATCH(K111+B111+B112,Courbe_de_tarage!$I$4:$I$44,1)+1),INDEX(Courbe_de_tarage!$I$4:$I$44,MATCH(K111+B111+B112,Courbe_de_tarage!$I$4:$I$44,1)):INDEX(Courbe_de_tarage!$I$4:$I$44,MATCH(K111+B111+B112,Courbe_de_tarage!$I$4:$I$44,1)+1)),IFERROR(INDEX(Courbe_de_tarage!$A$4:$A$44,MATCH(K111+B111+B112,Courbe_de_tarage!$I$4:$I$44,1)),INDEX(Courbe_de_tarage!$A$4:$A$44,1))))</f>
        <v/>
      </c>
      <c r="G112" s="12">
        <f>IF(A112="","",Parametres!$C$9+F112)</f>
        <v/>
      </c>
      <c r="H112" s="12">
        <f>IF(A112="","",IFERROR(FORECAST(K111+B111+B112,INDEX(Courbe_de_tarage!$H$4:$H$44,MATCH(K111+B111+B112,Courbe_de_tarage!$I$4:$I$44,1)):INDEX(Courbe_de_tarage!$H$4:$H$44,MATCH(K111+B111+B112,Courbe_de_tarage!$I$4:$I$44,1)+1),INDEX(Courbe_de_tarage!$I$4:$I$44,MATCH(K111+B111+B112,Courbe_de_tarage!$I$4:$I$44,1)):INDEX(Courbe_de_tarage!$I$4:$I$44,MATCH(K111+B111+B112,Courbe_de_tarage!$I$4:$I$44,1)+1)),IFERROR(INDEX(Courbe_de_tarage!$H$4:$H$44,MATCH(K111+B111+B112,Courbe_de_tarage!$I$4:$I$44,1)),INDEX(Courbe_de_tarage!$H$4:$H$44,1))))</f>
        <v/>
      </c>
      <c r="I112" s="5">
        <f>IF(G112="","",IF(G112&gt;Parametres!$C$11,"OUI",""))</f>
        <v/>
      </c>
      <c r="J112" s="12">
        <f>IF(A112="","",K111+B111+B112)</f>
        <v/>
      </c>
      <c r="K112" s="12">
        <f>IF(A112="","",2*H112/(Hydrogramme_entree!$B$8*60)-E112)</f>
        <v/>
      </c>
    </row>
    <row r="113">
      <c r="A113" s="5">
        <f>Hydrogramme_entree!A125</f>
        <v/>
      </c>
      <c r="B113" s="12">
        <f>Hydrogramme_entree!B125</f>
        <v/>
      </c>
      <c r="C113" s="12">
        <f>IF(A113="","",IFERROR(FORECAST(K112+B112+B113,INDEX(Courbe_de_tarage!$C$4:$C$44,MATCH(K112+B112+B113,Courbe_de_tarage!$I$4:$I$44,1)):INDEX(Courbe_de_tarage!$C$4:$C$44,MATCH(K112+B112+B113,Courbe_de_tarage!$I$4:$I$44,1)+1),INDEX(Courbe_de_tarage!$I$4:$I$44,MATCH(K112+B112+B113,Courbe_de_tarage!$I$4:$I$44,1)):INDEX(Courbe_de_tarage!$I$4:$I$44,MATCH(K112+B112+B113,Courbe_de_tarage!$I$4:$I$44,1)+1)),IFERROR(INDEX(Courbe_de_tarage!$C$4:$C$44,MATCH(K112+B112+B113,Courbe_de_tarage!$I$4:$I$44,1)),INDEX(Courbe_de_tarage!$C$4:$C$44,1))))</f>
        <v/>
      </c>
      <c r="D113" s="12">
        <f>IF(A113="","",IFERROR(FORECAST(K112+B112+B113,INDEX(Courbe_de_tarage!$D$4:$D$44,MATCH(K112+B112+B113,Courbe_de_tarage!$I$4:$I$44,1)):INDEX(Courbe_de_tarage!$D$4:$D$44,MATCH(K112+B112+B113,Courbe_de_tarage!$I$4:$I$44,1)+1),INDEX(Courbe_de_tarage!$I$4:$I$44,MATCH(K112+B112+B113,Courbe_de_tarage!$I$4:$I$44,1)):INDEX(Courbe_de_tarage!$I$4:$I$44,MATCH(K112+B112+B113,Courbe_de_tarage!$I$4:$I$44,1)+1)),IFERROR(INDEX(Courbe_de_tarage!$D$4:$D$44,MATCH(K112+B112+B113,Courbe_de_tarage!$I$4:$I$44,1)),INDEX(Courbe_de_tarage!$D$4:$D$44,1))))</f>
        <v/>
      </c>
      <c r="E113" s="12">
        <f>IF(A113="","",IFERROR(FORECAST(K112+B112+B113,INDEX(Courbe_de_tarage!$E$4:$E$44,MATCH(K112+B112+B113,Courbe_de_tarage!$I$4:$I$44,1)):INDEX(Courbe_de_tarage!$E$4:$E$44,MATCH(K112+B112+B113,Courbe_de_tarage!$I$4:$I$44,1)+1),INDEX(Courbe_de_tarage!$I$4:$I$44,MATCH(K112+B112+B113,Courbe_de_tarage!$I$4:$I$44,1)):INDEX(Courbe_de_tarage!$I$4:$I$44,MATCH(K112+B112+B113,Courbe_de_tarage!$I$4:$I$44,1)+1)),IFERROR(INDEX(Courbe_de_tarage!$E$4:$E$44,MATCH(K112+B112+B113,Courbe_de_tarage!$I$4:$I$44,1)),INDEX(Courbe_de_tarage!$E$4:$E$44,1))))</f>
        <v/>
      </c>
      <c r="F113" s="12">
        <f>IF(A113="","",IFERROR(FORECAST(K112+B112+B113,INDEX(Courbe_de_tarage!$A$4:$A$44,MATCH(K112+B112+B113,Courbe_de_tarage!$I$4:$I$44,1)):INDEX(Courbe_de_tarage!$A$4:$A$44,MATCH(K112+B112+B113,Courbe_de_tarage!$I$4:$I$44,1)+1),INDEX(Courbe_de_tarage!$I$4:$I$44,MATCH(K112+B112+B113,Courbe_de_tarage!$I$4:$I$44,1)):INDEX(Courbe_de_tarage!$I$4:$I$44,MATCH(K112+B112+B113,Courbe_de_tarage!$I$4:$I$44,1)+1)),IFERROR(INDEX(Courbe_de_tarage!$A$4:$A$44,MATCH(K112+B112+B113,Courbe_de_tarage!$I$4:$I$44,1)),INDEX(Courbe_de_tarage!$A$4:$A$44,1))))</f>
        <v/>
      </c>
      <c r="G113" s="12">
        <f>IF(A113="","",Parametres!$C$9+F113)</f>
        <v/>
      </c>
      <c r="H113" s="12">
        <f>IF(A113="","",IFERROR(FORECAST(K112+B112+B113,INDEX(Courbe_de_tarage!$H$4:$H$44,MATCH(K112+B112+B113,Courbe_de_tarage!$I$4:$I$44,1)):INDEX(Courbe_de_tarage!$H$4:$H$44,MATCH(K112+B112+B113,Courbe_de_tarage!$I$4:$I$44,1)+1),INDEX(Courbe_de_tarage!$I$4:$I$44,MATCH(K112+B112+B113,Courbe_de_tarage!$I$4:$I$44,1)):INDEX(Courbe_de_tarage!$I$4:$I$44,MATCH(K112+B112+B113,Courbe_de_tarage!$I$4:$I$44,1)+1)),IFERROR(INDEX(Courbe_de_tarage!$H$4:$H$44,MATCH(K112+B112+B113,Courbe_de_tarage!$I$4:$I$44,1)),INDEX(Courbe_de_tarage!$H$4:$H$44,1))))</f>
        <v/>
      </c>
      <c r="I113" s="5">
        <f>IF(G113="","",IF(G113&gt;Parametres!$C$11,"OUI",""))</f>
        <v/>
      </c>
      <c r="J113" s="12">
        <f>IF(A113="","",K112+B112+B113)</f>
        <v/>
      </c>
      <c r="K113" s="12">
        <f>IF(A113="","",2*H113/(Hydrogramme_entree!$B$8*60)-E113)</f>
        <v/>
      </c>
    </row>
    <row r="114">
      <c r="A114" s="5">
        <f>Hydrogramme_entree!A126</f>
        <v/>
      </c>
      <c r="B114" s="12">
        <f>Hydrogramme_entree!B126</f>
        <v/>
      </c>
      <c r="C114" s="12">
        <f>IF(A114="","",IFERROR(FORECAST(K113+B113+B114,INDEX(Courbe_de_tarage!$C$4:$C$44,MATCH(K113+B113+B114,Courbe_de_tarage!$I$4:$I$44,1)):INDEX(Courbe_de_tarage!$C$4:$C$44,MATCH(K113+B113+B114,Courbe_de_tarage!$I$4:$I$44,1)+1),INDEX(Courbe_de_tarage!$I$4:$I$44,MATCH(K113+B113+B114,Courbe_de_tarage!$I$4:$I$44,1)):INDEX(Courbe_de_tarage!$I$4:$I$44,MATCH(K113+B113+B114,Courbe_de_tarage!$I$4:$I$44,1)+1)),IFERROR(INDEX(Courbe_de_tarage!$C$4:$C$44,MATCH(K113+B113+B114,Courbe_de_tarage!$I$4:$I$44,1)),INDEX(Courbe_de_tarage!$C$4:$C$44,1))))</f>
        <v/>
      </c>
      <c r="D114" s="12">
        <f>IF(A114="","",IFERROR(FORECAST(K113+B113+B114,INDEX(Courbe_de_tarage!$D$4:$D$44,MATCH(K113+B113+B114,Courbe_de_tarage!$I$4:$I$44,1)):INDEX(Courbe_de_tarage!$D$4:$D$44,MATCH(K113+B113+B114,Courbe_de_tarage!$I$4:$I$44,1)+1),INDEX(Courbe_de_tarage!$I$4:$I$44,MATCH(K113+B113+B114,Courbe_de_tarage!$I$4:$I$44,1)):INDEX(Courbe_de_tarage!$I$4:$I$44,MATCH(K113+B113+B114,Courbe_de_tarage!$I$4:$I$44,1)+1)),IFERROR(INDEX(Courbe_de_tarage!$D$4:$D$44,MATCH(K113+B113+B114,Courbe_de_tarage!$I$4:$I$44,1)),INDEX(Courbe_de_tarage!$D$4:$D$44,1))))</f>
        <v/>
      </c>
      <c r="E114" s="12">
        <f>IF(A114="","",IFERROR(FORECAST(K113+B113+B114,INDEX(Courbe_de_tarage!$E$4:$E$44,MATCH(K113+B113+B114,Courbe_de_tarage!$I$4:$I$44,1)):INDEX(Courbe_de_tarage!$E$4:$E$44,MATCH(K113+B113+B114,Courbe_de_tarage!$I$4:$I$44,1)+1),INDEX(Courbe_de_tarage!$I$4:$I$44,MATCH(K113+B113+B114,Courbe_de_tarage!$I$4:$I$44,1)):INDEX(Courbe_de_tarage!$I$4:$I$44,MATCH(K113+B113+B114,Courbe_de_tarage!$I$4:$I$44,1)+1)),IFERROR(INDEX(Courbe_de_tarage!$E$4:$E$44,MATCH(K113+B113+B114,Courbe_de_tarage!$I$4:$I$44,1)),INDEX(Courbe_de_tarage!$E$4:$E$44,1))))</f>
        <v/>
      </c>
      <c r="F114" s="12">
        <f>IF(A114="","",IFERROR(FORECAST(K113+B113+B114,INDEX(Courbe_de_tarage!$A$4:$A$44,MATCH(K113+B113+B114,Courbe_de_tarage!$I$4:$I$44,1)):INDEX(Courbe_de_tarage!$A$4:$A$44,MATCH(K113+B113+B114,Courbe_de_tarage!$I$4:$I$44,1)+1),INDEX(Courbe_de_tarage!$I$4:$I$44,MATCH(K113+B113+B114,Courbe_de_tarage!$I$4:$I$44,1)):INDEX(Courbe_de_tarage!$I$4:$I$44,MATCH(K113+B113+B114,Courbe_de_tarage!$I$4:$I$44,1)+1)),IFERROR(INDEX(Courbe_de_tarage!$A$4:$A$44,MATCH(K113+B113+B114,Courbe_de_tarage!$I$4:$I$44,1)),INDEX(Courbe_de_tarage!$A$4:$A$44,1))))</f>
        <v/>
      </c>
      <c r="G114" s="12">
        <f>IF(A114="","",Parametres!$C$9+F114)</f>
        <v/>
      </c>
      <c r="H114" s="12">
        <f>IF(A114="","",IFERROR(FORECAST(K113+B113+B114,INDEX(Courbe_de_tarage!$H$4:$H$44,MATCH(K113+B113+B114,Courbe_de_tarage!$I$4:$I$44,1)):INDEX(Courbe_de_tarage!$H$4:$H$44,MATCH(K113+B113+B114,Courbe_de_tarage!$I$4:$I$44,1)+1),INDEX(Courbe_de_tarage!$I$4:$I$44,MATCH(K113+B113+B114,Courbe_de_tarage!$I$4:$I$44,1)):INDEX(Courbe_de_tarage!$I$4:$I$44,MATCH(K113+B113+B114,Courbe_de_tarage!$I$4:$I$44,1)+1)),IFERROR(INDEX(Courbe_de_tarage!$H$4:$H$44,MATCH(K113+B113+B114,Courbe_de_tarage!$I$4:$I$44,1)),INDEX(Courbe_de_tarage!$H$4:$H$44,1))))</f>
        <v/>
      </c>
      <c r="I114" s="5">
        <f>IF(G114="","",IF(G114&gt;Parametres!$C$11,"OUI",""))</f>
        <v/>
      </c>
      <c r="J114" s="12">
        <f>IF(A114="","",K113+B113+B114)</f>
        <v/>
      </c>
      <c r="K114" s="12">
        <f>IF(A114="","",2*H114/(Hydrogramme_entree!$B$8*60)-E114)</f>
        <v/>
      </c>
    </row>
    <row r="115">
      <c r="A115" s="5">
        <f>Hydrogramme_entree!A127</f>
        <v/>
      </c>
      <c r="B115" s="12">
        <f>Hydrogramme_entree!B127</f>
        <v/>
      </c>
      <c r="C115" s="12">
        <f>IF(A115="","",IFERROR(FORECAST(K114+B114+B115,INDEX(Courbe_de_tarage!$C$4:$C$44,MATCH(K114+B114+B115,Courbe_de_tarage!$I$4:$I$44,1)):INDEX(Courbe_de_tarage!$C$4:$C$44,MATCH(K114+B114+B115,Courbe_de_tarage!$I$4:$I$44,1)+1),INDEX(Courbe_de_tarage!$I$4:$I$44,MATCH(K114+B114+B115,Courbe_de_tarage!$I$4:$I$44,1)):INDEX(Courbe_de_tarage!$I$4:$I$44,MATCH(K114+B114+B115,Courbe_de_tarage!$I$4:$I$44,1)+1)),IFERROR(INDEX(Courbe_de_tarage!$C$4:$C$44,MATCH(K114+B114+B115,Courbe_de_tarage!$I$4:$I$44,1)),INDEX(Courbe_de_tarage!$C$4:$C$44,1))))</f>
        <v/>
      </c>
      <c r="D115" s="12">
        <f>IF(A115="","",IFERROR(FORECAST(K114+B114+B115,INDEX(Courbe_de_tarage!$D$4:$D$44,MATCH(K114+B114+B115,Courbe_de_tarage!$I$4:$I$44,1)):INDEX(Courbe_de_tarage!$D$4:$D$44,MATCH(K114+B114+B115,Courbe_de_tarage!$I$4:$I$44,1)+1),INDEX(Courbe_de_tarage!$I$4:$I$44,MATCH(K114+B114+B115,Courbe_de_tarage!$I$4:$I$44,1)):INDEX(Courbe_de_tarage!$I$4:$I$44,MATCH(K114+B114+B115,Courbe_de_tarage!$I$4:$I$44,1)+1)),IFERROR(INDEX(Courbe_de_tarage!$D$4:$D$44,MATCH(K114+B114+B115,Courbe_de_tarage!$I$4:$I$44,1)),INDEX(Courbe_de_tarage!$D$4:$D$44,1))))</f>
        <v/>
      </c>
      <c r="E115" s="12">
        <f>IF(A115="","",IFERROR(FORECAST(K114+B114+B115,INDEX(Courbe_de_tarage!$E$4:$E$44,MATCH(K114+B114+B115,Courbe_de_tarage!$I$4:$I$44,1)):INDEX(Courbe_de_tarage!$E$4:$E$44,MATCH(K114+B114+B115,Courbe_de_tarage!$I$4:$I$44,1)+1),INDEX(Courbe_de_tarage!$I$4:$I$44,MATCH(K114+B114+B115,Courbe_de_tarage!$I$4:$I$44,1)):INDEX(Courbe_de_tarage!$I$4:$I$44,MATCH(K114+B114+B115,Courbe_de_tarage!$I$4:$I$44,1)+1)),IFERROR(INDEX(Courbe_de_tarage!$E$4:$E$44,MATCH(K114+B114+B115,Courbe_de_tarage!$I$4:$I$44,1)),INDEX(Courbe_de_tarage!$E$4:$E$44,1))))</f>
        <v/>
      </c>
      <c r="F115" s="12">
        <f>IF(A115="","",IFERROR(FORECAST(K114+B114+B115,INDEX(Courbe_de_tarage!$A$4:$A$44,MATCH(K114+B114+B115,Courbe_de_tarage!$I$4:$I$44,1)):INDEX(Courbe_de_tarage!$A$4:$A$44,MATCH(K114+B114+B115,Courbe_de_tarage!$I$4:$I$44,1)+1),INDEX(Courbe_de_tarage!$I$4:$I$44,MATCH(K114+B114+B115,Courbe_de_tarage!$I$4:$I$44,1)):INDEX(Courbe_de_tarage!$I$4:$I$44,MATCH(K114+B114+B115,Courbe_de_tarage!$I$4:$I$44,1)+1)),IFERROR(INDEX(Courbe_de_tarage!$A$4:$A$44,MATCH(K114+B114+B115,Courbe_de_tarage!$I$4:$I$44,1)),INDEX(Courbe_de_tarage!$A$4:$A$44,1))))</f>
        <v/>
      </c>
      <c r="G115" s="12">
        <f>IF(A115="","",Parametres!$C$9+F115)</f>
        <v/>
      </c>
      <c r="H115" s="12">
        <f>IF(A115="","",IFERROR(FORECAST(K114+B114+B115,INDEX(Courbe_de_tarage!$H$4:$H$44,MATCH(K114+B114+B115,Courbe_de_tarage!$I$4:$I$44,1)):INDEX(Courbe_de_tarage!$H$4:$H$44,MATCH(K114+B114+B115,Courbe_de_tarage!$I$4:$I$44,1)+1),INDEX(Courbe_de_tarage!$I$4:$I$44,MATCH(K114+B114+B115,Courbe_de_tarage!$I$4:$I$44,1)):INDEX(Courbe_de_tarage!$I$4:$I$44,MATCH(K114+B114+B115,Courbe_de_tarage!$I$4:$I$44,1)+1)),IFERROR(INDEX(Courbe_de_tarage!$H$4:$H$44,MATCH(K114+B114+B115,Courbe_de_tarage!$I$4:$I$44,1)),INDEX(Courbe_de_tarage!$H$4:$H$44,1))))</f>
        <v/>
      </c>
      <c r="I115" s="5">
        <f>IF(G115="","",IF(G115&gt;Parametres!$C$11,"OUI",""))</f>
        <v/>
      </c>
      <c r="J115" s="12">
        <f>IF(A115="","",K114+B114+B115)</f>
        <v/>
      </c>
      <c r="K115" s="12">
        <f>IF(A115="","",2*H115/(Hydrogramme_entree!$B$8*60)-E115)</f>
        <v/>
      </c>
    </row>
    <row r="116">
      <c r="A116" s="5">
        <f>Hydrogramme_entree!A128</f>
        <v/>
      </c>
      <c r="B116" s="12">
        <f>Hydrogramme_entree!B128</f>
        <v/>
      </c>
      <c r="C116" s="12">
        <f>IF(A116="","",IFERROR(FORECAST(K115+B115+B116,INDEX(Courbe_de_tarage!$C$4:$C$44,MATCH(K115+B115+B116,Courbe_de_tarage!$I$4:$I$44,1)):INDEX(Courbe_de_tarage!$C$4:$C$44,MATCH(K115+B115+B116,Courbe_de_tarage!$I$4:$I$44,1)+1),INDEX(Courbe_de_tarage!$I$4:$I$44,MATCH(K115+B115+B116,Courbe_de_tarage!$I$4:$I$44,1)):INDEX(Courbe_de_tarage!$I$4:$I$44,MATCH(K115+B115+B116,Courbe_de_tarage!$I$4:$I$44,1)+1)),IFERROR(INDEX(Courbe_de_tarage!$C$4:$C$44,MATCH(K115+B115+B116,Courbe_de_tarage!$I$4:$I$44,1)),INDEX(Courbe_de_tarage!$C$4:$C$44,1))))</f>
        <v/>
      </c>
      <c r="D116" s="12">
        <f>IF(A116="","",IFERROR(FORECAST(K115+B115+B116,INDEX(Courbe_de_tarage!$D$4:$D$44,MATCH(K115+B115+B116,Courbe_de_tarage!$I$4:$I$44,1)):INDEX(Courbe_de_tarage!$D$4:$D$44,MATCH(K115+B115+B116,Courbe_de_tarage!$I$4:$I$44,1)+1),INDEX(Courbe_de_tarage!$I$4:$I$44,MATCH(K115+B115+B116,Courbe_de_tarage!$I$4:$I$44,1)):INDEX(Courbe_de_tarage!$I$4:$I$44,MATCH(K115+B115+B116,Courbe_de_tarage!$I$4:$I$44,1)+1)),IFERROR(INDEX(Courbe_de_tarage!$D$4:$D$44,MATCH(K115+B115+B116,Courbe_de_tarage!$I$4:$I$44,1)),INDEX(Courbe_de_tarage!$D$4:$D$44,1))))</f>
        <v/>
      </c>
      <c r="E116" s="12">
        <f>IF(A116="","",IFERROR(FORECAST(K115+B115+B116,INDEX(Courbe_de_tarage!$E$4:$E$44,MATCH(K115+B115+B116,Courbe_de_tarage!$I$4:$I$44,1)):INDEX(Courbe_de_tarage!$E$4:$E$44,MATCH(K115+B115+B116,Courbe_de_tarage!$I$4:$I$44,1)+1),INDEX(Courbe_de_tarage!$I$4:$I$44,MATCH(K115+B115+B116,Courbe_de_tarage!$I$4:$I$44,1)):INDEX(Courbe_de_tarage!$I$4:$I$44,MATCH(K115+B115+B116,Courbe_de_tarage!$I$4:$I$44,1)+1)),IFERROR(INDEX(Courbe_de_tarage!$E$4:$E$44,MATCH(K115+B115+B116,Courbe_de_tarage!$I$4:$I$44,1)),INDEX(Courbe_de_tarage!$E$4:$E$44,1))))</f>
        <v/>
      </c>
      <c r="F116" s="12">
        <f>IF(A116="","",IFERROR(FORECAST(K115+B115+B116,INDEX(Courbe_de_tarage!$A$4:$A$44,MATCH(K115+B115+B116,Courbe_de_tarage!$I$4:$I$44,1)):INDEX(Courbe_de_tarage!$A$4:$A$44,MATCH(K115+B115+B116,Courbe_de_tarage!$I$4:$I$44,1)+1),INDEX(Courbe_de_tarage!$I$4:$I$44,MATCH(K115+B115+B116,Courbe_de_tarage!$I$4:$I$44,1)):INDEX(Courbe_de_tarage!$I$4:$I$44,MATCH(K115+B115+B116,Courbe_de_tarage!$I$4:$I$44,1)+1)),IFERROR(INDEX(Courbe_de_tarage!$A$4:$A$44,MATCH(K115+B115+B116,Courbe_de_tarage!$I$4:$I$44,1)),INDEX(Courbe_de_tarage!$A$4:$A$44,1))))</f>
        <v/>
      </c>
      <c r="G116" s="12">
        <f>IF(A116="","",Parametres!$C$9+F116)</f>
        <v/>
      </c>
      <c r="H116" s="12">
        <f>IF(A116="","",IFERROR(FORECAST(K115+B115+B116,INDEX(Courbe_de_tarage!$H$4:$H$44,MATCH(K115+B115+B116,Courbe_de_tarage!$I$4:$I$44,1)):INDEX(Courbe_de_tarage!$H$4:$H$44,MATCH(K115+B115+B116,Courbe_de_tarage!$I$4:$I$44,1)+1),INDEX(Courbe_de_tarage!$I$4:$I$44,MATCH(K115+B115+B116,Courbe_de_tarage!$I$4:$I$44,1)):INDEX(Courbe_de_tarage!$I$4:$I$44,MATCH(K115+B115+B116,Courbe_de_tarage!$I$4:$I$44,1)+1)),IFERROR(INDEX(Courbe_de_tarage!$H$4:$H$44,MATCH(K115+B115+B116,Courbe_de_tarage!$I$4:$I$44,1)),INDEX(Courbe_de_tarage!$H$4:$H$44,1))))</f>
        <v/>
      </c>
      <c r="I116" s="5">
        <f>IF(G116="","",IF(G116&gt;Parametres!$C$11,"OUI",""))</f>
        <v/>
      </c>
      <c r="J116" s="12">
        <f>IF(A116="","",K115+B115+B116)</f>
        <v/>
      </c>
      <c r="K116" s="12">
        <f>IF(A116="","",2*H116/(Hydrogramme_entree!$B$8*60)-E116)</f>
        <v/>
      </c>
    </row>
    <row r="117">
      <c r="A117" s="5">
        <f>Hydrogramme_entree!A129</f>
        <v/>
      </c>
      <c r="B117" s="12">
        <f>Hydrogramme_entree!B129</f>
        <v/>
      </c>
      <c r="C117" s="12">
        <f>IF(A117="","",IFERROR(FORECAST(K116+B116+B117,INDEX(Courbe_de_tarage!$C$4:$C$44,MATCH(K116+B116+B117,Courbe_de_tarage!$I$4:$I$44,1)):INDEX(Courbe_de_tarage!$C$4:$C$44,MATCH(K116+B116+B117,Courbe_de_tarage!$I$4:$I$44,1)+1),INDEX(Courbe_de_tarage!$I$4:$I$44,MATCH(K116+B116+B117,Courbe_de_tarage!$I$4:$I$44,1)):INDEX(Courbe_de_tarage!$I$4:$I$44,MATCH(K116+B116+B117,Courbe_de_tarage!$I$4:$I$44,1)+1)),IFERROR(INDEX(Courbe_de_tarage!$C$4:$C$44,MATCH(K116+B116+B117,Courbe_de_tarage!$I$4:$I$44,1)),INDEX(Courbe_de_tarage!$C$4:$C$44,1))))</f>
        <v/>
      </c>
      <c r="D117" s="12">
        <f>IF(A117="","",IFERROR(FORECAST(K116+B116+B117,INDEX(Courbe_de_tarage!$D$4:$D$44,MATCH(K116+B116+B117,Courbe_de_tarage!$I$4:$I$44,1)):INDEX(Courbe_de_tarage!$D$4:$D$44,MATCH(K116+B116+B117,Courbe_de_tarage!$I$4:$I$44,1)+1),INDEX(Courbe_de_tarage!$I$4:$I$44,MATCH(K116+B116+B117,Courbe_de_tarage!$I$4:$I$44,1)):INDEX(Courbe_de_tarage!$I$4:$I$44,MATCH(K116+B116+B117,Courbe_de_tarage!$I$4:$I$44,1)+1)),IFERROR(INDEX(Courbe_de_tarage!$D$4:$D$44,MATCH(K116+B116+B117,Courbe_de_tarage!$I$4:$I$44,1)),INDEX(Courbe_de_tarage!$D$4:$D$44,1))))</f>
        <v/>
      </c>
      <c r="E117" s="12">
        <f>IF(A117="","",IFERROR(FORECAST(K116+B116+B117,INDEX(Courbe_de_tarage!$E$4:$E$44,MATCH(K116+B116+B117,Courbe_de_tarage!$I$4:$I$44,1)):INDEX(Courbe_de_tarage!$E$4:$E$44,MATCH(K116+B116+B117,Courbe_de_tarage!$I$4:$I$44,1)+1),INDEX(Courbe_de_tarage!$I$4:$I$44,MATCH(K116+B116+B117,Courbe_de_tarage!$I$4:$I$44,1)):INDEX(Courbe_de_tarage!$I$4:$I$44,MATCH(K116+B116+B117,Courbe_de_tarage!$I$4:$I$44,1)+1)),IFERROR(INDEX(Courbe_de_tarage!$E$4:$E$44,MATCH(K116+B116+B117,Courbe_de_tarage!$I$4:$I$44,1)),INDEX(Courbe_de_tarage!$E$4:$E$44,1))))</f>
        <v/>
      </c>
      <c r="F117" s="12">
        <f>IF(A117="","",IFERROR(FORECAST(K116+B116+B117,INDEX(Courbe_de_tarage!$A$4:$A$44,MATCH(K116+B116+B117,Courbe_de_tarage!$I$4:$I$44,1)):INDEX(Courbe_de_tarage!$A$4:$A$44,MATCH(K116+B116+B117,Courbe_de_tarage!$I$4:$I$44,1)+1),INDEX(Courbe_de_tarage!$I$4:$I$44,MATCH(K116+B116+B117,Courbe_de_tarage!$I$4:$I$44,1)):INDEX(Courbe_de_tarage!$I$4:$I$44,MATCH(K116+B116+B117,Courbe_de_tarage!$I$4:$I$44,1)+1)),IFERROR(INDEX(Courbe_de_tarage!$A$4:$A$44,MATCH(K116+B116+B117,Courbe_de_tarage!$I$4:$I$44,1)),INDEX(Courbe_de_tarage!$A$4:$A$44,1))))</f>
        <v/>
      </c>
      <c r="G117" s="12">
        <f>IF(A117="","",Parametres!$C$9+F117)</f>
        <v/>
      </c>
      <c r="H117" s="12">
        <f>IF(A117="","",IFERROR(FORECAST(K116+B116+B117,INDEX(Courbe_de_tarage!$H$4:$H$44,MATCH(K116+B116+B117,Courbe_de_tarage!$I$4:$I$44,1)):INDEX(Courbe_de_tarage!$H$4:$H$44,MATCH(K116+B116+B117,Courbe_de_tarage!$I$4:$I$44,1)+1),INDEX(Courbe_de_tarage!$I$4:$I$44,MATCH(K116+B116+B117,Courbe_de_tarage!$I$4:$I$44,1)):INDEX(Courbe_de_tarage!$I$4:$I$44,MATCH(K116+B116+B117,Courbe_de_tarage!$I$4:$I$44,1)+1)),IFERROR(INDEX(Courbe_de_tarage!$H$4:$H$44,MATCH(K116+B116+B117,Courbe_de_tarage!$I$4:$I$44,1)),INDEX(Courbe_de_tarage!$H$4:$H$44,1))))</f>
        <v/>
      </c>
      <c r="I117" s="5">
        <f>IF(G117="","",IF(G117&gt;Parametres!$C$11,"OUI",""))</f>
        <v/>
      </c>
      <c r="J117" s="12">
        <f>IF(A117="","",K116+B116+B117)</f>
        <v/>
      </c>
      <c r="K117" s="12">
        <f>IF(A117="","",2*H117/(Hydrogramme_entree!$B$8*60)-E117)</f>
        <v/>
      </c>
    </row>
    <row r="118">
      <c r="A118" s="5">
        <f>Hydrogramme_entree!A130</f>
        <v/>
      </c>
      <c r="B118" s="12">
        <f>Hydrogramme_entree!B130</f>
        <v/>
      </c>
      <c r="C118" s="12">
        <f>IF(A118="","",IFERROR(FORECAST(K117+B117+B118,INDEX(Courbe_de_tarage!$C$4:$C$44,MATCH(K117+B117+B118,Courbe_de_tarage!$I$4:$I$44,1)):INDEX(Courbe_de_tarage!$C$4:$C$44,MATCH(K117+B117+B118,Courbe_de_tarage!$I$4:$I$44,1)+1),INDEX(Courbe_de_tarage!$I$4:$I$44,MATCH(K117+B117+B118,Courbe_de_tarage!$I$4:$I$44,1)):INDEX(Courbe_de_tarage!$I$4:$I$44,MATCH(K117+B117+B118,Courbe_de_tarage!$I$4:$I$44,1)+1)),IFERROR(INDEX(Courbe_de_tarage!$C$4:$C$44,MATCH(K117+B117+B118,Courbe_de_tarage!$I$4:$I$44,1)),INDEX(Courbe_de_tarage!$C$4:$C$44,1))))</f>
        <v/>
      </c>
      <c r="D118" s="12">
        <f>IF(A118="","",IFERROR(FORECAST(K117+B117+B118,INDEX(Courbe_de_tarage!$D$4:$D$44,MATCH(K117+B117+B118,Courbe_de_tarage!$I$4:$I$44,1)):INDEX(Courbe_de_tarage!$D$4:$D$44,MATCH(K117+B117+B118,Courbe_de_tarage!$I$4:$I$44,1)+1),INDEX(Courbe_de_tarage!$I$4:$I$44,MATCH(K117+B117+B118,Courbe_de_tarage!$I$4:$I$44,1)):INDEX(Courbe_de_tarage!$I$4:$I$44,MATCH(K117+B117+B118,Courbe_de_tarage!$I$4:$I$44,1)+1)),IFERROR(INDEX(Courbe_de_tarage!$D$4:$D$44,MATCH(K117+B117+B118,Courbe_de_tarage!$I$4:$I$44,1)),INDEX(Courbe_de_tarage!$D$4:$D$44,1))))</f>
        <v/>
      </c>
      <c r="E118" s="12">
        <f>IF(A118="","",IFERROR(FORECAST(K117+B117+B118,INDEX(Courbe_de_tarage!$E$4:$E$44,MATCH(K117+B117+B118,Courbe_de_tarage!$I$4:$I$44,1)):INDEX(Courbe_de_tarage!$E$4:$E$44,MATCH(K117+B117+B118,Courbe_de_tarage!$I$4:$I$44,1)+1),INDEX(Courbe_de_tarage!$I$4:$I$44,MATCH(K117+B117+B118,Courbe_de_tarage!$I$4:$I$44,1)):INDEX(Courbe_de_tarage!$I$4:$I$44,MATCH(K117+B117+B118,Courbe_de_tarage!$I$4:$I$44,1)+1)),IFERROR(INDEX(Courbe_de_tarage!$E$4:$E$44,MATCH(K117+B117+B118,Courbe_de_tarage!$I$4:$I$44,1)),INDEX(Courbe_de_tarage!$E$4:$E$44,1))))</f>
        <v/>
      </c>
      <c r="F118" s="12">
        <f>IF(A118="","",IFERROR(FORECAST(K117+B117+B118,INDEX(Courbe_de_tarage!$A$4:$A$44,MATCH(K117+B117+B118,Courbe_de_tarage!$I$4:$I$44,1)):INDEX(Courbe_de_tarage!$A$4:$A$44,MATCH(K117+B117+B118,Courbe_de_tarage!$I$4:$I$44,1)+1),INDEX(Courbe_de_tarage!$I$4:$I$44,MATCH(K117+B117+B118,Courbe_de_tarage!$I$4:$I$44,1)):INDEX(Courbe_de_tarage!$I$4:$I$44,MATCH(K117+B117+B118,Courbe_de_tarage!$I$4:$I$44,1)+1)),IFERROR(INDEX(Courbe_de_tarage!$A$4:$A$44,MATCH(K117+B117+B118,Courbe_de_tarage!$I$4:$I$44,1)),INDEX(Courbe_de_tarage!$A$4:$A$44,1))))</f>
        <v/>
      </c>
      <c r="G118" s="12">
        <f>IF(A118="","",Parametres!$C$9+F118)</f>
        <v/>
      </c>
      <c r="H118" s="12">
        <f>IF(A118="","",IFERROR(FORECAST(K117+B117+B118,INDEX(Courbe_de_tarage!$H$4:$H$44,MATCH(K117+B117+B118,Courbe_de_tarage!$I$4:$I$44,1)):INDEX(Courbe_de_tarage!$H$4:$H$44,MATCH(K117+B117+B118,Courbe_de_tarage!$I$4:$I$44,1)+1),INDEX(Courbe_de_tarage!$I$4:$I$44,MATCH(K117+B117+B118,Courbe_de_tarage!$I$4:$I$44,1)):INDEX(Courbe_de_tarage!$I$4:$I$44,MATCH(K117+B117+B118,Courbe_de_tarage!$I$4:$I$44,1)+1)),IFERROR(INDEX(Courbe_de_tarage!$H$4:$H$44,MATCH(K117+B117+B118,Courbe_de_tarage!$I$4:$I$44,1)),INDEX(Courbe_de_tarage!$H$4:$H$44,1))))</f>
        <v/>
      </c>
      <c r="I118" s="5">
        <f>IF(G118="","",IF(G118&gt;Parametres!$C$11,"OUI",""))</f>
        <v/>
      </c>
      <c r="J118" s="12">
        <f>IF(A118="","",K117+B117+B118)</f>
        <v/>
      </c>
      <c r="K118" s="12">
        <f>IF(A118="","",2*H118/(Hydrogramme_entree!$B$8*60)-E118)</f>
        <v/>
      </c>
    </row>
    <row r="119">
      <c r="A119" s="5">
        <f>Hydrogramme_entree!A131</f>
        <v/>
      </c>
      <c r="B119" s="12">
        <f>Hydrogramme_entree!B131</f>
        <v/>
      </c>
      <c r="C119" s="12">
        <f>IF(A119="","",IFERROR(FORECAST(K118+B118+B119,INDEX(Courbe_de_tarage!$C$4:$C$44,MATCH(K118+B118+B119,Courbe_de_tarage!$I$4:$I$44,1)):INDEX(Courbe_de_tarage!$C$4:$C$44,MATCH(K118+B118+B119,Courbe_de_tarage!$I$4:$I$44,1)+1),INDEX(Courbe_de_tarage!$I$4:$I$44,MATCH(K118+B118+B119,Courbe_de_tarage!$I$4:$I$44,1)):INDEX(Courbe_de_tarage!$I$4:$I$44,MATCH(K118+B118+B119,Courbe_de_tarage!$I$4:$I$44,1)+1)),IFERROR(INDEX(Courbe_de_tarage!$C$4:$C$44,MATCH(K118+B118+B119,Courbe_de_tarage!$I$4:$I$44,1)),INDEX(Courbe_de_tarage!$C$4:$C$44,1))))</f>
        <v/>
      </c>
      <c r="D119" s="12">
        <f>IF(A119="","",IFERROR(FORECAST(K118+B118+B119,INDEX(Courbe_de_tarage!$D$4:$D$44,MATCH(K118+B118+B119,Courbe_de_tarage!$I$4:$I$44,1)):INDEX(Courbe_de_tarage!$D$4:$D$44,MATCH(K118+B118+B119,Courbe_de_tarage!$I$4:$I$44,1)+1),INDEX(Courbe_de_tarage!$I$4:$I$44,MATCH(K118+B118+B119,Courbe_de_tarage!$I$4:$I$44,1)):INDEX(Courbe_de_tarage!$I$4:$I$44,MATCH(K118+B118+B119,Courbe_de_tarage!$I$4:$I$44,1)+1)),IFERROR(INDEX(Courbe_de_tarage!$D$4:$D$44,MATCH(K118+B118+B119,Courbe_de_tarage!$I$4:$I$44,1)),INDEX(Courbe_de_tarage!$D$4:$D$44,1))))</f>
        <v/>
      </c>
      <c r="E119" s="12">
        <f>IF(A119="","",IFERROR(FORECAST(K118+B118+B119,INDEX(Courbe_de_tarage!$E$4:$E$44,MATCH(K118+B118+B119,Courbe_de_tarage!$I$4:$I$44,1)):INDEX(Courbe_de_tarage!$E$4:$E$44,MATCH(K118+B118+B119,Courbe_de_tarage!$I$4:$I$44,1)+1),INDEX(Courbe_de_tarage!$I$4:$I$44,MATCH(K118+B118+B119,Courbe_de_tarage!$I$4:$I$44,1)):INDEX(Courbe_de_tarage!$I$4:$I$44,MATCH(K118+B118+B119,Courbe_de_tarage!$I$4:$I$44,1)+1)),IFERROR(INDEX(Courbe_de_tarage!$E$4:$E$44,MATCH(K118+B118+B119,Courbe_de_tarage!$I$4:$I$44,1)),INDEX(Courbe_de_tarage!$E$4:$E$44,1))))</f>
        <v/>
      </c>
      <c r="F119" s="12">
        <f>IF(A119="","",IFERROR(FORECAST(K118+B118+B119,INDEX(Courbe_de_tarage!$A$4:$A$44,MATCH(K118+B118+B119,Courbe_de_tarage!$I$4:$I$44,1)):INDEX(Courbe_de_tarage!$A$4:$A$44,MATCH(K118+B118+B119,Courbe_de_tarage!$I$4:$I$44,1)+1),INDEX(Courbe_de_tarage!$I$4:$I$44,MATCH(K118+B118+B119,Courbe_de_tarage!$I$4:$I$44,1)):INDEX(Courbe_de_tarage!$I$4:$I$44,MATCH(K118+B118+B119,Courbe_de_tarage!$I$4:$I$44,1)+1)),IFERROR(INDEX(Courbe_de_tarage!$A$4:$A$44,MATCH(K118+B118+B119,Courbe_de_tarage!$I$4:$I$44,1)),INDEX(Courbe_de_tarage!$A$4:$A$44,1))))</f>
        <v/>
      </c>
      <c r="G119" s="12">
        <f>IF(A119="","",Parametres!$C$9+F119)</f>
        <v/>
      </c>
      <c r="H119" s="12">
        <f>IF(A119="","",IFERROR(FORECAST(K118+B118+B119,INDEX(Courbe_de_tarage!$H$4:$H$44,MATCH(K118+B118+B119,Courbe_de_tarage!$I$4:$I$44,1)):INDEX(Courbe_de_tarage!$H$4:$H$44,MATCH(K118+B118+B119,Courbe_de_tarage!$I$4:$I$44,1)+1),INDEX(Courbe_de_tarage!$I$4:$I$44,MATCH(K118+B118+B119,Courbe_de_tarage!$I$4:$I$44,1)):INDEX(Courbe_de_tarage!$I$4:$I$44,MATCH(K118+B118+B119,Courbe_de_tarage!$I$4:$I$44,1)+1)),IFERROR(INDEX(Courbe_de_tarage!$H$4:$H$44,MATCH(K118+B118+B119,Courbe_de_tarage!$I$4:$I$44,1)),INDEX(Courbe_de_tarage!$H$4:$H$44,1))))</f>
        <v/>
      </c>
      <c r="I119" s="5">
        <f>IF(G119="","",IF(G119&gt;Parametres!$C$11,"OUI",""))</f>
        <v/>
      </c>
      <c r="J119" s="12">
        <f>IF(A119="","",K118+B118+B119)</f>
        <v/>
      </c>
      <c r="K119" s="12">
        <f>IF(A119="","",2*H119/(Hydrogramme_entree!$B$8*60)-E119)</f>
        <v/>
      </c>
    </row>
    <row r="120">
      <c r="A120" s="5">
        <f>Hydrogramme_entree!A132</f>
        <v/>
      </c>
      <c r="B120" s="12">
        <f>Hydrogramme_entree!B132</f>
        <v/>
      </c>
      <c r="C120" s="12">
        <f>IF(A120="","",IFERROR(FORECAST(K119+B119+B120,INDEX(Courbe_de_tarage!$C$4:$C$44,MATCH(K119+B119+B120,Courbe_de_tarage!$I$4:$I$44,1)):INDEX(Courbe_de_tarage!$C$4:$C$44,MATCH(K119+B119+B120,Courbe_de_tarage!$I$4:$I$44,1)+1),INDEX(Courbe_de_tarage!$I$4:$I$44,MATCH(K119+B119+B120,Courbe_de_tarage!$I$4:$I$44,1)):INDEX(Courbe_de_tarage!$I$4:$I$44,MATCH(K119+B119+B120,Courbe_de_tarage!$I$4:$I$44,1)+1)),IFERROR(INDEX(Courbe_de_tarage!$C$4:$C$44,MATCH(K119+B119+B120,Courbe_de_tarage!$I$4:$I$44,1)),INDEX(Courbe_de_tarage!$C$4:$C$44,1))))</f>
        <v/>
      </c>
      <c r="D120" s="12">
        <f>IF(A120="","",IFERROR(FORECAST(K119+B119+B120,INDEX(Courbe_de_tarage!$D$4:$D$44,MATCH(K119+B119+B120,Courbe_de_tarage!$I$4:$I$44,1)):INDEX(Courbe_de_tarage!$D$4:$D$44,MATCH(K119+B119+B120,Courbe_de_tarage!$I$4:$I$44,1)+1),INDEX(Courbe_de_tarage!$I$4:$I$44,MATCH(K119+B119+B120,Courbe_de_tarage!$I$4:$I$44,1)):INDEX(Courbe_de_tarage!$I$4:$I$44,MATCH(K119+B119+B120,Courbe_de_tarage!$I$4:$I$44,1)+1)),IFERROR(INDEX(Courbe_de_tarage!$D$4:$D$44,MATCH(K119+B119+B120,Courbe_de_tarage!$I$4:$I$44,1)),INDEX(Courbe_de_tarage!$D$4:$D$44,1))))</f>
        <v/>
      </c>
      <c r="E120" s="12">
        <f>IF(A120="","",IFERROR(FORECAST(K119+B119+B120,INDEX(Courbe_de_tarage!$E$4:$E$44,MATCH(K119+B119+B120,Courbe_de_tarage!$I$4:$I$44,1)):INDEX(Courbe_de_tarage!$E$4:$E$44,MATCH(K119+B119+B120,Courbe_de_tarage!$I$4:$I$44,1)+1),INDEX(Courbe_de_tarage!$I$4:$I$44,MATCH(K119+B119+B120,Courbe_de_tarage!$I$4:$I$44,1)):INDEX(Courbe_de_tarage!$I$4:$I$44,MATCH(K119+B119+B120,Courbe_de_tarage!$I$4:$I$44,1)+1)),IFERROR(INDEX(Courbe_de_tarage!$E$4:$E$44,MATCH(K119+B119+B120,Courbe_de_tarage!$I$4:$I$44,1)),INDEX(Courbe_de_tarage!$E$4:$E$44,1))))</f>
        <v/>
      </c>
      <c r="F120" s="12">
        <f>IF(A120="","",IFERROR(FORECAST(K119+B119+B120,INDEX(Courbe_de_tarage!$A$4:$A$44,MATCH(K119+B119+B120,Courbe_de_tarage!$I$4:$I$44,1)):INDEX(Courbe_de_tarage!$A$4:$A$44,MATCH(K119+B119+B120,Courbe_de_tarage!$I$4:$I$44,1)+1),INDEX(Courbe_de_tarage!$I$4:$I$44,MATCH(K119+B119+B120,Courbe_de_tarage!$I$4:$I$44,1)):INDEX(Courbe_de_tarage!$I$4:$I$44,MATCH(K119+B119+B120,Courbe_de_tarage!$I$4:$I$44,1)+1)),IFERROR(INDEX(Courbe_de_tarage!$A$4:$A$44,MATCH(K119+B119+B120,Courbe_de_tarage!$I$4:$I$44,1)),INDEX(Courbe_de_tarage!$A$4:$A$44,1))))</f>
        <v/>
      </c>
      <c r="G120" s="12">
        <f>IF(A120="","",Parametres!$C$9+F120)</f>
        <v/>
      </c>
      <c r="H120" s="12">
        <f>IF(A120="","",IFERROR(FORECAST(K119+B119+B120,INDEX(Courbe_de_tarage!$H$4:$H$44,MATCH(K119+B119+B120,Courbe_de_tarage!$I$4:$I$44,1)):INDEX(Courbe_de_tarage!$H$4:$H$44,MATCH(K119+B119+B120,Courbe_de_tarage!$I$4:$I$44,1)+1),INDEX(Courbe_de_tarage!$I$4:$I$44,MATCH(K119+B119+B120,Courbe_de_tarage!$I$4:$I$44,1)):INDEX(Courbe_de_tarage!$I$4:$I$44,MATCH(K119+B119+B120,Courbe_de_tarage!$I$4:$I$44,1)+1)),IFERROR(INDEX(Courbe_de_tarage!$H$4:$H$44,MATCH(K119+B119+B120,Courbe_de_tarage!$I$4:$I$44,1)),INDEX(Courbe_de_tarage!$H$4:$H$44,1))))</f>
        <v/>
      </c>
      <c r="I120" s="5">
        <f>IF(G120="","",IF(G120&gt;Parametres!$C$11,"OUI",""))</f>
        <v/>
      </c>
      <c r="J120" s="12">
        <f>IF(A120="","",K119+B119+B120)</f>
        <v/>
      </c>
      <c r="K120" s="12">
        <f>IF(A120="","",2*H120/(Hydrogramme_entree!$B$8*60)-E120)</f>
        <v/>
      </c>
    </row>
    <row r="121">
      <c r="A121" s="5">
        <f>Hydrogramme_entree!A133</f>
        <v/>
      </c>
      <c r="B121" s="12">
        <f>Hydrogramme_entree!B133</f>
        <v/>
      </c>
      <c r="C121" s="12">
        <f>IF(A121="","",IFERROR(FORECAST(K120+B120+B121,INDEX(Courbe_de_tarage!$C$4:$C$44,MATCH(K120+B120+B121,Courbe_de_tarage!$I$4:$I$44,1)):INDEX(Courbe_de_tarage!$C$4:$C$44,MATCH(K120+B120+B121,Courbe_de_tarage!$I$4:$I$44,1)+1),INDEX(Courbe_de_tarage!$I$4:$I$44,MATCH(K120+B120+B121,Courbe_de_tarage!$I$4:$I$44,1)):INDEX(Courbe_de_tarage!$I$4:$I$44,MATCH(K120+B120+B121,Courbe_de_tarage!$I$4:$I$44,1)+1)),IFERROR(INDEX(Courbe_de_tarage!$C$4:$C$44,MATCH(K120+B120+B121,Courbe_de_tarage!$I$4:$I$44,1)),INDEX(Courbe_de_tarage!$C$4:$C$44,1))))</f>
        <v/>
      </c>
      <c r="D121" s="12">
        <f>IF(A121="","",IFERROR(FORECAST(K120+B120+B121,INDEX(Courbe_de_tarage!$D$4:$D$44,MATCH(K120+B120+B121,Courbe_de_tarage!$I$4:$I$44,1)):INDEX(Courbe_de_tarage!$D$4:$D$44,MATCH(K120+B120+B121,Courbe_de_tarage!$I$4:$I$44,1)+1),INDEX(Courbe_de_tarage!$I$4:$I$44,MATCH(K120+B120+B121,Courbe_de_tarage!$I$4:$I$44,1)):INDEX(Courbe_de_tarage!$I$4:$I$44,MATCH(K120+B120+B121,Courbe_de_tarage!$I$4:$I$44,1)+1)),IFERROR(INDEX(Courbe_de_tarage!$D$4:$D$44,MATCH(K120+B120+B121,Courbe_de_tarage!$I$4:$I$44,1)),INDEX(Courbe_de_tarage!$D$4:$D$44,1))))</f>
        <v/>
      </c>
      <c r="E121" s="12">
        <f>IF(A121="","",IFERROR(FORECAST(K120+B120+B121,INDEX(Courbe_de_tarage!$E$4:$E$44,MATCH(K120+B120+B121,Courbe_de_tarage!$I$4:$I$44,1)):INDEX(Courbe_de_tarage!$E$4:$E$44,MATCH(K120+B120+B121,Courbe_de_tarage!$I$4:$I$44,1)+1),INDEX(Courbe_de_tarage!$I$4:$I$44,MATCH(K120+B120+B121,Courbe_de_tarage!$I$4:$I$44,1)):INDEX(Courbe_de_tarage!$I$4:$I$44,MATCH(K120+B120+B121,Courbe_de_tarage!$I$4:$I$44,1)+1)),IFERROR(INDEX(Courbe_de_tarage!$E$4:$E$44,MATCH(K120+B120+B121,Courbe_de_tarage!$I$4:$I$44,1)),INDEX(Courbe_de_tarage!$E$4:$E$44,1))))</f>
        <v/>
      </c>
      <c r="F121" s="12">
        <f>IF(A121="","",IFERROR(FORECAST(K120+B120+B121,INDEX(Courbe_de_tarage!$A$4:$A$44,MATCH(K120+B120+B121,Courbe_de_tarage!$I$4:$I$44,1)):INDEX(Courbe_de_tarage!$A$4:$A$44,MATCH(K120+B120+B121,Courbe_de_tarage!$I$4:$I$44,1)+1),INDEX(Courbe_de_tarage!$I$4:$I$44,MATCH(K120+B120+B121,Courbe_de_tarage!$I$4:$I$44,1)):INDEX(Courbe_de_tarage!$I$4:$I$44,MATCH(K120+B120+B121,Courbe_de_tarage!$I$4:$I$44,1)+1)),IFERROR(INDEX(Courbe_de_tarage!$A$4:$A$44,MATCH(K120+B120+B121,Courbe_de_tarage!$I$4:$I$44,1)),INDEX(Courbe_de_tarage!$A$4:$A$44,1))))</f>
        <v/>
      </c>
      <c r="G121" s="12">
        <f>IF(A121="","",Parametres!$C$9+F121)</f>
        <v/>
      </c>
      <c r="H121" s="12">
        <f>IF(A121="","",IFERROR(FORECAST(K120+B120+B121,INDEX(Courbe_de_tarage!$H$4:$H$44,MATCH(K120+B120+B121,Courbe_de_tarage!$I$4:$I$44,1)):INDEX(Courbe_de_tarage!$H$4:$H$44,MATCH(K120+B120+B121,Courbe_de_tarage!$I$4:$I$44,1)+1),INDEX(Courbe_de_tarage!$I$4:$I$44,MATCH(K120+B120+B121,Courbe_de_tarage!$I$4:$I$44,1)):INDEX(Courbe_de_tarage!$I$4:$I$44,MATCH(K120+B120+B121,Courbe_de_tarage!$I$4:$I$44,1)+1)),IFERROR(INDEX(Courbe_de_tarage!$H$4:$H$44,MATCH(K120+B120+B121,Courbe_de_tarage!$I$4:$I$44,1)),INDEX(Courbe_de_tarage!$H$4:$H$44,1))))</f>
        <v/>
      </c>
      <c r="I121" s="5">
        <f>IF(G121="","",IF(G121&gt;Parametres!$C$11,"OUI",""))</f>
        <v/>
      </c>
      <c r="J121" s="12">
        <f>IF(A121="","",K120+B120+B121)</f>
        <v/>
      </c>
      <c r="K121" s="12">
        <f>IF(A121="","",2*H121/(Hydrogramme_entree!$B$8*60)-E121)</f>
        <v/>
      </c>
    </row>
    <row r="122">
      <c r="A122" s="5">
        <f>Hydrogramme_entree!A134</f>
        <v/>
      </c>
      <c r="B122" s="12">
        <f>Hydrogramme_entree!B134</f>
        <v/>
      </c>
      <c r="C122" s="12">
        <f>IF(A122="","",IFERROR(FORECAST(K121+B121+B122,INDEX(Courbe_de_tarage!$C$4:$C$44,MATCH(K121+B121+B122,Courbe_de_tarage!$I$4:$I$44,1)):INDEX(Courbe_de_tarage!$C$4:$C$44,MATCH(K121+B121+B122,Courbe_de_tarage!$I$4:$I$44,1)+1),INDEX(Courbe_de_tarage!$I$4:$I$44,MATCH(K121+B121+B122,Courbe_de_tarage!$I$4:$I$44,1)):INDEX(Courbe_de_tarage!$I$4:$I$44,MATCH(K121+B121+B122,Courbe_de_tarage!$I$4:$I$44,1)+1)),IFERROR(INDEX(Courbe_de_tarage!$C$4:$C$44,MATCH(K121+B121+B122,Courbe_de_tarage!$I$4:$I$44,1)),INDEX(Courbe_de_tarage!$C$4:$C$44,1))))</f>
        <v/>
      </c>
      <c r="D122" s="12">
        <f>IF(A122="","",IFERROR(FORECAST(K121+B121+B122,INDEX(Courbe_de_tarage!$D$4:$D$44,MATCH(K121+B121+B122,Courbe_de_tarage!$I$4:$I$44,1)):INDEX(Courbe_de_tarage!$D$4:$D$44,MATCH(K121+B121+B122,Courbe_de_tarage!$I$4:$I$44,1)+1),INDEX(Courbe_de_tarage!$I$4:$I$44,MATCH(K121+B121+B122,Courbe_de_tarage!$I$4:$I$44,1)):INDEX(Courbe_de_tarage!$I$4:$I$44,MATCH(K121+B121+B122,Courbe_de_tarage!$I$4:$I$44,1)+1)),IFERROR(INDEX(Courbe_de_tarage!$D$4:$D$44,MATCH(K121+B121+B122,Courbe_de_tarage!$I$4:$I$44,1)),INDEX(Courbe_de_tarage!$D$4:$D$44,1))))</f>
        <v/>
      </c>
      <c r="E122" s="12">
        <f>IF(A122="","",IFERROR(FORECAST(K121+B121+B122,INDEX(Courbe_de_tarage!$E$4:$E$44,MATCH(K121+B121+B122,Courbe_de_tarage!$I$4:$I$44,1)):INDEX(Courbe_de_tarage!$E$4:$E$44,MATCH(K121+B121+B122,Courbe_de_tarage!$I$4:$I$44,1)+1),INDEX(Courbe_de_tarage!$I$4:$I$44,MATCH(K121+B121+B122,Courbe_de_tarage!$I$4:$I$44,1)):INDEX(Courbe_de_tarage!$I$4:$I$44,MATCH(K121+B121+B122,Courbe_de_tarage!$I$4:$I$44,1)+1)),IFERROR(INDEX(Courbe_de_tarage!$E$4:$E$44,MATCH(K121+B121+B122,Courbe_de_tarage!$I$4:$I$44,1)),INDEX(Courbe_de_tarage!$E$4:$E$44,1))))</f>
        <v/>
      </c>
      <c r="F122" s="12">
        <f>IF(A122="","",IFERROR(FORECAST(K121+B121+B122,INDEX(Courbe_de_tarage!$A$4:$A$44,MATCH(K121+B121+B122,Courbe_de_tarage!$I$4:$I$44,1)):INDEX(Courbe_de_tarage!$A$4:$A$44,MATCH(K121+B121+B122,Courbe_de_tarage!$I$4:$I$44,1)+1),INDEX(Courbe_de_tarage!$I$4:$I$44,MATCH(K121+B121+B122,Courbe_de_tarage!$I$4:$I$44,1)):INDEX(Courbe_de_tarage!$I$4:$I$44,MATCH(K121+B121+B122,Courbe_de_tarage!$I$4:$I$44,1)+1)),IFERROR(INDEX(Courbe_de_tarage!$A$4:$A$44,MATCH(K121+B121+B122,Courbe_de_tarage!$I$4:$I$44,1)),INDEX(Courbe_de_tarage!$A$4:$A$44,1))))</f>
        <v/>
      </c>
      <c r="G122" s="12">
        <f>IF(A122="","",Parametres!$C$9+F122)</f>
        <v/>
      </c>
      <c r="H122" s="12">
        <f>IF(A122="","",IFERROR(FORECAST(K121+B121+B122,INDEX(Courbe_de_tarage!$H$4:$H$44,MATCH(K121+B121+B122,Courbe_de_tarage!$I$4:$I$44,1)):INDEX(Courbe_de_tarage!$H$4:$H$44,MATCH(K121+B121+B122,Courbe_de_tarage!$I$4:$I$44,1)+1),INDEX(Courbe_de_tarage!$I$4:$I$44,MATCH(K121+B121+B122,Courbe_de_tarage!$I$4:$I$44,1)):INDEX(Courbe_de_tarage!$I$4:$I$44,MATCH(K121+B121+B122,Courbe_de_tarage!$I$4:$I$44,1)+1)),IFERROR(INDEX(Courbe_de_tarage!$H$4:$H$44,MATCH(K121+B121+B122,Courbe_de_tarage!$I$4:$I$44,1)),INDEX(Courbe_de_tarage!$H$4:$H$44,1))))</f>
        <v/>
      </c>
      <c r="I122" s="5">
        <f>IF(G122="","",IF(G122&gt;Parametres!$C$11,"OUI",""))</f>
        <v/>
      </c>
      <c r="J122" s="12">
        <f>IF(A122="","",K121+B121+B122)</f>
        <v/>
      </c>
      <c r="K122" s="12">
        <f>IF(A122="","",2*H122/(Hydrogramme_entree!$B$8*60)-E122)</f>
        <v/>
      </c>
    </row>
    <row r="123">
      <c r="A123" s="5">
        <f>Hydrogramme_entree!A135</f>
        <v/>
      </c>
      <c r="B123" s="12">
        <f>Hydrogramme_entree!B135</f>
        <v/>
      </c>
      <c r="C123" s="12">
        <f>IF(A123="","",IFERROR(FORECAST(K122+B122+B123,INDEX(Courbe_de_tarage!$C$4:$C$44,MATCH(K122+B122+B123,Courbe_de_tarage!$I$4:$I$44,1)):INDEX(Courbe_de_tarage!$C$4:$C$44,MATCH(K122+B122+B123,Courbe_de_tarage!$I$4:$I$44,1)+1),INDEX(Courbe_de_tarage!$I$4:$I$44,MATCH(K122+B122+B123,Courbe_de_tarage!$I$4:$I$44,1)):INDEX(Courbe_de_tarage!$I$4:$I$44,MATCH(K122+B122+B123,Courbe_de_tarage!$I$4:$I$44,1)+1)),IFERROR(INDEX(Courbe_de_tarage!$C$4:$C$44,MATCH(K122+B122+B123,Courbe_de_tarage!$I$4:$I$44,1)),INDEX(Courbe_de_tarage!$C$4:$C$44,1))))</f>
        <v/>
      </c>
      <c r="D123" s="12">
        <f>IF(A123="","",IFERROR(FORECAST(K122+B122+B123,INDEX(Courbe_de_tarage!$D$4:$D$44,MATCH(K122+B122+B123,Courbe_de_tarage!$I$4:$I$44,1)):INDEX(Courbe_de_tarage!$D$4:$D$44,MATCH(K122+B122+B123,Courbe_de_tarage!$I$4:$I$44,1)+1),INDEX(Courbe_de_tarage!$I$4:$I$44,MATCH(K122+B122+B123,Courbe_de_tarage!$I$4:$I$44,1)):INDEX(Courbe_de_tarage!$I$4:$I$44,MATCH(K122+B122+B123,Courbe_de_tarage!$I$4:$I$44,1)+1)),IFERROR(INDEX(Courbe_de_tarage!$D$4:$D$44,MATCH(K122+B122+B123,Courbe_de_tarage!$I$4:$I$44,1)),INDEX(Courbe_de_tarage!$D$4:$D$44,1))))</f>
        <v/>
      </c>
      <c r="E123" s="12">
        <f>IF(A123="","",IFERROR(FORECAST(K122+B122+B123,INDEX(Courbe_de_tarage!$E$4:$E$44,MATCH(K122+B122+B123,Courbe_de_tarage!$I$4:$I$44,1)):INDEX(Courbe_de_tarage!$E$4:$E$44,MATCH(K122+B122+B123,Courbe_de_tarage!$I$4:$I$44,1)+1),INDEX(Courbe_de_tarage!$I$4:$I$44,MATCH(K122+B122+B123,Courbe_de_tarage!$I$4:$I$44,1)):INDEX(Courbe_de_tarage!$I$4:$I$44,MATCH(K122+B122+B123,Courbe_de_tarage!$I$4:$I$44,1)+1)),IFERROR(INDEX(Courbe_de_tarage!$E$4:$E$44,MATCH(K122+B122+B123,Courbe_de_tarage!$I$4:$I$44,1)),INDEX(Courbe_de_tarage!$E$4:$E$44,1))))</f>
        <v/>
      </c>
      <c r="F123" s="12">
        <f>IF(A123="","",IFERROR(FORECAST(K122+B122+B123,INDEX(Courbe_de_tarage!$A$4:$A$44,MATCH(K122+B122+B123,Courbe_de_tarage!$I$4:$I$44,1)):INDEX(Courbe_de_tarage!$A$4:$A$44,MATCH(K122+B122+B123,Courbe_de_tarage!$I$4:$I$44,1)+1),INDEX(Courbe_de_tarage!$I$4:$I$44,MATCH(K122+B122+B123,Courbe_de_tarage!$I$4:$I$44,1)):INDEX(Courbe_de_tarage!$I$4:$I$44,MATCH(K122+B122+B123,Courbe_de_tarage!$I$4:$I$44,1)+1)),IFERROR(INDEX(Courbe_de_tarage!$A$4:$A$44,MATCH(K122+B122+B123,Courbe_de_tarage!$I$4:$I$44,1)),INDEX(Courbe_de_tarage!$A$4:$A$44,1))))</f>
        <v/>
      </c>
      <c r="G123" s="12">
        <f>IF(A123="","",Parametres!$C$9+F123)</f>
        <v/>
      </c>
      <c r="H123" s="12">
        <f>IF(A123="","",IFERROR(FORECAST(K122+B122+B123,INDEX(Courbe_de_tarage!$H$4:$H$44,MATCH(K122+B122+B123,Courbe_de_tarage!$I$4:$I$44,1)):INDEX(Courbe_de_tarage!$H$4:$H$44,MATCH(K122+B122+B123,Courbe_de_tarage!$I$4:$I$44,1)+1),INDEX(Courbe_de_tarage!$I$4:$I$44,MATCH(K122+B122+B123,Courbe_de_tarage!$I$4:$I$44,1)):INDEX(Courbe_de_tarage!$I$4:$I$44,MATCH(K122+B122+B123,Courbe_de_tarage!$I$4:$I$44,1)+1)),IFERROR(INDEX(Courbe_de_tarage!$H$4:$H$44,MATCH(K122+B122+B123,Courbe_de_tarage!$I$4:$I$44,1)),INDEX(Courbe_de_tarage!$H$4:$H$44,1))))</f>
        <v/>
      </c>
      <c r="I123" s="5">
        <f>IF(G123="","",IF(G123&gt;Parametres!$C$11,"OUI",""))</f>
        <v/>
      </c>
      <c r="J123" s="12">
        <f>IF(A123="","",K122+B122+B123)</f>
        <v/>
      </c>
      <c r="K123" s="12">
        <f>IF(A123="","",2*H123/(Hydrogramme_entree!$B$8*60)-E123)</f>
        <v/>
      </c>
    </row>
    <row r="124">
      <c r="A124" s="5">
        <f>Hydrogramme_entree!A136</f>
        <v/>
      </c>
      <c r="B124" s="12">
        <f>Hydrogramme_entree!B136</f>
        <v/>
      </c>
      <c r="C124" s="12">
        <f>IF(A124="","",IFERROR(FORECAST(K123+B123+B124,INDEX(Courbe_de_tarage!$C$4:$C$44,MATCH(K123+B123+B124,Courbe_de_tarage!$I$4:$I$44,1)):INDEX(Courbe_de_tarage!$C$4:$C$44,MATCH(K123+B123+B124,Courbe_de_tarage!$I$4:$I$44,1)+1),INDEX(Courbe_de_tarage!$I$4:$I$44,MATCH(K123+B123+B124,Courbe_de_tarage!$I$4:$I$44,1)):INDEX(Courbe_de_tarage!$I$4:$I$44,MATCH(K123+B123+B124,Courbe_de_tarage!$I$4:$I$44,1)+1)),IFERROR(INDEX(Courbe_de_tarage!$C$4:$C$44,MATCH(K123+B123+B124,Courbe_de_tarage!$I$4:$I$44,1)),INDEX(Courbe_de_tarage!$C$4:$C$44,1))))</f>
        <v/>
      </c>
      <c r="D124" s="12">
        <f>IF(A124="","",IFERROR(FORECAST(K123+B123+B124,INDEX(Courbe_de_tarage!$D$4:$D$44,MATCH(K123+B123+B124,Courbe_de_tarage!$I$4:$I$44,1)):INDEX(Courbe_de_tarage!$D$4:$D$44,MATCH(K123+B123+B124,Courbe_de_tarage!$I$4:$I$44,1)+1),INDEX(Courbe_de_tarage!$I$4:$I$44,MATCH(K123+B123+B124,Courbe_de_tarage!$I$4:$I$44,1)):INDEX(Courbe_de_tarage!$I$4:$I$44,MATCH(K123+B123+B124,Courbe_de_tarage!$I$4:$I$44,1)+1)),IFERROR(INDEX(Courbe_de_tarage!$D$4:$D$44,MATCH(K123+B123+B124,Courbe_de_tarage!$I$4:$I$44,1)),INDEX(Courbe_de_tarage!$D$4:$D$44,1))))</f>
        <v/>
      </c>
      <c r="E124" s="12">
        <f>IF(A124="","",IFERROR(FORECAST(K123+B123+B124,INDEX(Courbe_de_tarage!$E$4:$E$44,MATCH(K123+B123+B124,Courbe_de_tarage!$I$4:$I$44,1)):INDEX(Courbe_de_tarage!$E$4:$E$44,MATCH(K123+B123+B124,Courbe_de_tarage!$I$4:$I$44,1)+1),INDEX(Courbe_de_tarage!$I$4:$I$44,MATCH(K123+B123+B124,Courbe_de_tarage!$I$4:$I$44,1)):INDEX(Courbe_de_tarage!$I$4:$I$44,MATCH(K123+B123+B124,Courbe_de_tarage!$I$4:$I$44,1)+1)),IFERROR(INDEX(Courbe_de_tarage!$E$4:$E$44,MATCH(K123+B123+B124,Courbe_de_tarage!$I$4:$I$44,1)),INDEX(Courbe_de_tarage!$E$4:$E$44,1))))</f>
        <v/>
      </c>
      <c r="F124" s="12">
        <f>IF(A124="","",IFERROR(FORECAST(K123+B123+B124,INDEX(Courbe_de_tarage!$A$4:$A$44,MATCH(K123+B123+B124,Courbe_de_tarage!$I$4:$I$44,1)):INDEX(Courbe_de_tarage!$A$4:$A$44,MATCH(K123+B123+B124,Courbe_de_tarage!$I$4:$I$44,1)+1),INDEX(Courbe_de_tarage!$I$4:$I$44,MATCH(K123+B123+B124,Courbe_de_tarage!$I$4:$I$44,1)):INDEX(Courbe_de_tarage!$I$4:$I$44,MATCH(K123+B123+B124,Courbe_de_tarage!$I$4:$I$44,1)+1)),IFERROR(INDEX(Courbe_de_tarage!$A$4:$A$44,MATCH(K123+B123+B124,Courbe_de_tarage!$I$4:$I$44,1)),INDEX(Courbe_de_tarage!$A$4:$A$44,1))))</f>
        <v/>
      </c>
      <c r="G124" s="12">
        <f>IF(A124="","",Parametres!$C$9+F124)</f>
        <v/>
      </c>
      <c r="H124" s="12">
        <f>IF(A124="","",IFERROR(FORECAST(K123+B123+B124,INDEX(Courbe_de_tarage!$H$4:$H$44,MATCH(K123+B123+B124,Courbe_de_tarage!$I$4:$I$44,1)):INDEX(Courbe_de_tarage!$H$4:$H$44,MATCH(K123+B123+B124,Courbe_de_tarage!$I$4:$I$44,1)+1),INDEX(Courbe_de_tarage!$I$4:$I$44,MATCH(K123+B123+B124,Courbe_de_tarage!$I$4:$I$44,1)):INDEX(Courbe_de_tarage!$I$4:$I$44,MATCH(K123+B123+B124,Courbe_de_tarage!$I$4:$I$44,1)+1)),IFERROR(INDEX(Courbe_de_tarage!$H$4:$H$44,MATCH(K123+B123+B124,Courbe_de_tarage!$I$4:$I$44,1)),INDEX(Courbe_de_tarage!$H$4:$H$44,1))))</f>
        <v/>
      </c>
      <c r="I124" s="5">
        <f>IF(G124="","",IF(G124&gt;Parametres!$C$11,"OUI",""))</f>
        <v/>
      </c>
      <c r="J124" s="12">
        <f>IF(A124="","",K123+B123+B124)</f>
        <v/>
      </c>
      <c r="K124" s="12">
        <f>IF(A124="","",2*H124/(Hydrogramme_entree!$B$8*60)-E124)</f>
        <v/>
      </c>
    </row>
    <row r="125"/>
    <row r="126">
      <c r="A126" s="19" t="inlineStr">
        <is>
          <t>Résumé (live)</t>
        </is>
      </c>
    </row>
    <row r="127">
      <c r="A127" t="inlineStr">
        <is>
          <t>WSE max (élévation)</t>
        </is>
      </c>
      <c r="B127" s="20">
        <f>MAX(G5:G124)</f>
        <v/>
      </c>
      <c r="C127" t="inlineStr">
        <is>
          <t>m  ← comparer à 37.4 m</t>
        </is>
      </c>
    </row>
    <row r="128">
      <c r="A128" t="inlineStr">
        <is>
          <t>HW max (profondeur)</t>
        </is>
      </c>
      <c r="B128">
        <f>MAX(F5:F124)</f>
        <v/>
      </c>
      <c r="C128" t="inlineStr">
        <is>
          <t>m  ← au-dessus de l'invert (≈ WSE−35.36)</t>
        </is>
      </c>
    </row>
    <row r="129">
      <c r="A129" t="inlineStr">
        <is>
          <t>S max</t>
        </is>
      </c>
      <c r="B129">
        <f>MAX(H5:H124)</f>
        <v/>
      </c>
      <c r="C129" t="inlineStr">
        <is>
          <t>m³</t>
        </is>
      </c>
    </row>
    <row r="130">
      <c r="A130" t="inlineStr">
        <is>
          <t>Q_in max</t>
        </is>
      </c>
      <c r="B130">
        <f>MAX(B5:B124)</f>
        <v/>
      </c>
    </row>
    <row r="131">
      <c r="A131" t="inlineStr">
        <is>
          <t>Réf. Python au build</t>
        </is>
      </c>
      <c r="B131" t="n">
        <v>37.122</v>
      </c>
      <c r="C131" t="inlineStr">
        <is>
          <t>m WSE (validation optionnelle)</t>
        </is>
      </c>
    </row>
  </sheetData>
  <mergeCells count="2">
    <mergeCell ref="A2:K2"/>
    <mergeCell ref="A3:K3"/>
  </mergeCells>
  <conditionalFormatting sqref="A5:K124">
    <cfRule type="expression" priority="1" dxfId="1">
      <formula>AND($A5&lt;&gt;"",$G5=MAX($G$5:$G$124))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Chicago vs Triangle — et comment c'est construit</t>
        </is>
      </c>
    </row>
    <row r="2">
      <c r="A2" t="inlineStr"/>
    </row>
    <row r="3">
      <c r="A3">
        <f>== MÉTHODE CHICAGO (Keifer–Chu) — défaut du classeur ===</f>
        <v/>
      </c>
    </row>
    <row r="4">
      <c r="A4" t="inlineStr">
        <is>
          <t>1) IDF: intensité moyenne ī(td) = a / (td + b)^c   (td en minutes, ī en mm/h)</t>
        </is>
      </c>
    </row>
    <row r="5">
      <c r="A5" t="inlineStr">
        <is>
          <t>2) Hyétogramme: intensité INSTANTANÉE i(t) avant/après le pic tp = r*Td</t>
        </is>
      </c>
    </row>
    <row r="6">
      <c r="A6" t="inlineStr">
        <is>
          <t xml:space="preserve">   Avant pic (tb = tp − t):  i = a * [(1−c)*(tb/r) + b] / (tb/r + b)^(c+1)</t>
        </is>
      </c>
    </row>
    <row r="7">
      <c r="A7" t="inlineStr">
        <is>
          <t xml:space="preserve">   Après pic (ta = t − tp):  i = a * [(1−c)*(ta/(1−r)) + b] / (ta/(1−r) + b)^(c+1)</t>
        </is>
      </c>
    </row>
    <row r="8">
      <c r="A8" t="inlineStr">
        <is>
          <t>3) Pic d'intensité: i_max = a / b^c</t>
        </is>
      </c>
    </row>
    <row r="9">
      <c r="A9" t="inlineStr">
        <is>
          <t>4) Hydrogramme calé sur un débit donné:  Q(t) = Q_pointe * i(t) / i_max</t>
        </is>
      </c>
    </row>
    <row r="10">
      <c r="A10" t="inlineStr">
        <is>
          <t xml:space="preserve">   → pour Q_pointe = 10 m³/s, le maximum de Q_in est exactement 10.</t>
        </is>
      </c>
    </row>
    <row r="11">
      <c r="A11" t="inlineStr"/>
    </row>
    <row r="12">
      <c r="A12" t="inlineStr">
        <is>
          <t>Durée Td = 60 min (choix pour ce ponceau + fossé):</t>
        </is>
      </c>
    </row>
    <row r="13">
      <c r="A13" t="inlineStr">
        <is>
          <t xml:space="preserve">  - temps de parcours dans le tuyau (L=50.9 m) ≈ quelques minutes</t>
        </is>
      </c>
    </row>
    <row r="14">
      <c r="A14" t="inlineStr">
        <is>
          <t xml:space="preserve">  - Tc typique petit bassin urbain/industriel ≈ 10–20 min</t>
        </is>
      </c>
    </row>
    <row r="15">
      <c r="A15" t="inlineStr">
        <is>
          <t xml:space="preserve">  - règle pratique: Td ≥ ~2–3 × Tc → 60 min est adéquat (120 min si bassin plus grand)</t>
        </is>
      </c>
    </row>
    <row r="16">
      <c r="A16" t="inlineStr"/>
    </row>
    <row r="17">
      <c r="A17" t="inlineStr">
        <is>
          <t>Coeffs a,b,c: remplacer par ceux de VOTRE courbe IDF (période de retour du projet).</t>
        </is>
      </c>
    </row>
    <row r="18">
      <c r="A18" t="inlineStr">
        <is>
          <t>La forme de Q(t) dépend surtout de b, c, r, Td ; a s'annule dans i/i_max.</t>
        </is>
      </c>
    </row>
    <row r="19">
      <c r="A19" t="inlineStr"/>
    </row>
    <row r="20">
      <c r="A20">
        <f>== TRIANGLE (option) ===</f>
        <v/>
      </c>
    </row>
    <row r="21">
      <c r="A21" t="inlineStr">
        <is>
          <t>Mettre B3 = Triangle. Qin = montée/descente linéaires (B6, B7).</t>
        </is>
      </c>
    </row>
    <row r="22">
      <c r="A22" t="inlineStr"/>
    </row>
    <row r="23">
      <c r="A23" t="inlineStr">
        <is>
          <t>Routing: feuille Routing_stockage lit la colonne Q_in (inchangée).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>
      <c r="A1" s="21" t="inlineStr">
        <is>
          <t>Comparaison modes (instantané Python au build — pédagogique)</t>
        </is>
      </c>
    </row>
    <row r="2">
      <c r="A2" s="2" t="inlineStr">
        <is>
          <t>Mode du modèle principal: Parametres!C17 (LIVE). Ce tableau compare les 3 modes à Q fixe au dernier build_excel.py.</t>
        </is>
      </c>
    </row>
    <row r="3">
      <c r="A3" t="inlineStr">
        <is>
          <t>Q comparaison (build)</t>
        </is>
      </c>
      <c r="B3" t="n">
        <v>10</v>
      </c>
    </row>
    <row r="4"/>
    <row r="5">
      <c r="A5" s="3" t="inlineStr">
        <is>
          <t>Mode</t>
        </is>
      </c>
      <c r="B5" s="3" t="inlineStr">
        <is>
          <t>Signification</t>
        </is>
      </c>
      <c r="C5" s="3" t="inlineStr">
        <is>
          <t>WSE (m)</t>
        </is>
      </c>
      <c r="D5" s="3" t="inlineStr">
        <is>
          <t>Q_pipe</t>
        </is>
      </c>
      <c r="E5" s="3" t="inlineStr">
        <is>
          <t>Q_overflow</t>
        </is>
      </c>
      <c r="F5" s="3" t="inlineStr">
        <is>
          <t>Q_total</t>
        </is>
      </c>
      <c r="G5" s="3" t="inlineStr">
        <is>
          <t>Sous max?</t>
        </is>
      </c>
    </row>
    <row r="6">
      <c r="A6" s="22" t="inlineStr">
        <is>
          <t>porous</t>
        </is>
      </c>
      <c r="B6" s="22" t="inlineStr">
        <is>
          <t>Seulement pores du remblai — faible débit</t>
        </is>
      </c>
      <c r="C6" s="22" t="n">
        <v>37.4</v>
      </c>
      <c r="D6" s="22" t="n">
        <v>4.422</v>
      </c>
      <c r="E6" s="22" t="n">
        <v>0.16</v>
      </c>
      <c r="F6" s="22" t="n">
        <v>4.582</v>
      </c>
      <c r="G6" s="22" t="inlineStr">
        <is>
          <t>Non / limite</t>
        </is>
      </c>
    </row>
    <row r="7">
      <c r="A7" s="11" t="inlineStr">
        <is>
          <t>surface</t>
        </is>
      </c>
      <c r="B7" s="11" t="inlineStr">
        <is>
          <t>Manning fossé — DÉFAUT</t>
        </is>
      </c>
      <c r="C7" s="11" t="n">
        <v>37.229</v>
      </c>
      <c r="D7" s="11" t="n">
        <v>4.291</v>
      </c>
      <c r="E7" s="11" t="n">
        <v>5.709</v>
      </c>
      <c r="F7" s="11" t="n">
        <v>10</v>
      </c>
      <c r="G7" s="11" t="inlineStr">
        <is>
          <t>Oui</t>
        </is>
      </c>
    </row>
    <row r="8">
      <c r="A8" s="22" t="inlineStr">
        <is>
          <t>both</t>
        </is>
      </c>
      <c r="B8" s="22" t="inlineStr">
        <is>
          <t>Poreux + surface</t>
        </is>
      </c>
      <c r="C8" s="22" t="n">
        <v>37.4</v>
      </c>
      <c r="D8" s="22" t="n">
        <v>4.422</v>
      </c>
      <c r="E8" s="22" t="n">
        <v>0.16</v>
      </c>
      <c r="F8" s="22" t="n">
        <v>4.582</v>
      </c>
      <c r="G8" s="22" t="inlineStr">
        <is>
          <t>Non / limite</t>
        </is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2026-08-21T11:24:23Z</dcterms:created>
  <dcterms:modified xsi:type="dcterms:W3CDTF">2026-08-21T11:24:23Z</dcterms:modified>
</cp:coreProperties>
</file>