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Couches" sheetId="2" state="visible" r:id="rId2"/>
    <sheet name="Scenarios" sheetId="3" state="visible" r:id="rId3"/>
    <sheet name="Methode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B5E4B"/>
      <sz val="14"/>
    </font>
    <font>
      <b val="1"/>
    </font>
    <font>
      <b val="1"/>
      <color rgb="001B5E4B"/>
      <sz val="12"/>
    </font>
    <font>
      <b val="1"/>
      <color rgb="00FFFFFF"/>
    </font>
    <font>
      <b val="1"/>
      <color rgb="001B5E4B"/>
      <sz val="13"/>
    </font>
  </fonts>
  <fills count="7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1B5E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" fontId="0" fillId="2" borderId="1" pivotButton="0" quotePrefix="0" xfId="0"/>
    <xf numFmtId="2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0" fontId="3" fillId="0" borderId="0" pivotButton="0" quotePrefix="0" xfId="0"/>
    <xf numFmtId="2" fontId="0" fillId="3" borderId="1" pivotButton="0" quotePrefix="0" xfId="0"/>
    <xf numFmtId="165" fontId="0" fillId="4" borderId="1" pivotButton="0" quotePrefix="0" xfId="0"/>
    <xf numFmtId="164" fontId="0" fillId="3" borderId="1" pivotButton="0" quotePrefix="0" xfId="0"/>
    <xf numFmtId="0" fontId="0" fillId="5" borderId="1" pivotButton="0" quotePrefix="0" xfId="0"/>
    <xf numFmtId="0" fontId="4" fillId="6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Stockage par couche (m3)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'Couches'!D4</f>
            </strRef>
          </tx>
          <spPr>
            <a:ln>
              <a:prstDash val="solid"/>
            </a:ln>
          </spPr>
          <cat>
            <numRef>
              <f>'Couches'!$A$5:$A$8</f>
            </numRef>
          </cat>
          <val>
            <numRef>
              <f>'Couches'!$D$5:$D$8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BIO-RÉTENTION — Dimensionnement v1 (formules Excel)</t>
        </is>
      </c>
    </row>
    <row r="2">
      <c r="A2" s="2" t="inlineStr">
        <is>
          <t>But: estimer la surface filtrante Af et vérifier la vidange pour un volume de captage (qualité d'eau / petite pluie). Jaune = entrées. Vert = résultats. Adapter aux exigences municipales + CSA W200.</t>
        </is>
      </c>
    </row>
    <row r="3"/>
    <row r="5">
      <c r="A5" s="3" t="inlineStr">
        <is>
          <t>1) Bassin versant (jaune)</t>
        </is>
      </c>
    </row>
    <row r="6">
      <c r="A6" t="inlineStr">
        <is>
          <t>Aire drainée Ad (m2)</t>
        </is>
      </c>
      <c r="B6" s="4" t="n">
        <v>2500</v>
      </c>
    </row>
    <row r="7">
      <c r="A7" t="inlineStr">
        <is>
          <t>Coefficient de ruissellement C (-)</t>
        </is>
      </c>
      <c r="B7" s="5" t="n">
        <v>0.7</v>
      </c>
    </row>
    <row r="8">
      <c r="A8" t="inlineStr">
        <is>
          <t>Profondeur de pluie de captage Rd (mm)</t>
        </is>
      </c>
      <c r="B8" s="6" t="n">
        <v>25</v>
      </c>
      <c r="C8" t="inlineStr">
        <is>
          <t>Souvent 25 mm (première chasse / WQ) — confirmer ville</t>
        </is>
      </c>
    </row>
    <row r="9">
      <c r="A9" t="inlineStr">
        <is>
          <t>Facteur de captage η (-)</t>
        </is>
      </c>
      <c r="B9" s="5" t="n">
        <v>0.9</v>
      </c>
      <c r="C9" t="inlineStr">
        <is>
          <t>Fraction du volume théorique réellement ciblée (0.8–1.0)</t>
        </is>
      </c>
    </row>
    <row r="11">
      <c r="A11" s="3" t="inlineStr">
        <is>
          <t>2) Géométrie &amp; sols (jaune)</t>
        </is>
      </c>
    </row>
    <row r="12">
      <c r="A12" t="inlineStr">
        <is>
          <t>Profondeur d'ennoiement max dp (m)</t>
        </is>
      </c>
      <c r="B12" s="5" t="n">
        <v>0.3</v>
      </c>
    </row>
    <row r="13">
      <c r="A13" t="inlineStr">
        <is>
          <t>Profondeur média filtrant df (m)</t>
        </is>
      </c>
      <c r="B13" s="5" t="n">
        <v>0.6</v>
      </c>
      <c r="C13" t="inlineStr">
        <is>
          <t>0.30 pelouse/toit · 0.60 arbustes · 1.00 arbres (STEP typique)</t>
        </is>
      </c>
    </row>
    <row r="14">
      <c r="A14" t="inlineStr">
        <is>
          <t>Porosité effective média nf (-)</t>
        </is>
      </c>
      <c r="B14" s="5" t="n">
        <v>0.35</v>
      </c>
    </row>
    <row r="15">
      <c r="A15" t="inlineStr">
        <is>
          <t>Profondeur réservoir/gravier dr (m)</t>
        </is>
      </c>
      <c r="B15" s="5" t="n">
        <v>0.3</v>
      </c>
    </row>
    <row r="16">
      <c r="A16" t="inlineStr">
        <is>
          <t>Porosité effective réservoir nr (-)</t>
        </is>
      </c>
      <c r="B16" s="5" t="n">
        <v>0.4</v>
      </c>
    </row>
    <row r="17">
      <c r="A17" t="inlineStr">
        <is>
          <t>Profondeur mulch dm (m)</t>
        </is>
      </c>
      <c r="B17" s="7" t="n">
        <v>0.075</v>
      </c>
    </row>
    <row r="18">
      <c r="A18" t="inlineStr">
        <is>
          <t>Porosité mulch nm (-)</t>
        </is>
      </c>
      <c r="B18" s="5" t="n">
        <v>0.2</v>
      </c>
    </row>
    <row r="19">
      <c r="A19" t="inlineStr">
        <is>
          <t>Taux d'infiltration de conception f' (mm/h)</t>
        </is>
      </c>
      <c r="B19" s="6" t="n">
        <v>25</v>
      </c>
      <c r="C19" t="inlineStr">
        <is>
          <t>f' de conception (facteur de sécurité sur essai in situ)</t>
        </is>
      </c>
    </row>
    <row r="20">
      <c r="A20" t="inlineStr">
        <is>
          <t>Temps de vidange max admis t_max (h)</t>
        </is>
      </c>
      <c r="B20" s="4" t="n">
        <v>48</v>
      </c>
    </row>
    <row r="21">
      <c r="A21" t="inlineStr">
        <is>
          <t>Sous-drain présent? (1=oui, 0=non)</t>
        </is>
      </c>
      <c r="B21" s="4" t="n">
        <v>1</v>
      </c>
      <c r="C21" t="inlineStr">
        <is>
          <t>1 = underdrain (dr compte dans ds; tp = ennoiement). 0 = infiltration seule (dr exclu; tp = profil)</t>
        </is>
      </c>
    </row>
    <row r="23">
      <c r="A23" s="8" t="inlineStr">
        <is>
          <t>3) Résultats (formules live — dépendent de B21)</t>
        </is>
      </c>
    </row>
    <row r="24">
      <c r="A24" t="inlineStr">
        <is>
          <t>Volume de captage Vcap (m3)</t>
        </is>
      </c>
      <c r="B24" s="9">
        <f>B9*B7*(B8/1000)*B6</f>
        <v/>
      </c>
      <c r="C24" t="inlineStr">
        <is>
          <t>Vcap = η × C × (Rd/1000) × Ad  (indépendant de B21)</t>
        </is>
      </c>
    </row>
    <row r="25">
      <c r="A25" t="inlineStr">
        <is>
          <t>Profondeur de stockage effective ds (m)</t>
        </is>
      </c>
      <c r="B25" s="10">
        <f>IF(B21=1,B12+B17*B18+B13*B14+B15*B16,B12+B17*B18+B13*B14)</f>
        <v/>
      </c>
      <c r="C25" t="inlineStr">
        <is>
          <t>B21=1: ds=dp+dm·nm+df·nf+dr·nr · B21=0: sans dr·nr (pas de crédit réservoir drainé)</t>
        </is>
      </c>
    </row>
    <row r="26">
      <c r="A26" t="inlineStr">
        <is>
          <t>Surface filtrante requise Af (m2)</t>
        </is>
      </c>
      <c r="B26" s="11">
        <f>IF(B25&lt;=0,"ds=0",B24/B25)</f>
        <v/>
      </c>
      <c r="C26" t="inlineStr">
        <is>
          <t>Af = Vcap / ds  → augmente si B21=0 (ds plus petit)</t>
        </is>
      </c>
    </row>
    <row r="27">
      <c r="A27" t="inlineStr">
        <is>
          <t>Ratio Af / Ad (%)</t>
        </is>
      </c>
      <c r="B27" s="11">
        <f>IF(B6&lt;=0,0,100*B26/B6)</f>
        <v/>
      </c>
      <c r="C27" t="inlineStr">
        <is>
          <t>Ordre de grandeur typique souvent 5–20 % selon Rd et C</t>
        </is>
      </c>
    </row>
    <row r="28">
      <c r="A28" t="inlineStr">
        <is>
          <t>Temps de vidange gouvernant t_vid (h)</t>
        </is>
      </c>
      <c r="B28" s="11">
        <f>IF(B19&lt;=0,"f'=0",IF(B21=1,B12/(B19/1000),(B12+B13*B14)/(B19/1000)))</f>
        <v/>
      </c>
      <c r="C28" t="inlineStr">
        <is>
          <t>B21=1: t=dp/(f'/1000) · B21=0: t=(dp+df·nf)/(f'/1000) infiltration seule</t>
        </is>
      </c>
    </row>
    <row r="29">
      <c r="A29" t="inlineStr">
        <is>
          <t>Temps média (+gravier si drain) tm (h)</t>
        </is>
      </c>
      <c r="B29" s="11">
        <f>IF(B19&lt;=0,"f'=0",(B13*B14+IF(B21=1,B15*B16,0))/(B19/1000))</f>
        <v/>
      </c>
      <c r="C29" t="inlineStr">
        <is>
          <t>(df·nf + B21·dr·nr) / (f'/1000)</t>
        </is>
      </c>
    </row>
    <row r="30">
      <c r="A30" t="inlineStr">
        <is>
          <t>Mode hydraulique</t>
        </is>
      </c>
      <c r="B30" s="12">
        <f>IF(B21=1,"Avec sous-drain (SWMM Drain coeff &gt; 0)","Sans sous-drain (SWMM Drain coeff = 0)")</f>
        <v/>
      </c>
    </row>
    <row r="31">
      <c r="A31" t="inlineStr">
        <is>
          <t>Vidange OK vs t_max?</t>
        </is>
      </c>
      <c r="B31" s="12">
        <f>IF(OR(B28="f'=0",B28=""),"",IF(B28&lt;=B20,"OUI — t_vid ≤ t_max","NON — ↑Af, ↓dp, ↑f' ou ajouter drain"))</f>
        <v/>
      </c>
    </row>
    <row r="32">
      <c r="A32" t="inlineStr">
        <is>
          <t>Longueur indicative L si largeur = 3 m</t>
        </is>
      </c>
      <c r="B32" s="6" t="n">
        <v>3</v>
      </c>
    </row>
    <row r="33">
      <c r="A33" t="inlineStr">
        <is>
          <t>Longueur L (m) pour largeur B32</t>
        </is>
      </c>
      <c r="B33" s="11">
        <f>IF(B32&lt;=0,"",B26/B32)</f>
        <v/>
      </c>
    </row>
    <row r="35">
      <c r="A35" s="3" t="inlineStr">
        <is>
          <t>Message produit</t>
        </is>
      </c>
    </row>
    <row r="36">
      <c r="A36" s="2" t="inlineStr">
        <is>
          <t>Livrable: Af + Vcap + t_vid. B21 change ds/Af/t_vid. Pas un design final CSA W200 — valider f', plantation, prétraitement, trop-plein, municipalité.</t>
        </is>
      </c>
    </row>
    <row r="37"/>
  </sheetData>
  <mergeCells count="3">
    <mergeCell ref="A2:F3"/>
    <mergeCell ref="A1:F1"/>
    <mergeCell ref="A36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8" customWidth="1" min="5" max="5"/>
  </cols>
  <sheetData>
    <row r="1">
      <c r="A1" s="8" t="inlineStr">
        <is>
          <t>Profil de couches — volumes pour Af calculée</t>
        </is>
      </c>
    </row>
    <row r="2">
      <c r="A2" s="2" t="inlineStr">
        <is>
          <t>Af = Parametres!B26. Stockage = Af × profondeur × porosité. Gravier crédité seulement si Parametres!B21=1 (sous-drain).</t>
        </is>
      </c>
    </row>
    <row r="3"/>
    <row r="4">
      <c r="A4" s="13" t="inlineStr">
        <is>
          <t>Couche</t>
        </is>
      </c>
      <c r="B4" s="13" t="inlineStr">
        <is>
          <t>Profondeur (m)</t>
        </is>
      </c>
      <c r="C4" s="13" t="inlineStr">
        <is>
          <t>Porosité n</t>
        </is>
      </c>
      <c r="D4" s="13" t="inlineStr">
        <is>
          <t>Stockage (m3)</t>
        </is>
      </c>
      <c r="E4" s="13" t="inlineStr">
        <is>
          <t>Volume solide+vide (m3)</t>
        </is>
      </c>
    </row>
    <row r="5">
      <c r="A5" t="inlineStr">
        <is>
          <t>Ennoiement (ponding)</t>
        </is>
      </c>
      <c r="B5" s="10">
        <f>Parametres!B12</f>
        <v/>
      </c>
      <c r="C5" s="14" t="n">
        <v>1</v>
      </c>
      <c r="D5" s="9">
        <f>Parametres!$B$26*B5*C5</f>
        <v/>
      </c>
      <c r="E5" s="9">
        <f>Parametres!$B$26*B5</f>
        <v/>
      </c>
    </row>
    <row r="6">
      <c r="A6" t="inlineStr">
        <is>
          <t>Mulch</t>
        </is>
      </c>
      <c r="B6" s="10">
        <f>Parametres!B17</f>
        <v/>
      </c>
      <c r="C6" s="14">
        <f>Parametres!B18</f>
        <v/>
      </c>
      <c r="D6" s="9">
        <f>Parametres!$B$26*B6*C6</f>
        <v/>
      </c>
      <c r="E6" s="9">
        <f>Parametres!$B$26*B6</f>
        <v/>
      </c>
    </row>
    <row r="7">
      <c r="A7" t="inlineStr">
        <is>
          <t>Média filtrant</t>
        </is>
      </c>
      <c r="B7" s="10">
        <f>Parametres!B13</f>
        <v/>
      </c>
      <c r="C7" s="14">
        <f>Parametres!B14</f>
        <v/>
      </c>
      <c r="D7" s="9">
        <f>Parametres!$B$26*B7*C7</f>
        <v/>
      </c>
      <c r="E7" s="9">
        <f>Parametres!$B$26*B7</f>
        <v/>
      </c>
    </row>
    <row r="8">
      <c r="A8" t="inlineStr">
        <is>
          <t>Réservoir / gravier (×B21)</t>
        </is>
      </c>
      <c r="B8" s="10">
        <f>Parametres!B15</f>
        <v/>
      </c>
      <c r="C8" s="14">
        <f>Parametres!B16</f>
        <v/>
      </c>
      <c r="D8" s="9">
        <f>Parametres!$B$21*Parametres!$B$26*B8*C8</f>
        <v/>
      </c>
      <c r="E8" s="9">
        <f>Parametres!$B$21*Parametres!$B$26*B8</f>
        <v/>
      </c>
    </row>
    <row r="10">
      <c r="A10" t="inlineStr">
        <is>
          <t>Stockage total crédité (m3)</t>
        </is>
      </c>
      <c r="B10" s="9">
        <f>SUM(D5:D8)</f>
        <v/>
      </c>
    </row>
    <row r="11">
      <c r="A11" t="inlineStr">
        <is>
          <t>Écart vs Vcap (m3)</t>
        </is>
      </c>
      <c r="B11" s="9">
        <f>B10-Parametres!B24</f>
        <v/>
      </c>
      <c r="C11" t="inlineStr">
        <is>
          <t>≈ 0 si Af = Vcap/ds (gravier exclu quand B21=0)</t>
        </is>
      </c>
    </row>
  </sheetData>
  <mergeCells count="1">
    <mergeCell ref="A2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8" t="inlineStr">
        <is>
          <t>Scénarios rapides — même bassin, Rd variable</t>
        </is>
      </c>
    </row>
    <row r="2">
      <c r="A2" t="inlineStr">
        <is>
          <t>Utile pour montrer au client: 15 / 25 / 40 mm. Les colonnes C–E sont des formules basées sur Parametres (même C, Ad, ds, f').</t>
        </is>
      </c>
    </row>
    <row r="3"/>
    <row r="5">
      <c r="A5" s="13" t="inlineStr">
        <is>
          <t>Rd (mm)</t>
        </is>
      </c>
      <c r="B5" s="13" t="inlineStr">
        <is>
          <t>Vcap (m3)</t>
        </is>
      </c>
      <c r="C5" s="13" t="inlineStr">
        <is>
          <t>Af (m2)</t>
        </is>
      </c>
      <c r="D5" s="13" t="inlineStr">
        <is>
          <t>t_vid (h)</t>
        </is>
      </c>
      <c r="E5" s="13" t="inlineStr">
        <is>
          <t>Vidange OK?</t>
        </is>
      </c>
    </row>
    <row r="6">
      <c r="A6" s="6" t="n">
        <v>15</v>
      </c>
      <c r="B6" s="9">
        <f>Parametres!$B$9*Parametres!$B$7*(A6/1000)*Parametres!$B$6</f>
        <v/>
      </c>
      <c r="C6" s="11">
        <f>IF(Parametres!$B$25&lt;=0,0,B6/Parametres!$B$25)</f>
        <v/>
      </c>
      <c r="D6" s="11">
        <f>IF(Parametres!$B$19&lt;=0,0,IF(Parametres!$B$21=1,Parametres!$B$12/(Parametres!$B$19/1000),(Parametres!$B$12+Parametres!$B$13*Parametres!$B$14)/(Parametres!$B$19/1000)))</f>
        <v/>
      </c>
      <c r="E6" s="15">
        <f>IF(D6&lt;=Parametres!$B$20,"OUI","NON")</f>
        <v/>
      </c>
    </row>
    <row r="7">
      <c r="A7" s="6" t="n">
        <v>25</v>
      </c>
      <c r="B7" s="9">
        <f>Parametres!$B$9*Parametres!$B$7*(A7/1000)*Parametres!$B$6</f>
        <v/>
      </c>
      <c r="C7" s="11">
        <f>IF(Parametres!$B$25&lt;=0,0,B7/Parametres!$B$25)</f>
        <v/>
      </c>
      <c r="D7" s="11">
        <f>IF(Parametres!$B$19&lt;=0,0,IF(Parametres!$B$21=1,Parametres!$B$12/(Parametres!$B$19/1000),(Parametres!$B$12+Parametres!$B$13*Parametres!$B$14)/(Parametres!$B$19/1000)))</f>
        <v/>
      </c>
      <c r="E7" s="15">
        <f>IF(D7&lt;=Parametres!$B$20,"OUI","NON")</f>
        <v/>
      </c>
    </row>
    <row r="8">
      <c r="A8" s="6" t="n">
        <v>40</v>
      </c>
      <c r="B8" s="9">
        <f>Parametres!$B$9*Parametres!$B$7*(A8/1000)*Parametres!$B$6</f>
        <v/>
      </c>
      <c r="C8" s="11">
        <f>IF(Parametres!$B$25&lt;=0,0,B8/Parametres!$B$25)</f>
        <v/>
      </c>
      <c r="D8" s="11">
        <f>IF(Parametres!$B$19&lt;=0,0,IF(Parametres!$B$21=1,Parametres!$B$12/(Parametres!$B$19/1000),(Parametres!$B$12+Parametres!$B$13*Parametres!$B$14)/(Parametres!$B$19/1000)))</f>
        <v/>
      </c>
      <c r="E8" s="15">
        <f>IF(D8&lt;=Parametres!$B$20,"OUI","NON")</f>
        <v/>
      </c>
    </row>
    <row r="11">
      <c r="A11" s="2" t="inlineStr">
        <is>
          <t>Note: t_vid dépend de B21, dp, f' (et df·nf si B21=0) — pas de Rd. Colonne D identique par scénario. Af change avec ds(B21).</t>
        </is>
      </c>
    </row>
    <row r="12"/>
  </sheetData>
  <mergeCells count="2">
    <mergeCell ref="A11:E12"/>
    <mergeCell ref="A2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Méthode — Bio-rétention v1</t>
        </is>
      </c>
    </row>
    <row r="2">
      <c r="A2" t="inlineStr"/>
    </row>
    <row r="3">
      <c r="A3" t="inlineStr">
        <is>
          <t>Objectif commercial: pack Excel prêt à éditer (jaune) pour pré-dimensionner une cellule de bio-rétention.</t>
        </is>
      </c>
    </row>
    <row r="4">
      <c r="A4" t="inlineStr"/>
    </row>
    <row r="5">
      <c r="A5" t="inlineStr">
        <is>
          <t>Formules (B21 = sous-drain 1/0):</t>
        </is>
      </c>
    </row>
    <row r="6">
      <c r="A6" t="inlineStr">
        <is>
          <t xml:space="preserve">  Vcap = η × C × (Rd/1000) × Ad     (indépendant de B21)</t>
        </is>
      </c>
    </row>
    <row r="7">
      <c r="A7" t="inlineStr">
        <is>
          <t xml:space="preserve">  B21=1: ds = dp + dm·nm + df·nf + dr·nr</t>
        </is>
      </c>
    </row>
    <row r="8">
      <c r="A8" t="inlineStr">
        <is>
          <t xml:space="preserve">  B21=0: ds = dp + dm·nm + df·nf          (pas de crédit réservoir drainé)</t>
        </is>
      </c>
    </row>
    <row r="9">
      <c r="A9" t="inlineStr">
        <is>
          <t xml:space="preserve">  Af   = Vcap / ds</t>
        </is>
      </c>
    </row>
    <row r="10">
      <c r="A10" t="inlineStr">
        <is>
          <t xml:space="preserve">  B21=1: t_vid = dp / (f'/1000)            (vidange d'ennoiement)</t>
        </is>
      </c>
    </row>
    <row r="11">
      <c r="A11" t="inlineStr">
        <is>
          <t xml:space="preserve">  B21=0: t_vid = (dp + df·nf) / (f'/1000)  (infiltration seule)</t>
        </is>
      </c>
    </row>
    <row r="12">
      <c r="A12" t="inlineStr">
        <is>
          <t xml:space="preserve">  tm   = (df·nf + B21·dr·nr) / (f'/1000)</t>
        </is>
      </c>
    </row>
    <row r="13">
      <c r="A13" t="inlineStr"/>
    </row>
    <row r="14">
      <c r="A14" t="inlineStr">
        <is>
          <t>Lien SWMM LID (Drain tab):</t>
        </is>
      </c>
    </row>
    <row r="15">
      <c r="A15" t="inlineStr">
        <is>
          <t xml:space="preserve">  B21=1 → Drain Coefficient &gt; 0 (underdrain actif)</t>
        </is>
      </c>
    </row>
    <row r="16">
      <c r="A16" t="inlineStr">
        <is>
          <t xml:space="preserve">  B21=0 → Drain Coefficient = 0 (infiltration seule)</t>
        </is>
      </c>
    </row>
    <row r="17">
      <c r="A17" t="inlineStr"/>
    </row>
    <row r="18">
      <c r="A18" t="inlineStr">
        <is>
          <t>Hypothèses simplifiées (à déclarer dans la note de calcul):</t>
        </is>
      </c>
    </row>
    <row r="19">
      <c r="A19" t="inlineStr">
        <is>
          <t xml:space="preserve">  • Volume de captage type « qualité d'eau / petite pluie » (Rd souvent 25 mm).</t>
        </is>
      </c>
    </row>
    <row r="20">
      <c r="A20" t="inlineStr">
        <is>
          <t xml:space="preserve">  • Stockage crédité = ennoiement + vides média (+ vides gravier seulement si B21=1).</t>
        </is>
      </c>
    </row>
    <row r="21">
      <c r="A21" t="inlineStr">
        <is>
          <t xml:space="preserve">  • Vidange basée sur f' de conception (essai in situ ÷ facteur de sécurité).</t>
        </is>
      </c>
    </row>
    <row r="22">
      <c r="A22" t="inlineStr">
        <is>
          <t xml:space="preserve">  • B21 pilote ds / Af / t_vid; un design CSA W200 détaille diamètre, pente, IWS, etc.</t>
        </is>
      </c>
    </row>
    <row r="23">
      <c r="A23" t="inlineStr"/>
    </row>
    <row r="24">
      <c r="A24" t="inlineStr">
        <is>
          <t>Références à citer (ne pas copier le texte normatif):</t>
        </is>
      </c>
    </row>
    <row r="25">
      <c r="A25" t="inlineStr">
        <is>
          <t xml:space="preserve">  • CSA W200:18 (R2023) Design of bioretention systems</t>
        </is>
      </c>
    </row>
    <row r="26">
      <c r="A26" t="inlineStr">
        <is>
          <t xml:space="preserve">  • STEP / Sustainable Technologies — Bioretention: Sizing (guide LID)</t>
        </is>
      </c>
    </row>
    <row r="27">
      <c r="A27" t="inlineStr">
        <is>
          <t xml:space="preserve">  • Exigences municipales locales (Montréal / arrondissement / schéma)</t>
        </is>
      </c>
    </row>
    <row r="28">
      <c r="A28" t="inlineStr"/>
    </row>
    <row r="29">
      <c r="A29" t="inlineStr">
        <is>
          <t>Prochaines versions possibles:</t>
        </is>
      </c>
    </row>
    <row r="30">
      <c r="A30" t="inlineStr">
        <is>
          <t xml:space="preserve">  v1.1 hydrogramme + bypass</t>
        </is>
      </c>
    </row>
    <row r="31">
      <c r="A31" t="inlineStr">
        <is>
          <t xml:space="preserve">  v1.2 prétraitement (fosse à sédiments)</t>
        </is>
      </c>
    </row>
    <row r="32">
      <c r="A32" t="inlineStr">
        <is>
          <t xml:space="preserve">  v1.3 plantation / sel de voirie (climat froid QC)</t>
        </is>
      </c>
    </row>
    <row r="33">
      <c r="A33" t="inlineStr"/>
    </row>
    <row r="34">
      <c r="A34" t="inlineStr">
        <is>
          <t>Regénérer: python3 build_bioretention_excel.py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30" customWidth="1" min="3" max="3"/>
  </cols>
  <sheetData>
    <row r="1">
      <c r="A1" s="8" t="inlineStr">
        <is>
          <t>Checklist conception (rappels — vérifier CSA W200 + ville)</t>
        </is>
      </c>
    </row>
    <row r="3">
      <c r="A3" s="13" t="inlineStr">
        <is>
          <t>Item</t>
        </is>
      </c>
      <c r="B3" s="13" t="inlineStr">
        <is>
          <t>OK? (jaune)</t>
        </is>
      </c>
      <c r="C3" s="13" t="inlineStr">
        <is>
          <t>Note</t>
        </is>
      </c>
    </row>
    <row r="4">
      <c r="A4" s="17" t="inlineStr">
        <is>
          <t>Essai d'infiltration in situ → f' de conception documenté</t>
        </is>
      </c>
      <c r="B4" s="18" t="inlineStr">
        <is>
          <t>à faire</t>
        </is>
      </c>
      <c r="C4" s="17" t="inlineStr"/>
    </row>
    <row r="5">
      <c r="A5" s="17" t="inlineStr">
        <is>
          <t>Prétraitement (sédimentation) si voirie / abrasifs d'hiver</t>
        </is>
      </c>
      <c r="B5" s="18" t="inlineStr">
        <is>
          <t>à faire</t>
        </is>
      </c>
      <c r="C5" s="17" t="inlineStr"/>
    </row>
    <row r="6">
      <c r="A6" s="17" t="inlineStr">
        <is>
          <t>Trop-plein / bypass vers réseau pluvial existant</t>
        </is>
      </c>
      <c r="B6" s="18" t="inlineStr">
        <is>
          <t>à faire</t>
        </is>
      </c>
      <c r="C6" s="17" t="inlineStr"/>
    </row>
    <row r="7">
      <c r="A7" s="17" t="inlineStr">
        <is>
          <t>Sous-drain: diamètre, pente, enrobage, regard de nettoyage</t>
        </is>
      </c>
      <c r="B7" s="18" t="inlineStr">
        <is>
          <t>à faire</t>
        </is>
      </c>
      <c r="C7" s="17" t="inlineStr"/>
    </row>
    <row r="8">
      <c r="A8" s="17" t="inlineStr">
        <is>
          <t>Membrane / liner si biofiltre ou protection de fondations</t>
        </is>
      </c>
      <c r="B8" s="18" t="inlineStr">
        <is>
          <t>à faire</t>
        </is>
      </c>
      <c r="C8" s="17" t="inlineStr"/>
    </row>
    <row r="9">
      <c r="A9" s="17" t="inlineStr">
        <is>
          <t>Media mix (sable/fines/MO) adapté drainage vs traitement</t>
        </is>
      </c>
      <c r="B9" s="18" t="inlineStr">
        <is>
          <t>à faire</t>
        </is>
      </c>
      <c r="C9" s="17" t="inlineStr"/>
    </row>
    <row r="10">
      <c r="A10" s="17" t="inlineStr">
        <is>
          <t>Profondeur média vs type de végétation (herbe / arbuste / arbre)</t>
        </is>
      </c>
      <c r="B10" s="18" t="inlineStr">
        <is>
          <t>à faire</t>
        </is>
      </c>
      <c r="C10" s="17" t="inlineStr"/>
    </row>
    <row r="11">
      <c r="A11" s="17" t="inlineStr">
        <is>
          <t>Ennoiement max compatible sécurité / plantation</t>
        </is>
      </c>
      <c r="B11" s="18" t="inlineStr">
        <is>
          <t>à faire</t>
        </is>
      </c>
      <c r="C11" s="17" t="inlineStr"/>
    </row>
    <row r="12">
      <c r="A12" s="17" t="inlineStr">
        <is>
          <t>Temps de vidange ≤ exigence locale (ex. 24–48 h)</t>
        </is>
      </c>
      <c r="B12" s="18" t="inlineStr">
        <is>
          <t>à faire</t>
        </is>
      </c>
      <c r="C12" s="17" t="inlineStr"/>
    </row>
    <row r="13">
      <c r="A13" s="17" t="inlineStr">
        <is>
          <t>Accès entretien (paillis, décompression, vacuum)</t>
        </is>
      </c>
      <c r="B13" s="18" t="inlineStr">
        <is>
          <t>à faire</t>
        </is>
      </c>
      <c r="C13" s="17" t="inlineStr"/>
    </row>
    <row r="14">
      <c r="A14" s="17" t="inlineStr">
        <is>
          <t>Sel de déglaçage / espèces tolérantes (climat froid)</t>
        </is>
      </c>
      <c r="B14" s="18" t="inlineStr">
        <is>
          <t>à faire</t>
        </is>
      </c>
      <c r="C14" s="17" t="inlineStr"/>
    </row>
    <row r="15">
      <c r="A15" s="17" t="inlineStr">
        <is>
          <t>Raccordement légal au réseau / permis / limite de travaux</t>
        </is>
      </c>
      <c r="B15" s="18" t="inlineStr">
        <is>
          <t>à faire</t>
        </is>
      </c>
      <c r="C1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2026-10-12T14:41:29Z</dcterms:created>
  <dcterms:modified xsi:type="dcterms:W3CDTF">2026-10-12T14:41:29Z</dcterms:modified>
</cp:coreProperties>
</file>