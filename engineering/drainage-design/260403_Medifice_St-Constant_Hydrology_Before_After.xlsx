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Tresfond/puisard/internal drainage option can be modeled with path ID P-MECH (after scenario).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baseball renovation generally represented by perforated pipe in trench envelope (geotextile/stone), not full plain-pipe field drainage.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mechanical drain adopted velocity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perforated underdrain trench (geotextile + stone envelope)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solid collector to culvert/outlet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Collector/outlet branch (non-perforated).</t>
        </is>
      </c>
    </row>
    <row r="9">
      <c r="A9" s="3" t="inlineStr">
        <is>
          <t>AFTER</t>
        </is>
      </c>
      <c r="B9" s="3" t="inlineStr">
        <is>
          <t>P-MECH</t>
        </is>
      </c>
      <c r="C9" s="3" t="n">
        <v>1</v>
      </c>
      <c r="D9" s="3" t="inlineStr">
        <is>
          <t>A03</t>
        </is>
      </c>
      <c r="E9" s="3" t="inlineStr">
        <is>
          <t>Puisards to internal drainage line</t>
        </is>
      </c>
      <c r="F9" s="3" t="inlineStr">
        <is>
          <t>INTERNAL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Mechanical team system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  <row r="11">
      <c r="J11">
        <f>IF(I11&lt;&gt;"",I11,IF(UPPER(TRIM(F11))="SHEET",Inputs!$B$7,IF(UPPER(TRIM(F11))="SWALE",Inputs!$B$8,IF(UPPER(TRIM(F11))="TRENCH",Inputs!$B$27,IF(UPPER(TRIM(F11))="PIPE",Inputs!$B$9,Inputs!$B$10)))))</f>
        <v/>
      </c>
      <c r="K11">
        <f>IF(OR(G11="",J11=""),"",G11/(J11*60))</f>
        <v/>
      </c>
    </row>
    <row r="12">
      <c r="J12">
        <f>IF(I12&lt;&gt;"",I12,IF(UPPER(TRIM(F12))="SHEET",Inputs!$B$7,IF(UPPER(TRIM(F12))="SWALE",Inputs!$B$8,IF(UPPER(TRIM(F12))="TRENCH",Inputs!$B$27,IF(UPPER(TRIM(F12))="PIPE",Inputs!$B$9,Inputs!$B$10)))))</f>
        <v/>
      </c>
      <c r="K12">
        <f>IF(OR(G12="",J12=""),"",G12/(J12*60))</f>
        <v/>
      </c>
    </row>
    <row r="13">
      <c r="J13">
        <f>IF(I13&lt;&gt;"",I13,IF(UPPER(TRIM(F13))="SHEET",Inputs!$B$7,IF(UPPER(TRIM(F13))="SWALE",Inputs!$B$8,IF(UPPER(TRIM(F13))="TRENCH",Inputs!$B$27,IF(UPPER(TRIM(F13))="PIPE",Inputs!$B$9,Inputs!$B$10)))))</f>
        <v/>
      </c>
      <c r="K13">
        <f>IF(OR(G13="",J13=""),"",G13/(J13*60))</f>
        <v/>
      </c>
    </row>
    <row r="14">
      <c r="J14">
        <f>IF(I14&lt;&gt;"",I14,IF(UPPER(TRIM(F14))="SHEET",Inputs!$B$7,IF(UPPER(TRIM(F14))="SWALE",Inputs!$B$8,IF(UPPER(TRIM(F14))="TRENCH",Inputs!$B$27,IF(UPPER(TRIM(F14))="PIPE",Inputs!$B$9,Inputs!$B$10)))))</f>
        <v/>
      </c>
      <c r="K14">
        <f>IF(OR(G14="",J14=""),"",G14/(J14*60))</f>
        <v/>
      </c>
    </row>
    <row r="15">
      <c r="J15">
        <f>IF(I15&lt;&gt;"",I15,IF(UPPER(TRIM(F15))="SHEET",Inputs!$B$7,IF(UPPER(TRIM(F15))="SWALE",Inputs!$B$8,IF(UPPER(TRIM(F15))="TRENCH",Inputs!$B$27,IF(UPPER(TRIM(F15))="PIPE",Inputs!$B$9,Inputs!$B$10)))))</f>
        <v/>
      </c>
      <c r="K15">
        <f>IF(OR(G15="",J15=""),"",G15/(J15*60))</f>
        <v/>
      </c>
    </row>
    <row r="16">
      <c r="J16">
        <f>IF(I16&lt;&gt;"",I16,IF(UPPER(TRIM(F16))="SHEET",Inputs!$B$7,IF(UPPER(TRIM(F16))="SWALE",Inputs!$B$8,IF(UPPER(TRIM(F16))="TRENCH",Inputs!$B$27,IF(UPPER(TRIM(F16))="PIPE",Inputs!$B$9,Inputs!$B$10)))))</f>
        <v/>
      </c>
      <c r="K16">
        <f>IF(OR(G16="",J16=""),"",G16/(J16*60))</f>
        <v/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>
        <f>IF(OR(G204="",J204=""),"",G204/(J204*60))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P-EAST-OUT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P-EAST-OUT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IF(L10="","",IF(UPPER(TRIM(Inputs!$B$23))="IDF_EQUATION",Inputs!$B$3/((L10+Inputs!$B$4)^Inputs!$B$5),INDEX(IDF_Station!$B$3:$G$11,IFERROR(MATCH(L10,IDF_Station!$A$3:$A$11,1),1),MATCH(Inputs!$B$24,IDF_Station!$B$2:$G$2,0))))</f>
        <v/>
      </c>
      <c r="X10" s="15">
        <f>IF(W10="","",IF(UPPER(TRIM(Inputs!$B$23))="IDF_EQUATION",Inputs!$B$3/((W10+Inputs!$B$4)^Inputs!$B$5),INDEX(IDF_Station!$B$3:$G$11,IFERROR(MATCH(W10,IDF_Station!$A$3:$A$11,1),1),MATCH(Inputs!$B$24,IDF_Station!$B$2:$G$2,0))))</f>
        <v/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2026-07-11T20:21:06Z</dcterms:modified>
</cp:coreProperties>
</file>