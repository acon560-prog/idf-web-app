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Guide" sheetId="1" state="visible" r:id="rId3"/>
    <sheet name="Inputs" sheetId="2" state="visible" r:id="rId4"/>
    <sheet name="FlowPaths" sheetId="3" state="visible" r:id="rId5"/>
    <sheet name="Subcatchments" sheetId="4" state="visible" r:id="rId6"/>
    <sheet name="Summary_Before_After" sheetId="5" state="visible" r:id="rId7"/>
    <sheet name="IDF_Station" sheetId="6" state="visible" r:id="rId8"/>
    <sheet name="TrenchProfile_3Lin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<sst xmlns="http://schemas.openxmlformats.org/spreadsheetml/2006/main" count="448" uniqueCount="325">
  <si>
    <t xml:space="preserve">BASEBALL FIELD - HYDROLOGY BEFORE/AFTER (RATIONAL METHOD)</t>
  </si>
  <si>
    <t xml:space="preserve">Purpose: compare runoff at east discharge (culvert/ponceau) before vs after renovation.</t>
  </si>
  <si>
    <t xml:space="preserve">Interpretation rule used: yellow textbox elevations = proposed; plain text elevations = existing.</t>
  </si>
  <si>
    <t xml:space="preserve">Known from user: total paved area shown in gray is 1869.7 m2; use inclusion factor in Inputs!B20 if only part contributes to baseball drainage.</t>
  </si>
  <si>
    <t xml:space="preserve">For this baseball-field model, drainage paths are represented as field sheet/trench/collector to east culvert; no building-internal mechanical path assumed.</t>
  </si>
  <si>
    <t xml:space="preserve">Subcatchments sheet: enter/adjust tributary areas and surfaces for each contributing zone.</t>
  </si>
  <si>
    <t xml:space="preserve">FlowPaths: AFTER uses trench/perforated underdrain representation for field strip (TRENCH) + pipe collector to outlet.</t>
  </si>
  <si>
    <t xml:space="preserve">Tc for each subcatchment = Tc base + travel time on assigned path (sum of segment times).</t>
  </si>
  <si>
    <t xml:space="preserve">Outputs are summarized in Summary_Before_After sheet with impervious/grass totals and Q before/after.</t>
  </si>
  <si>
    <t xml:space="preserve">Important: because the PDF text extraction is limited, verify/complete all tributary limits and areas from plan manually.</t>
  </si>
  <si>
    <t xml:space="preserve">Data quality note</t>
  </si>
  <si>
    <t xml:space="preserve">Only one area is prefilled from your note (1869.7 m2 paved). Fill remaining tributary areas from plan labels in m2.</t>
  </si>
  <si>
    <t xml:space="preserve">Paved area scope note: 1869.7 m2 may extend west beyond baseball drainage scope; use inclusion factor (Inputs!B19) to limit contributing paved fraction.</t>
  </si>
  <si>
    <t xml:space="preserve">Current outcome with default values now in file</t>
  </si>
  <si>
    <t xml:space="preserve">With trunk enabled and default lengths set to match ~196.6 m total chainage:</t>
  </si>
  <si>
    <t xml:space="preserve">Q_before (with safety): ~0.4217 m³/s</t>
  </si>
  <si>
    <t xml:space="preserve">Q_after (with safety): ~0.3880 m³/s</t>
  </si>
  <si>
    <t xml:space="preserve">Delta: ~-0.0337 m³/s</t>
  </si>
  <si>
    <t xml:space="preserve">So at current settings, after-development still remains lower than before-development.</t>
  </si>
  <si>
    <t xml:space="preserve">Why the result did not change much yet</t>
  </si>
  <si>
    <t xml:space="preserve">Because with current velocity/length settings, most Tc values still remain in the same IDF duration bucket (5 min).</t>
  </si>
  <si>
    <t xml:space="preserve">If you increase effective travel time enough to cross a duration threshold (e.g., toward/above 10 min), the workbook will automatically lower intensity and reduce peak Q.</t>
  </si>
  <si>
    <t xml:space="preserve">Three-parallel-line symbol is interpreted as trench/ditch corridor with left-edge, center-invert, right-edge elevations.</t>
  </si>
  <si>
    <t xml:space="preserve">Use TrenchProfile_3Lines sheet to input observed elevations along that corridor.</t>
  </si>
  <si>
    <t xml:space="preserve">Takeoff updated with missing A=2882 m2 near outlet; verification block added in Summary_Before_After A25:B30.</t>
  </si>
  <si>
    <t xml:space="preserve">Err:508 fix applied; formulas simplified for compatibility.</t>
  </si>
  <si>
    <t xml:space="preserve">This workbook is for SAINT-CONSTANT. Intensity source defaults to station table (McTavish values provided).</t>
  </si>
  <si>
    <t xml:space="preserve">IDF_a/b/c are used only when Intensity_source is switched to IDF_EQUATION.</t>
  </si>
  <si>
    <t xml:space="preserve">Design intent: renovated field represented by trench/perforated underdrain plus collector to outlet (east culvert).</t>
  </si>
  <si>
    <t xml:space="preserve">Mixed-surface sensitivity added for SC-04: set Inputs!B33 to LOW/BASE/HIGH; weighted C auto-applies to row SC-04.</t>
  </si>
  <si>
    <t xml:space="preserve">Collector note encoded explicitly: trunk east/bottom/west segments at P=0.5% are now Inputs-driven and included in AFTER Tc/Q via FlowPaths.</t>
  </si>
  <si>
    <t xml:space="preserve">INPUTS</t>
  </si>
  <si>
    <t xml:space="preserve">Parameter</t>
  </si>
  <si>
    <t xml:space="preserve">Value</t>
  </si>
  <si>
    <t xml:space="preserve">Unit</t>
  </si>
  <si>
    <t xml:space="preserve">Note</t>
  </si>
  <si>
    <t xml:space="preserve">IDF_a</t>
  </si>
  <si>
    <t xml:space="preserve">-</t>
  </si>
  <si>
    <t xml:space="preserve">i = a/(tc+b)^c (only if Intensity_source=IDF_EQUATION)</t>
  </si>
  <si>
    <t xml:space="preserve">IDF_b</t>
  </si>
  <si>
    <t xml:space="preserve">min</t>
  </si>
  <si>
    <t xml:space="preserve">IDF parameter b (only if Intensity_source=IDF_EQUATION)</t>
  </si>
  <si>
    <t xml:space="preserve">IDF_c</t>
  </si>
  <si>
    <t xml:space="preserve">IDF parameter c (only if Intensity_source=IDF_EQUATION)</t>
  </si>
  <si>
    <t xml:space="preserve">Flow_safety_factor</t>
  </si>
  <si>
    <t xml:space="preserve">Multiply local+upstream flow</t>
  </si>
  <si>
    <t xml:space="preserve">V_sheet_default_mps</t>
  </si>
  <si>
    <t xml:space="preserve">m/s</t>
  </si>
  <si>
    <t xml:space="preserve">Sheet/overland flow adopted velocity</t>
  </si>
  <si>
    <t xml:space="preserve">V_swale_default_mps</t>
  </si>
  <si>
    <t xml:space="preserve">Swale/channel adopted velocity</t>
  </si>
  <si>
    <t xml:space="preserve">V_pipe_default_mps</t>
  </si>
  <si>
    <t xml:space="preserve">Pipe adopted velocity</t>
  </si>
  <si>
    <t xml:space="preserve">V_internal_default_mps</t>
  </si>
  <si>
    <t xml:space="preserve">INTERNAL velocity reserved; unused unless a dedicated internal path is intentionally reintroduced.</t>
  </si>
  <si>
    <t xml:space="preserve">Default_Tc_base_before_min</t>
  </si>
  <si>
    <t xml:space="preserve">Base Tc if not overridden (before)</t>
  </si>
  <si>
    <t xml:space="preserve">Default_Tc_base_after_min</t>
  </si>
  <si>
    <t xml:space="preserve">Base Tc if not overridden (after)</t>
  </si>
  <si>
    <t xml:space="preserve">C_roof</t>
  </si>
  <si>
    <t xml:space="preserve">Runoff coefficient roof</t>
  </si>
  <si>
    <t xml:space="preserve">C_pavage</t>
  </si>
  <si>
    <t xml:space="preserve">Runoff coefficient pavement/pave-uni</t>
  </si>
  <si>
    <t xml:space="preserve">C_grass_existing</t>
  </si>
  <si>
    <t xml:space="preserve">Runoff coefficient grass existing</t>
  </si>
  <si>
    <t xml:space="preserve">C_grass_proposed</t>
  </si>
  <si>
    <t xml:space="preserve">Runoff coefficient grass proposed</t>
  </si>
  <si>
    <t xml:space="preserve">C_gravel</t>
  </si>
  <si>
    <t xml:space="preserve">Runoff coefficient gravel</t>
  </si>
  <si>
    <t xml:space="preserve">C_bare_soil</t>
  </si>
  <si>
    <t xml:space="preserve">Runoff coefficient bare soil/infield</t>
  </si>
  <si>
    <t xml:space="preserve">Paved_area_inclusion_factor_for_baseball</t>
  </si>
  <si>
    <t xml:space="preserve">0-1</t>
  </si>
  <si>
    <t xml:space="preserve">Use &lt;1 if only part of 1869.7 m2 drains to baseball design outlet</t>
  </si>
  <si>
    <t xml:space="preserve">Discharge_node_name</t>
  </si>
  <si>
    <t xml:space="preserve">East culvert / ponceau</t>
  </si>
  <si>
    <t xml:space="preserve">Main discharge reference</t>
  </si>
  <si>
    <t xml:space="preserve">IDF_station_name</t>
  </si>
  <si>
    <t xml:space="preserve">SAINT-CONSTANT - McTavish station table</t>
  </si>
  <si>
    <t xml:space="preserve">Project context: Saint-Constant. Station table currently from McTavish values provided by user.</t>
  </si>
  <si>
    <t xml:space="preserve">Intensity_source</t>
  </si>
  <si>
    <t xml:space="preserve">idf_equation</t>
  </si>
  <si>
    <t xml:space="preserve">(STATION_TABLE/IDF_EQUATION)</t>
  </si>
  <si>
    <t xml:space="preserve">Default STATION_TABLE. Use IDF_EQUATION only if a,b,c are valid for same station.</t>
  </si>
  <si>
    <t xml:space="preserve">Return_period_column</t>
  </si>
  <si>
    <t xml:space="preserve">100-Year</t>
  </si>
  <si>
    <t xml:space="preserve">text</t>
  </si>
  <si>
    <t xml:space="preserve">Must match one header in IDF_Station row 2.</t>
  </si>
  <si>
    <t xml:space="preserve">Q_allowable_user_m3s</t>
  </si>
  <si>
    <t xml:space="preserve">m3/s</t>
  </si>
  <si>
    <t xml:space="preserve">Enter allowable release at watercourse/culvert per authority or project criterion.</t>
  </si>
  <si>
    <t xml:space="preserve">Q_allowable_basis</t>
  </si>
  <si>
    <t xml:space="preserve">User/City criterion</t>
  </si>
  <si>
    <t xml:space="preserve">Example: Q_after &lt;= Q_before or municipal limit.</t>
  </si>
  <si>
    <t xml:space="preserve">V_trench_perforated_default_mps</t>
  </si>
  <si>
    <t xml:space="preserve">Adopted velocity for perforated underdrain in trench envelope (geotextile + stone).</t>
  </si>
  <si>
    <t xml:space="preserve">Mixed_block_target_subcatchment</t>
  </si>
  <si>
    <t xml:space="preserve">SC-04</t>
  </si>
  <si>
    <t xml:space="preserve">Outlet uncertain block for mixed-surface sensitivity.</t>
  </si>
  <si>
    <t xml:space="preserve">Mixed_block_total_area_m2</t>
  </si>
  <si>
    <t xml:space="preserve">m2</t>
  </si>
  <si>
    <t xml:space="preserve">Should match SC-04 area.</t>
  </si>
  <si>
    <t xml:space="preserve">Mixed_block_sensitivity_mode (LOW/BASE/HIGH)</t>
  </si>
  <si>
    <t xml:space="preserve">BASE</t>
  </si>
  <si>
    <t xml:space="preserve">Controls impervious fraction used for SC-04.</t>
  </si>
  <si>
    <t xml:space="preserve">Mixed_block_impervious_fraction_LOW</t>
  </si>
  <si>
    <t xml:space="preserve">Low impervious assumption.</t>
  </si>
  <si>
    <t xml:space="preserve">Mixed_block_impervious_fraction_BASE</t>
  </si>
  <si>
    <t xml:space="preserve">Base impervious assumption.</t>
  </si>
  <si>
    <t xml:space="preserve">Mixed_block_impervious_fraction_HIGH</t>
  </si>
  <si>
    <t xml:space="preserve">High impervious assumption.</t>
  </si>
  <si>
    <t xml:space="preserve">Mixed_block_impervious_fraction_used</t>
  </si>
  <si>
    <t xml:space="preserve">Selected by mode.</t>
  </si>
  <si>
    <t xml:space="preserve">Mixed_block_grass_fraction_used</t>
  </si>
  <si>
    <t xml:space="preserve">Complementary fraction.</t>
  </si>
  <si>
    <t xml:space="preserve">Mixed_block_C_before_weighted</t>
  </si>
  <si>
    <t xml:space="preserve">Weighted C for BEFORE (pavage + grass existing).</t>
  </si>
  <si>
    <t xml:space="preserve">Mixed_block_C_after_weighted</t>
  </si>
  <si>
    <t xml:space="preserve">Weighted C for AFTER (pavage + grass proposed).</t>
  </si>
  <si>
    <t xml:space="preserve">Mixed_block_enable_override_SC04 (YES/NO)</t>
  </si>
  <si>
    <t xml:space="preserve">YES</t>
  </si>
  <si>
    <t xml:space="preserve">If YES, SC-04 uses weighted C overrides.</t>
  </si>
  <si>
    <t xml:space="preserve">Collector_trunk_slope_m_per_m</t>
  </si>
  <si>
    <t xml:space="preserve">m/m</t>
  </si>
  <si>
    <t xml:space="preserve">From plan note: COLLECTEUR A VENIR (P=0.5%).</t>
  </si>
  <si>
    <t xml:space="preserve">Collector_trunk_delta_invert_to_lowpoint_m</t>
  </si>
  <si>
    <t xml:space="preserve">m</t>
  </si>
  <si>
    <t xml:space="preserve">From plan note: radier = 0.983 m above collector low point.</t>
  </si>
  <si>
    <t xml:space="preserve">Collector_trunk_chainage_implied_by_note_m</t>
  </si>
  <si>
    <t xml:space="preserve">Implied chainage from note (delta/slope).</t>
  </si>
  <si>
    <t xml:space="preserve">Collector_trunk_east_length_m</t>
  </si>
  <si>
    <t xml:space="preserve">Editable explicit east-side trunk segment.</t>
  </si>
  <si>
    <t xml:space="preserve">Collector_trunk_bottom_length_m</t>
  </si>
  <si>
    <t xml:space="preserve">Editable explicit bottom-side trunk segment.</t>
  </si>
  <si>
    <t xml:space="preserve">Collector_trunk_west_length_m</t>
  </si>
  <si>
    <t xml:space="preserve">Editable explicit west-side trunk segment.</t>
  </si>
  <si>
    <t xml:space="preserve">Collector_trunk_total_explicit_length_m</t>
  </si>
  <si>
    <t xml:space="preserve">Total explicit chainage used in path travel times.</t>
  </si>
  <si>
    <t xml:space="preserve">Collector_trunk_length_diff_explicit_minus_implied_m</t>
  </si>
  <si>
    <t xml:space="preserve">Close to 0 when explicit chainage matches plan note.</t>
  </si>
  <si>
    <t xml:space="preserve">Collector_trunk_conveyance_type</t>
  </si>
  <si>
    <t xml:space="preserve">PIPE</t>
  </si>
  <si>
    <t xml:space="preserve">Use PIPE unless redesign requires other conveyance.</t>
  </si>
  <si>
    <t xml:space="preserve">Collector_trunk_velocity_override_mps</t>
  </si>
  <si>
    <t xml:space="preserve">Override trunk velocity (leave numeric to force value).</t>
  </si>
  <si>
    <t xml:space="preserve">Collector_trunk_enable_after_paths (YES/NO)</t>
  </si>
  <si>
    <t xml:space="preserve">YES adds trunk segments to AFTER travel times and Tc.</t>
  </si>
  <si>
    <t xml:space="preserve">FLOW PATHS (BEFORE / AFTER)</t>
  </si>
  <si>
    <t xml:space="preserve">Scenario</t>
  </si>
  <si>
    <t xml:space="preserve">Path_ID</t>
  </si>
  <si>
    <t xml:space="preserve">Seq</t>
  </si>
  <si>
    <t xml:space="preserve">Segment_ID</t>
  </si>
  <si>
    <t xml:space="preserve">Segment_description</t>
  </si>
  <si>
    <t xml:space="preserve">Conveyance_type</t>
  </si>
  <si>
    <t xml:space="preserve">Length_m</t>
  </si>
  <si>
    <t xml:space="preserve">Slope_m/m</t>
  </si>
  <si>
    <t xml:space="preserve">Velocity_override_mps</t>
  </si>
  <si>
    <t xml:space="preserve">Velocity_used_mps</t>
  </si>
  <si>
    <t xml:space="preserve">Travel_time_min</t>
  </si>
  <si>
    <t xml:space="preserve">To_node</t>
  </si>
  <si>
    <t xml:space="preserve">Notes</t>
  </si>
  <si>
    <t xml:space="preserve">BEFORE</t>
  </si>
  <si>
    <t xml:space="preserve">P-EAST</t>
  </si>
  <si>
    <t xml:space="preserve">B01</t>
  </si>
  <si>
    <t xml:space="preserve">Field runoff to east edge</t>
  </si>
  <si>
    <t xml:space="preserve">SHEET</t>
  </si>
  <si>
    <t xml:space="preserve">EAST-OUT</t>
  </si>
  <si>
    <t xml:space="preserve">If old subdrain exists but deteriorated, keep SHEET velocity conservative or split into extra segment.</t>
  </si>
  <si>
    <t xml:space="preserve">B02</t>
  </si>
  <si>
    <t xml:space="preserve">Conveyance to east culvert</t>
  </si>
  <si>
    <t xml:space="preserve">SWALE</t>
  </si>
  <si>
    <t xml:space="preserve">P-WEST-PAVE</t>
  </si>
  <si>
    <t xml:space="preserve">B03</t>
  </si>
  <si>
    <t xml:space="preserve">West paved contribution toward east outlet</t>
  </si>
  <si>
    <t xml:space="preserve">Use only if hydraulically connected</t>
  </si>
  <si>
    <t xml:space="preserve">AFTER</t>
  </si>
  <si>
    <t xml:space="preserve">P-EAST-STRIP</t>
  </si>
  <si>
    <t xml:space="preserve">A01</t>
  </si>
  <si>
    <t xml:space="preserve">East strip perforated underdrain trench (geotextile + stone envelope)</t>
  </si>
  <si>
    <t xml:space="preserve">TRENCH</t>
  </si>
  <si>
    <t xml:space="preserve">J-EAST-IN</t>
  </si>
  <si>
    <t xml:space="preserve">Represents field underdrain laterals/collector in trench, not a plain solid pipe.</t>
  </si>
  <si>
    <t xml:space="preserve">P-EAST-OUT</t>
  </si>
  <si>
    <t xml:space="preserve">A02</t>
  </si>
  <si>
    <t xml:space="preserve">East solid collector to culvert/outlet area</t>
  </si>
  <si>
    <t xml:space="preserve">Collector/outlet branch (non-perforated).</t>
  </si>
  <si>
    <t xml:space="preserve">P-FIELD-3LINE</t>
  </si>
  <si>
    <t xml:space="preserve">A03</t>
  </si>
  <si>
    <t xml:space="preserve">Field 3-line drain corridor (interpreted trench/ditch centerline)</t>
  </si>
  <si>
    <t xml:space="preserve">Replaces P-MECH. Use for segments represented by three parallel lines with edge/invert elevations.</t>
  </si>
  <si>
    <t xml:space="preserve">A04</t>
  </si>
  <si>
    <t xml:space="preserve">West paved branch to final collector</t>
  </si>
  <si>
    <t xml:space="preserve">Set per final profile</t>
  </si>
  <si>
    <t xml:space="preserve">A01T-E</t>
  </si>
  <si>
    <t xml:space="preserve">Future collector trunk - east side (P=0.5%)</t>
  </si>
  <si>
    <t xml:space="preserve">J-TRUNK-EAST</t>
  </si>
  <si>
    <t xml:space="preserve">Explicit trunk segment from plan note.</t>
  </si>
  <si>
    <t xml:space="preserve">A03T-E</t>
  </si>
  <si>
    <t xml:space="preserve">Three-line field drain tie-in to explicit east trunk.</t>
  </si>
  <si>
    <t xml:space="preserve">A04T-W</t>
  </si>
  <si>
    <t xml:space="preserve">Future collector trunk - west side (P=0.5%)</t>
  </si>
  <si>
    <t xml:space="preserve">J-TRUNK-WEST</t>
  </si>
  <si>
    <t xml:space="preserve">Explicit west-side trunk reach.</t>
  </si>
  <si>
    <t xml:space="preserve">A04T-B</t>
  </si>
  <si>
    <t xml:space="preserve">Future collector trunk - bottom side (P=0.5%)</t>
  </si>
  <si>
    <t xml:space="preserve">J-TRUNK-BOTTOM</t>
  </si>
  <si>
    <t xml:space="preserve">Explicit bottom trunk reach.</t>
  </si>
  <si>
    <t xml:space="preserve">A04T-E</t>
  </si>
  <si>
    <t xml:space="preserve">Explicit east trunk reach to outlet.</t>
  </si>
  <si>
    <t xml:space="preserve">A02T-E</t>
  </si>
  <si>
    <t xml:space="preserve">Adds trunk run if this path is used.</t>
  </si>
  <si>
    <t xml:space="preserve">SUBCATCHMENTS - BEFORE vs AFTER</t>
  </si>
  <si>
    <t xml:space="preserve">ID</t>
  </si>
  <si>
    <t xml:space="preserve">Description</t>
  </si>
  <si>
    <t xml:space="preserve">Gross_area_m2</t>
  </si>
  <si>
    <t xml:space="preserve">Include_factor_before</t>
  </si>
  <si>
    <t xml:space="preserve">Effective_area_before_m2</t>
  </si>
  <si>
    <t xml:space="preserve">Surface_before</t>
  </si>
  <si>
    <t xml:space="preserve">C_before_override</t>
  </si>
  <si>
    <t xml:space="preserve">C_before_used</t>
  </si>
  <si>
    <t xml:space="preserve">Tc_base_before_min</t>
  </si>
  <si>
    <t xml:space="preserve">Path_ID_before</t>
  </si>
  <si>
    <t xml:space="preserve">Travel_time_before_min</t>
  </si>
  <si>
    <t xml:space="preserve">Tc_used_before_min</t>
  </si>
  <si>
    <t xml:space="preserve">Intensity_before_mmh</t>
  </si>
  <si>
    <t xml:space="preserve">Q_before_m3s</t>
  </si>
  <si>
    <t xml:space="preserve">Include_factor_after</t>
  </si>
  <si>
    <t xml:space="preserve">Effective_area_after_m2</t>
  </si>
  <si>
    <t xml:space="preserve">Surface_after</t>
  </si>
  <si>
    <t xml:space="preserve">C_after_override</t>
  </si>
  <si>
    <t xml:space="preserve">C_after_used</t>
  </si>
  <si>
    <t xml:space="preserve">Tc_base_after_min</t>
  </si>
  <si>
    <t xml:space="preserve">Path_ID_after</t>
  </si>
  <si>
    <t xml:space="preserve">Travel_time_after_min</t>
  </si>
  <si>
    <t xml:space="preserve">Tc_used_after_min</t>
  </si>
  <si>
    <t xml:space="preserve">Intensity_after_mmh</t>
  </si>
  <si>
    <t xml:space="preserve">Q_after_m3s</t>
  </si>
  <si>
    <t xml:space="preserve">Delta_Q_after_minus_before</t>
  </si>
  <si>
    <t xml:space="preserve">SC-01</t>
  </si>
  <si>
    <t xml:space="preserve">Main field area (light green)</t>
  </si>
  <si>
    <t xml:space="preserve">GRASS</t>
  </si>
  <si>
    <t xml:space="preserve">From marked plan: A=12712 m2</t>
  </si>
  <si>
    <t xml:space="preserve">SC-02</t>
  </si>
  <si>
    <t xml:space="preserve">Peripheral field/landscape area (darker green)</t>
  </si>
  <si>
    <t xml:space="preserve">From marked plan: A=2961 m2</t>
  </si>
  <si>
    <t xml:space="preserve">SC-03</t>
  </si>
  <si>
    <t xml:space="preserve">Paved area potentially connected (gray)</t>
  </si>
  <si>
    <t xml:space="preserve">PAVAGE</t>
  </si>
  <si>
    <t xml:space="preserve">From marked plan: A=1869.7 m2 (use inclusion factor D/O).</t>
  </si>
  <si>
    <t xml:space="preserve">Outlet feature block (mixed impervious/grass)</t>
  </si>
  <si>
    <t xml:space="preserve">MIXED</t>
  </si>
  <si>
    <t xml:space="preserve">Mixed-surface block: weighted C from Inputs!B39/B40 with LOW/BASE/HIGH sensitivity.</t>
  </si>
  <si>
    <t xml:space="preserve">SC-05</t>
  </si>
  <si>
    <t xml:space="preserve">Field area near outlet (missing label recovered)</t>
  </si>
  <si>
    <t xml:space="preserve">From marked plan: A=2882 m2 (field area close to outlet).</t>
  </si>
  <si>
    <t xml:space="preserve">SC-06</t>
  </si>
  <si>
    <t xml:space="preserve">Optional additional tributary (if another label is found)</t>
  </si>
  <si>
    <t xml:space="preserve">GRAVEL</t>
  </si>
  <si>
    <t xml:space="preserve">Reserved row. Enter area only if another labeled tributary must be included.</t>
  </si>
  <si>
    <t xml:space="preserve">RUNOFF SUMMARY AT EAST DISCHARGE</t>
  </si>
  <si>
    <t xml:space="preserve">Metric</t>
  </si>
  <si>
    <t xml:space="preserve">Comment</t>
  </si>
  <si>
    <t xml:space="preserve">Total effective contributing area BEFORE (m2)</t>
  </si>
  <si>
    <t xml:space="preserve">Total effective contributing area AFTER (m2)</t>
  </si>
  <si>
    <t xml:space="preserve">Total impervious area BEFORE (m2)</t>
  </si>
  <si>
    <t xml:space="preserve">Total impervious area AFTER (m2)</t>
  </si>
  <si>
    <t xml:space="preserve">Total grass area BEFORE (m2)</t>
  </si>
  <si>
    <t xml:space="preserve">Total grass area AFTER (m2)</t>
  </si>
  <si>
    <t xml:space="preserve">Total Q BEFORE (m3/s)</t>
  </si>
  <si>
    <t xml:space="preserve">At east discharge reference</t>
  </si>
  <si>
    <t xml:space="preserve">Total Q AFTER (m3/s)</t>
  </si>
  <si>
    <t xml:space="preserve">Delta Q (AFTER-BEFORE) (m3/s)</t>
  </si>
  <si>
    <t xml:space="preserve">Delta Q (%)</t>
  </si>
  <si>
    <t xml:space="preserve">Discharge point considered:</t>
  </si>
  <si>
    <t xml:space="preserve">Intensity method / station</t>
  </si>
  <si>
    <t xml:space="preserve">STATION_TABLE uses IDF_Station lookup by Tc and return period (Saint-Constant project).</t>
  </si>
  <si>
    <t xml:space="preserve">Allowable runoff check</t>
  </si>
  <si>
    <t xml:space="preserve">Q_allowable_user (m3/s)</t>
  </si>
  <si>
    <t xml:space="preserve">Input by user/City requirement.</t>
  </si>
  <si>
    <t xml:space="preserve">Q_after &lt;= Q_allowable ?</t>
  </si>
  <si>
    <t xml:space="preserve">Compares total post-development flow to user allowable limit.</t>
  </si>
  <si>
    <t xml:space="preserve">Margin (Q_allowable - Q_after)</t>
  </si>
  <si>
    <t xml:space="preserve">Positive = capacity remaining; negative = exceedance.</t>
  </si>
  <si>
    <t xml:space="preserve">Area takeoff check (labels from marked plan)</t>
  </si>
  <si>
    <t xml:space="preserve">A=12712 m2 included?</t>
  </si>
  <si>
    <t xml:space="preserve">A=2961 m2 included?</t>
  </si>
  <si>
    <t xml:space="preserve">A=2882 m2 included?</t>
  </si>
  <si>
    <t xml:space="preserve">A=1869.7 m2 included?</t>
  </si>
  <si>
    <t xml:space="preserve">A=398 m2 included?</t>
  </si>
  <si>
    <t xml:space="preserve">SC-04 mixed-surface sensitivity (Q_after)</t>
  </si>
  <si>
    <t xml:space="preserve">LOW (imp frac = Inputs!B34)</t>
  </si>
  <si>
    <t xml:space="preserve">After-flow contribution of SC-04 under LOW impervious assumption.</t>
  </si>
  <si>
    <t xml:space="preserve">BASE (imp frac = Inputs!B35)</t>
  </si>
  <si>
    <t xml:space="preserve">After-flow contribution of SC-04 under BASE impervious assumption.</t>
  </si>
  <si>
    <t xml:space="preserve">HIGH (imp frac = Inputs!B36)</t>
  </si>
  <si>
    <t xml:space="preserve">After-flow contribution of SC-04 under HIGH impervious assumption.</t>
  </si>
  <si>
    <t xml:space="preserve">ACTIVE scenario value (from mode)</t>
  </si>
  <si>
    <t xml:space="preserve">Current SC-04 after-flow using selected mode in Inputs!B33.</t>
  </si>
  <si>
    <t xml:space="preserve">Collector trunk explicit total length (m)</t>
  </si>
  <si>
    <t xml:space="preserve">From explicit east+bottom+west inputs.</t>
  </si>
  <si>
    <t xml:space="preserve">Collector trunk implied length from note (m)</t>
  </si>
  <si>
    <t xml:space="preserve">Computed from 0.983 m / 0.5%.</t>
  </si>
  <si>
    <t xml:space="preserve">Length mismatch explicit-implied (m)</t>
  </si>
  <si>
    <t xml:space="preserve">Target near 0 after field chainage calibration.</t>
  </si>
  <si>
    <t xml:space="preserve">IDF station table used by model (Saint-Constant project; current values from McTavish table)</t>
  </si>
  <si>
    <t xml:space="preserve">Duration_min</t>
  </si>
  <si>
    <t xml:space="preserve">2-Year</t>
  </si>
  <si>
    <t xml:space="preserve">5-Year</t>
  </si>
  <si>
    <t xml:space="preserve">10-Year</t>
  </si>
  <si>
    <t xml:space="preserve">25-Year</t>
  </si>
  <si>
    <t xml:space="preserve">50-Year</t>
  </si>
  <si>
    <t xml:space="preserve">THREE-LINE TRENCH/DITCH PROFILE INPUT</t>
  </si>
  <si>
    <t xml:space="preserve">Station_ID</t>
  </si>
  <si>
    <t xml:space="preserve">Distance_from_start_m</t>
  </si>
  <si>
    <t xml:space="preserve">Left_edge_elev_m</t>
  </si>
  <si>
    <t xml:space="preserve">Center_invert_elev_m</t>
  </si>
  <si>
    <t xml:space="preserve">Right_edge_elev_m</t>
  </si>
  <si>
    <t xml:space="preserve">Cross_slope_left_to_center_%</t>
  </si>
  <si>
    <t xml:space="preserve">Cross_slope_right_to_center_%</t>
  </si>
  <si>
    <t xml:space="preserve">S0</t>
  </si>
  <si>
    <t xml:space="preserve">Start point</t>
  </si>
  <si>
    <t xml:space="preserve">S1</t>
  </si>
  <si>
    <t xml:space="preserve">Intermediate point</t>
  </si>
  <si>
    <t xml:space="preserve">S2</t>
  </si>
  <si>
    <t xml:space="preserve">Near outlet point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</si>
</sst>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&lt;1]0.0000;0.000"/>
    <numFmt numFmtId="166" formatCode="0.0000"/>
    <numFmt numFmtId="167" formatCode="0.000"/>
    <numFmt numFmtId="168" formatCode="0.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b val="true"/>
      <sz val="1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D6"/>
        <bgColor rgb="FFFFF2CC"/>
      </patternFill>
    </fill>
    <fill>
      <patternFill patternType="solid">
        <fgColor rgb="FFD9E1F2"/>
        <bgColor rgb="FFE2F0D9"/>
      </patternFill>
    </fill>
    <fill>
      <patternFill patternType="solid">
        <fgColor rgb="FFFFF2CC"/>
        <bgColor rgb="FFFCE4D6"/>
      </patternFill>
    </fill>
    <fill>
      <patternFill patternType="solid">
        <fgColor rgb="FFE2F0D9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1" activeCellId="0" sqref="A3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20"/>
  </cols>
  <sheetData>
    <row r="1" customFormat="false" ht="15" hidden="false" customHeight="false" outlineLevel="0" collapsed="false">
      <c r="A1" s="2" t="s">
        <v>0</v>
      </c>
      <c r="B1" s="3"/>
      <c r="C1" s="3"/>
      <c r="D1" s="3"/>
      <c r="E1" s="3"/>
      <c r="F1" s="3"/>
    </row>
    <row r="2" customFormat="false" ht="15" hidden="false" customHeight="false" outlineLevel="0" collapsed="false">
      <c r="A2" s="4"/>
      <c r="B2" s="4"/>
      <c r="C2" s="4"/>
      <c r="D2" s="4"/>
      <c r="E2" s="4"/>
      <c r="F2" s="4"/>
    </row>
    <row r="3" customFormat="false" ht="15" hidden="false" customHeight="false" outlineLevel="0" collapsed="false">
      <c r="A3" s="5" t="s">
        <v>1</v>
      </c>
      <c r="B3" s="4"/>
      <c r="C3" s="4"/>
      <c r="D3" s="4"/>
      <c r="E3" s="4"/>
      <c r="F3" s="4"/>
    </row>
    <row r="4" customFormat="false" ht="15" hidden="false" customHeight="false" outlineLevel="0" collapsed="false">
      <c r="A4" s="5" t="s">
        <v>2</v>
      </c>
      <c r="B4" s="4"/>
      <c r="C4" s="4"/>
      <c r="D4" s="4"/>
      <c r="E4" s="4"/>
      <c r="F4" s="4"/>
    </row>
    <row r="5" customFormat="false" ht="23.85" hidden="false" customHeight="false" outlineLevel="0" collapsed="false">
      <c r="A5" s="5" t="s">
        <v>3</v>
      </c>
      <c r="B5" s="4"/>
      <c r="C5" s="4"/>
      <c r="D5" s="4"/>
      <c r="E5" s="4"/>
      <c r="F5" s="4"/>
    </row>
    <row r="6" customFormat="false" ht="23.85" hidden="false" customHeight="false" outlineLevel="0" collapsed="false">
      <c r="A6" s="5" t="s">
        <v>4</v>
      </c>
      <c r="B6" s="4"/>
      <c r="C6" s="4"/>
      <c r="D6" s="4"/>
      <c r="E6" s="4"/>
      <c r="F6" s="4"/>
    </row>
    <row r="7" customFormat="false" ht="15" hidden="false" customHeight="false" outlineLevel="0" collapsed="false">
      <c r="A7" s="5" t="s">
        <v>5</v>
      </c>
      <c r="B7" s="4"/>
      <c r="C7" s="4"/>
      <c r="D7" s="4"/>
      <c r="E7" s="4"/>
      <c r="F7" s="4"/>
    </row>
    <row r="8" customFormat="false" ht="15" hidden="false" customHeight="false" outlineLevel="0" collapsed="false">
      <c r="A8" s="5" t="s">
        <v>6</v>
      </c>
      <c r="B8" s="4"/>
      <c r="C8" s="4"/>
      <c r="D8" s="4"/>
      <c r="E8" s="4"/>
      <c r="F8" s="4"/>
    </row>
    <row r="9" customFormat="false" ht="15" hidden="false" customHeight="false" outlineLevel="0" collapsed="false">
      <c r="A9" s="5" t="s">
        <v>7</v>
      </c>
      <c r="B9" s="4"/>
      <c r="C9" s="4"/>
      <c r="D9" s="4"/>
      <c r="E9" s="4"/>
      <c r="F9" s="4"/>
    </row>
    <row r="10" customFormat="false" ht="15" hidden="false" customHeight="false" outlineLevel="0" collapsed="false">
      <c r="A10" s="5" t="s">
        <v>8</v>
      </c>
      <c r="B10" s="4"/>
      <c r="C10" s="4"/>
      <c r="D10" s="4"/>
      <c r="E10" s="4"/>
      <c r="F10" s="4"/>
    </row>
    <row r="11" customFormat="false" ht="15" hidden="false" customHeight="false" outlineLevel="0" collapsed="false">
      <c r="A11" s="5" t="s">
        <v>9</v>
      </c>
      <c r="B11" s="4"/>
      <c r="C11" s="4"/>
      <c r="D11" s="4"/>
      <c r="E11" s="4"/>
      <c r="F11" s="4"/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</row>
    <row r="13" customFormat="false" ht="15" hidden="false" customHeight="false" outlineLevel="0" collapsed="false">
      <c r="A13" s="6" t="s">
        <v>10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8" t="s">
        <v>11</v>
      </c>
      <c r="B14" s="4"/>
      <c r="C14" s="4"/>
      <c r="D14" s="4"/>
      <c r="E14" s="4"/>
      <c r="F14" s="4"/>
    </row>
    <row r="16" customFormat="false" ht="15" hidden="false" customHeight="false" outlineLevel="0" collapsed="false">
      <c r="A16" s="1" t="s">
        <v>12</v>
      </c>
    </row>
    <row r="19" customFormat="false" ht="15" hidden="false" customHeight="false" outlineLevel="0" collapsed="false">
      <c r="A19" s="9" t="s">
        <v>13</v>
      </c>
    </row>
    <row r="20" customFormat="false" ht="15" hidden="false" customHeight="false" outlineLevel="0" collapsed="false">
      <c r="A20" s="10" t="s">
        <v>14</v>
      </c>
    </row>
    <row r="21" customFormat="false" ht="15" hidden="false" customHeight="false" outlineLevel="0" collapsed="false">
      <c r="A21" s="10" t="s">
        <v>15</v>
      </c>
    </row>
    <row r="22" customFormat="false" ht="15" hidden="false" customHeight="false" outlineLevel="0" collapsed="false">
      <c r="A22" s="10" t="s">
        <v>16</v>
      </c>
    </row>
    <row r="23" customFormat="false" ht="15" hidden="false" customHeight="false" outlineLevel="0" collapsed="false">
      <c r="A23" s="10" t="s">
        <v>17</v>
      </c>
    </row>
    <row r="24" customFormat="false" ht="15" hidden="false" customHeight="false" outlineLevel="0" collapsed="false">
      <c r="A24" s="10" t="s">
        <v>18</v>
      </c>
    </row>
    <row r="25" customFormat="false" ht="15" hidden="false" customHeight="false" outlineLevel="0" collapsed="false">
      <c r="A25" s="9" t="s">
        <v>19</v>
      </c>
    </row>
    <row r="26" customFormat="false" ht="15" hidden="false" customHeight="false" outlineLevel="0" collapsed="false">
      <c r="A26" s="10" t="s">
        <v>20</v>
      </c>
    </row>
    <row r="27" customFormat="false" ht="23.85" hidden="false" customHeight="false" outlineLevel="0" collapsed="false">
      <c r="A27" s="10" t="s">
        <v>21</v>
      </c>
    </row>
    <row r="53" customFormat="false" ht="15" hidden="false" customHeight="false" outlineLevel="0" collapsed="false">
      <c r="A53" s="1" t="s">
        <v>22</v>
      </c>
    </row>
    <row r="54" customFormat="false" ht="15" hidden="false" customHeight="false" outlineLevel="0" collapsed="false">
      <c r="A54" s="1" t="s">
        <v>23</v>
      </c>
    </row>
    <row r="57" customFormat="false" ht="15" hidden="false" customHeight="false" outlineLevel="0" collapsed="false">
      <c r="A57" s="1" t="s">
        <v>24</v>
      </c>
    </row>
    <row r="58" customFormat="false" ht="15" hidden="false" customHeight="false" outlineLevel="0" collapsed="false">
      <c r="A58" s="1" t="s">
        <v>25</v>
      </c>
    </row>
    <row r="59" customFormat="false" ht="15" hidden="false" customHeight="false" outlineLevel="0" collapsed="false">
      <c r="A59" s="1" t="s">
        <v>26</v>
      </c>
    </row>
    <row r="60" customFormat="false" ht="15" hidden="false" customHeight="false" outlineLevel="0" collapsed="false">
      <c r="A60" s="1" t="s">
        <v>27</v>
      </c>
    </row>
    <row r="61" customFormat="false" ht="15" hidden="false" customHeight="false" outlineLevel="0" collapsed="false">
      <c r="A61" s="1" t="s">
        <v>28</v>
      </c>
    </row>
    <row r="62" customFormat="false" ht="15" hidden="false" customHeight="false" outlineLevel="0" collapsed="false">
      <c r="A62" s="1" t="s">
        <v>29</v>
      </c>
    </row>
    <row r="63" customFormat="false" ht="15" hidden="false" customHeight="false" outlineLevel="0" collapsed="false">
      <c r="A63" s="11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34" activePane="bottomLeft" state="frozen"/>
      <selection pane="topLeft" activeCell="A1" activeCellId="0" sqref="A1"/>
      <selection pane="bottomLeft" activeCell="D36" activeCellId="0" sqref="D36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70"/>
  </cols>
  <sheetData>
    <row r="1" customFormat="false" ht="15" hidden="false" customHeight="false" outlineLevel="0" collapsed="false">
      <c r="A1" s="12" t="s">
        <v>31</v>
      </c>
      <c r="B1" s="13"/>
      <c r="C1" s="13"/>
      <c r="D1" s="13"/>
    </row>
    <row r="2" customFormat="false" ht="15" hidden="false" customHeight="false" outlineLevel="0" collapsed="false">
      <c r="A2" s="14" t="s">
        <v>32</v>
      </c>
      <c r="B2" s="14" t="s">
        <v>33</v>
      </c>
      <c r="C2" s="14" t="s">
        <v>34</v>
      </c>
      <c r="D2" s="14" t="s">
        <v>35</v>
      </c>
    </row>
    <row r="3" customFormat="false" ht="15" hidden="false" customHeight="false" outlineLevel="0" collapsed="false">
      <c r="A3" s="14" t="s">
        <v>36</v>
      </c>
      <c r="B3" s="15" t="n">
        <v>7423.67</v>
      </c>
      <c r="C3" s="4" t="s">
        <v>37</v>
      </c>
      <c r="D3" s="4" t="s">
        <v>38</v>
      </c>
    </row>
    <row r="4" customFormat="false" ht="15" hidden="false" customHeight="false" outlineLevel="0" collapsed="false">
      <c r="A4" s="14" t="s">
        <v>39</v>
      </c>
      <c r="B4" s="15" t="n">
        <v>33.5</v>
      </c>
      <c r="C4" s="4" t="s">
        <v>40</v>
      </c>
      <c r="D4" s="4" t="s">
        <v>41</v>
      </c>
    </row>
    <row r="5" customFormat="false" ht="15" hidden="false" customHeight="false" outlineLevel="0" collapsed="false">
      <c r="A5" s="14" t="s">
        <v>42</v>
      </c>
      <c r="B5" s="15" t="n">
        <v>1.148</v>
      </c>
      <c r="C5" s="4" t="s">
        <v>37</v>
      </c>
      <c r="D5" s="4" t="s">
        <v>43</v>
      </c>
    </row>
    <row r="6" customFormat="false" ht="15" hidden="false" customHeight="false" outlineLevel="0" collapsed="false">
      <c r="A6" s="14" t="s">
        <v>44</v>
      </c>
      <c r="B6" s="15" t="n">
        <v>1.1</v>
      </c>
      <c r="C6" s="4" t="s">
        <v>37</v>
      </c>
      <c r="D6" s="4" t="s">
        <v>45</v>
      </c>
    </row>
    <row r="7" customFormat="false" ht="15" hidden="false" customHeight="false" outlineLevel="0" collapsed="false">
      <c r="A7" s="14" t="s">
        <v>46</v>
      </c>
      <c r="B7" s="15" t="n">
        <v>0.3</v>
      </c>
      <c r="C7" s="4" t="s">
        <v>47</v>
      </c>
      <c r="D7" s="4" t="s">
        <v>48</v>
      </c>
    </row>
    <row r="8" customFormat="false" ht="15" hidden="false" customHeight="false" outlineLevel="0" collapsed="false">
      <c r="A8" s="14" t="s">
        <v>49</v>
      </c>
      <c r="B8" s="15" t="n">
        <v>1</v>
      </c>
      <c r="C8" s="4" t="s">
        <v>47</v>
      </c>
      <c r="D8" s="4" t="s">
        <v>50</v>
      </c>
    </row>
    <row r="9" customFormat="false" ht="15" hidden="false" customHeight="false" outlineLevel="0" collapsed="false">
      <c r="A9" s="14" t="s">
        <v>51</v>
      </c>
      <c r="B9" s="15" t="n">
        <v>1.5</v>
      </c>
      <c r="C9" s="4" t="s">
        <v>47</v>
      </c>
      <c r="D9" s="4" t="s">
        <v>52</v>
      </c>
    </row>
    <row r="10" customFormat="false" ht="15" hidden="false" customHeight="false" outlineLevel="0" collapsed="false">
      <c r="A10" s="14" t="s">
        <v>53</v>
      </c>
      <c r="B10" s="15" t="n">
        <v>1.5</v>
      </c>
      <c r="C10" s="4" t="s">
        <v>47</v>
      </c>
      <c r="D10" s="4" t="s">
        <v>54</v>
      </c>
    </row>
    <row r="11" customFormat="false" ht="15" hidden="false" customHeight="false" outlineLevel="0" collapsed="false">
      <c r="A11" s="14" t="s">
        <v>55</v>
      </c>
      <c r="B11" s="15" t="n">
        <v>7</v>
      </c>
      <c r="C11" s="4" t="s">
        <v>40</v>
      </c>
      <c r="D11" s="4" t="s">
        <v>56</v>
      </c>
    </row>
    <row r="12" customFormat="false" ht="15" hidden="false" customHeight="false" outlineLevel="0" collapsed="false">
      <c r="A12" s="14" t="s">
        <v>57</v>
      </c>
      <c r="B12" s="15" t="n">
        <v>7</v>
      </c>
      <c r="C12" s="4" t="s">
        <v>40</v>
      </c>
      <c r="D12" s="4" t="s">
        <v>58</v>
      </c>
    </row>
    <row r="13" customFormat="false" ht="15" hidden="false" customHeight="false" outlineLevel="0" collapsed="false">
      <c r="A13" s="14" t="s">
        <v>59</v>
      </c>
      <c r="B13" s="15" t="n">
        <v>0.95</v>
      </c>
      <c r="C13" s="4" t="s">
        <v>37</v>
      </c>
      <c r="D13" s="4" t="s">
        <v>60</v>
      </c>
    </row>
    <row r="14" customFormat="false" ht="15" hidden="false" customHeight="false" outlineLevel="0" collapsed="false">
      <c r="A14" s="14" t="s">
        <v>61</v>
      </c>
      <c r="B14" s="15" t="n">
        <v>0.85</v>
      </c>
      <c r="C14" s="4" t="s">
        <v>37</v>
      </c>
      <c r="D14" s="4" t="s">
        <v>62</v>
      </c>
    </row>
    <row r="15" customFormat="false" ht="15" hidden="false" customHeight="false" outlineLevel="0" collapsed="false">
      <c r="A15" s="14" t="s">
        <v>63</v>
      </c>
      <c r="B15" s="15" t="n">
        <v>0.3</v>
      </c>
      <c r="C15" s="4" t="s">
        <v>37</v>
      </c>
      <c r="D15" s="4" t="s">
        <v>64</v>
      </c>
    </row>
    <row r="16" customFormat="false" ht="15" hidden="false" customHeight="false" outlineLevel="0" collapsed="false">
      <c r="A16" s="14" t="s">
        <v>65</v>
      </c>
      <c r="B16" s="15" t="n">
        <v>0.25</v>
      </c>
      <c r="C16" s="4" t="s">
        <v>37</v>
      </c>
      <c r="D16" s="4" t="s">
        <v>66</v>
      </c>
    </row>
    <row r="17" customFormat="false" ht="15" hidden="false" customHeight="false" outlineLevel="0" collapsed="false">
      <c r="A17" s="14" t="s">
        <v>67</v>
      </c>
      <c r="B17" s="15" t="n">
        <v>0.55</v>
      </c>
      <c r="C17" s="4" t="s">
        <v>37</v>
      </c>
      <c r="D17" s="4" t="s">
        <v>68</v>
      </c>
    </row>
    <row r="18" customFormat="false" ht="15" hidden="false" customHeight="false" outlineLevel="0" collapsed="false">
      <c r="A18" s="14" t="s">
        <v>69</v>
      </c>
      <c r="B18" s="15" t="n">
        <v>0.45</v>
      </c>
      <c r="C18" s="4" t="s">
        <v>37</v>
      </c>
      <c r="D18" s="4" t="s">
        <v>70</v>
      </c>
    </row>
    <row r="19" customFormat="false" ht="15" hidden="false" customHeight="false" outlineLevel="0" collapsed="false">
      <c r="A19" s="14" t="s">
        <v>71</v>
      </c>
      <c r="B19" s="15" t="n">
        <v>1</v>
      </c>
      <c r="C19" s="4" t="s">
        <v>72</v>
      </c>
      <c r="D19" s="4" t="s">
        <v>73</v>
      </c>
    </row>
    <row r="20" customFormat="false" ht="15" hidden="false" customHeight="false" outlineLevel="0" collapsed="false">
      <c r="A20" s="14" t="s">
        <v>74</v>
      </c>
      <c r="B20" s="16" t="s">
        <v>75</v>
      </c>
      <c r="C20" s="4" t="s">
        <v>37</v>
      </c>
      <c r="D20" s="4" t="s">
        <v>76</v>
      </c>
    </row>
    <row r="22" customFormat="false" ht="15" hidden="false" customHeight="false" outlineLevel="0" collapsed="false">
      <c r="A22" s="14" t="s">
        <v>77</v>
      </c>
      <c r="B22" s="16" t="s">
        <v>78</v>
      </c>
      <c r="C22" s="4" t="s">
        <v>37</v>
      </c>
      <c r="D22" s="4" t="s">
        <v>79</v>
      </c>
    </row>
    <row r="23" customFormat="false" ht="15" hidden="false" customHeight="false" outlineLevel="0" collapsed="false">
      <c r="A23" s="14" t="s">
        <v>80</v>
      </c>
      <c r="B23" s="16" t="s">
        <v>81</v>
      </c>
      <c r="C23" s="4" t="s">
        <v>82</v>
      </c>
      <c r="D23" s="4" t="s">
        <v>83</v>
      </c>
    </row>
    <row r="24" customFormat="false" ht="15" hidden="false" customHeight="false" outlineLevel="0" collapsed="false">
      <c r="A24" s="14" t="s">
        <v>84</v>
      </c>
      <c r="B24" s="16" t="s">
        <v>85</v>
      </c>
      <c r="C24" s="4" t="s">
        <v>86</v>
      </c>
      <c r="D24" s="4" t="s">
        <v>87</v>
      </c>
    </row>
    <row r="25" customFormat="false" ht="15" hidden="false" customHeight="false" outlineLevel="0" collapsed="false">
      <c r="A25" s="14" t="s">
        <v>88</v>
      </c>
      <c r="B25" s="16"/>
      <c r="C25" s="4" t="s">
        <v>89</v>
      </c>
      <c r="D25" s="4" t="s">
        <v>90</v>
      </c>
    </row>
    <row r="26" customFormat="false" ht="15" hidden="false" customHeight="false" outlineLevel="0" collapsed="false">
      <c r="A26" s="14" t="s">
        <v>91</v>
      </c>
      <c r="B26" s="16" t="s">
        <v>92</v>
      </c>
      <c r="C26" s="4" t="s">
        <v>37</v>
      </c>
      <c r="D26" s="4" t="s">
        <v>93</v>
      </c>
    </row>
    <row r="27" customFormat="false" ht="15" hidden="false" customHeight="false" outlineLevel="0" collapsed="false">
      <c r="A27" s="14" t="s">
        <v>94</v>
      </c>
      <c r="B27" s="16" t="n">
        <v>0.9</v>
      </c>
      <c r="C27" s="4" t="s">
        <v>47</v>
      </c>
      <c r="D27" s="4" t="s">
        <v>95</v>
      </c>
    </row>
    <row r="31" customFormat="false" ht="15" hidden="false" customHeight="false" outlineLevel="0" collapsed="false">
      <c r="A31" s="14" t="s">
        <v>96</v>
      </c>
      <c r="B31" s="15" t="s">
        <v>97</v>
      </c>
      <c r="C31" s="4" t="s">
        <v>37</v>
      </c>
      <c r="D31" s="4" t="s">
        <v>98</v>
      </c>
    </row>
    <row r="32" customFormat="false" ht="15" hidden="false" customHeight="false" outlineLevel="0" collapsed="false">
      <c r="A32" s="14" t="s">
        <v>99</v>
      </c>
      <c r="B32" s="17" t="n">
        <f aca="false">Subcatchments!$C$7</f>
        <v>398</v>
      </c>
      <c r="C32" s="4" t="s">
        <v>100</v>
      </c>
      <c r="D32" s="4" t="s">
        <v>101</v>
      </c>
    </row>
    <row r="33" customFormat="false" ht="15" hidden="false" customHeight="false" outlineLevel="0" collapsed="false">
      <c r="A33" s="14" t="s">
        <v>102</v>
      </c>
      <c r="B33" s="15" t="s">
        <v>103</v>
      </c>
      <c r="C33" s="4" t="s">
        <v>86</v>
      </c>
      <c r="D33" s="4" t="s">
        <v>104</v>
      </c>
    </row>
    <row r="34" customFormat="false" ht="15" hidden="false" customHeight="false" outlineLevel="0" collapsed="false">
      <c r="A34" s="14" t="s">
        <v>105</v>
      </c>
      <c r="B34" s="15" t="n">
        <v>0.35</v>
      </c>
      <c r="C34" s="4" t="s">
        <v>72</v>
      </c>
      <c r="D34" s="4" t="s">
        <v>106</v>
      </c>
    </row>
    <row r="35" customFormat="false" ht="15" hidden="false" customHeight="false" outlineLevel="0" collapsed="false">
      <c r="A35" s="14" t="s">
        <v>107</v>
      </c>
      <c r="B35" s="15" t="n">
        <v>0.5</v>
      </c>
      <c r="C35" s="4" t="s">
        <v>72</v>
      </c>
      <c r="D35" s="4" t="s">
        <v>108</v>
      </c>
    </row>
    <row r="36" customFormat="false" ht="15" hidden="false" customHeight="false" outlineLevel="0" collapsed="false">
      <c r="A36" s="14" t="s">
        <v>109</v>
      </c>
      <c r="B36" s="15" t="n">
        <v>0.7</v>
      </c>
      <c r="C36" s="4" t="s">
        <v>72</v>
      </c>
      <c r="D36" s="4" t="s">
        <v>110</v>
      </c>
    </row>
    <row r="37" customFormat="false" ht="15" hidden="false" customHeight="false" outlineLevel="0" collapsed="false">
      <c r="A37" s="14" t="s">
        <v>111</v>
      </c>
      <c r="B37" s="17" t="n">
        <f aca="false">IF(UPPER(TRIM(B33))="LOW",B34,IF(UPPER(TRIM(B33))="HIGH",B36,B35))</f>
        <v>0.5</v>
      </c>
      <c r="C37" s="4" t="s">
        <v>72</v>
      </c>
      <c r="D37" s="4" t="s">
        <v>112</v>
      </c>
    </row>
    <row r="38" customFormat="false" ht="15" hidden="false" customHeight="false" outlineLevel="0" collapsed="false">
      <c r="A38" s="14" t="s">
        <v>113</v>
      </c>
      <c r="B38" s="17" t="n">
        <f aca="false">1-B37</f>
        <v>0.5</v>
      </c>
      <c r="C38" s="4" t="s">
        <v>72</v>
      </c>
      <c r="D38" s="4" t="s">
        <v>114</v>
      </c>
    </row>
    <row r="39" customFormat="false" ht="15" hidden="false" customHeight="false" outlineLevel="0" collapsed="false">
      <c r="A39" s="14" t="s">
        <v>115</v>
      </c>
      <c r="B39" s="17" t="n">
        <f aca="false">B37*B14+B38*B15</f>
        <v>0.575</v>
      </c>
      <c r="C39" s="4" t="s">
        <v>37</v>
      </c>
      <c r="D39" s="4" t="s">
        <v>116</v>
      </c>
    </row>
    <row r="40" customFormat="false" ht="15" hidden="false" customHeight="false" outlineLevel="0" collapsed="false">
      <c r="A40" s="14" t="s">
        <v>117</v>
      </c>
      <c r="B40" s="17" t="n">
        <f aca="false">B37*B14+B38*B16</f>
        <v>0.55</v>
      </c>
      <c r="C40" s="4" t="s">
        <v>37</v>
      </c>
      <c r="D40" s="4" t="s">
        <v>118</v>
      </c>
    </row>
    <row r="41" customFormat="false" ht="15" hidden="false" customHeight="false" outlineLevel="0" collapsed="false">
      <c r="A41" s="14" t="s">
        <v>119</v>
      </c>
      <c r="B41" s="15" t="s">
        <v>120</v>
      </c>
      <c r="C41" s="4" t="s">
        <v>86</v>
      </c>
      <c r="D41" s="4" t="s">
        <v>121</v>
      </c>
    </row>
    <row r="43" customFormat="false" ht="15" hidden="false" customHeight="false" outlineLevel="0" collapsed="false">
      <c r="A43" s="14" t="s">
        <v>122</v>
      </c>
      <c r="B43" s="18" t="n">
        <v>0.005</v>
      </c>
      <c r="C43" s="4" t="s">
        <v>123</v>
      </c>
      <c r="D43" s="4" t="s">
        <v>124</v>
      </c>
    </row>
    <row r="44" customFormat="false" ht="15" hidden="false" customHeight="false" outlineLevel="0" collapsed="false">
      <c r="A44" s="14" t="s">
        <v>125</v>
      </c>
      <c r="B44" s="18" t="n">
        <v>0.983</v>
      </c>
      <c r="C44" s="4" t="s">
        <v>126</v>
      </c>
      <c r="D44" s="4" t="s">
        <v>127</v>
      </c>
    </row>
    <row r="45" customFormat="false" ht="15" hidden="false" customHeight="false" outlineLevel="0" collapsed="false">
      <c r="A45" s="14" t="s">
        <v>128</v>
      </c>
      <c r="B45" s="19" t="n">
        <f aca="false">IF(B43=0,"",B44/B43)</f>
        <v>196.6</v>
      </c>
      <c r="C45" s="4" t="s">
        <v>126</v>
      </c>
      <c r="D45" s="4" t="s">
        <v>129</v>
      </c>
    </row>
    <row r="46" customFormat="false" ht="15" hidden="false" customHeight="false" outlineLevel="0" collapsed="false">
      <c r="A46" s="14" t="s">
        <v>130</v>
      </c>
      <c r="B46" s="18" t="n">
        <v>65.5</v>
      </c>
      <c r="C46" s="4" t="s">
        <v>126</v>
      </c>
      <c r="D46" s="4" t="s">
        <v>131</v>
      </c>
    </row>
    <row r="47" customFormat="false" ht="15" hidden="false" customHeight="false" outlineLevel="0" collapsed="false">
      <c r="A47" s="14" t="s">
        <v>132</v>
      </c>
      <c r="B47" s="18" t="n">
        <v>65.5</v>
      </c>
      <c r="C47" s="4" t="s">
        <v>126</v>
      </c>
      <c r="D47" s="4" t="s">
        <v>133</v>
      </c>
    </row>
    <row r="48" customFormat="false" ht="15" hidden="false" customHeight="false" outlineLevel="0" collapsed="false">
      <c r="A48" s="14" t="s">
        <v>134</v>
      </c>
      <c r="B48" s="18" t="n">
        <v>65.6</v>
      </c>
      <c r="C48" s="4" t="s">
        <v>126</v>
      </c>
      <c r="D48" s="4" t="s">
        <v>135</v>
      </c>
    </row>
    <row r="49" customFormat="false" ht="15" hidden="false" customHeight="false" outlineLevel="0" collapsed="false">
      <c r="A49" s="14" t="s">
        <v>136</v>
      </c>
      <c r="B49" s="19" t="n">
        <f aca="false">SUM(B46:B48)</f>
        <v>196.6</v>
      </c>
      <c r="C49" s="4" t="s">
        <v>126</v>
      </c>
      <c r="D49" s="4" t="s">
        <v>137</v>
      </c>
    </row>
    <row r="50" customFormat="false" ht="15" hidden="false" customHeight="false" outlineLevel="0" collapsed="false">
      <c r="A50" s="14" t="s">
        <v>138</v>
      </c>
      <c r="B50" s="19" t="n">
        <f aca="false">B49-B45</f>
        <v>0</v>
      </c>
      <c r="C50" s="4" t="s">
        <v>126</v>
      </c>
      <c r="D50" s="4" t="s">
        <v>139</v>
      </c>
    </row>
    <row r="51" customFormat="false" ht="15" hidden="false" customHeight="false" outlineLevel="0" collapsed="false">
      <c r="A51" s="14" t="s">
        <v>140</v>
      </c>
      <c r="B51" s="16" t="s">
        <v>141</v>
      </c>
      <c r="C51" s="4" t="s">
        <v>86</v>
      </c>
      <c r="D51" s="4" t="s">
        <v>142</v>
      </c>
    </row>
    <row r="52" customFormat="false" ht="15" hidden="false" customHeight="false" outlineLevel="0" collapsed="false">
      <c r="A52" s="14" t="s">
        <v>143</v>
      </c>
      <c r="B52" s="18" t="n">
        <v>1.5</v>
      </c>
      <c r="C52" s="4" t="s">
        <v>47</v>
      </c>
      <c r="D52" s="4" t="s">
        <v>144</v>
      </c>
    </row>
    <row r="53" customFormat="false" ht="15" hidden="false" customHeight="false" outlineLevel="0" collapsed="false">
      <c r="A53" s="14" t="s">
        <v>145</v>
      </c>
      <c r="B53" s="16" t="s">
        <v>120</v>
      </c>
      <c r="C53" s="4" t="s">
        <v>86</v>
      </c>
      <c r="D53" s="4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8" activeCellId="0" sqref="D8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3" min="3" style="1" width="6"/>
    <col collapsed="false" customWidth="true" hidden="false" outlineLevel="0" max="4" min="4" style="1" width="10"/>
    <col collapsed="false" customWidth="true" hidden="false" outlineLevel="0" max="5" min="5" style="1" width="40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18"/>
    <col collapsed="false" customWidth="true" hidden="false" outlineLevel="0" max="10" min="10" style="1" width="14"/>
    <col collapsed="false" customWidth="true" hidden="false" outlineLevel="0" max="11" min="11" style="1" width="18.92"/>
    <col collapsed="false" customWidth="true" hidden="false" outlineLevel="0" max="12" min="12" style="1" width="14"/>
    <col collapsed="false" customWidth="true" hidden="false" outlineLevel="0" max="13" min="13" style="1" width="36"/>
  </cols>
  <sheetData>
    <row r="1" customFormat="false" ht="15" hidden="false" customHeight="false" outlineLevel="0" collapsed="false">
      <c r="A1" s="12" t="s">
        <v>147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3" customFormat="false" ht="15" hidden="false" customHeight="false" outlineLevel="0" collapsed="false">
      <c r="A3" s="14" t="s">
        <v>148</v>
      </c>
      <c r="B3" s="14" t="s">
        <v>149</v>
      </c>
      <c r="C3" s="14" t="s">
        <v>150</v>
      </c>
      <c r="D3" s="14" t="s">
        <v>151</v>
      </c>
      <c r="E3" s="14" t="s">
        <v>152</v>
      </c>
      <c r="F3" s="14" t="s">
        <v>153</v>
      </c>
      <c r="G3" s="14" t="s">
        <v>154</v>
      </c>
      <c r="H3" s="14" t="s">
        <v>155</v>
      </c>
      <c r="I3" s="14" t="s">
        <v>156</v>
      </c>
      <c r="J3" s="14" t="s">
        <v>157</v>
      </c>
      <c r="K3" s="14" t="s">
        <v>158</v>
      </c>
      <c r="L3" s="14" t="s">
        <v>159</v>
      </c>
      <c r="M3" s="14" t="s">
        <v>160</v>
      </c>
    </row>
    <row r="4" customFormat="false" ht="15" hidden="false" customHeight="false" outlineLevel="0" collapsed="false">
      <c r="A4" s="4" t="s">
        <v>161</v>
      </c>
      <c r="B4" s="4" t="s">
        <v>162</v>
      </c>
      <c r="C4" s="4" t="n">
        <v>1</v>
      </c>
      <c r="D4" s="4" t="s">
        <v>163</v>
      </c>
      <c r="E4" s="4" t="s">
        <v>164</v>
      </c>
      <c r="F4" s="4" t="s">
        <v>165</v>
      </c>
      <c r="G4" s="4" t="n">
        <v>35</v>
      </c>
      <c r="H4" s="4" t="n">
        <v>0.01</v>
      </c>
      <c r="I4" s="4"/>
      <c r="J4" s="17" t="n">
        <f aca="false">IF(I4&lt;&gt;"",I4,IF(UPPER(TRIM(F4))="SHEET",Inputs!$B$7,IF(UPPER(TRIM(F4))="SWALE",Inputs!$B$8,IF(UPPER(TRIM(F4))="TRENCH",Inputs!$B$27,IF(UPPER(TRIM(F4))="PIPE",Inputs!$B$9,Inputs!$B$10)))))</f>
        <v>0.3</v>
      </c>
      <c r="K4" s="17" t="n">
        <f aca="false">IF(OR(G4="",J4=""),"",G4/(J4*60))</f>
        <v>1.94444444444444</v>
      </c>
      <c r="L4" s="4" t="s">
        <v>166</v>
      </c>
      <c r="M4" s="4" t="s">
        <v>167</v>
      </c>
    </row>
    <row r="5" customFormat="false" ht="15" hidden="false" customHeight="false" outlineLevel="0" collapsed="false">
      <c r="A5" s="4" t="s">
        <v>161</v>
      </c>
      <c r="B5" s="4" t="s">
        <v>162</v>
      </c>
      <c r="C5" s="4" t="n">
        <v>2</v>
      </c>
      <c r="D5" s="4" t="s">
        <v>168</v>
      </c>
      <c r="E5" s="4" t="s">
        <v>169</v>
      </c>
      <c r="F5" s="4" t="s">
        <v>170</v>
      </c>
      <c r="G5" s="4" t="n">
        <v>25</v>
      </c>
      <c r="H5" s="4" t="n">
        <v>0.005</v>
      </c>
      <c r="I5" s="4"/>
      <c r="J5" s="17" t="n">
        <f aca="false">IF(I5&lt;&gt;"",I5,IF(UPPER(TRIM(F5))="SHEET",Inputs!$B$7,IF(UPPER(TRIM(F5))="SWALE",Inputs!$B$8,IF(UPPER(TRIM(F5))="TRENCH",Inputs!$B$27,IF(UPPER(TRIM(F5))="PIPE",Inputs!$B$9,Inputs!$B$10)))))</f>
        <v>1</v>
      </c>
      <c r="K5" s="17" t="n">
        <f aca="false">IF(OR(G5="",J5=""),"",G5/(J5*60))</f>
        <v>0.416666666666667</v>
      </c>
      <c r="L5" s="4" t="s">
        <v>166</v>
      </c>
      <c r="M5" s="4"/>
    </row>
    <row r="6" customFormat="false" ht="15" hidden="false" customHeight="false" outlineLevel="0" collapsed="false">
      <c r="A6" s="4" t="s">
        <v>161</v>
      </c>
      <c r="B6" s="4" t="s">
        <v>171</v>
      </c>
      <c r="C6" s="4" t="n">
        <v>1</v>
      </c>
      <c r="D6" s="4" t="s">
        <v>172</v>
      </c>
      <c r="E6" s="4" t="s">
        <v>173</v>
      </c>
      <c r="F6" s="4" t="s">
        <v>170</v>
      </c>
      <c r="G6" s="4" t="n">
        <v>205</v>
      </c>
      <c r="H6" s="4" t="n">
        <v>0.008</v>
      </c>
      <c r="I6" s="4"/>
      <c r="J6" s="17" t="n">
        <f aca="false">IF(I6&lt;&gt;"",I6,IF(UPPER(TRIM(F6))="SHEET",Inputs!$B$7,IF(UPPER(TRIM(F6))="SWALE",Inputs!$B$8,IF(UPPER(TRIM(F6))="TRENCH",Inputs!$B$27,IF(UPPER(TRIM(F6))="PIPE",Inputs!$B$9,Inputs!$B$10)))))</f>
        <v>1</v>
      </c>
      <c r="K6" s="17" t="n">
        <f aca="false">IF(OR(G6="",J6=""),"",G6/(J6*60))</f>
        <v>3.41666666666667</v>
      </c>
      <c r="L6" s="4" t="s">
        <v>166</v>
      </c>
      <c r="M6" s="4" t="s">
        <v>174</v>
      </c>
    </row>
    <row r="7" customFormat="false" ht="15" hidden="false" customHeight="false" outlineLevel="0" collapsed="false">
      <c r="A7" s="4" t="s">
        <v>175</v>
      </c>
      <c r="B7" s="4" t="s">
        <v>176</v>
      </c>
      <c r="C7" s="4" t="n">
        <v>1</v>
      </c>
      <c r="D7" s="4" t="s">
        <v>177</v>
      </c>
      <c r="E7" s="4" t="s">
        <v>178</v>
      </c>
      <c r="F7" s="4" t="s">
        <v>179</v>
      </c>
      <c r="G7" s="4" t="n">
        <v>18.3</v>
      </c>
      <c r="H7" s="4" t="n">
        <v>0.008</v>
      </c>
      <c r="I7" s="4"/>
      <c r="J7" s="17" t="n">
        <f aca="false">IF(I7&lt;&gt;"",I7,IF(UPPER(TRIM(F7))="SHEET",Inputs!$B$7,IF(UPPER(TRIM(F7))="SWALE",Inputs!$B$8,IF(UPPER(TRIM(F7))="TRENCH",Inputs!$B$27,IF(UPPER(TRIM(F7))="PIPE",Inputs!$B$9,Inputs!$B$10)))))</f>
        <v>0.9</v>
      </c>
      <c r="K7" s="17" t="n">
        <f aca="false">IF(OR(G7="",J7=""),"",G7/(J7*60))</f>
        <v>0.338888888888889</v>
      </c>
      <c r="L7" s="4" t="s">
        <v>180</v>
      </c>
      <c r="M7" s="4" t="s">
        <v>181</v>
      </c>
    </row>
    <row r="8" customFormat="false" ht="15" hidden="false" customHeight="false" outlineLevel="0" collapsed="false">
      <c r="A8" s="4" t="s">
        <v>175</v>
      </c>
      <c r="B8" s="4" t="s">
        <v>182</v>
      </c>
      <c r="C8" s="4" t="n">
        <v>1</v>
      </c>
      <c r="D8" s="4" t="s">
        <v>183</v>
      </c>
      <c r="E8" s="4" t="s">
        <v>184</v>
      </c>
      <c r="F8" s="4" t="s">
        <v>141</v>
      </c>
      <c r="G8" s="4" t="n">
        <v>16.1</v>
      </c>
      <c r="H8" s="4" t="n">
        <v>0.005</v>
      </c>
      <c r="I8" s="4"/>
      <c r="J8" s="17" t="n">
        <f aca="false">IF(I8&lt;&gt;"",I8,IF(UPPER(TRIM(F8))="SHEET",Inputs!$B$7,IF(UPPER(TRIM(F8))="SWALE",Inputs!$B$8,IF(UPPER(TRIM(F8))="TRENCH",Inputs!$B$27,IF(UPPER(TRIM(F8))="PIPE",Inputs!$B$9,Inputs!$B$10)))))</f>
        <v>1.5</v>
      </c>
      <c r="K8" s="17" t="n">
        <f aca="false">IF(OR(G8="",J8=""),"",G8/(J8*60))</f>
        <v>0.178888888888889</v>
      </c>
      <c r="L8" s="4" t="s">
        <v>166</v>
      </c>
      <c r="M8" s="4" t="s">
        <v>185</v>
      </c>
    </row>
    <row r="9" customFormat="false" ht="15" hidden="false" customHeight="false" outlineLevel="0" collapsed="false">
      <c r="A9" s="4" t="s">
        <v>175</v>
      </c>
      <c r="B9" s="4" t="s">
        <v>186</v>
      </c>
      <c r="C9" s="4" t="n">
        <v>1</v>
      </c>
      <c r="D9" s="4" t="s">
        <v>187</v>
      </c>
      <c r="E9" s="4" t="s">
        <v>188</v>
      </c>
      <c r="F9" s="4" t="s">
        <v>179</v>
      </c>
      <c r="G9" s="4" t="n">
        <v>12</v>
      </c>
      <c r="H9" s="4" t="n">
        <v>0.005</v>
      </c>
      <c r="I9" s="4"/>
      <c r="J9" s="17" t="n">
        <f aca="false">IF(I9&lt;&gt;"",I9,IF(UPPER(TRIM(F9))="SHEET",Inputs!$B$7,IF(UPPER(TRIM(F9))="SWALE",Inputs!$B$8,IF(UPPER(TRIM(F9))="TRENCH",Inputs!$B$27,IF(UPPER(TRIM(F9))="PIPE",Inputs!$B$9,Inputs!$B$10)))))</f>
        <v>0.9</v>
      </c>
      <c r="K9" s="17" t="n">
        <f aca="false">IF(OR(G9="",J9=""),"",G9/(J9*60))</f>
        <v>0.222222222222222</v>
      </c>
      <c r="L9" s="4" t="s">
        <v>166</v>
      </c>
      <c r="M9" s="4" t="s">
        <v>189</v>
      </c>
    </row>
    <row r="10" customFormat="false" ht="15" hidden="false" customHeight="false" outlineLevel="0" collapsed="false">
      <c r="A10" s="4" t="s">
        <v>175</v>
      </c>
      <c r="B10" s="4" t="s">
        <v>171</v>
      </c>
      <c r="C10" s="4" t="n">
        <v>1</v>
      </c>
      <c r="D10" s="4" t="s">
        <v>190</v>
      </c>
      <c r="E10" s="4" t="s">
        <v>191</v>
      </c>
      <c r="F10" s="4" t="s">
        <v>141</v>
      </c>
      <c r="G10" s="4" t="n">
        <v>23.6</v>
      </c>
      <c r="H10" s="4" t="n">
        <v>0.008</v>
      </c>
      <c r="I10" s="4"/>
      <c r="J10" s="17" t="n">
        <f aca="false">IF(I10&lt;&gt;"",I10,IF(UPPER(TRIM(F10))="SHEET",Inputs!$B$7,IF(UPPER(TRIM(F10))="SWALE",Inputs!$B$8,IF(UPPER(TRIM(F10))="TRENCH",Inputs!$B$27,IF(UPPER(TRIM(F10))="PIPE",Inputs!$B$9,Inputs!$B$10)))))</f>
        <v>1.5</v>
      </c>
      <c r="K10" s="17" t="n">
        <f aca="false">IF(OR(G10="",J10=""),"",G10/(J10*60))</f>
        <v>0.262222222222222</v>
      </c>
      <c r="L10" s="4" t="s">
        <v>166</v>
      </c>
      <c r="M10" s="4" t="s">
        <v>192</v>
      </c>
    </row>
    <row r="11" customFormat="false" ht="15" hidden="false" customHeight="false" outlineLevel="0" collapsed="false">
      <c r="A11" s="20" t="s">
        <v>175</v>
      </c>
      <c r="B11" s="4" t="s">
        <v>176</v>
      </c>
      <c r="C11" s="4" t="n">
        <v>2</v>
      </c>
      <c r="D11" s="4" t="s">
        <v>193</v>
      </c>
      <c r="E11" s="4" t="s">
        <v>194</v>
      </c>
      <c r="F11" s="4" t="str">
        <f aca="false">Inputs!$B$51</f>
        <v>PIPE</v>
      </c>
      <c r="G11" s="21" t="n">
        <f aca="false">IF(UPPER(TRIM(Inputs!$B$53))="YES",Inputs!$B$46,0)</f>
        <v>65.5</v>
      </c>
      <c r="H11" s="19" t="n">
        <f aca="false">Inputs!$B$43</f>
        <v>0.005</v>
      </c>
      <c r="I11" s="18" t="n">
        <f aca="false">Inputs!$B$52</f>
        <v>1.5</v>
      </c>
      <c r="J11" s="22" t="n">
        <f aca="false">IF(I11&lt;&gt;"",I11,IF(UPPER(TRIM(F11))="SHEET",Inputs!$B$7,IF(UPPER(TRIM(F11))="SWALE",Inputs!$B$8,IF(UPPER(TRIM(F11))="TRENCH",Inputs!$B$27,IF(UPPER(TRIM(F11))="PIPE",Inputs!$B$9,Inputs!$B$10)))))</f>
        <v>1.5</v>
      </c>
      <c r="K11" s="4" t="n">
        <f aca="false">IF(OR(G11="",J11=""),"",G11/(J11*60))</f>
        <v>0.727777777777778</v>
      </c>
      <c r="L11" s="4" t="s">
        <v>195</v>
      </c>
      <c r="M11" s="4" t="s">
        <v>196</v>
      </c>
    </row>
    <row r="12" customFormat="false" ht="15" hidden="false" customHeight="false" outlineLevel="0" collapsed="false">
      <c r="A12" s="20" t="s">
        <v>175</v>
      </c>
      <c r="B12" s="4" t="s">
        <v>186</v>
      </c>
      <c r="C12" s="4" t="n">
        <v>2</v>
      </c>
      <c r="D12" s="4" t="s">
        <v>197</v>
      </c>
      <c r="E12" s="4" t="s">
        <v>194</v>
      </c>
      <c r="F12" s="4" t="str">
        <f aca="false">Inputs!$B$51</f>
        <v>PIPE</v>
      </c>
      <c r="G12" s="21" t="n">
        <f aca="false">IF(UPPER(TRIM(Inputs!$B$53))="YES",Inputs!$B$46,0)</f>
        <v>65.5</v>
      </c>
      <c r="H12" s="19" t="n">
        <f aca="false">Inputs!$B$43</f>
        <v>0.005</v>
      </c>
      <c r="I12" s="18" t="n">
        <f aca="false">Inputs!$B$52</f>
        <v>1.5</v>
      </c>
      <c r="J12" s="22" t="n">
        <f aca="false">IF(I12&lt;&gt;"",I12,IF(UPPER(TRIM(F12))="SHEET",Inputs!$B$7,IF(UPPER(TRIM(F12))="SWALE",Inputs!$B$8,IF(UPPER(TRIM(F12))="TRENCH",Inputs!$B$27,IF(UPPER(TRIM(F12))="PIPE",Inputs!$B$9,Inputs!$B$10)))))</f>
        <v>1.5</v>
      </c>
      <c r="K12" s="4" t="n">
        <f aca="false">IF(OR(G12="",J12=""),"",G12/(J12*60))</f>
        <v>0.727777777777778</v>
      </c>
      <c r="L12" s="4" t="s">
        <v>195</v>
      </c>
      <c r="M12" s="4" t="s">
        <v>198</v>
      </c>
    </row>
    <row r="13" customFormat="false" ht="15" hidden="false" customHeight="false" outlineLevel="0" collapsed="false">
      <c r="A13" s="20" t="s">
        <v>175</v>
      </c>
      <c r="B13" s="4" t="s">
        <v>171</v>
      </c>
      <c r="C13" s="4" t="n">
        <v>2</v>
      </c>
      <c r="D13" s="4" t="s">
        <v>199</v>
      </c>
      <c r="E13" s="4" t="s">
        <v>200</v>
      </c>
      <c r="F13" s="4" t="str">
        <f aca="false">Inputs!$B$51</f>
        <v>PIPE</v>
      </c>
      <c r="G13" s="21" t="n">
        <f aca="false">IF(UPPER(TRIM(Inputs!$B$53))="YES",Inputs!$B$48,0)</f>
        <v>65.6</v>
      </c>
      <c r="H13" s="19" t="n">
        <f aca="false">Inputs!$B$43</f>
        <v>0.005</v>
      </c>
      <c r="I13" s="18" t="n">
        <f aca="false">Inputs!$B$52</f>
        <v>1.5</v>
      </c>
      <c r="J13" s="22" t="n">
        <f aca="false">IF(I13&lt;&gt;"",I13,IF(UPPER(TRIM(F13))="SHEET",Inputs!$B$7,IF(UPPER(TRIM(F13))="SWALE",Inputs!$B$8,IF(UPPER(TRIM(F13))="TRENCH",Inputs!$B$27,IF(UPPER(TRIM(F13))="PIPE",Inputs!$B$9,Inputs!$B$10)))))</f>
        <v>1.5</v>
      </c>
      <c r="K13" s="4" t="n">
        <f aca="false">IF(OR(G13="",J13=""),"",G13/(J13*60))</f>
        <v>0.728888888888889</v>
      </c>
      <c r="L13" s="4" t="s">
        <v>201</v>
      </c>
      <c r="M13" s="4" t="s">
        <v>202</v>
      </c>
    </row>
    <row r="14" customFormat="false" ht="15" hidden="false" customHeight="false" outlineLevel="0" collapsed="false">
      <c r="A14" s="20" t="s">
        <v>175</v>
      </c>
      <c r="B14" s="4" t="s">
        <v>171</v>
      </c>
      <c r="C14" s="4" t="n">
        <v>3</v>
      </c>
      <c r="D14" s="4" t="s">
        <v>203</v>
      </c>
      <c r="E14" s="4" t="s">
        <v>204</v>
      </c>
      <c r="F14" s="4" t="str">
        <f aca="false">Inputs!$B$51</f>
        <v>PIPE</v>
      </c>
      <c r="G14" s="21" t="n">
        <f aca="false">IF(UPPER(TRIM(Inputs!$B$53))="YES",Inputs!$B$47,0)</f>
        <v>65.5</v>
      </c>
      <c r="H14" s="19" t="n">
        <f aca="false">Inputs!$B$43</f>
        <v>0.005</v>
      </c>
      <c r="I14" s="18" t="n">
        <f aca="false">Inputs!$B$52</f>
        <v>1.5</v>
      </c>
      <c r="J14" s="22" t="n">
        <f aca="false">IF(I14&lt;&gt;"",I14,IF(UPPER(TRIM(F14))="SHEET",Inputs!$B$7,IF(UPPER(TRIM(F14))="SWALE",Inputs!$B$8,IF(UPPER(TRIM(F14))="TRENCH",Inputs!$B$27,IF(UPPER(TRIM(F14))="PIPE",Inputs!$B$9,Inputs!$B$10)))))</f>
        <v>1.5</v>
      </c>
      <c r="K14" s="4" t="n">
        <f aca="false">IF(OR(G14="",J14=""),"",G14/(J14*60))</f>
        <v>0.727777777777778</v>
      </c>
      <c r="L14" s="4" t="s">
        <v>205</v>
      </c>
      <c r="M14" s="4" t="s">
        <v>206</v>
      </c>
    </row>
    <row r="15" customFormat="false" ht="15" hidden="false" customHeight="false" outlineLevel="0" collapsed="false">
      <c r="A15" s="20" t="s">
        <v>175</v>
      </c>
      <c r="B15" s="4" t="s">
        <v>171</v>
      </c>
      <c r="C15" s="4" t="n">
        <v>4</v>
      </c>
      <c r="D15" s="4" t="s">
        <v>207</v>
      </c>
      <c r="E15" s="4" t="s">
        <v>194</v>
      </c>
      <c r="F15" s="4" t="str">
        <f aca="false">Inputs!$B$51</f>
        <v>PIPE</v>
      </c>
      <c r="G15" s="21" t="n">
        <f aca="false">IF(UPPER(TRIM(Inputs!$B$53))="YES",Inputs!$B$46,0)</f>
        <v>65.5</v>
      </c>
      <c r="H15" s="19" t="n">
        <f aca="false">Inputs!$B$43</f>
        <v>0.005</v>
      </c>
      <c r="I15" s="18" t="n">
        <f aca="false">Inputs!$B$52</f>
        <v>1.5</v>
      </c>
      <c r="J15" s="22" t="n">
        <f aca="false">IF(I15&lt;&gt;"",I15,IF(UPPER(TRIM(F15))="SHEET",Inputs!$B$7,IF(UPPER(TRIM(F15))="SWALE",Inputs!$B$8,IF(UPPER(TRIM(F15))="TRENCH",Inputs!$B$27,IF(UPPER(TRIM(F15))="PIPE",Inputs!$B$9,Inputs!$B$10)))))</f>
        <v>1.5</v>
      </c>
      <c r="K15" s="4" t="n">
        <f aca="false">IF(OR(G15="",J15=""),"",G15/(J15*60))</f>
        <v>0.727777777777778</v>
      </c>
      <c r="L15" s="4" t="s">
        <v>166</v>
      </c>
      <c r="M15" s="4" t="s">
        <v>208</v>
      </c>
    </row>
    <row r="16" customFormat="false" ht="15" hidden="false" customHeight="false" outlineLevel="0" collapsed="false">
      <c r="A16" s="20" t="s">
        <v>175</v>
      </c>
      <c r="B16" s="4" t="s">
        <v>182</v>
      </c>
      <c r="C16" s="4" t="n">
        <v>2</v>
      </c>
      <c r="D16" s="4" t="s">
        <v>209</v>
      </c>
      <c r="E16" s="4" t="s">
        <v>194</v>
      </c>
      <c r="F16" s="4" t="str">
        <f aca="false">Inputs!$B$51</f>
        <v>PIPE</v>
      </c>
      <c r="G16" s="21" t="n">
        <f aca="false">IF(UPPER(TRIM(Inputs!$B$53))="YES",Inputs!$B$46,0)</f>
        <v>65.5</v>
      </c>
      <c r="H16" s="19" t="n">
        <f aca="false">Inputs!$B$43</f>
        <v>0.005</v>
      </c>
      <c r="I16" s="18" t="n">
        <f aca="false">Inputs!$B$52</f>
        <v>1.5</v>
      </c>
      <c r="J16" s="22" t="n">
        <f aca="false">IF(I16&lt;&gt;"",I16,IF(UPPER(TRIM(F16))="SHEET",Inputs!$B$7,IF(UPPER(TRIM(F16))="SWALE",Inputs!$B$8,IF(UPPER(TRIM(F16))="TRENCH",Inputs!$B$27,IF(UPPER(TRIM(F16))="PIPE",Inputs!$B$9,Inputs!$B$10)))))</f>
        <v>1.5</v>
      </c>
      <c r="K16" s="4" t="n">
        <f aca="false">IF(OR(G16="",J16=""),"",G16/(J16*60))</f>
        <v>0.727777777777778</v>
      </c>
      <c r="L16" s="4" t="s">
        <v>166</v>
      </c>
      <c r="M16" s="4" t="s">
        <v>210</v>
      </c>
    </row>
    <row r="17" customFormat="false" ht="15" hidden="false" customHeight="false" outlineLevel="0" collapsed="false">
      <c r="J17" s="23" t="n">
        <f aca="false">IF(I17&lt;&gt;"",I17,IF(UPPER(TRIM(F17))="SHEET",Inputs!$B$7,IF(UPPER(TRIM(F17))="SWALE",Inputs!$B$8,IF(UPPER(TRIM(F17))="TRENCH",Inputs!$B$27,IF(UPPER(TRIM(F17))="PIPE",Inputs!$B$9,Inputs!$B$10)))))</f>
        <v>1.5</v>
      </c>
      <c r="K17" s="1" t="str">
        <f aca="false">IF(OR(G17="",J17=""),"",G17/(J17*60))</f>
        <v/>
      </c>
    </row>
    <row r="18" customFormat="false" ht="15" hidden="false" customHeight="false" outlineLevel="0" collapsed="false">
      <c r="J18" s="23" t="n">
        <f aca="false">IF(I18&lt;&gt;"",I18,IF(UPPER(TRIM(F18))="SHEET",Inputs!$B$7,IF(UPPER(TRIM(F18))="SWALE",Inputs!$B$8,IF(UPPER(TRIM(F18))="TRENCH",Inputs!$B$27,IF(UPPER(TRIM(F18))="PIPE",Inputs!$B$9,Inputs!$B$10)))))</f>
        <v>1.5</v>
      </c>
      <c r="K18" s="1" t="str">
        <f aca="false">IF(OR(G18="",J18=""),"",G18/(J18*60))</f>
        <v/>
      </c>
    </row>
    <row r="19" customFormat="false" ht="15" hidden="false" customHeight="false" outlineLevel="0" collapsed="false">
      <c r="J19" s="23" t="n">
        <f aca="false">IF(I19&lt;&gt;"",I19,IF(UPPER(TRIM(F19))="SHEET",Inputs!$B$7,IF(UPPER(TRIM(F19))="SWALE",Inputs!$B$8,IF(UPPER(TRIM(F19))="TRENCH",Inputs!$B$27,IF(UPPER(TRIM(F19))="PIPE",Inputs!$B$9,Inputs!$B$10)))))</f>
        <v>1.5</v>
      </c>
      <c r="K19" s="1" t="str">
        <f aca="false">IF(OR(G19="",J19=""),"",G19/(J19*60))</f>
        <v/>
      </c>
    </row>
    <row r="20" customFormat="false" ht="15" hidden="false" customHeight="false" outlineLevel="0" collapsed="false">
      <c r="J20" s="23" t="n">
        <f aca="false">IF(I20&lt;&gt;"",I20,IF(UPPER(TRIM(F20))="SHEET",Inputs!$B$7,IF(UPPER(TRIM(F20))="SWALE",Inputs!$B$8,IF(UPPER(TRIM(F20))="TRENCH",Inputs!$B$27,IF(UPPER(TRIM(F20))="PIPE",Inputs!$B$9,Inputs!$B$10)))))</f>
        <v>1.5</v>
      </c>
      <c r="K20" s="1" t="str">
        <f aca="false">IF(OR(G20="",J20=""),"",G20/(J20*60))</f>
        <v/>
      </c>
    </row>
    <row r="21" customFormat="false" ht="15" hidden="false" customHeight="false" outlineLevel="0" collapsed="false">
      <c r="J21" s="23" t="n">
        <f aca="false">IF(I21&lt;&gt;"",I21,IF(UPPER(TRIM(F21))="SHEET",Inputs!$B$7,IF(UPPER(TRIM(F21))="SWALE",Inputs!$B$8,IF(UPPER(TRIM(F21))="TRENCH",Inputs!$B$27,IF(UPPER(TRIM(F21))="PIPE",Inputs!$B$9,Inputs!$B$10)))))</f>
        <v>1.5</v>
      </c>
      <c r="K21" s="1" t="str">
        <f aca="false">IF(OR(G21="",J21=""),"",G21/(J21*60))</f>
        <v/>
      </c>
    </row>
    <row r="22" customFormat="false" ht="15" hidden="false" customHeight="false" outlineLevel="0" collapsed="false">
      <c r="J22" s="23" t="n">
        <f aca="false">IF(I22&lt;&gt;"",I22,IF(UPPER(TRIM(F22))="SHEET",Inputs!$B$7,IF(UPPER(TRIM(F22))="SWALE",Inputs!$B$8,IF(UPPER(TRIM(F22))="TRENCH",Inputs!$B$27,IF(UPPER(TRIM(F22))="PIPE",Inputs!$B$9,Inputs!$B$10)))))</f>
        <v>1.5</v>
      </c>
      <c r="K22" s="1" t="str">
        <f aca="false">IF(OR(G22="",J22=""),"",G22/(J22*60))</f>
        <v/>
      </c>
    </row>
    <row r="23" customFormat="false" ht="15" hidden="false" customHeight="false" outlineLevel="0" collapsed="false">
      <c r="J23" s="23" t="n">
        <f aca="false">IF(I23&lt;&gt;"",I23,IF(UPPER(TRIM(F23))="SHEET",Inputs!$B$7,IF(UPPER(TRIM(F23))="SWALE",Inputs!$B$8,IF(UPPER(TRIM(F23))="TRENCH",Inputs!$B$27,IF(UPPER(TRIM(F23))="PIPE",Inputs!$B$9,Inputs!$B$10)))))</f>
        <v>1.5</v>
      </c>
      <c r="K23" s="1" t="str">
        <f aca="false">IF(OR(G23="",J23=""),"",G23/(J23*60))</f>
        <v/>
      </c>
    </row>
    <row r="24" customFormat="false" ht="15" hidden="false" customHeight="false" outlineLevel="0" collapsed="false">
      <c r="J24" s="23" t="n">
        <f aca="false">IF(I24&lt;&gt;"",I24,IF(UPPER(TRIM(F24))="SHEET",Inputs!$B$7,IF(UPPER(TRIM(F24))="SWALE",Inputs!$B$8,IF(UPPER(TRIM(F24))="TRENCH",Inputs!$B$27,IF(UPPER(TRIM(F24))="PIPE",Inputs!$B$9,Inputs!$B$10)))))</f>
        <v>1.5</v>
      </c>
      <c r="K24" s="1" t="str">
        <f aca="false">IF(OR(G24="",J24=""),"",G24/(J24*60))</f>
        <v/>
      </c>
    </row>
    <row r="25" customFormat="false" ht="15" hidden="false" customHeight="false" outlineLevel="0" collapsed="false">
      <c r="J25" s="23" t="n">
        <f aca="false">IF(I25&lt;&gt;"",I25,IF(UPPER(TRIM(F25))="SHEET",Inputs!$B$7,IF(UPPER(TRIM(F25))="SWALE",Inputs!$B$8,IF(UPPER(TRIM(F25))="TRENCH",Inputs!$B$27,IF(UPPER(TRIM(F25))="PIPE",Inputs!$B$9,Inputs!$B$10)))))</f>
        <v>1.5</v>
      </c>
      <c r="K25" s="1" t="str">
        <f aca="false">IF(OR(G25="",J25=""),"",G25/(J25*60))</f>
        <v/>
      </c>
    </row>
    <row r="26" customFormat="false" ht="15" hidden="false" customHeight="false" outlineLevel="0" collapsed="false">
      <c r="J26" s="23" t="n">
        <f aca="false">IF(I26&lt;&gt;"",I26,IF(UPPER(TRIM(F26))="SHEET",Inputs!$B$7,IF(UPPER(TRIM(F26))="SWALE",Inputs!$B$8,IF(UPPER(TRIM(F26))="TRENCH",Inputs!$B$27,IF(UPPER(TRIM(F26))="PIPE",Inputs!$B$9,Inputs!$B$10)))))</f>
        <v>1.5</v>
      </c>
      <c r="K26" s="1" t="str">
        <f aca="false">IF(OR(G26="",J26=""),"",G26/(J26*60))</f>
        <v/>
      </c>
    </row>
    <row r="27" customFormat="false" ht="15" hidden="false" customHeight="false" outlineLevel="0" collapsed="false">
      <c r="J27" s="23" t="n">
        <f aca="false">IF(I27&lt;&gt;"",I27,IF(UPPER(TRIM(F27))="SHEET",Inputs!$B$7,IF(UPPER(TRIM(F27))="SWALE",Inputs!$B$8,IF(UPPER(TRIM(F27))="TRENCH",Inputs!$B$27,IF(UPPER(TRIM(F27))="PIPE",Inputs!$B$9,Inputs!$B$10)))))</f>
        <v>1.5</v>
      </c>
      <c r="K27" s="1" t="str">
        <f aca="false">IF(OR(G27="",J27=""),"",G27/(J27*60))</f>
        <v/>
      </c>
    </row>
    <row r="28" customFormat="false" ht="15" hidden="false" customHeight="false" outlineLevel="0" collapsed="false">
      <c r="J28" s="23" t="n">
        <f aca="false">IF(I28&lt;&gt;"",I28,IF(UPPER(TRIM(F28))="SHEET",Inputs!$B$7,IF(UPPER(TRIM(F28))="SWALE",Inputs!$B$8,IF(UPPER(TRIM(F28))="TRENCH",Inputs!$B$27,IF(UPPER(TRIM(F28))="PIPE",Inputs!$B$9,Inputs!$B$10)))))</f>
        <v>1.5</v>
      </c>
      <c r="K28" s="1" t="str">
        <f aca="false">IF(OR(G28="",J28=""),"",G28/(J28*60))</f>
        <v/>
      </c>
    </row>
    <row r="29" customFormat="false" ht="15" hidden="false" customHeight="false" outlineLevel="0" collapsed="false">
      <c r="J29" s="23" t="n">
        <f aca="false">IF(I29&lt;&gt;"",I29,IF(UPPER(TRIM(F29))="SHEET",Inputs!$B$7,IF(UPPER(TRIM(F29))="SWALE",Inputs!$B$8,IF(UPPER(TRIM(F29))="TRENCH",Inputs!$B$27,IF(UPPER(TRIM(F29))="PIPE",Inputs!$B$9,Inputs!$B$10)))))</f>
        <v>1.5</v>
      </c>
      <c r="K29" s="1" t="str">
        <f aca="false">IF(OR(G29="",J29=""),"",G29/(J29*60))</f>
        <v/>
      </c>
    </row>
    <row r="30" customFormat="false" ht="15" hidden="false" customHeight="false" outlineLevel="0" collapsed="false">
      <c r="J30" s="23" t="n">
        <f aca="false">IF(I30&lt;&gt;"",I30,IF(UPPER(TRIM(F30))="SHEET",Inputs!$B$7,IF(UPPER(TRIM(F30))="SWALE",Inputs!$B$8,IF(UPPER(TRIM(F30))="TRENCH",Inputs!$B$27,IF(UPPER(TRIM(F30))="PIPE",Inputs!$B$9,Inputs!$B$10)))))</f>
        <v>1.5</v>
      </c>
      <c r="K30" s="1" t="str">
        <f aca="false">IF(OR(G30="",J30=""),"",G30/(J30*60))</f>
        <v/>
      </c>
    </row>
    <row r="31" customFormat="false" ht="15" hidden="false" customHeight="false" outlineLevel="0" collapsed="false">
      <c r="J31" s="23" t="n">
        <f aca="false">IF(I31&lt;&gt;"",I31,IF(UPPER(TRIM(F31))="SHEET",Inputs!$B$7,IF(UPPER(TRIM(F31))="SWALE",Inputs!$B$8,IF(UPPER(TRIM(F31))="TRENCH",Inputs!$B$27,IF(UPPER(TRIM(F31))="PIPE",Inputs!$B$9,Inputs!$B$10)))))</f>
        <v>1.5</v>
      </c>
      <c r="K31" s="1" t="str">
        <f aca="false">IF(OR(G31="",J31=""),"",G31/(J31*60))</f>
        <v/>
      </c>
    </row>
    <row r="32" customFormat="false" ht="15" hidden="false" customHeight="false" outlineLevel="0" collapsed="false">
      <c r="J32" s="23" t="n">
        <f aca="false">IF(I32&lt;&gt;"",I32,IF(UPPER(TRIM(F32))="SHEET",Inputs!$B$7,IF(UPPER(TRIM(F32))="SWALE",Inputs!$B$8,IF(UPPER(TRIM(F32))="TRENCH",Inputs!$B$27,IF(UPPER(TRIM(F32))="PIPE",Inputs!$B$9,Inputs!$B$10)))))</f>
        <v>1.5</v>
      </c>
      <c r="K32" s="1" t="str">
        <f aca="false">IF(OR(G32="",J32=""),"",G32/(J32*60))</f>
        <v/>
      </c>
    </row>
    <row r="33" customFormat="false" ht="15" hidden="false" customHeight="false" outlineLevel="0" collapsed="false">
      <c r="J33" s="23" t="n">
        <f aca="false">IF(I33&lt;&gt;"",I33,IF(UPPER(TRIM(F33))="SHEET",Inputs!$B$7,IF(UPPER(TRIM(F33))="SWALE",Inputs!$B$8,IF(UPPER(TRIM(F33))="TRENCH",Inputs!$B$27,IF(UPPER(TRIM(F33))="PIPE",Inputs!$B$9,Inputs!$B$10)))))</f>
        <v>1.5</v>
      </c>
      <c r="K33" s="1" t="str">
        <f aca="false">IF(OR(G33="",J33=""),"",G33/(J33*60))</f>
        <v/>
      </c>
    </row>
    <row r="34" customFormat="false" ht="15" hidden="false" customHeight="false" outlineLevel="0" collapsed="false">
      <c r="J34" s="23" t="n">
        <f aca="false">IF(I34&lt;&gt;"",I34,IF(UPPER(TRIM(F34))="SHEET",Inputs!$B$7,IF(UPPER(TRIM(F34))="SWALE",Inputs!$B$8,IF(UPPER(TRIM(F34))="TRENCH",Inputs!$B$27,IF(UPPER(TRIM(F34))="PIPE",Inputs!$B$9,Inputs!$B$10)))))</f>
        <v>1.5</v>
      </c>
      <c r="K34" s="1" t="str">
        <f aca="false">IF(OR(G34="",J34=""),"",G34/(J34*60))</f>
        <v/>
      </c>
    </row>
    <row r="35" customFormat="false" ht="15" hidden="false" customHeight="false" outlineLevel="0" collapsed="false">
      <c r="J35" s="23" t="n">
        <f aca="false">IF(I35&lt;&gt;"",I35,IF(UPPER(TRIM(F35))="SHEET",Inputs!$B$7,IF(UPPER(TRIM(F35))="SWALE",Inputs!$B$8,IF(UPPER(TRIM(F35))="TRENCH",Inputs!$B$27,IF(UPPER(TRIM(F35))="PIPE",Inputs!$B$9,Inputs!$B$10)))))</f>
        <v>1.5</v>
      </c>
      <c r="K35" s="1" t="str">
        <f aca="false">IF(OR(G35="",J35=""),"",G35/(J35*60))</f>
        <v/>
      </c>
    </row>
    <row r="36" customFormat="false" ht="15" hidden="false" customHeight="false" outlineLevel="0" collapsed="false">
      <c r="J36" s="23" t="n">
        <f aca="false">IF(I36&lt;&gt;"",I36,IF(UPPER(TRIM(F36))="SHEET",Inputs!$B$7,IF(UPPER(TRIM(F36))="SWALE",Inputs!$B$8,IF(UPPER(TRIM(F36))="TRENCH",Inputs!$B$27,IF(UPPER(TRIM(F36))="PIPE",Inputs!$B$9,Inputs!$B$10)))))</f>
        <v>1.5</v>
      </c>
      <c r="K36" s="1" t="str">
        <f aca="false">IF(OR(G36="",J36=""),"",G36/(J36*60))</f>
        <v/>
      </c>
    </row>
    <row r="37" customFormat="false" ht="15" hidden="false" customHeight="false" outlineLevel="0" collapsed="false">
      <c r="J37" s="23" t="n">
        <f aca="false">IF(I37&lt;&gt;"",I37,IF(UPPER(TRIM(F37))="SHEET",Inputs!$B$7,IF(UPPER(TRIM(F37))="SWALE",Inputs!$B$8,IF(UPPER(TRIM(F37))="TRENCH",Inputs!$B$27,IF(UPPER(TRIM(F37))="PIPE",Inputs!$B$9,Inputs!$B$10)))))</f>
        <v>1.5</v>
      </c>
      <c r="K37" s="1" t="str">
        <f aca="false">IF(OR(G37="",J37=""),"",G37/(J37*60))</f>
        <v/>
      </c>
    </row>
    <row r="38" customFormat="false" ht="15" hidden="false" customHeight="false" outlineLevel="0" collapsed="false">
      <c r="J38" s="23" t="n">
        <f aca="false">IF(I38&lt;&gt;"",I38,IF(UPPER(TRIM(F38))="SHEET",Inputs!$B$7,IF(UPPER(TRIM(F38))="SWALE",Inputs!$B$8,IF(UPPER(TRIM(F38))="TRENCH",Inputs!$B$27,IF(UPPER(TRIM(F38))="PIPE",Inputs!$B$9,Inputs!$B$10)))))</f>
        <v>1.5</v>
      </c>
      <c r="K38" s="1" t="str">
        <f aca="false">IF(OR(G38="",J38=""),"",G38/(J38*60))</f>
        <v/>
      </c>
    </row>
    <row r="39" customFormat="false" ht="15" hidden="false" customHeight="false" outlineLevel="0" collapsed="false">
      <c r="J39" s="23" t="n">
        <f aca="false">IF(I39&lt;&gt;"",I39,IF(UPPER(TRIM(F39))="SHEET",Inputs!$B$7,IF(UPPER(TRIM(F39))="SWALE",Inputs!$B$8,IF(UPPER(TRIM(F39))="TRENCH",Inputs!$B$27,IF(UPPER(TRIM(F39))="PIPE",Inputs!$B$9,Inputs!$B$10)))))</f>
        <v>1.5</v>
      </c>
      <c r="K39" s="1" t="str">
        <f aca="false">IF(OR(G39="",J39=""),"",G39/(J39*60))</f>
        <v/>
      </c>
    </row>
    <row r="40" customFormat="false" ht="15" hidden="false" customHeight="false" outlineLevel="0" collapsed="false">
      <c r="J40" s="23" t="n">
        <f aca="false">IF(I40&lt;&gt;"",I40,IF(UPPER(TRIM(F40))="SHEET",Inputs!$B$7,IF(UPPER(TRIM(F40))="SWALE",Inputs!$B$8,IF(UPPER(TRIM(F40))="TRENCH",Inputs!$B$27,IF(UPPER(TRIM(F40))="PIPE",Inputs!$B$9,Inputs!$B$10)))))</f>
        <v>1.5</v>
      </c>
      <c r="K40" s="1" t="str">
        <f aca="false">IF(OR(G40="",J40=""),"",G40/(J40*60))</f>
        <v/>
      </c>
    </row>
    <row r="41" customFormat="false" ht="15" hidden="false" customHeight="false" outlineLevel="0" collapsed="false">
      <c r="J41" s="23" t="n">
        <f aca="false">IF(I41&lt;&gt;"",I41,IF(UPPER(TRIM(F41))="SHEET",Inputs!$B$7,IF(UPPER(TRIM(F41))="SWALE",Inputs!$B$8,IF(UPPER(TRIM(F41))="TRENCH",Inputs!$B$27,IF(UPPER(TRIM(F41))="PIPE",Inputs!$B$9,Inputs!$B$10)))))</f>
        <v>1.5</v>
      </c>
      <c r="K41" s="1" t="str">
        <f aca="false">IF(OR(G41="",J41=""),"",G41/(J41*60))</f>
        <v/>
      </c>
    </row>
    <row r="42" customFormat="false" ht="15" hidden="false" customHeight="false" outlineLevel="0" collapsed="false">
      <c r="J42" s="23" t="n">
        <f aca="false">IF(I42&lt;&gt;"",I42,IF(UPPER(TRIM(F42))="SHEET",Inputs!$B$7,IF(UPPER(TRIM(F42))="SWALE",Inputs!$B$8,IF(UPPER(TRIM(F42))="TRENCH",Inputs!$B$27,IF(UPPER(TRIM(F42))="PIPE",Inputs!$B$9,Inputs!$B$10)))))</f>
        <v>1.5</v>
      </c>
      <c r="K42" s="1" t="str">
        <f aca="false">IF(OR(G42="",J42=""),"",G42/(J42*60))</f>
        <v/>
      </c>
    </row>
    <row r="43" customFormat="false" ht="15" hidden="false" customHeight="false" outlineLevel="0" collapsed="false">
      <c r="J43" s="23" t="n">
        <f aca="false">IF(I43&lt;&gt;"",I43,IF(UPPER(TRIM(F43))="SHEET",Inputs!$B$7,IF(UPPER(TRIM(F43))="SWALE",Inputs!$B$8,IF(UPPER(TRIM(F43))="TRENCH",Inputs!$B$27,IF(UPPER(TRIM(F43))="PIPE",Inputs!$B$9,Inputs!$B$10)))))</f>
        <v>1.5</v>
      </c>
      <c r="K43" s="1" t="str">
        <f aca="false">IF(OR(G43="",J43=""),"",G43/(J43*60))</f>
        <v/>
      </c>
    </row>
    <row r="44" customFormat="false" ht="15" hidden="false" customHeight="false" outlineLevel="0" collapsed="false">
      <c r="J44" s="23" t="n">
        <f aca="false">IF(I44&lt;&gt;"",I44,IF(UPPER(TRIM(F44))="SHEET",Inputs!$B$7,IF(UPPER(TRIM(F44))="SWALE",Inputs!$B$8,IF(UPPER(TRIM(F44))="TRENCH",Inputs!$B$27,IF(UPPER(TRIM(F44))="PIPE",Inputs!$B$9,Inputs!$B$10)))))</f>
        <v>1.5</v>
      </c>
      <c r="K44" s="1" t="str">
        <f aca="false">IF(OR(G44="",J44=""),"",G44/(J44*60))</f>
        <v/>
      </c>
    </row>
    <row r="45" customFormat="false" ht="15" hidden="false" customHeight="false" outlineLevel="0" collapsed="false">
      <c r="J45" s="23" t="n">
        <f aca="false">IF(I45&lt;&gt;"",I45,IF(UPPER(TRIM(F45))="SHEET",Inputs!$B$7,IF(UPPER(TRIM(F45))="SWALE",Inputs!$B$8,IF(UPPER(TRIM(F45))="TRENCH",Inputs!$B$27,IF(UPPER(TRIM(F45))="PIPE",Inputs!$B$9,Inputs!$B$10)))))</f>
        <v>1.5</v>
      </c>
      <c r="K45" s="1" t="str">
        <f aca="false">IF(OR(G45="",J45=""),"",G45/(J45*60))</f>
        <v/>
      </c>
    </row>
    <row r="46" customFormat="false" ht="15" hidden="false" customHeight="false" outlineLevel="0" collapsed="false">
      <c r="J46" s="23" t="n">
        <f aca="false">IF(I46&lt;&gt;"",I46,IF(UPPER(TRIM(F46))="SHEET",Inputs!$B$7,IF(UPPER(TRIM(F46))="SWALE",Inputs!$B$8,IF(UPPER(TRIM(F46))="TRENCH",Inputs!$B$27,IF(UPPER(TRIM(F46))="PIPE",Inputs!$B$9,Inputs!$B$10)))))</f>
        <v>1.5</v>
      </c>
      <c r="K46" s="1" t="str">
        <f aca="false">IF(OR(G46="",J46=""),"",G46/(J46*60))</f>
        <v/>
      </c>
    </row>
    <row r="47" customFormat="false" ht="15" hidden="false" customHeight="false" outlineLevel="0" collapsed="false">
      <c r="J47" s="23" t="n">
        <f aca="false">IF(I47&lt;&gt;"",I47,IF(UPPER(TRIM(F47))="SHEET",Inputs!$B$7,IF(UPPER(TRIM(F47))="SWALE",Inputs!$B$8,IF(UPPER(TRIM(F47))="TRENCH",Inputs!$B$27,IF(UPPER(TRIM(F47))="PIPE",Inputs!$B$9,Inputs!$B$10)))))</f>
        <v>1.5</v>
      </c>
      <c r="K47" s="1" t="str">
        <f aca="false">IF(OR(G47="",J47=""),"",G47/(J47*60))</f>
        <v/>
      </c>
    </row>
    <row r="48" customFormat="false" ht="15" hidden="false" customHeight="false" outlineLevel="0" collapsed="false">
      <c r="J48" s="23" t="n">
        <f aca="false">IF(I48&lt;&gt;"",I48,IF(UPPER(TRIM(F48))="SHEET",Inputs!$B$7,IF(UPPER(TRIM(F48))="SWALE",Inputs!$B$8,IF(UPPER(TRIM(F48))="TRENCH",Inputs!$B$27,IF(UPPER(TRIM(F48))="PIPE",Inputs!$B$9,Inputs!$B$10)))))</f>
        <v>1.5</v>
      </c>
      <c r="K48" s="1" t="str">
        <f aca="false">IF(OR(G48="",J48=""),"",G48/(J48*60))</f>
        <v/>
      </c>
    </row>
    <row r="49" customFormat="false" ht="15" hidden="false" customHeight="false" outlineLevel="0" collapsed="false">
      <c r="J49" s="23" t="n">
        <f aca="false">IF(I49&lt;&gt;"",I49,IF(UPPER(TRIM(F49))="SHEET",Inputs!$B$7,IF(UPPER(TRIM(F49))="SWALE",Inputs!$B$8,IF(UPPER(TRIM(F49))="TRENCH",Inputs!$B$27,IF(UPPER(TRIM(F49))="PIPE",Inputs!$B$9,Inputs!$B$10)))))</f>
        <v>1.5</v>
      </c>
      <c r="K49" s="1" t="str">
        <f aca="false">IF(OR(G49="",J49=""),"",G49/(J49*60))</f>
        <v/>
      </c>
    </row>
    <row r="50" customFormat="false" ht="15" hidden="false" customHeight="false" outlineLevel="0" collapsed="false">
      <c r="J50" s="23" t="n">
        <f aca="false">IF(I50&lt;&gt;"",I50,IF(UPPER(TRIM(F50))="SHEET",Inputs!$B$7,IF(UPPER(TRIM(F50))="SWALE",Inputs!$B$8,IF(UPPER(TRIM(F50))="TRENCH",Inputs!$B$27,IF(UPPER(TRIM(F50))="PIPE",Inputs!$B$9,Inputs!$B$10)))))</f>
        <v>1.5</v>
      </c>
      <c r="K50" s="1" t="str">
        <f aca="false">IF(OR(G50="",J50=""),"",G50/(J50*60))</f>
        <v/>
      </c>
    </row>
    <row r="51" customFormat="false" ht="15" hidden="false" customHeight="false" outlineLevel="0" collapsed="false">
      <c r="J51" s="23" t="n">
        <f aca="false">IF(I51&lt;&gt;"",I51,IF(UPPER(TRIM(F51))="SHEET",Inputs!$B$7,IF(UPPER(TRIM(F51))="SWALE",Inputs!$B$8,IF(UPPER(TRIM(F51))="TRENCH",Inputs!$B$27,IF(UPPER(TRIM(F51))="PIPE",Inputs!$B$9,Inputs!$B$10)))))</f>
        <v>1.5</v>
      </c>
      <c r="K51" s="1" t="str">
        <f aca="false">IF(OR(G51="",J51=""),"",G51/(J51*60))</f>
        <v/>
      </c>
    </row>
    <row r="52" customFormat="false" ht="15" hidden="false" customHeight="false" outlineLevel="0" collapsed="false">
      <c r="J52" s="23" t="n">
        <f aca="false">IF(I52&lt;&gt;"",I52,IF(UPPER(TRIM(F52))="SHEET",Inputs!$B$7,IF(UPPER(TRIM(F52))="SWALE",Inputs!$B$8,IF(UPPER(TRIM(F52))="TRENCH",Inputs!$B$27,IF(UPPER(TRIM(F52))="PIPE",Inputs!$B$9,Inputs!$B$10)))))</f>
        <v>1.5</v>
      </c>
      <c r="K52" s="1" t="str">
        <f aca="false">IF(OR(G52="",J52=""),"",G52/(J52*60))</f>
        <v/>
      </c>
    </row>
    <row r="53" customFormat="false" ht="15" hidden="false" customHeight="false" outlineLevel="0" collapsed="false">
      <c r="J53" s="23" t="n">
        <f aca="false">IF(I53&lt;&gt;"",I53,IF(UPPER(TRIM(F53))="SHEET",Inputs!$B$7,IF(UPPER(TRIM(F53))="SWALE",Inputs!$B$8,IF(UPPER(TRIM(F53))="TRENCH",Inputs!$B$27,IF(UPPER(TRIM(F53))="PIPE",Inputs!$B$9,Inputs!$B$10)))))</f>
        <v>1.5</v>
      </c>
      <c r="K53" s="1" t="str">
        <f aca="false">IF(OR(G53="",J53=""),"",G53/(J53*60))</f>
        <v/>
      </c>
    </row>
    <row r="54" customFormat="false" ht="15" hidden="false" customHeight="false" outlineLevel="0" collapsed="false">
      <c r="J54" s="23" t="n">
        <f aca="false">IF(I54&lt;&gt;"",I54,IF(UPPER(TRIM(F54))="SHEET",Inputs!$B$7,IF(UPPER(TRIM(F54))="SWALE",Inputs!$B$8,IF(UPPER(TRIM(F54))="TRENCH",Inputs!$B$27,IF(UPPER(TRIM(F54))="PIPE",Inputs!$B$9,Inputs!$B$10)))))</f>
        <v>1.5</v>
      </c>
      <c r="K54" s="1" t="str">
        <f aca="false">IF(OR(G54="",J54=""),"",G54/(J54*60))</f>
        <v/>
      </c>
    </row>
    <row r="55" customFormat="false" ht="15" hidden="false" customHeight="false" outlineLevel="0" collapsed="false">
      <c r="J55" s="23" t="n">
        <f aca="false">IF(I55&lt;&gt;"",I55,IF(UPPER(TRIM(F55))="SHEET",Inputs!$B$7,IF(UPPER(TRIM(F55))="SWALE",Inputs!$B$8,IF(UPPER(TRIM(F55))="TRENCH",Inputs!$B$27,IF(UPPER(TRIM(F55))="PIPE",Inputs!$B$9,Inputs!$B$10)))))</f>
        <v>1.5</v>
      </c>
      <c r="K55" s="1" t="str">
        <f aca="false">IF(OR(G55="",J55=""),"",G55/(J55*60))</f>
        <v/>
      </c>
    </row>
    <row r="56" customFormat="false" ht="15" hidden="false" customHeight="false" outlineLevel="0" collapsed="false">
      <c r="J56" s="23" t="n">
        <f aca="false">IF(I56&lt;&gt;"",I56,IF(UPPER(TRIM(F56))="SHEET",Inputs!$B$7,IF(UPPER(TRIM(F56))="SWALE",Inputs!$B$8,IF(UPPER(TRIM(F56))="TRENCH",Inputs!$B$27,IF(UPPER(TRIM(F56))="PIPE",Inputs!$B$9,Inputs!$B$10)))))</f>
        <v>1.5</v>
      </c>
      <c r="K56" s="1" t="str">
        <f aca="false">IF(OR(G56="",J56=""),"",G56/(J56*60))</f>
        <v/>
      </c>
    </row>
    <row r="57" customFormat="false" ht="15" hidden="false" customHeight="false" outlineLevel="0" collapsed="false">
      <c r="J57" s="23" t="n">
        <f aca="false">IF(I57&lt;&gt;"",I57,IF(UPPER(TRIM(F57))="SHEET",Inputs!$B$7,IF(UPPER(TRIM(F57))="SWALE",Inputs!$B$8,IF(UPPER(TRIM(F57))="TRENCH",Inputs!$B$27,IF(UPPER(TRIM(F57))="PIPE",Inputs!$B$9,Inputs!$B$10)))))</f>
        <v>1.5</v>
      </c>
      <c r="K57" s="1" t="str">
        <f aca="false">IF(OR(G57="",J57=""),"",G57/(J57*60))</f>
        <v/>
      </c>
    </row>
    <row r="58" customFormat="false" ht="15" hidden="false" customHeight="false" outlineLevel="0" collapsed="false">
      <c r="J58" s="23" t="n">
        <f aca="false">IF(I58&lt;&gt;"",I58,IF(UPPER(TRIM(F58))="SHEET",Inputs!$B$7,IF(UPPER(TRIM(F58))="SWALE",Inputs!$B$8,IF(UPPER(TRIM(F58))="TRENCH",Inputs!$B$27,IF(UPPER(TRIM(F58))="PIPE",Inputs!$B$9,Inputs!$B$10)))))</f>
        <v>1.5</v>
      </c>
      <c r="K58" s="1" t="str">
        <f aca="false">IF(OR(G58="",J58=""),"",G58/(J58*60))</f>
        <v/>
      </c>
    </row>
    <row r="59" customFormat="false" ht="15" hidden="false" customHeight="false" outlineLevel="0" collapsed="false">
      <c r="J59" s="23" t="n">
        <f aca="false">IF(I59&lt;&gt;"",I59,IF(UPPER(TRIM(F59))="SHEET",Inputs!$B$7,IF(UPPER(TRIM(F59))="SWALE",Inputs!$B$8,IF(UPPER(TRIM(F59))="TRENCH",Inputs!$B$27,IF(UPPER(TRIM(F59))="PIPE",Inputs!$B$9,Inputs!$B$10)))))</f>
        <v>1.5</v>
      </c>
      <c r="K59" s="1" t="str">
        <f aca="false">IF(OR(G59="",J59=""),"",G59/(J59*60))</f>
        <v/>
      </c>
    </row>
    <row r="60" customFormat="false" ht="15" hidden="false" customHeight="false" outlineLevel="0" collapsed="false">
      <c r="J60" s="23" t="n">
        <f aca="false">IF(I60&lt;&gt;"",I60,IF(UPPER(TRIM(F60))="SHEET",Inputs!$B$7,IF(UPPER(TRIM(F60))="SWALE",Inputs!$B$8,IF(UPPER(TRIM(F60))="TRENCH",Inputs!$B$27,IF(UPPER(TRIM(F60))="PIPE",Inputs!$B$9,Inputs!$B$10)))))</f>
        <v>1.5</v>
      </c>
      <c r="K60" s="1" t="str">
        <f aca="false">IF(OR(G60="",J60=""),"",G60/(J60*60))</f>
        <v/>
      </c>
    </row>
    <row r="61" customFormat="false" ht="15" hidden="false" customHeight="false" outlineLevel="0" collapsed="false">
      <c r="J61" s="23" t="n">
        <f aca="false">IF(I61&lt;&gt;"",I61,IF(UPPER(TRIM(F61))="SHEET",Inputs!$B$7,IF(UPPER(TRIM(F61))="SWALE",Inputs!$B$8,IF(UPPER(TRIM(F61))="TRENCH",Inputs!$B$27,IF(UPPER(TRIM(F61))="PIPE",Inputs!$B$9,Inputs!$B$10)))))</f>
        <v>1.5</v>
      </c>
      <c r="K61" s="1" t="str">
        <f aca="false">IF(OR(G61="",J61=""),"",G61/(J61*60))</f>
        <v/>
      </c>
    </row>
    <row r="62" customFormat="false" ht="15" hidden="false" customHeight="false" outlineLevel="0" collapsed="false">
      <c r="J62" s="23" t="n">
        <f aca="false">IF(I62&lt;&gt;"",I62,IF(UPPER(TRIM(F62))="SHEET",Inputs!$B$7,IF(UPPER(TRIM(F62))="SWALE",Inputs!$B$8,IF(UPPER(TRIM(F62))="TRENCH",Inputs!$B$27,IF(UPPER(TRIM(F62))="PIPE",Inputs!$B$9,Inputs!$B$10)))))</f>
        <v>1.5</v>
      </c>
      <c r="K62" s="1" t="str">
        <f aca="false">IF(OR(G62="",J62=""),"",G62/(J62*60))</f>
        <v/>
      </c>
    </row>
    <row r="63" customFormat="false" ht="15" hidden="false" customHeight="false" outlineLevel="0" collapsed="false">
      <c r="J63" s="23" t="n">
        <f aca="false">IF(I63&lt;&gt;"",I63,IF(UPPER(TRIM(F63))="SHEET",Inputs!$B$7,IF(UPPER(TRIM(F63))="SWALE",Inputs!$B$8,IF(UPPER(TRIM(F63))="TRENCH",Inputs!$B$27,IF(UPPER(TRIM(F63))="PIPE",Inputs!$B$9,Inputs!$B$10)))))</f>
        <v>1.5</v>
      </c>
      <c r="K63" s="1" t="str">
        <f aca="false">IF(OR(G63="",J63=""),"",G63/(J63*60))</f>
        <v/>
      </c>
    </row>
    <row r="64" customFormat="false" ht="15" hidden="false" customHeight="false" outlineLevel="0" collapsed="false">
      <c r="J64" s="23" t="n">
        <f aca="false">IF(I64&lt;&gt;"",I64,IF(UPPER(TRIM(F64))="SHEET",Inputs!$B$7,IF(UPPER(TRIM(F64))="SWALE",Inputs!$B$8,IF(UPPER(TRIM(F64))="TRENCH",Inputs!$B$27,IF(UPPER(TRIM(F64))="PIPE",Inputs!$B$9,Inputs!$B$10)))))</f>
        <v>1.5</v>
      </c>
      <c r="K64" s="1" t="str">
        <f aca="false">IF(OR(G64="",J64=""),"",G64/(J64*60))</f>
        <v/>
      </c>
    </row>
    <row r="65" customFormat="false" ht="15" hidden="false" customHeight="false" outlineLevel="0" collapsed="false">
      <c r="J65" s="23" t="n">
        <f aca="false">IF(I65&lt;&gt;"",I65,IF(UPPER(TRIM(F65))="SHEET",Inputs!$B$7,IF(UPPER(TRIM(F65))="SWALE",Inputs!$B$8,IF(UPPER(TRIM(F65))="TRENCH",Inputs!$B$27,IF(UPPER(TRIM(F65))="PIPE",Inputs!$B$9,Inputs!$B$10)))))</f>
        <v>1.5</v>
      </c>
      <c r="K65" s="1" t="str">
        <f aca="false">IF(OR(G65="",J65=""),"",G65/(J65*60))</f>
        <v/>
      </c>
    </row>
    <row r="66" customFormat="false" ht="15" hidden="false" customHeight="false" outlineLevel="0" collapsed="false">
      <c r="J66" s="23" t="n">
        <f aca="false">IF(I66&lt;&gt;"",I66,IF(UPPER(TRIM(F66))="SHEET",Inputs!$B$7,IF(UPPER(TRIM(F66))="SWALE",Inputs!$B$8,IF(UPPER(TRIM(F66))="TRENCH",Inputs!$B$27,IF(UPPER(TRIM(F66))="PIPE",Inputs!$B$9,Inputs!$B$10)))))</f>
        <v>1.5</v>
      </c>
      <c r="K66" s="1" t="str">
        <f aca="false">IF(OR(G66="",J66=""),"",G66/(J66*60))</f>
        <v/>
      </c>
    </row>
    <row r="67" customFormat="false" ht="15" hidden="false" customHeight="false" outlineLevel="0" collapsed="false">
      <c r="J67" s="23" t="n">
        <f aca="false">IF(I67&lt;&gt;"",I67,IF(UPPER(TRIM(F67))="SHEET",Inputs!$B$7,IF(UPPER(TRIM(F67))="SWALE",Inputs!$B$8,IF(UPPER(TRIM(F67))="TRENCH",Inputs!$B$27,IF(UPPER(TRIM(F67))="PIPE",Inputs!$B$9,Inputs!$B$10)))))</f>
        <v>1.5</v>
      </c>
      <c r="K67" s="1" t="str">
        <f aca="false">IF(OR(G67="",J67=""),"",G67/(J67*60))</f>
        <v/>
      </c>
    </row>
    <row r="68" customFormat="false" ht="15" hidden="false" customHeight="false" outlineLevel="0" collapsed="false">
      <c r="J68" s="23" t="n">
        <f aca="false">IF(I68&lt;&gt;"",I68,IF(UPPER(TRIM(F68))="SHEET",Inputs!$B$7,IF(UPPER(TRIM(F68))="SWALE",Inputs!$B$8,IF(UPPER(TRIM(F68))="TRENCH",Inputs!$B$27,IF(UPPER(TRIM(F68))="PIPE",Inputs!$B$9,Inputs!$B$10)))))</f>
        <v>1.5</v>
      </c>
      <c r="K68" s="1" t="str">
        <f aca="false">IF(OR(G68="",J68=""),"",G68/(J68*60))</f>
        <v/>
      </c>
    </row>
    <row r="69" customFormat="false" ht="15" hidden="false" customHeight="false" outlineLevel="0" collapsed="false">
      <c r="J69" s="23" t="n">
        <f aca="false">IF(I69&lt;&gt;"",I69,IF(UPPER(TRIM(F69))="SHEET",Inputs!$B$7,IF(UPPER(TRIM(F69))="SWALE",Inputs!$B$8,IF(UPPER(TRIM(F69))="TRENCH",Inputs!$B$27,IF(UPPER(TRIM(F69))="PIPE",Inputs!$B$9,Inputs!$B$10)))))</f>
        <v>1.5</v>
      </c>
      <c r="K69" s="1" t="str">
        <f aca="false">IF(OR(G69="",J69=""),"",G69/(J69*60))</f>
        <v/>
      </c>
    </row>
    <row r="70" customFormat="false" ht="15" hidden="false" customHeight="false" outlineLevel="0" collapsed="false">
      <c r="J70" s="23" t="n">
        <f aca="false">IF(I70&lt;&gt;"",I70,IF(UPPER(TRIM(F70))="SHEET",Inputs!$B$7,IF(UPPER(TRIM(F70))="SWALE",Inputs!$B$8,IF(UPPER(TRIM(F70))="TRENCH",Inputs!$B$27,IF(UPPER(TRIM(F70))="PIPE",Inputs!$B$9,Inputs!$B$10)))))</f>
        <v>1.5</v>
      </c>
      <c r="K70" s="1" t="str">
        <f aca="false">IF(OR(G70="",J70=""),"",G70/(J70*60))</f>
        <v/>
      </c>
    </row>
    <row r="71" customFormat="false" ht="15" hidden="false" customHeight="false" outlineLevel="0" collapsed="false">
      <c r="J71" s="23" t="n">
        <f aca="false">IF(I71&lt;&gt;"",I71,IF(UPPER(TRIM(F71))="SHEET",Inputs!$B$7,IF(UPPER(TRIM(F71))="SWALE",Inputs!$B$8,IF(UPPER(TRIM(F71))="TRENCH",Inputs!$B$27,IF(UPPER(TRIM(F71))="PIPE",Inputs!$B$9,Inputs!$B$10)))))</f>
        <v>1.5</v>
      </c>
      <c r="K71" s="1" t="str">
        <f aca="false">IF(OR(G71="",J71=""),"",G71/(J71*60))</f>
        <v/>
      </c>
    </row>
    <row r="72" customFormat="false" ht="15" hidden="false" customHeight="false" outlineLevel="0" collapsed="false">
      <c r="J72" s="23" t="n">
        <f aca="false">IF(I72&lt;&gt;"",I72,IF(UPPER(TRIM(F72))="SHEET",Inputs!$B$7,IF(UPPER(TRIM(F72))="SWALE",Inputs!$B$8,IF(UPPER(TRIM(F72))="TRENCH",Inputs!$B$27,IF(UPPER(TRIM(F72))="PIPE",Inputs!$B$9,Inputs!$B$10)))))</f>
        <v>1.5</v>
      </c>
      <c r="K72" s="1" t="str">
        <f aca="false">IF(OR(G72="",J72=""),"",G72/(J72*60))</f>
        <v/>
      </c>
    </row>
    <row r="73" customFormat="false" ht="15" hidden="false" customHeight="false" outlineLevel="0" collapsed="false">
      <c r="J73" s="23" t="n">
        <f aca="false">IF(I73&lt;&gt;"",I73,IF(UPPER(TRIM(F73))="SHEET",Inputs!$B$7,IF(UPPER(TRIM(F73))="SWALE",Inputs!$B$8,IF(UPPER(TRIM(F73))="TRENCH",Inputs!$B$27,IF(UPPER(TRIM(F73))="PIPE",Inputs!$B$9,Inputs!$B$10)))))</f>
        <v>1.5</v>
      </c>
      <c r="K73" s="1" t="str">
        <f aca="false">IF(OR(G73="",J73=""),"",G73/(J73*60))</f>
        <v/>
      </c>
    </row>
    <row r="74" customFormat="false" ht="15" hidden="false" customHeight="false" outlineLevel="0" collapsed="false">
      <c r="J74" s="23" t="n">
        <f aca="false">IF(I74&lt;&gt;"",I74,IF(UPPER(TRIM(F74))="SHEET",Inputs!$B$7,IF(UPPER(TRIM(F74))="SWALE",Inputs!$B$8,IF(UPPER(TRIM(F74))="TRENCH",Inputs!$B$27,IF(UPPER(TRIM(F74))="PIPE",Inputs!$B$9,Inputs!$B$10)))))</f>
        <v>1.5</v>
      </c>
      <c r="K74" s="1" t="str">
        <f aca="false">IF(OR(G74="",J74=""),"",G74/(J74*60))</f>
        <v/>
      </c>
    </row>
    <row r="75" customFormat="false" ht="15" hidden="false" customHeight="false" outlineLevel="0" collapsed="false">
      <c r="J75" s="23" t="n">
        <f aca="false">IF(I75&lt;&gt;"",I75,IF(UPPER(TRIM(F75))="SHEET",Inputs!$B$7,IF(UPPER(TRIM(F75))="SWALE",Inputs!$B$8,IF(UPPER(TRIM(F75))="TRENCH",Inputs!$B$27,IF(UPPER(TRIM(F75))="PIPE",Inputs!$B$9,Inputs!$B$10)))))</f>
        <v>1.5</v>
      </c>
      <c r="K75" s="1" t="str">
        <f aca="false">IF(OR(G75="",J75=""),"",G75/(J75*60))</f>
        <v/>
      </c>
    </row>
    <row r="76" customFormat="false" ht="15" hidden="false" customHeight="false" outlineLevel="0" collapsed="false">
      <c r="J76" s="23" t="n">
        <f aca="false">IF(I76&lt;&gt;"",I76,IF(UPPER(TRIM(F76))="SHEET",Inputs!$B$7,IF(UPPER(TRIM(F76))="SWALE",Inputs!$B$8,IF(UPPER(TRIM(F76))="TRENCH",Inputs!$B$27,IF(UPPER(TRIM(F76))="PIPE",Inputs!$B$9,Inputs!$B$10)))))</f>
        <v>1.5</v>
      </c>
      <c r="K76" s="1" t="str">
        <f aca="false">IF(OR(G76="",J76=""),"",G76/(J76*60))</f>
        <v/>
      </c>
    </row>
    <row r="77" customFormat="false" ht="15" hidden="false" customHeight="false" outlineLevel="0" collapsed="false">
      <c r="J77" s="23" t="n">
        <f aca="false">IF(I77&lt;&gt;"",I77,IF(UPPER(TRIM(F77))="SHEET",Inputs!$B$7,IF(UPPER(TRIM(F77))="SWALE",Inputs!$B$8,IF(UPPER(TRIM(F77))="TRENCH",Inputs!$B$27,IF(UPPER(TRIM(F77))="PIPE",Inputs!$B$9,Inputs!$B$10)))))</f>
        <v>1.5</v>
      </c>
      <c r="K77" s="1" t="str">
        <f aca="false">IF(OR(G77="",J77=""),"",G77/(J77*60))</f>
        <v/>
      </c>
    </row>
    <row r="78" customFormat="false" ht="15" hidden="false" customHeight="false" outlineLevel="0" collapsed="false">
      <c r="J78" s="23" t="n">
        <f aca="false">IF(I78&lt;&gt;"",I78,IF(UPPER(TRIM(F78))="SHEET",Inputs!$B$7,IF(UPPER(TRIM(F78))="SWALE",Inputs!$B$8,IF(UPPER(TRIM(F78))="TRENCH",Inputs!$B$27,IF(UPPER(TRIM(F78))="PIPE",Inputs!$B$9,Inputs!$B$10)))))</f>
        <v>1.5</v>
      </c>
      <c r="K78" s="1" t="str">
        <f aca="false">IF(OR(G78="",J78=""),"",G78/(J78*60))</f>
        <v/>
      </c>
    </row>
    <row r="79" customFormat="false" ht="15" hidden="false" customHeight="false" outlineLevel="0" collapsed="false">
      <c r="J79" s="23" t="n">
        <f aca="false">IF(I79&lt;&gt;"",I79,IF(UPPER(TRIM(F79))="SHEET",Inputs!$B$7,IF(UPPER(TRIM(F79))="SWALE",Inputs!$B$8,IF(UPPER(TRIM(F79))="TRENCH",Inputs!$B$27,IF(UPPER(TRIM(F79))="PIPE",Inputs!$B$9,Inputs!$B$10)))))</f>
        <v>1.5</v>
      </c>
      <c r="K79" s="1" t="str">
        <f aca="false">IF(OR(G79="",J79=""),"",G79/(J79*60))</f>
        <v/>
      </c>
    </row>
    <row r="80" customFormat="false" ht="15" hidden="false" customHeight="false" outlineLevel="0" collapsed="false">
      <c r="J80" s="23" t="n">
        <f aca="false">IF(I80&lt;&gt;"",I80,IF(UPPER(TRIM(F80))="SHEET",Inputs!$B$7,IF(UPPER(TRIM(F80))="SWALE",Inputs!$B$8,IF(UPPER(TRIM(F80))="TRENCH",Inputs!$B$27,IF(UPPER(TRIM(F80))="PIPE",Inputs!$B$9,Inputs!$B$10)))))</f>
        <v>1.5</v>
      </c>
      <c r="K80" s="1" t="str">
        <f aca="false">IF(OR(G80="",J80=""),"",G80/(J80*60))</f>
        <v/>
      </c>
    </row>
    <row r="81" customFormat="false" ht="15" hidden="false" customHeight="false" outlineLevel="0" collapsed="false">
      <c r="J81" s="23" t="n">
        <f aca="false">IF(I81&lt;&gt;"",I81,IF(UPPER(TRIM(F81))="SHEET",Inputs!$B$7,IF(UPPER(TRIM(F81))="SWALE",Inputs!$B$8,IF(UPPER(TRIM(F81))="TRENCH",Inputs!$B$27,IF(UPPER(TRIM(F81))="PIPE",Inputs!$B$9,Inputs!$B$10)))))</f>
        <v>1.5</v>
      </c>
      <c r="K81" s="1" t="str">
        <f aca="false">IF(OR(G81="",J81=""),"",G81/(J81*60))</f>
        <v/>
      </c>
    </row>
    <row r="82" customFormat="false" ht="15" hidden="false" customHeight="false" outlineLevel="0" collapsed="false">
      <c r="J82" s="23" t="n">
        <f aca="false">IF(I82&lt;&gt;"",I82,IF(UPPER(TRIM(F82))="SHEET",Inputs!$B$7,IF(UPPER(TRIM(F82))="SWALE",Inputs!$B$8,IF(UPPER(TRIM(F82))="TRENCH",Inputs!$B$27,IF(UPPER(TRIM(F82))="PIPE",Inputs!$B$9,Inputs!$B$10)))))</f>
        <v>1.5</v>
      </c>
      <c r="K82" s="1" t="str">
        <f aca="false">IF(OR(G82="",J82=""),"",G82/(J82*60))</f>
        <v/>
      </c>
    </row>
    <row r="83" customFormat="false" ht="15" hidden="false" customHeight="false" outlineLevel="0" collapsed="false">
      <c r="J83" s="23" t="n">
        <f aca="false">IF(I83&lt;&gt;"",I83,IF(UPPER(TRIM(F83))="SHEET",Inputs!$B$7,IF(UPPER(TRIM(F83))="SWALE",Inputs!$B$8,IF(UPPER(TRIM(F83))="TRENCH",Inputs!$B$27,IF(UPPER(TRIM(F83))="PIPE",Inputs!$B$9,Inputs!$B$10)))))</f>
        <v>1.5</v>
      </c>
      <c r="K83" s="1" t="str">
        <f aca="false">IF(OR(G83="",J83=""),"",G83/(J83*60))</f>
        <v/>
      </c>
    </row>
    <row r="84" customFormat="false" ht="15" hidden="false" customHeight="false" outlineLevel="0" collapsed="false">
      <c r="J84" s="23" t="n">
        <f aca="false">IF(I84&lt;&gt;"",I84,IF(UPPER(TRIM(F84))="SHEET",Inputs!$B$7,IF(UPPER(TRIM(F84))="SWALE",Inputs!$B$8,IF(UPPER(TRIM(F84))="TRENCH",Inputs!$B$27,IF(UPPER(TRIM(F84))="PIPE",Inputs!$B$9,Inputs!$B$10)))))</f>
        <v>1.5</v>
      </c>
      <c r="K84" s="1" t="str">
        <f aca="false">IF(OR(G84="",J84=""),"",G84/(J84*60))</f>
        <v/>
      </c>
    </row>
    <row r="85" customFormat="false" ht="15" hidden="false" customHeight="false" outlineLevel="0" collapsed="false">
      <c r="J85" s="23" t="n">
        <f aca="false">IF(I85&lt;&gt;"",I85,IF(UPPER(TRIM(F85))="SHEET",Inputs!$B$7,IF(UPPER(TRIM(F85))="SWALE",Inputs!$B$8,IF(UPPER(TRIM(F85))="TRENCH",Inputs!$B$27,IF(UPPER(TRIM(F85))="PIPE",Inputs!$B$9,Inputs!$B$10)))))</f>
        <v>1.5</v>
      </c>
      <c r="K85" s="1" t="str">
        <f aca="false">IF(OR(G85="",J85=""),"",G85/(J85*60))</f>
        <v/>
      </c>
    </row>
    <row r="86" customFormat="false" ht="15" hidden="false" customHeight="false" outlineLevel="0" collapsed="false">
      <c r="J86" s="23" t="n">
        <f aca="false">IF(I86&lt;&gt;"",I86,IF(UPPER(TRIM(F86))="SHEET",Inputs!$B$7,IF(UPPER(TRIM(F86))="SWALE",Inputs!$B$8,IF(UPPER(TRIM(F86))="TRENCH",Inputs!$B$27,IF(UPPER(TRIM(F86))="PIPE",Inputs!$B$9,Inputs!$B$10)))))</f>
        <v>1.5</v>
      </c>
      <c r="K86" s="1" t="str">
        <f aca="false">IF(OR(G86="",J86=""),"",G86/(J86*60))</f>
        <v/>
      </c>
    </row>
    <row r="87" customFormat="false" ht="15" hidden="false" customHeight="false" outlineLevel="0" collapsed="false">
      <c r="J87" s="23" t="n">
        <f aca="false">IF(I87&lt;&gt;"",I87,IF(UPPER(TRIM(F87))="SHEET",Inputs!$B$7,IF(UPPER(TRIM(F87))="SWALE",Inputs!$B$8,IF(UPPER(TRIM(F87))="TRENCH",Inputs!$B$27,IF(UPPER(TRIM(F87))="PIPE",Inputs!$B$9,Inputs!$B$10)))))</f>
        <v>1.5</v>
      </c>
      <c r="K87" s="1" t="str">
        <f aca="false">IF(OR(G87="",J87=""),"",G87/(J87*60))</f>
        <v/>
      </c>
    </row>
    <row r="88" customFormat="false" ht="15" hidden="false" customHeight="false" outlineLevel="0" collapsed="false">
      <c r="J88" s="23" t="n">
        <f aca="false">IF(I88&lt;&gt;"",I88,IF(UPPER(TRIM(F88))="SHEET",Inputs!$B$7,IF(UPPER(TRIM(F88))="SWALE",Inputs!$B$8,IF(UPPER(TRIM(F88))="TRENCH",Inputs!$B$27,IF(UPPER(TRIM(F88))="PIPE",Inputs!$B$9,Inputs!$B$10)))))</f>
        <v>1.5</v>
      </c>
      <c r="K88" s="1" t="str">
        <f aca="false">IF(OR(G88="",J88=""),"",G88/(J88*60))</f>
        <v/>
      </c>
    </row>
    <row r="89" customFormat="false" ht="15" hidden="false" customHeight="false" outlineLevel="0" collapsed="false">
      <c r="J89" s="23" t="n">
        <f aca="false">IF(I89&lt;&gt;"",I89,IF(UPPER(TRIM(F89))="SHEET",Inputs!$B$7,IF(UPPER(TRIM(F89))="SWALE",Inputs!$B$8,IF(UPPER(TRIM(F89))="TRENCH",Inputs!$B$27,IF(UPPER(TRIM(F89))="PIPE",Inputs!$B$9,Inputs!$B$10)))))</f>
        <v>1.5</v>
      </c>
      <c r="K89" s="1" t="str">
        <f aca="false">IF(OR(G89="",J89=""),"",G89/(J89*60))</f>
        <v/>
      </c>
    </row>
    <row r="90" customFormat="false" ht="15" hidden="false" customHeight="false" outlineLevel="0" collapsed="false">
      <c r="J90" s="23" t="n">
        <f aca="false">IF(I90&lt;&gt;"",I90,IF(UPPER(TRIM(F90))="SHEET",Inputs!$B$7,IF(UPPER(TRIM(F90))="SWALE",Inputs!$B$8,IF(UPPER(TRIM(F90))="TRENCH",Inputs!$B$27,IF(UPPER(TRIM(F90))="PIPE",Inputs!$B$9,Inputs!$B$10)))))</f>
        <v>1.5</v>
      </c>
      <c r="K90" s="1" t="str">
        <f aca="false">IF(OR(G90="",J90=""),"",G90/(J90*60))</f>
        <v/>
      </c>
    </row>
    <row r="91" customFormat="false" ht="15" hidden="false" customHeight="false" outlineLevel="0" collapsed="false">
      <c r="J91" s="23" t="n">
        <f aca="false">IF(I91&lt;&gt;"",I91,IF(UPPER(TRIM(F91))="SHEET",Inputs!$B$7,IF(UPPER(TRIM(F91))="SWALE",Inputs!$B$8,IF(UPPER(TRIM(F91))="TRENCH",Inputs!$B$27,IF(UPPER(TRIM(F91))="PIPE",Inputs!$B$9,Inputs!$B$10)))))</f>
        <v>1.5</v>
      </c>
      <c r="K91" s="1" t="str">
        <f aca="false">IF(OR(G91="",J91=""),"",G91/(J91*60))</f>
        <v/>
      </c>
    </row>
    <row r="92" customFormat="false" ht="15" hidden="false" customHeight="false" outlineLevel="0" collapsed="false">
      <c r="J92" s="23" t="n">
        <f aca="false">IF(I92&lt;&gt;"",I92,IF(UPPER(TRIM(F92))="SHEET",Inputs!$B$7,IF(UPPER(TRIM(F92))="SWALE",Inputs!$B$8,IF(UPPER(TRIM(F92))="TRENCH",Inputs!$B$27,IF(UPPER(TRIM(F92))="PIPE",Inputs!$B$9,Inputs!$B$10)))))</f>
        <v>1.5</v>
      </c>
      <c r="K92" s="1" t="str">
        <f aca="false">IF(OR(G92="",J92=""),"",G92/(J92*60))</f>
        <v/>
      </c>
    </row>
    <row r="93" customFormat="false" ht="15" hidden="false" customHeight="false" outlineLevel="0" collapsed="false">
      <c r="J93" s="23" t="n">
        <f aca="false">IF(I93&lt;&gt;"",I93,IF(UPPER(TRIM(F93))="SHEET",Inputs!$B$7,IF(UPPER(TRIM(F93))="SWALE",Inputs!$B$8,IF(UPPER(TRIM(F93))="TRENCH",Inputs!$B$27,IF(UPPER(TRIM(F93))="PIPE",Inputs!$B$9,Inputs!$B$10)))))</f>
        <v>1.5</v>
      </c>
      <c r="K93" s="1" t="str">
        <f aca="false">IF(OR(G93="",J93=""),"",G93/(J93*60))</f>
        <v/>
      </c>
    </row>
    <row r="94" customFormat="false" ht="15" hidden="false" customHeight="false" outlineLevel="0" collapsed="false">
      <c r="J94" s="23" t="n">
        <f aca="false">IF(I94&lt;&gt;"",I94,IF(UPPER(TRIM(F94))="SHEET",Inputs!$B$7,IF(UPPER(TRIM(F94))="SWALE",Inputs!$B$8,IF(UPPER(TRIM(F94))="TRENCH",Inputs!$B$27,IF(UPPER(TRIM(F94))="PIPE",Inputs!$B$9,Inputs!$B$10)))))</f>
        <v>1.5</v>
      </c>
      <c r="K94" s="1" t="str">
        <f aca="false">IF(OR(G94="",J94=""),"",G94/(J94*60))</f>
        <v/>
      </c>
    </row>
    <row r="95" customFormat="false" ht="15" hidden="false" customHeight="false" outlineLevel="0" collapsed="false">
      <c r="J95" s="23" t="n">
        <f aca="false">IF(I95&lt;&gt;"",I95,IF(UPPER(TRIM(F95))="SHEET",Inputs!$B$7,IF(UPPER(TRIM(F95))="SWALE",Inputs!$B$8,IF(UPPER(TRIM(F95))="TRENCH",Inputs!$B$27,IF(UPPER(TRIM(F95))="PIPE",Inputs!$B$9,Inputs!$B$10)))))</f>
        <v>1.5</v>
      </c>
      <c r="K95" s="1" t="str">
        <f aca="false">IF(OR(G95="",J95=""),"",G95/(J95*60))</f>
        <v/>
      </c>
    </row>
    <row r="96" customFormat="false" ht="15" hidden="false" customHeight="false" outlineLevel="0" collapsed="false">
      <c r="J96" s="23" t="n">
        <f aca="false">IF(I96&lt;&gt;"",I96,IF(UPPER(TRIM(F96))="SHEET",Inputs!$B$7,IF(UPPER(TRIM(F96))="SWALE",Inputs!$B$8,IF(UPPER(TRIM(F96))="TRENCH",Inputs!$B$27,IF(UPPER(TRIM(F96))="PIPE",Inputs!$B$9,Inputs!$B$10)))))</f>
        <v>1.5</v>
      </c>
      <c r="K96" s="1" t="str">
        <f aca="false">IF(OR(G96="",J96=""),"",G96/(J96*60))</f>
        <v/>
      </c>
    </row>
    <row r="97" customFormat="false" ht="15" hidden="false" customHeight="false" outlineLevel="0" collapsed="false">
      <c r="J97" s="23" t="n">
        <f aca="false">IF(I97&lt;&gt;"",I97,IF(UPPER(TRIM(F97))="SHEET",Inputs!$B$7,IF(UPPER(TRIM(F97))="SWALE",Inputs!$B$8,IF(UPPER(TRIM(F97))="TRENCH",Inputs!$B$27,IF(UPPER(TRIM(F97))="PIPE",Inputs!$B$9,Inputs!$B$10)))))</f>
        <v>1.5</v>
      </c>
      <c r="K97" s="1" t="str">
        <f aca="false">IF(OR(G97="",J97=""),"",G97/(J97*60))</f>
        <v/>
      </c>
    </row>
    <row r="98" customFormat="false" ht="15" hidden="false" customHeight="false" outlineLevel="0" collapsed="false">
      <c r="J98" s="23" t="n">
        <f aca="false">IF(I98&lt;&gt;"",I98,IF(UPPER(TRIM(F98))="SHEET",Inputs!$B$7,IF(UPPER(TRIM(F98))="SWALE",Inputs!$B$8,IF(UPPER(TRIM(F98))="TRENCH",Inputs!$B$27,IF(UPPER(TRIM(F98))="PIPE",Inputs!$B$9,Inputs!$B$10)))))</f>
        <v>1.5</v>
      </c>
      <c r="K98" s="1" t="str">
        <f aca="false">IF(OR(G98="",J98=""),"",G98/(J98*60))</f>
        <v/>
      </c>
    </row>
    <row r="99" customFormat="false" ht="15" hidden="false" customHeight="false" outlineLevel="0" collapsed="false">
      <c r="J99" s="23" t="n">
        <f aca="false">IF(I99&lt;&gt;"",I99,IF(UPPER(TRIM(F99))="SHEET",Inputs!$B$7,IF(UPPER(TRIM(F99))="SWALE",Inputs!$B$8,IF(UPPER(TRIM(F99))="TRENCH",Inputs!$B$27,IF(UPPER(TRIM(F99))="PIPE",Inputs!$B$9,Inputs!$B$10)))))</f>
        <v>1.5</v>
      </c>
      <c r="K99" s="1" t="str">
        <f aca="false">IF(OR(G99="",J99=""),"",G99/(J99*60))</f>
        <v/>
      </c>
    </row>
    <row r="100" customFormat="false" ht="15" hidden="false" customHeight="false" outlineLevel="0" collapsed="false">
      <c r="J100" s="23" t="n">
        <f aca="false">IF(I100&lt;&gt;"",I100,IF(UPPER(TRIM(F100))="SHEET",Inputs!$B$7,IF(UPPER(TRIM(F100))="SWALE",Inputs!$B$8,IF(UPPER(TRIM(F100))="TRENCH",Inputs!$B$27,IF(UPPER(TRIM(F100))="PIPE",Inputs!$B$9,Inputs!$B$10)))))</f>
        <v>1.5</v>
      </c>
      <c r="K100" s="1" t="str">
        <f aca="false">IF(OR(G100="",J100=""),"",G100/(J100*60))</f>
        <v/>
      </c>
    </row>
    <row r="101" customFormat="false" ht="15" hidden="false" customHeight="false" outlineLevel="0" collapsed="false">
      <c r="J101" s="23" t="n">
        <f aca="false">IF(I101&lt;&gt;"",I101,IF(UPPER(TRIM(F101))="SHEET",Inputs!$B$7,IF(UPPER(TRIM(F101))="SWALE",Inputs!$B$8,IF(UPPER(TRIM(F101))="TRENCH",Inputs!$B$27,IF(UPPER(TRIM(F101))="PIPE",Inputs!$B$9,Inputs!$B$10)))))</f>
        <v>1.5</v>
      </c>
      <c r="K101" s="1" t="str">
        <f aca="false">IF(OR(G101="",J101=""),"",G101/(J101*60))</f>
        <v/>
      </c>
    </row>
    <row r="102" customFormat="false" ht="15" hidden="false" customHeight="false" outlineLevel="0" collapsed="false">
      <c r="J102" s="23" t="n">
        <f aca="false">IF(I102&lt;&gt;"",I102,IF(UPPER(TRIM(F102))="SHEET",Inputs!$B$7,IF(UPPER(TRIM(F102))="SWALE",Inputs!$B$8,IF(UPPER(TRIM(F102))="TRENCH",Inputs!$B$27,IF(UPPER(TRIM(F102))="PIPE",Inputs!$B$9,Inputs!$B$10)))))</f>
        <v>1.5</v>
      </c>
      <c r="K102" s="1" t="str">
        <f aca="false">IF(OR(G102="",J102=""),"",G102/(J102*60))</f>
        <v/>
      </c>
    </row>
    <row r="103" customFormat="false" ht="15" hidden="false" customHeight="false" outlineLevel="0" collapsed="false">
      <c r="J103" s="23" t="n">
        <f aca="false">IF(I103&lt;&gt;"",I103,IF(UPPER(TRIM(F103))="SHEET",Inputs!$B$7,IF(UPPER(TRIM(F103))="SWALE",Inputs!$B$8,IF(UPPER(TRIM(F103))="TRENCH",Inputs!$B$27,IF(UPPER(TRIM(F103))="PIPE",Inputs!$B$9,Inputs!$B$10)))))</f>
        <v>1.5</v>
      </c>
      <c r="K103" s="1" t="str">
        <f aca="false">IF(OR(G103="",J103=""),"",G103/(J103*60))</f>
        <v/>
      </c>
    </row>
    <row r="104" customFormat="false" ht="15" hidden="false" customHeight="false" outlineLevel="0" collapsed="false">
      <c r="J104" s="23" t="n">
        <f aca="false">IF(I104&lt;&gt;"",I104,IF(UPPER(TRIM(F104))="SHEET",Inputs!$B$7,IF(UPPER(TRIM(F104))="SWALE",Inputs!$B$8,IF(UPPER(TRIM(F104))="TRENCH",Inputs!$B$27,IF(UPPER(TRIM(F104))="PIPE",Inputs!$B$9,Inputs!$B$10)))))</f>
        <v>1.5</v>
      </c>
      <c r="K104" s="1" t="str">
        <f aca="false">IF(OR(G104="",J104=""),"",G104/(J104*60))</f>
        <v/>
      </c>
    </row>
    <row r="105" customFormat="false" ht="15" hidden="false" customHeight="false" outlineLevel="0" collapsed="false">
      <c r="J105" s="23" t="n">
        <f aca="false">IF(I105&lt;&gt;"",I105,IF(UPPER(TRIM(F105))="SHEET",Inputs!$B$7,IF(UPPER(TRIM(F105))="SWALE",Inputs!$B$8,IF(UPPER(TRIM(F105))="TRENCH",Inputs!$B$27,IF(UPPER(TRIM(F105))="PIPE",Inputs!$B$9,Inputs!$B$10)))))</f>
        <v>1.5</v>
      </c>
      <c r="K105" s="1" t="str">
        <f aca="false">IF(OR(G105="",J105=""),"",G105/(J105*60))</f>
        <v/>
      </c>
    </row>
    <row r="106" customFormat="false" ht="15" hidden="false" customHeight="false" outlineLevel="0" collapsed="false">
      <c r="J106" s="23" t="n">
        <f aca="false">IF(I106&lt;&gt;"",I106,IF(UPPER(TRIM(F106))="SHEET",Inputs!$B$7,IF(UPPER(TRIM(F106))="SWALE",Inputs!$B$8,IF(UPPER(TRIM(F106))="TRENCH",Inputs!$B$27,IF(UPPER(TRIM(F106))="PIPE",Inputs!$B$9,Inputs!$B$10)))))</f>
        <v>1.5</v>
      </c>
      <c r="K106" s="1" t="str">
        <f aca="false">IF(OR(G106="",J106=""),"",G106/(J106*60))</f>
        <v/>
      </c>
    </row>
    <row r="107" customFormat="false" ht="15" hidden="false" customHeight="false" outlineLevel="0" collapsed="false">
      <c r="J107" s="23" t="n">
        <f aca="false">IF(I107&lt;&gt;"",I107,IF(UPPER(TRIM(F107))="SHEET",Inputs!$B$7,IF(UPPER(TRIM(F107))="SWALE",Inputs!$B$8,IF(UPPER(TRIM(F107))="TRENCH",Inputs!$B$27,IF(UPPER(TRIM(F107))="PIPE",Inputs!$B$9,Inputs!$B$10)))))</f>
        <v>1.5</v>
      </c>
      <c r="K107" s="1" t="str">
        <f aca="false">IF(OR(G107="",J107=""),"",G107/(J107*60))</f>
        <v/>
      </c>
    </row>
    <row r="108" customFormat="false" ht="15" hidden="false" customHeight="false" outlineLevel="0" collapsed="false">
      <c r="J108" s="23" t="n">
        <f aca="false">IF(I108&lt;&gt;"",I108,IF(UPPER(TRIM(F108))="SHEET",Inputs!$B$7,IF(UPPER(TRIM(F108))="SWALE",Inputs!$B$8,IF(UPPER(TRIM(F108))="TRENCH",Inputs!$B$27,IF(UPPER(TRIM(F108))="PIPE",Inputs!$B$9,Inputs!$B$10)))))</f>
        <v>1.5</v>
      </c>
      <c r="K108" s="1" t="str">
        <f aca="false">IF(OR(G108="",J108=""),"",G108/(J108*60))</f>
        <v/>
      </c>
    </row>
    <row r="109" customFormat="false" ht="15" hidden="false" customHeight="false" outlineLevel="0" collapsed="false">
      <c r="J109" s="23" t="n">
        <f aca="false">IF(I109&lt;&gt;"",I109,IF(UPPER(TRIM(F109))="SHEET",Inputs!$B$7,IF(UPPER(TRIM(F109))="SWALE",Inputs!$B$8,IF(UPPER(TRIM(F109))="TRENCH",Inputs!$B$27,IF(UPPER(TRIM(F109))="PIPE",Inputs!$B$9,Inputs!$B$10)))))</f>
        <v>1.5</v>
      </c>
      <c r="K109" s="1" t="str">
        <f aca="false">IF(OR(G109="",J109=""),"",G109/(J109*60))</f>
        <v/>
      </c>
    </row>
    <row r="110" customFormat="false" ht="15" hidden="false" customHeight="false" outlineLevel="0" collapsed="false">
      <c r="J110" s="23" t="n">
        <f aca="false">IF(I110&lt;&gt;"",I110,IF(UPPER(TRIM(F110))="SHEET",Inputs!$B$7,IF(UPPER(TRIM(F110))="SWALE",Inputs!$B$8,IF(UPPER(TRIM(F110))="TRENCH",Inputs!$B$27,IF(UPPER(TRIM(F110))="PIPE",Inputs!$B$9,Inputs!$B$10)))))</f>
        <v>1.5</v>
      </c>
      <c r="K110" s="1" t="str">
        <f aca="false">IF(OR(G110="",J110=""),"",G110/(J110*60))</f>
        <v/>
      </c>
    </row>
    <row r="111" customFormat="false" ht="15" hidden="false" customHeight="false" outlineLevel="0" collapsed="false">
      <c r="J111" s="23" t="n">
        <f aca="false">IF(I111&lt;&gt;"",I111,IF(UPPER(TRIM(F111))="SHEET",Inputs!$B$7,IF(UPPER(TRIM(F111))="SWALE",Inputs!$B$8,IF(UPPER(TRIM(F111))="TRENCH",Inputs!$B$27,IF(UPPER(TRIM(F111))="PIPE",Inputs!$B$9,Inputs!$B$10)))))</f>
        <v>1.5</v>
      </c>
      <c r="K111" s="1" t="str">
        <f aca="false">IF(OR(G111="",J111=""),"",G111/(J111*60))</f>
        <v/>
      </c>
    </row>
    <row r="112" customFormat="false" ht="15" hidden="false" customHeight="false" outlineLevel="0" collapsed="false">
      <c r="J112" s="23" t="n">
        <f aca="false">IF(I112&lt;&gt;"",I112,IF(UPPER(TRIM(F112))="SHEET",Inputs!$B$7,IF(UPPER(TRIM(F112))="SWALE",Inputs!$B$8,IF(UPPER(TRIM(F112))="TRENCH",Inputs!$B$27,IF(UPPER(TRIM(F112))="PIPE",Inputs!$B$9,Inputs!$B$10)))))</f>
        <v>1.5</v>
      </c>
      <c r="K112" s="1" t="str">
        <f aca="false">IF(OR(G112="",J112=""),"",G112/(J112*60))</f>
        <v/>
      </c>
    </row>
    <row r="113" customFormat="false" ht="15" hidden="false" customHeight="false" outlineLevel="0" collapsed="false">
      <c r="J113" s="23" t="n">
        <f aca="false">IF(I113&lt;&gt;"",I113,IF(UPPER(TRIM(F113))="SHEET",Inputs!$B$7,IF(UPPER(TRIM(F113))="SWALE",Inputs!$B$8,IF(UPPER(TRIM(F113))="TRENCH",Inputs!$B$27,IF(UPPER(TRIM(F113))="PIPE",Inputs!$B$9,Inputs!$B$10)))))</f>
        <v>1.5</v>
      </c>
      <c r="K113" s="1" t="str">
        <f aca="false">IF(OR(G113="",J113=""),"",G113/(J113*60))</f>
        <v/>
      </c>
    </row>
    <row r="114" customFormat="false" ht="15" hidden="false" customHeight="false" outlineLevel="0" collapsed="false">
      <c r="J114" s="23" t="n">
        <f aca="false">IF(I114&lt;&gt;"",I114,IF(UPPER(TRIM(F114))="SHEET",Inputs!$B$7,IF(UPPER(TRIM(F114))="SWALE",Inputs!$B$8,IF(UPPER(TRIM(F114))="TRENCH",Inputs!$B$27,IF(UPPER(TRIM(F114))="PIPE",Inputs!$B$9,Inputs!$B$10)))))</f>
        <v>1.5</v>
      </c>
      <c r="K114" s="1" t="str">
        <f aca="false">IF(OR(G114="",J114=""),"",G114/(J114*60))</f>
        <v/>
      </c>
    </row>
    <row r="115" customFormat="false" ht="15" hidden="false" customHeight="false" outlineLevel="0" collapsed="false">
      <c r="J115" s="23" t="n">
        <f aca="false">IF(I115&lt;&gt;"",I115,IF(UPPER(TRIM(F115))="SHEET",Inputs!$B$7,IF(UPPER(TRIM(F115))="SWALE",Inputs!$B$8,IF(UPPER(TRIM(F115))="TRENCH",Inputs!$B$27,IF(UPPER(TRIM(F115))="PIPE",Inputs!$B$9,Inputs!$B$10)))))</f>
        <v>1.5</v>
      </c>
      <c r="K115" s="1" t="str">
        <f aca="false">IF(OR(G115="",J115=""),"",G115/(J115*60))</f>
        <v/>
      </c>
    </row>
    <row r="116" customFormat="false" ht="15" hidden="false" customHeight="false" outlineLevel="0" collapsed="false">
      <c r="J116" s="23" t="n">
        <f aca="false">IF(I116&lt;&gt;"",I116,IF(UPPER(TRIM(F116))="SHEET",Inputs!$B$7,IF(UPPER(TRIM(F116))="SWALE",Inputs!$B$8,IF(UPPER(TRIM(F116))="TRENCH",Inputs!$B$27,IF(UPPER(TRIM(F116))="PIPE",Inputs!$B$9,Inputs!$B$10)))))</f>
        <v>1.5</v>
      </c>
      <c r="K116" s="1" t="str">
        <f aca="false">IF(OR(G116="",J116=""),"",G116/(J116*60))</f>
        <v/>
      </c>
    </row>
    <row r="117" customFormat="false" ht="15" hidden="false" customHeight="false" outlineLevel="0" collapsed="false">
      <c r="J117" s="23" t="n">
        <f aca="false">IF(I117&lt;&gt;"",I117,IF(UPPER(TRIM(F117))="SHEET",Inputs!$B$7,IF(UPPER(TRIM(F117))="SWALE",Inputs!$B$8,IF(UPPER(TRIM(F117))="TRENCH",Inputs!$B$27,IF(UPPER(TRIM(F117))="PIPE",Inputs!$B$9,Inputs!$B$10)))))</f>
        <v>1.5</v>
      </c>
      <c r="K117" s="1" t="str">
        <f aca="false">IF(OR(G117="",J117=""),"",G117/(J117*60))</f>
        <v/>
      </c>
    </row>
    <row r="118" customFormat="false" ht="15" hidden="false" customHeight="false" outlineLevel="0" collapsed="false">
      <c r="J118" s="23" t="n">
        <f aca="false">IF(I118&lt;&gt;"",I118,IF(UPPER(TRIM(F118))="SHEET",Inputs!$B$7,IF(UPPER(TRIM(F118))="SWALE",Inputs!$B$8,IF(UPPER(TRIM(F118))="TRENCH",Inputs!$B$27,IF(UPPER(TRIM(F118))="PIPE",Inputs!$B$9,Inputs!$B$10)))))</f>
        <v>1.5</v>
      </c>
      <c r="K118" s="1" t="str">
        <f aca="false">IF(OR(G118="",J118=""),"",G118/(J118*60))</f>
        <v/>
      </c>
    </row>
    <row r="119" customFormat="false" ht="15" hidden="false" customHeight="false" outlineLevel="0" collapsed="false">
      <c r="J119" s="23" t="n">
        <f aca="false">IF(I119&lt;&gt;"",I119,IF(UPPER(TRIM(F119))="SHEET",Inputs!$B$7,IF(UPPER(TRIM(F119))="SWALE",Inputs!$B$8,IF(UPPER(TRIM(F119))="TRENCH",Inputs!$B$27,IF(UPPER(TRIM(F119))="PIPE",Inputs!$B$9,Inputs!$B$10)))))</f>
        <v>1.5</v>
      </c>
      <c r="K119" s="1" t="str">
        <f aca="false">IF(OR(G119="",J119=""),"",G119/(J119*60))</f>
        <v/>
      </c>
    </row>
    <row r="120" customFormat="false" ht="15" hidden="false" customHeight="false" outlineLevel="0" collapsed="false">
      <c r="J120" s="23" t="n">
        <f aca="false">IF(I120&lt;&gt;"",I120,IF(UPPER(TRIM(F120))="SHEET",Inputs!$B$7,IF(UPPER(TRIM(F120))="SWALE",Inputs!$B$8,IF(UPPER(TRIM(F120))="TRENCH",Inputs!$B$27,IF(UPPER(TRIM(F120))="PIPE",Inputs!$B$9,Inputs!$B$10)))))</f>
        <v>1.5</v>
      </c>
      <c r="K120" s="1" t="str">
        <f aca="false">IF(OR(G120="",J120=""),"",G120/(J120*60))</f>
        <v/>
      </c>
    </row>
    <row r="121" customFormat="false" ht="15" hidden="false" customHeight="false" outlineLevel="0" collapsed="false">
      <c r="J121" s="23" t="n">
        <f aca="false">IF(I121&lt;&gt;"",I121,IF(UPPER(TRIM(F121))="SHEET",Inputs!$B$7,IF(UPPER(TRIM(F121))="SWALE",Inputs!$B$8,IF(UPPER(TRIM(F121))="TRENCH",Inputs!$B$27,IF(UPPER(TRIM(F121))="PIPE",Inputs!$B$9,Inputs!$B$10)))))</f>
        <v>1.5</v>
      </c>
      <c r="K121" s="1" t="str">
        <f aca="false">IF(OR(G121="",J121=""),"",G121/(J121*60))</f>
        <v/>
      </c>
    </row>
    <row r="122" customFormat="false" ht="15" hidden="false" customHeight="false" outlineLevel="0" collapsed="false">
      <c r="J122" s="23" t="n">
        <f aca="false">IF(I122&lt;&gt;"",I122,IF(UPPER(TRIM(F122))="SHEET",Inputs!$B$7,IF(UPPER(TRIM(F122))="SWALE",Inputs!$B$8,IF(UPPER(TRIM(F122))="TRENCH",Inputs!$B$27,IF(UPPER(TRIM(F122))="PIPE",Inputs!$B$9,Inputs!$B$10)))))</f>
        <v>1.5</v>
      </c>
      <c r="K122" s="1" t="str">
        <f aca="false">IF(OR(G122="",J122=""),"",G122/(J122*60))</f>
        <v/>
      </c>
    </row>
    <row r="123" customFormat="false" ht="15" hidden="false" customHeight="false" outlineLevel="0" collapsed="false">
      <c r="J123" s="23" t="n">
        <f aca="false">IF(I123&lt;&gt;"",I123,IF(UPPER(TRIM(F123))="SHEET",Inputs!$B$7,IF(UPPER(TRIM(F123))="SWALE",Inputs!$B$8,IF(UPPER(TRIM(F123))="TRENCH",Inputs!$B$27,IF(UPPER(TRIM(F123))="PIPE",Inputs!$B$9,Inputs!$B$10)))))</f>
        <v>1.5</v>
      </c>
      <c r="K123" s="1" t="str">
        <f aca="false">IF(OR(G123="",J123=""),"",G123/(J123*60))</f>
        <v/>
      </c>
    </row>
    <row r="124" customFormat="false" ht="15" hidden="false" customHeight="false" outlineLevel="0" collapsed="false">
      <c r="J124" s="23" t="n">
        <f aca="false">IF(I124&lt;&gt;"",I124,IF(UPPER(TRIM(F124))="SHEET",Inputs!$B$7,IF(UPPER(TRIM(F124))="SWALE",Inputs!$B$8,IF(UPPER(TRIM(F124))="TRENCH",Inputs!$B$27,IF(UPPER(TRIM(F124))="PIPE",Inputs!$B$9,Inputs!$B$10)))))</f>
        <v>1.5</v>
      </c>
      <c r="K124" s="1" t="str">
        <f aca="false">IF(OR(G124="",J124=""),"",G124/(J124*60))</f>
        <v/>
      </c>
    </row>
    <row r="125" customFormat="false" ht="15" hidden="false" customHeight="false" outlineLevel="0" collapsed="false">
      <c r="J125" s="23" t="n">
        <f aca="false">IF(I125&lt;&gt;"",I125,IF(UPPER(TRIM(F125))="SHEET",Inputs!$B$7,IF(UPPER(TRIM(F125))="SWALE",Inputs!$B$8,IF(UPPER(TRIM(F125))="TRENCH",Inputs!$B$27,IF(UPPER(TRIM(F125))="PIPE",Inputs!$B$9,Inputs!$B$10)))))</f>
        <v>1.5</v>
      </c>
      <c r="K125" s="1" t="str">
        <f aca="false">IF(OR(G125="",J125=""),"",G125/(J125*60))</f>
        <v/>
      </c>
    </row>
    <row r="126" customFormat="false" ht="15" hidden="false" customHeight="false" outlineLevel="0" collapsed="false">
      <c r="J126" s="23" t="n">
        <f aca="false">IF(I126&lt;&gt;"",I126,IF(UPPER(TRIM(F126))="SHEET",Inputs!$B$7,IF(UPPER(TRIM(F126))="SWALE",Inputs!$B$8,IF(UPPER(TRIM(F126))="TRENCH",Inputs!$B$27,IF(UPPER(TRIM(F126))="PIPE",Inputs!$B$9,Inputs!$B$10)))))</f>
        <v>1.5</v>
      </c>
      <c r="K126" s="1" t="str">
        <f aca="false">IF(OR(G126="",J126=""),"",G126/(J126*60))</f>
        <v/>
      </c>
    </row>
    <row r="127" customFormat="false" ht="15" hidden="false" customHeight="false" outlineLevel="0" collapsed="false">
      <c r="J127" s="23" t="n">
        <f aca="false">IF(I127&lt;&gt;"",I127,IF(UPPER(TRIM(F127))="SHEET",Inputs!$B$7,IF(UPPER(TRIM(F127))="SWALE",Inputs!$B$8,IF(UPPER(TRIM(F127))="TRENCH",Inputs!$B$27,IF(UPPER(TRIM(F127))="PIPE",Inputs!$B$9,Inputs!$B$10)))))</f>
        <v>1.5</v>
      </c>
      <c r="K127" s="1" t="str">
        <f aca="false">IF(OR(G127="",J127=""),"",G127/(J127*60))</f>
        <v/>
      </c>
    </row>
    <row r="128" customFormat="false" ht="15" hidden="false" customHeight="false" outlineLevel="0" collapsed="false">
      <c r="J128" s="23" t="n">
        <f aca="false">IF(I128&lt;&gt;"",I128,IF(UPPER(TRIM(F128))="SHEET",Inputs!$B$7,IF(UPPER(TRIM(F128))="SWALE",Inputs!$B$8,IF(UPPER(TRIM(F128))="TRENCH",Inputs!$B$27,IF(UPPER(TRIM(F128))="PIPE",Inputs!$B$9,Inputs!$B$10)))))</f>
        <v>1.5</v>
      </c>
      <c r="K128" s="1" t="str">
        <f aca="false">IF(OR(G128="",J128=""),"",G128/(J128*60))</f>
        <v/>
      </c>
    </row>
    <row r="129" customFormat="false" ht="15" hidden="false" customHeight="false" outlineLevel="0" collapsed="false">
      <c r="J129" s="23" t="n">
        <f aca="false">IF(I129&lt;&gt;"",I129,IF(UPPER(TRIM(F129))="SHEET",Inputs!$B$7,IF(UPPER(TRIM(F129))="SWALE",Inputs!$B$8,IF(UPPER(TRIM(F129))="TRENCH",Inputs!$B$27,IF(UPPER(TRIM(F129))="PIPE",Inputs!$B$9,Inputs!$B$10)))))</f>
        <v>1.5</v>
      </c>
      <c r="K129" s="1" t="str">
        <f aca="false">IF(OR(G129="",J129=""),"",G129/(J129*60))</f>
        <v/>
      </c>
    </row>
    <row r="130" customFormat="false" ht="15" hidden="false" customHeight="false" outlineLevel="0" collapsed="false">
      <c r="J130" s="23" t="n">
        <f aca="false">IF(I130&lt;&gt;"",I130,IF(UPPER(TRIM(F130))="SHEET",Inputs!$B$7,IF(UPPER(TRIM(F130))="SWALE",Inputs!$B$8,IF(UPPER(TRIM(F130))="TRENCH",Inputs!$B$27,IF(UPPER(TRIM(F130))="PIPE",Inputs!$B$9,Inputs!$B$10)))))</f>
        <v>1.5</v>
      </c>
      <c r="K130" s="1" t="str">
        <f aca="false">IF(OR(G130="",J130=""),"",G130/(J130*60))</f>
        <v/>
      </c>
    </row>
    <row r="131" customFormat="false" ht="15" hidden="false" customHeight="false" outlineLevel="0" collapsed="false">
      <c r="J131" s="23" t="n">
        <f aca="false">IF(I131&lt;&gt;"",I131,IF(UPPER(TRIM(F131))="SHEET",Inputs!$B$7,IF(UPPER(TRIM(F131))="SWALE",Inputs!$B$8,IF(UPPER(TRIM(F131))="TRENCH",Inputs!$B$27,IF(UPPER(TRIM(F131))="PIPE",Inputs!$B$9,Inputs!$B$10)))))</f>
        <v>1.5</v>
      </c>
      <c r="K131" s="1" t="str">
        <f aca="false">IF(OR(G131="",J131=""),"",G131/(J131*60))</f>
        <v/>
      </c>
    </row>
    <row r="132" customFormat="false" ht="15" hidden="false" customHeight="false" outlineLevel="0" collapsed="false">
      <c r="J132" s="23" t="n">
        <f aca="false">IF(I132&lt;&gt;"",I132,IF(UPPER(TRIM(F132))="SHEET",Inputs!$B$7,IF(UPPER(TRIM(F132))="SWALE",Inputs!$B$8,IF(UPPER(TRIM(F132))="TRENCH",Inputs!$B$27,IF(UPPER(TRIM(F132))="PIPE",Inputs!$B$9,Inputs!$B$10)))))</f>
        <v>1.5</v>
      </c>
      <c r="K132" s="1" t="str">
        <f aca="false">IF(OR(G132="",J132=""),"",G132/(J132*60))</f>
        <v/>
      </c>
    </row>
    <row r="133" customFormat="false" ht="15" hidden="false" customHeight="false" outlineLevel="0" collapsed="false">
      <c r="J133" s="23" t="n">
        <f aca="false">IF(I133&lt;&gt;"",I133,IF(UPPER(TRIM(F133))="SHEET",Inputs!$B$7,IF(UPPER(TRIM(F133))="SWALE",Inputs!$B$8,IF(UPPER(TRIM(F133))="TRENCH",Inputs!$B$27,IF(UPPER(TRIM(F133))="PIPE",Inputs!$B$9,Inputs!$B$10)))))</f>
        <v>1.5</v>
      </c>
      <c r="K133" s="1" t="str">
        <f aca="false">IF(OR(G133="",J133=""),"",G133/(J133*60))</f>
        <v/>
      </c>
    </row>
    <row r="134" customFormat="false" ht="15" hidden="false" customHeight="false" outlineLevel="0" collapsed="false">
      <c r="J134" s="23" t="n">
        <f aca="false">IF(I134&lt;&gt;"",I134,IF(UPPER(TRIM(F134))="SHEET",Inputs!$B$7,IF(UPPER(TRIM(F134))="SWALE",Inputs!$B$8,IF(UPPER(TRIM(F134))="TRENCH",Inputs!$B$27,IF(UPPER(TRIM(F134))="PIPE",Inputs!$B$9,Inputs!$B$10)))))</f>
        <v>1.5</v>
      </c>
      <c r="K134" s="1" t="str">
        <f aca="false">IF(OR(G134="",J134=""),"",G134/(J134*60))</f>
        <v/>
      </c>
    </row>
    <row r="135" customFormat="false" ht="15" hidden="false" customHeight="false" outlineLevel="0" collapsed="false">
      <c r="J135" s="23" t="n">
        <f aca="false">IF(I135&lt;&gt;"",I135,IF(UPPER(TRIM(F135))="SHEET",Inputs!$B$7,IF(UPPER(TRIM(F135))="SWALE",Inputs!$B$8,IF(UPPER(TRIM(F135))="TRENCH",Inputs!$B$27,IF(UPPER(TRIM(F135))="PIPE",Inputs!$B$9,Inputs!$B$10)))))</f>
        <v>1.5</v>
      </c>
      <c r="K135" s="1" t="str">
        <f aca="false">IF(OR(G135="",J135=""),"",G135/(J135*60))</f>
        <v/>
      </c>
    </row>
    <row r="136" customFormat="false" ht="15" hidden="false" customHeight="false" outlineLevel="0" collapsed="false">
      <c r="J136" s="23" t="n">
        <f aca="false">IF(I136&lt;&gt;"",I136,IF(UPPER(TRIM(F136))="SHEET",Inputs!$B$7,IF(UPPER(TRIM(F136))="SWALE",Inputs!$B$8,IF(UPPER(TRIM(F136))="TRENCH",Inputs!$B$27,IF(UPPER(TRIM(F136))="PIPE",Inputs!$B$9,Inputs!$B$10)))))</f>
        <v>1.5</v>
      </c>
      <c r="K136" s="1" t="str">
        <f aca="false">IF(OR(G136="",J136=""),"",G136/(J136*60))</f>
        <v/>
      </c>
    </row>
    <row r="137" customFormat="false" ht="15" hidden="false" customHeight="false" outlineLevel="0" collapsed="false">
      <c r="J137" s="23" t="n">
        <f aca="false">IF(I137&lt;&gt;"",I137,IF(UPPER(TRIM(F137))="SHEET",Inputs!$B$7,IF(UPPER(TRIM(F137))="SWALE",Inputs!$B$8,IF(UPPER(TRIM(F137))="TRENCH",Inputs!$B$27,IF(UPPER(TRIM(F137))="PIPE",Inputs!$B$9,Inputs!$B$10)))))</f>
        <v>1.5</v>
      </c>
      <c r="K137" s="1" t="str">
        <f aca="false">IF(OR(G137="",J137=""),"",G137/(J137*60))</f>
        <v/>
      </c>
    </row>
    <row r="138" customFormat="false" ht="15" hidden="false" customHeight="false" outlineLevel="0" collapsed="false">
      <c r="J138" s="23" t="n">
        <f aca="false">IF(I138&lt;&gt;"",I138,IF(UPPER(TRIM(F138))="SHEET",Inputs!$B$7,IF(UPPER(TRIM(F138))="SWALE",Inputs!$B$8,IF(UPPER(TRIM(F138))="TRENCH",Inputs!$B$27,IF(UPPER(TRIM(F138))="PIPE",Inputs!$B$9,Inputs!$B$10)))))</f>
        <v>1.5</v>
      </c>
      <c r="K138" s="1" t="str">
        <f aca="false">IF(OR(G138="",J138=""),"",G138/(J138*60))</f>
        <v/>
      </c>
    </row>
    <row r="139" customFormat="false" ht="15" hidden="false" customHeight="false" outlineLevel="0" collapsed="false">
      <c r="J139" s="23" t="n">
        <f aca="false">IF(I139&lt;&gt;"",I139,IF(UPPER(TRIM(F139))="SHEET",Inputs!$B$7,IF(UPPER(TRIM(F139))="SWALE",Inputs!$B$8,IF(UPPER(TRIM(F139))="TRENCH",Inputs!$B$27,IF(UPPER(TRIM(F139))="PIPE",Inputs!$B$9,Inputs!$B$10)))))</f>
        <v>1.5</v>
      </c>
      <c r="K139" s="1" t="str">
        <f aca="false">IF(OR(G139="",J139=""),"",G139/(J139*60))</f>
        <v/>
      </c>
    </row>
    <row r="140" customFormat="false" ht="15" hidden="false" customHeight="false" outlineLevel="0" collapsed="false">
      <c r="J140" s="23" t="n">
        <f aca="false">IF(I140&lt;&gt;"",I140,IF(UPPER(TRIM(F140))="SHEET",Inputs!$B$7,IF(UPPER(TRIM(F140))="SWALE",Inputs!$B$8,IF(UPPER(TRIM(F140))="TRENCH",Inputs!$B$27,IF(UPPER(TRIM(F140))="PIPE",Inputs!$B$9,Inputs!$B$10)))))</f>
        <v>1.5</v>
      </c>
      <c r="K140" s="1" t="str">
        <f aca="false">IF(OR(G140="",J140=""),"",G140/(J140*60))</f>
        <v/>
      </c>
    </row>
    <row r="141" customFormat="false" ht="15" hidden="false" customHeight="false" outlineLevel="0" collapsed="false">
      <c r="J141" s="23" t="n">
        <f aca="false">IF(I141&lt;&gt;"",I141,IF(UPPER(TRIM(F141))="SHEET",Inputs!$B$7,IF(UPPER(TRIM(F141))="SWALE",Inputs!$B$8,IF(UPPER(TRIM(F141))="TRENCH",Inputs!$B$27,IF(UPPER(TRIM(F141))="PIPE",Inputs!$B$9,Inputs!$B$10)))))</f>
        <v>1.5</v>
      </c>
      <c r="K141" s="1" t="str">
        <f aca="false">IF(OR(G141="",J141=""),"",G141/(J141*60))</f>
        <v/>
      </c>
    </row>
    <row r="142" customFormat="false" ht="15" hidden="false" customHeight="false" outlineLevel="0" collapsed="false">
      <c r="J142" s="23" t="n">
        <f aca="false">IF(I142&lt;&gt;"",I142,IF(UPPER(TRIM(F142))="SHEET",Inputs!$B$7,IF(UPPER(TRIM(F142))="SWALE",Inputs!$B$8,IF(UPPER(TRIM(F142))="TRENCH",Inputs!$B$27,IF(UPPER(TRIM(F142))="PIPE",Inputs!$B$9,Inputs!$B$10)))))</f>
        <v>1.5</v>
      </c>
      <c r="K142" s="1" t="str">
        <f aca="false">IF(OR(G142="",J142=""),"",G142/(J142*60))</f>
        <v/>
      </c>
    </row>
    <row r="143" customFormat="false" ht="15" hidden="false" customHeight="false" outlineLevel="0" collapsed="false">
      <c r="J143" s="23" t="n">
        <f aca="false">IF(I143&lt;&gt;"",I143,IF(UPPER(TRIM(F143))="SHEET",Inputs!$B$7,IF(UPPER(TRIM(F143))="SWALE",Inputs!$B$8,IF(UPPER(TRIM(F143))="TRENCH",Inputs!$B$27,IF(UPPER(TRIM(F143))="PIPE",Inputs!$B$9,Inputs!$B$10)))))</f>
        <v>1.5</v>
      </c>
      <c r="K143" s="1" t="str">
        <f aca="false">IF(OR(G143="",J143=""),"",G143/(J143*60))</f>
        <v/>
      </c>
    </row>
    <row r="144" customFormat="false" ht="15" hidden="false" customHeight="false" outlineLevel="0" collapsed="false">
      <c r="J144" s="23" t="n">
        <f aca="false">IF(I144&lt;&gt;"",I144,IF(UPPER(TRIM(F144))="SHEET",Inputs!$B$7,IF(UPPER(TRIM(F144))="SWALE",Inputs!$B$8,IF(UPPER(TRIM(F144))="TRENCH",Inputs!$B$27,IF(UPPER(TRIM(F144))="PIPE",Inputs!$B$9,Inputs!$B$10)))))</f>
        <v>1.5</v>
      </c>
      <c r="K144" s="1" t="str">
        <f aca="false">IF(OR(G144="",J144=""),"",G144/(J144*60))</f>
        <v/>
      </c>
    </row>
    <row r="145" customFormat="false" ht="15" hidden="false" customHeight="false" outlineLevel="0" collapsed="false">
      <c r="J145" s="23" t="n">
        <f aca="false">IF(I145&lt;&gt;"",I145,IF(UPPER(TRIM(F145))="SHEET",Inputs!$B$7,IF(UPPER(TRIM(F145))="SWALE",Inputs!$B$8,IF(UPPER(TRIM(F145))="TRENCH",Inputs!$B$27,IF(UPPER(TRIM(F145))="PIPE",Inputs!$B$9,Inputs!$B$10)))))</f>
        <v>1.5</v>
      </c>
      <c r="K145" s="1" t="str">
        <f aca="false">IF(OR(G145="",J145=""),"",G145/(J145*60))</f>
        <v/>
      </c>
    </row>
    <row r="146" customFormat="false" ht="15" hidden="false" customHeight="false" outlineLevel="0" collapsed="false">
      <c r="J146" s="23" t="n">
        <f aca="false">IF(I146&lt;&gt;"",I146,IF(UPPER(TRIM(F146))="SHEET",Inputs!$B$7,IF(UPPER(TRIM(F146))="SWALE",Inputs!$B$8,IF(UPPER(TRIM(F146))="TRENCH",Inputs!$B$27,IF(UPPER(TRIM(F146))="PIPE",Inputs!$B$9,Inputs!$B$10)))))</f>
        <v>1.5</v>
      </c>
      <c r="K146" s="1" t="str">
        <f aca="false">IF(OR(G146="",J146=""),"",G146/(J146*60))</f>
        <v/>
      </c>
    </row>
    <row r="147" customFormat="false" ht="15" hidden="false" customHeight="false" outlineLevel="0" collapsed="false">
      <c r="J147" s="23" t="n">
        <f aca="false">IF(I147&lt;&gt;"",I147,IF(UPPER(TRIM(F147))="SHEET",Inputs!$B$7,IF(UPPER(TRIM(F147))="SWALE",Inputs!$B$8,IF(UPPER(TRIM(F147))="TRENCH",Inputs!$B$27,IF(UPPER(TRIM(F147))="PIPE",Inputs!$B$9,Inputs!$B$10)))))</f>
        <v>1.5</v>
      </c>
      <c r="K147" s="1" t="str">
        <f aca="false">IF(OR(G147="",J147=""),"",G147/(J147*60))</f>
        <v/>
      </c>
    </row>
    <row r="148" customFormat="false" ht="15" hidden="false" customHeight="false" outlineLevel="0" collapsed="false">
      <c r="J148" s="23" t="n">
        <f aca="false">IF(I148&lt;&gt;"",I148,IF(UPPER(TRIM(F148))="SHEET",Inputs!$B$7,IF(UPPER(TRIM(F148))="SWALE",Inputs!$B$8,IF(UPPER(TRIM(F148))="TRENCH",Inputs!$B$27,IF(UPPER(TRIM(F148))="PIPE",Inputs!$B$9,Inputs!$B$10)))))</f>
        <v>1.5</v>
      </c>
      <c r="K148" s="1" t="str">
        <f aca="false">IF(OR(G148="",J148=""),"",G148/(J148*60))</f>
        <v/>
      </c>
    </row>
    <row r="149" customFormat="false" ht="15" hidden="false" customHeight="false" outlineLevel="0" collapsed="false">
      <c r="J149" s="23" t="n">
        <f aca="false">IF(I149&lt;&gt;"",I149,IF(UPPER(TRIM(F149))="SHEET",Inputs!$B$7,IF(UPPER(TRIM(F149))="SWALE",Inputs!$B$8,IF(UPPER(TRIM(F149))="TRENCH",Inputs!$B$27,IF(UPPER(TRIM(F149))="PIPE",Inputs!$B$9,Inputs!$B$10)))))</f>
        <v>1.5</v>
      </c>
      <c r="K149" s="1" t="str">
        <f aca="false">IF(OR(G149="",J149=""),"",G149/(J149*60))</f>
        <v/>
      </c>
    </row>
    <row r="150" customFormat="false" ht="15" hidden="false" customHeight="false" outlineLevel="0" collapsed="false">
      <c r="J150" s="23" t="n">
        <f aca="false">IF(I150&lt;&gt;"",I150,IF(UPPER(TRIM(F150))="SHEET",Inputs!$B$7,IF(UPPER(TRIM(F150))="SWALE",Inputs!$B$8,IF(UPPER(TRIM(F150))="TRENCH",Inputs!$B$27,IF(UPPER(TRIM(F150))="PIPE",Inputs!$B$9,Inputs!$B$10)))))</f>
        <v>1.5</v>
      </c>
      <c r="K150" s="1" t="str">
        <f aca="false">IF(OR(G150="",J150=""),"",G150/(J150*60))</f>
        <v/>
      </c>
    </row>
    <row r="151" customFormat="false" ht="15" hidden="false" customHeight="false" outlineLevel="0" collapsed="false">
      <c r="J151" s="23" t="n">
        <f aca="false">IF(I151&lt;&gt;"",I151,IF(UPPER(TRIM(F151))="SHEET",Inputs!$B$7,IF(UPPER(TRIM(F151))="SWALE",Inputs!$B$8,IF(UPPER(TRIM(F151))="TRENCH",Inputs!$B$27,IF(UPPER(TRIM(F151))="PIPE",Inputs!$B$9,Inputs!$B$10)))))</f>
        <v>1.5</v>
      </c>
      <c r="K151" s="1" t="str">
        <f aca="false">IF(OR(G151="",J151=""),"",G151/(J151*60))</f>
        <v/>
      </c>
    </row>
    <row r="152" customFormat="false" ht="15" hidden="false" customHeight="false" outlineLevel="0" collapsed="false">
      <c r="J152" s="23" t="n">
        <f aca="false">IF(I152&lt;&gt;"",I152,IF(UPPER(TRIM(F152))="SHEET",Inputs!$B$7,IF(UPPER(TRIM(F152))="SWALE",Inputs!$B$8,IF(UPPER(TRIM(F152))="TRENCH",Inputs!$B$27,IF(UPPER(TRIM(F152))="PIPE",Inputs!$B$9,Inputs!$B$10)))))</f>
        <v>1.5</v>
      </c>
      <c r="K152" s="1" t="str">
        <f aca="false">IF(OR(G152="",J152=""),"",G152/(J152*60))</f>
        <v/>
      </c>
    </row>
    <row r="153" customFormat="false" ht="15" hidden="false" customHeight="false" outlineLevel="0" collapsed="false">
      <c r="J153" s="23" t="n">
        <f aca="false">IF(I153&lt;&gt;"",I153,IF(UPPER(TRIM(F153))="SHEET",Inputs!$B$7,IF(UPPER(TRIM(F153))="SWALE",Inputs!$B$8,IF(UPPER(TRIM(F153))="TRENCH",Inputs!$B$27,IF(UPPER(TRIM(F153))="PIPE",Inputs!$B$9,Inputs!$B$10)))))</f>
        <v>1.5</v>
      </c>
      <c r="K153" s="1" t="str">
        <f aca="false">IF(OR(G153="",J153=""),"",G153/(J153*60))</f>
        <v/>
      </c>
    </row>
    <row r="154" customFormat="false" ht="15" hidden="false" customHeight="false" outlineLevel="0" collapsed="false">
      <c r="J154" s="23" t="n">
        <f aca="false">IF(I154&lt;&gt;"",I154,IF(UPPER(TRIM(F154))="SHEET",Inputs!$B$7,IF(UPPER(TRIM(F154))="SWALE",Inputs!$B$8,IF(UPPER(TRIM(F154))="TRENCH",Inputs!$B$27,IF(UPPER(TRIM(F154))="PIPE",Inputs!$B$9,Inputs!$B$10)))))</f>
        <v>1.5</v>
      </c>
      <c r="K154" s="1" t="str">
        <f aca="false">IF(OR(G154="",J154=""),"",G154/(J154*60))</f>
        <v/>
      </c>
    </row>
    <row r="155" customFormat="false" ht="15" hidden="false" customHeight="false" outlineLevel="0" collapsed="false">
      <c r="J155" s="23" t="n">
        <f aca="false">IF(I155&lt;&gt;"",I155,IF(UPPER(TRIM(F155))="SHEET",Inputs!$B$7,IF(UPPER(TRIM(F155))="SWALE",Inputs!$B$8,IF(UPPER(TRIM(F155))="TRENCH",Inputs!$B$27,IF(UPPER(TRIM(F155))="PIPE",Inputs!$B$9,Inputs!$B$10)))))</f>
        <v>1.5</v>
      </c>
      <c r="K155" s="1" t="str">
        <f aca="false">IF(OR(G155="",J155=""),"",G155/(J155*60))</f>
        <v/>
      </c>
    </row>
    <row r="156" customFormat="false" ht="15" hidden="false" customHeight="false" outlineLevel="0" collapsed="false">
      <c r="J156" s="23" t="n">
        <f aca="false">IF(I156&lt;&gt;"",I156,IF(UPPER(TRIM(F156))="SHEET",Inputs!$B$7,IF(UPPER(TRIM(F156))="SWALE",Inputs!$B$8,IF(UPPER(TRIM(F156))="TRENCH",Inputs!$B$27,IF(UPPER(TRIM(F156))="PIPE",Inputs!$B$9,Inputs!$B$10)))))</f>
        <v>1.5</v>
      </c>
      <c r="K156" s="1" t="str">
        <f aca="false">IF(OR(G156="",J156=""),"",G156/(J156*60))</f>
        <v/>
      </c>
    </row>
    <row r="157" customFormat="false" ht="15" hidden="false" customHeight="false" outlineLevel="0" collapsed="false">
      <c r="J157" s="23" t="n">
        <f aca="false">IF(I157&lt;&gt;"",I157,IF(UPPER(TRIM(F157))="SHEET",Inputs!$B$7,IF(UPPER(TRIM(F157))="SWALE",Inputs!$B$8,IF(UPPER(TRIM(F157))="TRENCH",Inputs!$B$27,IF(UPPER(TRIM(F157))="PIPE",Inputs!$B$9,Inputs!$B$10)))))</f>
        <v>1.5</v>
      </c>
      <c r="K157" s="1" t="str">
        <f aca="false">IF(OR(G157="",J157=""),"",G157/(J157*60))</f>
        <v/>
      </c>
    </row>
    <row r="158" customFormat="false" ht="15" hidden="false" customHeight="false" outlineLevel="0" collapsed="false">
      <c r="J158" s="23" t="n">
        <f aca="false">IF(I158&lt;&gt;"",I158,IF(UPPER(TRIM(F158))="SHEET",Inputs!$B$7,IF(UPPER(TRIM(F158))="SWALE",Inputs!$B$8,IF(UPPER(TRIM(F158))="TRENCH",Inputs!$B$27,IF(UPPER(TRIM(F158))="PIPE",Inputs!$B$9,Inputs!$B$10)))))</f>
        <v>1.5</v>
      </c>
      <c r="K158" s="1" t="str">
        <f aca="false">IF(OR(G158="",J158=""),"",G158/(J158*60))</f>
        <v/>
      </c>
    </row>
    <row r="159" customFormat="false" ht="15" hidden="false" customHeight="false" outlineLevel="0" collapsed="false">
      <c r="J159" s="23" t="n">
        <f aca="false">IF(I159&lt;&gt;"",I159,IF(UPPER(TRIM(F159))="SHEET",Inputs!$B$7,IF(UPPER(TRIM(F159))="SWALE",Inputs!$B$8,IF(UPPER(TRIM(F159))="TRENCH",Inputs!$B$27,IF(UPPER(TRIM(F159))="PIPE",Inputs!$B$9,Inputs!$B$10)))))</f>
        <v>1.5</v>
      </c>
      <c r="K159" s="1" t="str">
        <f aca="false">IF(OR(G159="",J159=""),"",G159/(J159*60))</f>
        <v/>
      </c>
    </row>
    <row r="160" customFormat="false" ht="15" hidden="false" customHeight="false" outlineLevel="0" collapsed="false">
      <c r="J160" s="23" t="n">
        <f aca="false">IF(I160&lt;&gt;"",I160,IF(UPPER(TRIM(F160))="SHEET",Inputs!$B$7,IF(UPPER(TRIM(F160))="SWALE",Inputs!$B$8,IF(UPPER(TRIM(F160))="TRENCH",Inputs!$B$27,IF(UPPER(TRIM(F160))="PIPE",Inputs!$B$9,Inputs!$B$10)))))</f>
        <v>1.5</v>
      </c>
      <c r="K160" s="1" t="str">
        <f aca="false">IF(OR(G160="",J160=""),"",G160/(J160*60))</f>
        <v/>
      </c>
    </row>
    <row r="161" customFormat="false" ht="15" hidden="false" customHeight="false" outlineLevel="0" collapsed="false">
      <c r="J161" s="23" t="n">
        <f aca="false">IF(I161&lt;&gt;"",I161,IF(UPPER(TRIM(F161))="SHEET",Inputs!$B$7,IF(UPPER(TRIM(F161))="SWALE",Inputs!$B$8,IF(UPPER(TRIM(F161))="TRENCH",Inputs!$B$27,IF(UPPER(TRIM(F161))="PIPE",Inputs!$B$9,Inputs!$B$10)))))</f>
        <v>1.5</v>
      </c>
      <c r="K161" s="1" t="str">
        <f aca="false">IF(OR(G161="",J161=""),"",G161/(J161*60))</f>
        <v/>
      </c>
    </row>
    <row r="162" customFormat="false" ht="15" hidden="false" customHeight="false" outlineLevel="0" collapsed="false">
      <c r="J162" s="23" t="n">
        <f aca="false">IF(I162&lt;&gt;"",I162,IF(UPPER(TRIM(F162))="SHEET",Inputs!$B$7,IF(UPPER(TRIM(F162))="SWALE",Inputs!$B$8,IF(UPPER(TRIM(F162))="TRENCH",Inputs!$B$27,IF(UPPER(TRIM(F162))="PIPE",Inputs!$B$9,Inputs!$B$10)))))</f>
        <v>1.5</v>
      </c>
      <c r="K162" s="1" t="str">
        <f aca="false">IF(OR(G162="",J162=""),"",G162/(J162*60))</f>
        <v/>
      </c>
    </row>
    <row r="163" customFormat="false" ht="15" hidden="false" customHeight="false" outlineLevel="0" collapsed="false">
      <c r="J163" s="23" t="n">
        <f aca="false">IF(I163&lt;&gt;"",I163,IF(UPPER(TRIM(F163))="SHEET",Inputs!$B$7,IF(UPPER(TRIM(F163))="SWALE",Inputs!$B$8,IF(UPPER(TRIM(F163))="TRENCH",Inputs!$B$27,IF(UPPER(TRIM(F163))="PIPE",Inputs!$B$9,Inputs!$B$10)))))</f>
        <v>1.5</v>
      </c>
      <c r="K163" s="1" t="str">
        <f aca="false">IF(OR(G163="",J163=""),"",G163/(J163*60))</f>
        <v/>
      </c>
    </row>
    <row r="164" customFormat="false" ht="15" hidden="false" customHeight="false" outlineLevel="0" collapsed="false">
      <c r="J164" s="23" t="n">
        <f aca="false">IF(I164&lt;&gt;"",I164,IF(UPPER(TRIM(F164))="SHEET",Inputs!$B$7,IF(UPPER(TRIM(F164))="SWALE",Inputs!$B$8,IF(UPPER(TRIM(F164))="TRENCH",Inputs!$B$27,IF(UPPER(TRIM(F164))="PIPE",Inputs!$B$9,Inputs!$B$10)))))</f>
        <v>1.5</v>
      </c>
      <c r="K164" s="1" t="str">
        <f aca="false">IF(OR(G164="",J164=""),"",G164/(J164*60))</f>
        <v/>
      </c>
    </row>
    <row r="165" customFormat="false" ht="15" hidden="false" customHeight="false" outlineLevel="0" collapsed="false">
      <c r="J165" s="23" t="n">
        <f aca="false">IF(I165&lt;&gt;"",I165,IF(UPPER(TRIM(F165))="SHEET",Inputs!$B$7,IF(UPPER(TRIM(F165))="SWALE",Inputs!$B$8,IF(UPPER(TRIM(F165))="TRENCH",Inputs!$B$27,IF(UPPER(TRIM(F165))="PIPE",Inputs!$B$9,Inputs!$B$10)))))</f>
        <v>1.5</v>
      </c>
      <c r="K165" s="1" t="str">
        <f aca="false">IF(OR(G165="",J165=""),"",G165/(J165*60))</f>
        <v/>
      </c>
    </row>
    <row r="166" customFormat="false" ht="15" hidden="false" customHeight="false" outlineLevel="0" collapsed="false">
      <c r="J166" s="23" t="n">
        <f aca="false">IF(I166&lt;&gt;"",I166,IF(UPPER(TRIM(F166))="SHEET",Inputs!$B$7,IF(UPPER(TRIM(F166))="SWALE",Inputs!$B$8,IF(UPPER(TRIM(F166))="TRENCH",Inputs!$B$27,IF(UPPER(TRIM(F166))="PIPE",Inputs!$B$9,Inputs!$B$10)))))</f>
        <v>1.5</v>
      </c>
      <c r="K166" s="1" t="str">
        <f aca="false">IF(OR(G166="",J166=""),"",G166/(J166*60))</f>
        <v/>
      </c>
    </row>
    <row r="167" customFormat="false" ht="15" hidden="false" customHeight="false" outlineLevel="0" collapsed="false">
      <c r="J167" s="23" t="n">
        <f aca="false">IF(I167&lt;&gt;"",I167,IF(UPPER(TRIM(F167))="SHEET",Inputs!$B$7,IF(UPPER(TRIM(F167))="SWALE",Inputs!$B$8,IF(UPPER(TRIM(F167))="TRENCH",Inputs!$B$27,IF(UPPER(TRIM(F167))="PIPE",Inputs!$B$9,Inputs!$B$10)))))</f>
        <v>1.5</v>
      </c>
      <c r="K167" s="1" t="str">
        <f aca="false">IF(OR(G167="",J167=""),"",G167/(J167*60))</f>
        <v/>
      </c>
    </row>
    <row r="168" customFormat="false" ht="15" hidden="false" customHeight="false" outlineLevel="0" collapsed="false">
      <c r="J168" s="23" t="n">
        <f aca="false">IF(I168&lt;&gt;"",I168,IF(UPPER(TRIM(F168))="SHEET",Inputs!$B$7,IF(UPPER(TRIM(F168))="SWALE",Inputs!$B$8,IF(UPPER(TRIM(F168))="TRENCH",Inputs!$B$27,IF(UPPER(TRIM(F168))="PIPE",Inputs!$B$9,Inputs!$B$10)))))</f>
        <v>1.5</v>
      </c>
      <c r="K168" s="1" t="str">
        <f aca="false">IF(OR(G168="",J168=""),"",G168/(J168*60))</f>
        <v/>
      </c>
    </row>
    <row r="169" customFormat="false" ht="15" hidden="false" customHeight="false" outlineLevel="0" collapsed="false">
      <c r="J169" s="23" t="n">
        <f aca="false">IF(I169&lt;&gt;"",I169,IF(UPPER(TRIM(F169))="SHEET",Inputs!$B$7,IF(UPPER(TRIM(F169))="SWALE",Inputs!$B$8,IF(UPPER(TRIM(F169))="TRENCH",Inputs!$B$27,IF(UPPER(TRIM(F169))="PIPE",Inputs!$B$9,Inputs!$B$10)))))</f>
        <v>1.5</v>
      </c>
      <c r="K169" s="1" t="str">
        <f aca="false">IF(OR(G169="",J169=""),"",G169/(J169*60))</f>
        <v/>
      </c>
    </row>
    <row r="170" customFormat="false" ht="15" hidden="false" customHeight="false" outlineLevel="0" collapsed="false">
      <c r="J170" s="23" t="n">
        <f aca="false">IF(I170&lt;&gt;"",I170,IF(UPPER(TRIM(F170))="SHEET",Inputs!$B$7,IF(UPPER(TRIM(F170))="SWALE",Inputs!$B$8,IF(UPPER(TRIM(F170))="TRENCH",Inputs!$B$27,IF(UPPER(TRIM(F170))="PIPE",Inputs!$B$9,Inputs!$B$10)))))</f>
        <v>1.5</v>
      </c>
      <c r="K170" s="1" t="str">
        <f aca="false">IF(OR(G170="",J170=""),"",G170/(J170*60))</f>
        <v/>
      </c>
    </row>
    <row r="171" customFormat="false" ht="15" hidden="false" customHeight="false" outlineLevel="0" collapsed="false">
      <c r="J171" s="23" t="n">
        <f aca="false">IF(I171&lt;&gt;"",I171,IF(UPPER(TRIM(F171))="SHEET",Inputs!$B$7,IF(UPPER(TRIM(F171))="SWALE",Inputs!$B$8,IF(UPPER(TRIM(F171))="TRENCH",Inputs!$B$27,IF(UPPER(TRIM(F171))="PIPE",Inputs!$B$9,Inputs!$B$10)))))</f>
        <v>1.5</v>
      </c>
      <c r="K171" s="1" t="str">
        <f aca="false">IF(OR(G171="",J171=""),"",G171/(J171*60))</f>
        <v/>
      </c>
    </row>
    <row r="172" customFormat="false" ht="15" hidden="false" customHeight="false" outlineLevel="0" collapsed="false">
      <c r="J172" s="23" t="n">
        <f aca="false">IF(I172&lt;&gt;"",I172,IF(UPPER(TRIM(F172))="SHEET",Inputs!$B$7,IF(UPPER(TRIM(F172))="SWALE",Inputs!$B$8,IF(UPPER(TRIM(F172))="TRENCH",Inputs!$B$27,IF(UPPER(TRIM(F172))="PIPE",Inputs!$B$9,Inputs!$B$10)))))</f>
        <v>1.5</v>
      </c>
      <c r="K172" s="1" t="str">
        <f aca="false">IF(OR(G172="",J172=""),"",G172/(J172*60))</f>
        <v/>
      </c>
    </row>
    <row r="173" customFormat="false" ht="15" hidden="false" customHeight="false" outlineLevel="0" collapsed="false">
      <c r="J173" s="23" t="n">
        <f aca="false">IF(I173&lt;&gt;"",I173,IF(UPPER(TRIM(F173))="SHEET",Inputs!$B$7,IF(UPPER(TRIM(F173))="SWALE",Inputs!$B$8,IF(UPPER(TRIM(F173))="TRENCH",Inputs!$B$27,IF(UPPER(TRIM(F173))="PIPE",Inputs!$B$9,Inputs!$B$10)))))</f>
        <v>1.5</v>
      </c>
      <c r="K173" s="1" t="str">
        <f aca="false">IF(OR(G173="",J173=""),"",G173/(J173*60))</f>
        <v/>
      </c>
    </row>
    <row r="174" customFormat="false" ht="15" hidden="false" customHeight="false" outlineLevel="0" collapsed="false">
      <c r="J174" s="23" t="n">
        <f aca="false">IF(I174&lt;&gt;"",I174,IF(UPPER(TRIM(F174))="SHEET",Inputs!$B$7,IF(UPPER(TRIM(F174))="SWALE",Inputs!$B$8,IF(UPPER(TRIM(F174))="TRENCH",Inputs!$B$27,IF(UPPER(TRIM(F174))="PIPE",Inputs!$B$9,Inputs!$B$10)))))</f>
        <v>1.5</v>
      </c>
      <c r="K174" s="1" t="str">
        <f aca="false">IF(OR(G174="",J174=""),"",G174/(J174*60))</f>
        <v/>
      </c>
    </row>
    <row r="175" customFormat="false" ht="15" hidden="false" customHeight="false" outlineLevel="0" collapsed="false">
      <c r="J175" s="23" t="n">
        <f aca="false">IF(I175&lt;&gt;"",I175,IF(UPPER(TRIM(F175))="SHEET",Inputs!$B$7,IF(UPPER(TRIM(F175))="SWALE",Inputs!$B$8,IF(UPPER(TRIM(F175))="TRENCH",Inputs!$B$27,IF(UPPER(TRIM(F175))="PIPE",Inputs!$B$9,Inputs!$B$10)))))</f>
        <v>1.5</v>
      </c>
      <c r="K175" s="1" t="str">
        <f aca="false">IF(OR(G175="",J175=""),"",G175/(J175*60))</f>
        <v/>
      </c>
    </row>
    <row r="176" customFormat="false" ht="15" hidden="false" customHeight="false" outlineLevel="0" collapsed="false">
      <c r="J176" s="23" t="n">
        <f aca="false">IF(I176&lt;&gt;"",I176,IF(UPPER(TRIM(F176))="SHEET",Inputs!$B$7,IF(UPPER(TRIM(F176))="SWALE",Inputs!$B$8,IF(UPPER(TRIM(F176))="TRENCH",Inputs!$B$27,IF(UPPER(TRIM(F176))="PIPE",Inputs!$B$9,Inputs!$B$10)))))</f>
        <v>1.5</v>
      </c>
      <c r="K176" s="1" t="str">
        <f aca="false">IF(OR(G176="",J176=""),"",G176/(J176*60))</f>
        <v/>
      </c>
    </row>
    <row r="177" customFormat="false" ht="15" hidden="false" customHeight="false" outlineLevel="0" collapsed="false">
      <c r="J177" s="23" t="n">
        <f aca="false">IF(I177&lt;&gt;"",I177,IF(UPPER(TRIM(F177))="SHEET",Inputs!$B$7,IF(UPPER(TRIM(F177))="SWALE",Inputs!$B$8,IF(UPPER(TRIM(F177))="TRENCH",Inputs!$B$27,IF(UPPER(TRIM(F177))="PIPE",Inputs!$B$9,Inputs!$B$10)))))</f>
        <v>1.5</v>
      </c>
      <c r="K177" s="1" t="str">
        <f aca="false">IF(OR(G177="",J177=""),"",G177/(J177*60))</f>
        <v/>
      </c>
    </row>
    <row r="178" customFormat="false" ht="15" hidden="false" customHeight="false" outlineLevel="0" collapsed="false">
      <c r="J178" s="23" t="n">
        <f aca="false">IF(I178&lt;&gt;"",I178,IF(UPPER(TRIM(F178))="SHEET",Inputs!$B$7,IF(UPPER(TRIM(F178))="SWALE",Inputs!$B$8,IF(UPPER(TRIM(F178))="TRENCH",Inputs!$B$27,IF(UPPER(TRIM(F178))="PIPE",Inputs!$B$9,Inputs!$B$10)))))</f>
        <v>1.5</v>
      </c>
      <c r="K178" s="1" t="str">
        <f aca="false">IF(OR(G178="",J178=""),"",G178/(J178*60))</f>
        <v/>
      </c>
    </row>
    <row r="179" customFormat="false" ht="15" hidden="false" customHeight="false" outlineLevel="0" collapsed="false">
      <c r="J179" s="23" t="n">
        <f aca="false">IF(I179&lt;&gt;"",I179,IF(UPPER(TRIM(F179))="SHEET",Inputs!$B$7,IF(UPPER(TRIM(F179))="SWALE",Inputs!$B$8,IF(UPPER(TRIM(F179))="TRENCH",Inputs!$B$27,IF(UPPER(TRIM(F179))="PIPE",Inputs!$B$9,Inputs!$B$10)))))</f>
        <v>1.5</v>
      </c>
      <c r="K179" s="1" t="str">
        <f aca="false">IF(OR(G179="",J179=""),"",G179/(J179*60))</f>
        <v/>
      </c>
    </row>
    <row r="180" customFormat="false" ht="15" hidden="false" customHeight="false" outlineLevel="0" collapsed="false">
      <c r="J180" s="23" t="n">
        <f aca="false">IF(I180&lt;&gt;"",I180,IF(UPPER(TRIM(F180))="SHEET",Inputs!$B$7,IF(UPPER(TRIM(F180))="SWALE",Inputs!$B$8,IF(UPPER(TRIM(F180))="TRENCH",Inputs!$B$27,IF(UPPER(TRIM(F180))="PIPE",Inputs!$B$9,Inputs!$B$10)))))</f>
        <v>1.5</v>
      </c>
      <c r="K180" s="1" t="str">
        <f aca="false">IF(OR(G180="",J180=""),"",G180/(J180*60))</f>
        <v/>
      </c>
    </row>
    <row r="181" customFormat="false" ht="15" hidden="false" customHeight="false" outlineLevel="0" collapsed="false">
      <c r="J181" s="23" t="n">
        <f aca="false">IF(I181&lt;&gt;"",I181,IF(UPPER(TRIM(F181))="SHEET",Inputs!$B$7,IF(UPPER(TRIM(F181))="SWALE",Inputs!$B$8,IF(UPPER(TRIM(F181))="TRENCH",Inputs!$B$27,IF(UPPER(TRIM(F181))="PIPE",Inputs!$B$9,Inputs!$B$10)))))</f>
        <v>1.5</v>
      </c>
      <c r="K181" s="1" t="str">
        <f aca="false">IF(OR(G181="",J181=""),"",G181/(J181*60))</f>
        <v/>
      </c>
    </row>
    <row r="182" customFormat="false" ht="15" hidden="false" customHeight="false" outlineLevel="0" collapsed="false">
      <c r="J182" s="23" t="n">
        <f aca="false">IF(I182&lt;&gt;"",I182,IF(UPPER(TRIM(F182))="SHEET",Inputs!$B$7,IF(UPPER(TRIM(F182))="SWALE",Inputs!$B$8,IF(UPPER(TRIM(F182))="TRENCH",Inputs!$B$27,IF(UPPER(TRIM(F182))="PIPE",Inputs!$B$9,Inputs!$B$10)))))</f>
        <v>1.5</v>
      </c>
      <c r="K182" s="1" t="str">
        <f aca="false">IF(OR(G182="",J182=""),"",G182/(J182*60))</f>
        <v/>
      </c>
    </row>
    <row r="183" customFormat="false" ht="15" hidden="false" customHeight="false" outlineLevel="0" collapsed="false">
      <c r="J183" s="23" t="n">
        <f aca="false">IF(I183&lt;&gt;"",I183,IF(UPPER(TRIM(F183))="SHEET",Inputs!$B$7,IF(UPPER(TRIM(F183))="SWALE",Inputs!$B$8,IF(UPPER(TRIM(F183))="TRENCH",Inputs!$B$27,IF(UPPER(TRIM(F183))="PIPE",Inputs!$B$9,Inputs!$B$10)))))</f>
        <v>1.5</v>
      </c>
      <c r="K183" s="1" t="str">
        <f aca="false">IF(OR(G183="",J183=""),"",G183/(J183*60))</f>
        <v/>
      </c>
    </row>
    <row r="184" customFormat="false" ht="15" hidden="false" customHeight="false" outlineLevel="0" collapsed="false">
      <c r="J184" s="23" t="n">
        <f aca="false">IF(I184&lt;&gt;"",I184,IF(UPPER(TRIM(F184))="SHEET",Inputs!$B$7,IF(UPPER(TRIM(F184))="SWALE",Inputs!$B$8,IF(UPPER(TRIM(F184))="TRENCH",Inputs!$B$27,IF(UPPER(TRIM(F184))="PIPE",Inputs!$B$9,Inputs!$B$10)))))</f>
        <v>1.5</v>
      </c>
      <c r="K184" s="1" t="str">
        <f aca="false">IF(OR(G184="",J184=""),"",G184/(J184*60))</f>
        <v/>
      </c>
    </row>
    <row r="185" customFormat="false" ht="15" hidden="false" customHeight="false" outlineLevel="0" collapsed="false">
      <c r="J185" s="23" t="n">
        <f aca="false">IF(I185&lt;&gt;"",I185,IF(UPPER(TRIM(F185))="SHEET",Inputs!$B$7,IF(UPPER(TRIM(F185))="SWALE",Inputs!$B$8,IF(UPPER(TRIM(F185))="TRENCH",Inputs!$B$27,IF(UPPER(TRIM(F185))="PIPE",Inputs!$B$9,Inputs!$B$10)))))</f>
        <v>1.5</v>
      </c>
      <c r="K185" s="1" t="str">
        <f aca="false">IF(OR(G185="",J185=""),"",G185/(J185*60))</f>
        <v/>
      </c>
    </row>
    <row r="186" customFormat="false" ht="15" hidden="false" customHeight="false" outlineLevel="0" collapsed="false">
      <c r="J186" s="23" t="n">
        <f aca="false">IF(I186&lt;&gt;"",I186,IF(UPPER(TRIM(F186))="SHEET",Inputs!$B$7,IF(UPPER(TRIM(F186))="SWALE",Inputs!$B$8,IF(UPPER(TRIM(F186))="TRENCH",Inputs!$B$27,IF(UPPER(TRIM(F186))="PIPE",Inputs!$B$9,Inputs!$B$10)))))</f>
        <v>1.5</v>
      </c>
      <c r="K186" s="1" t="str">
        <f aca="false">IF(OR(G186="",J186=""),"",G186/(J186*60))</f>
        <v/>
      </c>
    </row>
    <row r="187" customFormat="false" ht="15" hidden="false" customHeight="false" outlineLevel="0" collapsed="false">
      <c r="J187" s="23" t="n">
        <f aca="false">IF(I187&lt;&gt;"",I187,IF(UPPER(TRIM(F187))="SHEET",Inputs!$B$7,IF(UPPER(TRIM(F187))="SWALE",Inputs!$B$8,IF(UPPER(TRIM(F187))="TRENCH",Inputs!$B$27,IF(UPPER(TRIM(F187))="PIPE",Inputs!$B$9,Inputs!$B$10)))))</f>
        <v>1.5</v>
      </c>
      <c r="K187" s="1" t="str">
        <f aca="false">IF(OR(G187="",J187=""),"",G187/(J187*60))</f>
        <v/>
      </c>
    </row>
    <row r="188" customFormat="false" ht="15" hidden="false" customHeight="false" outlineLevel="0" collapsed="false">
      <c r="J188" s="23" t="n">
        <f aca="false">IF(I188&lt;&gt;"",I188,IF(UPPER(TRIM(F188))="SHEET",Inputs!$B$7,IF(UPPER(TRIM(F188))="SWALE",Inputs!$B$8,IF(UPPER(TRIM(F188))="TRENCH",Inputs!$B$27,IF(UPPER(TRIM(F188))="PIPE",Inputs!$B$9,Inputs!$B$10)))))</f>
        <v>1.5</v>
      </c>
      <c r="K188" s="1" t="str">
        <f aca="false">IF(OR(G188="",J188=""),"",G188/(J188*60))</f>
        <v/>
      </c>
    </row>
    <row r="189" customFormat="false" ht="15" hidden="false" customHeight="false" outlineLevel="0" collapsed="false">
      <c r="J189" s="23" t="n">
        <f aca="false">IF(I189&lt;&gt;"",I189,IF(UPPER(TRIM(F189))="SHEET",Inputs!$B$7,IF(UPPER(TRIM(F189))="SWALE",Inputs!$B$8,IF(UPPER(TRIM(F189))="TRENCH",Inputs!$B$27,IF(UPPER(TRIM(F189))="PIPE",Inputs!$B$9,Inputs!$B$10)))))</f>
        <v>1.5</v>
      </c>
      <c r="K189" s="1" t="str">
        <f aca="false">IF(OR(G189="",J189=""),"",G189/(J189*60))</f>
        <v/>
      </c>
    </row>
    <row r="190" customFormat="false" ht="15" hidden="false" customHeight="false" outlineLevel="0" collapsed="false">
      <c r="J190" s="23" t="n">
        <f aca="false">IF(I190&lt;&gt;"",I190,IF(UPPER(TRIM(F190))="SHEET",Inputs!$B$7,IF(UPPER(TRIM(F190))="SWALE",Inputs!$B$8,IF(UPPER(TRIM(F190))="TRENCH",Inputs!$B$27,IF(UPPER(TRIM(F190))="PIPE",Inputs!$B$9,Inputs!$B$10)))))</f>
        <v>1.5</v>
      </c>
      <c r="K190" s="1" t="str">
        <f aca="false">IF(OR(G190="",J190=""),"",G190/(J190*60))</f>
        <v/>
      </c>
    </row>
    <row r="191" customFormat="false" ht="15" hidden="false" customHeight="false" outlineLevel="0" collapsed="false">
      <c r="J191" s="23" t="n">
        <f aca="false">IF(I191&lt;&gt;"",I191,IF(UPPER(TRIM(F191))="SHEET",Inputs!$B$7,IF(UPPER(TRIM(F191))="SWALE",Inputs!$B$8,IF(UPPER(TRIM(F191))="TRENCH",Inputs!$B$27,IF(UPPER(TRIM(F191))="PIPE",Inputs!$B$9,Inputs!$B$10)))))</f>
        <v>1.5</v>
      </c>
      <c r="K191" s="1" t="str">
        <f aca="false">IF(OR(G191="",J191=""),"",G191/(J191*60))</f>
        <v/>
      </c>
    </row>
    <row r="192" customFormat="false" ht="15" hidden="false" customHeight="false" outlineLevel="0" collapsed="false">
      <c r="J192" s="23" t="n">
        <f aca="false">IF(I192&lt;&gt;"",I192,IF(UPPER(TRIM(F192))="SHEET",Inputs!$B$7,IF(UPPER(TRIM(F192))="SWALE",Inputs!$B$8,IF(UPPER(TRIM(F192))="TRENCH",Inputs!$B$27,IF(UPPER(TRIM(F192))="PIPE",Inputs!$B$9,Inputs!$B$10)))))</f>
        <v>1.5</v>
      </c>
      <c r="K192" s="1" t="str">
        <f aca="false">IF(OR(G192="",J192=""),"",G192/(J192*60))</f>
        <v/>
      </c>
    </row>
    <row r="193" customFormat="false" ht="15" hidden="false" customHeight="false" outlineLevel="0" collapsed="false">
      <c r="J193" s="23" t="n">
        <f aca="false">IF(I193&lt;&gt;"",I193,IF(UPPER(TRIM(F193))="SHEET",Inputs!$B$7,IF(UPPER(TRIM(F193))="SWALE",Inputs!$B$8,IF(UPPER(TRIM(F193))="TRENCH",Inputs!$B$27,IF(UPPER(TRIM(F193))="PIPE",Inputs!$B$9,Inputs!$B$10)))))</f>
        <v>1.5</v>
      </c>
      <c r="K193" s="1" t="str">
        <f aca="false">IF(OR(G193="",J193=""),"",G193/(J193*60))</f>
        <v/>
      </c>
    </row>
    <row r="194" customFormat="false" ht="15" hidden="false" customHeight="false" outlineLevel="0" collapsed="false">
      <c r="J194" s="23" t="n">
        <f aca="false">IF(I194&lt;&gt;"",I194,IF(UPPER(TRIM(F194))="SHEET",Inputs!$B$7,IF(UPPER(TRIM(F194))="SWALE",Inputs!$B$8,IF(UPPER(TRIM(F194))="TRENCH",Inputs!$B$27,IF(UPPER(TRIM(F194))="PIPE",Inputs!$B$9,Inputs!$B$10)))))</f>
        <v>1.5</v>
      </c>
      <c r="K194" s="1" t="str">
        <f aca="false">IF(OR(G194="",J194=""),"",G194/(J194*60))</f>
        <v/>
      </c>
    </row>
    <row r="195" customFormat="false" ht="15" hidden="false" customHeight="false" outlineLevel="0" collapsed="false">
      <c r="J195" s="23" t="n">
        <f aca="false">IF(I195&lt;&gt;"",I195,IF(UPPER(TRIM(F195))="SHEET",Inputs!$B$7,IF(UPPER(TRIM(F195))="SWALE",Inputs!$B$8,IF(UPPER(TRIM(F195))="TRENCH",Inputs!$B$27,IF(UPPER(TRIM(F195))="PIPE",Inputs!$B$9,Inputs!$B$10)))))</f>
        <v>1.5</v>
      </c>
      <c r="K195" s="1" t="str">
        <f aca="false">IF(OR(G195="",J195=""),"",G195/(J195*60))</f>
        <v/>
      </c>
    </row>
    <row r="196" customFormat="false" ht="15" hidden="false" customHeight="false" outlineLevel="0" collapsed="false">
      <c r="J196" s="23" t="n">
        <f aca="false">IF(I196&lt;&gt;"",I196,IF(UPPER(TRIM(F196))="SHEET",Inputs!$B$7,IF(UPPER(TRIM(F196))="SWALE",Inputs!$B$8,IF(UPPER(TRIM(F196))="TRENCH",Inputs!$B$27,IF(UPPER(TRIM(F196))="PIPE",Inputs!$B$9,Inputs!$B$10)))))</f>
        <v>1.5</v>
      </c>
      <c r="K196" s="1" t="str">
        <f aca="false">IF(OR(G196="",J196=""),"",G196/(J196*60))</f>
        <v/>
      </c>
    </row>
    <row r="197" customFormat="false" ht="15" hidden="false" customHeight="false" outlineLevel="0" collapsed="false">
      <c r="J197" s="23" t="n">
        <f aca="false">IF(I197&lt;&gt;"",I197,IF(UPPER(TRIM(F197))="SHEET",Inputs!$B$7,IF(UPPER(TRIM(F197))="SWALE",Inputs!$B$8,IF(UPPER(TRIM(F197))="TRENCH",Inputs!$B$27,IF(UPPER(TRIM(F197))="PIPE",Inputs!$B$9,Inputs!$B$10)))))</f>
        <v>1.5</v>
      </c>
      <c r="K197" s="1" t="str">
        <f aca="false">IF(OR(G197="",J197=""),"",G197/(J197*60))</f>
        <v/>
      </c>
    </row>
    <row r="198" customFormat="false" ht="15" hidden="false" customHeight="false" outlineLevel="0" collapsed="false">
      <c r="J198" s="23" t="n">
        <f aca="false">IF(I198&lt;&gt;"",I198,IF(UPPER(TRIM(F198))="SHEET",Inputs!$B$7,IF(UPPER(TRIM(F198))="SWALE",Inputs!$B$8,IF(UPPER(TRIM(F198))="TRENCH",Inputs!$B$27,IF(UPPER(TRIM(F198))="PIPE",Inputs!$B$9,Inputs!$B$10)))))</f>
        <v>1.5</v>
      </c>
      <c r="K198" s="1" t="str">
        <f aca="false">IF(OR(G198="",J198=""),"",G198/(J198*60))</f>
        <v/>
      </c>
    </row>
    <row r="199" customFormat="false" ht="15" hidden="false" customHeight="false" outlineLevel="0" collapsed="false">
      <c r="J199" s="23" t="n">
        <f aca="false">IF(I199&lt;&gt;"",I199,IF(UPPER(TRIM(F199))="SHEET",Inputs!$B$7,IF(UPPER(TRIM(F199))="SWALE",Inputs!$B$8,IF(UPPER(TRIM(F199))="TRENCH",Inputs!$B$27,IF(UPPER(TRIM(F199))="PIPE",Inputs!$B$9,Inputs!$B$10)))))</f>
        <v>1.5</v>
      </c>
      <c r="K199" s="1" t="str">
        <f aca="false">IF(OR(G199="",J199=""),"",G199/(J199*60))</f>
        <v/>
      </c>
    </row>
    <row r="200" customFormat="false" ht="15" hidden="false" customHeight="false" outlineLevel="0" collapsed="false">
      <c r="J200" s="23" t="n">
        <f aca="false">IF(I200&lt;&gt;"",I200,IF(UPPER(TRIM(F200))="SHEET",Inputs!$B$7,IF(UPPER(TRIM(F200))="SWALE",Inputs!$B$8,IF(UPPER(TRIM(F200))="TRENCH",Inputs!$B$27,IF(UPPER(TRIM(F200))="PIPE",Inputs!$B$9,Inputs!$B$10)))))</f>
        <v>1.5</v>
      </c>
      <c r="K200" s="1" t="str">
        <f aca="false">IF(OR(G200="",J200=""),"",G200/(J200*60))</f>
        <v/>
      </c>
    </row>
    <row r="201" customFormat="false" ht="15" hidden="false" customHeight="false" outlineLevel="0" collapsed="false">
      <c r="J201" s="23" t="n">
        <f aca="false">IF(I201&lt;&gt;"",I201,IF(UPPER(TRIM(F201))="SHEET",Inputs!$B$7,IF(UPPER(TRIM(F201))="SWALE",Inputs!$B$8,IF(UPPER(TRIM(F201))="TRENCH",Inputs!$B$27,IF(UPPER(TRIM(F201))="PIPE",Inputs!$B$9,Inputs!$B$10)))))</f>
        <v>1.5</v>
      </c>
      <c r="K201" s="1" t="str">
        <f aca="false">IF(OR(G201="",J201=""),"",G201/(J201*60))</f>
        <v/>
      </c>
    </row>
    <row r="202" customFormat="false" ht="15" hidden="false" customHeight="false" outlineLevel="0" collapsed="false">
      <c r="J202" s="23" t="n">
        <f aca="false">IF(I202&lt;&gt;"",I202,IF(UPPER(TRIM(F202))="SHEET",Inputs!$B$7,IF(UPPER(TRIM(F202))="SWALE",Inputs!$B$8,IF(UPPER(TRIM(F202))="TRENCH",Inputs!$B$27,IF(UPPER(TRIM(F202))="PIPE",Inputs!$B$9,Inputs!$B$10)))))</f>
        <v>1.5</v>
      </c>
      <c r="K202" s="1" t="str">
        <f aca="false">IF(OR(G202="",J202=""),"",G202/(J202*60))</f>
        <v/>
      </c>
    </row>
    <row r="203" customFormat="false" ht="15" hidden="false" customHeight="false" outlineLevel="0" collapsed="false">
      <c r="J203" s="23" t="n">
        <f aca="false">IF(I203&lt;&gt;"",I203,IF(UPPER(TRIM(F203))="SHEET",Inputs!$B$7,IF(UPPER(TRIM(F203))="SWALE",Inputs!$B$8,IF(UPPER(TRIM(F203))="TRENCH",Inputs!$B$27,IF(UPPER(TRIM(F203))="PIPE",Inputs!$B$9,Inputs!$B$10)))))</f>
        <v>1.5</v>
      </c>
      <c r="K203" s="1" t="str">
        <f aca="false">IF(OR(G203="",J203=""),"",G203/(J203*60))</f>
        <v/>
      </c>
    </row>
    <row r="204" customFormat="false" ht="15" hidden="false" customHeight="false" outlineLevel="0" collapsed="false">
      <c r="J204" s="23" t="n">
        <f aca="false">IF(I204&lt;&gt;"",I204,IF(UPPER(TRIM(F204))="SHEET",Inputs!$B$7,IF(UPPER(TRIM(F204))="SWALE",Inputs!$B$8,IF(UPPER(TRIM(F204))="TRENCH",Inputs!$B$27,IF(UPPER(TRIM(F204))="PIPE",Inputs!$B$9,Inputs!$B$10)))))</f>
        <v>1.5</v>
      </c>
      <c r="K204" s="1" t="str">
        <f aca="false">IF(OR(G204="",J204=""),"",G204/(J204*60))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F9" activeCellId="0" sqref="F9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2"/>
    <col collapsed="false" customWidth="true" hidden="false" outlineLevel="0" max="3" min="3" style="1" width="13"/>
    <col collapsed="false" customWidth="true" hidden="false" outlineLevel="0" max="4" min="4" style="1" width="15"/>
    <col collapsed="false" customWidth="true" hidden="false" outlineLevel="0" max="5" min="5" style="1" width="16"/>
    <col collapsed="false" customWidth="true" hidden="false" outlineLevel="0" max="6" min="6" style="1" width="13"/>
    <col collapsed="false" customWidth="true" hidden="false" outlineLevel="0" max="7" min="7" style="1" width="15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3"/>
    <col collapsed="false" customWidth="true" hidden="false" outlineLevel="0" max="11" min="11" style="1" width="14"/>
    <col collapsed="false" customWidth="true" hidden="false" outlineLevel="0" max="12" min="12" style="1" width="13"/>
    <col collapsed="false" customWidth="true" hidden="false" outlineLevel="0" max="13" min="13" style="1" width="14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6" min="16" style="1" width="16"/>
    <col collapsed="false" customWidth="true" hidden="false" outlineLevel="0" max="17" min="17" style="1" width="13"/>
    <col collapsed="false" customWidth="true" hidden="false" outlineLevel="0" max="18" min="18" style="1" width="15"/>
    <col collapsed="false" customWidth="true" hidden="false" outlineLevel="0" max="19" min="19" style="1" width="12"/>
    <col collapsed="false" customWidth="true" hidden="false" outlineLevel="0" max="20" min="20" style="1" width="14"/>
    <col collapsed="false" customWidth="true" hidden="false" outlineLevel="0" max="21" min="21" style="1" width="13"/>
    <col collapsed="false" customWidth="true" hidden="false" outlineLevel="0" max="22" min="22" style="1" width="14"/>
    <col collapsed="false" customWidth="true" hidden="false" outlineLevel="0" max="23" min="23" style="1" width="13"/>
    <col collapsed="false" customWidth="true" hidden="false" outlineLevel="0" max="24" min="24" style="1" width="14"/>
    <col collapsed="false" customWidth="true" hidden="false" outlineLevel="0" max="25" min="25" style="1" width="12"/>
    <col collapsed="false" customWidth="true" hidden="false" outlineLevel="0" max="26" min="26" style="1" width="14"/>
    <col collapsed="false" customWidth="true" hidden="false" outlineLevel="0" max="27" min="27" style="1" width="48"/>
  </cols>
  <sheetData>
    <row r="1" customFormat="false" ht="15" hidden="false" customHeight="false" outlineLevel="0" collapsed="false">
      <c r="A1" s="12" t="s">
        <v>211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3" customFormat="false" ht="15" hidden="false" customHeight="false" outlineLevel="0" collapsed="false">
      <c r="A3" s="14" t="s">
        <v>212</v>
      </c>
      <c r="B3" s="14" t="s">
        <v>213</v>
      </c>
      <c r="C3" s="14" t="s">
        <v>214</v>
      </c>
      <c r="D3" s="14" t="s">
        <v>215</v>
      </c>
      <c r="E3" s="14" t="s">
        <v>216</v>
      </c>
      <c r="F3" s="14" t="s">
        <v>217</v>
      </c>
      <c r="G3" s="14" t="s">
        <v>218</v>
      </c>
      <c r="H3" s="14" t="s">
        <v>219</v>
      </c>
      <c r="I3" s="14" t="s">
        <v>220</v>
      </c>
      <c r="J3" s="14" t="s">
        <v>221</v>
      </c>
      <c r="K3" s="14" t="s">
        <v>222</v>
      </c>
      <c r="L3" s="14" t="s">
        <v>223</v>
      </c>
      <c r="M3" s="14" t="s">
        <v>224</v>
      </c>
      <c r="N3" s="14" t="s">
        <v>225</v>
      </c>
      <c r="O3" s="14" t="s">
        <v>226</v>
      </c>
      <c r="P3" s="14" t="s">
        <v>227</v>
      </c>
      <c r="Q3" s="14" t="s">
        <v>228</v>
      </c>
      <c r="R3" s="14" t="s">
        <v>229</v>
      </c>
      <c r="S3" s="14" t="s">
        <v>230</v>
      </c>
      <c r="T3" s="14" t="s">
        <v>231</v>
      </c>
      <c r="U3" s="14" t="s">
        <v>232</v>
      </c>
      <c r="V3" s="14" t="s">
        <v>233</v>
      </c>
      <c r="W3" s="14" t="s">
        <v>234</v>
      </c>
      <c r="X3" s="14" t="s">
        <v>235</v>
      </c>
      <c r="Y3" s="14" t="s">
        <v>236</v>
      </c>
      <c r="Z3" s="14" t="s">
        <v>237</v>
      </c>
      <c r="AA3" s="14" t="s">
        <v>160</v>
      </c>
    </row>
    <row r="4" customFormat="false" ht="15" hidden="false" customHeight="false" outlineLevel="0" collapsed="false">
      <c r="A4" s="4" t="s">
        <v>238</v>
      </c>
      <c r="B4" s="4" t="s">
        <v>239</v>
      </c>
      <c r="C4" s="24" t="n">
        <v>12712</v>
      </c>
      <c r="D4" s="15" t="n">
        <v>1</v>
      </c>
      <c r="E4" s="17" t="n">
        <f aca="false">IF(C4="","",C4*D4)</f>
        <v>12712</v>
      </c>
      <c r="F4" s="4" t="s">
        <v>240</v>
      </c>
      <c r="G4" s="16"/>
      <c r="H4" s="17" t="n">
        <f aca="false">IF(G4&lt;&gt;"",G4,IF(UPPER(TRIM(F4))="ROOF",Inputs!$B$13,IF(UPPER(TRIM(F4))="PAVAGE",Inputs!$B$14,IF(UPPER(TRIM(F4))="GRASS",Inputs!$B$15,IF(UPPER(TRIM(F4))="GRAVEL",Inputs!$B$17,Inputs!$B$18)))))</f>
        <v>0.3</v>
      </c>
      <c r="I4" s="15" t="n">
        <v>7</v>
      </c>
      <c r="J4" s="4" t="s">
        <v>162</v>
      </c>
      <c r="K4" s="17" t="n">
        <f aca="false">IF(J4="",0,SUMIFS(FlowPaths!$K:$K,FlowPaths!$A:$A,"BEFORE",FlowPaths!$B:$B,J4))</f>
        <v>2.36111111111111</v>
      </c>
      <c r="L4" s="17" t="n">
        <f aca="false">IF(I4="",Inputs!$B$11,I4)+K4</f>
        <v>9.36111111111111</v>
      </c>
      <c r="M4" s="17" t="n">
        <f aca="false">IF(L4="","",IF(UPPER(TRIM(Inputs!$B$23))="IDF_EQUATION",Inputs!$B$3/((L4+Inputs!$B$4)^Inputs!$B$5),INDEX(IDF_Station!$B$3:$G$11,IFERROR(MATCH(L4,IDF_Station!$A$3:$A$11,1),1),MATCH(Inputs!$B$24,IDF_Station!$B$2:$G$2,0))))</f>
        <v>99.3138563781552</v>
      </c>
      <c r="N4" s="17" t="n">
        <f aca="false">IF(OR(E4="",H4="",M4=""),"",0.000000278*H4*E4*M4)</f>
        <v>0.105290643706078</v>
      </c>
      <c r="O4" s="15" t="n">
        <v>1</v>
      </c>
      <c r="P4" s="17" t="n">
        <f aca="false">IF(C4="","",C4*O4)</f>
        <v>12712</v>
      </c>
      <c r="Q4" s="4" t="s">
        <v>240</v>
      </c>
      <c r="R4" s="16"/>
      <c r="S4" s="17" t="n">
        <f aca="false">IF(R4&lt;&gt;"",R4,IF(UPPER(TRIM(Q4))="ROOF",Inputs!$B$13,IF(UPPER(TRIM(Q4))="PAVAGE",Inputs!$B$14,IF(UPPER(TRIM(Q4))="GRASS",Inputs!$B$16,IF(UPPER(TRIM(Q4))="GRAVEL",Inputs!$B$17,Inputs!$B$18)))))</f>
        <v>0.25</v>
      </c>
      <c r="T4" s="15" t="n">
        <v>7</v>
      </c>
      <c r="U4" s="4" t="s">
        <v>176</v>
      </c>
      <c r="V4" s="17" t="n">
        <f aca="false">IF(U4="",0,SUMIFS(FlowPaths!$K:$K,FlowPaths!$A:$A,"AFTER",FlowPaths!$B:$B,U4))</f>
        <v>1.06666666666667</v>
      </c>
      <c r="W4" s="17" t="n">
        <f aca="false">IF(T4="",Inputs!$B$12,T4)+V4</f>
        <v>8.06666666666667</v>
      </c>
      <c r="X4" s="17" t="n">
        <f aca="false">IF(W4="","",IF(UPPER(TRIM(Inputs!$B$23))="IDF_EQUATION",Inputs!$B$3/((W4+Inputs!$B$4)^Inputs!$B$5),INDEX(IDF_Station!$B$3:$G$11,IFERROR(MATCH(W4,IDF_Station!$A$3:$A$11,1),1),MATCH(Inputs!$B$24,IDF_Station!$B$2:$G$2,0))))</f>
        <v>102.872470597927</v>
      </c>
      <c r="Y4" s="17" t="n">
        <f aca="false">IF(OR(P4="",S4="",X4=""),"",0.000000278*S4*P4*X4)</f>
        <v>0.0908861818137391</v>
      </c>
      <c r="Z4" s="17" t="n">
        <f aca="false">IF(OR(Y4="",N4=""),"",Y4-N4)</f>
        <v>-0.0144044618923385</v>
      </c>
      <c r="AA4" s="4" t="s">
        <v>241</v>
      </c>
    </row>
    <row r="5" customFormat="false" ht="15" hidden="false" customHeight="false" outlineLevel="0" collapsed="false">
      <c r="A5" s="4" t="s">
        <v>242</v>
      </c>
      <c r="B5" s="4" t="s">
        <v>243</v>
      </c>
      <c r="C5" s="24" t="n">
        <v>2961</v>
      </c>
      <c r="D5" s="15" t="n">
        <v>1</v>
      </c>
      <c r="E5" s="17" t="n">
        <f aca="false">IF(C5="","",C5*D5)</f>
        <v>2961</v>
      </c>
      <c r="F5" s="4" t="s">
        <v>240</v>
      </c>
      <c r="G5" s="16"/>
      <c r="H5" s="17" t="n">
        <f aca="false">IF(G5&lt;&gt;"",G5,IF(UPPER(TRIM(F5))="ROOF",Inputs!$B$13,IF(UPPER(TRIM(F5))="PAVAGE",Inputs!$B$14,IF(UPPER(TRIM(F5))="GRASS",Inputs!$B$15,IF(UPPER(TRIM(F5))="GRAVEL",Inputs!$B$17,Inputs!$B$18)))))</f>
        <v>0.3</v>
      </c>
      <c r="I5" s="15" t="n">
        <v>7</v>
      </c>
      <c r="J5" s="4" t="s">
        <v>162</v>
      </c>
      <c r="K5" s="17" t="n">
        <f aca="false">IF(J5="",0,SUMIFS(FlowPaths!$K:$K,FlowPaths!$A:$A,"BEFORE",FlowPaths!$B:$B,J5))</f>
        <v>2.36111111111111</v>
      </c>
      <c r="L5" s="17" t="n">
        <f aca="false">IF(I5="",Inputs!$B$11,I5)+K5</f>
        <v>9.36111111111111</v>
      </c>
      <c r="M5" s="17" t="n">
        <f aca="false">IF(L5="","",IF(UPPER(TRIM(Inputs!$B$23))="IDF_EQUATION",Inputs!$B$3/((L5+Inputs!$B$4)^Inputs!$B$5),INDEX(IDF_Station!$B$3:$G$11,IFERROR(MATCH(L5,IDF_Station!$A$3:$A$11,1),1),MATCH(Inputs!$B$24,IDF_Station!$B$2:$G$2,0))))</f>
        <v>99.3138563781552</v>
      </c>
      <c r="N5" s="17" t="n">
        <f aca="false">IF(OR(E5="",H5="",M5=""),"",0.000000278*H5*E5*M5)</f>
        <v>0.0245252986165588</v>
      </c>
      <c r="O5" s="15" t="n">
        <v>1</v>
      </c>
      <c r="P5" s="17" t="n">
        <f aca="false">IF(C5="","",C5*O5)</f>
        <v>2961</v>
      </c>
      <c r="Q5" s="4" t="s">
        <v>240</v>
      </c>
      <c r="R5" s="16"/>
      <c r="S5" s="17" t="n">
        <f aca="false">IF(R5&lt;&gt;"",R5,IF(UPPER(TRIM(Q5))="ROOF",Inputs!$B$13,IF(UPPER(TRIM(Q5))="PAVAGE",Inputs!$B$14,IF(UPPER(TRIM(Q5))="GRASS",Inputs!$B$16,IF(UPPER(TRIM(Q5))="GRAVEL",Inputs!$B$17,Inputs!$B$18)))))</f>
        <v>0.25</v>
      </c>
      <c r="T5" s="15" t="n">
        <v>7</v>
      </c>
      <c r="U5" s="4" t="s">
        <v>176</v>
      </c>
      <c r="V5" s="17" t="n">
        <f aca="false">IF(U5="",0,SUMIFS(FlowPaths!$K:$K,FlowPaths!$A:$A,"AFTER",FlowPaths!$B:$B,U5))</f>
        <v>1.06666666666667</v>
      </c>
      <c r="W5" s="17" t="n">
        <f aca="false">IF(T5="",Inputs!$B$12,T5)+V5</f>
        <v>8.06666666666667</v>
      </c>
      <c r="X5" s="17" t="n">
        <f aca="false">IF(W5="","",IF(UPPER(TRIM(Inputs!$B$23))="IDF_EQUATION",Inputs!$B$3/((W5+Inputs!$B$4)^Inputs!$B$5),INDEX(IDF_Station!$B$3:$G$11,IFERROR(MATCH(W5,IDF_Station!$A$3:$A$11,1),1),MATCH(Inputs!$B$24,IDF_Station!$B$2:$G$2,0))))</f>
        <v>102.872470597927</v>
      </c>
      <c r="Y5" s="17" t="n">
        <f aca="false">IF(OR(P5="",S5="",X5=""),"",0.000000278*S5*P5*X5)</f>
        <v>0.0211700742881122</v>
      </c>
      <c r="Z5" s="17" t="n">
        <f aca="false">IF(OR(Y5="",N5=""),"",Y5-N5)</f>
        <v>-0.00335522432844669</v>
      </c>
      <c r="AA5" s="4" t="s">
        <v>244</v>
      </c>
    </row>
    <row r="6" customFormat="false" ht="15" hidden="false" customHeight="false" outlineLevel="0" collapsed="false">
      <c r="A6" s="4" t="s">
        <v>245</v>
      </c>
      <c r="B6" s="4" t="s">
        <v>246</v>
      </c>
      <c r="C6" s="24" t="n">
        <v>1869.7</v>
      </c>
      <c r="D6" s="15" t="n">
        <f aca="false">Inputs!$B$19</f>
        <v>1</v>
      </c>
      <c r="E6" s="17" t="n">
        <f aca="false">IF(C6="","",C6*D6)</f>
        <v>1869.7</v>
      </c>
      <c r="F6" s="4" t="s">
        <v>247</v>
      </c>
      <c r="G6" s="16"/>
      <c r="H6" s="17" t="n">
        <f aca="false">IF(G6&lt;&gt;"",G6,IF(UPPER(TRIM(F6))="ROOF",Inputs!$B$13,IF(UPPER(TRIM(F6))="PAVAGE",Inputs!$B$14,IF(UPPER(TRIM(F6))="GRASS",Inputs!$B$15,IF(UPPER(TRIM(F6))="GRAVEL",Inputs!$B$17,Inputs!$B$18)))))</f>
        <v>0.85</v>
      </c>
      <c r="I6" s="15" t="n">
        <v>7</v>
      </c>
      <c r="J6" s="4" t="s">
        <v>171</v>
      </c>
      <c r="K6" s="17" t="n">
        <f aca="false">IF(J6="",0,SUMIFS(FlowPaths!$K:$K,FlowPaths!$A:$A,"BEFORE",FlowPaths!$B:$B,J6))</f>
        <v>3.41666666666667</v>
      </c>
      <c r="L6" s="17" t="n">
        <f aca="false">IF(I6="",Inputs!$B$11,I6)+K6</f>
        <v>10.4166666666667</v>
      </c>
      <c r="M6" s="17" t="n">
        <f aca="false">IF(L6="","",IF(UPPER(TRIM(Inputs!$B$23))="IDF_EQUATION",Inputs!$B$3/((L6+Inputs!$B$4)^Inputs!$B$5),INDEX(IDF_Station!$B$3:$G$11,IFERROR(MATCH(L6,IDF_Station!$A$3:$A$11,1),1),MATCH(Inputs!$B$24,IDF_Station!$B$2:$G$2,0))))</f>
        <v>96.5784302818681</v>
      </c>
      <c r="N6" s="17" t="n">
        <f aca="false">IF(OR(E6="",H6="",M6=""),"",0.000000278*H6*E6*M6)</f>
        <v>0.0426693269064595</v>
      </c>
      <c r="O6" s="15" t="n">
        <f aca="false">Inputs!$B$19</f>
        <v>1</v>
      </c>
      <c r="P6" s="17" t="n">
        <f aca="false">IF(C6="","",C6*O6)</f>
        <v>1869.7</v>
      </c>
      <c r="Q6" s="4" t="s">
        <v>247</v>
      </c>
      <c r="R6" s="16"/>
      <c r="S6" s="17" t="n">
        <f aca="false">IF(R6&lt;&gt;"",R6,IF(UPPER(TRIM(Q6))="ROOF",Inputs!$B$13,IF(UPPER(TRIM(Q6))="PAVAGE",Inputs!$B$14,IF(UPPER(TRIM(Q6))="GRASS",Inputs!$B$16,IF(UPPER(TRIM(Q6))="GRAVEL",Inputs!$B$17,Inputs!$B$18)))))</f>
        <v>0.85</v>
      </c>
      <c r="T6" s="15" t="n">
        <v>7</v>
      </c>
      <c r="U6" s="4" t="s">
        <v>171</v>
      </c>
      <c r="V6" s="17" t="n">
        <f aca="false">IF(U6="",0,SUMIFS(FlowPaths!$K:$K,FlowPaths!$A:$A,"AFTER",FlowPaths!$B:$B,U6))</f>
        <v>2.44666666666667</v>
      </c>
      <c r="W6" s="17" t="n">
        <f aca="false">IF(T6="",Inputs!$B$12,T6)+V6</f>
        <v>9.44666666666667</v>
      </c>
      <c r="X6" s="17" t="n">
        <f aca="false">IF(W6="","",IF(UPPER(TRIM(Inputs!$B$23))="IDF_EQUATION",Inputs!$B$3/((W6+Inputs!$B$4)^Inputs!$B$5),INDEX(IDF_Station!$B$3:$G$11,IFERROR(MATCH(W6,IDF_Station!$A$3:$A$11,1),1),MATCH(Inputs!$B$24,IDF_Station!$B$2:$G$2,0))))</f>
        <v>99.0867619783636</v>
      </c>
      <c r="Y6" s="17" t="n">
        <f aca="false">IF(OR(P6="",S6="",X6=""),"",0.000000278*S6*P6*X6)</f>
        <v>0.0437775332092046</v>
      </c>
      <c r="Z6" s="17" t="n">
        <f aca="false">IF(OR(Y6="",N6=""),"",Y6-N6)</f>
        <v>0.00110820630274519</v>
      </c>
      <c r="AA6" s="4" t="s">
        <v>248</v>
      </c>
    </row>
    <row r="7" customFormat="false" ht="15" hidden="false" customHeight="false" outlineLevel="0" collapsed="false">
      <c r="A7" s="4" t="s">
        <v>97</v>
      </c>
      <c r="B7" s="4" t="s">
        <v>249</v>
      </c>
      <c r="C7" s="24" t="n">
        <v>398</v>
      </c>
      <c r="D7" s="15" t="n">
        <v>1</v>
      </c>
      <c r="E7" s="17" t="n">
        <f aca="false">IF(C7="","",C7*D7)</f>
        <v>398</v>
      </c>
      <c r="F7" s="4" t="s">
        <v>250</v>
      </c>
      <c r="G7" s="17" t="n">
        <f aca="false">IF(UPPER(TRIM(Inputs!$B$41))="YES",Inputs!$B$39,"")</f>
        <v>0.575</v>
      </c>
      <c r="H7" s="17" t="n">
        <f aca="false">IF(G7&lt;&gt;"",G7,IF(UPPER(TRIM(F7))="ROOF",Inputs!$B$13,IF(UPPER(TRIM(F7))="PAVAGE",Inputs!$B$14,IF(UPPER(TRIM(F7))="GRASS",Inputs!$B$15,IF(UPPER(TRIM(F7))="GRAVEL",Inputs!$B$17,Inputs!$B$18)))))</f>
        <v>0.575</v>
      </c>
      <c r="I7" s="15" t="n">
        <v>7</v>
      </c>
      <c r="J7" s="4" t="s">
        <v>162</v>
      </c>
      <c r="K7" s="17" t="n">
        <f aca="false">IF(J7="",0,SUMIFS(FlowPaths!$K:$K,FlowPaths!$A:$A,"BEFORE",FlowPaths!$B:$B,J7))</f>
        <v>2.36111111111111</v>
      </c>
      <c r="L7" s="17" t="n">
        <f aca="false">IF(I7="",Inputs!$B$11,I7)+K7</f>
        <v>9.36111111111111</v>
      </c>
      <c r="M7" s="17" t="n">
        <f aca="false">IF(L7="","",IF(UPPER(TRIM(Inputs!$B$23))="IDF_EQUATION",Inputs!$B$3/((L7+Inputs!$B$4)^Inputs!$B$5),INDEX(IDF_Station!$B$3:$G$11,IFERROR(MATCH(L7,IDF_Station!$A$3:$A$11,1),1),MATCH(Inputs!$B$24,IDF_Station!$B$2:$G$2,0))))</f>
        <v>99.3138563781552</v>
      </c>
      <c r="N7" s="17" t="n">
        <f aca="false">IF(OR(E7="",H7="",M7=""),"",0.000000278*H7*E7*M7)</f>
        <v>0.00631837733693515</v>
      </c>
      <c r="O7" s="15" t="n">
        <v>1</v>
      </c>
      <c r="P7" s="17" t="n">
        <f aca="false">IF(C7="","",C7*O7)</f>
        <v>398</v>
      </c>
      <c r="Q7" s="4" t="s">
        <v>250</v>
      </c>
      <c r="R7" s="17" t="n">
        <f aca="false">IF(UPPER(TRIM(Inputs!$B$41))="YES",Inputs!$B$40,"")</f>
        <v>0.55</v>
      </c>
      <c r="S7" s="17" t="n">
        <f aca="false">IF(R7&lt;&gt;"",R7,IF(UPPER(TRIM(Q7))="ROOF",Inputs!$B$13,IF(UPPER(TRIM(Q7))="PAVAGE",Inputs!$B$14,IF(UPPER(TRIM(Q7))="GRASS",Inputs!$B$16,IF(UPPER(TRIM(Q7))="GRAVEL",Inputs!$B$17,Inputs!$B$18)))))</f>
        <v>0.55</v>
      </c>
      <c r="T7" s="15" t="n">
        <v>7</v>
      </c>
      <c r="U7" s="4" t="s">
        <v>186</v>
      </c>
      <c r="V7" s="17" t="n">
        <f aca="false">IF(U7="",0,SUMIFS(FlowPaths!$K:$K,FlowPaths!$A:$A,"AFTER",FlowPaths!$B:$B,U7))</f>
        <v>0.95</v>
      </c>
      <c r="W7" s="17" t="n">
        <f aca="false">IF(T7="",Inputs!$B$12,T7)+V7</f>
        <v>7.95</v>
      </c>
      <c r="X7" s="17" t="n">
        <f aca="false">IF(W7="","",IF(UPPER(TRIM(Inputs!$B$23))="IDF_EQUATION",Inputs!$B$3/((W7+Inputs!$B$4)^Inputs!$B$5),INDEX(IDF_Station!$B$3:$G$11,IFERROR(MATCH(W7,IDF_Station!$A$3:$A$11,1),1),MATCH(Inputs!$B$24,IDF_Station!$B$2:$G$2,0))))</f>
        <v>103.204941534951</v>
      </c>
      <c r="Y7" s="17" t="n">
        <f aca="false">IF(OR(P7="",S7="",X7=""),"",0.000000278*S7*P7*X7)</f>
        <v>0.00628045415315622</v>
      </c>
      <c r="Z7" s="17" t="n">
        <f aca="false">IF(OR(Y7="",N7=""),"",Y7-N7)</f>
        <v>-3.7923183778924E-005</v>
      </c>
      <c r="AA7" s="4" t="s">
        <v>251</v>
      </c>
    </row>
    <row r="8" customFormat="false" ht="15" hidden="false" customHeight="false" outlineLevel="0" collapsed="false">
      <c r="A8" s="4" t="s">
        <v>252</v>
      </c>
      <c r="B8" s="4" t="s">
        <v>253</v>
      </c>
      <c r="C8" s="24" t="n">
        <v>2882</v>
      </c>
      <c r="D8" s="15" t="n">
        <v>1</v>
      </c>
      <c r="E8" s="17" t="n">
        <f aca="false">IF(C8="","",C8*D8)</f>
        <v>2882</v>
      </c>
      <c r="F8" s="4" t="s">
        <v>240</v>
      </c>
      <c r="G8" s="16"/>
      <c r="H8" s="17" t="n">
        <f aca="false">IF(G8&lt;&gt;"",G8,IF(UPPER(TRIM(F8))="ROOF",Inputs!$B$13,IF(UPPER(TRIM(F8))="PAVAGE",Inputs!$B$14,IF(UPPER(TRIM(F8))="GRASS",Inputs!$B$15,IF(UPPER(TRIM(F8))="GRAVEL",Inputs!$B$17,Inputs!$B$18)))))</f>
        <v>0.3</v>
      </c>
      <c r="I8" s="15" t="n">
        <v>7</v>
      </c>
      <c r="J8" s="4" t="s">
        <v>162</v>
      </c>
      <c r="K8" s="17" t="n">
        <f aca="false">IF(J8="",0,SUMIFS(FlowPaths!$K:$K,FlowPaths!$A:$A,"BEFORE",FlowPaths!$B:$B,J8))</f>
        <v>2.36111111111111</v>
      </c>
      <c r="L8" s="17" t="n">
        <f aca="false">IF(I8="",Inputs!$B$11,I8)+K8</f>
        <v>9.36111111111111</v>
      </c>
      <c r="M8" s="17" t="n">
        <f aca="false">IF(L8="","",IF(UPPER(TRIM(Inputs!$B$23))="IDF_EQUATION",Inputs!$B$3/((L8+Inputs!$B$4)^Inputs!$B$5),INDEX(IDF_Station!$B$3:$G$11,IFERROR(MATCH(L8,IDF_Station!$A$3:$A$11,1),1),MATCH(Inputs!$B$24,IDF_Station!$B$2:$G$2,0))))</f>
        <v>99.3138563781552</v>
      </c>
      <c r="N8" s="17" t="n">
        <f aca="false">IF(OR(E8="",H8="",M8=""),"",0.000000278*H8*E8*M8)</f>
        <v>0.0238709593424257</v>
      </c>
      <c r="O8" s="15" t="n">
        <v>1</v>
      </c>
      <c r="P8" s="17" t="n">
        <f aca="false">IF(C8="","",C8*O8)</f>
        <v>2882</v>
      </c>
      <c r="Q8" s="4" t="s">
        <v>240</v>
      </c>
      <c r="R8" s="16"/>
      <c r="S8" s="17" t="n">
        <f aca="false">IF(R8&lt;&gt;"",R8,IF(UPPER(TRIM(Q8))="ROOF",Inputs!$B$13,IF(UPPER(TRIM(Q8))="PAVAGE",Inputs!$B$14,IF(UPPER(TRIM(Q8))="GRASS",Inputs!$B$16,IF(UPPER(TRIM(Q8))="GRAVEL",Inputs!$B$17,Inputs!$B$18)))))</f>
        <v>0.25</v>
      </c>
      <c r="T8" s="15" t="n">
        <v>7</v>
      </c>
      <c r="U8" s="4" t="s">
        <v>186</v>
      </c>
      <c r="V8" s="17" t="n">
        <f aca="false">IF(U8="",0,SUMIFS(FlowPaths!$K:$K,FlowPaths!$A:$A,"AFTER",FlowPaths!$B:$B,U8))</f>
        <v>0.95</v>
      </c>
      <c r="W8" s="17" t="n">
        <f aca="false">IF(T8="",Inputs!$B$12,T8)+V8</f>
        <v>7.95</v>
      </c>
      <c r="X8" s="17" t="n">
        <f aca="false">IF(W8="","",IF(UPPER(TRIM(Inputs!$B$23))="IDF_EQUATION",Inputs!$B$3/((W8+Inputs!$B$4)^Inputs!$B$5),INDEX(IDF_Station!$B$3:$G$11,IFERROR(MATCH(W8,IDF_Station!$A$3:$A$11,1),1),MATCH(Inputs!$B$24,IDF_Station!$B$2:$G$2,0))))</f>
        <v>103.204941534951</v>
      </c>
      <c r="Y8" s="17" t="n">
        <f aca="false">IF(OR(P8="",S8="",X8=""),"",0.000000278*S8*P8*X8)</f>
        <v>0.0206718465845092</v>
      </c>
      <c r="Z8" s="17" t="n">
        <f aca="false">IF(OR(Y8="",N8=""),"",Y8-N8)</f>
        <v>-0.00319911275791656</v>
      </c>
      <c r="AA8" s="4" t="s">
        <v>254</v>
      </c>
    </row>
    <row r="9" customFormat="false" ht="15" hidden="false" customHeight="false" outlineLevel="0" collapsed="false">
      <c r="A9" s="4" t="s">
        <v>255</v>
      </c>
      <c r="B9" s="4" t="s">
        <v>256</v>
      </c>
      <c r="C9" s="24"/>
      <c r="D9" s="4" t="n">
        <v>1</v>
      </c>
      <c r="E9" s="17" t="str">
        <f aca="false">IF(C9="","",C9*D9)</f>
        <v/>
      </c>
      <c r="F9" s="4" t="s">
        <v>257</v>
      </c>
      <c r="G9" s="4"/>
      <c r="H9" s="17" t="n">
        <f aca="false">IF(G9&lt;&gt;"",G9,IF(UPPER(TRIM(F9))="ROOF",Inputs!$B$13,IF(UPPER(TRIM(F9))="PAVAGE",Inputs!$B$14,IF(UPPER(TRIM(F9))="GRASS",Inputs!$B$15,IF(UPPER(TRIM(F9))="GRAVEL",Inputs!$B$17,Inputs!$B$18)))))</f>
        <v>0.55</v>
      </c>
      <c r="I9" s="4" t="n">
        <v>7</v>
      </c>
      <c r="J9" s="4" t="s">
        <v>162</v>
      </c>
      <c r="K9" s="17" t="n">
        <f aca="false">IF(J9="",0,SUMIFS(FlowPaths!$K:$K,FlowPaths!$A:$A,"BEFORE",FlowPaths!$B:$B,J9))</f>
        <v>2.36111111111111</v>
      </c>
      <c r="L9" s="17" t="n">
        <f aca="false">IF(I9="",Inputs!$B$11,I9)+K9</f>
        <v>9.36111111111111</v>
      </c>
      <c r="M9" s="17" t="n">
        <f aca="false">IF(L9="","",IF(UPPER(TRIM(Inputs!$B$23))="IDF_EQUATION",Inputs!$B$3/((L9+Inputs!$B$4)^Inputs!$B$5),INDEX(IDF_Station!$B$3:$G$11,IFERROR(MATCH(L9,IDF_Station!$A$3:$A$11,1),1),MATCH(Inputs!$B$24,IDF_Station!$B$2:$G$2,0))))</f>
        <v>99.3138563781552</v>
      </c>
      <c r="N9" s="17" t="str">
        <f aca="false">IF(OR(E9="",H9="",M9=""),"",0.000000278*H9*E9*M9)</f>
        <v/>
      </c>
      <c r="O9" s="4" t="n">
        <v>1</v>
      </c>
      <c r="P9" s="17" t="str">
        <f aca="false">IF(C9="","",C9*O9)</f>
        <v/>
      </c>
      <c r="Q9" s="4" t="s">
        <v>257</v>
      </c>
      <c r="R9" s="4"/>
      <c r="S9" s="17" t="n">
        <f aca="false">IF(R9&lt;&gt;"",R9,IF(UPPER(TRIM(Q9))="ROOF",Inputs!$B$13,IF(UPPER(TRIM(Q9))="PAVAGE",Inputs!$B$14,IF(UPPER(TRIM(Q9))="GRASS",Inputs!$B$16,IF(UPPER(TRIM(Q9))="GRAVEL",Inputs!$B$17,Inputs!$B$18)))))</f>
        <v>0.55</v>
      </c>
      <c r="T9" s="4" t="n">
        <v>7</v>
      </c>
      <c r="U9" s="4" t="s">
        <v>182</v>
      </c>
      <c r="V9" s="17" t="n">
        <f aca="false">IF(U9="",0,SUMIFS(FlowPaths!$K:$K,FlowPaths!$A:$A,"AFTER",FlowPaths!$B:$B,U9))</f>
        <v>0.906666666666667</v>
      </c>
      <c r="W9" s="17" t="n">
        <f aca="false">IF(T9="",Inputs!$B$12,T9)+V9</f>
        <v>7.90666666666667</v>
      </c>
      <c r="X9" s="17" t="n">
        <f aca="false">IF(W9="","",IF(UPPER(TRIM(Inputs!$B$23))="IDF_EQUATION",Inputs!$B$3/((W9+Inputs!$B$4)^Inputs!$B$5),INDEX(IDF_Station!$B$3:$G$11,IFERROR(MATCH(W9,IDF_Station!$A$3:$A$11,1),1),MATCH(Inputs!$B$24,IDF_Station!$B$2:$G$2,0))))</f>
        <v>103.328943289297</v>
      </c>
      <c r="Y9" s="17" t="str">
        <f aca="false">IF(OR(P9="",S9="",X9=""),"",0.000000278*S9*P9*X9)</f>
        <v/>
      </c>
      <c r="Z9" s="17" t="str">
        <f aca="false">IF(OR(Y9="",N9=""),"",Y9-N9)</f>
        <v/>
      </c>
      <c r="AA9" s="4" t="s">
        <v>258</v>
      </c>
    </row>
    <row r="10" customFormat="false" ht="15" hidden="false" customHeight="false" outlineLevel="0" collapsed="false">
      <c r="M10" s="25" t="str">
        <f aca="false">IF(L10="","",IF(UPPER(TRIM(Inputs!$B$23))="IDF_EQUATION",Inputs!$B$3/((L10+Inputs!$B$4)^Inputs!$B$5),INDEX(IDF_Station!$B$3:$G$11,IFERROR(MATCH(L10,IDF_Station!$A$3:$A$11,1),1),MATCH(Inputs!$B$24,IDF_Station!$B$2:$G$2,0))))</f>
        <v/>
      </c>
      <c r="X10" s="25" t="str">
        <f aca="false">IF(W10="","",IF(UPPER(TRIM(Inputs!$B$23))="IDF_EQUATION",Inputs!$B$3/((W10+Inputs!$B$4)^Inputs!$B$5),INDEX(IDF_Station!$B$3:$G$11,IFERROR(MATCH(W10,IDF_Station!$A$3:$A$11,1),1),MATCH(Inputs!$B$24,IDF_Station!$B$2:$G$2,0))))</f>
        <v/>
      </c>
    </row>
    <row r="11" customFormat="false" ht="15" hidden="false" customHeight="false" outlineLevel="0" collapsed="false">
      <c r="M11" s="25" t="str">
        <f aca="false">IF(L11="","",IF(UPPER(TRIM(Inputs!$B$23))="IDF_EQUATION",Inputs!$B$3/((L11+Inputs!$B$4)^Inputs!$B$5),INDEX(IDF_Station!$B$3:$G$11,IFERROR(MATCH(L11,IDF_Station!$A$3:$A$11,1),1),MATCH(Inputs!$B$24,IDF_Station!$B$2:$G$2,0))))</f>
        <v/>
      </c>
      <c r="X11" s="25" t="str">
        <f aca="false">IF(W11="","",IF(UPPER(TRIM(Inputs!$B$23))="IDF_EQUATION",Inputs!$B$3/((W11+Inputs!$B$4)^Inputs!$B$5),INDEX(IDF_Station!$B$3:$G$11,IFERROR(MATCH(W11,IDF_Station!$A$3:$A$11,1),1),MATCH(Inputs!$B$24,IDF_Station!$B$2:$G$2,0))))</f>
        <v/>
      </c>
    </row>
    <row r="12" customFormat="false" ht="15" hidden="false" customHeight="false" outlineLevel="0" collapsed="false">
      <c r="M12" s="25" t="str">
        <f aca="false">IF(L12="","",IF(UPPER(TRIM(Inputs!$B$23))="IDF_EQUATION",Inputs!$B$3/((L12+Inputs!$B$4)^Inputs!$B$5),INDEX(IDF_Station!$B$3:$G$11,IFERROR(MATCH(L12,IDF_Station!$A$3:$A$11,1),1),MATCH(Inputs!$B$24,IDF_Station!$B$2:$G$2,0))))</f>
        <v/>
      </c>
      <c r="X12" s="25" t="str">
        <f aca="false">IF(W12="","",IF(UPPER(TRIM(Inputs!$B$23))="IDF_EQUATION",Inputs!$B$3/((W12+Inputs!$B$4)^Inputs!$B$5),INDEX(IDF_Station!$B$3:$G$11,IFERROR(MATCH(W12,IDF_Station!$A$3:$A$11,1),1),MATCH(Inputs!$B$24,IDF_Station!$B$2:$G$2,0))))</f>
        <v/>
      </c>
    </row>
    <row r="13" customFormat="false" ht="15" hidden="false" customHeight="false" outlineLevel="0" collapsed="false">
      <c r="M13" s="25" t="str">
        <f aca="false">IF(L13="","",IF(UPPER(TRIM(Inputs!$B$23))="IDF_EQUATION",Inputs!$B$3/((L13+Inputs!$B$4)^Inputs!$B$5),INDEX(IDF_Station!$B$3:$G$11,IFERROR(MATCH(L13,IDF_Station!$A$3:$A$11,1),1),MATCH(Inputs!$B$24,IDF_Station!$B$2:$G$2,0))))</f>
        <v/>
      </c>
      <c r="X13" s="25" t="str">
        <f aca="false">IF(W13="","",IF(UPPER(TRIM(Inputs!$B$23))="IDF_EQUATION",Inputs!$B$3/((W13+Inputs!$B$4)^Inputs!$B$5),INDEX(IDF_Station!$B$3:$G$11,IFERROR(MATCH(W13,IDF_Station!$A$3:$A$11,1),1),MATCH(Inputs!$B$24,IDF_Station!$B$2:$G$2,0))))</f>
        <v/>
      </c>
    </row>
    <row r="14" customFormat="false" ht="15" hidden="false" customHeight="false" outlineLevel="0" collapsed="false">
      <c r="M14" s="25" t="str">
        <f aca="false">IF(L14="","",IF(UPPER(TRIM(Inputs!$B$23))="IDF_EQUATION",Inputs!$B$3/((L14+Inputs!$B$4)^Inputs!$B$5),INDEX(IDF_Station!$B$3:$G$11,IFERROR(MATCH(L14,IDF_Station!$A$3:$A$11,1),1),MATCH(Inputs!$B$24,IDF_Station!$B$2:$G$2,0))))</f>
        <v/>
      </c>
      <c r="X14" s="25" t="str">
        <f aca="false">IF(W14="","",IF(UPPER(TRIM(Inputs!$B$23))="IDF_EQUATION",Inputs!$B$3/((W14+Inputs!$B$4)^Inputs!$B$5),INDEX(IDF_Station!$B$3:$G$11,IFERROR(MATCH(W14,IDF_Station!$A$3:$A$11,1),1),MATCH(Inputs!$B$24,IDF_Station!$B$2:$G$2,0))))</f>
        <v/>
      </c>
    </row>
    <row r="15" customFormat="false" ht="15" hidden="false" customHeight="false" outlineLevel="0" collapsed="false">
      <c r="M15" s="25" t="str">
        <f aca="false">IF(L15="","",IF(UPPER(TRIM(Inputs!$B$23))="IDF_EQUATION",Inputs!$B$3/((L15+Inputs!$B$4)^Inputs!$B$5),INDEX(IDF_Station!$B$3:$G$11,IFERROR(MATCH(L15,IDF_Station!$A$3:$A$11,1),1),MATCH(Inputs!$B$24,IDF_Station!$B$2:$G$2,0))))</f>
        <v/>
      </c>
      <c r="X15" s="25" t="str">
        <f aca="false">IF(W15="","",IF(UPPER(TRIM(Inputs!$B$23))="IDF_EQUATION",Inputs!$B$3/((W15+Inputs!$B$4)^Inputs!$B$5),INDEX(IDF_Station!$B$3:$G$11,IFERROR(MATCH(W15,IDF_Station!$A$3:$A$11,1),1),MATCH(Inputs!$B$24,IDF_Station!$B$2:$G$2,0))))</f>
        <v/>
      </c>
    </row>
    <row r="16" customFormat="false" ht="15" hidden="false" customHeight="false" outlineLevel="0" collapsed="false">
      <c r="M16" s="25" t="str">
        <f aca="false">IF(L16="","",IF(UPPER(TRIM(Inputs!$B$23))="IDF_EQUATION",Inputs!$B$3/((L16+Inputs!$B$4)^Inputs!$B$5),INDEX(IDF_Station!$B$3:$G$11,IFERROR(MATCH(L16,IDF_Station!$A$3:$A$11,1),1),MATCH(Inputs!$B$24,IDF_Station!$B$2:$G$2,0))))</f>
        <v/>
      </c>
      <c r="X16" s="25" t="str">
        <f aca="false">IF(W16="","",IF(UPPER(TRIM(Inputs!$B$23))="IDF_EQUATION",Inputs!$B$3/((W16+Inputs!$B$4)^Inputs!$B$5),INDEX(IDF_Station!$B$3:$G$11,IFERROR(MATCH(W16,IDF_Station!$A$3:$A$11,1),1),MATCH(Inputs!$B$24,IDF_Station!$B$2:$G$2,0))))</f>
        <v/>
      </c>
    </row>
    <row r="17" customFormat="false" ht="15" hidden="false" customHeight="false" outlineLevel="0" collapsed="false">
      <c r="M17" s="25" t="str">
        <f aca="false">IF(L17="","",IF(UPPER(TRIM(Inputs!$B$23))="IDF_EQUATION",Inputs!$B$3/((L17+Inputs!$B$4)^Inputs!$B$5),INDEX(IDF_Station!$B$3:$G$11,IFERROR(MATCH(L17,IDF_Station!$A$3:$A$11,1),1),MATCH(Inputs!$B$24,IDF_Station!$B$2:$G$2,0))))</f>
        <v/>
      </c>
      <c r="X17" s="25" t="str">
        <f aca="false">IF(W17="","",IF(UPPER(TRIM(Inputs!$B$23))="IDF_EQUATION",Inputs!$B$3/((W17+Inputs!$B$4)^Inputs!$B$5),INDEX(IDF_Station!$B$3:$G$11,IFERROR(MATCH(W17,IDF_Station!$A$3:$A$11,1),1),MATCH(Inputs!$B$24,IDF_Station!$B$2:$G$2,0))))</f>
        <v/>
      </c>
    </row>
    <row r="18" customFormat="false" ht="15" hidden="false" customHeight="false" outlineLevel="0" collapsed="false">
      <c r="M18" s="25" t="str">
        <f aca="false">IF(L18="","",IF(UPPER(TRIM(Inputs!$B$23))="IDF_EQUATION",Inputs!$B$3/((L18+Inputs!$B$4)^Inputs!$B$5),INDEX(IDF_Station!$B$3:$G$11,IFERROR(MATCH(L18,IDF_Station!$A$3:$A$11,1),1),MATCH(Inputs!$B$24,IDF_Station!$B$2:$G$2,0))))</f>
        <v/>
      </c>
      <c r="X18" s="25" t="str">
        <f aca="false">IF(W18="","",IF(UPPER(TRIM(Inputs!$B$23))="IDF_EQUATION",Inputs!$B$3/((W18+Inputs!$B$4)^Inputs!$B$5),INDEX(IDF_Station!$B$3:$G$11,IFERROR(MATCH(W18,IDF_Station!$A$3:$A$11,1),1),MATCH(Inputs!$B$24,IDF_Station!$B$2:$G$2,0))))</f>
        <v/>
      </c>
    </row>
    <row r="19" customFormat="false" ht="15" hidden="false" customHeight="false" outlineLevel="0" collapsed="false">
      <c r="M19" s="25" t="str">
        <f aca="false">IF(L19="","",IF(UPPER(TRIM(Inputs!$B$23))="IDF_EQUATION",Inputs!$B$3/((L19+Inputs!$B$4)^Inputs!$B$5),INDEX(IDF_Station!$B$3:$G$11,IFERROR(MATCH(L19,IDF_Station!$A$3:$A$11,1),1),MATCH(Inputs!$B$24,IDF_Station!$B$2:$G$2,0))))</f>
        <v/>
      </c>
      <c r="X19" s="25" t="str">
        <f aca="false">IF(W19="","",IF(UPPER(TRIM(Inputs!$B$23))="IDF_EQUATION",Inputs!$B$3/((W19+Inputs!$B$4)^Inputs!$B$5),INDEX(IDF_Station!$B$3:$G$11,IFERROR(MATCH(W19,IDF_Station!$A$3:$A$11,1),1),MATCH(Inputs!$B$24,IDF_Station!$B$2:$G$2,0))))</f>
        <v/>
      </c>
    </row>
    <row r="20" customFormat="false" ht="15" hidden="false" customHeight="false" outlineLevel="0" collapsed="false">
      <c r="M20" s="25" t="str">
        <f aca="false">IF(L20="","",IF(UPPER(TRIM(Inputs!$B$23))="IDF_EQUATION",Inputs!$B$3/((L20+Inputs!$B$4)^Inputs!$B$5),INDEX(IDF_Station!$B$3:$G$11,IFERROR(MATCH(L20,IDF_Station!$A$3:$A$11,1),1),MATCH(Inputs!$B$24,IDF_Station!$B$2:$G$2,0))))</f>
        <v/>
      </c>
      <c r="X20" s="25" t="str">
        <f aca="false">IF(W20="","",IF(UPPER(TRIM(Inputs!$B$23))="IDF_EQUATION",Inputs!$B$3/((W20+Inputs!$B$4)^Inputs!$B$5),INDEX(IDF_Station!$B$3:$G$11,IFERROR(MATCH(W20,IDF_Station!$A$3:$A$11,1),1),MATCH(Inputs!$B$24,IDF_Station!$B$2:$G$2,0))))</f>
        <v/>
      </c>
    </row>
    <row r="21" customFormat="false" ht="15" hidden="false" customHeight="false" outlineLevel="0" collapsed="false">
      <c r="M21" s="25" t="str">
        <f aca="false">IF(L21="","",IF(UPPER(TRIM(Inputs!$B$23))="IDF_EQUATION",Inputs!$B$3/((L21+Inputs!$B$4)^Inputs!$B$5),INDEX(IDF_Station!$B$3:$G$11,IFERROR(MATCH(L21,IDF_Station!$A$3:$A$11,1),1),MATCH(Inputs!$B$24,IDF_Station!$B$2:$G$2,0))))</f>
        <v/>
      </c>
      <c r="X21" s="25" t="str">
        <f aca="false">IF(W21="","",IF(UPPER(TRIM(Inputs!$B$23))="IDF_EQUATION",Inputs!$B$3/((W21+Inputs!$B$4)^Inputs!$B$5),INDEX(IDF_Station!$B$3:$G$11,IFERROR(MATCH(W21,IDF_Station!$A$3:$A$11,1),1),MATCH(Inputs!$B$24,IDF_Station!$B$2:$G$2,0))))</f>
        <v/>
      </c>
    </row>
    <row r="22" customFormat="false" ht="15" hidden="false" customHeight="false" outlineLevel="0" collapsed="false">
      <c r="M22" s="25" t="str">
        <f aca="false">IF(L22="","",IF(UPPER(TRIM(Inputs!$B$23))="IDF_EQUATION",Inputs!$B$3/((L22+Inputs!$B$4)^Inputs!$B$5),INDEX(IDF_Station!$B$3:$G$11,IFERROR(MATCH(L22,IDF_Station!$A$3:$A$11,1),1),MATCH(Inputs!$B$24,IDF_Station!$B$2:$G$2,0))))</f>
        <v/>
      </c>
      <c r="X22" s="25" t="str">
        <f aca="false">IF(W22="","",IF(UPPER(TRIM(Inputs!$B$23))="IDF_EQUATION",Inputs!$B$3/((W22+Inputs!$B$4)^Inputs!$B$5),INDEX(IDF_Station!$B$3:$G$11,IFERROR(MATCH(W22,IDF_Station!$A$3:$A$11,1),1),MATCH(Inputs!$B$24,IDF_Station!$B$2:$G$2,0))))</f>
        <v/>
      </c>
    </row>
    <row r="23" customFormat="false" ht="15" hidden="false" customHeight="false" outlineLevel="0" collapsed="false">
      <c r="M23" s="25" t="str">
        <f aca="false">IF(L23="","",IF(UPPER(TRIM(Inputs!$B$23))="IDF_EQUATION",Inputs!$B$3/((L23+Inputs!$B$4)^Inputs!$B$5),INDEX(IDF_Station!$B$3:$G$11,IFERROR(MATCH(L23,IDF_Station!$A$3:$A$11,1),1),MATCH(Inputs!$B$24,IDF_Station!$B$2:$G$2,0))))</f>
        <v/>
      </c>
      <c r="X23" s="25" t="str">
        <f aca="false">IF(W23="","",IF(UPPER(TRIM(Inputs!$B$23))="IDF_EQUATION",Inputs!$B$3/((W23+Inputs!$B$4)^Inputs!$B$5),INDEX(IDF_Station!$B$3:$G$11,IFERROR(MATCH(W23,IDF_Station!$A$3:$A$11,1),1),MATCH(Inputs!$B$24,IDF_Station!$B$2:$G$2,0))))</f>
        <v/>
      </c>
    </row>
    <row r="24" customFormat="false" ht="15" hidden="false" customHeight="false" outlineLevel="0" collapsed="false">
      <c r="M24" s="25" t="str">
        <f aca="false">IF(L24="","",IF(UPPER(TRIM(Inputs!$B$23))="IDF_EQUATION",Inputs!$B$3/((L24+Inputs!$B$4)^Inputs!$B$5),INDEX(IDF_Station!$B$3:$G$11,IFERROR(MATCH(L24,IDF_Station!$A$3:$A$11,1),1),MATCH(Inputs!$B$24,IDF_Station!$B$2:$G$2,0))))</f>
        <v/>
      </c>
      <c r="X24" s="25" t="str">
        <f aca="false">IF(W24="","",IF(UPPER(TRIM(Inputs!$B$23))="IDF_EQUATION",Inputs!$B$3/((W24+Inputs!$B$4)^Inputs!$B$5),INDEX(IDF_Station!$B$3:$G$11,IFERROR(MATCH(W24,IDF_Station!$A$3:$A$11,1),1),MATCH(Inputs!$B$24,IDF_Station!$B$2:$G$2,0))))</f>
        <v/>
      </c>
    </row>
    <row r="25" customFormat="false" ht="15" hidden="false" customHeight="false" outlineLevel="0" collapsed="false">
      <c r="M25" s="25" t="str">
        <f aca="false">IF(L25="","",IF(UPPER(TRIM(Inputs!$B$23))="IDF_EQUATION",Inputs!$B$3/((L25+Inputs!$B$4)^Inputs!$B$5),INDEX(IDF_Station!$B$3:$G$11,IFERROR(MATCH(L25,IDF_Station!$A$3:$A$11,1),1),MATCH(Inputs!$B$24,IDF_Station!$B$2:$G$2,0))))</f>
        <v/>
      </c>
      <c r="X25" s="25" t="str">
        <f aca="false">IF(W25="","",IF(UPPER(TRIM(Inputs!$B$23))="IDF_EQUATION",Inputs!$B$3/((W25+Inputs!$B$4)^Inputs!$B$5),INDEX(IDF_Station!$B$3:$G$11,IFERROR(MATCH(W25,IDF_Station!$A$3:$A$11,1),1),MATCH(Inputs!$B$24,IDF_Station!$B$2:$G$2,0))))</f>
        <v/>
      </c>
    </row>
    <row r="26" customFormat="false" ht="15" hidden="false" customHeight="false" outlineLevel="0" collapsed="false">
      <c r="M26" s="25" t="str">
        <f aca="false">IF(L26="","",IF(UPPER(TRIM(Inputs!$B$23))="IDF_EQUATION",Inputs!$B$3/((L26+Inputs!$B$4)^Inputs!$B$5),INDEX(IDF_Station!$B$3:$G$11,IFERROR(MATCH(L26,IDF_Station!$A$3:$A$11,1),1),MATCH(Inputs!$B$24,IDF_Station!$B$2:$G$2,0))))</f>
        <v/>
      </c>
      <c r="X26" s="25" t="str">
        <f aca="false">IF(W26="","",IF(UPPER(TRIM(Inputs!$B$23))="IDF_EQUATION",Inputs!$B$3/((W26+Inputs!$B$4)^Inputs!$B$5),INDEX(IDF_Station!$B$3:$G$11,IFERROR(MATCH(W26,IDF_Station!$A$3:$A$11,1),1),MATCH(Inputs!$B$24,IDF_Station!$B$2:$G$2,0))))</f>
        <v/>
      </c>
    </row>
    <row r="27" customFormat="false" ht="15" hidden="false" customHeight="false" outlineLevel="0" collapsed="false">
      <c r="M27" s="25" t="str">
        <f aca="false">IF(L27="","",IF(UPPER(TRIM(Inputs!$B$23))="IDF_EQUATION",Inputs!$B$3/((L27+Inputs!$B$4)^Inputs!$B$5),INDEX(IDF_Station!$B$3:$G$11,IFERROR(MATCH(L27,IDF_Station!$A$3:$A$11,1),1),MATCH(Inputs!$B$24,IDF_Station!$B$2:$G$2,0))))</f>
        <v/>
      </c>
      <c r="X27" s="25" t="str">
        <f aca="false">IF(W27="","",IF(UPPER(TRIM(Inputs!$B$23))="IDF_EQUATION",Inputs!$B$3/((W27+Inputs!$B$4)^Inputs!$B$5),INDEX(IDF_Station!$B$3:$G$11,IFERROR(MATCH(W27,IDF_Station!$A$3:$A$11,1),1),MATCH(Inputs!$B$24,IDF_Station!$B$2:$G$2,0))))</f>
        <v/>
      </c>
    </row>
    <row r="28" customFormat="false" ht="15" hidden="false" customHeight="false" outlineLevel="0" collapsed="false">
      <c r="M28" s="25" t="str">
        <f aca="false">IF(L28="","",IF(UPPER(TRIM(Inputs!$B$23))="IDF_EQUATION",Inputs!$B$3/((L28+Inputs!$B$4)^Inputs!$B$5),INDEX(IDF_Station!$B$3:$G$11,IFERROR(MATCH(L28,IDF_Station!$A$3:$A$11,1),1),MATCH(Inputs!$B$24,IDF_Station!$B$2:$G$2,0))))</f>
        <v/>
      </c>
      <c r="X28" s="25" t="str">
        <f aca="false">IF(W28="","",IF(UPPER(TRIM(Inputs!$B$23))="IDF_EQUATION",Inputs!$B$3/((W28+Inputs!$B$4)^Inputs!$B$5),INDEX(IDF_Station!$B$3:$G$11,IFERROR(MATCH(W28,IDF_Station!$A$3:$A$11,1),1),MATCH(Inputs!$B$24,IDF_Station!$B$2:$G$2,0))))</f>
        <v/>
      </c>
    </row>
    <row r="29" customFormat="false" ht="15" hidden="false" customHeight="false" outlineLevel="0" collapsed="false">
      <c r="M29" s="25" t="str">
        <f aca="false">IF(L29="","",IF(UPPER(TRIM(Inputs!$B$23))="IDF_EQUATION",Inputs!$B$3/((L29+Inputs!$B$4)^Inputs!$B$5),INDEX(IDF_Station!$B$3:$G$11,IFERROR(MATCH(L29,IDF_Station!$A$3:$A$11,1),1),MATCH(Inputs!$B$24,IDF_Station!$B$2:$G$2,0))))</f>
        <v/>
      </c>
      <c r="X29" s="25" t="str">
        <f aca="false">IF(W29="","",IF(UPPER(TRIM(Inputs!$B$23))="IDF_EQUATION",Inputs!$B$3/((W29+Inputs!$B$4)^Inputs!$B$5),INDEX(IDF_Station!$B$3:$G$11,IFERROR(MATCH(W29,IDF_Station!$A$3:$A$11,1),1),MATCH(Inputs!$B$24,IDF_Station!$B$2:$G$2,0))))</f>
        <v/>
      </c>
    </row>
    <row r="30" customFormat="false" ht="15" hidden="false" customHeight="false" outlineLevel="0" collapsed="false">
      <c r="M30" s="25" t="str">
        <f aca="false">IF(L30="","",IF(UPPER(TRIM(Inputs!$B$23))="IDF_EQUATION",Inputs!$B$3/((L30+Inputs!$B$4)^Inputs!$B$5),INDEX(IDF_Station!$B$3:$G$11,IFERROR(MATCH(L30,IDF_Station!$A$3:$A$11,1),1),MATCH(Inputs!$B$24,IDF_Station!$B$2:$G$2,0))))</f>
        <v/>
      </c>
      <c r="X30" s="25" t="str">
        <f aca="false">IF(W30="","",IF(UPPER(TRIM(Inputs!$B$23))="IDF_EQUATION",Inputs!$B$3/((W30+Inputs!$B$4)^Inputs!$B$5),INDEX(IDF_Station!$B$3:$G$11,IFERROR(MATCH(W30,IDF_Station!$A$3:$A$11,1),1),MATCH(Inputs!$B$24,IDF_Station!$B$2:$G$2,0))))</f>
        <v/>
      </c>
    </row>
    <row r="31" customFormat="false" ht="15" hidden="false" customHeight="false" outlineLevel="0" collapsed="false">
      <c r="M31" s="25" t="str">
        <f aca="false">IF(L31="","",IF(UPPER(TRIM(Inputs!$B$23))="IDF_EQUATION",Inputs!$B$3/((L31+Inputs!$B$4)^Inputs!$B$5),INDEX(IDF_Station!$B$3:$G$11,IFERROR(MATCH(L31,IDF_Station!$A$3:$A$11,1),1),MATCH(Inputs!$B$24,IDF_Station!$B$2:$G$2,0))))</f>
        <v/>
      </c>
      <c r="X31" s="25" t="str">
        <f aca="false">IF(W31="","",IF(UPPER(TRIM(Inputs!$B$23))="IDF_EQUATION",Inputs!$B$3/((W31+Inputs!$B$4)^Inputs!$B$5),INDEX(IDF_Station!$B$3:$G$11,IFERROR(MATCH(W31,IDF_Station!$A$3:$A$11,1),1),MATCH(Inputs!$B$24,IDF_Station!$B$2:$G$2,0))))</f>
        <v/>
      </c>
    </row>
    <row r="32" customFormat="false" ht="15" hidden="false" customHeight="false" outlineLevel="0" collapsed="false">
      <c r="M32" s="25" t="str">
        <f aca="false">IF(L32="","",IF(UPPER(TRIM(Inputs!$B$23))="IDF_EQUATION",Inputs!$B$3/((L32+Inputs!$B$4)^Inputs!$B$5),INDEX(IDF_Station!$B$3:$G$11,IFERROR(MATCH(L32,IDF_Station!$A$3:$A$11,1),1),MATCH(Inputs!$B$24,IDF_Station!$B$2:$G$2,0))))</f>
        <v/>
      </c>
      <c r="X32" s="25" t="str">
        <f aca="false">IF(W32="","",IF(UPPER(TRIM(Inputs!$B$23))="IDF_EQUATION",Inputs!$B$3/((W32+Inputs!$B$4)^Inputs!$B$5),INDEX(IDF_Station!$B$3:$G$11,IFERROR(MATCH(W32,IDF_Station!$A$3:$A$11,1),1),MATCH(Inputs!$B$24,IDF_Station!$B$2:$G$2,0))))</f>
        <v/>
      </c>
    </row>
    <row r="33" customFormat="false" ht="15" hidden="false" customHeight="false" outlineLevel="0" collapsed="false">
      <c r="M33" s="25" t="str">
        <f aca="false">IF(L33="","",IF(UPPER(TRIM(Inputs!$B$23))="IDF_EQUATION",Inputs!$B$3/((L33+Inputs!$B$4)^Inputs!$B$5),INDEX(IDF_Station!$B$3:$G$11,IFERROR(MATCH(L33,IDF_Station!$A$3:$A$11,1),1),MATCH(Inputs!$B$24,IDF_Station!$B$2:$G$2,0))))</f>
        <v/>
      </c>
      <c r="X33" s="25" t="str">
        <f aca="false">IF(W33="","",IF(UPPER(TRIM(Inputs!$B$23))="IDF_EQUATION",Inputs!$B$3/((W33+Inputs!$B$4)^Inputs!$B$5),INDEX(IDF_Station!$B$3:$G$11,IFERROR(MATCH(W33,IDF_Station!$A$3:$A$11,1),1),MATCH(Inputs!$B$24,IDF_Station!$B$2:$G$2,0))))</f>
        <v/>
      </c>
    </row>
    <row r="34" customFormat="false" ht="15" hidden="false" customHeight="false" outlineLevel="0" collapsed="false">
      <c r="M34" s="25" t="str">
        <f aca="false">IF(L34="","",IF(UPPER(TRIM(Inputs!$B$23))="IDF_EQUATION",Inputs!$B$3/((L34+Inputs!$B$4)^Inputs!$B$5),INDEX(IDF_Station!$B$3:$G$11,IFERROR(MATCH(L34,IDF_Station!$A$3:$A$11,1),1),MATCH(Inputs!$B$24,IDF_Station!$B$2:$G$2,0))))</f>
        <v/>
      </c>
      <c r="X34" s="25" t="str">
        <f aca="false">IF(W34="","",IF(UPPER(TRIM(Inputs!$B$23))="IDF_EQUATION",Inputs!$B$3/((W34+Inputs!$B$4)^Inputs!$B$5),INDEX(IDF_Station!$B$3:$G$11,IFERROR(MATCH(W34,IDF_Station!$A$3:$A$11,1),1),MATCH(Inputs!$B$24,IDF_Station!$B$2:$G$2,0))))</f>
        <v/>
      </c>
    </row>
    <row r="35" customFormat="false" ht="15" hidden="false" customHeight="false" outlineLevel="0" collapsed="false">
      <c r="M35" s="25" t="str">
        <f aca="false">IF(L35="","",IF(UPPER(TRIM(Inputs!$B$23))="IDF_EQUATION",Inputs!$B$3/((L35+Inputs!$B$4)^Inputs!$B$5),INDEX(IDF_Station!$B$3:$G$11,IFERROR(MATCH(L35,IDF_Station!$A$3:$A$11,1),1),MATCH(Inputs!$B$24,IDF_Station!$B$2:$G$2,0))))</f>
        <v/>
      </c>
      <c r="X35" s="25" t="str">
        <f aca="false">IF(W35="","",IF(UPPER(TRIM(Inputs!$B$23))="IDF_EQUATION",Inputs!$B$3/((W35+Inputs!$B$4)^Inputs!$B$5),INDEX(IDF_Station!$B$3:$G$11,IFERROR(MATCH(W35,IDF_Station!$A$3:$A$11,1),1),MATCH(Inputs!$B$24,IDF_Station!$B$2:$G$2,0))))</f>
        <v/>
      </c>
    </row>
    <row r="36" customFormat="false" ht="15" hidden="false" customHeight="false" outlineLevel="0" collapsed="false">
      <c r="M36" s="25" t="str">
        <f aca="false">IF(L36="","",IF(UPPER(TRIM(Inputs!$B$23))="IDF_EQUATION",Inputs!$B$3/((L36+Inputs!$B$4)^Inputs!$B$5),INDEX(IDF_Station!$B$3:$G$11,IFERROR(MATCH(L36,IDF_Station!$A$3:$A$11,1),1),MATCH(Inputs!$B$24,IDF_Station!$B$2:$G$2,0))))</f>
        <v/>
      </c>
      <c r="X36" s="25" t="str">
        <f aca="false">IF(W36="","",IF(UPPER(TRIM(Inputs!$B$23))="IDF_EQUATION",Inputs!$B$3/((W36+Inputs!$B$4)^Inputs!$B$5),INDEX(IDF_Station!$B$3:$G$11,IFERROR(MATCH(W36,IDF_Station!$A$3:$A$11,1),1),MATCH(Inputs!$B$24,IDF_Station!$B$2:$G$2,0))))</f>
        <v/>
      </c>
    </row>
    <row r="37" customFormat="false" ht="15" hidden="false" customHeight="false" outlineLevel="0" collapsed="false">
      <c r="M37" s="25" t="str">
        <f aca="false">IF(L37="","",IF(UPPER(TRIM(Inputs!$B$23))="IDF_EQUATION",Inputs!$B$3/((L37+Inputs!$B$4)^Inputs!$B$5),INDEX(IDF_Station!$B$3:$G$11,IFERROR(MATCH(L37,IDF_Station!$A$3:$A$11,1),1),MATCH(Inputs!$B$24,IDF_Station!$B$2:$G$2,0))))</f>
        <v/>
      </c>
      <c r="X37" s="25" t="str">
        <f aca="false">IF(W37="","",IF(UPPER(TRIM(Inputs!$B$23))="IDF_EQUATION",Inputs!$B$3/((W37+Inputs!$B$4)^Inputs!$B$5),INDEX(IDF_Station!$B$3:$G$11,IFERROR(MATCH(W37,IDF_Station!$A$3:$A$11,1),1),MATCH(Inputs!$B$24,IDF_Station!$B$2:$G$2,0))))</f>
        <v/>
      </c>
    </row>
    <row r="38" customFormat="false" ht="15" hidden="false" customHeight="false" outlineLevel="0" collapsed="false">
      <c r="M38" s="25" t="str">
        <f aca="false">IF(L38="","",IF(UPPER(TRIM(Inputs!$B$23))="IDF_EQUATION",Inputs!$B$3/((L38+Inputs!$B$4)^Inputs!$B$5),INDEX(IDF_Station!$B$3:$G$11,IFERROR(MATCH(L38,IDF_Station!$A$3:$A$11,1),1),MATCH(Inputs!$B$24,IDF_Station!$B$2:$G$2,0))))</f>
        <v/>
      </c>
      <c r="X38" s="25" t="str">
        <f aca="false">IF(W38="","",IF(UPPER(TRIM(Inputs!$B$23))="IDF_EQUATION",Inputs!$B$3/((W38+Inputs!$B$4)^Inputs!$B$5),INDEX(IDF_Station!$B$3:$G$11,IFERROR(MATCH(W38,IDF_Station!$A$3:$A$11,1),1),MATCH(Inputs!$B$24,IDF_Station!$B$2:$G$2,0))))</f>
        <v/>
      </c>
    </row>
    <row r="39" customFormat="false" ht="15" hidden="false" customHeight="false" outlineLevel="0" collapsed="false">
      <c r="M39" s="25" t="str">
        <f aca="false">IF(L39="","",IF(UPPER(TRIM(Inputs!$B$23))="IDF_EQUATION",Inputs!$B$3/((L39+Inputs!$B$4)^Inputs!$B$5),INDEX(IDF_Station!$B$3:$G$11,IFERROR(MATCH(L39,IDF_Station!$A$3:$A$11,1),1),MATCH(Inputs!$B$24,IDF_Station!$B$2:$G$2,0))))</f>
        <v/>
      </c>
      <c r="X39" s="25" t="str">
        <f aca="false">IF(W39="","",IF(UPPER(TRIM(Inputs!$B$23))="IDF_EQUATION",Inputs!$B$3/((W39+Inputs!$B$4)^Inputs!$B$5),INDEX(IDF_Station!$B$3:$G$11,IFERROR(MATCH(W39,IDF_Station!$A$3:$A$11,1),1),MATCH(Inputs!$B$24,IDF_Station!$B$2:$G$2,0))))</f>
        <v/>
      </c>
    </row>
    <row r="40" customFormat="false" ht="15" hidden="false" customHeight="false" outlineLevel="0" collapsed="false">
      <c r="M40" s="25" t="str">
        <f aca="false">IF(L40="","",IF(UPPER(TRIM(Inputs!$B$23))="IDF_EQUATION",Inputs!$B$3/((L40+Inputs!$B$4)^Inputs!$B$5),INDEX(IDF_Station!$B$3:$G$11,IFERROR(MATCH(L40,IDF_Station!$A$3:$A$11,1),1),MATCH(Inputs!$B$24,IDF_Station!$B$2:$G$2,0))))</f>
        <v/>
      </c>
      <c r="X40" s="25" t="str">
        <f aca="false">IF(W40="","",IF(UPPER(TRIM(Inputs!$B$23))="IDF_EQUATION",Inputs!$B$3/((W40+Inputs!$B$4)^Inputs!$B$5),INDEX(IDF_Station!$B$3:$G$11,IFERROR(MATCH(W40,IDF_Station!$A$3:$A$11,1),1),MATCH(Inputs!$B$24,IDF_Station!$B$2:$G$2,0))))</f>
        <v/>
      </c>
    </row>
    <row r="41" customFormat="false" ht="15" hidden="false" customHeight="false" outlineLevel="0" collapsed="false">
      <c r="M41" s="25" t="str">
        <f aca="false">IF(L41="","",IF(UPPER(TRIM(Inputs!$B$23))="IDF_EQUATION",Inputs!$B$3/((L41+Inputs!$B$4)^Inputs!$B$5),INDEX(IDF_Station!$B$3:$G$11,IFERROR(MATCH(L41,IDF_Station!$A$3:$A$11,1),1),MATCH(Inputs!$B$24,IDF_Station!$B$2:$G$2,0))))</f>
        <v/>
      </c>
      <c r="X41" s="25" t="str">
        <f aca="false">IF(W41="","",IF(UPPER(TRIM(Inputs!$B$23))="IDF_EQUATION",Inputs!$B$3/((W41+Inputs!$B$4)^Inputs!$B$5),INDEX(IDF_Station!$B$3:$G$11,IFERROR(MATCH(W41,IDF_Station!$A$3:$A$11,1),1),MATCH(Inputs!$B$24,IDF_Station!$B$2:$G$2,0))))</f>
        <v/>
      </c>
    </row>
    <row r="42" customFormat="false" ht="15" hidden="false" customHeight="false" outlineLevel="0" collapsed="false">
      <c r="M42" s="25" t="str">
        <f aca="false">IF(L42="","",IF(UPPER(TRIM(Inputs!$B$23))="IDF_EQUATION",Inputs!$B$3/((L42+Inputs!$B$4)^Inputs!$B$5),INDEX(IDF_Station!$B$3:$G$11,IFERROR(MATCH(L42,IDF_Station!$A$3:$A$11,1),1),MATCH(Inputs!$B$24,IDF_Station!$B$2:$G$2,0))))</f>
        <v/>
      </c>
      <c r="X42" s="25" t="str">
        <f aca="false">IF(W42="","",IF(UPPER(TRIM(Inputs!$B$23))="IDF_EQUATION",Inputs!$B$3/((W42+Inputs!$B$4)^Inputs!$B$5),INDEX(IDF_Station!$B$3:$G$11,IFERROR(MATCH(W42,IDF_Station!$A$3:$A$11,1),1),MATCH(Inputs!$B$24,IDF_Station!$B$2:$G$2,0))))</f>
        <v/>
      </c>
    </row>
    <row r="43" customFormat="false" ht="15" hidden="false" customHeight="false" outlineLevel="0" collapsed="false">
      <c r="M43" s="25" t="str">
        <f aca="false">IF(L43="","",IF(UPPER(TRIM(Inputs!$B$23))="IDF_EQUATION",Inputs!$B$3/((L43+Inputs!$B$4)^Inputs!$B$5),INDEX(IDF_Station!$B$3:$G$11,IFERROR(MATCH(L43,IDF_Station!$A$3:$A$11,1),1),MATCH(Inputs!$B$24,IDF_Station!$B$2:$G$2,0))))</f>
        <v/>
      </c>
      <c r="X43" s="25" t="str">
        <f aca="false">IF(W43="","",IF(UPPER(TRIM(Inputs!$B$23))="IDF_EQUATION",Inputs!$B$3/((W43+Inputs!$B$4)^Inputs!$B$5),INDEX(IDF_Station!$B$3:$G$11,IFERROR(MATCH(W43,IDF_Station!$A$3:$A$11,1),1),MATCH(Inputs!$B$24,IDF_Station!$B$2:$G$2,0))))</f>
        <v/>
      </c>
    </row>
    <row r="44" customFormat="false" ht="15" hidden="false" customHeight="false" outlineLevel="0" collapsed="false">
      <c r="M44" s="25" t="str">
        <f aca="false">IF(L44="","",IF(UPPER(TRIM(Inputs!$B$23))="IDF_EQUATION",Inputs!$B$3/((L44+Inputs!$B$4)^Inputs!$B$5),INDEX(IDF_Station!$B$3:$G$11,IFERROR(MATCH(L44,IDF_Station!$A$3:$A$11,1),1),MATCH(Inputs!$B$24,IDF_Station!$B$2:$G$2,0))))</f>
        <v/>
      </c>
      <c r="X44" s="25" t="str">
        <f aca="false">IF(W44="","",IF(UPPER(TRIM(Inputs!$B$23))="IDF_EQUATION",Inputs!$B$3/((W44+Inputs!$B$4)^Inputs!$B$5),INDEX(IDF_Station!$B$3:$G$11,IFERROR(MATCH(W44,IDF_Station!$A$3:$A$11,1),1),MATCH(Inputs!$B$24,IDF_Station!$B$2:$G$2,0))))</f>
        <v/>
      </c>
    </row>
    <row r="45" customFormat="false" ht="15" hidden="false" customHeight="false" outlineLevel="0" collapsed="false">
      <c r="M45" s="25" t="str">
        <f aca="false">IF(L45="","",IF(UPPER(TRIM(Inputs!$B$23))="IDF_EQUATION",Inputs!$B$3/((L45+Inputs!$B$4)^Inputs!$B$5),INDEX(IDF_Station!$B$3:$G$11,IFERROR(MATCH(L45,IDF_Station!$A$3:$A$11,1),1),MATCH(Inputs!$B$24,IDF_Station!$B$2:$G$2,0))))</f>
        <v/>
      </c>
      <c r="X45" s="25" t="str">
        <f aca="false">IF(W45="","",IF(UPPER(TRIM(Inputs!$B$23))="IDF_EQUATION",Inputs!$B$3/((W45+Inputs!$B$4)^Inputs!$B$5),INDEX(IDF_Station!$B$3:$G$11,IFERROR(MATCH(W45,IDF_Station!$A$3:$A$11,1),1),MATCH(Inputs!$B$24,IDF_Station!$B$2:$G$2,0))))</f>
        <v/>
      </c>
    </row>
    <row r="46" customFormat="false" ht="15" hidden="false" customHeight="false" outlineLevel="0" collapsed="false">
      <c r="M46" s="25" t="str">
        <f aca="false">IF(L46="","",IF(UPPER(TRIM(Inputs!$B$23))="IDF_EQUATION",Inputs!$B$3/((L46+Inputs!$B$4)^Inputs!$B$5),INDEX(IDF_Station!$B$3:$G$11,IFERROR(MATCH(L46,IDF_Station!$A$3:$A$11,1),1),MATCH(Inputs!$B$24,IDF_Station!$B$2:$G$2,0))))</f>
        <v/>
      </c>
      <c r="X46" s="25" t="str">
        <f aca="false">IF(W46="","",IF(UPPER(TRIM(Inputs!$B$23))="IDF_EQUATION",Inputs!$B$3/((W46+Inputs!$B$4)^Inputs!$B$5),INDEX(IDF_Station!$B$3:$G$11,IFERROR(MATCH(W46,IDF_Station!$A$3:$A$11,1),1),MATCH(Inputs!$B$24,IDF_Station!$B$2:$G$2,0))))</f>
        <v/>
      </c>
    </row>
    <row r="47" customFormat="false" ht="15" hidden="false" customHeight="false" outlineLevel="0" collapsed="false">
      <c r="M47" s="25" t="str">
        <f aca="false">IF(L47="","",IF(UPPER(TRIM(Inputs!$B$23))="IDF_EQUATION",Inputs!$B$3/((L47+Inputs!$B$4)^Inputs!$B$5),INDEX(IDF_Station!$B$3:$G$11,IFERROR(MATCH(L47,IDF_Station!$A$3:$A$11,1),1),MATCH(Inputs!$B$24,IDF_Station!$B$2:$G$2,0))))</f>
        <v/>
      </c>
      <c r="X47" s="25" t="str">
        <f aca="false">IF(W47="","",IF(UPPER(TRIM(Inputs!$B$23))="IDF_EQUATION",Inputs!$B$3/((W47+Inputs!$B$4)^Inputs!$B$5),INDEX(IDF_Station!$B$3:$G$11,IFERROR(MATCH(W47,IDF_Station!$A$3:$A$11,1),1),MATCH(Inputs!$B$24,IDF_Station!$B$2:$G$2,0))))</f>
        <v/>
      </c>
    </row>
    <row r="48" customFormat="false" ht="15" hidden="false" customHeight="false" outlineLevel="0" collapsed="false">
      <c r="M48" s="25" t="str">
        <f aca="false">IF(L48="","",IF(UPPER(TRIM(Inputs!$B$23))="IDF_EQUATION",Inputs!$B$3/((L48+Inputs!$B$4)^Inputs!$B$5),INDEX(IDF_Station!$B$3:$G$11,IFERROR(MATCH(L48,IDF_Station!$A$3:$A$11,1),1),MATCH(Inputs!$B$24,IDF_Station!$B$2:$G$2,0))))</f>
        <v/>
      </c>
      <c r="X48" s="25" t="str">
        <f aca="false">IF(W48="","",IF(UPPER(TRIM(Inputs!$B$23))="IDF_EQUATION",Inputs!$B$3/((W48+Inputs!$B$4)^Inputs!$B$5),INDEX(IDF_Station!$B$3:$G$11,IFERROR(MATCH(W48,IDF_Station!$A$3:$A$11,1),1),MATCH(Inputs!$B$24,IDF_Station!$B$2:$G$2,0))))</f>
        <v/>
      </c>
    </row>
    <row r="49" customFormat="false" ht="15" hidden="false" customHeight="false" outlineLevel="0" collapsed="false">
      <c r="M49" s="25" t="str">
        <f aca="false">IF(L49="","",IF(UPPER(TRIM(Inputs!$B$23))="IDF_EQUATION",Inputs!$B$3/((L49+Inputs!$B$4)^Inputs!$B$5),INDEX(IDF_Station!$B$3:$G$11,IFERROR(MATCH(L49,IDF_Station!$A$3:$A$11,1),1),MATCH(Inputs!$B$24,IDF_Station!$B$2:$G$2,0))))</f>
        <v/>
      </c>
      <c r="X49" s="25" t="str">
        <f aca="false">IF(W49="","",IF(UPPER(TRIM(Inputs!$B$23))="IDF_EQUATION",Inputs!$B$3/((W49+Inputs!$B$4)^Inputs!$B$5),INDEX(IDF_Station!$B$3:$G$11,IFERROR(MATCH(W49,IDF_Station!$A$3:$A$11,1),1),MATCH(Inputs!$B$24,IDF_Station!$B$2:$G$2,0))))</f>
        <v/>
      </c>
    </row>
    <row r="50" customFormat="false" ht="15" hidden="false" customHeight="false" outlineLevel="0" collapsed="false">
      <c r="M50" s="25" t="str">
        <f aca="false">IF(L50="","",IF(UPPER(TRIM(Inputs!$B$23))="IDF_EQUATION",Inputs!$B$3/((L50+Inputs!$B$4)^Inputs!$B$5),INDEX(IDF_Station!$B$3:$G$11,IFERROR(MATCH(L50,IDF_Station!$A$3:$A$11,1),1),MATCH(Inputs!$B$24,IDF_Station!$B$2:$G$2,0))))</f>
        <v/>
      </c>
      <c r="X50" s="25" t="str">
        <f aca="false">IF(W50="","",IF(UPPER(TRIM(Inputs!$B$23))="IDF_EQUATION",Inputs!$B$3/((W50+Inputs!$B$4)^Inputs!$B$5),INDEX(IDF_Station!$B$3:$G$11,IFERROR(MATCH(W50,IDF_Station!$A$3:$A$11,1),1),MATCH(Inputs!$B$24,IDF_Station!$B$2:$G$2,0))))</f>
        <v/>
      </c>
    </row>
    <row r="51" customFormat="false" ht="15" hidden="false" customHeight="false" outlineLevel="0" collapsed="false">
      <c r="M51" s="25" t="str">
        <f aca="false">IF(L51="","",IF(UPPER(TRIM(Inputs!$B$23))="IDF_EQUATION",Inputs!$B$3/((L51+Inputs!$B$4)^Inputs!$B$5),INDEX(IDF_Station!$B$3:$G$11,IFERROR(MATCH(L51,IDF_Station!$A$3:$A$11,1),1),MATCH(Inputs!$B$24,IDF_Station!$B$2:$G$2,0))))</f>
        <v/>
      </c>
      <c r="X51" s="25" t="str">
        <f aca="false">IF(W51="","",IF(UPPER(TRIM(Inputs!$B$23))="IDF_EQUATION",Inputs!$B$3/((W51+Inputs!$B$4)^Inputs!$B$5),INDEX(IDF_Station!$B$3:$G$11,IFERROR(MATCH(W51,IDF_Station!$A$3:$A$11,1),1),MATCH(Inputs!$B$24,IDF_Station!$B$2:$G$2,0))))</f>
        <v/>
      </c>
    </row>
    <row r="52" customFormat="false" ht="15" hidden="false" customHeight="false" outlineLevel="0" collapsed="false">
      <c r="M52" s="25" t="str">
        <f aca="false">IF(L52="","",IF(UPPER(TRIM(Inputs!$B$23))="IDF_EQUATION",Inputs!$B$3/((L52+Inputs!$B$4)^Inputs!$B$5),INDEX(IDF_Station!$B$3:$G$11,IFERROR(MATCH(L52,IDF_Station!$A$3:$A$11,1),1),MATCH(Inputs!$B$24,IDF_Station!$B$2:$G$2,0))))</f>
        <v/>
      </c>
      <c r="X52" s="25" t="str">
        <f aca="false">IF(W52="","",IF(UPPER(TRIM(Inputs!$B$23))="IDF_EQUATION",Inputs!$B$3/((W52+Inputs!$B$4)^Inputs!$B$5),INDEX(IDF_Station!$B$3:$G$11,IFERROR(MATCH(W52,IDF_Station!$A$3:$A$11,1),1),MATCH(Inputs!$B$24,IDF_Station!$B$2:$G$2,0))))</f>
        <v/>
      </c>
    </row>
    <row r="53" customFormat="false" ht="15" hidden="false" customHeight="false" outlineLevel="0" collapsed="false">
      <c r="M53" s="25" t="str">
        <f aca="false">IF(L53="","",IF(UPPER(TRIM(Inputs!$B$23))="IDF_EQUATION",Inputs!$B$3/((L53+Inputs!$B$4)^Inputs!$B$5),INDEX(IDF_Station!$B$3:$G$11,IFERROR(MATCH(L53,IDF_Station!$A$3:$A$11,1),1),MATCH(Inputs!$B$24,IDF_Station!$B$2:$G$2,0))))</f>
        <v/>
      </c>
      <c r="X53" s="25" t="str">
        <f aca="false">IF(W53="","",IF(UPPER(TRIM(Inputs!$B$23))="IDF_EQUATION",Inputs!$B$3/((W53+Inputs!$B$4)^Inputs!$B$5),INDEX(IDF_Station!$B$3:$G$11,IFERROR(MATCH(W53,IDF_Station!$A$3:$A$11,1),1),MATCH(Inputs!$B$24,IDF_Station!$B$2:$G$2,0))))</f>
        <v/>
      </c>
    </row>
    <row r="54" customFormat="false" ht="15" hidden="false" customHeight="false" outlineLevel="0" collapsed="false">
      <c r="M54" s="25" t="str">
        <f aca="false">IF(L54="","",IF(UPPER(TRIM(Inputs!$B$23))="IDF_EQUATION",Inputs!$B$3/((L54+Inputs!$B$4)^Inputs!$B$5),INDEX(IDF_Station!$B$3:$G$11,IFERROR(MATCH(L54,IDF_Station!$A$3:$A$11,1),1),MATCH(Inputs!$B$24,IDF_Station!$B$2:$G$2,0))))</f>
        <v/>
      </c>
      <c r="X54" s="25" t="str">
        <f aca="false">IF(W54="","",IF(UPPER(TRIM(Inputs!$B$23))="IDF_EQUATION",Inputs!$B$3/((W54+Inputs!$B$4)^Inputs!$B$5),INDEX(IDF_Station!$B$3:$G$11,IFERROR(MATCH(W54,IDF_Station!$A$3:$A$11,1),1),MATCH(Inputs!$B$24,IDF_Station!$B$2:$G$2,0))))</f>
        <v/>
      </c>
    </row>
    <row r="55" customFormat="false" ht="15" hidden="false" customHeight="false" outlineLevel="0" collapsed="false">
      <c r="M55" s="25" t="str">
        <f aca="false">IF(L55="","",IF(UPPER(TRIM(Inputs!$B$23))="IDF_EQUATION",Inputs!$B$3/((L55+Inputs!$B$4)^Inputs!$B$5),INDEX(IDF_Station!$B$3:$G$11,IFERROR(MATCH(L55,IDF_Station!$A$3:$A$11,1),1),MATCH(Inputs!$B$24,IDF_Station!$B$2:$G$2,0))))</f>
        <v/>
      </c>
      <c r="X55" s="25" t="str">
        <f aca="false">IF(W55="","",IF(UPPER(TRIM(Inputs!$B$23))="IDF_EQUATION",Inputs!$B$3/((W55+Inputs!$B$4)^Inputs!$B$5),INDEX(IDF_Station!$B$3:$G$11,IFERROR(MATCH(W55,IDF_Station!$A$3:$A$11,1),1),MATCH(Inputs!$B$24,IDF_Station!$B$2:$G$2,0))))</f>
        <v/>
      </c>
    </row>
    <row r="56" customFormat="false" ht="15" hidden="false" customHeight="false" outlineLevel="0" collapsed="false">
      <c r="M56" s="25" t="str">
        <f aca="false">IF(L56="","",IF(UPPER(TRIM(Inputs!$B$23))="IDF_EQUATION",Inputs!$B$3/((L56+Inputs!$B$4)^Inputs!$B$5),INDEX(IDF_Station!$B$3:$G$11,IFERROR(MATCH(L56,IDF_Station!$A$3:$A$11,1),1),MATCH(Inputs!$B$24,IDF_Station!$B$2:$G$2,0))))</f>
        <v/>
      </c>
      <c r="X56" s="25" t="str">
        <f aca="false">IF(W56="","",IF(UPPER(TRIM(Inputs!$B$23))="IDF_EQUATION",Inputs!$B$3/((W56+Inputs!$B$4)^Inputs!$B$5),INDEX(IDF_Station!$B$3:$G$11,IFERROR(MATCH(W56,IDF_Station!$A$3:$A$11,1),1),MATCH(Inputs!$B$24,IDF_Station!$B$2:$G$2,0))))</f>
        <v/>
      </c>
    </row>
    <row r="57" customFormat="false" ht="15" hidden="false" customHeight="false" outlineLevel="0" collapsed="false">
      <c r="M57" s="25" t="str">
        <f aca="false">IF(L57="","",IF(UPPER(TRIM(Inputs!$B$23))="IDF_EQUATION",Inputs!$B$3/((L57+Inputs!$B$4)^Inputs!$B$5),INDEX(IDF_Station!$B$3:$G$11,IFERROR(MATCH(L57,IDF_Station!$A$3:$A$11,1),1),MATCH(Inputs!$B$24,IDF_Station!$B$2:$G$2,0))))</f>
        <v/>
      </c>
      <c r="X57" s="25" t="str">
        <f aca="false">IF(W57="","",IF(UPPER(TRIM(Inputs!$B$23))="IDF_EQUATION",Inputs!$B$3/((W57+Inputs!$B$4)^Inputs!$B$5),INDEX(IDF_Station!$B$3:$G$11,IFERROR(MATCH(W57,IDF_Station!$A$3:$A$11,1),1),MATCH(Inputs!$B$24,IDF_Station!$B$2:$G$2,0))))</f>
        <v/>
      </c>
    </row>
    <row r="58" customFormat="false" ht="15" hidden="false" customHeight="false" outlineLevel="0" collapsed="false">
      <c r="M58" s="25" t="str">
        <f aca="false">IF(L58="","",IF(UPPER(TRIM(Inputs!$B$23))="IDF_EQUATION",Inputs!$B$3/((L58+Inputs!$B$4)^Inputs!$B$5),INDEX(IDF_Station!$B$3:$G$11,IFERROR(MATCH(L58,IDF_Station!$A$3:$A$11,1),1),MATCH(Inputs!$B$24,IDF_Station!$B$2:$G$2,0))))</f>
        <v/>
      </c>
      <c r="X58" s="25" t="str">
        <f aca="false">IF(W58="","",IF(UPPER(TRIM(Inputs!$B$23))="IDF_EQUATION",Inputs!$B$3/((W58+Inputs!$B$4)^Inputs!$B$5),INDEX(IDF_Station!$B$3:$G$11,IFERROR(MATCH(W58,IDF_Station!$A$3:$A$11,1),1),MATCH(Inputs!$B$24,IDF_Station!$B$2:$G$2,0))))</f>
        <v/>
      </c>
    </row>
    <row r="59" customFormat="false" ht="15" hidden="false" customHeight="false" outlineLevel="0" collapsed="false">
      <c r="M59" s="25" t="str">
        <f aca="false">IF(L59="","",IF(UPPER(TRIM(Inputs!$B$23))="IDF_EQUATION",Inputs!$B$3/((L59+Inputs!$B$4)^Inputs!$B$5),INDEX(IDF_Station!$B$3:$G$11,IFERROR(MATCH(L59,IDF_Station!$A$3:$A$11,1),1),MATCH(Inputs!$B$24,IDF_Station!$B$2:$G$2,0))))</f>
        <v/>
      </c>
      <c r="X59" s="25" t="str">
        <f aca="false">IF(W59="","",IF(UPPER(TRIM(Inputs!$B$23))="IDF_EQUATION",Inputs!$B$3/((W59+Inputs!$B$4)^Inputs!$B$5),INDEX(IDF_Station!$B$3:$G$11,IFERROR(MATCH(W59,IDF_Station!$A$3:$A$11,1),1),MATCH(Inputs!$B$24,IDF_Station!$B$2:$G$2,0))))</f>
        <v/>
      </c>
    </row>
    <row r="60" customFormat="false" ht="15" hidden="false" customHeight="false" outlineLevel="0" collapsed="false">
      <c r="M60" s="25" t="str">
        <f aca="false">IF(L60="","",IF(UPPER(TRIM(Inputs!$B$23))="IDF_EQUATION",Inputs!$B$3/((L60+Inputs!$B$4)^Inputs!$B$5),INDEX(IDF_Station!$B$3:$G$11,IFERROR(MATCH(L60,IDF_Station!$A$3:$A$11,1),1),MATCH(Inputs!$B$24,IDF_Station!$B$2:$G$2,0))))</f>
        <v/>
      </c>
      <c r="X60" s="25" t="str">
        <f aca="false">IF(W60="","",IF(UPPER(TRIM(Inputs!$B$23))="IDF_EQUATION",Inputs!$B$3/((W60+Inputs!$B$4)^Inputs!$B$5),INDEX(IDF_Station!$B$3:$G$11,IFERROR(MATCH(W60,IDF_Station!$A$3:$A$11,1),1),MATCH(Inputs!$B$24,IDF_Station!$B$2:$G$2,0))))</f>
        <v/>
      </c>
    </row>
    <row r="61" customFormat="false" ht="15" hidden="false" customHeight="false" outlineLevel="0" collapsed="false">
      <c r="M61" s="25" t="str">
        <f aca="false">IF(L61="","",IF(UPPER(TRIM(Inputs!$B$23))="IDF_EQUATION",Inputs!$B$3/((L61+Inputs!$B$4)^Inputs!$B$5),INDEX(IDF_Station!$B$3:$G$11,IFERROR(MATCH(L61,IDF_Station!$A$3:$A$11,1),1),MATCH(Inputs!$B$24,IDF_Station!$B$2:$G$2,0))))</f>
        <v/>
      </c>
      <c r="X61" s="25" t="str">
        <f aca="false">IF(W61="","",IF(UPPER(TRIM(Inputs!$B$23))="IDF_EQUATION",Inputs!$B$3/((W61+Inputs!$B$4)^Inputs!$B$5),INDEX(IDF_Station!$B$3:$G$11,IFERROR(MATCH(W61,IDF_Station!$A$3:$A$11,1),1),MATCH(Inputs!$B$24,IDF_Station!$B$2:$G$2,0))))</f>
        <v/>
      </c>
    </row>
    <row r="62" customFormat="false" ht="15" hidden="false" customHeight="false" outlineLevel="0" collapsed="false">
      <c r="M62" s="25" t="str">
        <f aca="false">IF(L62="","",IF(UPPER(TRIM(Inputs!$B$23))="IDF_EQUATION",Inputs!$B$3/((L62+Inputs!$B$4)^Inputs!$B$5),INDEX(IDF_Station!$B$3:$G$11,IFERROR(MATCH(L62,IDF_Station!$A$3:$A$11,1),1),MATCH(Inputs!$B$24,IDF_Station!$B$2:$G$2,0))))</f>
        <v/>
      </c>
      <c r="X62" s="25" t="str">
        <f aca="false">IF(W62="","",IF(UPPER(TRIM(Inputs!$B$23))="IDF_EQUATION",Inputs!$B$3/((W62+Inputs!$B$4)^Inputs!$B$5),INDEX(IDF_Station!$B$3:$G$11,IFERROR(MATCH(W62,IDF_Station!$A$3:$A$11,1),1),MATCH(Inputs!$B$24,IDF_Station!$B$2:$G$2,0))))</f>
        <v/>
      </c>
    </row>
    <row r="63" customFormat="false" ht="15" hidden="false" customHeight="false" outlineLevel="0" collapsed="false">
      <c r="M63" s="25" t="str">
        <f aca="false">IF(L63="","",IF(UPPER(TRIM(Inputs!$B$23))="IDF_EQUATION",Inputs!$B$3/((L63+Inputs!$B$4)^Inputs!$B$5),INDEX(IDF_Station!$B$3:$G$11,IFERROR(MATCH(L63,IDF_Station!$A$3:$A$11,1),1),MATCH(Inputs!$B$24,IDF_Station!$B$2:$G$2,0))))</f>
        <v/>
      </c>
      <c r="X63" s="25" t="str">
        <f aca="false">IF(W63="","",IF(UPPER(TRIM(Inputs!$B$23))="IDF_EQUATION",Inputs!$B$3/((W63+Inputs!$B$4)^Inputs!$B$5),INDEX(IDF_Station!$B$3:$G$11,IFERROR(MATCH(W63,IDF_Station!$A$3:$A$11,1),1),MATCH(Inputs!$B$24,IDF_Station!$B$2:$G$2,0))))</f>
        <v/>
      </c>
    </row>
    <row r="64" customFormat="false" ht="15" hidden="false" customHeight="false" outlineLevel="0" collapsed="false">
      <c r="M64" s="25" t="str">
        <f aca="false">IF(L64="","",IF(UPPER(TRIM(Inputs!$B$23))="IDF_EQUATION",Inputs!$B$3/((L64+Inputs!$B$4)^Inputs!$B$5),INDEX(IDF_Station!$B$3:$G$11,IFERROR(MATCH(L64,IDF_Station!$A$3:$A$11,1),1),MATCH(Inputs!$B$24,IDF_Station!$B$2:$G$2,0))))</f>
        <v/>
      </c>
      <c r="X64" s="25" t="str">
        <f aca="false">IF(W64="","",IF(UPPER(TRIM(Inputs!$B$23))="IDF_EQUATION",Inputs!$B$3/((W64+Inputs!$B$4)^Inputs!$B$5),INDEX(IDF_Station!$B$3:$G$11,IFERROR(MATCH(W64,IDF_Station!$A$3:$A$11,1),1),MATCH(Inputs!$B$24,IDF_Station!$B$2:$G$2,0))))</f>
        <v/>
      </c>
    </row>
    <row r="65" customFormat="false" ht="15" hidden="false" customHeight="false" outlineLevel="0" collapsed="false">
      <c r="M65" s="25" t="str">
        <f aca="false">IF(L65="","",IF(UPPER(TRIM(Inputs!$B$23))="IDF_EQUATION",Inputs!$B$3/((L65+Inputs!$B$4)^Inputs!$B$5),INDEX(IDF_Station!$B$3:$G$11,IFERROR(MATCH(L65,IDF_Station!$A$3:$A$11,1),1),MATCH(Inputs!$B$24,IDF_Station!$B$2:$G$2,0))))</f>
        <v/>
      </c>
      <c r="X65" s="25" t="str">
        <f aca="false">IF(W65="","",IF(UPPER(TRIM(Inputs!$B$23))="IDF_EQUATION",Inputs!$B$3/((W65+Inputs!$B$4)^Inputs!$B$5),INDEX(IDF_Station!$B$3:$G$11,IFERROR(MATCH(W65,IDF_Station!$A$3:$A$11,1),1),MATCH(Inputs!$B$24,IDF_Station!$B$2:$G$2,0))))</f>
        <v/>
      </c>
    </row>
    <row r="66" customFormat="false" ht="15" hidden="false" customHeight="false" outlineLevel="0" collapsed="false">
      <c r="M66" s="25" t="str">
        <f aca="false">IF(L66="","",IF(UPPER(TRIM(Inputs!$B$23))="IDF_EQUATION",Inputs!$B$3/((L66+Inputs!$B$4)^Inputs!$B$5),INDEX(IDF_Station!$B$3:$G$11,IFERROR(MATCH(L66,IDF_Station!$A$3:$A$11,1),1),MATCH(Inputs!$B$24,IDF_Station!$B$2:$G$2,0))))</f>
        <v/>
      </c>
      <c r="X66" s="25" t="str">
        <f aca="false">IF(W66="","",IF(UPPER(TRIM(Inputs!$B$23))="IDF_EQUATION",Inputs!$B$3/((W66+Inputs!$B$4)^Inputs!$B$5),INDEX(IDF_Station!$B$3:$G$11,IFERROR(MATCH(W66,IDF_Station!$A$3:$A$11,1),1),MATCH(Inputs!$B$24,IDF_Station!$B$2:$G$2,0))))</f>
        <v/>
      </c>
    </row>
    <row r="67" customFormat="false" ht="15" hidden="false" customHeight="false" outlineLevel="0" collapsed="false">
      <c r="M67" s="25" t="str">
        <f aca="false">IF(L67="","",IF(UPPER(TRIM(Inputs!$B$23))="IDF_EQUATION",Inputs!$B$3/((L67+Inputs!$B$4)^Inputs!$B$5),INDEX(IDF_Station!$B$3:$G$11,IFERROR(MATCH(L67,IDF_Station!$A$3:$A$11,1),1),MATCH(Inputs!$B$24,IDF_Station!$B$2:$G$2,0))))</f>
        <v/>
      </c>
      <c r="X67" s="25" t="str">
        <f aca="false">IF(W67="","",IF(UPPER(TRIM(Inputs!$B$23))="IDF_EQUATION",Inputs!$B$3/((W67+Inputs!$B$4)^Inputs!$B$5),INDEX(IDF_Station!$B$3:$G$11,IFERROR(MATCH(W67,IDF_Station!$A$3:$A$11,1),1),MATCH(Inputs!$B$24,IDF_Station!$B$2:$G$2,0))))</f>
        <v/>
      </c>
    </row>
    <row r="68" customFormat="false" ht="15" hidden="false" customHeight="false" outlineLevel="0" collapsed="false">
      <c r="M68" s="25" t="str">
        <f aca="false">IF(L68="","",IF(UPPER(TRIM(Inputs!$B$23))="IDF_EQUATION",Inputs!$B$3/((L68+Inputs!$B$4)^Inputs!$B$5),INDEX(IDF_Station!$B$3:$G$11,IFERROR(MATCH(L68,IDF_Station!$A$3:$A$11,1),1),MATCH(Inputs!$B$24,IDF_Station!$B$2:$G$2,0))))</f>
        <v/>
      </c>
      <c r="X68" s="25" t="str">
        <f aca="false">IF(W68="","",IF(UPPER(TRIM(Inputs!$B$23))="IDF_EQUATION",Inputs!$B$3/((W68+Inputs!$B$4)^Inputs!$B$5),INDEX(IDF_Station!$B$3:$G$11,IFERROR(MATCH(W68,IDF_Station!$A$3:$A$11,1),1),MATCH(Inputs!$B$24,IDF_Station!$B$2:$G$2,0))))</f>
        <v/>
      </c>
    </row>
    <row r="69" customFormat="false" ht="15" hidden="false" customHeight="false" outlineLevel="0" collapsed="false">
      <c r="M69" s="25" t="str">
        <f aca="false">IF(L69="","",IF(UPPER(TRIM(Inputs!$B$23))="IDF_EQUATION",Inputs!$B$3/((L69+Inputs!$B$4)^Inputs!$B$5),INDEX(IDF_Station!$B$3:$G$11,IFERROR(MATCH(L69,IDF_Station!$A$3:$A$11,1),1),MATCH(Inputs!$B$24,IDF_Station!$B$2:$G$2,0))))</f>
        <v/>
      </c>
      <c r="X69" s="25" t="str">
        <f aca="false">IF(W69="","",IF(UPPER(TRIM(Inputs!$B$23))="IDF_EQUATION",Inputs!$B$3/((W69+Inputs!$B$4)^Inputs!$B$5),INDEX(IDF_Station!$B$3:$G$11,IFERROR(MATCH(W69,IDF_Station!$A$3:$A$11,1),1),MATCH(Inputs!$B$24,IDF_Station!$B$2:$G$2,0))))</f>
        <v/>
      </c>
    </row>
    <row r="70" customFormat="false" ht="15" hidden="false" customHeight="false" outlineLevel="0" collapsed="false">
      <c r="M70" s="25" t="str">
        <f aca="false">IF(L70="","",IF(UPPER(TRIM(Inputs!$B$23))="IDF_EQUATION",Inputs!$B$3/((L70+Inputs!$B$4)^Inputs!$B$5),INDEX(IDF_Station!$B$3:$G$11,IFERROR(MATCH(L70,IDF_Station!$A$3:$A$11,1),1),MATCH(Inputs!$B$24,IDF_Station!$B$2:$G$2,0))))</f>
        <v/>
      </c>
      <c r="X70" s="25" t="str">
        <f aca="false">IF(W70="","",IF(UPPER(TRIM(Inputs!$B$23))="IDF_EQUATION",Inputs!$B$3/((W70+Inputs!$B$4)^Inputs!$B$5),INDEX(IDF_Station!$B$3:$G$11,IFERROR(MATCH(W70,IDF_Station!$A$3:$A$11,1),1),MATCH(Inputs!$B$24,IDF_Station!$B$2:$G$2,0))))</f>
        <v/>
      </c>
    </row>
    <row r="71" customFormat="false" ht="15" hidden="false" customHeight="false" outlineLevel="0" collapsed="false">
      <c r="M71" s="25" t="str">
        <f aca="false">IF(L71="","",IF(UPPER(TRIM(Inputs!$B$23))="IDF_EQUATION",Inputs!$B$3/((L71+Inputs!$B$4)^Inputs!$B$5),INDEX(IDF_Station!$B$3:$G$11,IFERROR(MATCH(L71,IDF_Station!$A$3:$A$11,1),1),MATCH(Inputs!$B$24,IDF_Station!$B$2:$G$2,0))))</f>
        <v/>
      </c>
      <c r="X71" s="25" t="str">
        <f aca="false">IF(W71="","",IF(UPPER(TRIM(Inputs!$B$23))="IDF_EQUATION",Inputs!$B$3/((W71+Inputs!$B$4)^Inputs!$B$5),INDEX(IDF_Station!$B$3:$G$11,IFERROR(MATCH(W71,IDF_Station!$A$3:$A$11,1),1),MATCH(Inputs!$B$24,IDF_Station!$B$2:$G$2,0))))</f>
        <v/>
      </c>
    </row>
    <row r="72" customFormat="false" ht="15" hidden="false" customHeight="false" outlineLevel="0" collapsed="false">
      <c r="M72" s="25" t="str">
        <f aca="false">IF(L72="","",IF(UPPER(TRIM(Inputs!$B$23))="IDF_EQUATION",Inputs!$B$3/((L72+Inputs!$B$4)^Inputs!$B$5),INDEX(IDF_Station!$B$3:$G$11,IFERROR(MATCH(L72,IDF_Station!$A$3:$A$11,1),1),MATCH(Inputs!$B$24,IDF_Station!$B$2:$G$2,0))))</f>
        <v/>
      </c>
      <c r="X72" s="25" t="str">
        <f aca="false">IF(W72="","",IF(UPPER(TRIM(Inputs!$B$23))="IDF_EQUATION",Inputs!$B$3/((W72+Inputs!$B$4)^Inputs!$B$5),INDEX(IDF_Station!$B$3:$G$11,IFERROR(MATCH(W72,IDF_Station!$A$3:$A$11,1),1),MATCH(Inputs!$B$24,IDF_Station!$B$2:$G$2,0))))</f>
        <v/>
      </c>
    </row>
    <row r="73" customFormat="false" ht="15" hidden="false" customHeight="false" outlineLevel="0" collapsed="false">
      <c r="M73" s="25" t="str">
        <f aca="false">IF(L73="","",IF(UPPER(TRIM(Inputs!$B$23))="IDF_EQUATION",Inputs!$B$3/((L73+Inputs!$B$4)^Inputs!$B$5),INDEX(IDF_Station!$B$3:$G$11,IFERROR(MATCH(L73,IDF_Station!$A$3:$A$11,1),1),MATCH(Inputs!$B$24,IDF_Station!$B$2:$G$2,0))))</f>
        <v/>
      </c>
      <c r="X73" s="25" t="str">
        <f aca="false">IF(W73="","",IF(UPPER(TRIM(Inputs!$B$23))="IDF_EQUATION",Inputs!$B$3/((W73+Inputs!$B$4)^Inputs!$B$5),INDEX(IDF_Station!$B$3:$G$11,IFERROR(MATCH(W73,IDF_Station!$A$3:$A$11,1),1),MATCH(Inputs!$B$24,IDF_Station!$B$2:$G$2,0))))</f>
        <v/>
      </c>
    </row>
    <row r="74" customFormat="false" ht="15" hidden="false" customHeight="false" outlineLevel="0" collapsed="false">
      <c r="M74" s="25" t="str">
        <f aca="false">IF(L74="","",IF(UPPER(TRIM(Inputs!$B$23))="IDF_EQUATION",Inputs!$B$3/((L74+Inputs!$B$4)^Inputs!$B$5),INDEX(IDF_Station!$B$3:$G$11,IFERROR(MATCH(L74,IDF_Station!$A$3:$A$11,1),1),MATCH(Inputs!$B$24,IDF_Station!$B$2:$G$2,0))))</f>
        <v/>
      </c>
      <c r="X74" s="25" t="str">
        <f aca="false">IF(W74="","",IF(UPPER(TRIM(Inputs!$B$23))="IDF_EQUATION",Inputs!$B$3/((W74+Inputs!$B$4)^Inputs!$B$5),INDEX(IDF_Station!$B$3:$G$11,IFERROR(MATCH(W74,IDF_Station!$A$3:$A$11,1),1),MATCH(Inputs!$B$24,IDF_Station!$B$2:$G$2,0))))</f>
        <v/>
      </c>
    </row>
    <row r="75" customFormat="false" ht="15" hidden="false" customHeight="false" outlineLevel="0" collapsed="false">
      <c r="M75" s="25" t="str">
        <f aca="false">IF(L75="","",IF(UPPER(TRIM(Inputs!$B$23))="IDF_EQUATION",Inputs!$B$3/((L75+Inputs!$B$4)^Inputs!$B$5),INDEX(IDF_Station!$B$3:$G$11,IFERROR(MATCH(L75,IDF_Station!$A$3:$A$11,1),1),MATCH(Inputs!$B$24,IDF_Station!$B$2:$G$2,0))))</f>
        <v/>
      </c>
      <c r="X75" s="25" t="str">
        <f aca="false">IF(W75="","",IF(UPPER(TRIM(Inputs!$B$23))="IDF_EQUATION",Inputs!$B$3/((W75+Inputs!$B$4)^Inputs!$B$5),INDEX(IDF_Station!$B$3:$G$11,IFERROR(MATCH(W75,IDF_Station!$A$3:$A$11,1),1),MATCH(Inputs!$B$24,IDF_Station!$B$2:$G$2,0))))</f>
        <v/>
      </c>
    </row>
    <row r="76" customFormat="false" ht="15" hidden="false" customHeight="false" outlineLevel="0" collapsed="false">
      <c r="M76" s="25" t="str">
        <f aca="false">IF(L76="","",IF(UPPER(TRIM(Inputs!$B$23))="IDF_EQUATION",Inputs!$B$3/((L76+Inputs!$B$4)^Inputs!$B$5),INDEX(IDF_Station!$B$3:$G$11,IFERROR(MATCH(L76,IDF_Station!$A$3:$A$11,1),1),MATCH(Inputs!$B$24,IDF_Station!$B$2:$G$2,0))))</f>
        <v/>
      </c>
      <c r="X76" s="25" t="str">
        <f aca="false">IF(W76="","",IF(UPPER(TRIM(Inputs!$B$23))="IDF_EQUATION",Inputs!$B$3/((W76+Inputs!$B$4)^Inputs!$B$5),INDEX(IDF_Station!$B$3:$G$11,IFERROR(MATCH(W76,IDF_Station!$A$3:$A$11,1),1),MATCH(Inputs!$B$24,IDF_Station!$B$2:$G$2,0))))</f>
        <v/>
      </c>
    </row>
    <row r="77" customFormat="false" ht="15" hidden="false" customHeight="false" outlineLevel="0" collapsed="false">
      <c r="M77" s="25" t="str">
        <f aca="false">IF(L77="","",IF(UPPER(TRIM(Inputs!$B$23))="IDF_EQUATION",Inputs!$B$3/((L77+Inputs!$B$4)^Inputs!$B$5),INDEX(IDF_Station!$B$3:$G$11,IFERROR(MATCH(L77,IDF_Station!$A$3:$A$11,1),1),MATCH(Inputs!$B$24,IDF_Station!$B$2:$G$2,0))))</f>
        <v/>
      </c>
      <c r="X77" s="25" t="str">
        <f aca="false">IF(W77="","",IF(UPPER(TRIM(Inputs!$B$23))="IDF_EQUATION",Inputs!$B$3/((W77+Inputs!$B$4)^Inputs!$B$5),INDEX(IDF_Station!$B$3:$G$11,IFERROR(MATCH(W77,IDF_Station!$A$3:$A$11,1),1),MATCH(Inputs!$B$24,IDF_Station!$B$2:$G$2,0))))</f>
        <v/>
      </c>
    </row>
    <row r="78" customFormat="false" ht="15" hidden="false" customHeight="false" outlineLevel="0" collapsed="false">
      <c r="M78" s="25" t="str">
        <f aca="false">IF(L78="","",IF(UPPER(TRIM(Inputs!$B$23))="IDF_EQUATION",Inputs!$B$3/((L78+Inputs!$B$4)^Inputs!$B$5),INDEX(IDF_Station!$B$3:$G$11,IFERROR(MATCH(L78,IDF_Station!$A$3:$A$11,1),1),MATCH(Inputs!$B$24,IDF_Station!$B$2:$G$2,0))))</f>
        <v/>
      </c>
      <c r="X78" s="25" t="str">
        <f aca="false">IF(W78="","",IF(UPPER(TRIM(Inputs!$B$23))="IDF_EQUATION",Inputs!$B$3/((W78+Inputs!$B$4)^Inputs!$B$5),INDEX(IDF_Station!$B$3:$G$11,IFERROR(MATCH(W78,IDF_Station!$A$3:$A$11,1),1),MATCH(Inputs!$B$24,IDF_Station!$B$2:$G$2,0))))</f>
        <v/>
      </c>
    </row>
    <row r="79" customFormat="false" ht="15" hidden="false" customHeight="false" outlineLevel="0" collapsed="false">
      <c r="M79" s="25" t="str">
        <f aca="false">IF(L79="","",IF(UPPER(TRIM(Inputs!$B$23))="IDF_EQUATION",Inputs!$B$3/((L79+Inputs!$B$4)^Inputs!$B$5),INDEX(IDF_Station!$B$3:$G$11,IFERROR(MATCH(L79,IDF_Station!$A$3:$A$11,1),1),MATCH(Inputs!$B$24,IDF_Station!$B$2:$G$2,0))))</f>
        <v/>
      </c>
      <c r="X79" s="25" t="str">
        <f aca="false">IF(W79="","",IF(UPPER(TRIM(Inputs!$B$23))="IDF_EQUATION",Inputs!$B$3/((W79+Inputs!$B$4)^Inputs!$B$5),INDEX(IDF_Station!$B$3:$G$11,IFERROR(MATCH(W79,IDF_Station!$A$3:$A$11,1),1),MATCH(Inputs!$B$24,IDF_Station!$B$2:$G$2,0))))</f>
        <v/>
      </c>
    </row>
    <row r="80" customFormat="false" ht="15" hidden="false" customHeight="false" outlineLevel="0" collapsed="false">
      <c r="M80" s="25" t="str">
        <f aca="false">IF(L80="","",IF(UPPER(TRIM(Inputs!$B$23))="IDF_EQUATION",Inputs!$B$3/((L80+Inputs!$B$4)^Inputs!$B$5),INDEX(IDF_Station!$B$3:$G$11,IFERROR(MATCH(L80,IDF_Station!$A$3:$A$11,1),1),MATCH(Inputs!$B$24,IDF_Station!$B$2:$G$2,0))))</f>
        <v/>
      </c>
      <c r="X80" s="25" t="str">
        <f aca="false">IF(W80="","",IF(UPPER(TRIM(Inputs!$B$23))="IDF_EQUATION",Inputs!$B$3/((W80+Inputs!$B$4)^Inputs!$B$5),INDEX(IDF_Station!$B$3:$G$11,IFERROR(MATCH(W80,IDF_Station!$A$3:$A$11,1),1),MATCH(Inputs!$B$24,IDF_Station!$B$2:$G$2,0))))</f>
        <v/>
      </c>
    </row>
    <row r="81" customFormat="false" ht="15" hidden="false" customHeight="false" outlineLevel="0" collapsed="false">
      <c r="M81" s="25" t="str">
        <f aca="false">IF(L81="","",IF(UPPER(TRIM(Inputs!$B$23))="IDF_EQUATION",Inputs!$B$3/((L81+Inputs!$B$4)^Inputs!$B$5),INDEX(IDF_Station!$B$3:$G$11,IFERROR(MATCH(L81,IDF_Station!$A$3:$A$11,1),1),MATCH(Inputs!$B$24,IDF_Station!$B$2:$G$2,0))))</f>
        <v/>
      </c>
      <c r="X81" s="25" t="str">
        <f aca="false">IF(W81="","",IF(UPPER(TRIM(Inputs!$B$23))="IDF_EQUATION",Inputs!$B$3/((W81+Inputs!$B$4)^Inputs!$B$5),INDEX(IDF_Station!$B$3:$G$11,IFERROR(MATCH(W81,IDF_Station!$A$3:$A$11,1),1),MATCH(Inputs!$B$24,IDF_Station!$B$2:$G$2,0))))</f>
        <v/>
      </c>
    </row>
    <row r="82" customFormat="false" ht="15" hidden="false" customHeight="false" outlineLevel="0" collapsed="false">
      <c r="M82" s="25" t="str">
        <f aca="false">IF(L82="","",IF(UPPER(TRIM(Inputs!$B$23))="IDF_EQUATION",Inputs!$B$3/((L82+Inputs!$B$4)^Inputs!$B$5),INDEX(IDF_Station!$B$3:$G$11,IFERROR(MATCH(L82,IDF_Station!$A$3:$A$11,1),1),MATCH(Inputs!$B$24,IDF_Station!$B$2:$G$2,0))))</f>
        <v/>
      </c>
      <c r="X82" s="25" t="str">
        <f aca="false">IF(W82="","",IF(UPPER(TRIM(Inputs!$B$23))="IDF_EQUATION",Inputs!$B$3/((W82+Inputs!$B$4)^Inputs!$B$5),INDEX(IDF_Station!$B$3:$G$11,IFERROR(MATCH(W82,IDF_Station!$A$3:$A$11,1),1),MATCH(Inputs!$B$24,IDF_Station!$B$2:$G$2,0))))</f>
        <v/>
      </c>
    </row>
    <row r="83" customFormat="false" ht="15" hidden="false" customHeight="false" outlineLevel="0" collapsed="false">
      <c r="M83" s="25" t="str">
        <f aca="false">IF(L83="","",IF(UPPER(TRIM(Inputs!$B$23))="IDF_EQUATION",Inputs!$B$3/((L83+Inputs!$B$4)^Inputs!$B$5),INDEX(IDF_Station!$B$3:$G$11,IFERROR(MATCH(L83,IDF_Station!$A$3:$A$11,1),1),MATCH(Inputs!$B$24,IDF_Station!$B$2:$G$2,0))))</f>
        <v/>
      </c>
      <c r="X83" s="25" t="str">
        <f aca="false">IF(W83="","",IF(UPPER(TRIM(Inputs!$B$23))="IDF_EQUATION",Inputs!$B$3/((W83+Inputs!$B$4)^Inputs!$B$5),INDEX(IDF_Station!$B$3:$G$11,IFERROR(MATCH(W83,IDF_Station!$A$3:$A$11,1),1),MATCH(Inputs!$B$24,IDF_Station!$B$2:$G$2,0))))</f>
        <v/>
      </c>
    </row>
    <row r="84" customFormat="false" ht="15" hidden="false" customHeight="false" outlineLevel="0" collapsed="false">
      <c r="M84" s="25" t="str">
        <f aca="false">IF(L84="","",IF(UPPER(TRIM(Inputs!$B$23))="IDF_EQUATION",Inputs!$B$3/((L84+Inputs!$B$4)^Inputs!$B$5),INDEX(IDF_Station!$B$3:$G$11,IFERROR(MATCH(L84,IDF_Station!$A$3:$A$11,1),1),MATCH(Inputs!$B$24,IDF_Station!$B$2:$G$2,0))))</f>
        <v/>
      </c>
      <c r="X84" s="25" t="str">
        <f aca="false">IF(W84="","",IF(UPPER(TRIM(Inputs!$B$23))="IDF_EQUATION",Inputs!$B$3/((W84+Inputs!$B$4)^Inputs!$B$5),INDEX(IDF_Station!$B$3:$G$11,IFERROR(MATCH(W84,IDF_Station!$A$3:$A$11,1),1),MATCH(Inputs!$B$24,IDF_Station!$B$2:$G$2,0))))</f>
        <v/>
      </c>
    </row>
    <row r="85" customFormat="false" ht="15" hidden="false" customHeight="false" outlineLevel="0" collapsed="false">
      <c r="M85" s="25" t="str">
        <f aca="false">IF(L85="","",IF(UPPER(TRIM(Inputs!$B$23))="IDF_EQUATION",Inputs!$B$3/((L85+Inputs!$B$4)^Inputs!$B$5),INDEX(IDF_Station!$B$3:$G$11,IFERROR(MATCH(L85,IDF_Station!$A$3:$A$11,1),1),MATCH(Inputs!$B$24,IDF_Station!$B$2:$G$2,0))))</f>
        <v/>
      </c>
      <c r="X85" s="25" t="str">
        <f aca="false">IF(W85="","",IF(UPPER(TRIM(Inputs!$B$23))="IDF_EQUATION",Inputs!$B$3/((W85+Inputs!$B$4)^Inputs!$B$5),INDEX(IDF_Station!$B$3:$G$11,IFERROR(MATCH(W85,IDF_Station!$A$3:$A$11,1),1),MATCH(Inputs!$B$24,IDF_Station!$B$2:$G$2,0))))</f>
        <v/>
      </c>
    </row>
    <row r="86" customFormat="false" ht="15" hidden="false" customHeight="false" outlineLevel="0" collapsed="false">
      <c r="M86" s="25" t="str">
        <f aca="false">IF(L86="","",IF(UPPER(TRIM(Inputs!$B$23))="IDF_EQUATION",Inputs!$B$3/((L86+Inputs!$B$4)^Inputs!$B$5),INDEX(IDF_Station!$B$3:$G$11,IFERROR(MATCH(L86,IDF_Station!$A$3:$A$11,1),1),MATCH(Inputs!$B$24,IDF_Station!$B$2:$G$2,0))))</f>
        <v/>
      </c>
      <c r="X86" s="25" t="str">
        <f aca="false">IF(W86="","",IF(UPPER(TRIM(Inputs!$B$23))="IDF_EQUATION",Inputs!$B$3/((W86+Inputs!$B$4)^Inputs!$B$5),INDEX(IDF_Station!$B$3:$G$11,IFERROR(MATCH(W86,IDF_Station!$A$3:$A$11,1),1),MATCH(Inputs!$B$24,IDF_Station!$B$2:$G$2,0))))</f>
        <v/>
      </c>
    </row>
    <row r="87" customFormat="false" ht="15" hidden="false" customHeight="false" outlineLevel="0" collapsed="false">
      <c r="M87" s="25" t="str">
        <f aca="false">IF(L87="","",IF(UPPER(TRIM(Inputs!$B$23))="IDF_EQUATION",Inputs!$B$3/((L87+Inputs!$B$4)^Inputs!$B$5),INDEX(IDF_Station!$B$3:$G$11,IFERROR(MATCH(L87,IDF_Station!$A$3:$A$11,1),1),MATCH(Inputs!$B$24,IDF_Station!$B$2:$G$2,0))))</f>
        <v/>
      </c>
      <c r="X87" s="25" t="str">
        <f aca="false">IF(W87="","",IF(UPPER(TRIM(Inputs!$B$23))="IDF_EQUATION",Inputs!$B$3/((W87+Inputs!$B$4)^Inputs!$B$5),INDEX(IDF_Station!$B$3:$G$11,IFERROR(MATCH(W87,IDF_Station!$A$3:$A$11,1),1),MATCH(Inputs!$B$24,IDF_Station!$B$2:$G$2,0))))</f>
        <v/>
      </c>
    </row>
    <row r="88" customFormat="false" ht="15" hidden="false" customHeight="false" outlineLevel="0" collapsed="false">
      <c r="M88" s="25" t="str">
        <f aca="false">IF(L88="","",IF(UPPER(TRIM(Inputs!$B$23))="IDF_EQUATION",Inputs!$B$3/((L88+Inputs!$B$4)^Inputs!$B$5),INDEX(IDF_Station!$B$3:$G$11,IFERROR(MATCH(L88,IDF_Station!$A$3:$A$11,1),1),MATCH(Inputs!$B$24,IDF_Station!$B$2:$G$2,0))))</f>
        <v/>
      </c>
      <c r="X88" s="25" t="str">
        <f aca="false">IF(W88="","",IF(UPPER(TRIM(Inputs!$B$23))="IDF_EQUATION",Inputs!$B$3/((W88+Inputs!$B$4)^Inputs!$B$5),INDEX(IDF_Station!$B$3:$G$11,IFERROR(MATCH(W88,IDF_Station!$A$3:$A$11,1),1),MATCH(Inputs!$B$24,IDF_Station!$B$2:$G$2,0))))</f>
        <v/>
      </c>
    </row>
    <row r="89" customFormat="false" ht="15" hidden="false" customHeight="false" outlineLevel="0" collapsed="false">
      <c r="M89" s="25" t="str">
        <f aca="false">IF(L89="","",IF(UPPER(TRIM(Inputs!$B$23))="IDF_EQUATION",Inputs!$B$3/((L89+Inputs!$B$4)^Inputs!$B$5),INDEX(IDF_Station!$B$3:$G$11,IFERROR(MATCH(L89,IDF_Station!$A$3:$A$11,1),1),MATCH(Inputs!$B$24,IDF_Station!$B$2:$G$2,0))))</f>
        <v/>
      </c>
      <c r="X89" s="25" t="str">
        <f aca="false">IF(W89="","",IF(UPPER(TRIM(Inputs!$B$23))="IDF_EQUATION",Inputs!$B$3/((W89+Inputs!$B$4)^Inputs!$B$5),INDEX(IDF_Station!$B$3:$G$11,IFERROR(MATCH(W89,IDF_Station!$A$3:$A$11,1),1),MATCH(Inputs!$B$24,IDF_Station!$B$2:$G$2,0))))</f>
        <v/>
      </c>
    </row>
    <row r="90" customFormat="false" ht="15" hidden="false" customHeight="false" outlineLevel="0" collapsed="false">
      <c r="M90" s="25" t="str">
        <f aca="false">IF(L90="","",IF(UPPER(TRIM(Inputs!$B$23))="IDF_EQUATION",Inputs!$B$3/((L90+Inputs!$B$4)^Inputs!$B$5),INDEX(IDF_Station!$B$3:$G$11,IFERROR(MATCH(L90,IDF_Station!$A$3:$A$11,1),1),MATCH(Inputs!$B$24,IDF_Station!$B$2:$G$2,0))))</f>
        <v/>
      </c>
      <c r="X90" s="25" t="str">
        <f aca="false">IF(W90="","",IF(UPPER(TRIM(Inputs!$B$23))="IDF_EQUATION",Inputs!$B$3/((W90+Inputs!$B$4)^Inputs!$B$5),INDEX(IDF_Station!$B$3:$G$11,IFERROR(MATCH(W90,IDF_Station!$A$3:$A$11,1),1),MATCH(Inputs!$B$24,IDF_Station!$B$2:$G$2,0))))</f>
        <v/>
      </c>
    </row>
    <row r="91" customFormat="false" ht="15" hidden="false" customHeight="false" outlineLevel="0" collapsed="false">
      <c r="M91" s="25" t="str">
        <f aca="false">IF(L91="","",IF(UPPER(TRIM(Inputs!$B$23))="IDF_EQUATION",Inputs!$B$3/((L91+Inputs!$B$4)^Inputs!$B$5),INDEX(IDF_Station!$B$3:$G$11,IFERROR(MATCH(L91,IDF_Station!$A$3:$A$11,1),1),MATCH(Inputs!$B$24,IDF_Station!$B$2:$G$2,0))))</f>
        <v/>
      </c>
      <c r="X91" s="25" t="str">
        <f aca="false">IF(W91="","",IF(UPPER(TRIM(Inputs!$B$23))="IDF_EQUATION",Inputs!$B$3/((W91+Inputs!$B$4)^Inputs!$B$5),INDEX(IDF_Station!$B$3:$G$11,IFERROR(MATCH(W91,IDF_Station!$A$3:$A$11,1),1),MATCH(Inputs!$B$24,IDF_Station!$B$2:$G$2,0))))</f>
        <v/>
      </c>
    </row>
    <row r="92" customFormat="false" ht="15" hidden="false" customHeight="false" outlineLevel="0" collapsed="false">
      <c r="M92" s="25" t="str">
        <f aca="false">IF(L92="","",IF(UPPER(TRIM(Inputs!$B$23))="IDF_EQUATION",Inputs!$B$3/((L92+Inputs!$B$4)^Inputs!$B$5),INDEX(IDF_Station!$B$3:$G$11,IFERROR(MATCH(L92,IDF_Station!$A$3:$A$11,1),1),MATCH(Inputs!$B$24,IDF_Station!$B$2:$G$2,0))))</f>
        <v/>
      </c>
      <c r="X92" s="25" t="str">
        <f aca="false">IF(W92="","",IF(UPPER(TRIM(Inputs!$B$23))="IDF_EQUATION",Inputs!$B$3/((W92+Inputs!$B$4)^Inputs!$B$5),INDEX(IDF_Station!$B$3:$G$11,IFERROR(MATCH(W92,IDF_Station!$A$3:$A$11,1),1),MATCH(Inputs!$B$24,IDF_Station!$B$2:$G$2,0))))</f>
        <v/>
      </c>
    </row>
    <row r="93" customFormat="false" ht="15" hidden="false" customHeight="false" outlineLevel="0" collapsed="false">
      <c r="M93" s="25" t="str">
        <f aca="false">IF(L93="","",IF(UPPER(TRIM(Inputs!$B$23))="IDF_EQUATION",Inputs!$B$3/((L93+Inputs!$B$4)^Inputs!$B$5),INDEX(IDF_Station!$B$3:$G$11,IFERROR(MATCH(L93,IDF_Station!$A$3:$A$11,1),1),MATCH(Inputs!$B$24,IDF_Station!$B$2:$G$2,0))))</f>
        <v/>
      </c>
      <c r="X93" s="25" t="str">
        <f aca="false">IF(W93="","",IF(UPPER(TRIM(Inputs!$B$23))="IDF_EQUATION",Inputs!$B$3/((W93+Inputs!$B$4)^Inputs!$B$5),INDEX(IDF_Station!$B$3:$G$11,IFERROR(MATCH(W93,IDF_Station!$A$3:$A$11,1),1),MATCH(Inputs!$B$24,IDF_Station!$B$2:$G$2,0))))</f>
        <v/>
      </c>
    </row>
    <row r="94" customFormat="false" ht="15" hidden="false" customHeight="false" outlineLevel="0" collapsed="false">
      <c r="M94" s="25" t="str">
        <f aca="false">IF(L94="","",IF(UPPER(TRIM(Inputs!$B$23))="IDF_EQUATION",Inputs!$B$3/((L94+Inputs!$B$4)^Inputs!$B$5),INDEX(IDF_Station!$B$3:$G$11,IFERROR(MATCH(L94,IDF_Station!$A$3:$A$11,1),1),MATCH(Inputs!$B$24,IDF_Station!$B$2:$G$2,0))))</f>
        <v/>
      </c>
      <c r="X94" s="25" t="str">
        <f aca="false">IF(W94="","",IF(UPPER(TRIM(Inputs!$B$23))="IDF_EQUATION",Inputs!$B$3/((W94+Inputs!$B$4)^Inputs!$B$5),INDEX(IDF_Station!$B$3:$G$11,IFERROR(MATCH(W94,IDF_Station!$A$3:$A$11,1),1),MATCH(Inputs!$B$24,IDF_Station!$B$2:$G$2,0))))</f>
        <v/>
      </c>
    </row>
    <row r="95" customFormat="false" ht="15" hidden="false" customHeight="false" outlineLevel="0" collapsed="false">
      <c r="M95" s="25" t="str">
        <f aca="false">IF(L95="","",IF(UPPER(TRIM(Inputs!$B$23))="IDF_EQUATION",Inputs!$B$3/((L95+Inputs!$B$4)^Inputs!$B$5),INDEX(IDF_Station!$B$3:$G$11,IFERROR(MATCH(L95,IDF_Station!$A$3:$A$11,1),1),MATCH(Inputs!$B$24,IDF_Station!$B$2:$G$2,0))))</f>
        <v/>
      </c>
      <c r="X95" s="25" t="str">
        <f aca="false">IF(W95="","",IF(UPPER(TRIM(Inputs!$B$23))="IDF_EQUATION",Inputs!$B$3/((W95+Inputs!$B$4)^Inputs!$B$5),INDEX(IDF_Station!$B$3:$G$11,IFERROR(MATCH(W95,IDF_Station!$A$3:$A$11,1),1),MATCH(Inputs!$B$24,IDF_Station!$B$2:$G$2,0))))</f>
        <v/>
      </c>
    </row>
    <row r="96" customFormat="false" ht="15" hidden="false" customHeight="false" outlineLevel="0" collapsed="false">
      <c r="M96" s="25" t="str">
        <f aca="false">IF(L96="","",IF(UPPER(TRIM(Inputs!$B$23))="IDF_EQUATION",Inputs!$B$3/((L96+Inputs!$B$4)^Inputs!$B$5),INDEX(IDF_Station!$B$3:$G$11,IFERROR(MATCH(L96,IDF_Station!$A$3:$A$11,1),1),MATCH(Inputs!$B$24,IDF_Station!$B$2:$G$2,0))))</f>
        <v/>
      </c>
      <c r="X96" s="25" t="str">
        <f aca="false">IF(W96="","",IF(UPPER(TRIM(Inputs!$B$23))="IDF_EQUATION",Inputs!$B$3/((W96+Inputs!$B$4)^Inputs!$B$5),INDEX(IDF_Station!$B$3:$G$11,IFERROR(MATCH(W96,IDF_Station!$A$3:$A$11,1),1),MATCH(Inputs!$B$24,IDF_Station!$B$2:$G$2,0))))</f>
        <v/>
      </c>
    </row>
    <row r="97" customFormat="false" ht="15" hidden="false" customHeight="false" outlineLevel="0" collapsed="false">
      <c r="M97" s="25" t="str">
        <f aca="false">IF(L97="","",IF(UPPER(TRIM(Inputs!$B$23))="IDF_EQUATION",Inputs!$B$3/((L97+Inputs!$B$4)^Inputs!$B$5),INDEX(IDF_Station!$B$3:$G$11,IFERROR(MATCH(L97,IDF_Station!$A$3:$A$11,1),1),MATCH(Inputs!$B$24,IDF_Station!$B$2:$G$2,0))))</f>
        <v/>
      </c>
      <c r="X97" s="25" t="str">
        <f aca="false">IF(W97="","",IF(UPPER(TRIM(Inputs!$B$23))="IDF_EQUATION",Inputs!$B$3/((W97+Inputs!$B$4)^Inputs!$B$5),INDEX(IDF_Station!$B$3:$G$11,IFERROR(MATCH(W97,IDF_Station!$A$3:$A$11,1),1),MATCH(Inputs!$B$24,IDF_Station!$B$2:$G$2,0))))</f>
        <v/>
      </c>
    </row>
    <row r="98" customFormat="false" ht="15" hidden="false" customHeight="false" outlineLevel="0" collapsed="false">
      <c r="M98" s="25" t="str">
        <f aca="false">IF(L98="","",IF(UPPER(TRIM(Inputs!$B$23))="IDF_EQUATION",Inputs!$B$3/((L98+Inputs!$B$4)^Inputs!$B$5),INDEX(IDF_Station!$B$3:$G$11,IFERROR(MATCH(L98,IDF_Station!$A$3:$A$11,1),1),MATCH(Inputs!$B$24,IDF_Station!$B$2:$G$2,0))))</f>
        <v/>
      </c>
      <c r="X98" s="25" t="str">
        <f aca="false">IF(W98="","",IF(UPPER(TRIM(Inputs!$B$23))="IDF_EQUATION",Inputs!$B$3/((W98+Inputs!$B$4)^Inputs!$B$5),INDEX(IDF_Station!$B$3:$G$11,IFERROR(MATCH(W98,IDF_Station!$A$3:$A$11,1),1),MATCH(Inputs!$B$24,IDF_Station!$B$2:$G$2,0))))</f>
        <v/>
      </c>
    </row>
    <row r="99" customFormat="false" ht="15" hidden="false" customHeight="false" outlineLevel="0" collapsed="false">
      <c r="M99" s="25" t="str">
        <f aca="false">IF(L99="","",IF(UPPER(TRIM(Inputs!$B$23))="IDF_EQUATION",Inputs!$B$3/((L99+Inputs!$B$4)^Inputs!$B$5),INDEX(IDF_Station!$B$3:$G$11,IFERROR(MATCH(L99,IDF_Station!$A$3:$A$11,1),1),MATCH(Inputs!$B$24,IDF_Station!$B$2:$G$2,0))))</f>
        <v/>
      </c>
      <c r="X99" s="25" t="str">
        <f aca="false">IF(W99="","",IF(UPPER(TRIM(Inputs!$B$23))="IDF_EQUATION",Inputs!$B$3/((W99+Inputs!$B$4)^Inputs!$B$5),INDEX(IDF_Station!$B$3:$G$11,IFERROR(MATCH(W99,IDF_Station!$A$3:$A$11,1),1),MATCH(Inputs!$B$24,IDF_Station!$B$2:$G$2,0))))</f>
        <v/>
      </c>
    </row>
    <row r="100" customFormat="false" ht="15" hidden="false" customHeight="false" outlineLevel="0" collapsed="false">
      <c r="M100" s="25" t="str">
        <f aca="false">IF(L100="","",IF(UPPER(TRIM(Inputs!$B$23))="IDF_EQUATION",Inputs!$B$3/((L100+Inputs!$B$4)^Inputs!$B$5),INDEX(IDF_Station!$B$3:$G$11,IFERROR(MATCH(L100,IDF_Station!$A$3:$A$11,1),1),MATCH(Inputs!$B$24,IDF_Station!$B$2:$G$2,0))))</f>
        <v/>
      </c>
      <c r="X100" s="25" t="str">
        <f aca="false">IF(W100="","",IF(UPPER(TRIM(Inputs!$B$23))="IDF_EQUATION",Inputs!$B$3/((W100+Inputs!$B$4)^Inputs!$B$5),INDEX(IDF_Station!$B$3:$G$11,IFERROR(MATCH(W100,IDF_Station!$A$3:$A$11,1),1),MATCH(Inputs!$B$24,IDF_Station!$B$2:$G$2,0))))</f>
        <v/>
      </c>
    </row>
    <row r="101" customFormat="false" ht="15" hidden="false" customHeight="false" outlineLevel="0" collapsed="false">
      <c r="M101" s="25" t="str">
        <f aca="false">IF(L101="","",IF(UPPER(TRIM(Inputs!$B$23))="IDF_EQUATION",Inputs!$B$3/((L101+Inputs!$B$4)^Inputs!$B$5),INDEX(IDF_Station!$B$3:$G$11,IFERROR(MATCH(L101,IDF_Station!$A$3:$A$11,1),1),MATCH(Inputs!$B$24,IDF_Station!$B$2:$G$2,0))))</f>
        <v/>
      </c>
      <c r="X101" s="25" t="str">
        <f aca="false">IF(W101="","",IF(UPPER(TRIM(Inputs!$B$23))="IDF_EQUATION",Inputs!$B$3/((W101+Inputs!$B$4)^Inputs!$B$5),INDEX(IDF_Station!$B$3:$G$11,IFERROR(MATCH(W101,IDF_Station!$A$3:$A$11,1),1),MATCH(Inputs!$B$24,IDF_Station!$B$2:$G$2,0))))</f>
        <v/>
      </c>
    </row>
    <row r="102" customFormat="false" ht="15" hidden="false" customHeight="false" outlineLevel="0" collapsed="false">
      <c r="M102" s="25" t="str">
        <f aca="false">IF(L102="","",IF(UPPER(TRIM(Inputs!$B$23))="IDF_EQUATION",Inputs!$B$3/((L102+Inputs!$B$4)^Inputs!$B$5),INDEX(IDF_Station!$B$3:$G$11,IFERROR(MATCH(L102,IDF_Station!$A$3:$A$11,1),1),MATCH(Inputs!$B$24,IDF_Station!$B$2:$G$2,0))))</f>
        <v/>
      </c>
      <c r="X102" s="25" t="str">
        <f aca="false">IF(W102="","",IF(UPPER(TRIM(Inputs!$B$23))="IDF_EQUATION",Inputs!$B$3/((W102+Inputs!$B$4)^Inputs!$B$5),INDEX(IDF_Station!$B$3:$G$11,IFERROR(MATCH(W102,IDF_Station!$A$3:$A$11,1),1),MATCH(Inputs!$B$24,IDF_Station!$B$2:$G$2,0))))</f>
        <v/>
      </c>
    </row>
    <row r="103" customFormat="false" ht="15" hidden="false" customHeight="false" outlineLevel="0" collapsed="false">
      <c r="M103" s="25" t="str">
        <f aca="false">IF(L103="","",IF(UPPER(TRIM(Inputs!$B$23))="IDF_EQUATION",Inputs!$B$3/((L103+Inputs!$B$4)^Inputs!$B$5),INDEX(IDF_Station!$B$3:$G$11,IFERROR(MATCH(L103,IDF_Station!$A$3:$A$11,1),1),MATCH(Inputs!$B$24,IDF_Station!$B$2:$G$2,0))))</f>
        <v/>
      </c>
      <c r="X103" s="25" t="str">
        <f aca="false">IF(W103="","",IF(UPPER(TRIM(Inputs!$B$23))="IDF_EQUATION",Inputs!$B$3/((W103+Inputs!$B$4)^Inputs!$B$5),INDEX(IDF_Station!$B$3:$G$11,IFERROR(MATCH(W103,IDF_Station!$A$3:$A$11,1),1),MATCH(Inputs!$B$24,IDF_Station!$B$2:$G$2,0))))</f>
        <v/>
      </c>
    </row>
    <row r="104" customFormat="false" ht="15" hidden="false" customHeight="false" outlineLevel="0" collapsed="false">
      <c r="M104" s="25" t="str">
        <f aca="false">IF(L104="","",IF(UPPER(TRIM(Inputs!$B$23))="IDF_EQUATION",Inputs!$B$3/((L104+Inputs!$B$4)^Inputs!$B$5),INDEX(IDF_Station!$B$3:$G$11,IFERROR(MATCH(L104,IDF_Station!$A$3:$A$11,1),1),MATCH(Inputs!$B$24,IDF_Station!$B$2:$G$2,0))))</f>
        <v/>
      </c>
      <c r="X104" s="25" t="str">
        <f aca="false">IF(W104="","",IF(UPPER(TRIM(Inputs!$B$23))="IDF_EQUATION",Inputs!$B$3/((W104+Inputs!$B$4)^Inputs!$B$5),INDEX(IDF_Station!$B$3:$G$11,IFERROR(MATCH(W104,IDF_Station!$A$3:$A$11,1),1),MATCH(Inputs!$B$24,IDF_Station!$B$2:$G$2,0))))</f>
        <v/>
      </c>
    </row>
    <row r="105" customFormat="false" ht="15" hidden="false" customHeight="false" outlineLevel="0" collapsed="false">
      <c r="M105" s="25" t="str">
        <f aca="false">IF(L105="","",IF(UPPER(TRIM(Inputs!$B$23))="IDF_EQUATION",Inputs!$B$3/((L105+Inputs!$B$4)^Inputs!$B$5),INDEX(IDF_Station!$B$3:$G$11,IFERROR(MATCH(L105,IDF_Station!$A$3:$A$11,1),1),MATCH(Inputs!$B$24,IDF_Station!$B$2:$G$2,0))))</f>
        <v/>
      </c>
      <c r="X105" s="25" t="str">
        <f aca="false">IF(W105="","",IF(UPPER(TRIM(Inputs!$B$23))="IDF_EQUATION",Inputs!$B$3/((W105+Inputs!$B$4)^Inputs!$B$5),INDEX(IDF_Station!$B$3:$G$11,IFERROR(MATCH(W105,IDF_Station!$A$3:$A$11,1),1),MATCH(Inputs!$B$24,IDF_Station!$B$2:$G$2,0))))</f>
        <v/>
      </c>
    </row>
    <row r="106" customFormat="false" ht="15" hidden="false" customHeight="false" outlineLevel="0" collapsed="false">
      <c r="M106" s="25" t="str">
        <f aca="false">IF(L106="","",IF(UPPER(TRIM(Inputs!$B$23))="IDF_EQUATION",Inputs!$B$3/((L106+Inputs!$B$4)^Inputs!$B$5),INDEX(IDF_Station!$B$3:$G$11,IFERROR(MATCH(L106,IDF_Station!$A$3:$A$11,1),1),MATCH(Inputs!$B$24,IDF_Station!$B$2:$G$2,0))))</f>
        <v/>
      </c>
      <c r="X106" s="25" t="str">
        <f aca="false">IF(W106="","",IF(UPPER(TRIM(Inputs!$B$23))="IDF_EQUATION",Inputs!$B$3/((W106+Inputs!$B$4)^Inputs!$B$5),INDEX(IDF_Station!$B$3:$G$11,IFERROR(MATCH(W106,IDF_Station!$A$3:$A$11,1),1),MATCH(Inputs!$B$24,IDF_Station!$B$2:$G$2,0))))</f>
        <v/>
      </c>
    </row>
    <row r="107" customFormat="false" ht="15" hidden="false" customHeight="false" outlineLevel="0" collapsed="false">
      <c r="M107" s="25" t="str">
        <f aca="false">IF(L107="","",IF(UPPER(TRIM(Inputs!$B$23))="IDF_EQUATION",Inputs!$B$3/((L107+Inputs!$B$4)^Inputs!$B$5),INDEX(IDF_Station!$B$3:$G$11,IFERROR(MATCH(L107,IDF_Station!$A$3:$A$11,1),1),MATCH(Inputs!$B$24,IDF_Station!$B$2:$G$2,0))))</f>
        <v/>
      </c>
      <c r="X107" s="25" t="str">
        <f aca="false">IF(W107="","",IF(UPPER(TRIM(Inputs!$B$23))="IDF_EQUATION",Inputs!$B$3/((W107+Inputs!$B$4)^Inputs!$B$5),INDEX(IDF_Station!$B$3:$G$11,IFERROR(MATCH(W107,IDF_Station!$A$3:$A$11,1),1),MATCH(Inputs!$B$24,IDF_Station!$B$2:$G$2,0))))</f>
        <v/>
      </c>
    </row>
    <row r="108" customFormat="false" ht="15" hidden="false" customHeight="false" outlineLevel="0" collapsed="false">
      <c r="M108" s="25" t="str">
        <f aca="false">IF(L108="","",IF(UPPER(TRIM(Inputs!$B$23))="IDF_EQUATION",Inputs!$B$3/((L108+Inputs!$B$4)^Inputs!$B$5),INDEX(IDF_Station!$B$3:$G$11,IFERROR(MATCH(L108,IDF_Station!$A$3:$A$11,1),1),MATCH(Inputs!$B$24,IDF_Station!$B$2:$G$2,0))))</f>
        <v/>
      </c>
      <c r="X108" s="25" t="str">
        <f aca="false">IF(W108="","",IF(UPPER(TRIM(Inputs!$B$23))="IDF_EQUATION",Inputs!$B$3/((W108+Inputs!$B$4)^Inputs!$B$5),INDEX(IDF_Station!$B$3:$G$11,IFERROR(MATCH(W108,IDF_Station!$A$3:$A$11,1),1),MATCH(Inputs!$B$24,IDF_Station!$B$2:$G$2,0))))</f>
        <v/>
      </c>
    </row>
    <row r="109" customFormat="false" ht="15" hidden="false" customHeight="false" outlineLevel="0" collapsed="false">
      <c r="M109" s="25" t="str">
        <f aca="false">IF(L109="","",IF(UPPER(TRIM(Inputs!$B$23))="IDF_EQUATION",Inputs!$B$3/((L109+Inputs!$B$4)^Inputs!$B$5),INDEX(IDF_Station!$B$3:$G$11,IFERROR(MATCH(L109,IDF_Station!$A$3:$A$11,1),1),MATCH(Inputs!$B$24,IDF_Station!$B$2:$G$2,0))))</f>
        <v/>
      </c>
      <c r="X109" s="25" t="str">
        <f aca="false">IF(W109="","",IF(UPPER(TRIM(Inputs!$B$23))="IDF_EQUATION",Inputs!$B$3/((W109+Inputs!$B$4)^Inputs!$B$5),INDEX(IDF_Station!$B$3:$G$11,IFERROR(MATCH(W109,IDF_Station!$A$3:$A$11,1),1),MATCH(Inputs!$B$24,IDF_Station!$B$2:$G$2,0))))</f>
        <v/>
      </c>
    </row>
    <row r="110" customFormat="false" ht="15" hidden="false" customHeight="false" outlineLevel="0" collapsed="false">
      <c r="M110" s="25" t="str">
        <f aca="false">IF(L110="","",IF(UPPER(TRIM(Inputs!$B$23))="IDF_EQUATION",Inputs!$B$3/((L110+Inputs!$B$4)^Inputs!$B$5),INDEX(IDF_Station!$B$3:$G$11,IFERROR(MATCH(L110,IDF_Station!$A$3:$A$11,1),1),MATCH(Inputs!$B$24,IDF_Station!$B$2:$G$2,0))))</f>
        <v/>
      </c>
      <c r="X110" s="25" t="str">
        <f aca="false">IF(W110="","",IF(UPPER(TRIM(Inputs!$B$23))="IDF_EQUATION",Inputs!$B$3/((W110+Inputs!$B$4)^Inputs!$B$5),INDEX(IDF_Station!$B$3:$G$11,IFERROR(MATCH(W110,IDF_Station!$A$3:$A$11,1),1),MATCH(Inputs!$B$24,IDF_Station!$B$2:$G$2,0))))</f>
        <v/>
      </c>
    </row>
    <row r="111" customFormat="false" ht="15" hidden="false" customHeight="false" outlineLevel="0" collapsed="false">
      <c r="M111" s="25" t="str">
        <f aca="false">IF(L111="","",IF(UPPER(TRIM(Inputs!$B$23))="IDF_EQUATION",Inputs!$B$3/((L111+Inputs!$B$4)^Inputs!$B$5),INDEX(IDF_Station!$B$3:$G$11,IFERROR(MATCH(L111,IDF_Station!$A$3:$A$11,1),1),MATCH(Inputs!$B$24,IDF_Station!$B$2:$G$2,0))))</f>
        <v/>
      </c>
      <c r="X111" s="25" t="str">
        <f aca="false">IF(W111="","",IF(UPPER(TRIM(Inputs!$B$23))="IDF_EQUATION",Inputs!$B$3/((W111+Inputs!$B$4)^Inputs!$B$5),INDEX(IDF_Station!$B$3:$G$11,IFERROR(MATCH(W111,IDF_Station!$A$3:$A$11,1),1),MATCH(Inputs!$B$24,IDF_Station!$B$2:$G$2,0))))</f>
        <v/>
      </c>
    </row>
    <row r="112" customFormat="false" ht="15" hidden="false" customHeight="false" outlineLevel="0" collapsed="false">
      <c r="M112" s="25" t="str">
        <f aca="false">IF(L112="","",IF(UPPER(TRIM(Inputs!$B$23))="IDF_EQUATION",Inputs!$B$3/((L112+Inputs!$B$4)^Inputs!$B$5),INDEX(IDF_Station!$B$3:$G$11,IFERROR(MATCH(L112,IDF_Station!$A$3:$A$11,1),1),MATCH(Inputs!$B$24,IDF_Station!$B$2:$G$2,0))))</f>
        <v/>
      </c>
      <c r="X112" s="25" t="str">
        <f aca="false">IF(W112="","",IF(UPPER(TRIM(Inputs!$B$23))="IDF_EQUATION",Inputs!$B$3/((W112+Inputs!$B$4)^Inputs!$B$5),INDEX(IDF_Station!$B$3:$G$11,IFERROR(MATCH(W112,IDF_Station!$A$3:$A$11,1),1),MATCH(Inputs!$B$24,IDF_Station!$B$2:$G$2,0))))</f>
        <v/>
      </c>
    </row>
    <row r="113" customFormat="false" ht="15" hidden="false" customHeight="false" outlineLevel="0" collapsed="false">
      <c r="M113" s="25" t="str">
        <f aca="false">IF(L113="","",IF(UPPER(TRIM(Inputs!$B$23))="IDF_EQUATION",Inputs!$B$3/((L113+Inputs!$B$4)^Inputs!$B$5),INDEX(IDF_Station!$B$3:$G$11,IFERROR(MATCH(L113,IDF_Station!$A$3:$A$11,1),1),MATCH(Inputs!$B$24,IDF_Station!$B$2:$G$2,0))))</f>
        <v/>
      </c>
      <c r="X113" s="25" t="str">
        <f aca="false">IF(W113="","",IF(UPPER(TRIM(Inputs!$B$23))="IDF_EQUATION",Inputs!$B$3/((W113+Inputs!$B$4)^Inputs!$B$5),INDEX(IDF_Station!$B$3:$G$11,IFERROR(MATCH(W113,IDF_Station!$A$3:$A$11,1),1),MATCH(Inputs!$B$24,IDF_Station!$B$2:$G$2,0))))</f>
        <v/>
      </c>
    </row>
    <row r="114" customFormat="false" ht="15" hidden="false" customHeight="false" outlineLevel="0" collapsed="false">
      <c r="M114" s="25" t="str">
        <f aca="false">IF(L114="","",IF(UPPER(TRIM(Inputs!$B$23))="IDF_EQUATION",Inputs!$B$3/((L114+Inputs!$B$4)^Inputs!$B$5),INDEX(IDF_Station!$B$3:$G$11,IFERROR(MATCH(L114,IDF_Station!$A$3:$A$11,1),1),MATCH(Inputs!$B$24,IDF_Station!$B$2:$G$2,0))))</f>
        <v/>
      </c>
      <c r="X114" s="25" t="str">
        <f aca="false">IF(W114="","",IF(UPPER(TRIM(Inputs!$B$23))="IDF_EQUATION",Inputs!$B$3/((W114+Inputs!$B$4)^Inputs!$B$5),INDEX(IDF_Station!$B$3:$G$11,IFERROR(MATCH(W114,IDF_Station!$A$3:$A$11,1),1),MATCH(Inputs!$B$24,IDF_Station!$B$2:$G$2,0))))</f>
        <v/>
      </c>
    </row>
    <row r="115" customFormat="false" ht="15" hidden="false" customHeight="false" outlineLevel="0" collapsed="false">
      <c r="M115" s="25" t="str">
        <f aca="false">IF(L115="","",IF(UPPER(TRIM(Inputs!$B$23))="IDF_EQUATION",Inputs!$B$3/((L115+Inputs!$B$4)^Inputs!$B$5),INDEX(IDF_Station!$B$3:$G$11,IFERROR(MATCH(L115,IDF_Station!$A$3:$A$11,1),1),MATCH(Inputs!$B$24,IDF_Station!$B$2:$G$2,0))))</f>
        <v/>
      </c>
      <c r="X115" s="25" t="str">
        <f aca="false">IF(W115="","",IF(UPPER(TRIM(Inputs!$B$23))="IDF_EQUATION",Inputs!$B$3/((W115+Inputs!$B$4)^Inputs!$B$5),INDEX(IDF_Station!$B$3:$G$11,IFERROR(MATCH(W115,IDF_Station!$A$3:$A$11,1),1),MATCH(Inputs!$B$24,IDF_Station!$B$2:$G$2,0))))</f>
        <v/>
      </c>
    </row>
    <row r="116" customFormat="false" ht="15" hidden="false" customHeight="false" outlineLevel="0" collapsed="false">
      <c r="M116" s="25" t="str">
        <f aca="false">IF(L116="","",IF(UPPER(TRIM(Inputs!$B$23))="IDF_EQUATION",Inputs!$B$3/((L116+Inputs!$B$4)^Inputs!$B$5),INDEX(IDF_Station!$B$3:$G$11,IFERROR(MATCH(L116,IDF_Station!$A$3:$A$11,1),1),MATCH(Inputs!$B$24,IDF_Station!$B$2:$G$2,0))))</f>
        <v/>
      </c>
      <c r="X116" s="25" t="str">
        <f aca="false">IF(W116="","",IF(UPPER(TRIM(Inputs!$B$23))="IDF_EQUATION",Inputs!$B$3/((W116+Inputs!$B$4)^Inputs!$B$5),INDEX(IDF_Station!$B$3:$G$11,IFERROR(MATCH(W116,IDF_Station!$A$3:$A$11,1),1),MATCH(Inputs!$B$24,IDF_Station!$B$2:$G$2,0))))</f>
        <v/>
      </c>
    </row>
    <row r="117" customFormat="false" ht="15" hidden="false" customHeight="false" outlineLevel="0" collapsed="false">
      <c r="M117" s="25" t="str">
        <f aca="false">IF(L117="","",IF(UPPER(TRIM(Inputs!$B$23))="IDF_EQUATION",Inputs!$B$3/((L117+Inputs!$B$4)^Inputs!$B$5),INDEX(IDF_Station!$B$3:$G$11,IFERROR(MATCH(L117,IDF_Station!$A$3:$A$11,1),1),MATCH(Inputs!$B$24,IDF_Station!$B$2:$G$2,0))))</f>
        <v/>
      </c>
      <c r="X117" s="25" t="str">
        <f aca="false">IF(W117="","",IF(UPPER(TRIM(Inputs!$B$23))="IDF_EQUATION",Inputs!$B$3/((W117+Inputs!$B$4)^Inputs!$B$5),INDEX(IDF_Station!$B$3:$G$11,IFERROR(MATCH(W117,IDF_Station!$A$3:$A$11,1),1),MATCH(Inputs!$B$24,IDF_Station!$B$2:$G$2,0))))</f>
        <v/>
      </c>
    </row>
    <row r="118" customFormat="false" ht="15" hidden="false" customHeight="false" outlineLevel="0" collapsed="false">
      <c r="M118" s="25" t="str">
        <f aca="false">IF(L118="","",IF(UPPER(TRIM(Inputs!$B$23))="IDF_EQUATION",Inputs!$B$3/((L118+Inputs!$B$4)^Inputs!$B$5),INDEX(IDF_Station!$B$3:$G$11,IFERROR(MATCH(L118,IDF_Station!$A$3:$A$11,1),1),MATCH(Inputs!$B$24,IDF_Station!$B$2:$G$2,0))))</f>
        <v/>
      </c>
      <c r="X118" s="25" t="str">
        <f aca="false">IF(W118="","",IF(UPPER(TRIM(Inputs!$B$23))="IDF_EQUATION",Inputs!$B$3/((W118+Inputs!$B$4)^Inputs!$B$5),INDEX(IDF_Station!$B$3:$G$11,IFERROR(MATCH(W118,IDF_Station!$A$3:$A$11,1),1),MATCH(Inputs!$B$24,IDF_Station!$B$2:$G$2,0))))</f>
        <v/>
      </c>
    </row>
    <row r="119" customFormat="false" ht="15" hidden="false" customHeight="false" outlineLevel="0" collapsed="false">
      <c r="M119" s="25" t="str">
        <f aca="false">IF(L119="","",IF(UPPER(TRIM(Inputs!$B$23))="IDF_EQUATION",Inputs!$B$3/((L119+Inputs!$B$4)^Inputs!$B$5),INDEX(IDF_Station!$B$3:$G$11,IFERROR(MATCH(L119,IDF_Station!$A$3:$A$11,1),1),MATCH(Inputs!$B$24,IDF_Station!$B$2:$G$2,0))))</f>
        <v/>
      </c>
      <c r="X119" s="25" t="str">
        <f aca="false">IF(W119="","",IF(UPPER(TRIM(Inputs!$B$23))="IDF_EQUATION",Inputs!$B$3/((W119+Inputs!$B$4)^Inputs!$B$5),INDEX(IDF_Station!$B$3:$G$11,IFERROR(MATCH(W119,IDF_Station!$A$3:$A$11,1),1),MATCH(Inputs!$B$24,IDF_Station!$B$2:$G$2,0))))</f>
        <v/>
      </c>
    </row>
    <row r="120" customFormat="false" ht="15" hidden="false" customHeight="false" outlineLevel="0" collapsed="false">
      <c r="M120" s="25" t="str">
        <f aca="false">IF(L120="","",IF(UPPER(TRIM(Inputs!$B$23))="IDF_EQUATION",Inputs!$B$3/((L120+Inputs!$B$4)^Inputs!$B$5),INDEX(IDF_Station!$B$3:$G$11,IFERROR(MATCH(L120,IDF_Station!$A$3:$A$11,1),1),MATCH(Inputs!$B$24,IDF_Station!$B$2:$G$2,0))))</f>
        <v/>
      </c>
      <c r="X120" s="25" t="str">
        <f aca="false">IF(W120="","",IF(UPPER(TRIM(Inputs!$B$23))="IDF_EQUATION",Inputs!$B$3/((W120+Inputs!$B$4)^Inputs!$B$5),INDEX(IDF_Station!$B$3:$G$11,IFERROR(MATCH(W120,IDF_Station!$A$3:$A$11,1),1),MATCH(Inputs!$B$24,IDF_Station!$B$2:$G$2,0))))</f>
        <v/>
      </c>
    </row>
    <row r="121" customFormat="false" ht="15" hidden="false" customHeight="false" outlineLevel="0" collapsed="false">
      <c r="M121" s="25" t="str">
        <f aca="false">IF(L121="","",IF(UPPER(TRIM(Inputs!$B$23))="IDF_EQUATION",Inputs!$B$3/((L121+Inputs!$B$4)^Inputs!$B$5),INDEX(IDF_Station!$B$3:$G$11,IFERROR(MATCH(L121,IDF_Station!$A$3:$A$11,1),1),MATCH(Inputs!$B$24,IDF_Station!$B$2:$G$2,0))))</f>
        <v/>
      </c>
      <c r="X121" s="25" t="str">
        <f aca="false">IF(W121="","",IF(UPPER(TRIM(Inputs!$B$23))="IDF_EQUATION",Inputs!$B$3/((W121+Inputs!$B$4)^Inputs!$B$5),INDEX(IDF_Station!$B$3:$G$11,IFERROR(MATCH(W121,IDF_Station!$A$3:$A$11,1),1),MATCH(Inputs!$B$24,IDF_Station!$B$2:$G$2,0))))</f>
        <v/>
      </c>
    </row>
    <row r="122" customFormat="false" ht="15" hidden="false" customHeight="false" outlineLevel="0" collapsed="false">
      <c r="M122" s="25" t="str">
        <f aca="false">IF(L122="","",IF(UPPER(TRIM(Inputs!$B$23))="IDF_EQUATION",Inputs!$B$3/((L122+Inputs!$B$4)^Inputs!$B$5),INDEX(IDF_Station!$B$3:$G$11,IFERROR(MATCH(L122,IDF_Station!$A$3:$A$11,1),1),MATCH(Inputs!$B$24,IDF_Station!$B$2:$G$2,0))))</f>
        <v/>
      </c>
      <c r="X122" s="25" t="str">
        <f aca="false">IF(W122="","",IF(UPPER(TRIM(Inputs!$B$23))="IDF_EQUATION",Inputs!$B$3/((W122+Inputs!$B$4)^Inputs!$B$5),INDEX(IDF_Station!$B$3:$G$11,IFERROR(MATCH(W122,IDF_Station!$A$3:$A$11,1),1),MATCH(Inputs!$B$24,IDF_Station!$B$2:$G$2,0))))</f>
        <v/>
      </c>
    </row>
    <row r="123" customFormat="false" ht="15" hidden="false" customHeight="false" outlineLevel="0" collapsed="false">
      <c r="M123" s="25" t="str">
        <f aca="false">IF(L123="","",IF(UPPER(TRIM(Inputs!$B$23))="IDF_EQUATION",Inputs!$B$3/((L123+Inputs!$B$4)^Inputs!$B$5),INDEX(IDF_Station!$B$3:$G$11,IFERROR(MATCH(L123,IDF_Station!$A$3:$A$11,1),1),MATCH(Inputs!$B$24,IDF_Station!$B$2:$G$2,0))))</f>
        <v/>
      </c>
      <c r="X123" s="25" t="str">
        <f aca="false">IF(W123="","",IF(UPPER(TRIM(Inputs!$B$23))="IDF_EQUATION",Inputs!$B$3/((W123+Inputs!$B$4)^Inputs!$B$5),INDEX(IDF_Station!$B$3:$G$11,IFERROR(MATCH(W123,IDF_Station!$A$3:$A$11,1),1),MATCH(Inputs!$B$24,IDF_Station!$B$2:$G$2,0))))</f>
        <v/>
      </c>
    </row>
    <row r="124" customFormat="false" ht="15" hidden="false" customHeight="false" outlineLevel="0" collapsed="false">
      <c r="M124" s="25" t="str">
        <f aca="false">IF(L124="","",IF(UPPER(TRIM(Inputs!$B$23))="IDF_EQUATION",Inputs!$B$3/((L124+Inputs!$B$4)^Inputs!$B$5),INDEX(IDF_Station!$B$3:$G$11,IFERROR(MATCH(L124,IDF_Station!$A$3:$A$11,1),1),MATCH(Inputs!$B$24,IDF_Station!$B$2:$G$2,0))))</f>
        <v/>
      </c>
      <c r="X124" s="25" t="str">
        <f aca="false">IF(W124="","",IF(UPPER(TRIM(Inputs!$B$23))="IDF_EQUATION",Inputs!$B$3/((W124+Inputs!$B$4)^Inputs!$B$5),INDEX(IDF_Station!$B$3:$G$11,IFERROR(MATCH(W124,IDF_Station!$A$3:$A$11,1),1),MATCH(Inputs!$B$24,IDF_Station!$B$2:$G$2,0))))</f>
        <v/>
      </c>
    </row>
    <row r="125" customFormat="false" ht="15" hidden="false" customHeight="false" outlineLevel="0" collapsed="false">
      <c r="M125" s="25" t="str">
        <f aca="false">IF(L125="","",IF(UPPER(TRIM(Inputs!$B$23))="IDF_EQUATION",Inputs!$B$3/((L125+Inputs!$B$4)^Inputs!$B$5),INDEX(IDF_Station!$B$3:$G$11,IFERROR(MATCH(L125,IDF_Station!$A$3:$A$11,1),1),MATCH(Inputs!$B$24,IDF_Station!$B$2:$G$2,0))))</f>
        <v/>
      </c>
      <c r="X125" s="25" t="str">
        <f aca="false">IF(W125="","",IF(UPPER(TRIM(Inputs!$B$23))="IDF_EQUATION",Inputs!$B$3/((W125+Inputs!$B$4)^Inputs!$B$5),INDEX(IDF_Station!$B$3:$G$11,IFERROR(MATCH(W125,IDF_Station!$A$3:$A$11,1),1),MATCH(Inputs!$B$24,IDF_Station!$B$2:$G$2,0))))</f>
        <v/>
      </c>
    </row>
    <row r="126" customFormat="false" ht="15" hidden="false" customHeight="false" outlineLevel="0" collapsed="false">
      <c r="M126" s="25" t="str">
        <f aca="false">IF(L126="","",IF(UPPER(TRIM(Inputs!$B$23))="IDF_EQUATION",Inputs!$B$3/((L126+Inputs!$B$4)^Inputs!$B$5),INDEX(IDF_Station!$B$3:$G$11,IFERROR(MATCH(L126,IDF_Station!$A$3:$A$11,1),1),MATCH(Inputs!$B$24,IDF_Station!$B$2:$G$2,0))))</f>
        <v/>
      </c>
      <c r="X126" s="25" t="str">
        <f aca="false">IF(W126="","",IF(UPPER(TRIM(Inputs!$B$23))="IDF_EQUATION",Inputs!$B$3/((W126+Inputs!$B$4)^Inputs!$B$5),INDEX(IDF_Station!$B$3:$G$11,IFERROR(MATCH(W126,IDF_Station!$A$3:$A$11,1),1),MATCH(Inputs!$B$24,IDF_Station!$B$2:$G$2,0))))</f>
        <v/>
      </c>
    </row>
    <row r="127" customFormat="false" ht="15" hidden="false" customHeight="false" outlineLevel="0" collapsed="false">
      <c r="M127" s="25" t="str">
        <f aca="false">IF(L127="","",IF(UPPER(TRIM(Inputs!$B$23))="IDF_EQUATION",Inputs!$B$3/((L127+Inputs!$B$4)^Inputs!$B$5),INDEX(IDF_Station!$B$3:$G$11,IFERROR(MATCH(L127,IDF_Station!$A$3:$A$11,1),1),MATCH(Inputs!$B$24,IDF_Station!$B$2:$G$2,0))))</f>
        <v/>
      </c>
      <c r="X127" s="25" t="str">
        <f aca="false">IF(W127="","",IF(UPPER(TRIM(Inputs!$B$23))="IDF_EQUATION",Inputs!$B$3/((W127+Inputs!$B$4)^Inputs!$B$5),INDEX(IDF_Station!$B$3:$G$11,IFERROR(MATCH(W127,IDF_Station!$A$3:$A$11,1),1),MATCH(Inputs!$B$24,IDF_Station!$B$2:$G$2,0))))</f>
        <v/>
      </c>
    </row>
    <row r="128" customFormat="false" ht="15" hidden="false" customHeight="false" outlineLevel="0" collapsed="false">
      <c r="M128" s="25" t="str">
        <f aca="false">IF(L128="","",IF(UPPER(TRIM(Inputs!$B$23))="IDF_EQUATION",Inputs!$B$3/((L128+Inputs!$B$4)^Inputs!$B$5),INDEX(IDF_Station!$B$3:$G$11,IFERROR(MATCH(L128,IDF_Station!$A$3:$A$11,1),1),MATCH(Inputs!$B$24,IDF_Station!$B$2:$G$2,0))))</f>
        <v/>
      </c>
      <c r="X128" s="25" t="str">
        <f aca="false">IF(W128="","",IF(UPPER(TRIM(Inputs!$B$23))="IDF_EQUATION",Inputs!$B$3/((W128+Inputs!$B$4)^Inputs!$B$5),INDEX(IDF_Station!$B$3:$G$11,IFERROR(MATCH(W128,IDF_Station!$A$3:$A$11,1),1),MATCH(Inputs!$B$24,IDF_Station!$B$2:$G$2,0))))</f>
        <v/>
      </c>
    </row>
    <row r="129" customFormat="false" ht="15" hidden="false" customHeight="false" outlineLevel="0" collapsed="false">
      <c r="M129" s="25" t="str">
        <f aca="false">IF(L129="","",IF(UPPER(TRIM(Inputs!$B$23))="IDF_EQUATION",Inputs!$B$3/((L129+Inputs!$B$4)^Inputs!$B$5),INDEX(IDF_Station!$B$3:$G$11,IFERROR(MATCH(L129,IDF_Station!$A$3:$A$11,1),1),MATCH(Inputs!$B$24,IDF_Station!$B$2:$G$2,0))))</f>
        <v/>
      </c>
      <c r="X129" s="25" t="str">
        <f aca="false">IF(W129="","",IF(UPPER(TRIM(Inputs!$B$23))="IDF_EQUATION",Inputs!$B$3/((W129+Inputs!$B$4)^Inputs!$B$5),INDEX(IDF_Station!$B$3:$G$11,IFERROR(MATCH(W129,IDF_Station!$A$3:$A$11,1),1),MATCH(Inputs!$B$24,IDF_Station!$B$2:$G$2,0))))</f>
        <v/>
      </c>
    </row>
    <row r="130" customFormat="false" ht="15" hidden="false" customHeight="false" outlineLevel="0" collapsed="false">
      <c r="M130" s="25" t="str">
        <f aca="false">IF(L130="","",IF(UPPER(TRIM(Inputs!$B$23))="IDF_EQUATION",Inputs!$B$3/((L130+Inputs!$B$4)^Inputs!$B$5),INDEX(IDF_Station!$B$3:$G$11,IFERROR(MATCH(L130,IDF_Station!$A$3:$A$11,1),1),MATCH(Inputs!$B$24,IDF_Station!$B$2:$G$2,0))))</f>
        <v/>
      </c>
      <c r="X130" s="25" t="str">
        <f aca="false">IF(W130="","",IF(UPPER(TRIM(Inputs!$B$23))="IDF_EQUATION",Inputs!$B$3/((W130+Inputs!$B$4)^Inputs!$B$5),INDEX(IDF_Station!$B$3:$G$11,IFERROR(MATCH(W130,IDF_Station!$A$3:$A$11,1),1),MATCH(Inputs!$B$24,IDF_Station!$B$2:$G$2,0))))</f>
        <v/>
      </c>
    </row>
    <row r="131" customFormat="false" ht="15" hidden="false" customHeight="false" outlineLevel="0" collapsed="false">
      <c r="M131" s="25" t="str">
        <f aca="false">IF(L131="","",IF(UPPER(TRIM(Inputs!$B$23))="IDF_EQUATION",Inputs!$B$3/((L131+Inputs!$B$4)^Inputs!$B$5),INDEX(IDF_Station!$B$3:$G$11,IFERROR(MATCH(L131,IDF_Station!$A$3:$A$11,1),1),MATCH(Inputs!$B$24,IDF_Station!$B$2:$G$2,0))))</f>
        <v/>
      </c>
      <c r="X131" s="25" t="str">
        <f aca="false">IF(W131="","",IF(UPPER(TRIM(Inputs!$B$23))="IDF_EQUATION",Inputs!$B$3/((W131+Inputs!$B$4)^Inputs!$B$5),INDEX(IDF_Station!$B$3:$G$11,IFERROR(MATCH(W131,IDF_Station!$A$3:$A$11,1),1),MATCH(Inputs!$B$24,IDF_Station!$B$2:$G$2,0))))</f>
        <v/>
      </c>
    </row>
    <row r="132" customFormat="false" ht="15" hidden="false" customHeight="false" outlineLevel="0" collapsed="false">
      <c r="M132" s="25" t="str">
        <f aca="false">IF(L132="","",IF(UPPER(TRIM(Inputs!$B$23))="IDF_EQUATION",Inputs!$B$3/((L132+Inputs!$B$4)^Inputs!$B$5),INDEX(IDF_Station!$B$3:$G$11,IFERROR(MATCH(L132,IDF_Station!$A$3:$A$11,1),1),MATCH(Inputs!$B$24,IDF_Station!$B$2:$G$2,0))))</f>
        <v/>
      </c>
      <c r="X132" s="25" t="str">
        <f aca="false">IF(W132="","",IF(UPPER(TRIM(Inputs!$B$23))="IDF_EQUATION",Inputs!$B$3/((W132+Inputs!$B$4)^Inputs!$B$5),INDEX(IDF_Station!$B$3:$G$11,IFERROR(MATCH(W132,IDF_Station!$A$3:$A$11,1),1),MATCH(Inputs!$B$24,IDF_Station!$B$2:$G$2,0))))</f>
        <v/>
      </c>
    </row>
    <row r="133" customFormat="false" ht="15" hidden="false" customHeight="false" outlineLevel="0" collapsed="false">
      <c r="M133" s="25" t="str">
        <f aca="false">IF(L133="","",IF(UPPER(TRIM(Inputs!$B$23))="IDF_EQUATION",Inputs!$B$3/((L133+Inputs!$B$4)^Inputs!$B$5),INDEX(IDF_Station!$B$3:$G$11,IFERROR(MATCH(L133,IDF_Station!$A$3:$A$11,1),1),MATCH(Inputs!$B$24,IDF_Station!$B$2:$G$2,0))))</f>
        <v/>
      </c>
      <c r="X133" s="25" t="str">
        <f aca="false">IF(W133="","",IF(UPPER(TRIM(Inputs!$B$23))="IDF_EQUATION",Inputs!$B$3/((W133+Inputs!$B$4)^Inputs!$B$5),INDEX(IDF_Station!$B$3:$G$11,IFERROR(MATCH(W133,IDF_Station!$A$3:$A$11,1),1),MATCH(Inputs!$B$24,IDF_Station!$B$2:$G$2,0))))</f>
        <v/>
      </c>
    </row>
    <row r="134" customFormat="false" ht="15" hidden="false" customHeight="false" outlineLevel="0" collapsed="false">
      <c r="M134" s="25" t="str">
        <f aca="false">IF(L134="","",IF(UPPER(TRIM(Inputs!$B$23))="IDF_EQUATION",Inputs!$B$3/((L134+Inputs!$B$4)^Inputs!$B$5),INDEX(IDF_Station!$B$3:$G$11,IFERROR(MATCH(L134,IDF_Station!$A$3:$A$11,1),1),MATCH(Inputs!$B$24,IDF_Station!$B$2:$G$2,0))))</f>
        <v/>
      </c>
      <c r="X134" s="25" t="str">
        <f aca="false">IF(W134="","",IF(UPPER(TRIM(Inputs!$B$23))="IDF_EQUATION",Inputs!$B$3/((W134+Inputs!$B$4)^Inputs!$B$5),INDEX(IDF_Station!$B$3:$G$11,IFERROR(MATCH(W134,IDF_Station!$A$3:$A$11,1),1),MATCH(Inputs!$B$24,IDF_Station!$B$2:$G$2,0))))</f>
        <v/>
      </c>
    </row>
    <row r="135" customFormat="false" ht="15" hidden="false" customHeight="false" outlineLevel="0" collapsed="false">
      <c r="M135" s="25" t="str">
        <f aca="false">IF(L135="","",IF(UPPER(TRIM(Inputs!$B$23))="IDF_EQUATION",Inputs!$B$3/((L135+Inputs!$B$4)^Inputs!$B$5),INDEX(IDF_Station!$B$3:$G$11,IFERROR(MATCH(L135,IDF_Station!$A$3:$A$11,1),1),MATCH(Inputs!$B$24,IDF_Station!$B$2:$G$2,0))))</f>
        <v/>
      </c>
      <c r="X135" s="25" t="str">
        <f aca="false">IF(W135="","",IF(UPPER(TRIM(Inputs!$B$23))="IDF_EQUATION",Inputs!$B$3/((W135+Inputs!$B$4)^Inputs!$B$5),INDEX(IDF_Station!$B$3:$G$11,IFERROR(MATCH(W135,IDF_Station!$A$3:$A$11,1),1),MATCH(Inputs!$B$24,IDF_Station!$B$2:$G$2,0))))</f>
        <v/>
      </c>
    </row>
    <row r="136" customFormat="false" ht="15" hidden="false" customHeight="false" outlineLevel="0" collapsed="false">
      <c r="M136" s="25" t="str">
        <f aca="false">IF(L136="","",IF(UPPER(TRIM(Inputs!$B$23))="IDF_EQUATION",Inputs!$B$3/((L136+Inputs!$B$4)^Inputs!$B$5),INDEX(IDF_Station!$B$3:$G$11,IFERROR(MATCH(L136,IDF_Station!$A$3:$A$11,1),1),MATCH(Inputs!$B$24,IDF_Station!$B$2:$G$2,0))))</f>
        <v/>
      </c>
      <c r="X136" s="25" t="str">
        <f aca="false">IF(W136="","",IF(UPPER(TRIM(Inputs!$B$23))="IDF_EQUATION",Inputs!$B$3/((W136+Inputs!$B$4)^Inputs!$B$5),INDEX(IDF_Station!$B$3:$G$11,IFERROR(MATCH(W136,IDF_Station!$A$3:$A$11,1),1),MATCH(Inputs!$B$24,IDF_Station!$B$2:$G$2,0))))</f>
        <v/>
      </c>
    </row>
    <row r="137" customFormat="false" ht="15" hidden="false" customHeight="false" outlineLevel="0" collapsed="false">
      <c r="M137" s="25" t="str">
        <f aca="false">IF(L137="","",IF(UPPER(TRIM(Inputs!$B$23))="IDF_EQUATION",Inputs!$B$3/((L137+Inputs!$B$4)^Inputs!$B$5),INDEX(IDF_Station!$B$3:$G$11,IFERROR(MATCH(L137,IDF_Station!$A$3:$A$11,1),1),MATCH(Inputs!$B$24,IDF_Station!$B$2:$G$2,0))))</f>
        <v/>
      </c>
      <c r="X137" s="25" t="str">
        <f aca="false">IF(W137="","",IF(UPPER(TRIM(Inputs!$B$23))="IDF_EQUATION",Inputs!$B$3/((W137+Inputs!$B$4)^Inputs!$B$5),INDEX(IDF_Station!$B$3:$G$11,IFERROR(MATCH(W137,IDF_Station!$A$3:$A$11,1),1),MATCH(Inputs!$B$24,IDF_Station!$B$2:$G$2,0))))</f>
        <v/>
      </c>
    </row>
    <row r="138" customFormat="false" ht="15" hidden="false" customHeight="false" outlineLevel="0" collapsed="false">
      <c r="M138" s="25" t="str">
        <f aca="false">IF(L138="","",IF(UPPER(TRIM(Inputs!$B$23))="IDF_EQUATION",Inputs!$B$3/((L138+Inputs!$B$4)^Inputs!$B$5),INDEX(IDF_Station!$B$3:$G$11,IFERROR(MATCH(L138,IDF_Station!$A$3:$A$11,1),1),MATCH(Inputs!$B$24,IDF_Station!$B$2:$G$2,0))))</f>
        <v/>
      </c>
      <c r="X138" s="25" t="str">
        <f aca="false">IF(W138="","",IF(UPPER(TRIM(Inputs!$B$23))="IDF_EQUATION",Inputs!$B$3/((W138+Inputs!$B$4)^Inputs!$B$5),INDEX(IDF_Station!$B$3:$G$11,IFERROR(MATCH(W138,IDF_Station!$A$3:$A$11,1),1),MATCH(Inputs!$B$24,IDF_Station!$B$2:$G$2,0))))</f>
        <v/>
      </c>
    </row>
    <row r="139" customFormat="false" ht="15" hidden="false" customHeight="false" outlineLevel="0" collapsed="false">
      <c r="M139" s="25" t="str">
        <f aca="false">IF(L139="","",IF(UPPER(TRIM(Inputs!$B$23))="IDF_EQUATION",Inputs!$B$3/((L139+Inputs!$B$4)^Inputs!$B$5),INDEX(IDF_Station!$B$3:$G$11,IFERROR(MATCH(L139,IDF_Station!$A$3:$A$11,1),1),MATCH(Inputs!$B$24,IDF_Station!$B$2:$G$2,0))))</f>
        <v/>
      </c>
      <c r="X139" s="25" t="str">
        <f aca="false">IF(W139="","",IF(UPPER(TRIM(Inputs!$B$23))="IDF_EQUATION",Inputs!$B$3/((W139+Inputs!$B$4)^Inputs!$B$5),INDEX(IDF_Station!$B$3:$G$11,IFERROR(MATCH(W139,IDF_Station!$A$3:$A$11,1),1),MATCH(Inputs!$B$24,IDF_Station!$B$2:$G$2,0))))</f>
        <v/>
      </c>
    </row>
    <row r="140" customFormat="false" ht="15" hidden="false" customHeight="false" outlineLevel="0" collapsed="false">
      <c r="M140" s="25" t="str">
        <f aca="false">IF(L140="","",IF(UPPER(TRIM(Inputs!$B$23))="IDF_EQUATION",Inputs!$B$3/((L140+Inputs!$B$4)^Inputs!$B$5),INDEX(IDF_Station!$B$3:$G$11,IFERROR(MATCH(L140,IDF_Station!$A$3:$A$11,1),1),MATCH(Inputs!$B$24,IDF_Station!$B$2:$G$2,0))))</f>
        <v/>
      </c>
      <c r="X140" s="25" t="str">
        <f aca="false">IF(W140="","",IF(UPPER(TRIM(Inputs!$B$23))="IDF_EQUATION",Inputs!$B$3/((W140+Inputs!$B$4)^Inputs!$B$5),INDEX(IDF_Station!$B$3:$G$11,IFERROR(MATCH(W140,IDF_Station!$A$3:$A$11,1),1),MATCH(Inputs!$B$24,IDF_Station!$B$2:$G$2,0))))</f>
        <v/>
      </c>
    </row>
    <row r="141" customFormat="false" ht="15" hidden="false" customHeight="false" outlineLevel="0" collapsed="false">
      <c r="M141" s="25" t="str">
        <f aca="false">IF(L141="","",IF(UPPER(TRIM(Inputs!$B$23))="IDF_EQUATION",Inputs!$B$3/((L141+Inputs!$B$4)^Inputs!$B$5),INDEX(IDF_Station!$B$3:$G$11,IFERROR(MATCH(L141,IDF_Station!$A$3:$A$11,1),1),MATCH(Inputs!$B$24,IDF_Station!$B$2:$G$2,0))))</f>
        <v/>
      </c>
      <c r="X141" s="25" t="str">
        <f aca="false">IF(W141="","",IF(UPPER(TRIM(Inputs!$B$23))="IDF_EQUATION",Inputs!$B$3/((W141+Inputs!$B$4)^Inputs!$B$5),INDEX(IDF_Station!$B$3:$G$11,IFERROR(MATCH(W141,IDF_Station!$A$3:$A$11,1),1),MATCH(Inputs!$B$24,IDF_Station!$B$2:$G$2,0))))</f>
        <v/>
      </c>
    </row>
    <row r="142" customFormat="false" ht="15" hidden="false" customHeight="false" outlineLevel="0" collapsed="false">
      <c r="M142" s="25" t="str">
        <f aca="false">IF(L142="","",IF(UPPER(TRIM(Inputs!$B$23))="IDF_EQUATION",Inputs!$B$3/((L142+Inputs!$B$4)^Inputs!$B$5),INDEX(IDF_Station!$B$3:$G$11,IFERROR(MATCH(L142,IDF_Station!$A$3:$A$11,1),1),MATCH(Inputs!$B$24,IDF_Station!$B$2:$G$2,0))))</f>
        <v/>
      </c>
      <c r="X142" s="25" t="str">
        <f aca="false">IF(W142="","",IF(UPPER(TRIM(Inputs!$B$23))="IDF_EQUATION",Inputs!$B$3/((W142+Inputs!$B$4)^Inputs!$B$5),INDEX(IDF_Station!$B$3:$G$11,IFERROR(MATCH(W142,IDF_Station!$A$3:$A$11,1),1),MATCH(Inputs!$B$24,IDF_Station!$B$2:$G$2,0))))</f>
        <v/>
      </c>
    </row>
    <row r="143" customFormat="false" ht="15" hidden="false" customHeight="false" outlineLevel="0" collapsed="false">
      <c r="M143" s="25" t="str">
        <f aca="false">IF(L143="","",IF(UPPER(TRIM(Inputs!$B$23))="IDF_EQUATION",Inputs!$B$3/((L143+Inputs!$B$4)^Inputs!$B$5),INDEX(IDF_Station!$B$3:$G$11,IFERROR(MATCH(L143,IDF_Station!$A$3:$A$11,1),1),MATCH(Inputs!$B$24,IDF_Station!$B$2:$G$2,0))))</f>
        <v/>
      </c>
      <c r="X143" s="25" t="str">
        <f aca="false">IF(W143="","",IF(UPPER(TRIM(Inputs!$B$23))="IDF_EQUATION",Inputs!$B$3/((W143+Inputs!$B$4)^Inputs!$B$5),INDEX(IDF_Station!$B$3:$G$11,IFERROR(MATCH(W143,IDF_Station!$A$3:$A$11,1),1),MATCH(Inputs!$B$24,IDF_Station!$B$2:$G$2,0))))</f>
        <v/>
      </c>
    </row>
    <row r="144" customFormat="false" ht="15" hidden="false" customHeight="false" outlineLevel="0" collapsed="false">
      <c r="M144" s="25" t="str">
        <f aca="false">IF(L144="","",IF(UPPER(TRIM(Inputs!$B$23))="IDF_EQUATION",Inputs!$B$3/((L144+Inputs!$B$4)^Inputs!$B$5),INDEX(IDF_Station!$B$3:$G$11,IFERROR(MATCH(L144,IDF_Station!$A$3:$A$11,1),1),MATCH(Inputs!$B$24,IDF_Station!$B$2:$G$2,0))))</f>
        <v/>
      </c>
      <c r="X144" s="25" t="str">
        <f aca="false">IF(W144="","",IF(UPPER(TRIM(Inputs!$B$23))="IDF_EQUATION",Inputs!$B$3/((W144+Inputs!$B$4)^Inputs!$B$5),INDEX(IDF_Station!$B$3:$G$11,IFERROR(MATCH(W144,IDF_Station!$A$3:$A$11,1),1),MATCH(Inputs!$B$24,IDF_Station!$B$2:$G$2,0))))</f>
        <v/>
      </c>
    </row>
    <row r="145" customFormat="false" ht="15" hidden="false" customHeight="false" outlineLevel="0" collapsed="false">
      <c r="M145" s="25" t="str">
        <f aca="false">IF(L145="","",IF(UPPER(TRIM(Inputs!$B$23))="IDF_EQUATION",Inputs!$B$3/((L145+Inputs!$B$4)^Inputs!$B$5),INDEX(IDF_Station!$B$3:$G$11,IFERROR(MATCH(L145,IDF_Station!$A$3:$A$11,1),1),MATCH(Inputs!$B$24,IDF_Station!$B$2:$G$2,0))))</f>
        <v/>
      </c>
      <c r="X145" s="25" t="str">
        <f aca="false">IF(W145="","",IF(UPPER(TRIM(Inputs!$B$23))="IDF_EQUATION",Inputs!$B$3/((W145+Inputs!$B$4)^Inputs!$B$5),INDEX(IDF_Station!$B$3:$G$11,IFERROR(MATCH(W145,IDF_Station!$A$3:$A$11,1),1),MATCH(Inputs!$B$24,IDF_Station!$B$2:$G$2,0))))</f>
        <v/>
      </c>
    </row>
    <row r="146" customFormat="false" ht="15" hidden="false" customHeight="false" outlineLevel="0" collapsed="false">
      <c r="M146" s="25" t="str">
        <f aca="false">IF(L146="","",IF(UPPER(TRIM(Inputs!$B$23))="IDF_EQUATION",Inputs!$B$3/((L146+Inputs!$B$4)^Inputs!$B$5),INDEX(IDF_Station!$B$3:$G$11,IFERROR(MATCH(L146,IDF_Station!$A$3:$A$11,1),1),MATCH(Inputs!$B$24,IDF_Station!$B$2:$G$2,0))))</f>
        <v/>
      </c>
      <c r="X146" s="25" t="str">
        <f aca="false">IF(W146="","",IF(UPPER(TRIM(Inputs!$B$23))="IDF_EQUATION",Inputs!$B$3/((W146+Inputs!$B$4)^Inputs!$B$5),INDEX(IDF_Station!$B$3:$G$11,IFERROR(MATCH(W146,IDF_Station!$A$3:$A$11,1),1),MATCH(Inputs!$B$24,IDF_Station!$B$2:$G$2,0))))</f>
        <v/>
      </c>
    </row>
    <row r="147" customFormat="false" ht="15" hidden="false" customHeight="false" outlineLevel="0" collapsed="false">
      <c r="M147" s="25" t="str">
        <f aca="false">IF(L147="","",IF(UPPER(TRIM(Inputs!$B$23))="IDF_EQUATION",Inputs!$B$3/((L147+Inputs!$B$4)^Inputs!$B$5),INDEX(IDF_Station!$B$3:$G$11,IFERROR(MATCH(L147,IDF_Station!$A$3:$A$11,1),1),MATCH(Inputs!$B$24,IDF_Station!$B$2:$G$2,0))))</f>
        <v/>
      </c>
      <c r="X147" s="25" t="str">
        <f aca="false">IF(W147="","",IF(UPPER(TRIM(Inputs!$B$23))="IDF_EQUATION",Inputs!$B$3/((W147+Inputs!$B$4)^Inputs!$B$5),INDEX(IDF_Station!$B$3:$G$11,IFERROR(MATCH(W147,IDF_Station!$A$3:$A$11,1),1),MATCH(Inputs!$B$24,IDF_Station!$B$2:$G$2,0))))</f>
        <v/>
      </c>
    </row>
    <row r="148" customFormat="false" ht="15" hidden="false" customHeight="false" outlineLevel="0" collapsed="false">
      <c r="M148" s="25" t="str">
        <f aca="false">IF(L148="","",IF(UPPER(TRIM(Inputs!$B$23))="IDF_EQUATION",Inputs!$B$3/((L148+Inputs!$B$4)^Inputs!$B$5),INDEX(IDF_Station!$B$3:$G$11,IFERROR(MATCH(L148,IDF_Station!$A$3:$A$11,1),1),MATCH(Inputs!$B$24,IDF_Station!$B$2:$G$2,0))))</f>
        <v/>
      </c>
      <c r="X148" s="25" t="str">
        <f aca="false">IF(W148="","",IF(UPPER(TRIM(Inputs!$B$23))="IDF_EQUATION",Inputs!$B$3/((W148+Inputs!$B$4)^Inputs!$B$5),INDEX(IDF_Station!$B$3:$G$11,IFERROR(MATCH(W148,IDF_Station!$A$3:$A$11,1),1),MATCH(Inputs!$B$24,IDF_Station!$B$2:$G$2,0))))</f>
        <v/>
      </c>
    </row>
    <row r="149" customFormat="false" ht="15" hidden="false" customHeight="false" outlineLevel="0" collapsed="false">
      <c r="M149" s="25" t="str">
        <f aca="false">IF(L149="","",IF(UPPER(TRIM(Inputs!$B$23))="IDF_EQUATION",Inputs!$B$3/((L149+Inputs!$B$4)^Inputs!$B$5),INDEX(IDF_Station!$B$3:$G$11,IFERROR(MATCH(L149,IDF_Station!$A$3:$A$11,1),1),MATCH(Inputs!$B$24,IDF_Station!$B$2:$G$2,0))))</f>
        <v/>
      </c>
      <c r="X149" s="25" t="str">
        <f aca="false">IF(W149="","",IF(UPPER(TRIM(Inputs!$B$23))="IDF_EQUATION",Inputs!$B$3/((W149+Inputs!$B$4)^Inputs!$B$5),INDEX(IDF_Station!$B$3:$G$11,IFERROR(MATCH(W149,IDF_Station!$A$3:$A$11,1),1),MATCH(Inputs!$B$24,IDF_Station!$B$2:$G$2,0))))</f>
        <v/>
      </c>
    </row>
    <row r="150" customFormat="false" ht="15" hidden="false" customHeight="false" outlineLevel="0" collapsed="false">
      <c r="M150" s="25" t="str">
        <f aca="false">IF(L150="","",IF(UPPER(TRIM(Inputs!$B$23))="IDF_EQUATION",Inputs!$B$3/((L150+Inputs!$B$4)^Inputs!$B$5),INDEX(IDF_Station!$B$3:$G$11,IFERROR(MATCH(L150,IDF_Station!$A$3:$A$11,1),1),MATCH(Inputs!$B$24,IDF_Station!$B$2:$G$2,0))))</f>
        <v/>
      </c>
      <c r="X150" s="25" t="str">
        <f aca="false">IF(W150="","",IF(UPPER(TRIM(Inputs!$B$23))="IDF_EQUATION",Inputs!$B$3/((W150+Inputs!$B$4)^Inputs!$B$5),INDEX(IDF_Station!$B$3:$G$11,IFERROR(MATCH(W150,IDF_Station!$A$3:$A$11,1),1),MATCH(Inputs!$B$24,IDF_Station!$B$2:$G$2,0))))</f>
        <v/>
      </c>
    </row>
    <row r="151" customFormat="false" ht="15" hidden="false" customHeight="false" outlineLevel="0" collapsed="false">
      <c r="M151" s="25" t="str">
        <f aca="false">IF(L151="","",IF(UPPER(TRIM(Inputs!$B$23))="IDF_EQUATION",Inputs!$B$3/((L151+Inputs!$B$4)^Inputs!$B$5),INDEX(IDF_Station!$B$3:$G$11,IFERROR(MATCH(L151,IDF_Station!$A$3:$A$11,1),1),MATCH(Inputs!$B$24,IDF_Station!$B$2:$G$2,0))))</f>
        <v/>
      </c>
      <c r="X151" s="25" t="str">
        <f aca="false">IF(W151="","",IF(UPPER(TRIM(Inputs!$B$23))="IDF_EQUATION",Inputs!$B$3/((W151+Inputs!$B$4)^Inputs!$B$5),INDEX(IDF_Station!$B$3:$G$11,IFERROR(MATCH(W151,IDF_Station!$A$3:$A$11,1),1),MATCH(Inputs!$B$24,IDF_Station!$B$2:$G$2,0))))</f>
        <v/>
      </c>
    </row>
    <row r="152" customFormat="false" ht="15" hidden="false" customHeight="false" outlineLevel="0" collapsed="false">
      <c r="M152" s="25" t="str">
        <f aca="false">IF(L152="","",IF(UPPER(TRIM(Inputs!$B$23))="IDF_EQUATION",Inputs!$B$3/((L152+Inputs!$B$4)^Inputs!$B$5),INDEX(IDF_Station!$B$3:$G$11,IFERROR(MATCH(L152,IDF_Station!$A$3:$A$11,1),1),MATCH(Inputs!$B$24,IDF_Station!$B$2:$G$2,0))))</f>
        <v/>
      </c>
      <c r="X152" s="25" t="str">
        <f aca="false">IF(W152="","",IF(UPPER(TRIM(Inputs!$B$23))="IDF_EQUATION",Inputs!$B$3/((W152+Inputs!$B$4)^Inputs!$B$5),INDEX(IDF_Station!$B$3:$G$11,IFERROR(MATCH(W152,IDF_Station!$A$3:$A$11,1),1),MATCH(Inputs!$B$24,IDF_Station!$B$2:$G$2,0))))</f>
        <v/>
      </c>
    </row>
    <row r="153" customFormat="false" ht="15" hidden="false" customHeight="false" outlineLevel="0" collapsed="false">
      <c r="M153" s="25" t="str">
        <f aca="false">IF(L153="","",IF(UPPER(TRIM(Inputs!$B$23))="IDF_EQUATION",Inputs!$B$3/((L153+Inputs!$B$4)^Inputs!$B$5),INDEX(IDF_Station!$B$3:$G$11,IFERROR(MATCH(L153,IDF_Station!$A$3:$A$11,1),1),MATCH(Inputs!$B$24,IDF_Station!$B$2:$G$2,0))))</f>
        <v/>
      </c>
      <c r="X153" s="25" t="str">
        <f aca="false">IF(W153="","",IF(UPPER(TRIM(Inputs!$B$23))="IDF_EQUATION",Inputs!$B$3/((W153+Inputs!$B$4)^Inputs!$B$5),INDEX(IDF_Station!$B$3:$G$11,IFERROR(MATCH(W153,IDF_Station!$A$3:$A$11,1),1),MATCH(Inputs!$B$24,IDF_Station!$B$2:$G$2,0))))</f>
        <v/>
      </c>
    </row>
    <row r="154" customFormat="false" ht="15" hidden="false" customHeight="false" outlineLevel="0" collapsed="false">
      <c r="M154" s="25" t="str">
        <f aca="false">IF(L154="","",IF(UPPER(TRIM(Inputs!$B$23))="IDF_EQUATION",Inputs!$B$3/((L154+Inputs!$B$4)^Inputs!$B$5),INDEX(IDF_Station!$B$3:$G$11,IFERROR(MATCH(L154,IDF_Station!$A$3:$A$11,1),1),MATCH(Inputs!$B$24,IDF_Station!$B$2:$G$2,0))))</f>
        <v/>
      </c>
      <c r="X154" s="25" t="str">
        <f aca="false">IF(W154="","",IF(UPPER(TRIM(Inputs!$B$23))="IDF_EQUATION",Inputs!$B$3/((W154+Inputs!$B$4)^Inputs!$B$5),INDEX(IDF_Station!$B$3:$G$11,IFERROR(MATCH(W154,IDF_Station!$A$3:$A$11,1),1),MATCH(Inputs!$B$24,IDF_Station!$B$2:$G$2,0))))</f>
        <v/>
      </c>
    </row>
    <row r="155" customFormat="false" ht="15" hidden="false" customHeight="false" outlineLevel="0" collapsed="false">
      <c r="M155" s="25" t="str">
        <f aca="false">IF(L155="","",IF(UPPER(TRIM(Inputs!$B$23))="IDF_EQUATION",Inputs!$B$3/((L155+Inputs!$B$4)^Inputs!$B$5),INDEX(IDF_Station!$B$3:$G$11,IFERROR(MATCH(L155,IDF_Station!$A$3:$A$11,1),1),MATCH(Inputs!$B$24,IDF_Station!$B$2:$G$2,0))))</f>
        <v/>
      </c>
      <c r="X155" s="25" t="str">
        <f aca="false">IF(W155="","",IF(UPPER(TRIM(Inputs!$B$23))="IDF_EQUATION",Inputs!$B$3/((W155+Inputs!$B$4)^Inputs!$B$5),INDEX(IDF_Station!$B$3:$G$11,IFERROR(MATCH(W155,IDF_Station!$A$3:$A$11,1),1),MATCH(Inputs!$B$24,IDF_Station!$B$2:$G$2,0))))</f>
        <v/>
      </c>
    </row>
    <row r="156" customFormat="false" ht="15" hidden="false" customHeight="false" outlineLevel="0" collapsed="false">
      <c r="M156" s="25" t="str">
        <f aca="false">IF(L156="","",IF(UPPER(TRIM(Inputs!$B$23))="IDF_EQUATION",Inputs!$B$3/((L156+Inputs!$B$4)^Inputs!$B$5),INDEX(IDF_Station!$B$3:$G$11,IFERROR(MATCH(L156,IDF_Station!$A$3:$A$11,1),1),MATCH(Inputs!$B$24,IDF_Station!$B$2:$G$2,0))))</f>
        <v/>
      </c>
      <c r="X156" s="25" t="str">
        <f aca="false">IF(W156="","",IF(UPPER(TRIM(Inputs!$B$23))="IDF_EQUATION",Inputs!$B$3/((W156+Inputs!$B$4)^Inputs!$B$5),INDEX(IDF_Station!$B$3:$G$11,IFERROR(MATCH(W156,IDF_Station!$A$3:$A$11,1),1),MATCH(Inputs!$B$24,IDF_Station!$B$2:$G$2,0))))</f>
        <v/>
      </c>
    </row>
    <row r="157" customFormat="false" ht="15" hidden="false" customHeight="false" outlineLevel="0" collapsed="false">
      <c r="M157" s="25" t="str">
        <f aca="false">IF(L157="","",IF(UPPER(TRIM(Inputs!$B$23))="IDF_EQUATION",Inputs!$B$3/((L157+Inputs!$B$4)^Inputs!$B$5),INDEX(IDF_Station!$B$3:$G$11,IFERROR(MATCH(L157,IDF_Station!$A$3:$A$11,1),1),MATCH(Inputs!$B$24,IDF_Station!$B$2:$G$2,0))))</f>
        <v/>
      </c>
      <c r="X157" s="25" t="str">
        <f aca="false">IF(W157="","",IF(UPPER(TRIM(Inputs!$B$23))="IDF_EQUATION",Inputs!$B$3/((W157+Inputs!$B$4)^Inputs!$B$5),INDEX(IDF_Station!$B$3:$G$11,IFERROR(MATCH(W157,IDF_Station!$A$3:$A$11,1),1),MATCH(Inputs!$B$24,IDF_Station!$B$2:$G$2,0))))</f>
        <v/>
      </c>
    </row>
    <row r="158" customFormat="false" ht="15" hidden="false" customHeight="false" outlineLevel="0" collapsed="false">
      <c r="M158" s="25" t="str">
        <f aca="false">IF(L158="","",IF(UPPER(TRIM(Inputs!$B$23))="IDF_EQUATION",Inputs!$B$3/((L158+Inputs!$B$4)^Inputs!$B$5),INDEX(IDF_Station!$B$3:$G$11,IFERROR(MATCH(L158,IDF_Station!$A$3:$A$11,1),1),MATCH(Inputs!$B$24,IDF_Station!$B$2:$G$2,0))))</f>
        <v/>
      </c>
      <c r="X158" s="25" t="str">
        <f aca="false">IF(W158="","",IF(UPPER(TRIM(Inputs!$B$23))="IDF_EQUATION",Inputs!$B$3/((W158+Inputs!$B$4)^Inputs!$B$5),INDEX(IDF_Station!$B$3:$G$11,IFERROR(MATCH(W158,IDF_Station!$A$3:$A$11,1),1),MATCH(Inputs!$B$24,IDF_Station!$B$2:$G$2,0))))</f>
        <v/>
      </c>
    </row>
    <row r="159" customFormat="false" ht="15" hidden="false" customHeight="false" outlineLevel="0" collapsed="false">
      <c r="M159" s="25" t="str">
        <f aca="false">IF(L159="","",IF(UPPER(TRIM(Inputs!$B$23))="IDF_EQUATION",Inputs!$B$3/((L159+Inputs!$B$4)^Inputs!$B$5),INDEX(IDF_Station!$B$3:$G$11,IFERROR(MATCH(L159,IDF_Station!$A$3:$A$11,1),1),MATCH(Inputs!$B$24,IDF_Station!$B$2:$G$2,0))))</f>
        <v/>
      </c>
      <c r="X159" s="25" t="str">
        <f aca="false">IF(W159="","",IF(UPPER(TRIM(Inputs!$B$23))="IDF_EQUATION",Inputs!$B$3/((W159+Inputs!$B$4)^Inputs!$B$5),INDEX(IDF_Station!$B$3:$G$11,IFERROR(MATCH(W159,IDF_Station!$A$3:$A$11,1),1),MATCH(Inputs!$B$24,IDF_Station!$B$2:$G$2,0))))</f>
        <v/>
      </c>
    </row>
    <row r="160" customFormat="false" ht="15" hidden="false" customHeight="false" outlineLevel="0" collapsed="false">
      <c r="M160" s="25" t="str">
        <f aca="false">IF(L160="","",IF(UPPER(TRIM(Inputs!$B$23))="IDF_EQUATION",Inputs!$B$3/((L160+Inputs!$B$4)^Inputs!$B$5),INDEX(IDF_Station!$B$3:$G$11,IFERROR(MATCH(L160,IDF_Station!$A$3:$A$11,1),1),MATCH(Inputs!$B$24,IDF_Station!$B$2:$G$2,0))))</f>
        <v/>
      </c>
      <c r="X160" s="25" t="str">
        <f aca="false">IF(W160="","",IF(UPPER(TRIM(Inputs!$B$23))="IDF_EQUATION",Inputs!$B$3/((W160+Inputs!$B$4)^Inputs!$B$5),INDEX(IDF_Station!$B$3:$G$11,IFERROR(MATCH(W160,IDF_Station!$A$3:$A$11,1),1),MATCH(Inputs!$B$24,IDF_Station!$B$2:$G$2,0))))</f>
        <v/>
      </c>
    </row>
    <row r="161" customFormat="false" ht="15" hidden="false" customHeight="false" outlineLevel="0" collapsed="false">
      <c r="M161" s="25" t="str">
        <f aca="false">IF(L161="","",IF(UPPER(TRIM(Inputs!$B$23))="IDF_EQUATION",Inputs!$B$3/((L161+Inputs!$B$4)^Inputs!$B$5),INDEX(IDF_Station!$B$3:$G$11,IFERROR(MATCH(L161,IDF_Station!$A$3:$A$11,1),1),MATCH(Inputs!$B$24,IDF_Station!$B$2:$G$2,0))))</f>
        <v/>
      </c>
      <c r="X161" s="25" t="str">
        <f aca="false">IF(W161="","",IF(UPPER(TRIM(Inputs!$B$23))="IDF_EQUATION",Inputs!$B$3/((W161+Inputs!$B$4)^Inputs!$B$5),INDEX(IDF_Station!$B$3:$G$11,IFERROR(MATCH(W161,IDF_Station!$A$3:$A$11,1),1),MATCH(Inputs!$B$24,IDF_Station!$B$2:$G$2,0))))</f>
        <v/>
      </c>
    </row>
    <row r="162" customFormat="false" ht="15" hidden="false" customHeight="false" outlineLevel="0" collapsed="false">
      <c r="M162" s="25" t="str">
        <f aca="false">IF(L162="","",IF(UPPER(TRIM(Inputs!$B$23))="IDF_EQUATION",Inputs!$B$3/((L162+Inputs!$B$4)^Inputs!$B$5),INDEX(IDF_Station!$B$3:$G$11,IFERROR(MATCH(L162,IDF_Station!$A$3:$A$11,1),1),MATCH(Inputs!$B$24,IDF_Station!$B$2:$G$2,0))))</f>
        <v/>
      </c>
      <c r="X162" s="25" t="str">
        <f aca="false">IF(W162="","",IF(UPPER(TRIM(Inputs!$B$23))="IDF_EQUATION",Inputs!$B$3/((W162+Inputs!$B$4)^Inputs!$B$5),INDEX(IDF_Station!$B$3:$G$11,IFERROR(MATCH(W162,IDF_Station!$A$3:$A$11,1),1),MATCH(Inputs!$B$24,IDF_Station!$B$2:$G$2,0))))</f>
        <v/>
      </c>
    </row>
    <row r="163" customFormat="false" ht="15" hidden="false" customHeight="false" outlineLevel="0" collapsed="false">
      <c r="M163" s="25" t="str">
        <f aca="false">IF(L163="","",IF(UPPER(TRIM(Inputs!$B$23))="IDF_EQUATION",Inputs!$B$3/((L163+Inputs!$B$4)^Inputs!$B$5),INDEX(IDF_Station!$B$3:$G$11,IFERROR(MATCH(L163,IDF_Station!$A$3:$A$11,1),1),MATCH(Inputs!$B$24,IDF_Station!$B$2:$G$2,0))))</f>
        <v/>
      </c>
      <c r="X163" s="25" t="str">
        <f aca="false">IF(W163="","",IF(UPPER(TRIM(Inputs!$B$23))="IDF_EQUATION",Inputs!$B$3/((W163+Inputs!$B$4)^Inputs!$B$5),INDEX(IDF_Station!$B$3:$G$11,IFERROR(MATCH(W163,IDF_Station!$A$3:$A$11,1),1),MATCH(Inputs!$B$24,IDF_Station!$B$2:$G$2,0))))</f>
        <v/>
      </c>
    </row>
    <row r="164" customFormat="false" ht="15" hidden="false" customHeight="false" outlineLevel="0" collapsed="false">
      <c r="M164" s="25" t="str">
        <f aca="false">IF(L164="","",IF(UPPER(TRIM(Inputs!$B$23))="IDF_EQUATION",Inputs!$B$3/((L164+Inputs!$B$4)^Inputs!$B$5),INDEX(IDF_Station!$B$3:$G$11,IFERROR(MATCH(L164,IDF_Station!$A$3:$A$11,1),1),MATCH(Inputs!$B$24,IDF_Station!$B$2:$G$2,0))))</f>
        <v/>
      </c>
      <c r="X164" s="25" t="str">
        <f aca="false">IF(W164="","",IF(UPPER(TRIM(Inputs!$B$23))="IDF_EQUATION",Inputs!$B$3/((W164+Inputs!$B$4)^Inputs!$B$5),INDEX(IDF_Station!$B$3:$G$11,IFERROR(MATCH(W164,IDF_Station!$A$3:$A$11,1),1),MATCH(Inputs!$B$24,IDF_Station!$B$2:$G$2,0))))</f>
        <v/>
      </c>
    </row>
    <row r="165" customFormat="false" ht="15" hidden="false" customHeight="false" outlineLevel="0" collapsed="false">
      <c r="M165" s="25" t="str">
        <f aca="false">IF(L165="","",IF(UPPER(TRIM(Inputs!$B$23))="IDF_EQUATION",Inputs!$B$3/((L165+Inputs!$B$4)^Inputs!$B$5),INDEX(IDF_Station!$B$3:$G$11,IFERROR(MATCH(L165,IDF_Station!$A$3:$A$11,1),1),MATCH(Inputs!$B$24,IDF_Station!$B$2:$G$2,0))))</f>
        <v/>
      </c>
      <c r="X165" s="25" t="str">
        <f aca="false">IF(W165="","",IF(UPPER(TRIM(Inputs!$B$23))="IDF_EQUATION",Inputs!$B$3/((W165+Inputs!$B$4)^Inputs!$B$5),INDEX(IDF_Station!$B$3:$G$11,IFERROR(MATCH(W165,IDF_Station!$A$3:$A$11,1),1),MATCH(Inputs!$B$24,IDF_Station!$B$2:$G$2,0))))</f>
        <v/>
      </c>
    </row>
    <row r="166" customFormat="false" ht="15" hidden="false" customHeight="false" outlineLevel="0" collapsed="false">
      <c r="M166" s="25" t="str">
        <f aca="false">IF(L166="","",IF(UPPER(TRIM(Inputs!$B$23))="IDF_EQUATION",Inputs!$B$3/((L166+Inputs!$B$4)^Inputs!$B$5),INDEX(IDF_Station!$B$3:$G$11,IFERROR(MATCH(L166,IDF_Station!$A$3:$A$11,1),1),MATCH(Inputs!$B$24,IDF_Station!$B$2:$G$2,0))))</f>
        <v/>
      </c>
      <c r="X166" s="25" t="str">
        <f aca="false">IF(W166="","",IF(UPPER(TRIM(Inputs!$B$23))="IDF_EQUATION",Inputs!$B$3/((W166+Inputs!$B$4)^Inputs!$B$5),INDEX(IDF_Station!$B$3:$G$11,IFERROR(MATCH(W166,IDF_Station!$A$3:$A$11,1),1),MATCH(Inputs!$B$24,IDF_Station!$B$2:$G$2,0))))</f>
        <v/>
      </c>
    </row>
    <row r="167" customFormat="false" ht="15" hidden="false" customHeight="false" outlineLevel="0" collapsed="false">
      <c r="M167" s="25" t="str">
        <f aca="false">IF(L167="","",IF(UPPER(TRIM(Inputs!$B$23))="IDF_EQUATION",Inputs!$B$3/((L167+Inputs!$B$4)^Inputs!$B$5),INDEX(IDF_Station!$B$3:$G$11,IFERROR(MATCH(L167,IDF_Station!$A$3:$A$11,1),1),MATCH(Inputs!$B$24,IDF_Station!$B$2:$G$2,0))))</f>
        <v/>
      </c>
      <c r="X167" s="25" t="str">
        <f aca="false">IF(W167="","",IF(UPPER(TRIM(Inputs!$B$23))="IDF_EQUATION",Inputs!$B$3/((W167+Inputs!$B$4)^Inputs!$B$5),INDEX(IDF_Station!$B$3:$G$11,IFERROR(MATCH(W167,IDF_Station!$A$3:$A$11,1),1),MATCH(Inputs!$B$24,IDF_Station!$B$2:$G$2,0))))</f>
        <v/>
      </c>
    </row>
    <row r="168" customFormat="false" ht="15" hidden="false" customHeight="false" outlineLevel="0" collapsed="false">
      <c r="M168" s="25" t="str">
        <f aca="false">IF(L168="","",IF(UPPER(TRIM(Inputs!$B$23))="IDF_EQUATION",Inputs!$B$3/((L168+Inputs!$B$4)^Inputs!$B$5),INDEX(IDF_Station!$B$3:$G$11,IFERROR(MATCH(L168,IDF_Station!$A$3:$A$11,1),1),MATCH(Inputs!$B$24,IDF_Station!$B$2:$G$2,0))))</f>
        <v/>
      </c>
      <c r="X168" s="25" t="str">
        <f aca="false">IF(W168="","",IF(UPPER(TRIM(Inputs!$B$23))="IDF_EQUATION",Inputs!$B$3/((W168+Inputs!$B$4)^Inputs!$B$5),INDEX(IDF_Station!$B$3:$G$11,IFERROR(MATCH(W168,IDF_Station!$A$3:$A$11,1),1),MATCH(Inputs!$B$24,IDF_Station!$B$2:$G$2,0))))</f>
        <v/>
      </c>
    </row>
    <row r="169" customFormat="false" ht="15" hidden="false" customHeight="false" outlineLevel="0" collapsed="false">
      <c r="M169" s="25" t="str">
        <f aca="false">IF(L169="","",IF(UPPER(TRIM(Inputs!$B$23))="IDF_EQUATION",Inputs!$B$3/((L169+Inputs!$B$4)^Inputs!$B$5),INDEX(IDF_Station!$B$3:$G$11,IFERROR(MATCH(L169,IDF_Station!$A$3:$A$11,1),1),MATCH(Inputs!$B$24,IDF_Station!$B$2:$G$2,0))))</f>
        <v/>
      </c>
      <c r="X169" s="25" t="str">
        <f aca="false">IF(W169="","",IF(UPPER(TRIM(Inputs!$B$23))="IDF_EQUATION",Inputs!$B$3/((W169+Inputs!$B$4)^Inputs!$B$5),INDEX(IDF_Station!$B$3:$G$11,IFERROR(MATCH(W169,IDF_Station!$A$3:$A$11,1),1),MATCH(Inputs!$B$24,IDF_Station!$B$2:$G$2,0))))</f>
        <v/>
      </c>
    </row>
    <row r="170" customFormat="false" ht="15" hidden="false" customHeight="false" outlineLevel="0" collapsed="false">
      <c r="M170" s="25" t="str">
        <f aca="false">IF(L170="","",IF(UPPER(TRIM(Inputs!$B$23))="IDF_EQUATION",Inputs!$B$3/((L170+Inputs!$B$4)^Inputs!$B$5),INDEX(IDF_Station!$B$3:$G$11,IFERROR(MATCH(L170,IDF_Station!$A$3:$A$11,1),1),MATCH(Inputs!$B$24,IDF_Station!$B$2:$G$2,0))))</f>
        <v/>
      </c>
      <c r="X170" s="25" t="str">
        <f aca="false">IF(W170="","",IF(UPPER(TRIM(Inputs!$B$23))="IDF_EQUATION",Inputs!$B$3/((W170+Inputs!$B$4)^Inputs!$B$5),INDEX(IDF_Station!$B$3:$G$11,IFERROR(MATCH(W170,IDF_Station!$A$3:$A$11,1),1),MATCH(Inputs!$B$24,IDF_Station!$B$2:$G$2,0))))</f>
        <v/>
      </c>
    </row>
    <row r="171" customFormat="false" ht="15" hidden="false" customHeight="false" outlineLevel="0" collapsed="false">
      <c r="M171" s="25" t="str">
        <f aca="false">IF(L171="","",IF(UPPER(TRIM(Inputs!$B$23))="IDF_EQUATION",Inputs!$B$3/((L171+Inputs!$B$4)^Inputs!$B$5),INDEX(IDF_Station!$B$3:$G$11,IFERROR(MATCH(L171,IDF_Station!$A$3:$A$11,1),1),MATCH(Inputs!$B$24,IDF_Station!$B$2:$G$2,0))))</f>
        <v/>
      </c>
      <c r="X171" s="25" t="str">
        <f aca="false">IF(W171="","",IF(UPPER(TRIM(Inputs!$B$23))="IDF_EQUATION",Inputs!$B$3/((W171+Inputs!$B$4)^Inputs!$B$5),INDEX(IDF_Station!$B$3:$G$11,IFERROR(MATCH(W171,IDF_Station!$A$3:$A$11,1),1),MATCH(Inputs!$B$24,IDF_Station!$B$2:$G$2,0))))</f>
        <v/>
      </c>
    </row>
    <row r="172" customFormat="false" ht="15" hidden="false" customHeight="false" outlineLevel="0" collapsed="false">
      <c r="M172" s="25" t="str">
        <f aca="false">IF(L172="","",IF(UPPER(TRIM(Inputs!$B$23))="IDF_EQUATION",Inputs!$B$3/((L172+Inputs!$B$4)^Inputs!$B$5),INDEX(IDF_Station!$B$3:$G$11,IFERROR(MATCH(L172,IDF_Station!$A$3:$A$11,1),1),MATCH(Inputs!$B$24,IDF_Station!$B$2:$G$2,0))))</f>
        <v/>
      </c>
      <c r="X172" s="25" t="str">
        <f aca="false">IF(W172="","",IF(UPPER(TRIM(Inputs!$B$23))="IDF_EQUATION",Inputs!$B$3/((W172+Inputs!$B$4)^Inputs!$B$5),INDEX(IDF_Station!$B$3:$G$11,IFERROR(MATCH(W172,IDF_Station!$A$3:$A$11,1),1),MATCH(Inputs!$B$24,IDF_Station!$B$2:$G$2,0))))</f>
        <v/>
      </c>
    </row>
    <row r="173" customFormat="false" ht="15" hidden="false" customHeight="false" outlineLevel="0" collapsed="false">
      <c r="M173" s="25" t="str">
        <f aca="false">IF(L173="","",IF(UPPER(TRIM(Inputs!$B$23))="IDF_EQUATION",Inputs!$B$3/((L173+Inputs!$B$4)^Inputs!$B$5),INDEX(IDF_Station!$B$3:$G$11,IFERROR(MATCH(L173,IDF_Station!$A$3:$A$11,1),1),MATCH(Inputs!$B$24,IDF_Station!$B$2:$G$2,0))))</f>
        <v/>
      </c>
      <c r="X173" s="25" t="str">
        <f aca="false">IF(W173="","",IF(UPPER(TRIM(Inputs!$B$23))="IDF_EQUATION",Inputs!$B$3/((W173+Inputs!$B$4)^Inputs!$B$5),INDEX(IDF_Station!$B$3:$G$11,IFERROR(MATCH(W173,IDF_Station!$A$3:$A$11,1),1),MATCH(Inputs!$B$24,IDF_Station!$B$2:$G$2,0))))</f>
        <v/>
      </c>
    </row>
    <row r="174" customFormat="false" ht="15" hidden="false" customHeight="false" outlineLevel="0" collapsed="false">
      <c r="M174" s="25" t="str">
        <f aca="false">IF(L174="","",IF(UPPER(TRIM(Inputs!$B$23))="IDF_EQUATION",Inputs!$B$3/((L174+Inputs!$B$4)^Inputs!$B$5),INDEX(IDF_Station!$B$3:$G$11,IFERROR(MATCH(L174,IDF_Station!$A$3:$A$11,1),1),MATCH(Inputs!$B$24,IDF_Station!$B$2:$G$2,0))))</f>
        <v/>
      </c>
      <c r="X174" s="25" t="str">
        <f aca="false">IF(W174="","",IF(UPPER(TRIM(Inputs!$B$23))="IDF_EQUATION",Inputs!$B$3/((W174+Inputs!$B$4)^Inputs!$B$5),INDEX(IDF_Station!$B$3:$G$11,IFERROR(MATCH(W174,IDF_Station!$A$3:$A$11,1),1),MATCH(Inputs!$B$24,IDF_Station!$B$2:$G$2,0))))</f>
        <v/>
      </c>
    </row>
    <row r="175" customFormat="false" ht="15" hidden="false" customHeight="false" outlineLevel="0" collapsed="false">
      <c r="M175" s="25" t="str">
        <f aca="false">IF(L175="","",IF(UPPER(TRIM(Inputs!$B$23))="IDF_EQUATION",Inputs!$B$3/((L175+Inputs!$B$4)^Inputs!$B$5),INDEX(IDF_Station!$B$3:$G$11,IFERROR(MATCH(L175,IDF_Station!$A$3:$A$11,1),1),MATCH(Inputs!$B$24,IDF_Station!$B$2:$G$2,0))))</f>
        <v/>
      </c>
      <c r="X175" s="25" t="str">
        <f aca="false">IF(W175="","",IF(UPPER(TRIM(Inputs!$B$23))="IDF_EQUATION",Inputs!$B$3/((W175+Inputs!$B$4)^Inputs!$B$5),INDEX(IDF_Station!$B$3:$G$11,IFERROR(MATCH(W175,IDF_Station!$A$3:$A$11,1),1),MATCH(Inputs!$B$24,IDF_Station!$B$2:$G$2,0))))</f>
        <v/>
      </c>
    </row>
    <row r="176" customFormat="false" ht="15" hidden="false" customHeight="false" outlineLevel="0" collapsed="false">
      <c r="M176" s="25" t="str">
        <f aca="false">IF(L176="","",IF(UPPER(TRIM(Inputs!$B$23))="IDF_EQUATION",Inputs!$B$3/((L176+Inputs!$B$4)^Inputs!$B$5),INDEX(IDF_Station!$B$3:$G$11,IFERROR(MATCH(L176,IDF_Station!$A$3:$A$11,1),1),MATCH(Inputs!$B$24,IDF_Station!$B$2:$G$2,0))))</f>
        <v/>
      </c>
      <c r="X176" s="25" t="str">
        <f aca="false">IF(W176="","",IF(UPPER(TRIM(Inputs!$B$23))="IDF_EQUATION",Inputs!$B$3/((W176+Inputs!$B$4)^Inputs!$B$5),INDEX(IDF_Station!$B$3:$G$11,IFERROR(MATCH(W176,IDF_Station!$A$3:$A$11,1),1),MATCH(Inputs!$B$24,IDF_Station!$B$2:$G$2,0))))</f>
        <v/>
      </c>
    </row>
    <row r="177" customFormat="false" ht="15" hidden="false" customHeight="false" outlineLevel="0" collapsed="false">
      <c r="M177" s="25" t="str">
        <f aca="false">IF(L177="","",IF(UPPER(TRIM(Inputs!$B$23))="IDF_EQUATION",Inputs!$B$3/((L177+Inputs!$B$4)^Inputs!$B$5),INDEX(IDF_Station!$B$3:$G$11,IFERROR(MATCH(L177,IDF_Station!$A$3:$A$11,1),1),MATCH(Inputs!$B$24,IDF_Station!$B$2:$G$2,0))))</f>
        <v/>
      </c>
      <c r="X177" s="25" t="str">
        <f aca="false">IF(W177="","",IF(UPPER(TRIM(Inputs!$B$23))="IDF_EQUATION",Inputs!$B$3/((W177+Inputs!$B$4)^Inputs!$B$5),INDEX(IDF_Station!$B$3:$G$11,IFERROR(MATCH(W177,IDF_Station!$A$3:$A$11,1),1),MATCH(Inputs!$B$24,IDF_Station!$B$2:$G$2,0))))</f>
        <v/>
      </c>
    </row>
    <row r="178" customFormat="false" ht="15" hidden="false" customHeight="false" outlineLevel="0" collapsed="false">
      <c r="M178" s="25" t="str">
        <f aca="false">IF(L178="","",IF(UPPER(TRIM(Inputs!$B$23))="IDF_EQUATION",Inputs!$B$3/((L178+Inputs!$B$4)^Inputs!$B$5),INDEX(IDF_Station!$B$3:$G$11,IFERROR(MATCH(L178,IDF_Station!$A$3:$A$11,1),1),MATCH(Inputs!$B$24,IDF_Station!$B$2:$G$2,0))))</f>
        <v/>
      </c>
      <c r="X178" s="25" t="str">
        <f aca="false">IF(W178="","",IF(UPPER(TRIM(Inputs!$B$23))="IDF_EQUATION",Inputs!$B$3/((W178+Inputs!$B$4)^Inputs!$B$5),INDEX(IDF_Station!$B$3:$G$11,IFERROR(MATCH(W178,IDF_Station!$A$3:$A$11,1),1),MATCH(Inputs!$B$24,IDF_Station!$B$2:$G$2,0))))</f>
        <v/>
      </c>
    </row>
    <row r="179" customFormat="false" ht="15" hidden="false" customHeight="false" outlineLevel="0" collapsed="false">
      <c r="M179" s="25" t="str">
        <f aca="false">IF(L179="","",IF(UPPER(TRIM(Inputs!$B$23))="IDF_EQUATION",Inputs!$B$3/((L179+Inputs!$B$4)^Inputs!$B$5),INDEX(IDF_Station!$B$3:$G$11,IFERROR(MATCH(L179,IDF_Station!$A$3:$A$11,1),1),MATCH(Inputs!$B$24,IDF_Station!$B$2:$G$2,0))))</f>
        <v/>
      </c>
      <c r="X179" s="25" t="str">
        <f aca="false">IF(W179="","",IF(UPPER(TRIM(Inputs!$B$23))="IDF_EQUATION",Inputs!$B$3/((W179+Inputs!$B$4)^Inputs!$B$5),INDEX(IDF_Station!$B$3:$G$11,IFERROR(MATCH(W179,IDF_Station!$A$3:$A$11,1),1),MATCH(Inputs!$B$24,IDF_Station!$B$2:$G$2,0))))</f>
        <v/>
      </c>
    </row>
    <row r="180" customFormat="false" ht="15" hidden="false" customHeight="false" outlineLevel="0" collapsed="false">
      <c r="M180" s="25" t="str">
        <f aca="false">IF(L180="","",IF(UPPER(TRIM(Inputs!$B$23))="IDF_EQUATION",Inputs!$B$3/((L180+Inputs!$B$4)^Inputs!$B$5),INDEX(IDF_Station!$B$3:$G$11,IFERROR(MATCH(L180,IDF_Station!$A$3:$A$11,1),1),MATCH(Inputs!$B$24,IDF_Station!$B$2:$G$2,0))))</f>
        <v/>
      </c>
      <c r="X180" s="25" t="str">
        <f aca="false">IF(W180="","",IF(UPPER(TRIM(Inputs!$B$23))="IDF_EQUATION",Inputs!$B$3/((W180+Inputs!$B$4)^Inputs!$B$5),INDEX(IDF_Station!$B$3:$G$11,IFERROR(MATCH(W180,IDF_Station!$A$3:$A$11,1),1),MATCH(Inputs!$B$24,IDF_Station!$B$2:$G$2,0))))</f>
        <v/>
      </c>
    </row>
    <row r="181" customFormat="false" ht="15" hidden="false" customHeight="false" outlineLevel="0" collapsed="false">
      <c r="M181" s="25" t="str">
        <f aca="false">IF(L181="","",IF(UPPER(TRIM(Inputs!$B$23))="IDF_EQUATION",Inputs!$B$3/((L181+Inputs!$B$4)^Inputs!$B$5),INDEX(IDF_Station!$B$3:$G$11,IFERROR(MATCH(L181,IDF_Station!$A$3:$A$11,1),1),MATCH(Inputs!$B$24,IDF_Station!$B$2:$G$2,0))))</f>
        <v/>
      </c>
      <c r="X181" s="25" t="str">
        <f aca="false">IF(W181="","",IF(UPPER(TRIM(Inputs!$B$23))="IDF_EQUATION",Inputs!$B$3/((W181+Inputs!$B$4)^Inputs!$B$5),INDEX(IDF_Station!$B$3:$G$11,IFERROR(MATCH(W181,IDF_Station!$A$3:$A$11,1),1),MATCH(Inputs!$B$24,IDF_Station!$B$2:$G$2,0))))</f>
        <v/>
      </c>
    </row>
    <row r="182" customFormat="false" ht="15" hidden="false" customHeight="false" outlineLevel="0" collapsed="false">
      <c r="M182" s="25" t="str">
        <f aca="false">IF(L182="","",IF(UPPER(TRIM(Inputs!$B$23))="IDF_EQUATION",Inputs!$B$3/((L182+Inputs!$B$4)^Inputs!$B$5),INDEX(IDF_Station!$B$3:$G$11,IFERROR(MATCH(L182,IDF_Station!$A$3:$A$11,1),1),MATCH(Inputs!$B$24,IDF_Station!$B$2:$G$2,0))))</f>
        <v/>
      </c>
      <c r="X182" s="25" t="str">
        <f aca="false">IF(W182="","",IF(UPPER(TRIM(Inputs!$B$23))="IDF_EQUATION",Inputs!$B$3/((W182+Inputs!$B$4)^Inputs!$B$5),INDEX(IDF_Station!$B$3:$G$11,IFERROR(MATCH(W182,IDF_Station!$A$3:$A$11,1),1),MATCH(Inputs!$B$24,IDF_Station!$B$2:$G$2,0))))</f>
        <v/>
      </c>
    </row>
    <row r="183" customFormat="false" ht="15" hidden="false" customHeight="false" outlineLevel="0" collapsed="false">
      <c r="M183" s="25" t="str">
        <f aca="false">IF(L183="","",IF(UPPER(TRIM(Inputs!$B$23))="IDF_EQUATION",Inputs!$B$3/((L183+Inputs!$B$4)^Inputs!$B$5),INDEX(IDF_Station!$B$3:$G$11,IFERROR(MATCH(L183,IDF_Station!$A$3:$A$11,1),1),MATCH(Inputs!$B$24,IDF_Station!$B$2:$G$2,0))))</f>
        <v/>
      </c>
      <c r="X183" s="25" t="str">
        <f aca="false">IF(W183="","",IF(UPPER(TRIM(Inputs!$B$23))="IDF_EQUATION",Inputs!$B$3/((W183+Inputs!$B$4)^Inputs!$B$5),INDEX(IDF_Station!$B$3:$G$11,IFERROR(MATCH(W183,IDF_Station!$A$3:$A$11,1),1),MATCH(Inputs!$B$24,IDF_Station!$B$2:$G$2,0))))</f>
        <v/>
      </c>
    </row>
    <row r="184" customFormat="false" ht="15" hidden="false" customHeight="false" outlineLevel="0" collapsed="false">
      <c r="M184" s="25" t="str">
        <f aca="false">IF(L184="","",IF(UPPER(TRIM(Inputs!$B$23))="IDF_EQUATION",Inputs!$B$3/((L184+Inputs!$B$4)^Inputs!$B$5),INDEX(IDF_Station!$B$3:$G$11,IFERROR(MATCH(L184,IDF_Station!$A$3:$A$11,1),1),MATCH(Inputs!$B$24,IDF_Station!$B$2:$G$2,0))))</f>
        <v/>
      </c>
      <c r="X184" s="25" t="str">
        <f aca="false">IF(W184="","",IF(UPPER(TRIM(Inputs!$B$23))="IDF_EQUATION",Inputs!$B$3/((W184+Inputs!$B$4)^Inputs!$B$5),INDEX(IDF_Station!$B$3:$G$11,IFERROR(MATCH(W184,IDF_Station!$A$3:$A$11,1),1),MATCH(Inputs!$B$24,IDF_Station!$B$2:$G$2,0))))</f>
        <v/>
      </c>
    </row>
    <row r="185" customFormat="false" ht="15" hidden="false" customHeight="false" outlineLevel="0" collapsed="false">
      <c r="M185" s="25" t="str">
        <f aca="false">IF(L185="","",IF(UPPER(TRIM(Inputs!$B$23))="IDF_EQUATION",Inputs!$B$3/((L185+Inputs!$B$4)^Inputs!$B$5),INDEX(IDF_Station!$B$3:$G$11,IFERROR(MATCH(L185,IDF_Station!$A$3:$A$11,1),1),MATCH(Inputs!$B$24,IDF_Station!$B$2:$G$2,0))))</f>
        <v/>
      </c>
      <c r="X185" s="25" t="str">
        <f aca="false">IF(W185="","",IF(UPPER(TRIM(Inputs!$B$23))="IDF_EQUATION",Inputs!$B$3/((W185+Inputs!$B$4)^Inputs!$B$5),INDEX(IDF_Station!$B$3:$G$11,IFERROR(MATCH(W185,IDF_Station!$A$3:$A$11,1),1),MATCH(Inputs!$B$24,IDF_Station!$B$2:$G$2,0))))</f>
        <v/>
      </c>
    </row>
    <row r="186" customFormat="false" ht="15" hidden="false" customHeight="false" outlineLevel="0" collapsed="false">
      <c r="M186" s="25" t="str">
        <f aca="false">IF(L186="","",IF(UPPER(TRIM(Inputs!$B$23))="IDF_EQUATION",Inputs!$B$3/((L186+Inputs!$B$4)^Inputs!$B$5),INDEX(IDF_Station!$B$3:$G$11,IFERROR(MATCH(L186,IDF_Station!$A$3:$A$11,1),1),MATCH(Inputs!$B$24,IDF_Station!$B$2:$G$2,0))))</f>
        <v/>
      </c>
      <c r="X186" s="25" t="str">
        <f aca="false">IF(W186="","",IF(UPPER(TRIM(Inputs!$B$23))="IDF_EQUATION",Inputs!$B$3/((W186+Inputs!$B$4)^Inputs!$B$5),INDEX(IDF_Station!$B$3:$G$11,IFERROR(MATCH(W186,IDF_Station!$A$3:$A$11,1),1),MATCH(Inputs!$B$24,IDF_Station!$B$2:$G$2,0))))</f>
        <v/>
      </c>
    </row>
    <row r="187" customFormat="false" ht="15" hidden="false" customHeight="false" outlineLevel="0" collapsed="false">
      <c r="M187" s="25" t="str">
        <f aca="false">IF(L187="","",IF(UPPER(TRIM(Inputs!$B$23))="IDF_EQUATION",Inputs!$B$3/((L187+Inputs!$B$4)^Inputs!$B$5),INDEX(IDF_Station!$B$3:$G$11,IFERROR(MATCH(L187,IDF_Station!$A$3:$A$11,1),1),MATCH(Inputs!$B$24,IDF_Station!$B$2:$G$2,0))))</f>
        <v/>
      </c>
      <c r="X187" s="25" t="str">
        <f aca="false">IF(W187="","",IF(UPPER(TRIM(Inputs!$B$23))="IDF_EQUATION",Inputs!$B$3/((W187+Inputs!$B$4)^Inputs!$B$5),INDEX(IDF_Station!$B$3:$G$11,IFERROR(MATCH(W187,IDF_Station!$A$3:$A$11,1),1),MATCH(Inputs!$B$24,IDF_Station!$B$2:$G$2,0))))</f>
        <v/>
      </c>
    </row>
    <row r="188" customFormat="false" ht="15" hidden="false" customHeight="false" outlineLevel="0" collapsed="false">
      <c r="M188" s="25" t="str">
        <f aca="false">IF(L188="","",IF(UPPER(TRIM(Inputs!$B$23))="IDF_EQUATION",Inputs!$B$3/((L188+Inputs!$B$4)^Inputs!$B$5),INDEX(IDF_Station!$B$3:$G$11,IFERROR(MATCH(L188,IDF_Station!$A$3:$A$11,1),1),MATCH(Inputs!$B$24,IDF_Station!$B$2:$G$2,0))))</f>
        <v/>
      </c>
      <c r="X188" s="25" t="str">
        <f aca="false">IF(W188="","",IF(UPPER(TRIM(Inputs!$B$23))="IDF_EQUATION",Inputs!$B$3/((W188+Inputs!$B$4)^Inputs!$B$5),INDEX(IDF_Station!$B$3:$G$11,IFERROR(MATCH(W188,IDF_Station!$A$3:$A$11,1),1),MATCH(Inputs!$B$24,IDF_Station!$B$2:$G$2,0))))</f>
        <v/>
      </c>
    </row>
    <row r="189" customFormat="false" ht="15" hidden="false" customHeight="false" outlineLevel="0" collapsed="false">
      <c r="M189" s="25" t="str">
        <f aca="false">IF(L189="","",IF(UPPER(TRIM(Inputs!$B$23))="IDF_EQUATION",Inputs!$B$3/((L189+Inputs!$B$4)^Inputs!$B$5),INDEX(IDF_Station!$B$3:$G$11,IFERROR(MATCH(L189,IDF_Station!$A$3:$A$11,1),1),MATCH(Inputs!$B$24,IDF_Station!$B$2:$G$2,0))))</f>
        <v/>
      </c>
      <c r="X189" s="25" t="str">
        <f aca="false">IF(W189="","",IF(UPPER(TRIM(Inputs!$B$23))="IDF_EQUATION",Inputs!$B$3/((W189+Inputs!$B$4)^Inputs!$B$5),INDEX(IDF_Station!$B$3:$G$11,IFERROR(MATCH(W189,IDF_Station!$A$3:$A$11,1),1),MATCH(Inputs!$B$24,IDF_Station!$B$2:$G$2,0))))</f>
        <v/>
      </c>
    </row>
    <row r="190" customFormat="false" ht="15" hidden="false" customHeight="false" outlineLevel="0" collapsed="false">
      <c r="M190" s="25" t="str">
        <f aca="false">IF(L190="","",IF(UPPER(TRIM(Inputs!$B$23))="IDF_EQUATION",Inputs!$B$3/((L190+Inputs!$B$4)^Inputs!$B$5),INDEX(IDF_Station!$B$3:$G$11,IFERROR(MATCH(L190,IDF_Station!$A$3:$A$11,1),1),MATCH(Inputs!$B$24,IDF_Station!$B$2:$G$2,0))))</f>
        <v/>
      </c>
      <c r="X190" s="25" t="str">
        <f aca="false">IF(W190="","",IF(UPPER(TRIM(Inputs!$B$23))="IDF_EQUATION",Inputs!$B$3/((W190+Inputs!$B$4)^Inputs!$B$5),INDEX(IDF_Station!$B$3:$G$11,IFERROR(MATCH(W190,IDF_Station!$A$3:$A$11,1),1),MATCH(Inputs!$B$24,IDF_Station!$B$2:$G$2,0))))</f>
        <v/>
      </c>
    </row>
    <row r="191" customFormat="false" ht="15" hidden="false" customHeight="false" outlineLevel="0" collapsed="false">
      <c r="M191" s="25" t="str">
        <f aca="false">IF(L191="","",IF(UPPER(TRIM(Inputs!$B$23))="IDF_EQUATION",Inputs!$B$3/((L191+Inputs!$B$4)^Inputs!$B$5),INDEX(IDF_Station!$B$3:$G$11,IFERROR(MATCH(L191,IDF_Station!$A$3:$A$11,1),1),MATCH(Inputs!$B$24,IDF_Station!$B$2:$G$2,0))))</f>
        <v/>
      </c>
      <c r="X191" s="25" t="str">
        <f aca="false">IF(W191="","",IF(UPPER(TRIM(Inputs!$B$23))="IDF_EQUATION",Inputs!$B$3/((W191+Inputs!$B$4)^Inputs!$B$5),INDEX(IDF_Station!$B$3:$G$11,IFERROR(MATCH(W191,IDF_Station!$A$3:$A$11,1),1),MATCH(Inputs!$B$24,IDF_Station!$B$2:$G$2,0))))</f>
        <v/>
      </c>
    </row>
    <row r="192" customFormat="false" ht="15" hidden="false" customHeight="false" outlineLevel="0" collapsed="false">
      <c r="M192" s="25" t="str">
        <f aca="false">IF(L192="","",IF(UPPER(TRIM(Inputs!$B$23))="IDF_EQUATION",Inputs!$B$3/((L192+Inputs!$B$4)^Inputs!$B$5),INDEX(IDF_Station!$B$3:$G$11,IFERROR(MATCH(L192,IDF_Station!$A$3:$A$11,1),1),MATCH(Inputs!$B$24,IDF_Station!$B$2:$G$2,0))))</f>
        <v/>
      </c>
      <c r="X192" s="25" t="str">
        <f aca="false">IF(W192="","",IF(UPPER(TRIM(Inputs!$B$23))="IDF_EQUATION",Inputs!$B$3/((W192+Inputs!$B$4)^Inputs!$B$5),INDEX(IDF_Station!$B$3:$G$11,IFERROR(MATCH(W192,IDF_Station!$A$3:$A$11,1),1),MATCH(Inputs!$B$24,IDF_Station!$B$2:$G$2,0))))</f>
        <v/>
      </c>
    </row>
    <row r="193" customFormat="false" ht="15" hidden="false" customHeight="false" outlineLevel="0" collapsed="false">
      <c r="M193" s="25" t="str">
        <f aca="false">IF(L193="","",IF(UPPER(TRIM(Inputs!$B$23))="IDF_EQUATION",Inputs!$B$3/((L193+Inputs!$B$4)^Inputs!$B$5),INDEX(IDF_Station!$B$3:$G$11,IFERROR(MATCH(L193,IDF_Station!$A$3:$A$11,1),1),MATCH(Inputs!$B$24,IDF_Station!$B$2:$G$2,0))))</f>
        <v/>
      </c>
      <c r="X193" s="25" t="str">
        <f aca="false">IF(W193="","",IF(UPPER(TRIM(Inputs!$B$23))="IDF_EQUATION",Inputs!$B$3/((W193+Inputs!$B$4)^Inputs!$B$5),INDEX(IDF_Station!$B$3:$G$11,IFERROR(MATCH(W193,IDF_Station!$A$3:$A$11,1),1),MATCH(Inputs!$B$24,IDF_Station!$B$2:$G$2,0))))</f>
        <v/>
      </c>
    </row>
    <row r="194" customFormat="false" ht="15" hidden="false" customHeight="false" outlineLevel="0" collapsed="false">
      <c r="M194" s="25" t="str">
        <f aca="false">IF(L194="","",IF(UPPER(TRIM(Inputs!$B$23))="IDF_EQUATION",Inputs!$B$3/((L194+Inputs!$B$4)^Inputs!$B$5),INDEX(IDF_Station!$B$3:$G$11,IFERROR(MATCH(L194,IDF_Station!$A$3:$A$11,1),1),MATCH(Inputs!$B$24,IDF_Station!$B$2:$G$2,0))))</f>
        <v/>
      </c>
      <c r="X194" s="25" t="str">
        <f aca="false">IF(W194="","",IF(UPPER(TRIM(Inputs!$B$23))="IDF_EQUATION",Inputs!$B$3/((W194+Inputs!$B$4)^Inputs!$B$5),INDEX(IDF_Station!$B$3:$G$11,IFERROR(MATCH(W194,IDF_Station!$A$3:$A$11,1),1),MATCH(Inputs!$B$24,IDF_Station!$B$2:$G$2,0))))</f>
        <v/>
      </c>
    </row>
    <row r="195" customFormat="false" ht="15" hidden="false" customHeight="false" outlineLevel="0" collapsed="false">
      <c r="M195" s="25" t="str">
        <f aca="false">IF(L195="","",IF(UPPER(TRIM(Inputs!$B$23))="IDF_EQUATION",Inputs!$B$3/((L195+Inputs!$B$4)^Inputs!$B$5),INDEX(IDF_Station!$B$3:$G$11,IFERROR(MATCH(L195,IDF_Station!$A$3:$A$11,1),1),MATCH(Inputs!$B$24,IDF_Station!$B$2:$G$2,0))))</f>
        <v/>
      </c>
      <c r="X195" s="25" t="str">
        <f aca="false">IF(W195="","",IF(UPPER(TRIM(Inputs!$B$23))="IDF_EQUATION",Inputs!$B$3/((W195+Inputs!$B$4)^Inputs!$B$5),INDEX(IDF_Station!$B$3:$G$11,IFERROR(MATCH(W195,IDF_Station!$A$3:$A$11,1),1),MATCH(Inputs!$B$24,IDF_Station!$B$2:$G$2,0))))</f>
        <v/>
      </c>
    </row>
    <row r="196" customFormat="false" ht="15" hidden="false" customHeight="false" outlineLevel="0" collapsed="false">
      <c r="M196" s="25" t="str">
        <f aca="false">IF(L196="","",IF(UPPER(TRIM(Inputs!$B$23))="IDF_EQUATION",Inputs!$B$3/((L196+Inputs!$B$4)^Inputs!$B$5),INDEX(IDF_Station!$B$3:$G$11,IFERROR(MATCH(L196,IDF_Station!$A$3:$A$11,1),1),MATCH(Inputs!$B$24,IDF_Station!$B$2:$G$2,0))))</f>
        <v/>
      </c>
      <c r="X196" s="25" t="str">
        <f aca="false">IF(W196="","",IF(UPPER(TRIM(Inputs!$B$23))="IDF_EQUATION",Inputs!$B$3/((W196+Inputs!$B$4)^Inputs!$B$5),INDEX(IDF_Station!$B$3:$G$11,IFERROR(MATCH(W196,IDF_Station!$A$3:$A$11,1),1),MATCH(Inputs!$B$24,IDF_Station!$B$2:$G$2,0))))</f>
        <v/>
      </c>
    </row>
    <row r="197" customFormat="false" ht="15" hidden="false" customHeight="false" outlineLevel="0" collapsed="false">
      <c r="M197" s="25" t="str">
        <f aca="false">IF(L197="","",IF(UPPER(TRIM(Inputs!$B$23))="IDF_EQUATION",Inputs!$B$3/((L197+Inputs!$B$4)^Inputs!$B$5),INDEX(IDF_Station!$B$3:$G$11,IFERROR(MATCH(L197,IDF_Station!$A$3:$A$11,1),1),MATCH(Inputs!$B$24,IDF_Station!$B$2:$G$2,0))))</f>
        <v/>
      </c>
      <c r="X197" s="25" t="str">
        <f aca="false">IF(W197="","",IF(UPPER(TRIM(Inputs!$B$23))="IDF_EQUATION",Inputs!$B$3/((W197+Inputs!$B$4)^Inputs!$B$5),INDEX(IDF_Station!$B$3:$G$11,IFERROR(MATCH(W197,IDF_Station!$A$3:$A$11,1),1),MATCH(Inputs!$B$24,IDF_Station!$B$2:$G$2,0))))</f>
        <v/>
      </c>
    </row>
    <row r="198" customFormat="false" ht="15" hidden="false" customHeight="false" outlineLevel="0" collapsed="false">
      <c r="M198" s="25" t="str">
        <f aca="false">IF(L198="","",IF(UPPER(TRIM(Inputs!$B$23))="IDF_EQUATION",Inputs!$B$3/((L198+Inputs!$B$4)^Inputs!$B$5),INDEX(IDF_Station!$B$3:$G$11,IFERROR(MATCH(L198,IDF_Station!$A$3:$A$11,1),1),MATCH(Inputs!$B$24,IDF_Station!$B$2:$G$2,0))))</f>
        <v/>
      </c>
      <c r="X198" s="25" t="str">
        <f aca="false">IF(W198="","",IF(UPPER(TRIM(Inputs!$B$23))="IDF_EQUATION",Inputs!$B$3/((W198+Inputs!$B$4)^Inputs!$B$5),INDEX(IDF_Station!$B$3:$G$11,IFERROR(MATCH(W198,IDF_Station!$A$3:$A$11,1),1),MATCH(Inputs!$B$24,IDF_Station!$B$2:$G$2,0))))</f>
        <v/>
      </c>
    </row>
    <row r="199" customFormat="false" ht="15" hidden="false" customHeight="false" outlineLevel="0" collapsed="false">
      <c r="M199" s="25" t="str">
        <f aca="false">IF(L199="","",IF(UPPER(TRIM(Inputs!$B$23))="IDF_EQUATION",Inputs!$B$3/((L199+Inputs!$B$4)^Inputs!$B$5),INDEX(IDF_Station!$B$3:$G$11,IFERROR(MATCH(L199,IDF_Station!$A$3:$A$11,1),1),MATCH(Inputs!$B$24,IDF_Station!$B$2:$G$2,0))))</f>
        <v/>
      </c>
      <c r="X199" s="25" t="str">
        <f aca="false">IF(W199="","",IF(UPPER(TRIM(Inputs!$B$23))="IDF_EQUATION",Inputs!$B$3/((W199+Inputs!$B$4)^Inputs!$B$5),INDEX(IDF_Station!$B$3:$G$11,IFERROR(MATCH(W199,IDF_Station!$A$3:$A$11,1),1),MATCH(Inputs!$B$24,IDF_Station!$B$2:$G$2,0))))</f>
        <v/>
      </c>
    </row>
    <row r="200" customFormat="false" ht="15" hidden="false" customHeight="false" outlineLevel="0" collapsed="false">
      <c r="M200" s="25" t="str">
        <f aca="false">IF(L200="","",IF(UPPER(TRIM(Inputs!$B$23))="IDF_EQUATION",Inputs!$B$3/((L200+Inputs!$B$4)^Inputs!$B$5),INDEX(IDF_Station!$B$3:$G$11,IFERROR(MATCH(L200,IDF_Station!$A$3:$A$11,1),1),MATCH(Inputs!$B$24,IDF_Station!$B$2:$G$2,0))))</f>
        <v/>
      </c>
      <c r="X200" s="25" t="str">
        <f aca="false">IF(W200="","",IF(UPPER(TRIM(Inputs!$B$23))="IDF_EQUATION",Inputs!$B$3/((W200+Inputs!$B$4)^Inputs!$B$5),INDEX(IDF_Station!$B$3:$G$11,IFERROR(MATCH(W200,IDF_Station!$A$3:$A$11,1),1),MATCH(Inputs!$B$24,IDF_Station!$B$2:$G$2,0))))</f>
        <v/>
      </c>
    </row>
    <row r="201" customFormat="false" ht="15" hidden="false" customHeight="false" outlineLevel="0" collapsed="false">
      <c r="M201" s="25" t="str">
        <f aca="false">IF(L201="","",IF(UPPER(TRIM(Inputs!$B$23))="IDF_EQUATION",Inputs!$B$3/((L201+Inputs!$B$4)^Inputs!$B$5),INDEX(IDF_Station!$B$3:$G$11,IFERROR(MATCH(L201,IDF_Station!$A$3:$A$11,1),1),MATCH(Inputs!$B$24,IDF_Station!$B$2:$G$2,0))))</f>
        <v/>
      </c>
      <c r="X201" s="25" t="str">
        <f aca="false">IF(W201="","",IF(UPPER(TRIM(Inputs!$B$23))="IDF_EQUATION",Inputs!$B$3/((W201+Inputs!$B$4)^Inputs!$B$5),INDEX(IDF_Station!$B$3:$G$11,IFERROR(MATCH(W201,IDF_Station!$A$3:$A$11,1),1),MATCH(Inputs!$B$24,IDF_Station!$B$2:$G$2,0))))</f>
        <v/>
      </c>
    </row>
    <row r="202" customFormat="false" ht="15" hidden="false" customHeight="false" outlineLevel="0" collapsed="false">
      <c r="M202" s="25" t="str">
        <f aca="false">IF(L202="","",IF(UPPER(TRIM(Inputs!$B$23))="IDF_EQUATION",Inputs!$B$3/((L202+Inputs!$B$4)^Inputs!$B$5),INDEX(IDF_Station!$B$3:$G$11,IFERROR(MATCH(L202,IDF_Station!$A$3:$A$11,1),1),MATCH(Inputs!$B$24,IDF_Station!$B$2:$G$2,0))))</f>
        <v/>
      </c>
      <c r="X202" s="25" t="str">
        <f aca="false">IF(W202="","",IF(UPPER(TRIM(Inputs!$B$23))="IDF_EQUATION",Inputs!$B$3/((W202+Inputs!$B$4)^Inputs!$B$5),INDEX(IDF_Station!$B$3:$G$11,IFERROR(MATCH(W202,IDF_Station!$A$3:$A$11,1),1),MATCH(Inputs!$B$24,IDF_Station!$B$2:$G$2,0))))</f>
        <v/>
      </c>
    </row>
    <row r="203" customFormat="false" ht="15" hidden="false" customHeight="false" outlineLevel="0" collapsed="false">
      <c r="M203" s="25" t="str">
        <f aca="false">IF(L203="","",IF(UPPER(TRIM(Inputs!$B$23))="IDF_EQUATION",Inputs!$B$3/((L203+Inputs!$B$4)^Inputs!$B$5),INDEX(IDF_Station!$B$3:$G$11,IFERROR(MATCH(L203,IDF_Station!$A$3:$A$11,1),1),MATCH(Inputs!$B$24,IDF_Station!$B$2:$G$2,0))))</f>
        <v/>
      </c>
      <c r="X203" s="25" t="str">
        <f aca="false">IF(W203="","",IF(UPPER(TRIM(Inputs!$B$23))="IDF_EQUATION",Inputs!$B$3/((W203+Inputs!$B$4)^Inputs!$B$5),INDEX(IDF_Station!$B$3:$G$11,IFERROR(MATCH(W203,IDF_Station!$A$3:$A$11,1),1),MATCH(Inputs!$B$24,IDF_Station!$B$2:$G$2,0))))</f>
        <v/>
      </c>
    </row>
    <row r="204" customFormat="false" ht="15" hidden="false" customHeight="false" outlineLevel="0" collapsed="false">
      <c r="M204" s="25" t="str">
        <f aca="false">IF(L204="","",IF(UPPER(TRIM(Inputs!$B$23))="IDF_EQUATION",Inputs!$B$3/((L204+Inputs!$B$4)^Inputs!$B$5),INDEX(IDF_Station!$B$3:$G$11,IFERROR(MATCH(L204,IDF_Station!$A$3:$A$11,1),1),MATCH(Inputs!$B$24,IDF_Station!$B$2:$G$2,0))))</f>
        <v/>
      </c>
      <c r="X204" s="25" t="str">
        <f aca="false">IF(W204="","",IF(UPPER(TRIM(Inputs!$B$23))="IDF_EQUATION",Inputs!$B$3/((W204+Inputs!$B$4)^Inputs!$B$5),INDEX(IDF_Station!$B$3:$G$11,IFERROR(MATCH(W204,IDF_Station!$A$3:$A$11,1),1),MATCH(Inputs!$B$24,IDF_Station!$B$2:$G$2,0))))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7" activeCellId="0" sqref="B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2"/>
    <col collapsed="false" customWidth="true" hidden="false" outlineLevel="0" max="3" min="3" style="1" width="10"/>
    <col collapsed="false" customWidth="true" hidden="false" outlineLevel="0" max="4" min="4" style="1" width="48"/>
  </cols>
  <sheetData>
    <row r="1" customFormat="false" ht="15" hidden="false" customHeight="false" outlineLevel="0" collapsed="false">
      <c r="A1" s="12" t="s">
        <v>259</v>
      </c>
      <c r="B1" s="13"/>
      <c r="C1" s="13"/>
      <c r="D1" s="13"/>
    </row>
    <row r="3" customFormat="false" ht="15" hidden="false" customHeight="false" outlineLevel="0" collapsed="false">
      <c r="A3" s="14" t="s">
        <v>260</v>
      </c>
      <c r="B3" s="14" t="s">
        <v>33</v>
      </c>
      <c r="C3" s="14" t="s">
        <v>34</v>
      </c>
      <c r="D3" s="14" t="s">
        <v>261</v>
      </c>
    </row>
    <row r="4" customFormat="false" ht="15" hidden="false" customHeight="false" outlineLevel="0" collapsed="false">
      <c r="A4" s="4" t="s">
        <v>262</v>
      </c>
      <c r="B4" s="17" t="n">
        <f aca="false">SUM(Subcatchments!$E$4:$E$200)</f>
        <v>20822.7</v>
      </c>
      <c r="C4" s="4" t="s">
        <v>100</v>
      </c>
      <c r="D4" s="4"/>
    </row>
    <row r="5" customFormat="false" ht="15" hidden="false" customHeight="false" outlineLevel="0" collapsed="false">
      <c r="A5" s="4" t="s">
        <v>263</v>
      </c>
      <c r="B5" s="17" t="n">
        <f aca="false">SUM(Subcatchments!$P$4:$P$200)</f>
        <v>20822.7</v>
      </c>
      <c r="C5" s="4" t="s">
        <v>100</v>
      </c>
      <c r="D5" s="4"/>
    </row>
    <row r="6" customFormat="false" ht="15" hidden="false" customHeight="false" outlineLevel="0" collapsed="false">
      <c r="A6" s="4" t="s">
        <v>264</v>
      </c>
      <c r="B6" s="17" t="n">
        <f aca="false">SUMIFS(Subcatchments!$E$4:$E$200,Subcatchments!$F$4:$F$200,"ROOF")+SUMIFS(Subcatchments!$E$4:$E$200,Subcatchments!$F$4:$F$200,"PAVAGE")+SUMIFS(Subcatchments!$E$4:$E$200,Subcatchments!$F$4:$F$200,"TRESFOND")</f>
        <v>1869.7</v>
      </c>
      <c r="C6" s="4" t="s">
        <v>100</v>
      </c>
      <c r="D6" s="4"/>
    </row>
    <row r="7" customFormat="false" ht="15" hidden="false" customHeight="false" outlineLevel="0" collapsed="false">
      <c r="A7" s="4" t="s">
        <v>265</v>
      </c>
      <c r="B7" s="17" t="n">
        <f aca="false">SUMIFS(Subcatchments!$P$4:$P$200,Subcatchments!$Q$4:$Q$200,"ROOF")+SUMIFS(Subcatchments!$P$4:$P$200,Subcatchments!$Q$4:$Q$200,"PAVAGE")+SUMIFS(Subcatchments!$P$4:$P$200,Subcatchments!$Q$4:$Q$200,"TRESFOND")</f>
        <v>1869.7</v>
      </c>
      <c r="C7" s="4" t="s">
        <v>100</v>
      </c>
      <c r="D7" s="4"/>
    </row>
    <row r="8" customFormat="false" ht="15" hidden="false" customHeight="false" outlineLevel="0" collapsed="false">
      <c r="A8" s="4" t="s">
        <v>266</v>
      </c>
      <c r="B8" s="17" t="n">
        <f aca="false">SUMIFS(Subcatchments!$E$4:$E$200,Subcatchments!$F$4:$F$200,"GRASS")</f>
        <v>18555</v>
      </c>
      <c r="C8" s="4" t="s">
        <v>100</v>
      </c>
      <c r="D8" s="4"/>
    </row>
    <row r="9" customFormat="false" ht="15" hidden="false" customHeight="false" outlineLevel="0" collapsed="false">
      <c r="A9" s="4" t="s">
        <v>267</v>
      </c>
      <c r="B9" s="17" t="n">
        <f aca="false">SUMIFS(Subcatchments!$P$4:$P$200,Subcatchments!$Q$4:$Q$200,"GRASS")</f>
        <v>18555</v>
      </c>
      <c r="C9" s="4" t="s">
        <v>100</v>
      </c>
      <c r="D9" s="4"/>
    </row>
    <row r="10" customFormat="false" ht="15" hidden="false" customHeight="false" outlineLevel="0" collapsed="false">
      <c r="A10" s="4" t="s">
        <v>268</v>
      </c>
      <c r="B10" s="17" t="n">
        <f aca="false">SUM(Subcatchments!$N$4:$N$200)*Inputs!$B$6</f>
        <v>0.222942066499303</v>
      </c>
      <c r="C10" s="4" t="s">
        <v>89</v>
      </c>
      <c r="D10" s="4" t="s">
        <v>269</v>
      </c>
    </row>
    <row r="11" customFormat="false" ht="15" hidden="false" customHeight="false" outlineLevel="0" collapsed="false">
      <c r="A11" s="4" t="s">
        <v>270</v>
      </c>
      <c r="B11" s="17" t="n">
        <f aca="false">SUM(Subcatchments!$Y$4:$Y$200)*Inputs!$B$6</f>
        <v>0.201064699053594</v>
      </c>
      <c r="C11" s="4" t="s">
        <v>89</v>
      </c>
      <c r="D11" s="4" t="s">
        <v>269</v>
      </c>
    </row>
    <row r="12" customFormat="false" ht="15" hidden="false" customHeight="false" outlineLevel="0" collapsed="false">
      <c r="A12" s="4" t="s">
        <v>271</v>
      </c>
      <c r="B12" s="17" t="n">
        <f aca="false">B11-B10</f>
        <v>-0.021877367445709</v>
      </c>
      <c r="C12" s="4" t="s">
        <v>89</v>
      </c>
      <c r="D12" s="4"/>
    </row>
    <row r="13" customFormat="false" ht="15" hidden="false" customHeight="false" outlineLevel="0" collapsed="false">
      <c r="A13" s="4" t="s">
        <v>272</v>
      </c>
      <c r="B13" s="17" t="n">
        <f aca="false">IF(B10=0,"",B12/B10)</f>
        <v>-0.0981302801630641</v>
      </c>
      <c r="C13" s="4" t="s">
        <v>37</v>
      </c>
      <c r="D13" s="4"/>
    </row>
    <row r="16" customFormat="false" ht="15" hidden="false" customHeight="false" outlineLevel="0" collapsed="false">
      <c r="A16" s="26" t="s">
        <v>273</v>
      </c>
      <c r="B16" s="4" t="str">
        <f aca="false">Inputs!$B$20</f>
        <v>East culvert / ponceau</v>
      </c>
    </row>
    <row r="18" customFormat="false" ht="15" hidden="false" customHeight="false" outlineLevel="0" collapsed="false">
      <c r="A18" s="26" t="s">
        <v>274</v>
      </c>
      <c r="B18" s="27" t="str">
        <f aca="false">Inputs!$B$23&amp;" | "&amp;Inputs!$B$22&amp;" | "&amp;Inputs!$B$24</f>
        <v>idf_equation | SAINT-CONSTANT - McTavish station table | 100-Year</v>
      </c>
      <c r="C18" s="4" t="s">
        <v>37</v>
      </c>
      <c r="D18" s="4" t="s">
        <v>275</v>
      </c>
    </row>
    <row r="20" customFormat="false" ht="15" hidden="false" customHeight="false" outlineLevel="0" collapsed="false">
      <c r="A20" s="26" t="s">
        <v>276</v>
      </c>
      <c r="B20" s="4"/>
      <c r="C20" s="4"/>
      <c r="D20" s="4"/>
    </row>
    <row r="21" customFormat="false" ht="15" hidden="false" customHeight="false" outlineLevel="0" collapsed="false">
      <c r="A21" s="4" t="s">
        <v>277</v>
      </c>
      <c r="B21" s="17" t="n">
        <f aca="false">Inputs!$B$25</f>
        <v>0</v>
      </c>
      <c r="C21" s="4" t="s">
        <v>89</v>
      </c>
      <c r="D21" s="4" t="s">
        <v>278</v>
      </c>
    </row>
    <row r="22" customFormat="false" ht="15" hidden="false" customHeight="false" outlineLevel="0" collapsed="false">
      <c r="A22" s="4" t="s">
        <v>279</v>
      </c>
      <c r="B22" s="27" t="str">
        <f aca="false">IF(B21="","INPUT REQUIRED",IF(B11&lt;=B21,"PASS","FAIL"))</f>
        <v>FAIL</v>
      </c>
      <c r="C22" s="4" t="s">
        <v>37</v>
      </c>
      <c r="D22" s="4" t="s">
        <v>280</v>
      </c>
    </row>
    <row r="23" customFormat="false" ht="15" hidden="false" customHeight="false" outlineLevel="0" collapsed="false">
      <c r="A23" s="4" t="s">
        <v>281</v>
      </c>
      <c r="B23" s="17" t="n">
        <f aca="false">IF(B21="","",B21-B11)</f>
        <v>-0.201064699053594</v>
      </c>
      <c r="C23" s="4" t="s">
        <v>89</v>
      </c>
      <c r="D23" s="4" t="s">
        <v>282</v>
      </c>
    </row>
    <row r="25" customFormat="false" ht="15" hidden="false" customHeight="false" outlineLevel="0" collapsed="false">
      <c r="A25" s="14" t="s">
        <v>283</v>
      </c>
      <c r="B25" s="20"/>
      <c r="C25" s="20"/>
      <c r="D25" s="20"/>
    </row>
    <row r="26" customFormat="false" ht="15" hidden="false" customHeight="false" outlineLevel="0" collapsed="false">
      <c r="A26" s="4" t="s">
        <v>284</v>
      </c>
      <c r="B26" s="27" t="str">
        <f aca="false">IF(COUNTIF(Subcatchments!$C$4:$C$200,12712)&gt;0,"YES","NO")</f>
        <v>YES</v>
      </c>
      <c r="C26" s="4"/>
      <c r="D26" s="4"/>
    </row>
    <row r="27" customFormat="false" ht="15" hidden="false" customHeight="false" outlineLevel="0" collapsed="false">
      <c r="A27" s="4" t="s">
        <v>285</v>
      </c>
      <c r="B27" s="27" t="str">
        <f aca="false">IF(COUNTIF(Subcatchments!$C$4:$C$200,2961)&gt;0,"YES","NO")</f>
        <v>YES</v>
      </c>
      <c r="C27" s="4"/>
      <c r="D27" s="4"/>
    </row>
    <row r="28" customFormat="false" ht="15" hidden="false" customHeight="false" outlineLevel="0" collapsed="false">
      <c r="A28" s="4" t="s">
        <v>286</v>
      </c>
      <c r="B28" s="27" t="str">
        <f aca="false">IF(COUNTIF(Subcatchments!$C$4:$C$200,2882)&gt;0,"YES","NO")</f>
        <v>YES</v>
      </c>
      <c r="C28" s="4"/>
      <c r="D28" s="4"/>
    </row>
    <row r="29" customFormat="false" ht="15" hidden="false" customHeight="false" outlineLevel="0" collapsed="false">
      <c r="A29" s="4" t="s">
        <v>287</v>
      </c>
      <c r="B29" s="27" t="str">
        <f aca="false">IF(COUNTIF(Subcatchments!$C$4:$C$200,1869.7)&gt;0,"YES","NO")</f>
        <v>YES</v>
      </c>
      <c r="C29" s="4"/>
      <c r="D29" s="4"/>
    </row>
    <row r="30" customFormat="false" ht="15" hidden="false" customHeight="false" outlineLevel="0" collapsed="false">
      <c r="A30" s="4" t="s">
        <v>288</v>
      </c>
      <c r="B30" s="27" t="str">
        <f aca="false">IF(COUNTIF(Subcatchments!$C$4:$C$200,398)&gt;0,"YES","NO")</f>
        <v>YES</v>
      </c>
      <c r="C30" s="4"/>
      <c r="D30" s="4"/>
    </row>
    <row r="32" customFormat="false" ht="15" hidden="false" customHeight="false" outlineLevel="0" collapsed="false">
      <c r="A32" s="14" t="s">
        <v>289</v>
      </c>
      <c r="B32" s="20"/>
      <c r="C32" s="20"/>
      <c r="D32" s="20"/>
    </row>
    <row r="33" customFormat="false" ht="15" hidden="false" customHeight="false" outlineLevel="0" collapsed="false">
      <c r="A33" s="4" t="s">
        <v>290</v>
      </c>
      <c r="B33" s="17" t="n">
        <f aca="false">IF(OR(Subcatchments!$P$7="",Subcatchments!$X$7=""),"",0.000000278*(Inputs!$B$34*Inputs!$B$14+(1-Inputs!$B$34)*Inputs!$B$16)*Subcatchments!$P$7*Subcatchments!$X$7*Inputs!$B$6)</f>
        <v>0.00577801782090373</v>
      </c>
      <c r="C33" s="4" t="s">
        <v>89</v>
      </c>
      <c r="D33" s="4" t="s">
        <v>291</v>
      </c>
    </row>
    <row r="34" customFormat="false" ht="15" hidden="false" customHeight="false" outlineLevel="0" collapsed="false">
      <c r="A34" s="4" t="s">
        <v>292</v>
      </c>
      <c r="B34" s="17" t="n">
        <f aca="false">IF(OR(Subcatchments!$P$7="",Subcatchments!$X$7=""),"",0.000000278*(Inputs!$B$35*Inputs!$B$14+(1-Inputs!$B$35)*Inputs!$B$16)*Subcatchments!$P$7*Subcatchments!$X$7*Inputs!$B$6)</f>
        <v>0.00690849956847185</v>
      </c>
      <c r="C34" s="4" t="s">
        <v>89</v>
      </c>
      <c r="D34" s="4" t="s">
        <v>293</v>
      </c>
    </row>
    <row r="35" customFormat="false" ht="15" hidden="false" customHeight="false" outlineLevel="0" collapsed="false">
      <c r="A35" s="4" t="s">
        <v>294</v>
      </c>
      <c r="B35" s="17" t="n">
        <f aca="false">IF(OR(Subcatchments!$P$7="",Subcatchments!$X$7=""),"",0.000000278*(Inputs!$B$36*Inputs!$B$14+(1-Inputs!$B$36)*Inputs!$B$16)*Subcatchments!$P$7*Subcatchments!$X$7*Inputs!$B$6)</f>
        <v>0.00841580856522934</v>
      </c>
      <c r="C35" s="4" t="s">
        <v>89</v>
      </c>
      <c r="D35" s="4" t="s">
        <v>295</v>
      </c>
    </row>
    <row r="36" customFormat="false" ht="15" hidden="false" customHeight="false" outlineLevel="0" collapsed="false">
      <c r="A36" s="4" t="s">
        <v>296</v>
      </c>
      <c r="B36" s="17" t="n">
        <f aca="false">Subcatchments!$Y$7*Inputs!$B$6</f>
        <v>0.00690849956847185</v>
      </c>
      <c r="C36" s="4" t="s">
        <v>89</v>
      </c>
      <c r="D36" s="4" t="s">
        <v>297</v>
      </c>
    </row>
    <row r="38" customFormat="false" ht="15" hidden="false" customHeight="false" outlineLevel="0" collapsed="false">
      <c r="A38" s="14" t="s">
        <v>298</v>
      </c>
      <c r="B38" s="19" t="n">
        <f aca="false">Inputs!$B$49</f>
        <v>196.6</v>
      </c>
      <c r="C38" s="4" t="s">
        <v>126</v>
      </c>
      <c r="D38" s="4" t="s">
        <v>299</v>
      </c>
    </row>
    <row r="39" customFormat="false" ht="15" hidden="false" customHeight="false" outlineLevel="0" collapsed="false">
      <c r="A39" s="14" t="s">
        <v>300</v>
      </c>
      <c r="B39" s="19" t="n">
        <f aca="false">Inputs!$B$45</f>
        <v>196.6</v>
      </c>
      <c r="C39" s="4" t="s">
        <v>126</v>
      </c>
      <c r="D39" s="4" t="s">
        <v>301</v>
      </c>
    </row>
    <row r="40" customFormat="false" ht="15" hidden="false" customHeight="false" outlineLevel="0" collapsed="false">
      <c r="A40" s="14" t="s">
        <v>302</v>
      </c>
      <c r="B40" s="19" t="n">
        <f aca="false">Inputs!$B$50</f>
        <v>0</v>
      </c>
      <c r="C40" s="4" t="s">
        <v>126</v>
      </c>
      <c r="D40" s="4" t="s">
        <v>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4"/>
    <col collapsed="false" customWidth="true" hidden="false" outlineLevel="0" max="7" min="2" style="1" width="11"/>
  </cols>
  <sheetData>
    <row r="1" customFormat="false" ht="15" hidden="false" customHeight="false" outlineLevel="0" collapsed="false">
      <c r="A1" s="6" t="s">
        <v>304</v>
      </c>
      <c r="B1" s="7"/>
      <c r="C1" s="7"/>
      <c r="D1" s="7"/>
      <c r="E1" s="7"/>
      <c r="F1" s="7"/>
      <c r="G1" s="7"/>
    </row>
    <row r="2" customFormat="false" ht="15" hidden="false" customHeight="false" outlineLevel="0" collapsed="false">
      <c r="A2" s="14" t="s">
        <v>305</v>
      </c>
      <c r="B2" s="14" t="s">
        <v>306</v>
      </c>
      <c r="C2" s="14" t="s">
        <v>307</v>
      </c>
      <c r="D2" s="14" t="s">
        <v>308</v>
      </c>
      <c r="E2" s="14" t="s">
        <v>309</v>
      </c>
      <c r="F2" s="14" t="s">
        <v>310</v>
      </c>
      <c r="G2" s="14" t="s">
        <v>85</v>
      </c>
    </row>
    <row r="3" customFormat="false" ht="15" hidden="false" customHeight="false" outlineLevel="0" collapsed="false">
      <c r="A3" s="28" t="n">
        <v>5</v>
      </c>
      <c r="B3" s="28" t="n">
        <v>91.2</v>
      </c>
      <c r="C3" s="28" t="n">
        <v>120</v>
      </c>
      <c r="D3" s="28" t="n">
        <v>138</v>
      </c>
      <c r="E3" s="28" t="n">
        <v>162</v>
      </c>
      <c r="F3" s="28" t="n">
        <v>178.8</v>
      </c>
      <c r="G3" s="28" t="n">
        <v>196.8</v>
      </c>
    </row>
    <row r="4" customFormat="false" ht="15" hidden="false" customHeight="false" outlineLevel="0" collapsed="false">
      <c r="A4" s="28" t="n">
        <v>10</v>
      </c>
      <c r="B4" s="28" t="n">
        <v>69.6</v>
      </c>
      <c r="C4" s="28" t="n">
        <v>91.2</v>
      </c>
      <c r="D4" s="28" t="n">
        <v>105.6</v>
      </c>
      <c r="E4" s="28" t="n">
        <v>123.6</v>
      </c>
      <c r="F4" s="28" t="n">
        <v>136.8</v>
      </c>
      <c r="G4" s="28" t="n">
        <v>150</v>
      </c>
    </row>
    <row r="5" customFormat="false" ht="15" hidden="false" customHeight="false" outlineLevel="0" collapsed="false">
      <c r="A5" s="28" t="n">
        <v>15</v>
      </c>
      <c r="B5" s="28" t="n">
        <v>55.6</v>
      </c>
      <c r="C5" s="28" t="n">
        <v>74</v>
      </c>
      <c r="D5" s="28" t="n">
        <v>86.4</v>
      </c>
      <c r="E5" s="28" t="n">
        <v>102</v>
      </c>
      <c r="F5" s="28" t="n">
        <v>113.2</v>
      </c>
      <c r="G5" s="28" t="n">
        <v>124.8</v>
      </c>
    </row>
    <row r="6" customFormat="false" ht="15" hidden="false" customHeight="false" outlineLevel="0" collapsed="false">
      <c r="A6" s="28" t="n">
        <v>30</v>
      </c>
      <c r="B6" s="28" t="n">
        <v>39.6</v>
      </c>
      <c r="C6" s="28" t="n">
        <v>53.6</v>
      </c>
      <c r="D6" s="28" t="n">
        <v>62.8</v>
      </c>
      <c r="E6" s="28" t="n">
        <v>74.6</v>
      </c>
      <c r="F6" s="28" t="n">
        <v>83.4</v>
      </c>
      <c r="G6" s="28" t="n">
        <v>92</v>
      </c>
    </row>
    <row r="7" customFormat="false" ht="15" hidden="false" customHeight="false" outlineLevel="0" collapsed="false">
      <c r="A7" s="28" t="n">
        <v>60</v>
      </c>
      <c r="B7" s="28" t="n">
        <v>24.6</v>
      </c>
      <c r="C7" s="28" t="n">
        <v>36.3</v>
      </c>
      <c r="D7" s="28" t="n">
        <v>44.1</v>
      </c>
      <c r="E7" s="28" t="n">
        <v>53.9</v>
      </c>
      <c r="F7" s="28" t="n">
        <v>61.2</v>
      </c>
      <c r="G7" s="28" t="n">
        <v>68.4</v>
      </c>
    </row>
    <row r="8" customFormat="false" ht="15" hidden="false" customHeight="false" outlineLevel="0" collapsed="false">
      <c r="A8" s="28" t="n">
        <v>120</v>
      </c>
      <c r="B8" s="28" t="n">
        <v>13.7</v>
      </c>
      <c r="C8" s="28" t="n">
        <v>20.3</v>
      </c>
      <c r="D8" s="28" t="n">
        <v>24.7</v>
      </c>
      <c r="E8" s="28" t="n">
        <v>30.3</v>
      </c>
      <c r="F8" s="28" t="n">
        <v>34.4</v>
      </c>
      <c r="G8" s="28" t="n">
        <v>38.5</v>
      </c>
    </row>
    <row r="9" customFormat="false" ht="15" hidden="false" customHeight="false" outlineLevel="0" collapsed="false">
      <c r="A9" s="28" t="n">
        <v>360</v>
      </c>
      <c r="B9" s="28" t="n">
        <v>6</v>
      </c>
      <c r="C9" s="28" t="n">
        <v>8.1</v>
      </c>
      <c r="D9" s="28" t="n">
        <v>9.6</v>
      </c>
      <c r="E9" s="28" t="n">
        <v>11.4</v>
      </c>
      <c r="F9" s="28" t="n">
        <v>12.8</v>
      </c>
      <c r="G9" s="28" t="n">
        <v>14.2</v>
      </c>
    </row>
    <row r="10" customFormat="false" ht="15" hidden="false" customHeight="false" outlineLevel="0" collapsed="false">
      <c r="A10" s="28" t="n">
        <v>720</v>
      </c>
      <c r="B10" s="28" t="n">
        <v>3.6</v>
      </c>
      <c r="C10" s="28" t="n">
        <v>4.8</v>
      </c>
      <c r="D10" s="28" t="n">
        <v>5.5</v>
      </c>
      <c r="E10" s="28" t="n">
        <v>6.5</v>
      </c>
      <c r="F10" s="28" t="n">
        <v>7.2</v>
      </c>
      <c r="G10" s="28" t="n">
        <v>7.9</v>
      </c>
    </row>
    <row r="11" customFormat="false" ht="15" hidden="false" customHeight="false" outlineLevel="0" collapsed="false">
      <c r="A11" s="28" t="n">
        <v>1440</v>
      </c>
      <c r="B11" s="28" t="n">
        <v>2.1</v>
      </c>
      <c r="C11" s="28" t="n">
        <v>2.7</v>
      </c>
      <c r="D11" s="28" t="n">
        <v>3.1</v>
      </c>
      <c r="E11" s="28" t="n">
        <v>3.6</v>
      </c>
      <c r="F11" s="28" t="n">
        <v>3.9</v>
      </c>
      <c r="G11" s="28" t="n">
        <v>4.3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8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8" min="7" style="1" width="24"/>
    <col collapsed="false" customWidth="true" hidden="false" outlineLevel="0" max="9" min="9" style="1" width="40"/>
  </cols>
  <sheetData>
    <row r="1" customFormat="false" ht="15" hidden="false" customHeight="false" outlineLevel="0" collapsed="false">
      <c r="A1" s="12" t="s">
        <v>311</v>
      </c>
      <c r="B1" s="13"/>
      <c r="C1" s="13"/>
      <c r="D1" s="13"/>
      <c r="E1" s="13"/>
      <c r="F1" s="13"/>
      <c r="G1" s="13"/>
      <c r="H1" s="13"/>
      <c r="I1" s="13"/>
    </row>
    <row r="3" customFormat="false" ht="15" hidden="false" customHeight="false" outlineLevel="0" collapsed="false">
      <c r="A3" s="14" t="s">
        <v>149</v>
      </c>
      <c r="B3" s="14" t="s">
        <v>312</v>
      </c>
      <c r="C3" s="14" t="s">
        <v>313</v>
      </c>
      <c r="D3" s="14" t="s">
        <v>314</v>
      </c>
      <c r="E3" s="14" t="s">
        <v>315</v>
      </c>
      <c r="F3" s="14" t="s">
        <v>316</v>
      </c>
      <c r="G3" s="14" t="s">
        <v>317</v>
      </c>
      <c r="H3" s="14" t="s">
        <v>318</v>
      </c>
      <c r="I3" s="14" t="s">
        <v>160</v>
      </c>
    </row>
    <row r="4" customFormat="false" ht="15" hidden="false" customHeight="false" outlineLevel="0" collapsed="false">
      <c r="A4" s="4" t="s">
        <v>186</v>
      </c>
      <c r="B4" s="4" t="s">
        <v>319</v>
      </c>
      <c r="C4" s="4" t="n">
        <v>0</v>
      </c>
      <c r="D4" s="4"/>
      <c r="E4" s="4"/>
      <c r="F4" s="4"/>
      <c r="G4" s="27" t="str">
        <f aca="false">IF(OR(D4="",E4=""),"",IF(C4="","",100*(D4-E4)/MAX(0.001,1)))</f>
        <v/>
      </c>
      <c r="H4" s="27" t="str">
        <f aca="false">IF(OR(F4="",E4=""),"",IF(C4="","",100*(F4-E4)/MAX(0.001,1)))</f>
        <v/>
      </c>
      <c r="I4" s="4" t="s">
        <v>320</v>
      </c>
    </row>
    <row r="5" customFormat="false" ht="15" hidden="false" customHeight="false" outlineLevel="0" collapsed="false">
      <c r="A5" s="4" t="s">
        <v>186</v>
      </c>
      <c r="B5" s="4" t="s">
        <v>321</v>
      </c>
      <c r="C5" s="4"/>
      <c r="D5" s="4"/>
      <c r="E5" s="4"/>
      <c r="F5" s="4"/>
      <c r="G5" s="27" t="str">
        <f aca="false">IF(OR(D5="",E5=""),"",IF(C5="","",100*(D5-E5)/MAX(0.001,1)))</f>
        <v/>
      </c>
      <c r="H5" s="27" t="str">
        <f aca="false">IF(OR(F5="",E5=""),"",IF(C5="","",100*(F5-E5)/MAX(0.001,1)))</f>
        <v/>
      </c>
      <c r="I5" s="4" t="s">
        <v>322</v>
      </c>
    </row>
    <row r="6" customFormat="false" ht="15" hidden="false" customHeight="false" outlineLevel="0" collapsed="false">
      <c r="A6" s="4" t="s">
        <v>186</v>
      </c>
      <c r="B6" s="4" t="s">
        <v>323</v>
      </c>
      <c r="C6" s="4"/>
      <c r="D6" s="4"/>
      <c r="E6" s="4"/>
      <c r="F6" s="4"/>
      <c r="G6" s="27" t="str">
        <f aca="false">IF(OR(D6="",E6=""),"",IF(C6="","",100*(D6-E6)/MAX(0.001,1)))</f>
        <v/>
      </c>
      <c r="H6" s="27" t="str">
        <f aca="false">IF(OR(F6="",E6=""),"",IF(C6="","",100*(F6-E6)/MAX(0.001,1)))</f>
        <v/>
      </c>
      <c r="I6" s="4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911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2026-07-11T05:08:38Z</dcterms:created>
  <dc:creator>openpyxl</dc:creator>
  <dc:description/>
  <dc:language>en-CA</dc:language>
  <cp:lastModifiedBy/>
  <dcterms:modified xsi:type="dcterms:W3CDTF">2026-07-13T19:02:12Z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