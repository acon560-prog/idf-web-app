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Inputs" sheetId="2" state="visible" r:id="rId2"/>
    <sheet name="FlowPaths" sheetId="3" state="visible" r:id="rId3"/>
    <sheet name="Subcatchments" sheetId="4" state="visible" r:id="rId4"/>
    <sheet name="Summary_Before_After" sheetId="5" state="visible" r:id="rId5"/>
    <sheet name="IDF_Station" sheetId="6" state="visible" r:id="rId6"/>
    <sheet name="TrenchProfile_3Lines" sheetId="7" state="visible" r:id="rId7"/>
    <sheet name="Segment_Leg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[&lt;1]0.0000;0.000"/>
    <numFmt numFmtId="165" formatCode="0.0"/>
    <numFmt numFmtId="166" formatCode="0.0000"/>
    <numFmt numFmtId="167" formatCode="0.000"/>
    <numFmt numFmtId="168" formatCode="[&lt;1]0.000;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wrapText="1"/>
    </xf>
    <xf numFmtId="0" fontId="1" fillId="2" borderId="0" pivotButton="0" quotePrefix="0" xfId="0"/>
    <xf numFmtId="0" fontId="0" fillId="2" borderId="0" pivotButton="0" quotePrefix="0" xfId="0"/>
    <xf numFmtId="0" fontId="2" fillId="4" borderId="1" pivotButton="0" quotePrefix="0" xfId="0"/>
    <xf numFmtId="164" fontId="0" fillId="5" borderId="1" pivotButton="0" quotePrefix="0" xfId="0"/>
    <xf numFmtId="0" fontId="0" fillId="5" borderId="1" pivotButton="0" quotePrefix="0" xfId="0"/>
    <xf numFmtId="164" fontId="0" fillId="6" borderId="1" pivotButton="0" quotePrefix="0" xfId="0"/>
    <xf numFmtId="0" fontId="2" fillId="0" borderId="1" pivotButton="0" quotePrefix="0" xfId="0"/>
    <xf numFmtId="164" fontId="0" fillId="6" borderId="0" pivotButton="0" quotePrefix="0" xfId="0"/>
    <xf numFmtId="0" fontId="0" fillId="6" borderId="1" pivotButton="0" quotePrefix="0" xfId="0"/>
    <xf numFmtId="164" fontId="0" fillId="0" borderId="1" pivotButton="0" quotePrefix="0" xfId="0"/>
    <xf numFmtId="165" fontId="0" fillId="5" borderId="1" pivotButton="0" quotePrefix="0" xfId="0"/>
    <xf numFmtId="0" fontId="0" fillId="4" borderId="1" pivotButton="0" quotePrefix="0" xfId="0"/>
    <xf numFmtId="0" fontId="3" fillId="0" borderId="0" pivotButton="0" quotePrefix="0" xfId="0"/>
    <xf numFmtId="166" fontId="0" fillId="5" borderId="1" pivotButton="0" quotePrefix="0" xfId="0"/>
    <xf numFmtId="166" fontId="0" fillId="6" borderId="1" pivotButton="0" quotePrefix="0" xfId="0"/>
    <xf numFmtId="167" fontId="0" fillId="6" borderId="1" pivotButton="0" quotePrefix="0" xfId="0"/>
    <xf numFmtId="167" fontId="0" fillId="5" borderId="1" pivotButton="0" quotePrefix="0" xfId="0"/>
    <xf numFmtId="2" fontId="0" fillId="5" borderId="1" pivotButton="0" quotePrefix="0" xfId="0"/>
    <xf numFmtId="168" fontId="0" fillId="6" borderId="1" pivotButton="0" quotePrefix="0" xfId="0"/>
    <xf numFmtId="168" fontId="0" fillId="0" borderId="1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BASEBALL FIELD - HYDROLOGY BEFORE/AFTER (RATIONAL METHOD)</t>
        </is>
      </c>
      <c r="B1" s="2" t="n"/>
      <c r="C1" s="2" t="n"/>
      <c r="D1" s="2" t="n"/>
      <c r="E1" s="2" t="n"/>
      <c r="F1" s="2" t="n"/>
    </row>
    <row r="2">
      <c r="A2" s="3" t="n"/>
      <c r="B2" s="3" t="n"/>
      <c r="C2" s="3" t="n"/>
      <c r="D2" s="3" t="n"/>
      <c r="E2" s="3" t="n"/>
      <c r="F2" s="3" t="n"/>
    </row>
    <row r="3">
      <c r="A3" s="4" t="inlineStr">
        <is>
          <t>Purpose: compare runoff at east discharge (culvert/ponceau) before vs after renovation.</t>
        </is>
      </c>
      <c r="B3" s="3" t="n"/>
      <c r="C3" s="3" t="n"/>
      <c r="D3" s="3" t="n"/>
      <c r="E3" s="3" t="n"/>
      <c r="F3" s="3" t="n"/>
    </row>
    <row r="4">
      <c r="A4" s="4" t="inlineStr">
        <is>
          <t>Interpretation rule used: yellow textbox elevations = proposed; plain text elevations = existing.</t>
        </is>
      </c>
      <c r="B4" s="3" t="n"/>
      <c r="C4" s="3" t="n"/>
      <c r="D4" s="3" t="n"/>
      <c r="E4" s="3" t="n"/>
      <c r="F4" s="3" t="n"/>
    </row>
    <row r="5">
      <c r="A5" s="4" t="inlineStr">
        <is>
          <t>Known from user: total paved area shown in gray is 1869.7 m2; use inclusion factor in Inputs!B20 if only part contributes to baseball drainage.</t>
        </is>
      </c>
      <c r="B5" s="3" t="n"/>
      <c r="C5" s="3" t="n"/>
      <c r="D5" s="3" t="n"/>
      <c r="E5" s="3" t="n"/>
      <c r="F5" s="3" t="n"/>
    </row>
    <row r="6">
      <c r="A6" s="4" t="inlineStr">
        <is>
          <t>For this baseball-field model, drainage paths are represented as field sheet/trench/collector to east culvert; no building-internal mechanical path assumed.</t>
        </is>
      </c>
      <c r="B6" s="3" t="n"/>
      <c r="C6" s="3" t="n"/>
      <c r="D6" s="3" t="n"/>
      <c r="E6" s="3" t="n"/>
      <c r="F6" s="3" t="n"/>
    </row>
    <row r="7">
      <c r="A7" s="4" t="inlineStr">
        <is>
          <t>Subcatchments sheet: enter/adjust tributary areas and surfaces for each contributing zone.</t>
        </is>
      </c>
      <c r="B7" s="3" t="n"/>
      <c r="C7" s="3" t="n"/>
      <c r="D7" s="3" t="n"/>
      <c r="E7" s="3" t="n"/>
      <c r="F7" s="3" t="n"/>
    </row>
    <row r="8">
      <c r="A8" s="4" t="inlineStr">
        <is>
          <t>FlowPaths: AFTER uses trench/perforated underdrain representation for field strip (TRENCH) + pipe collector to outlet.</t>
        </is>
      </c>
      <c r="B8" s="3" t="n"/>
      <c r="C8" s="3" t="n"/>
      <c r="D8" s="3" t="n"/>
      <c r="E8" s="3" t="n"/>
      <c r="F8" s="3" t="n"/>
    </row>
    <row r="9">
      <c r="A9" s="4" t="inlineStr">
        <is>
          <t>Tc for each subcatchment = Tc base + travel time on assigned path (sum of segment times).</t>
        </is>
      </c>
      <c r="B9" s="3" t="n"/>
      <c r="C9" s="3" t="n"/>
      <c r="D9" s="3" t="n"/>
      <c r="E9" s="3" t="n"/>
      <c r="F9" s="3" t="n"/>
    </row>
    <row r="10">
      <c r="A10" s="4" t="inlineStr">
        <is>
          <t>Outputs are summarized in Summary_Before_After sheet with impervious/grass totals and Q before/after.</t>
        </is>
      </c>
      <c r="B10" s="3" t="n"/>
      <c r="C10" s="3" t="n"/>
      <c r="D10" s="3" t="n"/>
      <c r="E10" s="3" t="n"/>
      <c r="F10" s="3" t="n"/>
    </row>
    <row r="11">
      <c r="A11" s="4" t="inlineStr">
        <is>
          <t>Important: because the PDF text extraction is limited, verify/complete all tributary limits and areas from plan manually.</t>
        </is>
      </c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5" t="inlineStr">
        <is>
          <t>Data quality note</t>
        </is>
      </c>
      <c r="B13" s="6" t="n"/>
      <c r="C13" s="6" t="n"/>
      <c r="D13" s="6" t="n"/>
      <c r="E13" s="6" t="n"/>
      <c r="F13" s="6" t="n"/>
    </row>
    <row r="14">
      <c r="A14" s="7" t="inlineStr">
        <is>
          <t>Only one area is prefilled from your note (1869.7 m2 paved). Fill remaining tributary areas from plan labels in m2.</t>
        </is>
      </c>
      <c r="B14" s="3" t="n"/>
      <c r="C14" s="3" t="n"/>
      <c r="D14" s="3" t="n"/>
      <c r="E14" s="3" t="n"/>
      <c r="F14" s="3" t="n"/>
    </row>
    <row r="16">
      <c r="A16" t="inlineStr">
        <is>
          <t>Paved area scope note: 1869.7 m2 may extend west beyond baseball drainage scope; use inclusion factor (Inputs!B19) to limit contributing paved fraction.</t>
        </is>
      </c>
    </row>
    <row r="53">
      <c r="A53" t="inlineStr">
        <is>
          <t>Three-parallel-line symbol is interpreted as trench/ditch corridor with left-edge, center-invert, right-edge elevations.</t>
        </is>
      </c>
    </row>
    <row r="54">
      <c r="A54" t="inlineStr">
        <is>
          <t>Use TrenchProfile_3Lines sheet to input observed elevations along that corridor.</t>
        </is>
      </c>
    </row>
    <row r="57">
      <c r="A57" t="inlineStr">
        <is>
          <t>Takeoff updated with missing A=2882 m2 near outlet; verification block added in Summary_Before_After A25:B30.</t>
        </is>
      </c>
    </row>
    <row r="58">
      <c r="A58" t="inlineStr">
        <is>
          <t>Err:508 fix applied; formulas simplified for compatibility.</t>
        </is>
      </c>
    </row>
    <row r="59">
      <c r="A59" t="inlineStr">
        <is>
          <t>This workbook is for SAINT-CONSTANT. Intensity source defaults to station table (McTavish values provided).</t>
        </is>
      </c>
    </row>
    <row r="60">
      <c r="A60" t="inlineStr">
        <is>
          <t>IDF_a/b/c are used only when Intensity_source is switched to IDF_EQUATION.</t>
        </is>
      </c>
    </row>
    <row r="61">
      <c r="A61" t="inlineStr">
        <is>
          <t>Design intent: renovated field represented by trench/perforated underdrain plus collector to outlet (east culvert).</t>
        </is>
      </c>
    </row>
    <row r="62">
      <c r="A62" t="inlineStr">
        <is>
          <t>Mixed-surface sensitivity applies to SC-07 and SC-08 (422.73 m2 and 415.45 m2). SC-04 is fully impervious.</t>
        </is>
      </c>
    </row>
    <row r="63">
      <c r="A63" s="20" t="inlineStr">
        <is>
          <t>Collector note encoded explicitly: trunk east/bottom/west segments at P=0.5% are now Inputs-driven and included in AFTER Tc/Q via FlowPaths.</t>
        </is>
      </c>
    </row>
    <row r="64">
      <c r="A64" t="inlineStr">
        <is>
          <t>Impervious summary now includes GRAVEL via Inputs!B54 policy factor (set 1.0 include, 0.0 exclude).</t>
        </is>
      </c>
    </row>
    <row r="65">
      <c r="A65" t="inlineStr">
        <is>
          <t>Travel_time_min display precision reduced to two/three decimals for readability.</t>
        </is>
      </c>
    </row>
    <row r="66">
      <c r="A66" t="inlineStr">
        <is>
          <t>See Segment_Legend tab for A01/A02/A01T location mapping and length source references.</t>
        </is>
      </c>
    </row>
    <row r="67">
      <c r="A67" t="inlineStr">
        <is>
          <t>A03 length now uses Inputs!B47 (34.509 m) from user dimension markup; previous 12 m placeholder removed.</t>
        </is>
      </c>
    </row>
    <row r="68">
      <c r="A68" t="inlineStr">
        <is>
          <t>EAST-IN and EAST-OUT node naming aligned in FlowPaths/Segment_Legend for dimensioned east collector segments.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  <col width="70" customWidth="1" min="4" max="4"/>
  </cols>
  <sheetData>
    <row r="1">
      <c r="A1" s="8" t="inlineStr">
        <is>
          <t>INPUTS</t>
        </is>
      </c>
      <c r="B1" s="9" t="n"/>
      <c r="C1" s="9" t="n"/>
      <c r="D1" s="9" t="n"/>
    </row>
    <row r="2">
      <c r="A2" s="10" t="inlineStr">
        <is>
          <t>Parameter</t>
        </is>
      </c>
      <c r="B2" s="10" t="inlineStr">
        <is>
          <t>Value</t>
        </is>
      </c>
      <c r="C2" s="10" t="inlineStr">
        <is>
          <t>Unit</t>
        </is>
      </c>
      <c r="D2" s="10" t="inlineStr">
        <is>
          <t>Note</t>
        </is>
      </c>
    </row>
    <row r="3">
      <c r="A3" s="10" t="inlineStr">
        <is>
          <t>IDF_a</t>
        </is>
      </c>
      <c r="B3" s="11" t="n">
        <v>7423.67</v>
      </c>
      <c r="C3" s="3" t="inlineStr">
        <is>
          <t>-</t>
        </is>
      </c>
      <c r="D3" s="3" t="inlineStr">
        <is>
          <t>i = a/(tc+b)^c (only if Intensity_source=IDF_EQUATION)</t>
        </is>
      </c>
    </row>
    <row r="4">
      <c r="A4" s="10" t="inlineStr">
        <is>
          <t>IDF_b</t>
        </is>
      </c>
      <c r="B4" s="11" t="n">
        <v>33.5</v>
      </c>
      <c r="C4" s="3" t="inlineStr">
        <is>
          <t>min</t>
        </is>
      </c>
      <c r="D4" s="3" t="inlineStr">
        <is>
          <t>IDF parameter b (only if Intensity_source=IDF_EQUATION)</t>
        </is>
      </c>
    </row>
    <row r="5">
      <c r="A5" s="10" t="inlineStr">
        <is>
          <t>IDF_c</t>
        </is>
      </c>
      <c r="B5" s="11" t="n">
        <v>1.148</v>
      </c>
      <c r="C5" s="3" t="inlineStr">
        <is>
          <t>-</t>
        </is>
      </c>
      <c r="D5" s="3" t="inlineStr">
        <is>
          <t>IDF parameter c (only if Intensity_source=IDF_EQUATION)</t>
        </is>
      </c>
    </row>
    <row r="6">
      <c r="A6" s="10" t="inlineStr">
        <is>
          <t>Flow_safety_factor</t>
        </is>
      </c>
      <c r="B6" s="11" t="n">
        <v>1.1</v>
      </c>
      <c r="C6" s="3" t="inlineStr">
        <is>
          <t>-</t>
        </is>
      </c>
      <c r="D6" s="3" t="inlineStr">
        <is>
          <t>Multiply local+upstream flow</t>
        </is>
      </c>
    </row>
    <row r="7">
      <c r="A7" s="10" t="inlineStr">
        <is>
          <t>V_sheet_default_mps</t>
        </is>
      </c>
      <c r="B7" s="11" t="n">
        <v>0.3</v>
      </c>
      <c r="C7" s="3" t="inlineStr">
        <is>
          <t>m/s</t>
        </is>
      </c>
      <c r="D7" s="3" t="inlineStr">
        <is>
          <t>Sheet/overland flow adopted velocity</t>
        </is>
      </c>
    </row>
    <row r="8">
      <c r="A8" s="10" t="inlineStr">
        <is>
          <t>V_swale_default_mps</t>
        </is>
      </c>
      <c r="B8" s="11" t="n">
        <v>1</v>
      </c>
      <c r="C8" s="3" t="inlineStr">
        <is>
          <t>m/s</t>
        </is>
      </c>
      <c r="D8" s="3" t="inlineStr">
        <is>
          <t>Swale/channel adopted velocity</t>
        </is>
      </c>
    </row>
    <row r="9">
      <c r="A9" s="10" t="inlineStr">
        <is>
          <t>V_pipe_default_mps</t>
        </is>
      </c>
      <c r="B9" s="11" t="n">
        <v>1.5</v>
      </c>
      <c r="C9" s="3" t="inlineStr">
        <is>
          <t>m/s</t>
        </is>
      </c>
      <c r="D9" s="3" t="inlineStr">
        <is>
          <t>Pipe adopted velocity</t>
        </is>
      </c>
    </row>
    <row r="10">
      <c r="A10" s="10" t="inlineStr">
        <is>
          <t>V_internal_default_mps</t>
        </is>
      </c>
      <c r="B10" s="11" t="n">
        <v>1.5</v>
      </c>
      <c r="C10" s="3" t="inlineStr">
        <is>
          <t>m/s</t>
        </is>
      </c>
      <c r="D10" s="3" t="inlineStr">
        <is>
          <t>INTERNAL velocity reserved; unused unless a dedicated internal path is intentionally reintroduced.</t>
        </is>
      </c>
    </row>
    <row r="11">
      <c r="A11" s="10" t="inlineStr">
        <is>
          <t>Default_Tc_base_before_min</t>
        </is>
      </c>
      <c r="B11" s="11" t="n">
        <v>7</v>
      </c>
      <c r="C11" s="3" t="inlineStr">
        <is>
          <t>min</t>
        </is>
      </c>
      <c r="D11" s="3" t="inlineStr">
        <is>
          <t>Base Tc if not overridden (before)</t>
        </is>
      </c>
    </row>
    <row r="12">
      <c r="A12" s="10" t="inlineStr">
        <is>
          <t>Default_Tc_base_after_min</t>
        </is>
      </c>
      <c r="B12" s="11" t="n">
        <v>7</v>
      </c>
      <c r="C12" s="3" t="inlineStr">
        <is>
          <t>min</t>
        </is>
      </c>
      <c r="D12" s="3" t="inlineStr">
        <is>
          <t>Base Tc if not overridden (after)</t>
        </is>
      </c>
    </row>
    <row r="13">
      <c r="A13" s="10" t="inlineStr">
        <is>
          <t>C_roof</t>
        </is>
      </c>
      <c r="B13" s="11" t="n">
        <v>0.95</v>
      </c>
      <c r="C13" s="3" t="inlineStr">
        <is>
          <t>-</t>
        </is>
      </c>
      <c r="D13" s="3" t="inlineStr">
        <is>
          <t>Runoff coefficient roof</t>
        </is>
      </c>
    </row>
    <row r="14">
      <c r="A14" s="10" t="inlineStr">
        <is>
          <t>C_pavage</t>
        </is>
      </c>
      <c r="B14" s="11" t="n">
        <v>0.85</v>
      </c>
      <c r="C14" s="3" t="inlineStr">
        <is>
          <t>-</t>
        </is>
      </c>
      <c r="D14" s="3" t="inlineStr">
        <is>
          <t>Runoff coefficient pavement/pave-uni</t>
        </is>
      </c>
    </row>
    <row r="15">
      <c r="A15" s="10" t="inlineStr">
        <is>
          <t>C_grass_existing</t>
        </is>
      </c>
      <c r="B15" s="11" t="n">
        <v>0.3</v>
      </c>
      <c r="C15" s="3" t="inlineStr">
        <is>
          <t>-</t>
        </is>
      </c>
      <c r="D15" s="3" t="inlineStr">
        <is>
          <t>Runoff coefficient grass existing</t>
        </is>
      </c>
    </row>
    <row r="16">
      <c r="A16" s="10" t="inlineStr">
        <is>
          <t>C_grass_proposed</t>
        </is>
      </c>
      <c r="B16" s="11" t="n">
        <v>0.25</v>
      </c>
      <c r="C16" s="3" t="inlineStr">
        <is>
          <t>-</t>
        </is>
      </c>
      <c r="D16" s="3" t="inlineStr">
        <is>
          <t>Runoff coefficient grass proposed</t>
        </is>
      </c>
    </row>
    <row r="17">
      <c r="A17" s="10" t="inlineStr">
        <is>
          <t>C_gravel</t>
        </is>
      </c>
      <c r="B17" s="11" t="n">
        <v>0.55</v>
      </c>
      <c r="C17" s="3" t="inlineStr">
        <is>
          <t>-</t>
        </is>
      </c>
      <c r="D17" s="3" t="inlineStr">
        <is>
          <t>Runoff coefficient gravel</t>
        </is>
      </c>
    </row>
    <row r="18">
      <c r="A18" s="10" t="inlineStr">
        <is>
          <t>C_bare_soil</t>
        </is>
      </c>
      <c r="B18" s="11" t="n">
        <v>0.45</v>
      </c>
      <c r="C18" s="3" t="inlineStr">
        <is>
          <t>-</t>
        </is>
      </c>
      <c r="D18" s="3" t="inlineStr">
        <is>
          <t>Runoff coefficient bare soil/infield</t>
        </is>
      </c>
    </row>
    <row r="19">
      <c r="A19" s="10" t="inlineStr">
        <is>
          <t>Paved_area_inclusion_factor_for_baseball</t>
        </is>
      </c>
      <c r="B19" s="11" t="n">
        <v>1</v>
      </c>
      <c r="C19" s="3" t="inlineStr">
        <is>
          <t>0-1</t>
        </is>
      </c>
      <c r="D19" s="3" t="inlineStr">
        <is>
          <t>Use &lt;1 if only part of 1869.7 m2 drains to baseball design outlet</t>
        </is>
      </c>
    </row>
    <row r="20">
      <c r="A20" s="10" t="inlineStr">
        <is>
          <t>Discharge_node_name</t>
        </is>
      </c>
      <c r="B20" s="12" t="inlineStr">
        <is>
          <t>East culvert / ponceau</t>
        </is>
      </c>
      <c r="C20" s="3" t="inlineStr">
        <is>
          <t>-</t>
        </is>
      </c>
      <c r="D20" s="3" t="inlineStr">
        <is>
          <t>Main discharge reference</t>
        </is>
      </c>
    </row>
    <row r="22">
      <c r="A22" s="10" t="inlineStr">
        <is>
          <t>IDF_station_name</t>
        </is>
      </c>
      <c r="B22" s="12" t="inlineStr">
        <is>
          <t>SAINT-CONSTANT - McTavish station table</t>
        </is>
      </c>
      <c r="C22" s="3" t="inlineStr">
        <is>
          <t>-</t>
        </is>
      </c>
      <c r="D22" s="3" t="inlineStr">
        <is>
          <t>Project context: Saint-Constant. Station table currently from McTavish values provided by user.</t>
        </is>
      </c>
    </row>
    <row r="23">
      <c r="A23" s="10" t="inlineStr">
        <is>
          <t>Intensity_source</t>
        </is>
      </c>
      <c r="B23" s="12" t="inlineStr">
        <is>
          <t>STATION_TABLE</t>
        </is>
      </c>
      <c r="C23" s="3" t="inlineStr">
        <is>
          <t>(STATION_TABLE/IDF_EQUATION)</t>
        </is>
      </c>
      <c r="D23" s="3" t="inlineStr">
        <is>
          <t>Default STATION_TABLE. Use IDF_EQUATION only if a,b,c are valid for same station.</t>
        </is>
      </c>
    </row>
    <row r="24">
      <c r="A24" s="10" t="inlineStr">
        <is>
          <t>Return_period_column</t>
        </is>
      </c>
      <c r="B24" s="12" t="inlineStr">
        <is>
          <t>100-Year</t>
        </is>
      </c>
      <c r="C24" s="3" t="inlineStr">
        <is>
          <t>text</t>
        </is>
      </c>
      <c r="D24" s="3" t="inlineStr">
        <is>
          <t>Must match one header in IDF_Station row 2.</t>
        </is>
      </c>
    </row>
    <row r="25">
      <c r="A25" s="10" t="inlineStr">
        <is>
          <t>Q_allowable_user_m3s</t>
        </is>
      </c>
      <c r="B25" s="12" t="inlineStr"/>
      <c r="C25" s="3" t="inlineStr">
        <is>
          <t>m3/s</t>
        </is>
      </c>
      <c r="D25" s="3" t="inlineStr">
        <is>
          <t>Enter allowable release at watercourse/culvert per authority or project criterion.</t>
        </is>
      </c>
    </row>
    <row r="26">
      <c r="A26" s="10" t="inlineStr">
        <is>
          <t>Q_allowable_basis</t>
        </is>
      </c>
      <c r="B26" s="12" t="inlineStr">
        <is>
          <t>User/City criterion</t>
        </is>
      </c>
      <c r="C26" s="3" t="inlineStr">
        <is>
          <t>-</t>
        </is>
      </c>
      <c r="D26" s="3" t="inlineStr">
        <is>
          <t>Example: Q_after &lt;= Q_before or municipal limit.</t>
        </is>
      </c>
    </row>
    <row r="27">
      <c r="A27" s="10" t="inlineStr">
        <is>
          <t>V_trench_perforated_default_mps</t>
        </is>
      </c>
      <c r="B27" s="12" t="n">
        <v>0.9</v>
      </c>
      <c r="C27" s="3" t="inlineStr">
        <is>
          <t>m/s</t>
        </is>
      </c>
      <c r="D27" s="3" t="inlineStr">
        <is>
          <t>Adopted velocity for perforated underdrain in trench envelope (geotextile + stone).</t>
        </is>
      </c>
    </row>
    <row r="31">
      <c r="A31" s="10" t="inlineStr">
        <is>
          <t>Mixed_block_target_subcatchments</t>
        </is>
      </c>
      <c r="B31" s="11" t="inlineStr">
        <is>
          <t>SC-07 + SC-08</t>
        </is>
      </c>
      <c r="C31" s="3" t="inlineStr">
        <is>
          <t>-</t>
        </is>
      </c>
      <c r="D31" s="3" t="inlineStr">
        <is>
          <t>Outlet uncertain block for mixed-surface sensitivity.</t>
        </is>
      </c>
    </row>
    <row r="32">
      <c r="A32" s="10" t="inlineStr">
        <is>
          <t>Mixed_block_total_area_m2</t>
        </is>
      </c>
      <c r="B32" s="13">
        <f>SUM(Subcatchments!$C$9:$C$10)</f>
        <v/>
      </c>
      <c r="C32" s="3" t="inlineStr">
        <is>
          <t>m2</t>
        </is>
      </c>
      <c r="D32" s="3" t="inlineStr">
        <is>
          <t>Should match SC-04 area.</t>
        </is>
      </c>
    </row>
    <row r="33">
      <c r="A33" s="10" t="inlineStr">
        <is>
          <t>Mixed_block_sensitivity_mode (LOW/BASE/HIGH)</t>
        </is>
      </c>
      <c r="B33" s="11" t="inlineStr">
        <is>
          <t>BASE</t>
        </is>
      </c>
      <c r="C33" s="3" t="inlineStr">
        <is>
          <t>text</t>
        </is>
      </c>
      <c r="D33" s="3" t="inlineStr">
        <is>
          <t>Controls impervious fraction used for SC-04.</t>
        </is>
      </c>
    </row>
    <row r="34">
      <c r="A34" s="10" t="inlineStr">
        <is>
          <t>Mixed_block_impervious_fraction_LOW</t>
        </is>
      </c>
      <c r="B34" s="11" t="n">
        <v>0.35</v>
      </c>
      <c r="C34" s="3" t="inlineStr">
        <is>
          <t>0-1</t>
        </is>
      </c>
      <c r="D34" s="3" t="inlineStr">
        <is>
          <t>Low impervious assumption.</t>
        </is>
      </c>
    </row>
    <row r="35">
      <c r="A35" s="10" t="inlineStr">
        <is>
          <t>Mixed_block_impervious_fraction_BASE</t>
        </is>
      </c>
      <c r="B35" s="11" t="n">
        <v>0.5</v>
      </c>
      <c r="C35" s="3" t="inlineStr">
        <is>
          <t>0-1</t>
        </is>
      </c>
      <c r="D35" s="3" t="inlineStr">
        <is>
          <t>Base impervious assumption.</t>
        </is>
      </c>
    </row>
    <row r="36">
      <c r="A36" s="10" t="inlineStr">
        <is>
          <t>Mixed_block_impervious_fraction_HIGH</t>
        </is>
      </c>
      <c r="B36" s="11" t="n">
        <v>0.7</v>
      </c>
      <c r="C36" s="3" t="inlineStr">
        <is>
          <t>0-1</t>
        </is>
      </c>
      <c r="D36" s="3" t="inlineStr">
        <is>
          <t>High impervious assumption.</t>
        </is>
      </c>
    </row>
    <row r="37">
      <c r="A37" s="10" t="inlineStr">
        <is>
          <t>Mixed_block_impervious_fraction_used</t>
        </is>
      </c>
      <c r="B37" s="13">
        <f>IF(UPPER(TRIM(B33))="LOW",B34,IF(UPPER(TRIM(B33))="HIGH",B36,B35))</f>
        <v/>
      </c>
      <c r="C37" s="3" t="inlineStr">
        <is>
          <t>0-1</t>
        </is>
      </c>
      <c r="D37" s="3" t="inlineStr">
        <is>
          <t>Selected by mode.</t>
        </is>
      </c>
    </row>
    <row r="38">
      <c r="A38" s="10" t="inlineStr">
        <is>
          <t>Mixed_block_grass_fraction_used</t>
        </is>
      </c>
      <c r="B38" s="13">
        <f>1-B37</f>
        <v/>
      </c>
      <c r="C38" s="3" t="inlineStr">
        <is>
          <t>0-1</t>
        </is>
      </c>
      <c r="D38" s="3" t="inlineStr">
        <is>
          <t>Complementary fraction.</t>
        </is>
      </c>
    </row>
    <row r="39">
      <c r="A39" s="10" t="inlineStr">
        <is>
          <t>Mixed_block_C_before_weighted</t>
        </is>
      </c>
      <c r="B39" s="13">
        <f>B37*B14+B38*B15</f>
        <v/>
      </c>
      <c r="C39" s="3" t="inlineStr">
        <is>
          <t>-</t>
        </is>
      </c>
      <c r="D39" s="3" t="inlineStr">
        <is>
          <t>Weighted C for BEFORE (pavage + grass existing).</t>
        </is>
      </c>
    </row>
    <row r="40">
      <c r="A40" s="10" t="inlineStr">
        <is>
          <t>Mixed_block_C_after_weighted</t>
        </is>
      </c>
      <c r="B40" s="13">
        <f>B37*B14+B38*B16</f>
        <v/>
      </c>
      <c r="C40" s="3" t="inlineStr">
        <is>
          <t>-</t>
        </is>
      </c>
      <c r="D40" s="3" t="inlineStr">
        <is>
          <t>Weighted C for AFTER (pavage + grass proposed).</t>
        </is>
      </c>
    </row>
    <row r="41">
      <c r="A41" s="10" t="inlineStr">
        <is>
          <t>Mixed_block_enable_override (YES/NO)</t>
        </is>
      </c>
      <c r="B41" s="11" t="inlineStr">
        <is>
          <t>YES</t>
        </is>
      </c>
      <c r="C41" s="3" t="inlineStr">
        <is>
          <t>text</t>
        </is>
      </c>
      <c r="D41" s="3" t="inlineStr">
        <is>
          <t>If YES, SC-04 uses weighted C overrides.</t>
        </is>
      </c>
    </row>
    <row r="43">
      <c r="A43" s="10" t="inlineStr">
        <is>
          <t>Collector_trunk_slope_m_per_m</t>
        </is>
      </c>
      <c r="B43" s="21" t="n">
        <v>0.005</v>
      </c>
      <c r="C43" s="3" t="inlineStr">
        <is>
          <t>m/m</t>
        </is>
      </c>
      <c r="D43" s="3" t="inlineStr">
        <is>
          <t>From plan note: COLLECTEUR A VENIR (P=0.5%).</t>
        </is>
      </c>
    </row>
    <row r="44">
      <c r="A44" s="10" t="inlineStr">
        <is>
          <t>Collector_trunk_delta_invert_to_lowpoint_m</t>
        </is>
      </c>
      <c r="B44" s="21" t="n">
        <v>0.983</v>
      </c>
      <c r="C44" s="3" t="inlineStr">
        <is>
          <t>m</t>
        </is>
      </c>
      <c r="D44" s="3" t="inlineStr">
        <is>
          <t>From plan note: radier = 0.983 m above collector low point.</t>
        </is>
      </c>
    </row>
    <row r="45">
      <c r="A45" s="10" t="inlineStr">
        <is>
          <t>Collector_trunk_chainage_implied_by_note_m</t>
        </is>
      </c>
      <c r="B45" s="22">
        <f>IF(B43=0,"",B44/B43)</f>
        <v/>
      </c>
      <c r="C45" s="3" t="inlineStr">
        <is>
          <t>m</t>
        </is>
      </c>
      <c r="D45" s="3" t="inlineStr">
        <is>
          <t>Implied chainage from note (delta/slope).</t>
        </is>
      </c>
    </row>
    <row r="46">
      <c r="A46" s="10" t="inlineStr">
        <is>
          <t>Collector_trunk_east_length_m</t>
        </is>
      </c>
      <c r="B46" s="24" t="n">
        <v>66.398</v>
      </c>
      <c r="C46" s="3" t="inlineStr">
        <is>
          <t>m</t>
        </is>
      </c>
      <c r="D46" s="3" t="inlineStr">
        <is>
          <t>From latest image dimension (66.398 m) along east-side collector trajectory.</t>
        </is>
      </c>
    </row>
    <row r="47">
      <c r="A47" s="10" t="inlineStr">
        <is>
          <t>Collector_trunk_bottom_length_m</t>
        </is>
      </c>
      <c r="B47" s="24" t="n">
        <v>34.509</v>
      </c>
      <c r="C47" s="3" t="inlineStr">
        <is>
          <t>m</t>
        </is>
      </c>
      <c r="D47" s="3" t="inlineStr">
        <is>
          <t>From latest image dimension (34.509 m) along center-to-south trajectory.</t>
        </is>
      </c>
    </row>
    <row r="48">
      <c r="A48" s="10" t="inlineStr">
        <is>
          <t>Collector_trunk_west_length_m</t>
        </is>
      </c>
      <c r="B48" s="24" t="n">
        <v>67.02500000000001</v>
      </c>
      <c r="C48" s="3" t="inlineStr">
        <is>
          <t>m</t>
        </is>
      </c>
      <c r="D48" s="3" t="inlineStr">
        <is>
          <t>From latest image dimension (67.025 m) for west-side reach shown by dimension tool.</t>
        </is>
      </c>
    </row>
    <row r="49">
      <c r="A49" s="10" t="inlineStr">
        <is>
          <t>Collector_trunk_total_explicit_length_m</t>
        </is>
      </c>
      <c r="B49" s="23">
        <f>SUM(B46:B48)</f>
        <v/>
      </c>
      <c r="C49" s="3" t="inlineStr">
        <is>
          <t>m</t>
        </is>
      </c>
      <c r="D49" s="3" t="inlineStr">
        <is>
          <t>Total explicit chainage used in path travel times.</t>
        </is>
      </c>
    </row>
    <row r="50">
      <c r="A50" s="10" t="inlineStr">
        <is>
          <t>Collector_trunk_length_diff_explicit_minus_implied_m</t>
        </is>
      </c>
      <c r="B50" s="23">
        <f>B49-B45</f>
        <v/>
      </c>
      <c r="C50" s="3" t="inlineStr">
        <is>
          <t>m</t>
        </is>
      </c>
      <c r="D50" s="3" t="inlineStr">
        <is>
          <t>Close to 0 when explicit chainage matches plan note.</t>
        </is>
      </c>
    </row>
    <row r="51">
      <c r="A51" s="10" t="inlineStr">
        <is>
          <t>Collector_trunk_conveyance_type</t>
        </is>
      </c>
      <c r="B51" s="12" t="inlineStr">
        <is>
          <t>PIPE</t>
        </is>
      </c>
      <c r="C51" s="3" t="inlineStr">
        <is>
          <t>text</t>
        </is>
      </c>
      <c r="D51" s="3" t="inlineStr">
        <is>
          <t>Use PIPE unless redesign requires other conveyance.</t>
        </is>
      </c>
    </row>
    <row r="52">
      <c r="A52" s="10" t="inlineStr">
        <is>
          <t>Collector_trunk_velocity_override_mps</t>
        </is>
      </c>
      <c r="B52" s="21" t="n">
        <v>1.5</v>
      </c>
      <c r="C52" s="3" t="inlineStr">
        <is>
          <t>m/s</t>
        </is>
      </c>
      <c r="D52" s="3" t="inlineStr">
        <is>
          <t>Override trunk velocity (leave numeric to force value).</t>
        </is>
      </c>
    </row>
    <row r="53">
      <c r="A53" s="10" t="inlineStr">
        <is>
          <t>Collector_trunk_enable_after_paths (YES/NO)</t>
        </is>
      </c>
      <c r="B53" s="12" t="inlineStr">
        <is>
          <t>YES</t>
        </is>
      </c>
      <c r="C53" s="3" t="inlineStr">
        <is>
          <t>text</t>
        </is>
      </c>
      <c r="D53" s="3" t="inlineStr">
        <is>
          <t>YES adds trunk segments to AFTER travel times and Tc.</t>
        </is>
      </c>
    </row>
    <row r="54">
      <c r="A54" s="10" t="inlineStr">
        <is>
          <t>Gravel_impervious_factor_for_summary_0to1</t>
        </is>
      </c>
      <c r="B54" s="25" t="n">
        <v>1</v>
      </c>
      <c r="C54" s="3" t="inlineStr">
        <is>
          <t>-</t>
        </is>
      </c>
      <c r="D54" s="3" t="inlineStr">
        <is>
          <t>1.0 counts all gravel as impervious in totals; set 0.0 to exclude.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" customWidth="1" min="3" max="3"/>
    <col width="10" customWidth="1" min="4" max="4"/>
    <col width="40" customWidth="1" min="5" max="5"/>
    <col width="16" customWidth="1" min="6" max="6"/>
    <col width="12" customWidth="1" min="7" max="7"/>
    <col width="10" customWidth="1" min="8" max="8"/>
    <col width="18" customWidth="1" min="9" max="9"/>
    <col width="14" customWidth="1" min="10" max="10"/>
    <col width="14" customWidth="1" min="11" max="11"/>
    <col width="14" customWidth="1" min="12" max="12"/>
    <col width="36" customWidth="1" min="13" max="13"/>
  </cols>
  <sheetData>
    <row r="1">
      <c r="A1" s="8" t="inlineStr">
        <is>
          <t>FLOW PATHS (BEFORE / AFTER)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</row>
    <row r="3">
      <c r="A3" s="10" t="inlineStr">
        <is>
          <t>Scenario</t>
        </is>
      </c>
      <c r="B3" s="10" t="inlineStr">
        <is>
          <t>Path_ID</t>
        </is>
      </c>
      <c r="C3" s="10" t="inlineStr">
        <is>
          <t>Seq</t>
        </is>
      </c>
      <c r="D3" s="10" t="inlineStr">
        <is>
          <t>Segment_ID</t>
        </is>
      </c>
      <c r="E3" s="10" t="inlineStr">
        <is>
          <t>Segment_description</t>
        </is>
      </c>
      <c r="F3" s="10" t="inlineStr">
        <is>
          <t>Conveyance_type</t>
        </is>
      </c>
      <c r="G3" s="10" t="inlineStr">
        <is>
          <t>Length_m</t>
        </is>
      </c>
      <c r="H3" s="10" t="inlineStr">
        <is>
          <t>Slope_m/m</t>
        </is>
      </c>
      <c r="I3" s="10" t="inlineStr">
        <is>
          <t>Velocity_override_mps</t>
        </is>
      </c>
      <c r="J3" s="10" t="inlineStr">
        <is>
          <t>Velocity_used_mps</t>
        </is>
      </c>
      <c r="K3" s="10" t="inlineStr">
        <is>
          <t>Travel_time_min</t>
        </is>
      </c>
      <c r="L3" s="10" t="inlineStr">
        <is>
          <t>To_node</t>
        </is>
      </c>
      <c r="M3" s="10" t="inlineStr">
        <is>
          <t>Notes</t>
        </is>
      </c>
    </row>
    <row r="4">
      <c r="A4" s="3" t="inlineStr">
        <is>
          <t>BEFORE</t>
        </is>
      </c>
      <c r="B4" s="3" t="inlineStr">
        <is>
          <t>P-EAST</t>
        </is>
      </c>
      <c r="C4" s="3" t="n">
        <v>1</v>
      </c>
      <c r="D4" s="3" t="inlineStr">
        <is>
          <t>B01</t>
        </is>
      </c>
      <c r="E4" s="3" t="inlineStr">
        <is>
          <t>Field runoff to east edge</t>
        </is>
      </c>
      <c r="F4" s="3" t="inlineStr">
        <is>
          <t>SHEET</t>
        </is>
      </c>
      <c r="G4" s="3" t="n">
        <v>35</v>
      </c>
      <c r="H4" s="3" t="n">
        <v>0.01</v>
      </c>
      <c r="I4" s="3" t="inlineStr"/>
      <c r="J4" s="13">
        <f>IF(I4&lt;&gt;"",I4,IF(UPPER(TRIM(F4))="SHEET",Inputs!$B$7,IF(UPPER(TRIM(F4))="SWALE",Inputs!$B$8,IF(UPPER(TRIM(F4))="TRENCH",Inputs!$B$27,IF(UPPER(TRIM(F4))="PIPE",Inputs!$B$9,Inputs!$B$10)))))</f>
        <v/>
      </c>
      <c r="K4" s="26">
        <f>IF(OR(G4="",J4=""),"",G4/(J4*60))</f>
        <v/>
      </c>
      <c r="L4" s="3" t="inlineStr">
        <is>
          <t>EAST-OUT</t>
        </is>
      </c>
      <c r="M4" s="3" t="inlineStr">
        <is>
          <t>If old subdrain exists but deteriorated, keep SHEET velocity conservative or split into extra segment.</t>
        </is>
      </c>
    </row>
    <row r="5">
      <c r="A5" s="3" t="inlineStr">
        <is>
          <t>BEFORE</t>
        </is>
      </c>
      <c r="B5" s="3" t="inlineStr">
        <is>
          <t>P-EAST</t>
        </is>
      </c>
      <c r="C5" s="3" t="n">
        <v>2</v>
      </c>
      <c r="D5" s="3" t="inlineStr">
        <is>
          <t>B02</t>
        </is>
      </c>
      <c r="E5" s="3" t="inlineStr">
        <is>
          <t>Conveyance to east culvert</t>
        </is>
      </c>
      <c r="F5" s="3" t="inlineStr">
        <is>
          <t>SWALE</t>
        </is>
      </c>
      <c r="G5" s="3" t="n">
        <v>25</v>
      </c>
      <c r="H5" s="3" t="n">
        <v>0.005</v>
      </c>
      <c r="I5" s="3" t="inlineStr"/>
      <c r="J5" s="13">
        <f>IF(I5&lt;&gt;"",I5,IF(UPPER(TRIM(F5))="SHEET",Inputs!$B$7,IF(UPPER(TRIM(F5))="SWALE",Inputs!$B$8,IF(UPPER(TRIM(F5))="TRENCH",Inputs!$B$27,IF(UPPER(TRIM(F5))="PIPE",Inputs!$B$9,Inputs!$B$10)))))</f>
        <v/>
      </c>
      <c r="K5" s="26">
        <f>IF(OR(G5="",J5=""),"",G5/(J5*60))</f>
        <v/>
      </c>
      <c r="L5" s="3" t="inlineStr">
        <is>
          <t>EAST-OUT</t>
        </is>
      </c>
      <c r="M5" s="3" t="inlineStr"/>
    </row>
    <row r="6">
      <c r="A6" s="3" t="inlineStr">
        <is>
          <t>BEFORE</t>
        </is>
      </c>
      <c r="B6" s="3" t="inlineStr">
        <is>
          <t>P-WEST-PAVE</t>
        </is>
      </c>
      <c r="C6" s="3" t="n">
        <v>1</v>
      </c>
      <c r="D6" s="3" t="inlineStr">
        <is>
          <t>B03</t>
        </is>
      </c>
      <c r="E6" s="3" t="inlineStr">
        <is>
          <t>West paved contribution toward east outlet</t>
        </is>
      </c>
      <c r="F6" s="3" t="inlineStr">
        <is>
          <t>SHEET</t>
        </is>
      </c>
      <c r="G6" s="3" t="n">
        <v>60</v>
      </c>
      <c r="H6" s="3" t="n">
        <v>0.008</v>
      </c>
      <c r="I6" s="3" t="inlineStr"/>
      <c r="J6" s="13">
        <f>IF(I6&lt;&gt;"",I6,IF(UPPER(TRIM(F6))="SHEET",Inputs!$B$7,IF(UPPER(TRIM(F6))="SWALE",Inputs!$B$8,IF(UPPER(TRIM(F6))="TRENCH",Inputs!$B$27,IF(UPPER(TRIM(F6))="PIPE",Inputs!$B$9,Inputs!$B$10)))))</f>
        <v/>
      </c>
      <c r="K6" s="26">
        <f>IF(OR(G6="",J6=""),"",G6/(J6*60))</f>
        <v/>
      </c>
      <c r="L6" s="3" t="inlineStr">
        <is>
          <t>EAST-OUT</t>
        </is>
      </c>
      <c r="M6" s="3" t="inlineStr">
        <is>
          <t>Use only if hydraulically connected</t>
        </is>
      </c>
    </row>
    <row r="7">
      <c r="A7" s="3" t="inlineStr">
        <is>
          <t>AFTER</t>
        </is>
      </c>
      <c r="B7" s="3" t="inlineStr">
        <is>
          <t>P-EAST-STRIP</t>
        </is>
      </c>
      <c r="C7" s="3" t="n">
        <v>1</v>
      </c>
      <c r="D7" s="3" t="inlineStr">
        <is>
          <t>A01-EAST-STRIP</t>
        </is>
      </c>
      <c r="E7" s="3" t="inlineStr">
        <is>
          <t>East strip trench segment (SE edge toward J-EAST-IN)</t>
        </is>
      </c>
      <c r="F7" s="3" t="inlineStr">
        <is>
          <t>TRENCH</t>
        </is>
      </c>
      <c r="G7" s="3" t="n">
        <v>18.3</v>
      </c>
      <c r="H7" s="3" t="n">
        <v>0.008</v>
      </c>
      <c r="I7" s="3" t="inlineStr"/>
      <c r="J7" s="13">
        <f>IF(I7&lt;&gt;"",I7,IF(UPPER(TRIM(F7))="SHEET",Inputs!$B$7,IF(UPPER(TRIM(F7))="SWALE",Inputs!$B$8,IF(UPPER(TRIM(F7))="TRENCH",Inputs!$B$27,IF(UPPER(TRIM(F7))="PIPE",Inputs!$B$9,Inputs!$B$10)))))</f>
        <v/>
      </c>
      <c r="K7" s="26">
        <f>IF(OR(G7="",J7=""),"",G7/(J7*60))</f>
        <v/>
      </c>
      <c r="L7" s="3" t="inlineStr">
        <is>
          <t>J-EAST-IN</t>
        </is>
      </c>
      <c r="M7" s="3" t="inlineStr">
        <is>
          <t>Represents field underdrain laterals/collector in trench, not a plain solid pipe. | Mapped on right-field/east strip green edge.</t>
        </is>
      </c>
    </row>
    <row r="8">
      <c r="A8" s="3" t="inlineStr">
        <is>
          <t>AFTER</t>
        </is>
      </c>
      <c r="B8" s="3" t="inlineStr">
        <is>
          <t>P-EAST-OUT</t>
        </is>
      </c>
      <c r="C8" s="3" t="n">
        <v>1</v>
      </c>
      <c r="D8" s="3" t="inlineStr">
        <is>
          <t>A02-EAST-OUT</t>
        </is>
      </c>
      <c r="E8" s="3" t="inlineStr">
        <is>
          <t>East outlet collector pipe (J-EAST-IN to EAST-OUT)</t>
        </is>
      </c>
      <c r="F8" s="3" t="inlineStr">
        <is>
          <t>PIPE</t>
        </is>
      </c>
      <c r="G8" s="3" t="n">
        <v>16.1</v>
      </c>
      <c r="H8" s="3" t="n">
        <v>0.005</v>
      </c>
      <c r="I8" s="3" t="inlineStr"/>
      <c r="J8" s="13">
        <f>IF(I8&lt;&gt;"",I8,IF(UPPER(TRIM(F8))="SHEET",Inputs!$B$7,IF(UPPER(TRIM(F8))="SWALE",Inputs!$B$8,IF(UPPER(TRIM(F8))="TRENCH",Inputs!$B$27,IF(UPPER(TRIM(F8))="PIPE",Inputs!$B$9,Inputs!$B$10)))))</f>
        <v/>
      </c>
      <c r="K8" s="26">
        <f>IF(OR(G8="",J8=""),"",G8/(J8*60))</f>
        <v/>
      </c>
      <c r="L8" s="3" t="inlineStr">
        <is>
          <t>EAST-OUT</t>
        </is>
      </c>
      <c r="M8" s="3" t="inlineStr">
        <is>
          <t>Collector/outlet branch (non-perforated). | Short outlet collector at east side to culvert zone.</t>
        </is>
      </c>
    </row>
    <row r="9">
      <c r="A9" s="3" t="inlineStr">
        <is>
          <t>AFTER</t>
        </is>
      </c>
      <c r="B9" s="3" t="inlineStr">
        <is>
          <t>P-FIELD-3LINE</t>
        </is>
      </c>
      <c r="C9" s="3" t="n">
        <v>1</v>
      </c>
      <c r="D9" s="3" t="inlineStr">
        <is>
          <t>A03-FIELD-3LINE</t>
        </is>
      </c>
      <c r="E9" s="3" t="inlineStr">
        <is>
          <t>Field 3-line trench centerline (dimensioned middle segment)</t>
        </is>
      </c>
      <c r="F9" s="3" t="inlineStr">
        <is>
          <t>TRENCH</t>
        </is>
      </c>
      <c r="G9" s="3">
        <f>Inputs!$B$47</f>
        <v/>
      </c>
      <c r="H9" s="3" t="n">
        <v>0.005</v>
      </c>
      <c r="I9" s="3" t="inlineStr"/>
      <c r="J9" s="13">
        <f>IF(I9&lt;&gt;"",I9,IF(UPPER(TRIM(F9))="SHEET",Inputs!$B$7,IF(UPPER(TRIM(F9))="SWALE",Inputs!$B$8,IF(UPPER(TRIM(F9))="TRENCH",Inputs!$B$27,IF(UPPER(TRIM(F9))="PIPE",Inputs!$B$9,Inputs!$B$10)))))</f>
        <v/>
      </c>
      <c r="K9" s="26">
        <f>IF(OR(G9="",J9=""),"",G9/(J9*60))</f>
        <v/>
      </c>
      <c r="L9" s="3" t="inlineStr">
        <is>
          <t>EAST-IN</t>
        </is>
      </c>
      <c r="M9" s="3" t="inlineStr">
        <is>
          <t>Dimensioned segment from user markup: 34.509 m toward EAST-IN (not placeholder 12 m).</t>
        </is>
      </c>
    </row>
    <row r="10">
      <c r="A10" s="3" t="inlineStr">
        <is>
          <t>AFTER</t>
        </is>
      </c>
      <c r="B10" s="3" t="inlineStr">
        <is>
          <t>P-WEST-PAVE</t>
        </is>
      </c>
      <c r="C10" s="3" t="n">
        <v>1</v>
      </c>
      <c r="D10" s="3" t="inlineStr">
        <is>
          <t>A04-WEST-BRANCH</t>
        </is>
      </c>
      <c r="E10" s="3" t="inlineStr">
        <is>
          <t>West branch toward collector trunk</t>
        </is>
      </c>
      <c r="F10" s="3" t="inlineStr">
        <is>
          <t>PIPE</t>
        </is>
      </c>
      <c r="G10" s="3" t="n">
        <v>23.6</v>
      </c>
      <c r="H10" s="3" t="n">
        <v>0.008</v>
      </c>
      <c r="I10" s="3" t="inlineStr"/>
      <c r="J10" s="13">
        <f>IF(I10&lt;&gt;"",I10,IF(UPPER(TRIM(F10))="SHEET",Inputs!$B$7,IF(UPPER(TRIM(F10))="SWALE",Inputs!$B$8,IF(UPPER(TRIM(F10))="TRENCH",Inputs!$B$27,IF(UPPER(TRIM(F10))="PIPE",Inputs!$B$9,Inputs!$B$10)))))</f>
        <v/>
      </c>
      <c r="K10" s="26">
        <f>IF(OR(G10="",J10=""),"",G10/(J10*60))</f>
        <v/>
      </c>
      <c r="L10" s="3" t="inlineStr">
        <is>
          <t>EAST-OUT</t>
        </is>
      </c>
      <c r="M10" s="3" t="inlineStr">
        <is>
          <t>Set per final profile | West paved/field branch toward trunk and outlet.</t>
        </is>
      </c>
    </row>
    <row r="11">
      <c r="A11" s="19" t="inlineStr">
        <is>
          <t>AFTER</t>
        </is>
      </c>
      <c r="B11" s="3" t="inlineStr">
        <is>
          <t>P-EAST-STRIP</t>
        </is>
      </c>
      <c r="C11" s="3" t="n">
        <v>2</v>
      </c>
      <c r="D11" s="3" t="inlineStr">
        <is>
          <t>A01T-EAST-TRUNK</t>
        </is>
      </c>
      <c r="E11" s="3" t="inlineStr">
        <is>
          <t>Collector trunk east segment (dimensioned)</t>
        </is>
      </c>
      <c r="F11" s="3">
        <f>Inputs!$B$51</f>
        <v/>
      </c>
      <c r="G11" s="23">
        <f>IF(UPPER(TRIM(Inputs!$B$53))="YES",Inputs!$B$46,0)</f>
        <v/>
      </c>
      <c r="H11" s="22">
        <f>Inputs!$B$43</f>
        <v/>
      </c>
      <c r="I11" s="12">
        <f>Inputs!$B$52</f>
        <v/>
      </c>
      <c r="J11" s="3">
        <f>IF(I11&lt;&gt;"",I11,IF(UPPER(TRIM(F11))="SHEET",Inputs!$B$7,IF(UPPER(TRIM(F11))="SWALE",Inputs!$B$8,IF(UPPER(TRIM(F11))="TRENCH",Inputs!$B$27,IF(UPPER(TRIM(F11))="PIPE",Inputs!$B$9,Inputs!$B$10)))))</f>
        <v/>
      </c>
      <c r="K11" s="27">
        <f>IF(OR(G11="",J11=""),"",G11/(J11*60))</f>
        <v/>
      </c>
      <c r="L11" s="3" t="inlineStr">
        <is>
          <t>EAST-OUT</t>
        </is>
      </c>
      <c r="M11" s="3" t="inlineStr">
        <is>
          <t>East collector segment tied to EAST-IN/EAST-OUT naming for clarity. Length from Inputs!B46 (66.398 m).</t>
        </is>
      </c>
    </row>
    <row r="12">
      <c r="A12" s="19" t="inlineStr">
        <is>
          <t>AFTER</t>
        </is>
      </c>
      <c r="B12" s="3" t="inlineStr">
        <is>
          <t>P-FIELD-3LINE</t>
        </is>
      </c>
      <c r="C12" s="3" t="n">
        <v>2</v>
      </c>
      <c r="D12" s="3" t="inlineStr">
        <is>
          <t>A03T-EAST-TRUNK</t>
        </is>
      </c>
      <c r="E12" s="3" t="inlineStr">
        <is>
          <t>Field-3line to outlet via east collector segment (dimensioned)</t>
        </is>
      </c>
      <c r="F12" s="3">
        <f>Inputs!$B$51</f>
        <v/>
      </c>
      <c r="G12" s="23">
        <f>IF(UPPER(TRIM(Inputs!$B$53))="YES",Inputs!$B$46,0)</f>
        <v/>
      </c>
      <c r="H12" s="22">
        <f>Inputs!$B$43</f>
        <v/>
      </c>
      <c r="I12" s="12">
        <f>Inputs!$B$52</f>
        <v/>
      </c>
      <c r="J12" s="3">
        <f>IF(I12&lt;&gt;"",I12,IF(UPPER(TRIM(F12))="SHEET",Inputs!$B$7,IF(UPPER(TRIM(F12))="SWALE",Inputs!$B$8,IF(UPPER(TRIM(F12))="TRENCH",Inputs!$B$27,IF(UPPER(TRIM(F12))="PIPE",Inputs!$B$9,Inputs!$B$10)))))</f>
        <v/>
      </c>
      <c r="K12" s="27">
        <f>IF(OR(G12="",J12=""),"",G12/(J12*60))</f>
        <v/>
      </c>
      <c r="L12" s="3" t="inlineStr">
        <is>
          <t>EAST-OUT</t>
        </is>
      </c>
      <c r="M12" s="3" t="inlineStr">
        <is>
          <t>Dimensioned segment from user markup: 66.398 m from EAST-IN to EAST-OUT along east collector trajectory.</t>
        </is>
      </c>
    </row>
    <row r="13">
      <c r="A13" s="19" t="inlineStr">
        <is>
          <t>AFTER</t>
        </is>
      </c>
      <c r="B13" s="3" t="inlineStr">
        <is>
          <t>P-WEST-PAVE</t>
        </is>
      </c>
      <c r="C13" s="3" t="n">
        <v>2</v>
      </c>
      <c r="D13" s="3" t="inlineStr">
        <is>
          <t>A04T-WEST-TRUNK</t>
        </is>
      </c>
      <c r="E13" s="3" t="inlineStr">
        <is>
          <t>Collector trunk west segment (dimensioned)</t>
        </is>
      </c>
      <c r="F13" s="3">
        <f>Inputs!$B$51</f>
        <v/>
      </c>
      <c r="G13" s="23">
        <f>IF(UPPER(TRIM(Inputs!$B$53))="YES",Inputs!$B$48,0)</f>
        <v/>
      </c>
      <c r="H13" s="22">
        <f>Inputs!$B$43</f>
        <v/>
      </c>
      <c r="I13" s="12">
        <f>Inputs!$B$52</f>
        <v/>
      </c>
      <c r="J13" s="3">
        <f>IF(I13&lt;&gt;"",I13,IF(UPPER(TRIM(F13))="SHEET",Inputs!$B$7,IF(UPPER(TRIM(F13))="SWALE",Inputs!$B$8,IF(UPPER(TRIM(F13))="TRENCH",Inputs!$B$27,IF(UPPER(TRIM(F13))="PIPE",Inputs!$B$9,Inputs!$B$10)))))</f>
        <v/>
      </c>
      <c r="K13" s="27">
        <f>IF(OR(G13="",J13=""),"",G13/(J13*60))</f>
        <v/>
      </c>
      <c r="L13" s="3" t="inlineStr">
        <is>
          <t>J-TRUNK-WEST</t>
        </is>
      </c>
      <c r="M13" s="3" t="inlineStr">
        <is>
          <t>Explicit west-side trunk reach. | West trunk reach from dimension tool.</t>
        </is>
      </c>
    </row>
    <row r="14">
      <c r="A14" s="19" t="inlineStr">
        <is>
          <t>AFTER</t>
        </is>
      </c>
      <c r="B14" s="3" t="inlineStr">
        <is>
          <t>P-WEST-PAVE</t>
        </is>
      </c>
      <c r="C14" s="3" t="n">
        <v>3</v>
      </c>
      <c r="D14" s="3" t="inlineStr">
        <is>
          <t>A04T-CENTER-SW</t>
        </is>
      </c>
      <c r="E14" s="3" t="inlineStr">
        <is>
          <t>Collector trunk center-to-south reach (dimensioned)</t>
        </is>
      </c>
      <c r="F14" s="3">
        <f>Inputs!$B$51</f>
        <v/>
      </c>
      <c r="G14" s="23">
        <f>IF(UPPER(TRIM(Inputs!$B$53))="YES",Inputs!$B$47,0)</f>
        <v/>
      </c>
      <c r="H14" s="22">
        <f>Inputs!$B$43</f>
        <v/>
      </c>
      <c r="I14" s="12">
        <f>Inputs!$B$52</f>
        <v/>
      </c>
      <c r="J14" s="3">
        <f>IF(I14&lt;&gt;"",I14,IF(UPPER(TRIM(F14))="SHEET",Inputs!$B$7,IF(UPPER(TRIM(F14))="SWALE",Inputs!$B$8,IF(UPPER(TRIM(F14))="TRENCH",Inputs!$B$27,IF(UPPER(TRIM(F14))="PIPE",Inputs!$B$9,Inputs!$B$10)))))</f>
        <v/>
      </c>
      <c r="K14" s="27">
        <f>IF(OR(G14="",J14=""),"",G14/(J14*60))</f>
        <v/>
      </c>
      <c r="L14" s="3" t="inlineStr">
        <is>
          <t>J-TRUNK-BOTTOM</t>
        </is>
      </c>
      <c r="M14" s="3" t="inlineStr">
        <is>
          <t>Explicit bottom trunk reach. | Middle-to-south segment from dimension tool.</t>
        </is>
      </c>
    </row>
    <row r="15">
      <c r="A15" s="19" t="inlineStr">
        <is>
          <t>AFTER</t>
        </is>
      </c>
      <c r="B15" s="3" t="inlineStr">
        <is>
          <t>P-WEST-PAVE</t>
        </is>
      </c>
      <c r="C15" s="3" t="n">
        <v>4</v>
      </c>
      <c r="D15" s="3" t="inlineStr">
        <is>
          <t>A04T-EAST-TRUNK2</t>
        </is>
      </c>
      <c r="E15" s="3" t="inlineStr">
        <is>
          <t>Collector trunk east approach to outlet</t>
        </is>
      </c>
      <c r="F15" s="3">
        <f>Inputs!$B$51</f>
        <v/>
      </c>
      <c r="G15" s="23">
        <f>IF(UPPER(TRIM(Inputs!$B$53))="YES",Inputs!$B$46,0)</f>
        <v/>
      </c>
      <c r="H15" s="22">
        <f>Inputs!$B$43</f>
        <v/>
      </c>
      <c r="I15" s="12">
        <f>Inputs!$B$52</f>
        <v/>
      </c>
      <c r="J15" s="3">
        <f>IF(I15&lt;&gt;"",I15,IF(UPPER(TRIM(F15))="SHEET",Inputs!$B$7,IF(UPPER(TRIM(F15))="SWALE",Inputs!$B$8,IF(UPPER(TRIM(F15))="TRENCH",Inputs!$B$27,IF(UPPER(TRIM(F15))="PIPE",Inputs!$B$9,Inputs!$B$10)))))</f>
        <v/>
      </c>
      <c r="K15" s="27">
        <f>IF(OR(G15="",J15=""),"",G15/(J15*60))</f>
        <v/>
      </c>
      <c r="L15" s="3" t="inlineStr">
        <is>
          <t>EAST-OUT</t>
        </is>
      </c>
      <c r="M15" s="3" t="inlineStr">
        <is>
          <t>Explicit east trunk reach to outlet. | Final east approach segment for west branch path.</t>
        </is>
      </c>
    </row>
    <row r="16">
      <c r="A16" s="19" t="inlineStr">
        <is>
          <t>AFTER</t>
        </is>
      </c>
      <c r="B16" s="3" t="inlineStr">
        <is>
          <t>P-EAST-OUT</t>
        </is>
      </c>
      <c r="C16" s="3" t="n">
        <v>2</v>
      </c>
      <c r="D16" s="3" t="inlineStr">
        <is>
          <t>A02T-EAST-TRUNK</t>
        </is>
      </c>
      <c r="E16" s="3" t="inlineStr">
        <is>
          <t>Optional east trunk add-on for P-EAST-OUT</t>
        </is>
      </c>
      <c r="F16" s="3">
        <f>Inputs!$B$51</f>
        <v/>
      </c>
      <c r="G16" s="23">
        <f>IF(UPPER(TRIM(Inputs!$B$53))="YES",Inputs!$B$46,0)</f>
        <v/>
      </c>
      <c r="H16" s="22">
        <f>Inputs!$B$43</f>
        <v/>
      </c>
      <c r="I16" s="12">
        <f>Inputs!$B$52</f>
        <v/>
      </c>
      <c r="J16" s="3">
        <f>IF(I16&lt;&gt;"",I16,IF(UPPER(TRIM(F16))="SHEET",Inputs!$B$7,IF(UPPER(TRIM(F16))="SWALE",Inputs!$B$8,IF(UPPER(TRIM(F16))="TRENCH",Inputs!$B$27,IF(UPPER(TRIM(F16))="PIPE",Inputs!$B$9,Inputs!$B$10)))))</f>
        <v/>
      </c>
      <c r="K16" s="27">
        <f>IF(OR(G16="",J16=""),"",G16/(J16*60))</f>
        <v/>
      </c>
      <c r="L16" s="3" t="inlineStr">
        <is>
          <t>EAST-OUT</t>
        </is>
      </c>
      <c r="M16" s="3" t="inlineStr">
        <is>
          <t>Adds trunk run if this path is used. | Applied only when P-EAST-OUT path is active.</t>
        </is>
      </c>
    </row>
    <row r="17">
      <c r="J17">
        <f>IF(I17&lt;&gt;"",I17,IF(UPPER(TRIM(F17))="SHEET",Inputs!$B$7,IF(UPPER(TRIM(F17))="SWALE",Inputs!$B$8,IF(UPPER(TRIM(F17))="TRENCH",Inputs!$B$27,IF(UPPER(TRIM(F17))="PIPE",Inputs!$B$9,Inputs!$B$10)))))</f>
        <v/>
      </c>
      <c r="K17" s="28">
        <f>IF(OR(G17="",J17=""),"",G17/(J17*60))</f>
        <v/>
      </c>
    </row>
    <row r="18">
      <c r="J18">
        <f>IF(I18&lt;&gt;"",I18,IF(UPPER(TRIM(F18))="SHEET",Inputs!$B$7,IF(UPPER(TRIM(F18))="SWALE",Inputs!$B$8,IF(UPPER(TRIM(F18))="TRENCH",Inputs!$B$27,IF(UPPER(TRIM(F18))="PIPE",Inputs!$B$9,Inputs!$B$10)))))</f>
        <v/>
      </c>
      <c r="K18" s="28">
        <f>IF(OR(G18="",J18=""),"",G18/(J18*60))</f>
        <v/>
      </c>
    </row>
    <row r="19">
      <c r="J19">
        <f>IF(I19&lt;&gt;"",I19,IF(UPPER(TRIM(F19))="SHEET",Inputs!$B$7,IF(UPPER(TRIM(F19))="SWALE",Inputs!$B$8,IF(UPPER(TRIM(F19))="TRENCH",Inputs!$B$27,IF(UPPER(TRIM(F19))="PIPE",Inputs!$B$9,Inputs!$B$10)))))</f>
        <v/>
      </c>
      <c r="K19" s="28">
        <f>IF(OR(G19="",J19=""),"",G19/(J19*60))</f>
        <v/>
      </c>
    </row>
    <row r="20">
      <c r="J20">
        <f>IF(I20&lt;&gt;"",I20,IF(UPPER(TRIM(F20))="SHEET",Inputs!$B$7,IF(UPPER(TRIM(F20))="SWALE",Inputs!$B$8,IF(UPPER(TRIM(F20))="TRENCH",Inputs!$B$27,IF(UPPER(TRIM(F20))="PIPE",Inputs!$B$9,Inputs!$B$10)))))</f>
        <v/>
      </c>
      <c r="K20" s="28">
        <f>IF(OR(G20="",J20=""),"",G20/(J20*60))</f>
        <v/>
      </c>
    </row>
    <row r="21">
      <c r="J21">
        <f>IF(I21&lt;&gt;"",I21,IF(UPPER(TRIM(F21))="SHEET",Inputs!$B$7,IF(UPPER(TRIM(F21))="SWALE",Inputs!$B$8,IF(UPPER(TRIM(F21))="TRENCH",Inputs!$B$27,IF(UPPER(TRIM(F21))="PIPE",Inputs!$B$9,Inputs!$B$10)))))</f>
        <v/>
      </c>
      <c r="K21" s="28">
        <f>IF(OR(G21="",J21=""),"",G21/(J21*60))</f>
        <v/>
      </c>
    </row>
    <row r="22">
      <c r="J22">
        <f>IF(I22&lt;&gt;"",I22,IF(UPPER(TRIM(F22))="SHEET",Inputs!$B$7,IF(UPPER(TRIM(F22))="SWALE",Inputs!$B$8,IF(UPPER(TRIM(F22))="TRENCH",Inputs!$B$27,IF(UPPER(TRIM(F22))="PIPE",Inputs!$B$9,Inputs!$B$10)))))</f>
        <v/>
      </c>
      <c r="K22" s="28">
        <f>IF(OR(G22="",J22=""),"",G22/(J22*60))</f>
        <v/>
      </c>
    </row>
    <row r="23">
      <c r="J23">
        <f>IF(I23&lt;&gt;"",I23,IF(UPPER(TRIM(F23))="SHEET",Inputs!$B$7,IF(UPPER(TRIM(F23))="SWALE",Inputs!$B$8,IF(UPPER(TRIM(F23))="TRENCH",Inputs!$B$27,IF(UPPER(TRIM(F23))="PIPE",Inputs!$B$9,Inputs!$B$10)))))</f>
        <v/>
      </c>
      <c r="K23" s="28">
        <f>IF(OR(G23="",J23=""),"",G23/(J23*60))</f>
        <v/>
      </c>
    </row>
    <row r="24">
      <c r="J24">
        <f>IF(I24&lt;&gt;"",I24,IF(UPPER(TRIM(F24))="SHEET",Inputs!$B$7,IF(UPPER(TRIM(F24))="SWALE",Inputs!$B$8,IF(UPPER(TRIM(F24))="TRENCH",Inputs!$B$27,IF(UPPER(TRIM(F24))="PIPE",Inputs!$B$9,Inputs!$B$10)))))</f>
        <v/>
      </c>
      <c r="K24" s="28">
        <f>IF(OR(G24="",J24=""),"",G24/(J24*60))</f>
        <v/>
      </c>
    </row>
    <row r="25">
      <c r="J25">
        <f>IF(I25&lt;&gt;"",I25,IF(UPPER(TRIM(F25))="SHEET",Inputs!$B$7,IF(UPPER(TRIM(F25))="SWALE",Inputs!$B$8,IF(UPPER(TRIM(F25))="TRENCH",Inputs!$B$27,IF(UPPER(TRIM(F25))="PIPE",Inputs!$B$9,Inputs!$B$10)))))</f>
        <v/>
      </c>
      <c r="K25" s="28">
        <f>IF(OR(G25="",J25=""),"",G25/(J25*60))</f>
        <v/>
      </c>
    </row>
    <row r="26">
      <c r="J26">
        <f>IF(I26&lt;&gt;"",I26,IF(UPPER(TRIM(F26))="SHEET",Inputs!$B$7,IF(UPPER(TRIM(F26))="SWALE",Inputs!$B$8,IF(UPPER(TRIM(F26))="TRENCH",Inputs!$B$27,IF(UPPER(TRIM(F26))="PIPE",Inputs!$B$9,Inputs!$B$10)))))</f>
        <v/>
      </c>
      <c r="K26" s="28">
        <f>IF(OR(G26="",J26=""),"",G26/(J26*60))</f>
        <v/>
      </c>
    </row>
    <row r="27">
      <c r="J27">
        <f>IF(I27&lt;&gt;"",I27,IF(UPPER(TRIM(F27))="SHEET",Inputs!$B$7,IF(UPPER(TRIM(F27))="SWALE",Inputs!$B$8,IF(UPPER(TRIM(F27))="TRENCH",Inputs!$B$27,IF(UPPER(TRIM(F27))="PIPE",Inputs!$B$9,Inputs!$B$10)))))</f>
        <v/>
      </c>
      <c r="K27" s="28">
        <f>IF(OR(G27="",J27=""),"",G27/(J27*60))</f>
        <v/>
      </c>
    </row>
    <row r="28">
      <c r="J28">
        <f>IF(I28&lt;&gt;"",I28,IF(UPPER(TRIM(F28))="SHEET",Inputs!$B$7,IF(UPPER(TRIM(F28))="SWALE",Inputs!$B$8,IF(UPPER(TRIM(F28))="TRENCH",Inputs!$B$27,IF(UPPER(TRIM(F28))="PIPE",Inputs!$B$9,Inputs!$B$10)))))</f>
        <v/>
      </c>
      <c r="K28" s="28">
        <f>IF(OR(G28="",J28=""),"",G28/(J28*60))</f>
        <v/>
      </c>
    </row>
    <row r="29">
      <c r="J29">
        <f>IF(I29&lt;&gt;"",I29,IF(UPPER(TRIM(F29))="SHEET",Inputs!$B$7,IF(UPPER(TRIM(F29))="SWALE",Inputs!$B$8,IF(UPPER(TRIM(F29))="TRENCH",Inputs!$B$27,IF(UPPER(TRIM(F29))="PIPE",Inputs!$B$9,Inputs!$B$10)))))</f>
        <v/>
      </c>
      <c r="K29" s="28">
        <f>IF(OR(G29="",J29=""),"",G29/(J29*60))</f>
        <v/>
      </c>
    </row>
    <row r="30">
      <c r="J30">
        <f>IF(I30&lt;&gt;"",I30,IF(UPPER(TRIM(F30))="SHEET",Inputs!$B$7,IF(UPPER(TRIM(F30))="SWALE",Inputs!$B$8,IF(UPPER(TRIM(F30))="TRENCH",Inputs!$B$27,IF(UPPER(TRIM(F30))="PIPE",Inputs!$B$9,Inputs!$B$10)))))</f>
        <v/>
      </c>
      <c r="K30" s="28">
        <f>IF(OR(G30="",J30=""),"",G30/(J30*60))</f>
        <v/>
      </c>
    </row>
    <row r="31">
      <c r="J31">
        <f>IF(I31&lt;&gt;"",I31,IF(UPPER(TRIM(F31))="SHEET",Inputs!$B$7,IF(UPPER(TRIM(F31))="SWALE",Inputs!$B$8,IF(UPPER(TRIM(F31))="TRENCH",Inputs!$B$27,IF(UPPER(TRIM(F31))="PIPE",Inputs!$B$9,Inputs!$B$10)))))</f>
        <v/>
      </c>
      <c r="K31" s="28">
        <f>IF(OR(G31="",J31=""),"",G31/(J31*60))</f>
        <v/>
      </c>
    </row>
    <row r="32">
      <c r="J32">
        <f>IF(I32&lt;&gt;"",I32,IF(UPPER(TRIM(F32))="SHEET",Inputs!$B$7,IF(UPPER(TRIM(F32))="SWALE",Inputs!$B$8,IF(UPPER(TRIM(F32))="TRENCH",Inputs!$B$27,IF(UPPER(TRIM(F32))="PIPE",Inputs!$B$9,Inputs!$B$10)))))</f>
        <v/>
      </c>
      <c r="K32" s="28">
        <f>IF(OR(G32="",J32=""),"",G32/(J32*60))</f>
        <v/>
      </c>
    </row>
    <row r="33">
      <c r="J33">
        <f>IF(I33&lt;&gt;"",I33,IF(UPPER(TRIM(F33))="SHEET",Inputs!$B$7,IF(UPPER(TRIM(F33))="SWALE",Inputs!$B$8,IF(UPPER(TRIM(F33))="TRENCH",Inputs!$B$27,IF(UPPER(TRIM(F33))="PIPE",Inputs!$B$9,Inputs!$B$10)))))</f>
        <v/>
      </c>
      <c r="K33" s="28">
        <f>IF(OR(G33="",J33=""),"",G33/(J33*60))</f>
        <v/>
      </c>
    </row>
    <row r="34">
      <c r="J34">
        <f>IF(I34&lt;&gt;"",I34,IF(UPPER(TRIM(F34))="SHEET",Inputs!$B$7,IF(UPPER(TRIM(F34))="SWALE",Inputs!$B$8,IF(UPPER(TRIM(F34))="TRENCH",Inputs!$B$27,IF(UPPER(TRIM(F34))="PIPE",Inputs!$B$9,Inputs!$B$10)))))</f>
        <v/>
      </c>
      <c r="K34" s="28">
        <f>IF(OR(G34="",J34=""),"",G34/(J34*60))</f>
        <v/>
      </c>
    </row>
    <row r="35">
      <c r="J35">
        <f>IF(I35&lt;&gt;"",I35,IF(UPPER(TRIM(F35))="SHEET",Inputs!$B$7,IF(UPPER(TRIM(F35))="SWALE",Inputs!$B$8,IF(UPPER(TRIM(F35))="TRENCH",Inputs!$B$27,IF(UPPER(TRIM(F35))="PIPE",Inputs!$B$9,Inputs!$B$10)))))</f>
        <v/>
      </c>
      <c r="K35" s="28">
        <f>IF(OR(G35="",J35=""),"",G35/(J35*60))</f>
        <v/>
      </c>
    </row>
    <row r="36">
      <c r="J36">
        <f>IF(I36&lt;&gt;"",I36,IF(UPPER(TRIM(F36))="SHEET",Inputs!$B$7,IF(UPPER(TRIM(F36))="SWALE",Inputs!$B$8,IF(UPPER(TRIM(F36))="TRENCH",Inputs!$B$27,IF(UPPER(TRIM(F36))="PIPE",Inputs!$B$9,Inputs!$B$10)))))</f>
        <v/>
      </c>
      <c r="K36" s="28">
        <f>IF(OR(G36="",J36=""),"",G36/(J36*60))</f>
        <v/>
      </c>
    </row>
    <row r="37">
      <c r="J37">
        <f>IF(I37&lt;&gt;"",I37,IF(UPPER(TRIM(F37))="SHEET",Inputs!$B$7,IF(UPPER(TRIM(F37))="SWALE",Inputs!$B$8,IF(UPPER(TRIM(F37))="TRENCH",Inputs!$B$27,IF(UPPER(TRIM(F37))="PIPE",Inputs!$B$9,Inputs!$B$10)))))</f>
        <v/>
      </c>
      <c r="K37" s="28">
        <f>IF(OR(G37="",J37=""),"",G37/(J37*60))</f>
        <v/>
      </c>
    </row>
    <row r="38">
      <c r="J38">
        <f>IF(I38&lt;&gt;"",I38,IF(UPPER(TRIM(F38))="SHEET",Inputs!$B$7,IF(UPPER(TRIM(F38))="SWALE",Inputs!$B$8,IF(UPPER(TRIM(F38))="TRENCH",Inputs!$B$27,IF(UPPER(TRIM(F38))="PIPE",Inputs!$B$9,Inputs!$B$10)))))</f>
        <v/>
      </c>
      <c r="K38" s="28">
        <f>IF(OR(G38="",J38=""),"",G38/(J38*60))</f>
        <v/>
      </c>
    </row>
    <row r="39">
      <c r="J39">
        <f>IF(I39&lt;&gt;"",I39,IF(UPPER(TRIM(F39))="SHEET",Inputs!$B$7,IF(UPPER(TRIM(F39))="SWALE",Inputs!$B$8,IF(UPPER(TRIM(F39))="TRENCH",Inputs!$B$27,IF(UPPER(TRIM(F39))="PIPE",Inputs!$B$9,Inputs!$B$10)))))</f>
        <v/>
      </c>
      <c r="K39" s="28">
        <f>IF(OR(G39="",J39=""),"",G39/(J39*60))</f>
        <v/>
      </c>
    </row>
    <row r="40">
      <c r="J40">
        <f>IF(I40&lt;&gt;"",I40,IF(UPPER(TRIM(F40))="SHEET",Inputs!$B$7,IF(UPPER(TRIM(F40))="SWALE",Inputs!$B$8,IF(UPPER(TRIM(F40))="TRENCH",Inputs!$B$27,IF(UPPER(TRIM(F40))="PIPE",Inputs!$B$9,Inputs!$B$10)))))</f>
        <v/>
      </c>
      <c r="K40" s="28">
        <f>IF(OR(G40="",J40=""),"",G40/(J40*60))</f>
        <v/>
      </c>
    </row>
    <row r="41">
      <c r="J41">
        <f>IF(I41&lt;&gt;"",I41,IF(UPPER(TRIM(F41))="SHEET",Inputs!$B$7,IF(UPPER(TRIM(F41))="SWALE",Inputs!$B$8,IF(UPPER(TRIM(F41))="TRENCH",Inputs!$B$27,IF(UPPER(TRIM(F41))="PIPE",Inputs!$B$9,Inputs!$B$10)))))</f>
        <v/>
      </c>
      <c r="K41" s="28">
        <f>IF(OR(G41="",J41=""),"",G41/(J41*60))</f>
        <v/>
      </c>
    </row>
    <row r="42">
      <c r="J42">
        <f>IF(I42&lt;&gt;"",I42,IF(UPPER(TRIM(F42))="SHEET",Inputs!$B$7,IF(UPPER(TRIM(F42))="SWALE",Inputs!$B$8,IF(UPPER(TRIM(F42))="TRENCH",Inputs!$B$27,IF(UPPER(TRIM(F42))="PIPE",Inputs!$B$9,Inputs!$B$10)))))</f>
        <v/>
      </c>
      <c r="K42" s="28">
        <f>IF(OR(G42="",J42=""),"",G42/(J42*60))</f>
        <v/>
      </c>
    </row>
    <row r="43">
      <c r="J43">
        <f>IF(I43&lt;&gt;"",I43,IF(UPPER(TRIM(F43))="SHEET",Inputs!$B$7,IF(UPPER(TRIM(F43))="SWALE",Inputs!$B$8,IF(UPPER(TRIM(F43))="TRENCH",Inputs!$B$27,IF(UPPER(TRIM(F43))="PIPE",Inputs!$B$9,Inputs!$B$10)))))</f>
        <v/>
      </c>
      <c r="K43" s="28">
        <f>IF(OR(G43="",J43=""),"",G43/(J43*60))</f>
        <v/>
      </c>
    </row>
    <row r="44">
      <c r="J44">
        <f>IF(I44&lt;&gt;"",I44,IF(UPPER(TRIM(F44))="SHEET",Inputs!$B$7,IF(UPPER(TRIM(F44))="SWALE",Inputs!$B$8,IF(UPPER(TRIM(F44))="TRENCH",Inputs!$B$27,IF(UPPER(TRIM(F44))="PIPE",Inputs!$B$9,Inputs!$B$10)))))</f>
        <v/>
      </c>
      <c r="K44" s="28">
        <f>IF(OR(G44="",J44=""),"",G44/(J44*60))</f>
        <v/>
      </c>
    </row>
    <row r="45">
      <c r="J45">
        <f>IF(I45&lt;&gt;"",I45,IF(UPPER(TRIM(F45))="SHEET",Inputs!$B$7,IF(UPPER(TRIM(F45))="SWALE",Inputs!$B$8,IF(UPPER(TRIM(F45))="TRENCH",Inputs!$B$27,IF(UPPER(TRIM(F45))="PIPE",Inputs!$B$9,Inputs!$B$10)))))</f>
        <v/>
      </c>
      <c r="K45" s="28">
        <f>IF(OR(G45="",J45=""),"",G45/(J45*60))</f>
        <v/>
      </c>
    </row>
    <row r="46">
      <c r="J46">
        <f>IF(I46&lt;&gt;"",I46,IF(UPPER(TRIM(F46))="SHEET",Inputs!$B$7,IF(UPPER(TRIM(F46))="SWALE",Inputs!$B$8,IF(UPPER(TRIM(F46))="TRENCH",Inputs!$B$27,IF(UPPER(TRIM(F46))="PIPE",Inputs!$B$9,Inputs!$B$10)))))</f>
        <v/>
      </c>
      <c r="K46" s="28">
        <f>IF(OR(G46="",J46=""),"",G46/(J46*60))</f>
        <v/>
      </c>
    </row>
    <row r="47">
      <c r="J47">
        <f>IF(I47&lt;&gt;"",I47,IF(UPPER(TRIM(F47))="SHEET",Inputs!$B$7,IF(UPPER(TRIM(F47))="SWALE",Inputs!$B$8,IF(UPPER(TRIM(F47))="TRENCH",Inputs!$B$27,IF(UPPER(TRIM(F47))="PIPE",Inputs!$B$9,Inputs!$B$10)))))</f>
        <v/>
      </c>
      <c r="K47" s="28">
        <f>IF(OR(G47="",J47=""),"",G47/(J47*60))</f>
        <v/>
      </c>
    </row>
    <row r="48">
      <c r="J48">
        <f>IF(I48&lt;&gt;"",I48,IF(UPPER(TRIM(F48))="SHEET",Inputs!$B$7,IF(UPPER(TRIM(F48))="SWALE",Inputs!$B$8,IF(UPPER(TRIM(F48))="TRENCH",Inputs!$B$27,IF(UPPER(TRIM(F48))="PIPE",Inputs!$B$9,Inputs!$B$10)))))</f>
        <v/>
      </c>
      <c r="K48" s="28">
        <f>IF(OR(G48="",J48=""),"",G48/(J48*60))</f>
        <v/>
      </c>
    </row>
    <row r="49">
      <c r="J49">
        <f>IF(I49&lt;&gt;"",I49,IF(UPPER(TRIM(F49))="SHEET",Inputs!$B$7,IF(UPPER(TRIM(F49))="SWALE",Inputs!$B$8,IF(UPPER(TRIM(F49))="TRENCH",Inputs!$B$27,IF(UPPER(TRIM(F49))="PIPE",Inputs!$B$9,Inputs!$B$10)))))</f>
        <v/>
      </c>
      <c r="K49" s="28">
        <f>IF(OR(G49="",J49=""),"",G49/(J49*60))</f>
        <v/>
      </c>
    </row>
    <row r="50">
      <c r="J50">
        <f>IF(I50&lt;&gt;"",I50,IF(UPPER(TRIM(F50))="SHEET",Inputs!$B$7,IF(UPPER(TRIM(F50))="SWALE",Inputs!$B$8,IF(UPPER(TRIM(F50))="TRENCH",Inputs!$B$27,IF(UPPER(TRIM(F50))="PIPE",Inputs!$B$9,Inputs!$B$10)))))</f>
        <v/>
      </c>
      <c r="K50" s="28">
        <f>IF(OR(G50="",J50=""),"",G50/(J50*60))</f>
        <v/>
      </c>
    </row>
    <row r="51">
      <c r="J51">
        <f>IF(I51&lt;&gt;"",I51,IF(UPPER(TRIM(F51))="SHEET",Inputs!$B$7,IF(UPPER(TRIM(F51))="SWALE",Inputs!$B$8,IF(UPPER(TRIM(F51))="TRENCH",Inputs!$B$27,IF(UPPER(TRIM(F51))="PIPE",Inputs!$B$9,Inputs!$B$10)))))</f>
        <v/>
      </c>
      <c r="K51" s="28">
        <f>IF(OR(G51="",J51=""),"",G51/(J51*60))</f>
        <v/>
      </c>
    </row>
    <row r="52">
      <c r="J52">
        <f>IF(I52&lt;&gt;"",I52,IF(UPPER(TRIM(F52))="SHEET",Inputs!$B$7,IF(UPPER(TRIM(F52))="SWALE",Inputs!$B$8,IF(UPPER(TRIM(F52))="TRENCH",Inputs!$B$27,IF(UPPER(TRIM(F52))="PIPE",Inputs!$B$9,Inputs!$B$10)))))</f>
        <v/>
      </c>
      <c r="K52" s="28">
        <f>IF(OR(G52="",J52=""),"",G52/(J52*60))</f>
        <v/>
      </c>
    </row>
    <row r="53">
      <c r="J53">
        <f>IF(I53&lt;&gt;"",I53,IF(UPPER(TRIM(F53))="SHEET",Inputs!$B$7,IF(UPPER(TRIM(F53))="SWALE",Inputs!$B$8,IF(UPPER(TRIM(F53))="TRENCH",Inputs!$B$27,IF(UPPER(TRIM(F53))="PIPE",Inputs!$B$9,Inputs!$B$10)))))</f>
        <v/>
      </c>
      <c r="K53" s="28">
        <f>IF(OR(G53="",J53=""),"",G53/(J53*60))</f>
        <v/>
      </c>
    </row>
    <row r="54">
      <c r="J54">
        <f>IF(I54&lt;&gt;"",I54,IF(UPPER(TRIM(F54))="SHEET",Inputs!$B$7,IF(UPPER(TRIM(F54))="SWALE",Inputs!$B$8,IF(UPPER(TRIM(F54))="TRENCH",Inputs!$B$27,IF(UPPER(TRIM(F54))="PIPE",Inputs!$B$9,Inputs!$B$10)))))</f>
        <v/>
      </c>
      <c r="K54" s="28">
        <f>IF(OR(G54="",J54=""),"",G54/(J54*60))</f>
        <v/>
      </c>
    </row>
    <row r="55">
      <c r="J55">
        <f>IF(I55&lt;&gt;"",I55,IF(UPPER(TRIM(F55))="SHEET",Inputs!$B$7,IF(UPPER(TRIM(F55))="SWALE",Inputs!$B$8,IF(UPPER(TRIM(F55))="TRENCH",Inputs!$B$27,IF(UPPER(TRIM(F55))="PIPE",Inputs!$B$9,Inputs!$B$10)))))</f>
        <v/>
      </c>
      <c r="K55" s="28">
        <f>IF(OR(G55="",J55=""),"",G55/(J55*60))</f>
        <v/>
      </c>
    </row>
    <row r="56">
      <c r="J56">
        <f>IF(I56&lt;&gt;"",I56,IF(UPPER(TRIM(F56))="SHEET",Inputs!$B$7,IF(UPPER(TRIM(F56))="SWALE",Inputs!$B$8,IF(UPPER(TRIM(F56))="TRENCH",Inputs!$B$27,IF(UPPER(TRIM(F56))="PIPE",Inputs!$B$9,Inputs!$B$10)))))</f>
        <v/>
      </c>
      <c r="K56" s="28">
        <f>IF(OR(G56="",J56=""),"",G56/(J56*60))</f>
        <v/>
      </c>
    </row>
    <row r="57">
      <c r="J57">
        <f>IF(I57&lt;&gt;"",I57,IF(UPPER(TRIM(F57))="SHEET",Inputs!$B$7,IF(UPPER(TRIM(F57))="SWALE",Inputs!$B$8,IF(UPPER(TRIM(F57))="TRENCH",Inputs!$B$27,IF(UPPER(TRIM(F57))="PIPE",Inputs!$B$9,Inputs!$B$10)))))</f>
        <v/>
      </c>
      <c r="K57" s="28">
        <f>IF(OR(G57="",J57=""),"",G57/(J57*60))</f>
        <v/>
      </c>
    </row>
    <row r="58">
      <c r="J58">
        <f>IF(I58&lt;&gt;"",I58,IF(UPPER(TRIM(F58))="SHEET",Inputs!$B$7,IF(UPPER(TRIM(F58))="SWALE",Inputs!$B$8,IF(UPPER(TRIM(F58))="TRENCH",Inputs!$B$27,IF(UPPER(TRIM(F58))="PIPE",Inputs!$B$9,Inputs!$B$10)))))</f>
        <v/>
      </c>
      <c r="K58" s="28">
        <f>IF(OR(G58="",J58=""),"",G58/(J58*60))</f>
        <v/>
      </c>
    </row>
    <row r="59">
      <c r="J59">
        <f>IF(I59&lt;&gt;"",I59,IF(UPPER(TRIM(F59))="SHEET",Inputs!$B$7,IF(UPPER(TRIM(F59))="SWALE",Inputs!$B$8,IF(UPPER(TRIM(F59))="TRENCH",Inputs!$B$27,IF(UPPER(TRIM(F59))="PIPE",Inputs!$B$9,Inputs!$B$10)))))</f>
        <v/>
      </c>
      <c r="K59" s="28">
        <f>IF(OR(G59="",J59=""),"",G59/(J59*60))</f>
        <v/>
      </c>
    </row>
    <row r="60">
      <c r="J60">
        <f>IF(I60&lt;&gt;"",I60,IF(UPPER(TRIM(F60))="SHEET",Inputs!$B$7,IF(UPPER(TRIM(F60))="SWALE",Inputs!$B$8,IF(UPPER(TRIM(F60))="TRENCH",Inputs!$B$27,IF(UPPER(TRIM(F60))="PIPE",Inputs!$B$9,Inputs!$B$10)))))</f>
        <v/>
      </c>
      <c r="K60" s="28">
        <f>IF(OR(G60="",J60=""),"",G60/(J60*60))</f>
        <v/>
      </c>
    </row>
    <row r="61">
      <c r="J61">
        <f>IF(I61&lt;&gt;"",I61,IF(UPPER(TRIM(F61))="SHEET",Inputs!$B$7,IF(UPPER(TRIM(F61))="SWALE",Inputs!$B$8,IF(UPPER(TRIM(F61))="TRENCH",Inputs!$B$27,IF(UPPER(TRIM(F61))="PIPE",Inputs!$B$9,Inputs!$B$10)))))</f>
        <v/>
      </c>
      <c r="K61" s="28">
        <f>IF(OR(G61="",J61=""),"",G61/(J61*60))</f>
        <v/>
      </c>
    </row>
    <row r="62">
      <c r="J62">
        <f>IF(I62&lt;&gt;"",I62,IF(UPPER(TRIM(F62))="SHEET",Inputs!$B$7,IF(UPPER(TRIM(F62))="SWALE",Inputs!$B$8,IF(UPPER(TRIM(F62))="TRENCH",Inputs!$B$27,IF(UPPER(TRIM(F62))="PIPE",Inputs!$B$9,Inputs!$B$10)))))</f>
        <v/>
      </c>
      <c r="K62" s="28">
        <f>IF(OR(G62="",J62=""),"",G62/(J62*60))</f>
        <v/>
      </c>
    </row>
    <row r="63">
      <c r="J63">
        <f>IF(I63&lt;&gt;"",I63,IF(UPPER(TRIM(F63))="SHEET",Inputs!$B$7,IF(UPPER(TRIM(F63))="SWALE",Inputs!$B$8,IF(UPPER(TRIM(F63))="TRENCH",Inputs!$B$27,IF(UPPER(TRIM(F63))="PIPE",Inputs!$B$9,Inputs!$B$10)))))</f>
        <v/>
      </c>
      <c r="K63" s="28">
        <f>IF(OR(G63="",J63=""),"",G63/(J63*60))</f>
        <v/>
      </c>
    </row>
    <row r="64">
      <c r="J64">
        <f>IF(I64&lt;&gt;"",I64,IF(UPPER(TRIM(F64))="SHEET",Inputs!$B$7,IF(UPPER(TRIM(F64))="SWALE",Inputs!$B$8,IF(UPPER(TRIM(F64))="TRENCH",Inputs!$B$27,IF(UPPER(TRIM(F64))="PIPE",Inputs!$B$9,Inputs!$B$10)))))</f>
        <v/>
      </c>
      <c r="K64" s="28">
        <f>IF(OR(G64="",J64=""),"",G64/(J64*60))</f>
        <v/>
      </c>
    </row>
    <row r="65">
      <c r="J65">
        <f>IF(I65&lt;&gt;"",I65,IF(UPPER(TRIM(F65))="SHEET",Inputs!$B$7,IF(UPPER(TRIM(F65))="SWALE",Inputs!$B$8,IF(UPPER(TRIM(F65))="TRENCH",Inputs!$B$27,IF(UPPER(TRIM(F65))="PIPE",Inputs!$B$9,Inputs!$B$10)))))</f>
        <v/>
      </c>
      <c r="K65" s="28">
        <f>IF(OR(G65="",J65=""),"",G65/(J65*60))</f>
        <v/>
      </c>
    </row>
    <row r="66">
      <c r="J66">
        <f>IF(I66&lt;&gt;"",I66,IF(UPPER(TRIM(F66))="SHEET",Inputs!$B$7,IF(UPPER(TRIM(F66))="SWALE",Inputs!$B$8,IF(UPPER(TRIM(F66))="TRENCH",Inputs!$B$27,IF(UPPER(TRIM(F66))="PIPE",Inputs!$B$9,Inputs!$B$10)))))</f>
        <v/>
      </c>
      <c r="K66" s="28">
        <f>IF(OR(G66="",J66=""),"",G66/(J66*60))</f>
        <v/>
      </c>
    </row>
    <row r="67">
      <c r="J67">
        <f>IF(I67&lt;&gt;"",I67,IF(UPPER(TRIM(F67))="SHEET",Inputs!$B$7,IF(UPPER(TRIM(F67))="SWALE",Inputs!$B$8,IF(UPPER(TRIM(F67))="TRENCH",Inputs!$B$27,IF(UPPER(TRIM(F67))="PIPE",Inputs!$B$9,Inputs!$B$10)))))</f>
        <v/>
      </c>
      <c r="K67" s="28">
        <f>IF(OR(G67="",J67=""),"",G67/(J67*60))</f>
        <v/>
      </c>
    </row>
    <row r="68">
      <c r="J68">
        <f>IF(I68&lt;&gt;"",I68,IF(UPPER(TRIM(F68))="SHEET",Inputs!$B$7,IF(UPPER(TRIM(F68))="SWALE",Inputs!$B$8,IF(UPPER(TRIM(F68))="TRENCH",Inputs!$B$27,IF(UPPER(TRIM(F68))="PIPE",Inputs!$B$9,Inputs!$B$10)))))</f>
        <v/>
      </c>
      <c r="K68" s="28">
        <f>IF(OR(G68="",J68=""),"",G68/(J68*60))</f>
        <v/>
      </c>
    </row>
    <row r="69">
      <c r="J69">
        <f>IF(I69&lt;&gt;"",I69,IF(UPPER(TRIM(F69))="SHEET",Inputs!$B$7,IF(UPPER(TRIM(F69))="SWALE",Inputs!$B$8,IF(UPPER(TRIM(F69))="TRENCH",Inputs!$B$27,IF(UPPER(TRIM(F69))="PIPE",Inputs!$B$9,Inputs!$B$10)))))</f>
        <v/>
      </c>
      <c r="K69" s="28">
        <f>IF(OR(G69="",J69=""),"",G69/(J69*60))</f>
        <v/>
      </c>
    </row>
    <row r="70">
      <c r="J70">
        <f>IF(I70&lt;&gt;"",I70,IF(UPPER(TRIM(F70))="SHEET",Inputs!$B$7,IF(UPPER(TRIM(F70))="SWALE",Inputs!$B$8,IF(UPPER(TRIM(F70))="TRENCH",Inputs!$B$27,IF(UPPER(TRIM(F70))="PIPE",Inputs!$B$9,Inputs!$B$10)))))</f>
        <v/>
      </c>
      <c r="K70" s="28">
        <f>IF(OR(G70="",J70=""),"",G70/(J70*60))</f>
        <v/>
      </c>
    </row>
    <row r="71">
      <c r="J71">
        <f>IF(I71&lt;&gt;"",I71,IF(UPPER(TRIM(F71))="SHEET",Inputs!$B$7,IF(UPPER(TRIM(F71))="SWALE",Inputs!$B$8,IF(UPPER(TRIM(F71))="TRENCH",Inputs!$B$27,IF(UPPER(TRIM(F71))="PIPE",Inputs!$B$9,Inputs!$B$10)))))</f>
        <v/>
      </c>
      <c r="K71" s="28">
        <f>IF(OR(G71="",J71=""),"",G71/(J71*60))</f>
        <v/>
      </c>
    </row>
    <row r="72">
      <c r="J72">
        <f>IF(I72&lt;&gt;"",I72,IF(UPPER(TRIM(F72))="SHEET",Inputs!$B$7,IF(UPPER(TRIM(F72))="SWALE",Inputs!$B$8,IF(UPPER(TRIM(F72))="TRENCH",Inputs!$B$27,IF(UPPER(TRIM(F72))="PIPE",Inputs!$B$9,Inputs!$B$10)))))</f>
        <v/>
      </c>
      <c r="K72" s="28">
        <f>IF(OR(G72="",J72=""),"",G72/(J72*60))</f>
        <v/>
      </c>
    </row>
    <row r="73">
      <c r="J73">
        <f>IF(I73&lt;&gt;"",I73,IF(UPPER(TRIM(F73))="SHEET",Inputs!$B$7,IF(UPPER(TRIM(F73))="SWALE",Inputs!$B$8,IF(UPPER(TRIM(F73))="TRENCH",Inputs!$B$27,IF(UPPER(TRIM(F73))="PIPE",Inputs!$B$9,Inputs!$B$10)))))</f>
        <v/>
      </c>
      <c r="K73" s="28">
        <f>IF(OR(G73="",J73=""),"",G73/(J73*60))</f>
        <v/>
      </c>
    </row>
    <row r="74">
      <c r="J74">
        <f>IF(I74&lt;&gt;"",I74,IF(UPPER(TRIM(F74))="SHEET",Inputs!$B$7,IF(UPPER(TRIM(F74))="SWALE",Inputs!$B$8,IF(UPPER(TRIM(F74))="TRENCH",Inputs!$B$27,IF(UPPER(TRIM(F74))="PIPE",Inputs!$B$9,Inputs!$B$10)))))</f>
        <v/>
      </c>
      <c r="K74" s="28">
        <f>IF(OR(G74="",J74=""),"",G74/(J74*60))</f>
        <v/>
      </c>
    </row>
    <row r="75">
      <c r="J75">
        <f>IF(I75&lt;&gt;"",I75,IF(UPPER(TRIM(F75))="SHEET",Inputs!$B$7,IF(UPPER(TRIM(F75))="SWALE",Inputs!$B$8,IF(UPPER(TRIM(F75))="TRENCH",Inputs!$B$27,IF(UPPER(TRIM(F75))="PIPE",Inputs!$B$9,Inputs!$B$10)))))</f>
        <v/>
      </c>
      <c r="K75" s="28">
        <f>IF(OR(G75="",J75=""),"",G75/(J75*60))</f>
        <v/>
      </c>
    </row>
    <row r="76">
      <c r="J76">
        <f>IF(I76&lt;&gt;"",I76,IF(UPPER(TRIM(F76))="SHEET",Inputs!$B$7,IF(UPPER(TRIM(F76))="SWALE",Inputs!$B$8,IF(UPPER(TRIM(F76))="TRENCH",Inputs!$B$27,IF(UPPER(TRIM(F76))="PIPE",Inputs!$B$9,Inputs!$B$10)))))</f>
        <v/>
      </c>
      <c r="K76" s="28">
        <f>IF(OR(G76="",J76=""),"",G76/(J76*60))</f>
        <v/>
      </c>
    </row>
    <row r="77">
      <c r="J77">
        <f>IF(I77&lt;&gt;"",I77,IF(UPPER(TRIM(F77))="SHEET",Inputs!$B$7,IF(UPPER(TRIM(F77))="SWALE",Inputs!$B$8,IF(UPPER(TRIM(F77))="TRENCH",Inputs!$B$27,IF(UPPER(TRIM(F77))="PIPE",Inputs!$B$9,Inputs!$B$10)))))</f>
        <v/>
      </c>
      <c r="K77" s="28">
        <f>IF(OR(G77="",J77=""),"",G77/(J77*60))</f>
        <v/>
      </c>
    </row>
    <row r="78">
      <c r="J78">
        <f>IF(I78&lt;&gt;"",I78,IF(UPPER(TRIM(F78))="SHEET",Inputs!$B$7,IF(UPPER(TRIM(F78))="SWALE",Inputs!$B$8,IF(UPPER(TRIM(F78))="TRENCH",Inputs!$B$27,IF(UPPER(TRIM(F78))="PIPE",Inputs!$B$9,Inputs!$B$10)))))</f>
        <v/>
      </c>
      <c r="K78" s="28">
        <f>IF(OR(G78="",J78=""),"",G78/(J78*60))</f>
        <v/>
      </c>
    </row>
    <row r="79">
      <c r="J79">
        <f>IF(I79&lt;&gt;"",I79,IF(UPPER(TRIM(F79))="SHEET",Inputs!$B$7,IF(UPPER(TRIM(F79))="SWALE",Inputs!$B$8,IF(UPPER(TRIM(F79))="TRENCH",Inputs!$B$27,IF(UPPER(TRIM(F79))="PIPE",Inputs!$B$9,Inputs!$B$10)))))</f>
        <v/>
      </c>
      <c r="K79" s="28">
        <f>IF(OR(G79="",J79=""),"",G79/(J79*60))</f>
        <v/>
      </c>
    </row>
    <row r="80">
      <c r="J80">
        <f>IF(I80&lt;&gt;"",I80,IF(UPPER(TRIM(F80))="SHEET",Inputs!$B$7,IF(UPPER(TRIM(F80))="SWALE",Inputs!$B$8,IF(UPPER(TRIM(F80))="TRENCH",Inputs!$B$27,IF(UPPER(TRIM(F80))="PIPE",Inputs!$B$9,Inputs!$B$10)))))</f>
        <v/>
      </c>
      <c r="K80" s="28">
        <f>IF(OR(G80="",J80=""),"",G80/(J80*60))</f>
        <v/>
      </c>
    </row>
    <row r="81">
      <c r="J81">
        <f>IF(I81&lt;&gt;"",I81,IF(UPPER(TRIM(F81))="SHEET",Inputs!$B$7,IF(UPPER(TRIM(F81))="SWALE",Inputs!$B$8,IF(UPPER(TRIM(F81))="TRENCH",Inputs!$B$27,IF(UPPER(TRIM(F81))="PIPE",Inputs!$B$9,Inputs!$B$10)))))</f>
        <v/>
      </c>
      <c r="K81" s="28">
        <f>IF(OR(G81="",J81=""),"",G81/(J81*60))</f>
        <v/>
      </c>
    </row>
    <row r="82">
      <c r="J82">
        <f>IF(I82&lt;&gt;"",I82,IF(UPPER(TRIM(F82))="SHEET",Inputs!$B$7,IF(UPPER(TRIM(F82))="SWALE",Inputs!$B$8,IF(UPPER(TRIM(F82))="TRENCH",Inputs!$B$27,IF(UPPER(TRIM(F82))="PIPE",Inputs!$B$9,Inputs!$B$10)))))</f>
        <v/>
      </c>
      <c r="K82" s="28">
        <f>IF(OR(G82="",J82=""),"",G82/(J82*60))</f>
        <v/>
      </c>
    </row>
    <row r="83">
      <c r="J83">
        <f>IF(I83&lt;&gt;"",I83,IF(UPPER(TRIM(F83))="SHEET",Inputs!$B$7,IF(UPPER(TRIM(F83))="SWALE",Inputs!$B$8,IF(UPPER(TRIM(F83))="TRENCH",Inputs!$B$27,IF(UPPER(TRIM(F83))="PIPE",Inputs!$B$9,Inputs!$B$10)))))</f>
        <v/>
      </c>
      <c r="K83" s="28">
        <f>IF(OR(G83="",J83=""),"",G83/(J83*60))</f>
        <v/>
      </c>
    </row>
    <row r="84">
      <c r="J84">
        <f>IF(I84&lt;&gt;"",I84,IF(UPPER(TRIM(F84))="SHEET",Inputs!$B$7,IF(UPPER(TRIM(F84))="SWALE",Inputs!$B$8,IF(UPPER(TRIM(F84))="TRENCH",Inputs!$B$27,IF(UPPER(TRIM(F84))="PIPE",Inputs!$B$9,Inputs!$B$10)))))</f>
        <v/>
      </c>
      <c r="K84" s="28">
        <f>IF(OR(G84="",J84=""),"",G84/(J84*60))</f>
        <v/>
      </c>
    </row>
    <row r="85">
      <c r="J85">
        <f>IF(I85&lt;&gt;"",I85,IF(UPPER(TRIM(F85))="SHEET",Inputs!$B$7,IF(UPPER(TRIM(F85))="SWALE",Inputs!$B$8,IF(UPPER(TRIM(F85))="TRENCH",Inputs!$B$27,IF(UPPER(TRIM(F85))="PIPE",Inputs!$B$9,Inputs!$B$10)))))</f>
        <v/>
      </c>
      <c r="K85" s="28">
        <f>IF(OR(G85="",J85=""),"",G85/(J85*60))</f>
        <v/>
      </c>
    </row>
    <row r="86">
      <c r="J86">
        <f>IF(I86&lt;&gt;"",I86,IF(UPPER(TRIM(F86))="SHEET",Inputs!$B$7,IF(UPPER(TRIM(F86))="SWALE",Inputs!$B$8,IF(UPPER(TRIM(F86))="TRENCH",Inputs!$B$27,IF(UPPER(TRIM(F86))="PIPE",Inputs!$B$9,Inputs!$B$10)))))</f>
        <v/>
      </c>
      <c r="K86" s="28">
        <f>IF(OR(G86="",J86=""),"",G86/(J86*60))</f>
        <v/>
      </c>
    </row>
    <row r="87">
      <c r="J87">
        <f>IF(I87&lt;&gt;"",I87,IF(UPPER(TRIM(F87))="SHEET",Inputs!$B$7,IF(UPPER(TRIM(F87))="SWALE",Inputs!$B$8,IF(UPPER(TRIM(F87))="TRENCH",Inputs!$B$27,IF(UPPER(TRIM(F87))="PIPE",Inputs!$B$9,Inputs!$B$10)))))</f>
        <v/>
      </c>
      <c r="K87" s="28">
        <f>IF(OR(G87="",J87=""),"",G87/(J87*60))</f>
        <v/>
      </c>
    </row>
    <row r="88">
      <c r="J88">
        <f>IF(I88&lt;&gt;"",I88,IF(UPPER(TRIM(F88))="SHEET",Inputs!$B$7,IF(UPPER(TRIM(F88))="SWALE",Inputs!$B$8,IF(UPPER(TRIM(F88))="TRENCH",Inputs!$B$27,IF(UPPER(TRIM(F88))="PIPE",Inputs!$B$9,Inputs!$B$10)))))</f>
        <v/>
      </c>
      <c r="K88" s="28">
        <f>IF(OR(G88="",J88=""),"",G88/(J88*60))</f>
        <v/>
      </c>
    </row>
    <row r="89">
      <c r="J89">
        <f>IF(I89&lt;&gt;"",I89,IF(UPPER(TRIM(F89))="SHEET",Inputs!$B$7,IF(UPPER(TRIM(F89))="SWALE",Inputs!$B$8,IF(UPPER(TRIM(F89))="TRENCH",Inputs!$B$27,IF(UPPER(TRIM(F89))="PIPE",Inputs!$B$9,Inputs!$B$10)))))</f>
        <v/>
      </c>
      <c r="K89" s="28">
        <f>IF(OR(G89="",J89=""),"",G89/(J89*60))</f>
        <v/>
      </c>
    </row>
    <row r="90">
      <c r="J90">
        <f>IF(I90&lt;&gt;"",I90,IF(UPPER(TRIM(F90))="SHEET",Inputs!$B$7,IF(UPPER(TRIM(F90))="SWALE",Inputs!$B$8,IF(UPPER(TRIM(F90))="TRENCH",Inputs!$B$27,IF(UPPER(TRIM(F90))="PIPE",Inputs!$B$9,Inputs!$B$10)))))</f>
        <v/>
      </c>
      <c r="K90" s="28">
        <f>IF(OR(G90="",J90=""),"",G90/(J90*60))</f>
        <v/>
      </c>
    </row>
    <row r="91">
      <c r="J91">
        <f>IF(I91&lt;&gt;"",I91,IF(UPPER(TRIM(F91))="SHEET",Inputs!$B$7,IF(UPPER(TRIM(F91))="SWALE",Inputs!$B$8,IF(UPPER(TRIM(F91))="TRENCH",Inputs!$B$27,IF(UPPER(TRIM(F91))="PIPE",Inputs!$B$9,Inputs!$B$10)))))</f>
        <v/>
      </c>
      <c r="K91" s="28">
        <f>IF(OR(G91="",J91=""),"",G91/(J91*60))</f>
        <v/>
      </c>
    </row>
    <row r="92">
      <c r="J92">
        <f>IF(I92&lt;&gt;"",I92,IF(UPPER(TRIM(F92))="SHEET",Inputs!$B$7,IF(UPPER(TRIM(F92))="SWALE",Inputs!$B$8,IF(UPPER(TRIM(F92))="TRENCH",Inputs!$B$27,IF(UPPER(TRIM(F92))="PIPE",Inputs!$B$9,Inputs!$B$10)))))</f>
        <v/>
      </c>
      <c r="K92" s="28">
        <f>IF(OR(G92="",J92=""),"",G92/(J92*60))</f>
        <v/>
      </c>
    </row>
    <row r="93">
      <c r="J93">
        <f>IF(I93&lt;&gt;"",I93,IF(UPPER(TRIM(F93))="SHEET",Inputs!$B$7,IF(UPPER(TRIM(F93))="SWALE",Inputs!$B$8,IF(UPPER(TRIM(F93))="TRENCH",Inputs!$B$27,IF(UPPER(TRIM(F93))="PIPE",Inputs!$B$9,Inputs!$B$10)))))</f>
        <v/>
      </c>
      <c r="K93" s="28">
        <f>IF(OR(G93="",J93=""),"",G93/(J93*60))</f>
        <v/>
      </c>
    </row>
    <row r="94">
      <c r="J94">
        <f>IF(I94&lt;&gt;"",I94,IF(UPPER(TRIM(F94))="SHEET",Inputs!$B$7,IF(UPPER(TRIM(F94))="SWALE",Inputs!$B$8,IF(UPPER(TRIM(F94))="TRENCH",Inputs!$B$27,IF(UPPER(TRIM(F94))="PIPE",Inputs!$B$9,Inputs!$B$10)))))</f>
        <v/>
      </c>
      <c r="K94" s="28">
        <f>IF(OR(G94="",J94=""),"",G94/(J94*60))</f>
        <v/>
      </c>
    </row>
    <row r="95">
      <c r="J95">
        <f>IF(I95&lt;&gt;"",I95,IF(UPPER(TRIM(F95))="SHEET",Inputs!$B$7,IF(UPPER(TRIM(F95))="SWALE",Inputs!$B$8,IF(UPPER(TRIM(F95))="TRENCH",Inputs!$B$27,IF(UPPER(TRIM(F95))="PIPE",Inputs!$B$9,Inputs!$B$10)))))</f>
        <v/>
      </c>
      <c r="K95" s="28">
        <f>IF(OR(G95="",J95=""),"",G95/(J95*60))</f>
        <v/>
      </c>
    </row>
    <row r="96">
      <c r="J96">
        <f>IF(I96&lt;&gt;"",I96,IF(UPPER(TRIM(F96))="SHEET",Inputs!$B$7,IF(UPPER(TRIM(F96))="SWALE",Inputs!$B$8,IF(UPPER(TRIM(F96))="TRENCH",Inputs!$B$27,IF(UPPER(TRIM(F96))="PIPE",Inputs!$B$9,Inputs!$B$10)))))</f>
        <v/>
      </c>
      <c r="K96" s="28">
        <f>IF(OR(G96="",J96=""),"",G96/(J96*60))</f>
        <v/>
      </c>
    </row>
    <row r="97">
      <c r="J97">
        <f>IF(I97&lt;&gt;"",I97,IF(UPPER(TRIM(F97))="SHEET",Inputs!$B$7,IF(UPPER(TRIM(F97))="SWALE",Inputs!$B$8,IF(UPPER(TRIM(F97))="TRENCH",Inputs!$B$27,IF(UPPER(TRIM(F97))="PIPE",Inputs!$B$9,Inputs!$B$10)))))</f>
        <v/>
      </c>
      <c r="K97" s="28">
        <f>IF(OR(G97="",J97=""),"",G97/(J97*60))</f>
        <v/>
      </c>
    </row>
    <row r="98">
      <c r="J98">
        <f>IF(I98&lt;&gt;"",I98,IF(UPPER(TRIM(F98))="SHEET",Inputs!$B$7,IF(UPPER(TRIM(F98))="SWALE",Inputs!$B$8,IF(UPPER(TRIM(F98))="TRENCH",Inputs!$B$27,IF(UPPER(TRIM(F98))="PIPE",Inputs!$B$9,Inputs!$B$10)))))</f>
        <v/>
      </c>
      <c r="K98" s="28">
        <f>IF(OR(G98="",J98=""),"",G98/(J98*60))</f>
        <v/>
      </c>
    </row>
    <row r="99">
      <c r="J99">
        <f>IF(I99&lt;&gt;"",I99,IF(UPPER(TRIM(F99))="SHEET",Inputs!$B$7,IF(UPPER(TRIM(F99))="SWALE",Inputs!$B$8,IF(UPPER(TRIM(F99))="TRENCH",Inputs!$B$27,IF(UPPER(TRIM(F99))="PIPE",Inputs!$B$9,Inputs!$B$10)))))</f>
        <v/>
      </c>
      <c r="K99" s="28">
        <f>IF(OR(G99="",J99=""),"",G99/(J99*60))</f>
        <v/>
      </c>
    </row>
    <row r="100">
      <c r="J100">
        <f>IF(I100&lt;&gt;"",I100,IF(UPPER(TRIM(F100))="SHEET",Inputs!$B$7,IF(UPPER(TRIM(F100))="SWALE",Inputs!$B$8,IF(UPPER(TRIM(F100))="TRENCH",Inputs!$B$27,IF(UPPER(TRIM(F100))="PIPE",Inputs!$B$9,Inputs!$B$10)))))</f>
        <v/>
      </c>
      <c r="K100" s="28">
        <f>IF(OR(G100="",J100=""),"",G100/(J100*60))</f>
        <v/>
      </c>
    </row>
    <row r="101">
      <c r="J101">
        <f>IF(I101&lt;&gt;"",I101,IF(UPPER(TRIM(F101))="SHEET",Inputs!$B$7,IF(UPPER(TRIM(F101))="SWALE",Inputs!$B$8,IF(UPPER(TRIM(F101))="TRENCH",Inputs!$B$27,IF(UPPER(TRIM(F101))="PIPE",Inputs!$B$9,Inputs!$B$10)))))</f>
        <v/>
      </c>
      <c r="K101" s="28">
        <f>IF(OR(G101="",J101=""),"",G101/(J101*60))</f>
        <v/>
      </c>
    </row>
    <row r="102">
      <c r="J102">
        <f>IF(I102&lt;&gt;"",I102,IF(UPPER(TRIM(F102))="SHEET",Inputs!$B$7,IF(UPPER(TRIM(F102))="SWALE",Inputs!$B$8,IF(UPPER(TRIM(F102))="TRENCH",Inputs!$B$27,IF(UPPER(TRIM(F102))="PIPE",Inputs!$B$9,Inputs!$B$10)))))</f>
        <v/>
      </c>
      <c r="K102" s="28">
        <f>IF(OR(G102="",J102=""),"",G102/(J102*60))</f>
        <v/>
      </c>
    </row>
    <row r="103">
      <c r="J103">
        <f>IF(I103&lt;&gt;"",I103,IF(UPPER(TRIM(F103))="SHEET",Inputs!$B$7,IF(UPPER(TRIM(F103))="SWALE",Inputs!$B$8,IF(UPPER(TRIM(F103))="TRENCH",Inputs!$B$27,IF(UPPER(TRIM(F103))="PIPE",Inputs!$B$9,Inputs!$B$10)))))</f>
        <v/>
      </c>
      <c r="K103" s="28">
        <f>IF(OR(G103="",J103=""),"",G103/(J103*60))</f>
        <v/>
      </c>
    </row>
    <row r="104">
      <c r="J104">
        <f>IF(I104&lt;&gt;"",I104,IF(UPPER(TRIM(F104))="SHEET",Inputs!$B$7,IF(UPPER(TRIM(F104))="SWALE",Inputs!$B$8,IF(UPPER(TRIM(F104))="TRENCH",Inputs!$B$27,IF(UPPER(TRIM(F104))="PIPE",Inputs!$B$9,Inputs!$B$10)))))</f>
        <v/>
      </c>
      <c r="K104" s="28">
        <f>IF(OR(G104="",J104=""),"",G104/(J104*60))</f>
        <v/>
      </c>
    </row>
    <row r="105">
      <c r="J105">
        <f>IF(I105&lt;&gt;"",I105,IF(UPPER(TRIM(F105))="SHEET",Inputs!$B$7,IF(UPPER(TRIM(F105))="SWALE",Inputs!$B$8,IF(UPPER(TRIM(F105))="TRENCH",Inputs!$B$27,IF(UPPER(TRIM(F105))="PIPE",Inputs!$B$9,Inputs!$B$10)))))</f>
        <v/>
      </c>
      <c r="K105" s="28">
        <f>IF(OR(G105="",J105=""),"",G105/(J105*60))</f>
        <v/>
      </c>
    </row>
    <row r="106">
      <c r="J106">
        <f>IF(I106&lt;&gt;"",I106,IF(UPPER(TRIM(F106))="SHEET",Inputs!$B$7,IF(UPPER(TRIM(F106))="SWALE",Inputs!$B$8,IF(UPPER(TRIM(F106))="TRENCH",Inputs!$B$27,IF(UPPER(TRIM(F106))="PIPE",Inputs!$B$9,Inputs!$B$10)))))</f>
        <v/>
      </c>
      <c r="K106" s="28">
        <f>IF(OR(G106="",J106=""),"",G106/(J106*60))</f>
        <v/>
      </c>
    </row>
    <row r="107">
      <c r="J107">
        <f>IF(I107&lt;&gt;"",I107,IF(UPPER(TRIM(F107))="SHEET",Inputs!$B$7,IF(UPPER(TRIM(F107))="SWALE",Inputs!$B$8,IF(UPPER(TRIM(F107))="TRENCH",Inputs!$B$27,IF(UPPER(TRIM(F107))="PIPE",Inputs!$B$9,Inputs!$B$10)))))</f>
        <v/>
      </c>
      <c r="K107" s="28">
        <f>IF(OR(G107="",J107=""),"",G107/(J107*60))</f>
        <v/>
      </c>
    </row>
    <row r="108">
      <c r="J108">
        <f>IF(I108&lt;&gt;"",I108,IF(UPPER(TRIM(F108))="SHEET",Inputs!$B$7,IF(UPPER(TRIM(F108))="SWALE",Inputs!$B$8,IF(UPPER(TRIM(F108))="TRENCH",Inputs!$B$27,IF(UPPER(TRIM(F108))="PIPE",Inputs!$B$9,Inputs!$B$10)))))</f>
        <v/>
      </c>
      <c r="K108" s="28">
        <f>IF(OR(G108="",J108=""),"",G108/(J108*60))</f>
        <v/>
      </c>
    </row>
    <row r="109">
      <c r="J109">
        <f>IF(I109&lt;&gt;"",I109,IF(UPPER(TRIM(F109))="SHEET",Inputs!$B$7,IF(UPPER(TRIM(F109))="SWALE",Inputs!$B$8,IF(UPPER(TRIM(F109))="TRENCH",Inputs!$B$27,IF(UPPER(TRIM(F109))="PIPE",Inputs!$B$9,Inputs!$B$10)))))</f>
        <v/>
      </c>
      <c r="K109" s="28">
        <f>IF(OR(G109="",J109=""),"",G109/(J109*60))</f>
        <v/>
      </c>
    </row>
    <row r="110">
      <c r="J110">
        <f>IF(I110&lt;&gt;"",I110,IF(UPPER(TRIM(F110))="SHEET",Inputs!$B$7,IF(UPPER(TRIM(F110))="SWALE",Inputs!$B$8,IF(UPPER(TRIM(F110))="TRENCH",Inputs!$B$27,IF(UPPER(TRIM(F110))="PIPE",Inputs!$B$9,Inputs!$B$10)))))</f>
        <v/>
      </c>
      <c r="K110" s="28">
        <f>IF(OR(G110="",J110=""),"",G110/(J110*60))</f>
        <v/>
      </c>
    </row>
    <row r="111">
      <c r="J111">
        <f>IF(I111&lt;&gt;"",I111,IF(UPPER(TRIM(F111))="SHEET",Inputs!$B$7,IF(UPPER(TRIM(F111))="SWALE",Inputs!$B$8,IF(UPPER(TRIM(F111))="TRENCH",Inputs!$B$27,IF(UPPER(TRIM(F111))="PIPE",Inputs!$B$9,Inputs!$B$10)))))</f>
        <v/>
      </c>
      <c r="K111" s="28">
        <f>IF(OR(G111="",J111=""),"",G111/(J111*60))</f>
        <v/>
      </c>
    </row>
    <row r="112">
      <c r="J112">
        <f>IF(I112&lt;&gt;"",I112,IF(UPPER(TRIM(F112))="SHEET",Inputs!$B$7,IF(UPPER(TRIM(F112))="SWALE",Inputs!$B$8,IF(UPPER(TRIM(F112))="TRENCH",Inputs!$B$27,IF(UPPER(TRIM(F112))="PIPE",Inputs!$B$9,Inputs!$B$10)))))</f>
        <v/>
      </c>
      <c r="K112" s="28">
        <f>IF(OR(G112="",J112=""),"",G112/(J112*60))</f>
        <v/>
      </c>
    </row>
    <row r="113">
      <c r="J113">
        <f>IF(I113&lt;&gt;"",I113,IF(UPPER(TRIM(F113))="SHEET",Inputs!$B$7,IF(UPPER(TRIM(F113))="SWALE",Inputs!$B$8,IF(UPPER(TRIM(F113))="TRENCH",Inputs!$B$27,IF(UPPER(TRIM(F113))="PIPE",Inputs!$B$9,Inputs!$B$10)))))</f>
        <v/>
      </c>
      <c r="K113" s="28">
        <f>IF(OR(G113="",J113=""),"",G113/(J113*60))</f>
        <v/>
      </c>
    </row>
    <row r="114">
      <c r="J114">
        <f>IF(I114&lt;&gt;"",I114,IF(UPPER(TRIM(F114))="SHEET",Inputs!$B$7,IF(UPPER(TRIM(F114))="SWALE",Inputs!$B$8,IF(UPPER(TRIM(F114))="TRENCH",Inputs!$B$27,IF(UPPER(TRIM(F114))="PIPE",Inputs!$B$9,Inputs!$B$10)))))</f>
        <v/>
      </c>
      <c r="K114" s="28">
        <f>IF(OR(G114="",J114=""),"",G114/(J114*60))</f>
        <v/>
      </c>
    </row>
    <row r="115">
      <c r="J115">
        <f>IF(I115&lt;&gt;"",I115,IF(UPPER(TRIM(F115))="SHEET",Inputs!$B$7,IF(UPPER(TRIM(F115))="SWALE",Inputs!$B$8,IF(UPPER(TRIM(F115))="TRENCH",Inputs!$B$27,IF(UPPER(TRIM(F115))="PIPE",Inputs!$B$9,Inputs!$B$10)))))</f>
        <v/>
      </c>
      <c r="K115" s="28">
        <f>IF(OR(G115="",J115=""),"",G115/(J115*60))</f>
        <v/>
      </c>
    </row>
    <row r="116">
      <c r="J116">
        <f>IF(I116&lt;&gt;"",I116,IF(UPPER(TRIM(F116))="SHEET",Inputs!$B$7,IF(UPPER(TRIM(F116))="SWALE",Inputs!$B$8,IF(UPPER(TRIM(F116))="TRENCH",Inputs!$B$27,IF(UPPER(TRIM(F116))="PIPE",Inputs!$B$9,Inputs!$B$10)))))</f>
        <v/>
      </c>
      <c r="K116" s="28">
        <f>IF(OR(G116="",J116=""),"",G116/(J116*60))</f>
        <v/>
      </c>
    </row>
    <row r="117">
      <c r="J117">
        <f>IF(I117&lt;&gt;"",I117,IF(UPPER(TRIM(F117))="SHEET",Inputs!$B$7,IF(UPPER(TRIM(F117))="SWALE",Inputs!$B$8,IF(UPPER(TRIM(F117))="TRENCH",Inputs!$B$27,IF(UPPER(TRIM(F117))="PIPE",Inputs!$B$9,Inputs!$B$10)))))</f>
        <v/>
      </c>
      <c r="K117" s="28">
        <f>IF(OR(G117="",J117=""),"",G117/(J117*60))</f>
        <v/>
      </c>
    </row>
    <row r="118">
      <c r="J118">
        <f>IF(I118&lt;&gt;"",I118,IF(UPPER(TRIM(F118))="SHEET",Inputs!$B$7,IF(UPPER(TRIM(F118))="SWALE",Inputs!$B$8,IF(UPPER(TRIM(F118))="TRENCH",Inputs!$B$27,IF(UPPER(TRIM(F118))="PIPE",Inputs!$B$9,Inputs!$B$10)))))</f>
        <v/>
      </c>
      <c r="K118" s="28">
        <f>IF(OR(G118="",J118=""),"",G118/(J118*60))</f>
        <v/>
      </c>
    </row>
    <row r="119">
      <c r="J119">
        <f>IF(I119&lt;&gt;"",I119,IF(UPPER(TRIM(F119))="SHEET",Inputs!$B$7,IF(UPPER(TRIM(F119))="SWALE",Inputs!$B$8,IF(UPPER(TRIM(F119))="TRENCH",Inputs!$B$27,IF(UPPER(TRIM(F119))="PIPE",Inputs!$B$9,Inputs!$B$10)))))</f>
        <v/>
      </c>
      <c r="K119" s="28">
        <f>IF(OR(G119="",J119=""),"",G119/(J119*60))</f>
        <v/>
      </c>
    </row>
    <row r="120">
      <c r="J120">
        <f>IF(I120&lt;&gt;"",I120,IF(UPPER(TRIM(F120))="SHEET",Inputs!$B$7,IF(UPPER(TRIM(F120))="SWALE",Inputs!$B$8,IF(UPPER(TRIM(F120))="TRENCH",Inputs!$B$27,IF(UPPER(TRIM(F120))="PIPE",Inputs!$B$9,Inputs!$B$10)))))</f>
        <v/>
      </c>
      <c r="K120" s="28">
        <f>IF(OR(G120="",J120=""),"",G120/(J120*60))</f>
        <v/>
      </c>
    </row>
    <row r="121">
      <c r="J121">
        <f>IF(I121&lt;&gt;"",I121,IF(UPPER(TRIM(F121))="SHEET",Inputs!$B$7,IF(UPPER(TRIM(F121))="SWALE",Inputs!$B$8,IF(UPPER(TRIM(F121))="TRENCH",Inputs!$B$27,IF(UPPER(TRIM(F121))="PIPE",Inputs!$B$9,Inputs!$B$10)))))</f>
        <v/>
      </c>
      <c r="K121" s="28">
        <f>IF(OR(G121="",J121=""),"",G121/(J121*60))</f>
        <v/>
      </c>
    </row>
    <row r="122">
      <c r="J122">
        <f>IF(I122&lt;&gt;"",I122,IF(UPPER(TRIM(F122))="SHEET",Inputs!$B$7,IF(UPPER(TRIM(F122))="SWALE",Inputs!$B$8,IF(UPPER(TRIM(F122))="TRENCH",Inputs!$B$27,IF(UPPER(TRIM(F122))="PIPE",Inputs!$B$9,Inputs!$B$10)))))</f>
        <v/>
      </c>
      <c r="K122" s="28">
        <f>IF(OR(G122="",J122=""),"",G122/(J122*60))</f>
        <v/>
      </c>
    </row>
    <row r="123">
      <c r="J123">
        <f>IF(I123&lt;&gt;"",I123,IF(UPPER(TRIM(F123))="SHEET",Inputs!$B$7,IF(UPPER(TRIM(F123))="SWALE",Inputs!$B$8,IF(UPPER(TRIM(F123))="TRENCH",Inputs!$B$27,IF(UPPER(TRIM(F123))="PIPE",Inputs!$B$9,Inputs!$B$10)))))</f>
        <v/>
      </c>
      <c r="K123" s="28">
        <f>IF(OR(G123="",J123=""),"",G123/(J123*60))</f>
        <v/>
      </c>
    </row>
    <row r="124">
      <c r="J124">
        <f>IF(I124&lt;&gt;"",I124,IF(UPPER(TRIM(F124))="SHEET",Inputs!$B$7,IF(UPPER(TRIM(F124))="SWALE",Inputs!$B$8,IF(UPPER(TRIM(F124))="TRENCH",Inputs!$B$27,IF(UPPER(TRIM(F124))="PIPE",Inputs!$B$9,Inputs!$B$10)))))</f>
        <v/>
      </c>
      <c r="K124" s="28">
        <f>IF(OR(G124="",J124=""),"",G124/(J124*60))</f>
        <v/>
      </c>
    </row>
    <row r="125">
      <c r="J125">
        <f>IF(I125&lt;&gt;"",I125,IF(UPPER(TRIM(F125))="SHEET",Inputs!$B$7,IF(UPPER(TRIM(F125))="SWALE",Inputs!$B$8,IF(UPPER(TRIM(F125))="TRENCH",Inputs!$B$27,IF(UPPER(TRIM(F125))="PIPE",Inputs!$B$9,Inputs!$B$10)))))</f>
        <v/>
      </c>
      <c r="K125" s="28">
        <f>IF(OR(G125="",J125=""),"",G125/(J125*60))</f>
        <v/>
      </c>
    </row>
    <row r="126">
      <c r="J126">
        <f>IF(I126&lt;&gt;"",I126,IF(UPPER(TRIM(F126))="SHEET",Inputs!$B$7,IF(UPPER(TRIM(F126))="SWALE",Inputs!$B$8,IF(UPPER(TRIM(F126))="TRENCH",Inputs!$B$27,IF(UPPER(TRIM(F126))="PIPE",Inputs!$B$9,Inputs!$B$10)))))</f>
        <v/>
      </c>
      <c r="K126" s="28">
        <f>IF(OR(G126="",J126=""),"",G126/(J126*60))</f>
        <v/>
      </c>
    </row>
    <row r="127">
      <c r="J127">
        <f>IF(I127&lt;&gt;"",I127,IF(UPPER(TRIM(F127))="SHEET",Inputs!$B$7,IF(UPPER(TRIM(F127))="SWALE",Inputs!$B$8,IF(UPPER(TRIM(F127))="TRENCH",Inputs!$B$27,IF(UPPER(TRIM(F127))="PIPE",Inputs!$B$9,Inputs!$B$10)))))</f>
        <v/>
      </c>
      <c r="K127" s="28">
        <f>IF(OR(G127="",J127=""),"",G127/(J127*60))</f>
        <v/>
      </c>
    </row>
    <row r="128">
      <c r="J128">
        <f>IF(I128&lt;&gt;"",I128,IF(UPPER(TRIM(F128))="SHEET",Inputs!$B$7,IF(UPPER(TRIM(F128))="SWALE",Inputs!$B$8,IF(UPPER(TRIM(F128))="TRENCH",Inputs!$B$27,IF(UPPER(TRIM(F128))="PIPE",Inputs!$B$9,Inputs!$B$10)))))</f>
        <v/>
      </c>
      <c r="K128" s="28">
        <f>IF(OR(G128="",J128=""),"",G128/(J128*60))</f>
        <v/>
      </c>
    </row>
    <row r="129">
      <c r="J129">
        <f>IF(I129&lt;&gt;"",I129,IF(UPPER(TRIM(F129))="SHEET",Inputs!$B$7,IF(UPPER(TRIM(F129))="SWALE",Inputs!$B$8,IF(UPPER(TRIM(F129))="TRENCH",Inputs!$B$27,IF(UPPER(TRIM(F129))="PIPE",Inputs!$B$9,Inputs!$B$10)))))</f>
        <v/>
      </c>
      <c r="K129" s="28">
        <f>IF(OR(G129="",J129=""),"",G129/(J129*60))</f>
        <v/>
      </c>
    </row>
    <row r="130">
      <c r="J130">
        <f>IF(I130&lt;&gt;"",I130,IF(UPPER(TRIM(F130))="SHEET",Inputs!$B$7,IF(UPPER(TRIM(F130))="SWALE",Inputs!$B$8,IF(UPPER(TRIM(F130))="TRENCH",Inputs!$B$27,IF(UPPER(TRIM(F130))="PIPE",Inputs!$B$9,Inputs!$B$10)))))</f>
        <v/>
      </c>
      <c r="K130" s="28">
        <f>IF(OR(G130="",J130=""),"",G130/(J130*60))</f>
        <v/>
      </c>
    </row>
    <row r="131">
      <c r="J131">
        <f>IF(I131&lt;&gt;"",I131,IF(UPPER(TRIM(F131))="SHEET",Inputs!$B$7,IF(UPPER(TRIM(F131))="SWALE",Inputs!$B$8,IF(UPPER(TRIM(F131))="TRENCH",Inputs!$B$27,IF(UPPER(TRIM(F131))="PIPE",Inputs!$B$9,Inputs!$B$10)))))</f>
        <v/>
      </c>
      <c r="K131" s="28">
        <f>IF(OR(G131="",J131=""),"",G131/(J131*60))</f>
        <v/>
      </c>
    </row>
    <row r="132">
      <c r="J132">
        <f>IF(I132&lt;&gt;"",I132,IF(UPPER(TRIM(F132))="SHEET",Inputs!$B$7,IF(UPPER(TRIM(F132))="SWALE",Inputs!$B$8,IF(UPPER(TRIM(F132))="TRENCH",Inputs!$B$27,IF(UPPER(TRIM(F132))="PIPE",Inputs!$B$9,Inputs!$B$10)))))</f>
        <v/>
      </c>
      <c r="K132" s="28">
        <f>IF(OR(G132="",J132=""),"",G132/(J132*60))</f>
        <v/>
      </c>
    </row>
    <row r="133">
      <c r="J133">
        <f>IF(I133&lt;&gt;"",I133,IF(UPPER(TRIM(F133))="SHEET",Inputs!$B$7,IF(UPPER(TRIM(F133))="SWALE",Inputs!$B$8,IF(UPPER(TRIM(F133))="TRENCH",Inputs!$B$27,IF(UPPER(TRIM(F133))="PIPE",Inputs!$B$9,Inputs!$B$10)))))</f>
        <v/>
      </c>
      <c r="K133" s="28">
        <f>IF(OR(G133="",J133=""),"",G133/(J133*60))</f>
        <v/>
      </c>
    </row>
    <row r="134">
      <c r="J134">
        <f>IF(I134&lt;&gt;"",I134,IF(UPPER(TRIM(F134))="SHEET",Inputs!$B$7,IF(UPPER(TRIM(F134))="SWALE",Inputs!$B$8,IF(UPPER(TRIM(F134))="TRENCH",Inputs!$B$27,IF(UPPER(TRIM(F134))="PIPE",Inputs!$B$9,Inputs!$B$10)))))</f>
        <v/>
      </c>
      <c r="K134" s="28">
        <f>IF(OR(G134="",J134=""),"",G134/(J134*60))</f>
        <v/>
      </c>
    </row>
    <row r="135">
      <c r="J135">
        <f>IF(I135&lt;&gt;"",I135,IF(UPPER(TRIM(F135))="SHEET",Inputs!$B$7,IF(UPPER(TRIM(F135))="SWALE",Inputs!$B$8,IF(UPPER(TRIM(F135))="TRENCH",Inputs!$B$27,IF(UPPER(TRIM(F135))="PIPE",Inputs!$B$9,Inputs!$B$10)))))</f>
        <v/>
      </c>
      <c r="K135" s="28">
        <f>IF(OR(G135="",J135=""),"",G135/(J135*60))</f>
        <v/>
      </c>
    </row>
    <row r="136">
      <c r="J136">
        <f>IF(I136&lt;&gt;"",I136,IF(UPPER(TRIM(F136))="SHEET",Inputs!$B$7,IF(UPPER(TRIM(F136))="SWALE",Inputs!$B$8,IF(UPPER(TRIM(F136))="TRENCH",Inputs!$B$27,IF(UPPER(TRIM(F136))="PIPE",Inputs!$B$9,Inputs!$B$10)))))</f>
        <v/>
      </c>
      <c r="K136" s="28">
        <f>IF(OR(G136="",J136=""),"",G136/(J136*60))</f>
        <v/>
      </c>
    </row>
    <row r="137">
      <c r="J137">
        <f>IF(I137&lt;&gt;"",I137,IF(UPPER(TRIM(F137))="SHEET",Inputs!$B$7,IF(UPPER(TRIM(F137))="SWALE",Inputs!$B$8,IF(UPPER(TRIM(F137))="TRENCH",Inputs!$B$27,IF(UPPER(TRIM(F137))="PIPE",Inputs!$B$9,Inputs!$B$10)))))</f>
        <v/>
      </c>
      <c r="K137" s="28">
        <f>IF(OR(G137="",J137=""),"",G137/(J137*60))</f>
        <v/>
      </c>
    </row>
    <row r="138">
      <c r="J138">
        <f>IF(I138&lt;&gt;"",I138,IF(UPPER(TRIM(F138))="SHEET",Inputs!$B$7,IF(UPPER(TRIM(F138))="SWALE",Inputs!$B$8,IF(UPPER(TRIM(F138))="TRENCH",Inputs!$B$27,IF(UPPER(TRIM(F138))="PIPE",Inputs!$B$9,Inputs!$B$10)))))</f>
        <v/>
      </c>
      <c r="K138" s="28">
        <f>IF(OR(G138="",J138=""),"",G138/(J138*60))</f>
        <v/>
      </c>
    </row>
    <row r="139">
      <c r="J139">
        <f>IF(I139&lt;&gt;"",I139,IF(UPPER(TRIM(F139))="SHEET",Inputs!$B$7,IF(UPPER(TRIM(F139))="SWALE",Inputs!$B$8,IF(UPPER(TRIM(F139))="TRENCH",Inputs!$B$27,IF(UPPER(TRIM(F139))="PIPE",Inputs!$B$9,Inputs!$B$10)))))</f>
        <v/>
      </c>
      <c r="K139" s="28">
        <f>IF(OR(G139="",J139=""),"",G139/(J139*60))</f>
        <v/>
      </c>
    </row>
    <row r="140">
      <c r="J140">
        <f>IF(I140&lt;&gt;"",I140,IF(UPPER(TRIM(F140))="SHEET",Inputs!$B$7,IF(UPPER(TRIM(F140))="SWALE",Inputs!$B$8,IF(UPPER(TRIM(F140))="TRENCH",Inputs!$B$27,IF(UPPER(TRIM(F140))="PIPE",Inputs!$B$9,Inputs!$B$10)))))</f>
        <v/>
      </c>
      <c r="K140" s="28">
        <f>IF(OR(G140="",J140=""),"",G140/(J140*60))</f>
        <v/>
      </c>
    </row>
    <row r="141">
      <c r="J141">
        <f>IF(I141&lt;&gt;"",I141,IF(UPPER(TRIM(F141))="SHEET",Inputs!$B$7,IF(UPPER(TRIM(F141))="SWALE",Inputs!$B$8,IF(UPPER(TRIM(F141))="TRENCH",Inputs!$B$27,IF(UPPER(TRIM(F141))="PIPE",Inputs!$B$9,Inputs!$B$10)))))</f>
        <v/>
      </c>
      <c r="K141" s="28">
        <f>IF(OR(G141="",J141=""),"",G141/(J141*60))</f>
        <v/>
      </c>
    </row>
    <row r="142">
      <c r="J142">
        <f>IF(I142&lt;&gt;"",I142,IF(UPPER(TRIM(F142))="SHEET",Inputs!$B$7,IF(UPPER(TRIM(F142))="SWALE",Inputs!$B$8,IF(UPPER(TRIM(F142))="TRENCH",Inputs!$B$27,IF(UPPER(TRIM(F142))="PIPE",Inputs!$B$9,Inputs!$B$10)))))</f>
        <v/>
      </c>
      <c r="K142" s="28">
        <f>IF(OR(G142="",J142=""),"",G142/(J142*60))</f>
        <v/>
      </c>
    </row>
    <row r="143">
      <c r="J143">
        <f>IF(I143&lt;&gt;"",I143,IF(UPPER(TRIM(F143))="SHEET",Inputs!$B$7,IF(UPPER(TRIM(F143))="SWALE",Inputs!$B$8,IF(UPPER(TRIM(F143))="TRENCH",Inputs!$B$27,IF(UPPER(TRIM(F143))="PIPE",Inputs!$B$9,Inputs!$B$10)))))</f>
        <v/>
      </c>
      <c r="K143" s="28">
        <f>IF(OR(G143="",J143=""),"",G143/(J143*60))</f>
        <v/>
      </c>
    </row>
    <row r="144">
      <c r="J144">
        <f>IF(I144&lt;&gt;"",I144,IF(UPPER(TRIM(F144))="SHEET",Inputs!$B$7,IF(UPPER(TRIM(F144))="SWALE",Inputs!$B$8,IF(UPPER(TRIM(F144))="TRENCH",Inputs!$B$27,IF(UPPER(TRIM(F144))="PIPE",Inputs!$B$9,Inputs!$B$10)))))</f>
        <v/>
      </c>
      <c r="K144" s="28">
        <f>IF(OR(G144="",J144=""),"",G144/(J144*60))</f>
        <v/>
      </c>
    </row>
    <row r="145">
      <c r="J145">
        <f>IF(I145&lt;&gt;"",I145,IF(UPPER(TRIM(F145))="SHEET",Inputs!$B$7,IF(UPPER(TRIM(F145))="SWALE",Inputs!$B$8,IF(UPPER(TRIM(F145))="TRENCH",Inputs!$B$27,IF(UPPER(TRIM(F145))="PIPE",Inputs!$B$9,Inputs!$B$10)))))</f>
        <v/>
      </c>
      <c r="K145" s="28">
        <f>IF(OR(G145="",J145=""),"",G145/(J145*60))</f>
        <v/>
      </c>
    </row>
    <row r="146">
      <c r="J146">
        <f>IF(I146&lt;&gt;"",I146,IF(UPPER(TRIM(F146))="SHEET",Inputs!$B$7,IF(UPPER(TRIM(F146))="SWALE",Inputs!$B$8,IF(UPPER(TRIM(F146))="TRENCH",Inputs!$B$27,IF(UPPER(TRIM(F146))="PIPE",Inputs!$B$9,Inputs!$B$10)))))</f>
        <v/>
      </c>
      <c r="K146" s="28">
        <f>IF(OR(G146="",J146=""),"",G146/(J146*60))</f>
        <v/>
      </c>
    </row>
    <row r="147">
      <c r="J147">
        <f>IF(I147&lt;&gt;"",I147,IF(UPPER(TRIM(F147))="SHEET",Inputs!$B$7,IF(UPPER(TRIM(F147))="SWALE",Inputs!$B$8,IF(UPPER(TRIM(F147))="TRENCH",Inputs!$B$27,IF(UPPER(TRIM(F147))="PIPE",Inputs!$B$9,Inputs!$B$10)))))</f>
        <v/>
      </c>
      <c r="K147" s="28">
        <f>IF(OR(G147="",J147=""),"",G147/(J147*60))</f>
        <v/>
      </c>
    </row>
    <row r="148">
      <c r="J148">
        <f>IF(I148&lt;&gt;"",I148,IF(UPPER(TRIM(F148))="SHEET",Inputs!$B$7,IF(UPPER(TRIM(F148))="SWALE",Inputs!$B$8,IF(UPPER(TRIM(F148))="TRENCH",Inputs!$B$27,IF(UPPER(TRIM(F148))="PIPE",Inputs!$B$9,Inputs!$B$10)))))</f>
        <v/>
      </c>
      <c r="K148" s="28">
        <f>IF(OR(G148="",J148=""),"",G148/(J148*60))</f>
        <v/>
      </c>
    </row>
    <row r="149">
      <c r="J149">
        <f>IF(I149&lt;&gt;"",I149,IF(UPPER(TRIM(F149))="SHEET",Inputs!$B$7,IF(UPPER(TRIM(F149))="SWALE",Inputs!$B$8,IF(UPPER(TRIM(F149))="TRENCH",Inputs!$B$27,IF(UPPER(TRIM(F149))="PIPE",Inputs!$B$9,Inputs!$B$10)))))</f>
        <v/>
      </c>
      <c r="K149" s="28">
        <f>IF(OR(G149="",J149=""),"",G149/(J149*60))</f>
        <v/>
      </c>
    </row>
    <row r="150">
      <c r="J150">
        <f>IF(I150&lt;&gt;"",I150,IF(UPPER(TRIM(F150))="SHEET",Inputs!$B$7,IF(UPPER(TRIM(F150))="SWALE",Inputs!$B$8,IF(UPPER(TRIM(F150))="TRENCH",Inputs!$B$27,IF(UPPER(TRIM(F150))="PIPE",Inputs!$B$9,Inputs!$B$10)))))</f>
        <v/>
      </c>
      <c r="K150" s="28">
        <f>IF(OR(G150="",J150=""),"",G150/(J150*60))</f>
        <v/>
      </c>
    </row>
    <row r="151">
      <c r="J151">
        <f>IF(I151&lt;&gt;"",I151,IF(UPPER(TRIM(F151))="SHEET",Inputs!$B$7,IF(UPPER(TRIM(F151))="SWALE",Inputs!$B$8,IF(UPPER(TRIM(F151))="TRENCH",Inputs!$B$27,IF(UPPER(TRIM(F151))="PIPE",Inputs!$B$9,Inputs!$B$10)))))</f>
        <v/>
      </c>
      <c r="K151" s="28">
        <f>IF(OR(G151="",J151=""),"",G151/(J151*60))</f>
        <v/>
      </c>
    </row>
    <row r="152">
      <c r="J152">
        <f>IF(I152&lt;&gt;"",I152,IF(UPPER(TRIM(F152))="SHEET",Inputs!$B$7,IF(UPPER(TRIM(F152))="SWALE",Inputs!$B$8,IF(UPPER(TRIM(F152))="TRENCH",Inputs!$B$27,IF(UPPER(TRIM(F152))="PIPE",Inputs!$B$9,Inputs!$B$10)))))</f>
        <v/>
      </c>
      <c r="K152" s="28">
        <f>IF(OR(G152="",J152=""),"",G152/(J152*60))</f>
        <v/>
      </c>
    </row>
    <row r="153">
      <c r="J153">
        <f>IF(I153&lt;&gt;"",I153,IF(UPPER(TRIM(F153))="SHEET",Inputs!$B$7,IF(UPPER(TRIM(F153))="SWALE",Inputs!$B$8,IF(UPPER(TRIM(F153))="TRENCH",Inputs!$B$27,IF(UPPER(TRIM(F153))="PIPE",Inputs!$B$9,Inputs!$B$10)))))</f>
        <v/>
      </c>
      <c r="K153" s="28">
        <f>IF(OR(G153="",J153=""),"",G153/(J153*60))</f>
        <v/>
      </c>
    </row>
    <row r="154">
      <c r="J154">
        <f>IF(I154&lt;&gt;"",I154,IF(UPPER(TRIM(F154))="SHEET",Inputs!$B$7,IF(UPPER(TRIM(F154))="SWALE",Inputs!$B$8,IF(UPPER(TRIM(F154))="TRENCH",Inputs!$B$27,IF(UPPER(TRIM(F154))="PIPE",Inputs!$B$9,Inputs!$B$10)))))</f>
        <v/>
      </c>
      <c r="K154" s="28">
        <f>IF(OR(G154="",J154=""),"",G154/(J154*60))</f>
        <v/>
      </c>
    </row>
    <row r="155">
      <c r="J155">
        <f>IF(I155&lt;&gt;"",I155,IF(UPPER(TRIM(F155))="SHEET",Inputs!$B$7,IF(UPPER(TRIM(F155))="SWALE",Inputs!$B$8,IF(UPPER(TRIM(F155))="TRENCH",Inputs!$B$27,IF(UPPER(TRIM(F155))="PIPE",Inputs!$B$9,Inputs!$B$10)))))</f>
        <v/>
      </c>
      <c r="K155" s="28">
        <f>IF(OR(G155="",J155=""),"",G155/(J155*60))</f>
        <v/>
      </c>
    </row>
    <row r="156">
      <c r="J156">
        <f>IF(I156&lt;&gt;"",I156,IF(UPPER(TRIM(F156))="SHEET",Inputs!$B$7,IF(UPPER(TRIM(F156))="SWALE",Inputs!$B$8,IF(UPPER(TRIM(F156))="TRENCH",Inputs!$B$27,IF(UPPER(TRIM(F156))="PIPE",Inputs!$B$9,Inputs!$B$10)))))</f>
        <v/>
      </c>
      <c r="K156" s="28">
        <f>IF(OR(G156="",J156=""),"",G156/(J156*60))</f>
        <v/>
      </c>
    </row>
    <row r="157">
      <c r="J157">
        <f>IF(I157&lt;&gt;"",I157,IF(UPPER(TRIM(F157))="SHEET",Inputs!$B$7,IF(UPPER(TRIM(F157))="SWALE",Inputs!$B$8,IF(UPPER(TRIM(F157))="TRENCH",Inputs!$B$27,IF(UPPER(TRIM(F157))="PIPE",Inputs!$B$9,Inputs!$B$10)))))</f>
        <v/>
      </c>
      <c r="K157" s="28">
        <f>IF(OR(G157="",J157=""),"",G157/(J157*60))</f>
        <v/>
      </c>
    </row>
    <row r="158">
      <c r="J158">
        <f>IF(I158&lt;&gt;"",I158,IF(UPPER(TRIM(F158))="SHEET",Inputs!$B$7,IF(UPPER(TRIM(F158))="SWALE",Inputs!$B$8,IF(UPPER(TRIM(F158))="TRENCH",Inputs!$B$27,IF(UPPER(TRIM(F158))="PIPE",Inputs!$B$9,Inputs!$B$10)))))</f>
        <v/>
      </c>
      <c r="K158" s="28">
        <f>IF(OR(G158="",J158=""),"",G158/(J158*60))</f>
        <v/>
      </c>
    </row>
    <row r="159">
      <c r="J159">
        <f>IF(I159&lt;&gt;"",I159,IF(UPPER(TRIM(F159))="SHEET",Inputs!$B$7,IF(UPPER(TRIM(F159))="SWALE",Inputs!$B$8,IF(UPPER(TRIM(F159))="TRENCH",Inputs!$B$27,IF(UPPER(TRIM(F159))="PIPE",Inputs!$B$9,Inputs!$B$10)))))</f>
        <v/>
      </c>
      <c r="K159" s="28">
        <f>IF(OR(G159="",J159=""),"",G159/(J159*60))</f>
        <v/>
      </c>
    </row>
    <row r="160">
      <c r="J160">
        <f>IF(I160&lt;&gt;"",I160,IF(UPPER(TRIM(F160))="SHEET",Inputs!$B$7,IF(UPPER(TRIM(F160))="SWALE",Inputs!$B$8,IF(UPPER(TRIM(F160))="TRENCH",Inputs!$B$27,IF(UPPER(TRIM(F160))="PIPE",Inputs!$B$9,Inputs!$B$10)))))</f>
        <v/>
      </c>
      <c r="K160" s="28">
        <f>IF(OR(G160="",J160=""),"",G160/(J160*60))</f>
        <v/>
      </c>
    </row>
    <row r="161">
      <c r="J161">
        <f>IF(I161&lt;&gt;"",I161,IF(UPPER(TRIM(F161))="SHEET",Inputs!$B$7,IF(UPPER(TRIM(F161))="SWALE",Inputs!$B$8,IF(UPPER(TRIM(F161))="TRENCH",Inputs!$B$27,IF(UPPER(TRIM(F161))="PIPE",Inputs!$B$9,Inputs!$B$10)))))</f>
        <v/>
      </c>
      <c r="K161" s="28">
        <f>IF(OR(G161="",J161=""),"",G161/(J161*60))</f>
        <v/>
      </c>
    </row>
    <row r="162">
      <c r="J162">
        <f>IF(I162&lt;&gt;"",I162,IF(UPPER(TRIM(F162))="SHEET",Inputs!$B$7,IF(UPPER(TRIM(F162))="SWALE",Inputs!$B$8,IF(UPPER(TRIM(F162))="TRENCH",Inputs!$B$27,IF(UPPER(TRIM(F162))="PIPE",Inputs!$B$9,Inputs!$B$10)))))</f>
        <v/>
      </c>
      <c r="K162" s="28">
        <f>IF(OR(G162="",J162=""),"",G162/(J162*60))</f>
        <v/>
      </c>
    </row>
    <row r="163">
      <c r="J163">
        <f>IF(I163&lt;&gt;"",I163,IF(UPPER(TRIM(F163))="SHEET",Inputs!$B$7,IF(UPPER(TRIM(F163))="SWALE",Inputs!$B$8,IF(UPPER(TRIM(F163))="TRENCH",Inputs!$B$27,IF(UPPER(TRIM(F163))="PIPE",Inputs!$B$9,Inputs!$B$10)))))</f>
        <v/>
      </c>
      <c r="K163" s="28">
        <f>IF(OR(G163="",J163=""),"",G163/(J163*60))</f>
        <v/>
      </c>
    </row>
    <row r="164">
      <c r="J164">
        <f>IF(I164&lt;&gt;"",I164,IF(UPPER(TRIM(F164))="SHEET",Inputs!$B$7,IF(UPPER(TRIM(F164))="SWALE",Inputs!$B$8,IF(UPPER(TRIM(F164))="TRENCH",Inputs!$B$27,IF(UPPER(TRIM(F164))="PIPE",Inputs!$B$9,Inputs!$B$10)))))</f>
        <v/>
      </c>
      <c r="K164" s="28">
        <f>IF(OR(G164="",J164=""),"",G164/(J164*60))</f>
        <v/>
      </c>
    </row>
    <row r="165">
      <c r="J165">
        <f>IF(I165&lt;&gt;"",I165,IF(UPPER(TRIM(F165))="SHEET",Inputs!$B$7,IF(UPPER(TRIM(F165))="SWALE",Inputs!$B$8,IF(UPPER(TRIM(F165))="TRENCH",Inputs!$B$27,IF(UPPER(TRIM(F165))="PIPE",Inputs!$B$9,Inputs!$B$10)))))</f>
        <v/>
      </c>
      <c r="K165" s="28">
        <f>IF(OR(G165="",J165=""),"",G165/(J165*60))</f>
        <v/>
      </c>
    </row>
    <row r="166">
      <c r="J166">
        <f>IF(I166&lt;&gt;"",I166,IF(UPPER(TRIM(F166))="SHEET",Inputs!$B$7,IF(UPPER(TRIM(F166))="SWALE",Inputs!$B$8,IF(UPPER(TRIM(F166))="TRENCH",Inputs!$B$27,IF(UPPER(TRIM(F166))="PIPE",Inputs!$B$9,Inputs!$B$10)))))</f>
        <v/>
      </c>
      <c r="K166" s="28">
        <f>IF(OR(G166="",J166=""),"",G166/(J166*60))</f>
        <v/>
      </c>
    </row>
    <row r="167">
      <c r="J167">
        <f>IF(I167&lt;&gt;"",I167,IF(UPPER(TRIM(F167))="SHEET",Inputs!$B$7,IF(UPPER(TRIM(F167))="SWALE",Inputs!$B$8,IF(UPPER(TRIM(F167))="TRENCH",Inputs!$B$27,IF(UPPER(TRIM(F167))="PIPE",Inputs!$B$9,Inputs!$B$10)))))</f>
        <v/>
      </c>
      <c r="K167" s="28">
        <f>IF(OR(G167="",J167=""),"",G167/(J167*60))</f>
        <v/>
      </c>
    </row>
    <row r="168">
      <c r="J168">
        <f>IF(I168&lt;&gt;"",I168,IF(UPPER(TRIM(F168))="SHEET",Inputs!$B$7,IF(UPPER(TRIM(F168))="SWALE",Inputs!$B$8,IF(UPPER(TRIM(F168))="TRENCH",Inputs!$B$27,IF(UPPER(TRIM(F168))="PIPE",Inputs!$B$9,Inputs!$B$10)))))</f>
        <v/>
      </c>
      <c r="K168" s="28">
        <f>IF(OR(G168="",J168=""),"",G168/(J168*60))</f>
        <v/>
      </c>
    </row>
    <row r="169">
      <c r="J169">
        <f>IF(I169&lt;&gt;"",I169,IF(UPPER(TRIM(F169))="SHEET",Inputs!$B$7,IF(UPPER(TRIM(F169))="SWALE",Inputs!$B$8,IF(UPPER(TRIM(F169))="TRENCH",Inputs!$B$27,IF(UPPER(TRIM(F169))="PIPE",Inputs!$B$9,Inputs!$B$10)))))</f>
        <v/>
      </c>
      <c r="K169" s="28">
        <f>IF(OR(G169="",J169=""),"",G169/(J169*60))</f>
        <v/>
      </c>
    </row>
    <row r="170">
      <c r="J170">
        <f>IF(I170&lt;&gt;"",I170,IF(UPPER(TRIM(F170))="SHEET",Inputs!$B$7,IF(UPPER(TRIM(F170))="SWALE",Inputs!$B$8,IF(UPPER(TRIM(F170))="TRENCH",Inputs!$B$27,IF(UPPER(TRIM(F170))="PIPE",Inputs!$B$9,Inputs!$B$10)))))</f>
        <v/>
      </c>
      <c r="K170" s="28">
        <f>IF(OR(G170="",J170=""),"",G170/(J170*60))</f>
        <v/>
      </c>
    </row>
    <row r="171">
      <c r="J171">
        <f>IF(I171&lt;&gt;"",I171,IF(UPPER(TRIM(F171))="SHEET",Inputs!$B$7,IF(UPPER(TRIM(F171))="SWALE",Inputs!$B$8,IF(UPPER(TRIM(F171))="TRENCH",Inputs!$B$27,IF(UPPER(TRIM(F171))="PIPE",Inputs!$B$9,Inputs!$B$10)))))</f>
        <v/>
      </c>
      <c r="K171" s="28">
        <f>IF(OR(G171="",J171=""),"",G171/(J171*60))</f>
        <v/>
      </c>
    </row>
    <row r="172">
      <c r="J172">
        <f>IF(I172&lt;&gt;"",I172,IF(UPPER(TRIM(F172))="SHEET",Inputs!$B$7,IF(UPPER(TRIM(F172))="SWALE",Inputs!$B$8,IF(UPPER(TRIM(F172))="TRENCH",Inputs!$B$27,IF(UPPER(TRIM(F172))="PIPE",Inputs!$B$9,Inputs!$B$10)))))</f>
        <v/>
      </c>
      <c r="K172" s="28">
        <f>IF(OR(G172="",J172=""),"",G172/(J172*60))</f>
        <v/>
      </c>
    </row>
    <row r="173">
      <c r="J173">
        <f>IF(I173&lt;&gt;"",I173,IF(UPPER(TRIM(F173))="SHEET",Inputs!$B$7,IF(UPPER(TRIM(F173))="SWALE",Inputs!$B$8,IF(UPPER(TRIM(F173))="TRENCH",Inputs!$B$27,IF(UPPER(TRIM(F173))="PIPE",Inputs!$B$9,Inputs!$B$10)))))</f>
        <v/>
      </c>
      <c r="K173" s="28">
        <f>IF(OR(G173="",J173=""),"",G173/(J173*60))</f>
        <v/>
      </c>
    </row>
    <row r="174">
      <c r="J174">
        <f>IF(I174&lt;&gt;"",I174,IF(UPPER(TRIM(F174))="SHEET",Inputs!$B$7,IF(UPPER(TRIM(F174))="SWALE",Inputs!$B$8,IF(UPPER(TRIM(F174))="TRENCH",Inputs!$B$27,IF(UPPER(TRIM(F174))="PIPE",Inputs!$B$9,Inputs!$B$10)))))</f>
        <v/>
      </c>
      <c r="K174" s="28">
        <f>IF(OR(G174="",J174=""),"",G174/(J174*60))</f>
        <v/>
      </c>
    </row>
    <row r="175">
      <c r="J175">
        <f>IF(I175&lt;&gt;"",I175,IF(UPPER(TRIM(F175))="SHEET",Inputs!$B$7,IF(UPPER(TRIM(F175))="SWALE",Inputs!$B$8,IF(UPPER(TRIM(F175))="TRENCH",Inputs!$B$27,IF(UPPER(TRIM(F175))="PIPE",Inputs!$B$9,Inputs!$B$10)))))</f>
        <v/>
      </c>
      <c r="K175" s="28">
        <f>IF(OR(G175="",J175=""),"",G175/(J175*60))</f>
        <v/>
      </c>
    </row>
    <row r="176">
      <c r="J176">
        <f>IF(I176&lt;&gt;"",I176,IF(UPPER(TRIM(F176))="SHEET",Inputs!$B$7,IF(UPPER(TRIM(F176))="SWALE",Inputs!$B$8,IF(UPPER(TRIM(F176))="TRENCH",Inputs!$B$27,IF(UPPER(TRIM(F176))="PIPE",Inputs!$B$9,Inputs!$B$10)))))</f>
        <v/>
      </c>
      <c r="K176" s="28">
        <f>IF(OR(G176="",J176=""),"",G176/(J176*60))</f>
        <v/>
      </c>
    </row>
    <row r="177">
      <c r="J177">
        <f>IF(I177&lt;&gt;"",I177,IF(UPPER(TRIM(F177))="SHEET",Inputs!$B$7,IF(UPPER(TRIM(F177))="SWALE",Inputs!$B$8,IF(UPPER(TRIM(F177))="TRENCH",Inputs!$B$27,IF(UPPER(TRIM(F177))="PIPE",Inputs!$B$9,Inputs!$B$10)))))</f>
        <v/>
      </c>
      <c r="K177" s="28">
        <f>IF(OR(G177="",J177=""),"",G177/(J177*60))</f>
        <v/>
      </c>
    </row>
    <row r="178">
      <c r="J178">
        <f>IF(I178&lt;&gt;"",I178,IF(UPPER(TRIM(F178))="SHEET",Inputs!$B$7,IF(UPPER(TRIM(F178))="SWALE",Inputs!$B$8,IF(UPPER(TRIM(F178))="TRENCH",Inputs!$B$27,IF(UPPER(TRIM(F178))="PIPE",Inputs!$B$9,Inputs!$B$10)))))</f>
        <v/>
      </c>
      <c r="K178" s="28">
        <f>IF(OR(G178="",J178=""),"",G178/(J178*60))</f>
        <v/>
      </c>
    </row>
    <row r="179">
      <c r="J179">
        <f>IF(I179&lt;&gt;"",I179,IF(UPPER(TRIM(F179))="SHEET",Inputs!$B$7,IF(UPPER(TRIM(F179))="SWALE",Inputs!$B$8,IF(UPPER(TRIM(F179))="TRENCH",Inputs!$B$27,IF(UPPER(TRIM(F179))="PIPE",Inputs!$B$9,Inputs!$B$10)))))</f>
        <v/>
      </c>
      <c r="K179" s="28">
        <f>IF(OR(G179="",J179=""),"",G179/(J179*60))</f>
        <v/>
      </c>
    </row>
    <row r="180">
      <c r="J180">
        <f>IF(I180&lt;&gt;"",I180,IF(UPPER(TRIM(F180))="SHEET",Inputs!$B$7,IF(UPPER(TRIM(F180))="SWALE",Inputs!$B$8,IF(UPPER(TRIM(F180))="TRENCH",Inputs!$B$27,IF(UPPER(TRIM(F180))="PIPE",Inputs!$B$9,Inputs!$B$10)))))</f>
        <v/>
      </c>
      <c r="K180" s="28">
        <f>IF(OR(G180="",J180=""),"",G180/(J180*60))</f>
        <v/>
      </c>
    </row>
    <row r="181">
      <c r="J181">
        <f>IF(I181&lt;&gt;"",I181,IF(UPPER(TRIM(F181))="SHEET",Inputs!$B$7,IF(UPPER(TRIM(F181))="SWALE",Inputs!$B$8,IF(UPPER(TRIM(F181))="TRENCH",Inputs!$B$27,IF(UPPER(TRIM(F181))="PIPE",Inputs!$B$9,Inputs!$B$10)))))</f>
        <v/>
      </c>
      <c r="K181" s="28">
        <f>IF(OR(G181="",J181=""),"",G181/(J181*60))</f>
        <v/>
      </c>
    </row>
    <row r="182">
      <c r="J182">
        <f>IF(I182&lt;&gt;"",I182,IF(UPPER(TRIM(F182))="SHEET",Inputs!$B$7,IF(UPPER(TRIM(F182))="SWALE",Inputs!$B$8,IF(UPPER(TRIM(F182))="TRENCH",Inputs!$B$27,IF(UPPER(TRIM(F182))="PIPE",Inputs!$B$9,Inputs!$B$10)))))</f>
        <v/>
      </c>
      <c r="K182" s="28">
        <f>IF(OR(G182="",J182=""),"",G182/(J182*60))</f>
        <v/>
      </c>
    </row>
    <row r="183">
      <c r="J183">
        <f>IF(I183&lt;&gt;"",I183,IF(UPPER(TRIM(F183))="SHEET",Inputs!$B$7,IF(UPPER(TRIM(F183))="SWALE",Inputs!$B$8,IF(UPPER(TRIM(F183))="TRENCH",Inputs!$B$27,IF(UPPER(TRIM(F183))="PIPE",Inputs!$B$9,Inputs!$B$10)))))</f>
        <v/>
      </c>
      <c r="K183" s="28">
        <f>IF(OR(G183="",J183=""),"",G183/(J183*60))</f>
        <v/>
      </c>
    </row>
    <row r="184">
      <c r="J184">
        <f>IF(I184&lt;&gt;"",I184,IF(UPPER(TRIM(F184))="SHEET",Inputs!$B$7,IF(UPPER(TRIM(F184))="SWALE",Inputs!$B$8,IF(UPPER(TRIM(F184))="TRENCH",Inputs!$B$27,IF(UPPER(TRIM(F184))="PIPE",Inputs!$B$9,Inputs!$B$10)))))</f>
        <v/>
      </c>
      <c r="K184" s="28">
        <f>IF(OR(G184="",J184=""),"",G184/(J184*60))</f>
        <v/>
      </c>
    </row>
    <row r="185">
      <c r="J185">
        <f>IF(I185&lt;&gt;"",I185,IF(UPPER(TRIM(F185))="SHEET",Inputs!$B$7,IF(UPPER(TRIM(F185))="SWALE",Inputs!$B$8,IF(UPPER(TRIM(F185))="TRENCH",Inputs!$B$27,IF(UPPER(TRIM(F185))="PIPE",Inputs!$B$9,Inputs!$B$10)))))</f>
        <v/>
      </c>
      <c r="K185" s="28">
        <f>IF(OR(G185="",J185=""),"",G185/(J185*60))</f>
        <v/>
      </c>
    </row>
    <row r="186">
      <c r="J186">
        <f>IF(I186&lt;&gt;"",I186,IF(UPPER(TRIM(F186))="SHEET",Inputs!$B$7,IF(UPPER(TRIM(F186))="SWALE",Inputs!$B$8,IF(UPPER(TRIM(F186))="TRENCH",Inputs!$B$27,IF(UPPER(TRIM(F186))="PIPE",Inputs!$B$9,Inputs!$B$10)))))</f>
        <v/>
      </c>
      <c r="K186" s="28">
        <f>IF(OR(G186="",J186=""),"",G186/(J186*60))</f>
        <v/>
      </c>
    </row>
    <row r="187">
      <c r="J187">
        <f>IF(I187&lt;&gt;"",I187,IF(UPPER(TRIM(F187))="SHEET",Inputs!$B$7,IF(UPPER(TRIM(F187))="SWALE",Inputs!$B$8,IF(UPPER(TRIM(F187))="TRENCH",Inputs!$B$27,IF(UPPER(TRIM(F187))="PIPE",Inputs!$B$9,Inputs!$B$10)))))</f>
        <v/>
      </c>
      <c r="K187" s="28">
        <f>IF(OR(G187="",J187=""),"",G187/(J187*60))</f>
        <v/>
      </c>
    </row>
    <row r="188">
      <c r="J188">
        <f>IF(I188&lt;&gt;"",I188,IF(UPPER(TRIM(F188))="SHEET",Inputs!$B$7,IF(UPPER(TRIM(F188))="SWALE",Inputs!$B$8,IF(UPPER(TRIM(F188))="TRENCH",Inputs!$B$27,IF(UPPER(TRIM(F188))="PIPE",Inputs!$B$9,Inputs!$B$10)))))</f>
        <v/>
      </c>
      <c r="K188" s="28">
        <f>IF(OR(G188="",J188=""),"",G188/(J188*60))</f>
        <v/>
      </c>
    </row>
    <row r="189">
      <c r="J189">
        <f>IF(I189&lt;&gt;"",I189,IF(UPPER(TRIM(F189))="SHEET",Inputs!$B$7,IF(UPPER(TRIM(F189))="SWALE",Inputs!$B$8,IF(UPPER(TRIM(F189))="TRENCH",Inputs!$B$27,IF(UPPER(TRIM(F189))="PIPE",Inputs!$B$9,Inputs!$B$10)))))</f>
        <v/>
      </c>
      <c r="K189" s="28">
        <f>IF(OR(G189="",J189=""),"",G189/(J189*60))</f>
        <v/>
      </c>
    </row>
    <row r="190">
      <c r="J190">
        <f>IF(I190&lt;&gt;"",I190,IF(UPPER(TRIM(F190))="SHEET",Inputs!$B$7,IF(UPPER(TRIM(F190))="SWALE",Inputs!$B$8,IF(UPPER(TRIM(F190))="TRENCH",Inputs!$B$27,IF(UPPER(TRIM(F190))="PIPE",Inputs!$B$9,Inputs!$B$10)))))</f>
        <v/>
      </c>
      <c r="K190" s="28">
        <f>IF(OR(G190="",J190=""),"",G190/(J190*60))</f>
        <v/>
      </c>
    </row>
    <row r="191">
      <c r="J191">
        <f>IF(I191&lt;&gt;"",I191,IF(UPPER(TRIM(F191))="SHEET",Inputs!$B$7,IF(UPPER(TRIM(F191))="SWALE",Inputs!$B$8,IF(UPPER(TRIM(F191))="TRENCH",Inputs!$B$27,IF(UPPER(TRIM(F191))="PIPE",Inputs!$B$9,Inputs!$B$10)))))</f>
        <v/>
      </c>
      <c r="K191" s="28">
        <f>IF(OR(G191="",J191=""),"",G191/(J191*60))</f>
        <v/>
      </c>
    </row>
    <row r="192">
      <c r="J192">
        <f>IF(I192&lt;&gt;"",I192,IF(UPPER(TRIM(F192))="SHEET",Inputs!$B$7,IF(UPPER(TRIM(F192))="SWALE",Inputs!$B$8,IF(UPPER(TRIM(F192))="TRENCH",Inputs!$B$27,IF(UPPER(TRIM(F192))="PIPE",Inputs!$B$9,Inputs!$B$10)))))</f>
        <v/>
      </c>
      <c r="K192" s="28">
        <f>IF(OR(G192="",J192=""),"",G192/(J192*60))</f>
        <v/>
      </c>
    </row>
    <row r="193">
      <c r="J193">
        <f>IF(I193&lt;&gt;"",I193,IF(UPPER(TRIM(F193))="SHEET",Inputs!$B$7,IF(UPPER(TRIM(F193))="SWALE",Inputs!$B$8,IF(UPPER(TRIM(F193))="TRENCH",Inputs!$B$27,IF(UPPER(TRIM(F193))="PIPE",Inputs!$B$9,Inputs!$B$10)))))</f>
        <v/>
      </c>
      <c r="K193" s="28">
        <f>IF(OR(G193="",J193=""),"",G193/(J193*60))</f>
        <v/>
      </c>
    </row>
    <row r="194">
      <c r="J194">
        <f>IF(I194&lt;&gt;"",I194,IF(UPPER(TRIM(F194))="SHEET",Inputs!$B$7,IF(UPPER(TRIM(F194))="SWALE",Inputs!$B$8,IF(UPPER(TRIM(F194))="TRENCH",Inputs!$B$27,IF(UPPER(TRIM(F194))="PIPE",Inputs!$B$9,Inputs!$B$10)))))</f>
        <v/>
      </c>
      <c r="K194" s="28">
        <f>IF(OR(G194="",J194=""),"",G194/(J194*60))</f>
        <v/>
      </c>
    </row>
    <row r="195">
      <c r="J195">
        <f>IF(I195&lt;&gt;"",I195,IF(UPPER(TRIM(F195))="SHEET",Inputs!$B$7,IF(UPPER(TRIM(F195))="SWALE",Inputs!$B$8,IF(UPPER(TRIM(F195))="TRENCH",Inputs!$B$27,IF(UPPER(TRIM(F195))="PIPE",Inputs!$B$9,Inputs!$B$10)))))</f>
        <v/>
      </c>
      <c r="K195" s="28">
        <f>IF(OR(G195="",J195=""),"",G195/(J195*60))</f>
        <v/>
      </c>
    </row>
    <row r="196">
      <c r="J196">
        <f>IF(I196&lt;&gt;"",I196,IF(UPPER(TRIM(F196))="SHEET",Inputs!$B$7,IF(UPPER(TRIM(F196))="SWALE",Inputs!$B$8,IF(UPPER(TRIM(F196))="TRENCH",Inputs!$B$27,IF(UPPER(TRIM(F196))="PIPE",Inputs!$B$9,Inputs!$B$10)))))</f>
        <v/>
      </c>
      <c r="K196" s="28">
        <f>IF(OR(G196="",J196=""),"",G196/(J196*60))</f>
        <v/>
      </c>
    </row>
    <row r="197">
      <c r="J197">
        <f>IF(I197&lt;&gt;"",I197,IF(UPPER(TRIM(F197))="SHEET",Inputs!$B$7,IF(UPPER(TRIM(F197))="SWALE",Inputs!$B$8,IF(UPPER(TRIM(F197))="TRENCH",Inputs!$B$27,IF(UPPER(TRIM(F197))="PIPE",Inputs!$B$9,Inputs!$B$10)))))</f>
        <v/>
      </c>
      <c r="K197" s="28">
        <f>IF(OR(G197="",J197=""),"",G197/(J197*60))</f>
        <v/>
      </c>
    </row>
    <row r="198">
      <c r="J198">
        <f>IF(I198&lt;&gt;"",I198,IF(UPPER(TRIM(F198))="SHEET",Inputs!$B$7,IF(UPPER(TRIM(F198))="SWALE",Inputs!$B$8,IF(UPPER(TRIM(F198))="TRENCH",Inputs!$B$27,IF(UPPER(TRIM(F198))="PIPE",Inputs!$B$9,Inputs!$B$10)))))</f>
        <v/>
      </c>
      <c r="K198" s="28">
        <f>IF(OR(G198="",J198=""),"",G198/(J198*60))</f>
        <v/>
      </c>
    </row>
    <row r="199">
      <c r="J199">
        <f>IF(I199&lt;&gt;"",I199,IF(UPPER(TRIM(F199))="SHEET",Inputs!$B$7,IF(UPPER(TRIM(F199))="SWALE",Inputs!$B$8,IF(UPPER(TRIM(F199))="TRENCH",Inputs!$B$27,IF(UPPER(TRIM(F199))="PIPE",Inputs!$B$9,Inputs!$B$10)))))</f>
        <v/>
      </c>
      <c r="K199" s="28">
        <f>IF(OR(G199="",J199=""),"",G199/(J199*60))</f>
        <v/>
      </c>
    </row>
    <row r="200">
      <c r="J200">
        <f>IF(I200&lt;&gt;"",I200,IF(UPPER(TRIM(F200))="SHEET",Inputs!$B$7,IF(UPPER(TRIM(F200))="SWALE",Inputs!$B$8,IF(UPPER(TRIM(F200))="TRENCH",Inputs!$B$27,IF(UPPER(TRIM(F200))="PIPE",Inputs!$B$9,Inputs!$B$10)))))</f>
        <v/>
      </c>
      <c r="K200" s="28">
        <f>IF(OR(G200="",J200=""),"",G200/(J200*60))</f>
        <v/>
      </c>
    </row>
    <row r="201">
      <c r="J201">
        <f>IF(I201&lt;&gt;"",I201,IF(UPPER(TRIM(F201))="SHEET",Inputs!$B$7,IF(UPPER(TRIM(F201))="SWALE",Inputs!$B$8,IF(UPPER(TRIM(F201))="TRENCH",Inputs!$B$27,IF(UPPER(TRIM(F201))="PIPE",Inputs!$B$9,Inputs!$B$10)))))</f>
        <v/>
      </c>
      <c r="K201" s="28">
        <f>IF(OR(G201="",J201=""),"",G201/(J201*60))</f>
        <v/>
      </c>
    </row>
    <row r="202">
      <c r="J202">
        <f>IF(I202&lt;&gt;"",I202,IF(UPPER(TRIM(F202))="SHEET",Inputs!$B$7,IF(UPPER(TRIM(F202))="SWALE",Inputs!$B$8,IF(UPPER(TRIM(F202))="TRENCH",Inputs!$B$27,IF(UPPER(TRIM(F202))="PIPE",Inputs!$B$9,Inputs!$B$10)))))</f>
        <v/>
      </c>
      <c r="K202" s="28">
        <f>IF(OR(G202="",J202=""),"",G202/(J202*60))</f>
        <v/>
      </c>
    </row>
    <row r="203">
      <c r="J203">
        <f>IF(I203&lt;&gt;"",I203,IF(UPPER(TRIM(F203))="SHEET",Inputs!$B$7,IF(UPPER(TRIM(F203))="SWALE",Inputs!$B$8,IF(UPPER(TRIM(F203))="TRENCH",Inputs!$B$27,IF(UPPER(TRIM(F203))="PIPE",Inputs!$B$9,Inputs!$B$10)))))</f>
        <v/>
      </c>
      <c r="K203" s="28">
        <f>IF(OR(G203="",J203=""),"",G203/(J203*60))</f>
        <v/>
      </c>
    </row>
    <row r="204">
      <c r="J204">
        <f>IF(I204&lt;&gt;"",I204,IF(UPPER(TRIM(F204))="SHEET",Inputs!$B$7,IF(UPPER(TRIM(F204))="SWALE",Inputs!$B$8,IF(UPPER(TRIM(F204))="TRENCH",Inputs!$B$27,IF(UPPER(TRIM(F204))="PIPE",Inputs!$B$9,Inputs!$B$10)))))</f>
        <v/>
      </c>
      <c r="K204" s="28">
        <f>IF(OR(G204="",J204=""),"",G204/(J204*60))</f>
        <v/>
      </c>
    </row>
    <row r="205">
      <c r="K205" s="28" t="n"/>
    </row>
    <row r="206">
      <c r="K206" s="28" t="n"/>
    </row>
    <row r="207">
      <c r="K207" s="28" t="n"/>
    </row>
    <row r="208">
      <c r="K208" s="28" t="n"/>
    </row>
    <row r="209">
      <c r="K209" s="28" t="n"/>
    </row>
    <row r="210">
      <c r="K210" s="28" t="n"/>
    </row>
    <row r="211">
      <c r="K211" s="28" t="n"/>
    </row>
    <row r="212">
      <c r="K212" s="28" t="n"/>
    </row>
    <row r="213">
      <c r="K213" s="28" t="n"/>
    </row>
    <row r="214">
      <c r="K214" s="28" t="n"/>
    </row>
    <row r="215">
      <c r="K215" s="28" t="n"/>
    </row>
    <row r="216">
      <c r="K216" s="28" t="n"/>
    </row>
    <row r="217">
      <c r="K217" s="28" t="n"/>
    </row>
    <row r="218">
      <c r="K218" s="28" t="n"/>
    </row>
    <row r="219">
      <c r="K219" s="28" t="n"/>
    </row>
    <row r="220">
      <c r="K220" s="2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  <col width="15" customWidth="1" min="4" max="4"/>
    <col width="16" customWidth="1" min="5" max="5"/>
    <col width="13" customWidth="1" min="6" max="6"/>
    <col width="15" customWidth="1" min="7" max="7"/>
    <col width="12" customWidth="1" min="8" max="8"/>
    <col width="14" customWidth="1" min="9" max="9"/>
    <col width="13" customWidth="1" min="10" max="10"/>
    <col width="14" customWidth="1" min="11" max="11"/>
    <col width="13" customWidth="1" min="12" max="12"/>
    <col width="14" customWidth="1" min="13" max="13"/>
    <col width="12" customWidth="1" min="14" max="14"/>
    <col width="14" customWidth="1" min="15" max="15"/>
    <col width="16" customWidth="1" min="16" max="16"/>
    <col width="13" customWidth="1" min="17" max="17"/>
    <col width="15" customWidth="1" min="18" max="18"/>
    <col width="12" customWidth="1" min="19" max="19"/>
    <col width="14" customWidth="1" min="20" max="20"/>
    <col width="13" customWidth="1" min="21" max="21"/>
    <col width="14" customWidth="1" min="22" max="22"/>
    <col width="13" customWidth="1" min="23" max="23"/>
    <col width="14" customWidth="1" min="24" max="24"/>
    <col width="12" customWidth="1" min="25" max="25"/>
    <col width="14" customWidth="1" min="26" max="26"/>
    <col width="48" customWidth="1" min="27" max="27"/>
  </cols>
  <sheetData>
    <row r="1">
      <c r="A1" s="8" t="inlineStr">
        <is>
          <t>SUBCATCHMENTS - BEFORE vs AFTER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3">
      <c r="A3" s="10" t="inlineStr">
        <is>
          <t>ID</t>
        </is>
      </c>
      <c r="B3" s="10" t="inlineStr">
        <is>
          <t>Description</t>
        </is>
      </c>
      <c r="C3" s="10" t="inlineStr">
        <is>
          <t>Gross_area_m2</t>
        </is>
      </c>
      <c r="D3" s="10" t="inlineStr">
        <is>
          <t>Include_factor_before</t>
        </is>
      </c>
      <c r="E3" s="10" t="inlineStr">
        <is>
          <t>Effective_area_before_m2</t>
        </is>
      </c>
      <c r="F3" s="10" t="inlineStr">
        <is>
          <t>Surface_before</t>
        </is>
      </c>
      <c r="G3" s="10" t="inlineStr">
        <is>
          <t>C_before_override</t>
        </is>
      </c>
      <c r="H3" s="10" t="inlineStr">
        <is>
          <t>C_before_used</t>
        </is>
      </c>
      <c r="I3" s="10" t="inlineStr">
        <is>
          <t>Tc_base_before_min</t>
        </is>
      </c>
      <c r="J3" s="10" t="inlineStr">
        <is>
          <t>Path_ID_before</t>
        </is>
      </c>
      <c r="K3" s="10" t="inlineStr">
        <is>
          <t>Travel_time_before_min</t>
        </is>
      </c>
      <c r="L3" s="10" t="inlineStr">
        <is>
          <t>Tc_used_before_min</t>
        </is>
      </c>
      <c r="M3" s="10" t="inlineStr">
        <is>
          <t>Intensity_before_mmh</t>
        </is>
      </c>
      <c r="N3" s="10" t="inlineStr">
        <is>
          <t>Q_before_m3s</t>
        </is>
      </c>
      <c r="O3" s="10" t="inlineStr">
        <is>
          <t>Include_factor_after</t>
        </is>
      </c>
      <c r="P3" s="10" t="inlineStr">
        <is>
          <t>Effective_area_after_m2</t>
        </is>
      </c>
      <c r="Q3" s="10" t="inlineStr">
        <is>
          <t>Surface_after</t>
        </is>
      </c>
      <c r="R3" s="10" t="inlineStr">
        <is>
          <t>C_after_override</t>
        </is>
      </c>
      <c r="S3" s="10" t="inlineStr">
        <is>
          <t>C_after_used</t>
        </is>
      </c>
      <c r="T3" s="10" t="inlineStr">
        <is>
          <t>Tc_base_after_min</t>
        </is>
      </c>
      <c r="U3" s="10" t="inlineStr">
        <is>
          <t>Path_ID_after</t>
        </is>
      </c>
      <c r="V3" s="10" t="inlineStr">
        <is>
          <t>Travel_time_after_min</t>
        </is>
      </c>
      <c r="W3" s="10" t="inlineStr">
        <is>
          <t>Tc_used_after_min</t>
        </is>
      </c>
      <c r="X3" s="10" t="inlineStr">
        <is>
          <t>Intensity_after_mmh</t>
        </is>
      </c>
      <c r="Y3" s="10" t="inlineStr">
        <is>
          <t>Q_after_m3s</t>
        </is>
      </c>
      <c r="Z3" s="10" t="inlineStr">
        <is>
          <t>Delta_Q_after_minus_before</t>
        </is>
      </c>
      <c r="AA3" s="10" t="inlineStr">
        <is>
          <t>Notes</t>
        </is>
      </c>
    </row>
    <row r="4">
      <c r="A4" s="3" t="inlineStr">
        <is>
          <t>SC-01</t>
        </is>
      </c>
      <c r="B4" s="3" t="inlineStr">
        <is>
          <t>Main field area (light green)</t>
        </is>
      </c>
      <c r="C4" s="18" t="n">
        <v>11873.82</v>
      </c>
      <c r="D4" s="11" t="n">
        <v>1</v>
      </c>
      <c r="E4" s="13">
        <f>IF(C4="","",C4*D4)</f>
        <v/>
      </c>
      <c r="F4" s="3" t="inlineStr">
        <is>
          <t>GRASS</t>
        </is>
      </c>
      <c r="G4" s="12" t="inlineStr"/>
      <c r="H4" s="13">
        <f>IF(G4&lt;&gt;"",G4,IF(UPPER(TRIM(F4))="ROOF",Inputs!$B$13,IF(UPPER(TRIM(F4))="PAVAGE",Inputs!$B$14,IF(UPPER(TRIM(F4))="GRASS",Inputs!$B$15,IF(UPPER(TRIM(F4))="GRAVEL",Inputs!$B$17,Inputs!$B$18)))))</f>
        <v/>
      </c>
      <c r="I4" s="11" t="n">
        <v>7</v>
      </c>
      <c r="J4" s="3" t="inlineStr">
        <is>
          <t>P-EAST</t>
        </is>
      </c>
      <c r="K4" s="13">
        <f>IF(J4="",0,SUMIFS(FlowPaths!$K:$K,FlowPaths!$A:$A,"BEFORE",FlowPaths!$B:$B,J4))</f>
        <v/>
      </c>
      <c r="L4" s="26">
        <f>IF(I4="",Inputs!$B$11,I4)+K4</f>
        <v/>
      </c>
      <c r="M4" s="13">
        <f>IF(L4="","",IF(UPPER(TRIM(Inputs!$B$23))="IDF_EQUATION",Inputs!$B$3/((L4+Inputs!$B$4)^Inputs!$B$5),INDEX(IDF_Station!$B$3:$G$11,IFERROR(MATCH(L4,IDF_Station!$A$3:$A$11,1),1),MATCH(Inputs!$B$24,IDF_Station!$B$2:$G$2,0))))</f>
        <v/>
      </c>
      <c r="N4" s="13">
        <f>IF(OR(E4="",H4="",M4=""),"",2.78E-7*H4*E4*M4)</f>
        <v/>
      </c>
      <c r="O4" s="11" t="n">
        <v>1</v>
      </c>
      <c r="P4" s="13">
        <f>IF(C4="","",C4*O4)</f>
        <v/>
      </c>
      <c r="Q4" s="3" t="inlineStr">
        <is>
          <t>GRASS</t>
        </is>
      </c>
      <c r="R4" s="12" t="inlineStr"/>
      <c r="S4" s="13">
        <f>IF(R4&lt;&gt;"",R4,IF(UPPER(TRIM(Q4))="ROOF",Inputs!$B$13,IF(UPPER(TRIM(Q4))="PAVAGE",Inputs!$B$14,IF(UPPER(TRIM(Q4))="GRASS",Inputs!$B$16,IF(UPPER(TRIM(Q4))="GRAVEL",Inputs!$B$17,Inputs!$B$18)))))</f>
        <v/>
      </c>
      <c r="T4" s="11" t="n">
        <v>7</v>
      </c>
      <c r="U4" s="3" t="inlineStr">
        <is>
          <t>P-EAST-STRIP</t>
        </is>
      </c>
      <c r="V4" s="26">
        <f>IF(U4="",0,SUMIFS(FlowPaths!$K:$K,FlowPaths!$A:$A,"AFTER",FlowPaths!$B:$B,U4))</f>
        <v/>
      </c>
      <c r="W4" s="26">
        <f>IF(T4="",Inputs!$B$12,T4)+V4</f>
        <v/>
      </c>
      <c r="X4" s="13">
        <f>IF(W4="","",IF(UPPER(TRIM(Inputs!$B$23))="IDF_EQUATION",Inputs!$B$3/((W4+Inputs!$B$4)^Inputs!$B$5),INDEX(IDF_Station!$B$3:$G$11,IFERROR(MATCH(W4,IDF_Station!$A$3:$A$11,1),1),MATCH(Inputs!$B$24,IDF_Station!$B$2:$G$2,0))))</f>
        <v/>
      </c>
      <c r="Y4" s="13">
        <f>IF(OR(P4="",S4="",X4=""),"",2.78E-7*S4*P4*X4)</f>
        <v/>
      </c>
      <c r="Z4" s="13">
        <f>IF(OR(Y4="",N4=""),"",Y4-N4)</f>
        <v/>
      </c>
      <c r="AA4" s="3" t="inlineStr">
        <is>
          <t>Main grass area adjusted: 12712 - 422.73 - 415.45 = 11873.82 m2.</t>
        </is>
      </c>
    </row>
    <row r="5">
      <c r="A5" s="3" t="inlineStr">
        <is>
          <t>SC-02</t>
        </is>
      </c>
      <c r="B5" s="3" t="inlineStr">
        <is>
          <t>Peripheral field/landscape area (darker green)</t>
        </is>
      </c>
      <c r="C5" s="18" t="n">
        <v>2961</v>
      </c>
      <c r="D5" s="11" t="n">
        <v>1</v>
      </c>
      <c r="E5" s="13">
        <f>IF(C5="","",C5*D5)</f>
        <v/>
      </c>
      <c r="F5" s="3" t="inlineStr">
        <is>
          <t>GRASS</t>
        </is>
      </c>
      <c r="G5" s="12" t="inlineStr"/>
      <c r="H5" s="13">
        <f>IF(G5&lt;&gt;"",G5,IF(UPPER(TRIM(F5))="ROOF",Inputs!$B$13,IF(UPPER(TRIM(F5))="PAVAGE",Inputs!$B$14,IF(UPPER(TRIM(F5))="GRASS",Inputs!$B$15,IF(UPPER(TRIM(F5))="GRAVEL",Inputs!$B$17,Inputs!$B$18)))))</f>
        <v/>
      </c>
      <c r="I5" s="11" t="n">
        <v>7</v>
      </c>
      <c r="J5" s="3" t="inlineStr">
        <is>
          <t>P-EAST</t>
        </is>
      </c>
      <c r="K5" s="13">
        <f>IF(J5="",0,SUMIFS(FlowPaths!$K:$K,FlowPaths!$A:$A,"BEFORE",FlowPaths!$B:$B,J5))</f>
        <v/>
      </c>
      <c r="L5" s="26">
        <f>IF(I5="",Inputs!$B$11,I5)+K5</f>
        <v/>
      </c>
      <c r="M5" s="13">
        <f>IF(L5="","",IF(UPPER(TRIM(Inputs!$B$23))="IDF_EQUATION",Inputs!$B$3/((L5+Inputs!$B$4)^Inputs!$B$5),INDEX(IDF_Station!$B$3:$G$11,IFERROR(MATCH(L5,IDF_Station!$A$3:$A$11,1),1),MATCH(Inputs!$B$24,IDF_Station!$B$2:$G$2,0))))</f>
        <v/>
      </c>
      <c r="N5" s="13">
        <f>IF(OR(E5="",H5="",M5=""),"",2.78E-7*H5*E5*M5)</f>
        <v/>
      </c>
      <c r="O5" s="11" t="n">
        <v>1</v>
      </c>
      <c r="P5" s="13">
        <f>IF(C5="","",C5*O5)</f>
        <v/>
      </c>
      <c r="Q5" s="3" t="inlineStr">
        <is>
          <t>GRASS</t>
        </is>
      </c>
      <c r="R5" s="12" t="inlineStr"/>
      <c r="S5" s="13">
        <f>IF(R5&lt;&gt;"",R5,IF(UPPER(TRIM(Q5))="ROOF",Inputs!$B$13,IF(UPPER(TRIM(Q5))="PAVAGE",Inputs!$B$14,IF(UPPER(TRIM(Q5))="GRASS",Inputs!$B$16,IF(UPPER(TRIM(Q5))="GRAVEL",Inputs!$B$17,Inputs!$B$18)))))</f>
        <v/>
      </c>
      <c r="T5" s="11" t="n">
        <v>7</v>
      </c>
      <c r="U5" s="3" t="inlineStr">
        <is>
          <t>P-EAST-STRIP</t>
        </is>
      </c>
      <c r="V5" s="26">
        <f>IF(U5="",0,SUMIFS(FlowPaths!$K:$K,FlowPaths!$A:$A,"AFTER",FlowPaths!$B:$B,U5))</f>
        <v/>
      </c>
      <c r="W5" s="26">
        <f>IF(T5="",Inputs!$B$12,T5)+V5</f>
        <v/>
      </c>
      <c r="X5" s="13">
        <f>IF(W5="","",IF(UPPER(TRIM(Inputs!$B$23))="IDF_EQUATION",Inputs!$B$3/((W5+Inputs!$B$4)^Inputs!$B$5),INDEX(IDF_Station!$B$3:$G$11,IFERROR(MATCH(W5,IDF_Station!$A$3:$A$11,1),1),MATCH(Inputs!$B$24,IDF_Station!$B$2:$G$2,0))))</f>
        <v/>
      </c>
      <c r="Y5" s="13">
        <f>IF(OR(P5="",S5="",X5=""),"",2.78E-7*S5*P5*X5)</f>
        <v/>
      </c>
      <c r="Z5" s="13">
        <f>IF(OR(Y5="",N5=""),"",Y5-N5)</f>
        <v/>
      </c>
      <c r="AA5" s="3" t="inlineStr">
        <is>
          <t>From marked plan: A=2961 m2</t>
        </is>
      </c>
    </row>
    <row r="6">
      <c r="A6" s="3" t="inlineStr">
        <is>
          <t>SC-03</t>
        </is>
      </c>
      <c r="B6" s="3" t="inlineStr">
        <is>
          <t>Paved area potentially connected (gray)</t>
        </is>
      </c>
      <c r="C6" s="18" t="n">
        <v>1869.7</v>
      </c>
      <c r="D6" s="11">
        <f>Inputs!$B$19</f>
        <v/>
      </c>
      <c r="E6" s="13">
        <f>IF(C6="","",C6*D6)</f>
        <v/>
      </c>
      <c r="F6" s="3" t="inlineStr">
        <is>
          <t>PAVAGE</t>
        </is>
      </c>
      <c r="G6" s="12" t="inlineStr"/>
      <c r="H6" s="13">
        <f>IF(G6&lt;&gt;"",G6,IF(UPPER(TRIM(F6))="ROOF",Inputs!$B$13,IF(UPPER(TRIM(F6))="PAVAGE",Inputs!$B$14,IF(UPPER(TRIM(F6))="GRASS",Inputs!$B$15,IF(UPPER(TRIM(F6))="GRAVEL",Inputs!$B$17,Inputs!$B$18)))))</f>
        <v/>
      </c>
      <c r="I6" s="11" t="n">
        <v>7</v>
      </c>
      <c r="J6" s="3" t="inlineStr">
        <is>
          <t>P-WEST-PAVE</t>
        </is>
      </c>
      <c r="K6" s="13">
        <f>IF(J6="",0,SUMIFS(FlowPaths!$K:$K,FlowPaths!$A:$A,"BEFORE",FlowPaths!$B:$B,J6))</f>
        <v/>
      </c>
      <c r="L6" s="26">
        <f>IF(I6="",Inputs!$B$11,I6)+K6</f>
        <v/>
      </c>
      <c r="M6" s="13">
        <f>IF(L6="","",IF(UPPER(TRIM(Inputs!$B$23))="IDF_EQUATION",Inputs!$B$3/((L6+Inputs!$B$4)^Inputs!$B$5),INDEX(IDF_Station!$B$3:$G$11,IFERROR(MATCH(L6,IDF_Station!$A$3:$A$11,1),1),MATCH(Inputs!$B$24,IDF_Station!$B$2:$G$2,0))))</f>
        <v/>
      </c>
      <c r="N6" s="13">
        <f>IF(OR(E6="",H6="",M6=""),"",2.78E-7*H6*E6*M6)</f>
        <v/>
      </c>
      <c r="O6" s="11">
        <f>Inputs!$B$19</f>
        <v/>
      </c>
      <c r="P6" s="13">
        <f>IF(C6="","",C6*O6)</f>
        <v/>
      </c>
      <c r="Q6" s="3" t="inlineStr">
        <is>
          <t>PAVAGE</t>
        </is>
      </c>
      <c r="R6" s="12" t="inlineStr"/>
      <c r="S6" s="13">
        <f>IF(R6&lt;&gt;"",R6,IF(UPPER(TRIM(Q6))="ROOF",Inputs!$B$13,IF(UPPER(TRIM(Q6))="PAVAGE",Inputs!$B$14,IF(UPPER(TRIM(Q6))="GRASS",Inputs!$B$16,IF(UPPER(TRIM(Q6))="GRAVEL",Inputs!$B$17,Inputs!$B$18)))))</f>
        <v/>
      </c>
      <c r="T6" s="11" t="n">
        <v>7</v>
      </c>
      <c r="U6" s="3" t="inlineStr">
        <is>
          <t>P-WEST-PAVE</t>
        </is>
      </c>
      <c r="V6" s="26">
        <f>IF(U6="",0,SUMIFS(FlowPaths!$K:$K,FlowPaths!$A:$A,"AFTER",FlowPaths!$B:$B,U6))</f>
        <v/>
      </c>
      <c r="W6" s="26">
        <f>IF(T6="",Inputs!$B$12,T6)+V6</f>
        <v/>
      </c>
      <c r="X6" s="13">
        <f>IF(W6="","",IF(UPPER(TRIM(Inputs!$B$23))="IDF_EQUATION",Inputs!$B$3/((W6+Inputs!$B$4)^Inputs!$B$5),INDEX(IDF_Station!$B$3:$G$11,IFERROR(MATCH(W6,IDF_Station!$A$3:$A$11,1),1),MATCH(Inputs!$B$24,IDF_Station!$B$2:$G$2,0))))</f>
        <v/>
      </c>
      <c r="Y6" s="13">
        <f>IF(OR(P6="",S6="",X6=""),"",2.78E-7*S6*P6*X6)</f>
        <v/>
      </c>
      <c r="Z6" s="13">
        <f>IF(OR(Y6="",N6=""),"",Y6-N6)</f>
        <v/>
      </c>
      <c r="AA6" s="3" t="inlineStr">
        <is>
          <t>From marked plan: A=1869.7 m2 (use inclusion factor D/O).</t>
        </is>
      </c>
    </row>
    <row r="7">
      <c r="A7" s="3" t="inlineStr">
        <is>
          <t>SC-04</t>
        </is>
      </c>
      <c r="B7" s="3" t="inlineStr">
        <is>
          <t>Concrete apron / hardscape area (fully impervious)</t>
        </is>
      </c>
      <c r="C7" s="18" t="n">
        <v>398</v>
      </c>
      <c r="D7" s="11" t="n">
        <v>1</v>
      </c>
      <c r="E7" s="13">
        <f>IF(C7="","",C7*D7)</f>
        <v/>
      </c>
      <c r="F7" s="3" t="inlineStr">
        <is>
          <t>PAVAGE</t>
        </is>
      </c>
      <c r="G7" s="13" t="n"/>
      <c r="H7" s="13">
        <f>IF(G7&lt;&gt;"",G7,IF(UPPER(TRIM(F7))="ROOF",Inputs!$B$13,IF(UPPER(TRIM(F7))="PAVAGE",Inputs!$B$14,IF(UPPER(TRIM(F7))="GRASS",Inputs!$B$15,IF(UPPER(TRIM(F7))="GRAVEL",Inputs!$B$17,Inputs!$B$18)))))</f>
        <v/>
      </c>
      <c r="I7" s="11" t="n">
        <v>7</v>
      </c>
      <c r="J7" s="3" t="inlineStr">
        <is>
          <t>P-EAST</t>
        </is>
      </c>
      <c r="K7" s="13">
        <f>IF(J7="",0,SUMIFS(FlowPaths!$K:$K,FlowPaths!$A:$A,"BEFORE",FlowPaths!$B:$B,J7))</f>
        <v/>
      </c>
      <c r="L7" s="26">
        <f>IF(I7="",Inputs!$B$11,I7)+K7</f>
        <v/>
      </c>
      <c r="M7" s="13">
        <f>IF(L7="","",IF(UPPER(TRIM(Inputs!$B$23))="IDF_EQUATION",Inputs!$B$3/((L7+Inputs!$B$4)^Inputs!$B$5),INDEX(IDF_Station!$B$3:$G$11,IFERROR(MATCH(L7,IDF_Station!$A$3:$A$11,1),1),MATCH(Inputs!$B$24,IDF_Station!$B$2:$G$2,0))))</f>
        <v/>
      </c>
      <c r="N7" s="13">
        <f>IF(OR(E7="",H7="",M7=""),"",2.78E-7*H7*E7*M7)</f>
        <v/>
      </c>
      <c r="O7" s="11" t="n">
        <v>1</v>
      </c>
      <c r="P7" s="13">
        <f>IF(C7="","",C7*O7)</f>
        <v/>
      </c>
      <c r="Q7" s="3" t="inlineStr">
        <is>
          <t>PAVAGE</t>
        </is>
      </c>
      <c r="R7" s="13" t="n"/>
      <c r="S7" s="13">
        <f>IF(R7&lt;&gt;"",R7,IF(UPPER(TRIM(Q7))="ROOF",Inputs!$B$13,IF(UPPER(TRIM(Q7))="PAVAGE",Inputs!$B$14,IF(UPPER(TRIM(Q7))="GRASS",Inputs!$B$16,IF(UPPER(TRIM(Q7))="GRAVEL",Inputs!$B$17,Inputs!$B$18)))))</f>
        <v/>
      </c>
      <c r="T7" s="11" t="n">
        <v>7</v>
      </c>
      <c r="U7" s="3" t="inlineStr">
        <is>
          <t>P-FIELD-3LINE</t>
        </is>
      </c>
      <c r="V7" s="26">
        <f>IF(U7="",0,SUMIFS(FlowPaths!$K:$K,FlowPaths!$A:$A,"AFTER",FlowPaths!$B:$B,U7))</f>
        <v/>
      </c>
      <c r="W7" s="26">
        <f>IF(T7="",Inputs!$B$12,T7)+V7</f>
        <v/>
      </c>
      <c r="X7" s="13">
        <f>IF(W7="","",IF(UPPER(TRIM(Inputs!$B$23))="IDF_EQUATION",Inputs!$B$3/((W7+Inputs!$B$4)^Inputs!$B$5),INDEX(IDF_Station!$B$3:$G$11,IFERROR(MATCH(W7,IDF_Station!$A$3:$A$11,1),1),MATCH(Inputs!$B$24,IDF_Station!$B$2:$G$2,0))))</f>
        <v/>
      </c>
      <c r="Y7" s="13">
        <f>IF(OR(P7="",S7="",X7=""),"",2.78E-7*S7*P7*X7)</f>
        <v/>
      </c>
      <c r="Z7" s="13">
        <f>IF(OR(Y7="",N7=""),"",Y7-N7)</f>
        <v/>
      </c>
      <c r="AA7" s="3" t="inlineStr">
        <is>
          <t>From marked plan: A=398 m2, fully impervious (no mixed split).</t>
        </is>
      </c>
    </row>
    <row r="8">
      <c r="A8" s="3" t="inlineStr">
        <is>
          <t>SC-05</t>
        </is>
      </c>
      <c r="B8" s="3" t="inlineStr">
        <is>
          <t>Field area near outlet (missing label recovered)</t>
        </is>
      </c>
      <c r="C8" s="18" t="n">
        <v>2882</v>
      </c>
      <c r="D8" s="11" t="n">
        <v>1</v>
      </c>
      <c r="E8" s="13">
        <f>IF(C8="","",C8*D8)</f>
        <v/>
      </c>
      <c r="F8" s="3" t="inlineStr">
        <is>
          <t>GRASS</t>
        </is>
      </c>
      <c r="G8" s="12" t="inlineStr"/>
      <c r="H8" s="13">
        <f>IF(G8&lt;&gt;"",G8,IF(UPPER(TRIM(F8))="ROOF",Inputs!$B$13,IF(UPPER(TRIM(F8))="PAVAGE",Inputs!$B$14,IF(UPPER(TRIM(F8))="GRASS",Inputs!$B$15,IF(UPPER(TRIM(F8))="GRAVEL",Inputs!$B$17,Inputs!$B$18)))))</f>
        <v/>
      </c>
      <c r="I8" s="11" t="n">
        <v>7</v>
      </c>
      <c r="J8" s="3" t="inlineStr">
        <is>
          <t>P-EAST</t>
        </is>
      </c>
      <c r="K8" s="13">
        <f>IF(J8="",0,SUMIFS(FlowPaths!$K:$K,FlowPaths!$A:$A,"BEFORE",FlowPaths!$B:$B,J8))</f>
        <v/>
      </c>
      <c r="L8" s="26">
        <f>IF(I8="",Inputs!$B$11,I8)+K8</f>
        <v/>
      </c>
      <c r="M8" s="13">
        <f>IF(L8="","",IF(UPPER(TRIM(Inputs!$B$23))="IDF_EQUATION",Inputs!$B$3/((L8+Inputs!$B$4)^Inputs!$B$5),INDEX(IDF_Station!$B$3:$G$11,IFERROR(MATCH(L8,IDF_Station!$A$3:$A$11,1),1),MATCH(Inputs!$B$24,IDF_Station!$B$2:$G$2,0))))</f>
        <v/>
      </c>
      <c r="N8" s="13">
        <f>IF(OR(E8="",H8="",M8=""),"",2.78E-7*H8*E8*M8)</f>
        <v/>
      </c>
      <c r="O8" s="11" t="n">
        <v>1</v>
      </c>
      <c r="P8" s="13">
        <f>IF(C8="","",C8*O8)</f>
        <v/>
      </c>
      <c r="Q8" s="3" t="inlineStr">
        <is>
          <t>GRASS</t>
        </is>
      </c>
      <c r="R8" s="12" t="inlineStr"/>
      <c r="S8" s="13">
        <f>IF(R8&lt;&gt;"",R8,IF(UPPER(TRIM(Q8))="ROOF",Inputs!$B$13,IF(UPPER(TRIM(Q8))="PAVAGE",Inputs!$B$14,IF(UPPER(TRIM(Q8))="GRASS",Inputs!$B$16,IF(UPPER(TRIM(Q8))="GRAVEL",Inputs!$B$17,Inputs!$B$18)))))</f>
        <v/>
      </c>
      <c r="T8" s="11" t="n">
        <v>7</v>
      </c>
      <c r="U8" s="3" t="inlineStr">
        <is>
          <t>P-FIELD-3LINE</t>
        </is>
      </c>
      <c r="V8" s="26">
        <f>IF(U8="",0,SUMIFS(FlowPaths!$K:$K,FlowPaths!$A:$A,"AFTER",FlowPaths!$B:$B,U8))</f>
        <v/>
      </c>
      <c r="W8" s="26">
        <f>IF(T8="",Inputs!$B$12,T8)+V8</f>
        <v/>
      </c>
      <c r="X8" s="13">
        <f>IF(W8="","",IF(UPPER(TRIM(Inputs!$B$23))="IDF_EQUATION",Inputs!$B$3/((W8+Inputs!$B$4)^Inputs!$B$5),INDEX(IDF_Station!$B$3:$G$11,IFERROR(MATCH(W8,IDF_Station!$A$3:$A$11,1),1),MATCH(Inputs!$B$24,IDF_Station!$B$2:$G$2,0))))</f>
        <v/>
      </c>
      <c r="Y8" s="13">
        <f>IF(OR(P8="",S8="",X8=""),"",2.78E-7*S8*P8*X8)</f>
        <v/>
      </c>
      <c r="Z8" s="13">
        <f>IF(OR(Y8="",N8=""),"",Y8-N8)</f>
        <v/>
      </c>
      <c r="AA8" s="3" t="inlineStr">
        <is>
          <t>From marked plan: A=2882 m2 (field area close to outlet).</t>
        </is>
      </c>
    </row>
    <row r="9">
      <c r="A9" s="3" t="inlineStr">
        <is>
          <t>SC-07</t>
        </is>
      </c>
      <c r="B9" s="3" t="inlineStr">
        <is>
          <t>Mixed block - right field trajectory (SE mid)</t>
        </is>
      </c>
      <c r="C9" s="18" t="n">
        <v>422.73</v>
      </c>
      <c r="D9" s="3" t="n">
        <v>1</v>
      </c>
      <c r="E9" s="13">
        <f>IF(C9="","",C9*D9)</f>
        <v/>
      </c>
      <c r="F9" s="3" t="inlineStr">
        <is>
          <t>MIXED</t>
        </is>
      </c>
      <c r="G9" s="3">
        <f>IF(UPPER(TRIM(Inputs!$B$41))="YES",Inputs!$B$39,"")</f>
        <v/>
      </c>
      <c r="H9" s="13">
        <f>IF(G9&lt;&gt;"",G9,IF(UPPER(TRIM(F9))="ROOF",Inputs!$B$13,IF(UPPER(TRIM(F9))="PAVAGE",Inputs!$B$14,IF(UPPER(TRIM(F9))="GRASS",Inputs!$B$15,IF(UPPER(TRIM(F9))="GRAVEL",Inputs!$B$17,Inputs!$B$18)))))</f>
        <v/>
      </c>
      <c r="I9" s="3" t="n">
        <v>7</v>
      </c>
      <c r="J9" s="3" t="inlineStr">
        <is>
          <t>P-EAST</t>
        </is>
      </c>
      <c r="K9" s="13">
        <f>IF(J9="",0,SUMIFS(FlowPaths!$K:$K,FlowPaths!$A:$A,"BEFORE",FlowPaths!$B:$B,J9))</f>
        <v/>
      </c>
      <c r="L9" s="26">
        <f>IF(J9="",0,SUMIFS(FlowPaths!$K:$K,FlowPaths!$A:$A,"BEFORE",FlowPaths!$B:$B,J9))</f>
        <v/>
      </c>
      <c r="M9" s="13">
        <f>IF(L9="","",IF(UPPER(TRIM(Inputs!$B$23))="IDF_EQUATION",Inputs!$B$3/((L9+Inputs!$B$4)^Inputs!$B$5),INDEX(IDF_Station!$B$3:$G$11,IFERROR(MATCH(L9,IDF_Station!$A$3:$A$11,1),1),MATCH(Inputs!$B$24,IDF_Station!$B$2:$G$2,0))))</f>
        <v/>
      </c>
      <c r="N9" s="13">
        <f>IF(OR(E9="",H9="",M9=""),"",2.78E-7*H9*E9*M9)</f>
        <v/>
      </c>
      <c r="O9" s="3" t="n">
        <v>1</v>
      </c>
      <c r="P9" s="13">
        <f>IF(C9="","",C9*O9)</f>
        <v/>
      </c>
      <c r="Q9" s="3" t="inlineStr">
        <is>
          <t>MIXED</t>
        </is>
      </c>
      <c r="R9" s="3">
        <f>IF(UPPER(TRIM(Inputs!$B$41))="YES",Inputs!$B$40,"")</f>
        <v/>
      </c>
      <c r="S9" s="13">
        <f>IF(R9&lt;&gt;"",R9,IF(UPPER(TRIM(Q9))="ROOF",Inputs!$B$13,IF(UPPER(TRIM(Q9))="PAVAGE",Inputs!$B$14,IF(UPPER(TRIM(Q9))="GRASS",Inputs!$B$16,IF(UPPER(TRIM(Q9))="GRAVEL",Inputs!$B$17,Inputs!$B$18)))))</f>
        <v/>
      </c>
      <c r="T9" s="3" t="n">
        <v>7</v>
      </c>
      <c r="U9" s="3" t="inlineStr">
        <is>
          <t>P-EAST-STRIP</t>
        </is>
      </c>
      <c r="V9" s="26">
        <f>IF(U9="",0,SUMIFS(FlowPaths!$K:$K,FlowPaths!$A:$A,"AFTER",FlowPaths!$B:$B,U9))</f>
        <v/>
      </c>
      <c r="W9" s="26">
        <f>IF(T9="",Inputs!$B$12,T9)+V9</f>
        <v/>
      </c>
      <c r="X9" s="13">
        <f>IF(W9="","",IF(UPPER(TRIM(Inputs!$B$23))="IDF_EQUATION",Inputs!$B$3/((W9+Inputs!$B$4)^Inputs!$B$5),INDEX(IDF_Station!$B$3:$G$11,IFERROR(MATCH(W9,IDF_Station!$A$3:$A$11,1),1),MATCH(Inputs!$B$24,IDF_Station!$B$2:$G$2,0))))</f>
        <v/>
      </c>
      <c r="Y9" s="13">
        <f>IF(OR(P9="",S9="",X9=""),"",2.78E-7*S9*P9*X9)</f>
        <v/>
      </c>
      <c r="Z9" s="13">
        <f>IF(OR(Y9="",N9=""),"",Y9-N9)</f>
        <v/>
      </c>
      <c r="AA9" s="3" t="inlineStr">
        <is>
          <t>Mixed block provided by user: A=422.73 m2 (SE/right-field trajectory).</t>
        </is>
      </c>
    </row>
    <row r="10">
      <c r="A10" s="3" t="inlineStr">
        <is>
          <t>SC-08</t>
        </is>
      </c>
      <c r="B10" s="3" t="inlineStr">
        <is>
          <t>Mixed block - left field trajectory (NW mid)</t>
        </is>
      </c>
      <c r="C10" s="3" t="n">
        <v>415.45</v>
      </c>
      <c r="D10" s="3" t="n">
        <v>1</v>
      </c>
      <c r="E10" s="3">
        <f>IF(C10="","",C10*D10)</f>
        <v/>
      </c>
      <c r="F10" s="3" t="inlineStr">
        <is>
          <t>MIXED</t>
        </is>
      </c>
      <c r="G10" s="3">
        <f>IF(UPPER(TRIM(Inputs!$B$41))="YES",Inputs!$B$39,"")</f>
        <v/>
      </c>
      <c r="H10" s="3">
        <f>IF(G10&lt;&gt;"",G10,IF(UPPER(TRIM(F10))="ROOF",Inputs!$B$13,IF(UPPER(TRIM(F10))="PAVAGE",Inputs!$B$14,IF(UPPER(TRIM(F10))="GRASS",Inputs!$B$15,IF(UPPER(TRIM(F10))="GRAVEL",Inputs!$B$17,Inputs!$B$18)))))</f>
        <v/>
      </c>
      <c r="I10" s="3" t="n">
        <v>7</v>
      </c>
      <c r="J10" s="3" t="inlineStr">
        <is>
          <t>P-EAST</t>
        </is>
      </c>
      <c r="K10" s="3" t="n"/>
      <c r="L10" s="27">
        <f>IF(J10="",0,SUMIFS(FlowPaths!$K:$K,FlowPaths!$A:$A,"BEFORE",FlowPaths!$B:$B,J10))</f>
        <v/>
      </c>
      <c r="M10" s="13">
        <f>IF(L10="","",IF(UPPER(TRIM(Inputs!$B$23))="IDF_EQUATION",Inputs!$B$3/((L10+Inputs!$B$4)^Inputs!$B$5),INDEX(IDF_Station!$B$3:$G$11,IFERROR(MATCH(L10,IDF_Station!$A$3:$A$11,1),1),MATCH(Inputs!$B$24,IDF_Station!$B$2:$G$2,0))))</f>
        <v/>
      </c>
      <c r="N10" s="3">
        <f>IF(OR(E10="",H10="",M10=""),"",2.78E-7*H10*E10*M10)</f>
        <v/>
      </c>
      <c r="O10" s="3" t="n">
        <v>1</v>
      </c>
      <c r="P10" s="3">
        <f>IF(C10="","",C10*O10)</f>
        <v/>
      </c>
      <c r="Q10" s="3" t="inlineStr">
        <is>
          <t>MIXED</t>
        </is>
      </c>
      <c r="R10" s="3">
        <f>IF(UPPER(TRIM(Inputs!$B$41))="YES",Inputs!$B$40,"")</f>
        <v/>
      </c>
      <c r="S10" s="3">
        <f>IF(R10&lt;&gt;"",R10,IF(UPPER(TRIM(Q10))="ROOF",Inputs!$B$13,IF(UPPER(TRIM(Q10))="PAVAGE",Inputs!$B$14,IF(UPPER(TRIM(Q10))="GRASS",Inputs!$B$16,IF(UPPER(TRIM(Q10))="GRAVEL",Inputs!$B$17,Inputs!$B$18)))))</f>
        <v/>
      </c>
      <c r="T10" s="3" t="n">
        <v>7</v>
      </c>
      <c r="U10" s="3" t="inlineStr">
        <is>
          <t>P-EAST-STRIP</t>
        </is>
      </c>
      <c r="V10" s="27">
        <f>IF(U10="",0,SUMIFS(FlowPaths!$K:$K,FlowPaths!$A:$A,"AFTER",FlowPaths!$B:$B,U10))</f>
        <v/>
      </c>
      <c r="W10" s="27">
        <f>IF(T10="",Inputs!$B$12,T10)+V10</f>
        <v/>
      </c>
      <c r="X10" s="13">
        <f>IF(W10="","",IF(UPPER(TRIM(Inputs!$B$23))="IDF_EQUATION",Inputs!$B$3/((W10+Inputs!$B$4)^Inputs!$B$5),INDEX(IDF_Station!$B$3:$G$11,IFERROR(MATCH(W10,IDF_Station!$A$3:$A$11,1),1),MATCH(Inputs!$B$24,IDF_Station!$B$2:$G$2,0))))</f>
        <v/>
      </c>
      <c r="Y10" s="3">
        <f>IF(OR(P10="",S10="",X10=""),"",2.78E-7*S10*P10*X10)</f>
        <v/>
      </c>
      <c r="Z10" s="3">
        <f>IF(OR(Y10="",N10=""),"",Y10-N10)</f>
        <v/>
      </c>
      <c r="AA10" s="3" t="inlineStr">
        <is>
          <t>Mixed block provided by user: A=415.45 m2 (NW/left-field trajectory).</t>
        </is>
      </c>
    </row>
    <row r="11">
      <c r="L11" s="28" t="n"/>
      <c r="M11" s="15">
        <f>IF(L11="","",IF(UPPER(TRIM(Inputs!$B$23))="IDF_EQUATION",Inputs!$B$3/((L11+Inputs!$B$4)^Inputs!$B$5),INDEX(IDF_Station!$B$3:$G$11,IFERROR(MATCH(L11,IDF_Station!$A$3:$A$11,1),1),MATCH(Inputs!$B$24,IDF_Station!$B$2:$G$2,0))))</f>
        <v/>
      </c>
      <c r="V11" s="28" t="n"/>
      <c r="W11" s="28" t="n"/>
      <c r="X11" s="15">
        <f>IF(W11="","",IF(UPPER(TRIM(Inputs!$B$23))="IDF_EQUATION",Inputs!$B$3/((W11+Inputs!$B$4)^Inputs!$B$5),INDEX(IDF_Station!$B$3:$G$11,IFERROR(MATCH(W11,IDF_Station!$A$3:$A$11,1),1),MATCH(Inputs!$B$24,IDF_Station!$B$2:$G$2,0))))</f>
        <v/>
      </c>
    </row>
    <row r="12">
      <c r="L12" s="28" t="n"/>
      <c r="M12" s="15">
        <f>IF(L12="","",IF(UPPER(TRIM(Inputs!$B$23))="IDF_EQUATION",Inputs!$B$3/((L12+Inputs!$B$4)^Inputs!$B$5),INDEX(IDF_Station!$B$3:$G$11,IFERROR(MATCH(L12,IDF_Station!$A$3:$A$11,1),1),MATCH(Inputs!$B$24,IDF_Station!$B$2:$G$2,0))))</f>
        <v/>
      </c>
      <c r="V12" s="28" t="n"/>
      <c r="W12" s="28" t="n"/>
      <c r="X12" s="15">
        <f>IF(W12="","",IF(UPPER(TRIM(Inputs!$B$23))="IDF_EQUATION",Inputs!$B$3/((W12+Inputs!$B$4)^Inputs!$B$5),INDEX(IDF_Station!$B$3:$G$11,IFERROR(MATCH(W12,IDF_Station!$A$3:$A$11,1),1),MATCH(Inputs!$B$24,IDF_Station!$B$2:$G$2,0))))</f>
        <v/>
      </c>
    </row>
    <row r="13">
      <c r="L13" s="28" t="n"/>
      <c r="M13" s="15">
        <f>IF(L13="","",IF(UPPER(TRIM(Inputs!$B$23))="IDF_EQUATION",Inputs!$B$3/((L13+Inputs!$B$4)^Inputs!$B$5),INDEX(IDF_Station!$B$3:$G$11,IFERROR(MATCH(L13,IDF_Station!$A$3:$A$11,1),1),MATCH(Inputs!$B$24,IDF_Station!$B$2:$G$2,0))))</f>
        <v/>
      </c>
      <c r="V13" s="28" t="n"/>
      <c r="W13" s="28" t="n"/>
      <c r="X13" s="15">
        <f>IF(W13="","",IF(UPPER(TRIM(Inputs!$B$23))="IDF_EQUATION",Inputs!$B$3/((W13+Inputs!$B$4)^Inputs!$B$5),INDEX(IDF_Station!$B$3:$G$11,IFERROR(MATCH(W13,IDF_Station!$A$3:$A$11,1),1),MATCH(Inputs!$B$24,IDF_Station!$B$2:$G$2,0))))</f>
        <v/>
      </c>
    </row>
    <row r="14">
      <c r="L14" s="28" t="n"/>
      <c r="M14" s="15">
        <f>IF(L14="","",IF(UPPER(TRIM(Inputs!$B$23))="IDF_EQUATION",Inputs!$B$3/((L14+Inputs!$B$4)^Inputs!$B$5),INDEX(IDF_Station!$B$3:$G$11,IFERROR(MATCH(L14,IDF_Station!$A$3:$A$11,1),1),MATCH(Inputs!$B$24,IDF_Station!$B$2:$G$2,0))))</f>
        <v/>
      </c>
      <c r="V14" s="28" t="n"/>
      <c r="W14" s="28" t="n"/>
      <c r="X14" s="15">
        <f>IF(W14="","",IF(UPPER(TRIM(Inputs!$B$23))="IDF_EQUATION",Inputs!$B$3/((W14+Inputs!$B$4)^Inputs!$B$5),INDEX(IDF_Station!$B$3:$G$11,IFERROR(MATCH(W14,IDF_Station!$A$3:$A$11,1),1),MATCH(Inputs!$B$24,IDF_Station!$B$2:$G$2,0))))</f>
        <v/>
      </c>
    </row>
    <row r="15">
      <c r="L15" s="28" t="n"/>
      <c r="M15" s="15">
        <f>IF(L15="","",IF(UPPER(TRIM(Inputs!$B$23))="IDF_EQUATION",Inputs!$B$3/((L15+Inputs!$B$4)^Inputs!$B$5),INDEX(IDF_Station!$B$3:$G$11,IFERROR(MATCH(L15,IDF_Station!$A$3:$A$11,1),1),MATCH(Inputs!$B$24,IDF_Station!$B$2:$G$2,0))))</f>
        <v/>
      </c>
      <c r="V15" s="28" t="n"/>
      <c r="W15" s="28" t="n"/>
      <c r="X15" s="15">
        <f>IF(W15="","",IF(UPPER(TRIM(Inputs!$B$23))="IDF_EQUATION",Inputs!$B$3/((W15+Inputs!$B$4)^Inputs!$B$5),INDEX(IDF_Station!$B$3:$G$11,IFERROR(MATCH(W15,IDF_Station!$A$3:$A$11,1),1),MATCH(Inputs!$B$24,IDF_Station!$B$2:$G$2,0))))</f>
        <v/>
      </c>
    </row>
    <row r="16">
      <c r="L16" s="28" t="n"/>
      <c r="M16" s="15">
        <f>IF(L16="","",IF(UPPER(TRIM(Inputs!$B$23))="IDF_EQUATION",Inputs!$B$3/((L16+Inputs!$B$4)^Inputs!$B$5),INDEX(IDF_Station!$B$3:$G$11,IFERROR(MATCH(L16,IDF_Station!$A$3:$A$11,1),1),MATCH(Inputs!$B$24,IDF_Station!$B$2:$G$2,0))))</f>
        <v/>
      </c>
      <c r="V16" s="28" t="n"/>
      <c r="W16" s="28" t="n"/>
      <c r="X16" s="15">
        <f>IF(W16="","",IF(UPPER(TRIM(Inputs!$B$23))="IDF_EQUATION",Inputs!$B$3/((W16+Inputs!$B$4)^Inputs!$B$5),INDEX(IDF_Station!$B$3:$G$11,IFERROR(MATCH(W16,IDF_Station!$A$3:$A$11,1),1),MATCH(Inputs!$B$24,IDF_Station!$B$2:$G$2,0))))</f>
        <v/>
      </c>
    </row>
    <row r="17">
      <c r="L17" s="28" t="n"/>
      <c r="M17" s="15">
        <f>IF(L17="","",IF(UPPER(TRIM(Inputs!$B$23))="IDF_EQUATION",Inputs!$B$3/((L17+Inputs!$B$4)^Inputs!$B$5),INDEX(IDF_Station!$B$3:$G$11,IFERROR(MATCH(L17,IDF_Station!$A$3:$A$11,1),1),MATCH(Inputs!$B$24,IDF_Station!$B$2:$G$2,0))))</f>
        <v/>
      </c>
      <c r="V17" s="28" t="n"/>
      <c r="W17" s="28" t="n"/>
      <c r="X17" s="15">
        <f>IF(W17="","",IF(UPPER(TRIM(Inputs!$B$23))="IDF_EQUATION",Inputs!$B$3/((W17+Inputs!$B$4)^Inputs!$B$5),INDEX(IDF_Station!$B$3:$G$11,IFERROR(MATCH(W17,IDF_Station!$A$3:$A$11,1),1),MATCH(Inputs!$B$24,IDF_Station!$B$2:$G$2,0))))</f>
        <v/>
      </c>
    </row>
    <row r="18">
      <c r="L18" s="28" t="n"/>
      <c r="M18" s="15">
        <f>IF(L18="","",IF(UPPER(TRIM(Inputs!$B$23))="IDF_EQUATION",Inputs!$B$3/((L18+Inputs!$B$4)^Inputs!$B$5),INDEX(IDF_Station!$B$3:$G$11,IFERROR(MATCH(L18,IDF_Station!$A$3:$A$11,1),1),MATCH(Inputs!$B$24,IDF_Station!$B$2:$G$2,0))))</f>
        <v/>
      </c>
      <c r="V18" s="28" t="n"/>
      <c r="W18" s="28" t="n"/>
      <c r="X18" s="15">
        <f>IF(W18="","",IF(UPPER(TRIM(Inputs!$B$23))="IDF_EQUATION",Inputs!$B$3/((W18+Inputs!$B$4)^Inputs!$B$5),INDEX(IDF_Station!$B$3:$G$11,IFERROR(MATCH(W18,IDF_Station!$A$3:$A$11,1),1),MATCH(Inputs!$B$24,IDF_Station!$B$2:$G$2,0))))</f>
        <v/>
      </c>
    </row>
    <row r="19">
      <c r="L19" s="28" t="n"/>
      <c r="M19" s="15">
        <f>IF(L19="","",IF(UPPER(TRIM(Inputs!$B$23))="IDF_EQUATION",Inputs!$B$3/((L19+Inputs!$B$4)^Inputs!$B$5),INDEX(IDF_Station!$B$3:$G$11,IFERROR(MATCH(L19,IDF_Station!$A$3:$A$11,1),1),MATCH(Inputs!$B$24,IDF_Station!$B$2:$G$2,0))))</f>
        <v/>
      </c>
      <c r="V19" s="28" t="n"/>
      <c r="W19" s="28" t="n"/>
      <c r="X19" s="15">
        <f>IF(W19="","",IF(UPPER(TRIM(Inputs!$B$23))="IDF_EQUATION",Inputs!$B$3/((W19+Inputs!$B$4)^Inputs!$B$5),INDEX(IDF_Station!$B$3:$G$11,IFERROR(MATCH(W19,IDF_Station!$A$3:$A$11,1),1),MATCH(Inputs!$B$24,IDF_Station!$B$2:$G$2,0))))</f>
        <v/>
      </c>
    </row>
    <row r="20">
      <c r="L20" s="28" t="n"/>
      <c r="M20" s="15">
        <f>IF(L20="","",IF(UPPER(TRIM(Inputs!$B$23))="IDF_EQUATION",Inputs!$B$3/((L20+Inputs!$B$4)^Inputs!$B$5),INDEX(IDF_Station!$B$3:$G$11,IFERROR(MATCH(L20,IDF_Station!$A$3:$A$11,1),1),MATCH(Inputs!$B$24,IDF_Station!$B$2:$G$2,0))))</f>
        <v/>
      </c>
      <c r="V20" s="28" t="n"/>
      <c r="W20" s="28" t="n"/>
      <c r="X20" s="15">
        <f>IF(W20="","",IF(UPPER(TRIM(Inputs!$B$23))="IDF_EQUATION",Inputs!$B$3/((W20+Inputs!$B$4)^Inputs!$B$5),INDEX(IDF_Station!$B$3:$G$11,IFERROR(MATCH(W20,IDF_Station!$A$3:$A$11,1),1),MATCH(Inputs!$B$24,IDF_Station!$B$2:$G$2,0))))</f>
        <v/>
      </c>
    </row>
    <row r="21">
      <c r="L21" s="28" t="n"/>
      <c r="M21" s="15">
        <f>IF(L21="","",IF(UPPER(TRIM(Inputs!$B$23))="IDF_EQUATION",Inputs!$B$3/((L21+Inputs!$B$4)^Inputs!$B$5),INDEX(IDF_Station!$B$3:$G$11,IFERROR(MATCH(L21,IDF_Station!$A$3:$A$11,1),1),MATCH(Inputs!$B$24,IDF_Station!$B$2:$G$2,0))))</f>
        <v/>
      </c>
      <c r="V21" s="28" t="n"/>
      <c r="W21" s="28" t="n"/>
      <c r="X21" s="15">
        <f>IF(W21="","",IF(UPPER(TRIM(Inputs!$B$23))="IDF_EQUATION",Inputs!$B$3/((W21+Inputs!$B$4)^Inputs!$B$5),INDEX(IDF_Station!$B$3:$G$11,IFERROR(MATCH(W21,IDF_Station!$A$3:$A$11,1),1),MATCH(Inputs!$B$24,IDF_Station!$B$2:$G$2,0))))</f>
        <v/>
      </c>
    </row>
    <row r="22">
      <c r="L22" s="28" t="n"/>
      <c r="M22" s="15">
        <f>IF(L22="","",IF(UPPER(TRIM(Inputs!$B$23))="IDF_EQUATION",Inputs!$B$3/((L22+Inputs!$B$4)^Inputs!$B$5),INDEX(IDF_Station!$B$3:$G$11,IFERROR(MATCH(L22,IDF_Station!$A$3:$A$11,1),1),MATCH(Inputs!$B$24,IDF_Station!$B$2:$G$2,0))))</f>
        <v/>
      </c>
      <c r="V22" s="28" t="n"/>
      <c r="W22" s="28" t="n"/>
      <c r="X22" s="15">
        <f>IF(W22="","",IF(UPPER(TRIM(Inputs!$B$23))="IDF_EQUATION",Inputs!$B$3/((W22+Inputs!$B$4)^Inputs!$B$5),INDEX(IDF_Station!$B$3:$G$11,IFERROR(MATCH(W22,IDF_Station!$A$3:$A$11,1),1),MATCH(Inputs!$B$24,IDF_Station!$B$2:$G$2,0))))</f>
        <v/>
      </c>
    </row>
    <row r="23">
      <c r="L23" s="28" t="n"/>
      <c r="M23" s="15">
        <f>IF(L23="","",IF(UPPER(TRIM(Inputs!$B$23))="IDF_EQUATION",Inputs!$B$3/((L23+Inputs!$B$4)^Inputs!$B$5),INDEX(IDF_Station!$B$3:$G$11,IFERROR(MATCH(L23,IDF_Station!$A$3:$A$11,1),1),MATCH(Inputs!$B$24,IDF_Station!$B$2:$G$2,0))))</f>
        <v/>
      </c>
      <c r="V23" s="28" t="n"/>
      <c r="W23" s="28" t="n"/>
      <c r="X23" s="15">
        <f>IF(W23="","",IF(UPPER(TRIM(Inputs!$B$23))="IDF_EQUATION",Inputs!$B$3/((W23+Inputs!$B$4)^Inputs!$B$5),INDEX(IDF_Station!$B$3:$G$11,IFERROR(MATCH(W23,IDF_Station!$A$3:$A$11,1),1),MATCH(Inputs!$B$24,IDF_Station!$B$2:$G$2,0))))</f>
        <v/>
      </c>
    </row>
    <row r="24">
      <c r="L24" s="28" t="n"/>
      <c r="M24" s="15">
        <f>IF(L24="","",IF(UPPER(TRIM(Inputs!$B$23))="IDF_EQUATION",Inputs!$B$3/((L24+Inputs!$B$4)^Inputs!$B$5),INDEX(IDF_Station!$B$3:$G$11,IFERROR(MATCH(L24,IDF_Station!$A$3:$A$11,1),1),MATCH(Inputs!$B$24,IDF_Station!$B$2:$G$2,0))))</f>
        <v/>
      </c>
      <c r="V24" s="28" t="n"/>
      <c r="W24" s="28" t="n"/>
      <c r="X24" s="15">
        <f>IF(W24="","",IF(UPPER(TRIM(Inputs!$B$23))="IDF_EQUATION",Inputs!$B$3/((W24+Inputs!$B$4)^Inputs!$B$5),INDEX(IDF_Station!$B$3:$G$11,IFERROR(MATCH(W24,IDF_Station!$A$3:$A$11,1),1),MATCH(Inputs!$B$24,IDF_Station!$B$2:$G$2,0))))</f>
        <v/>
      </c>
    </row>
    <row r="25">
      <c r="L25" s="28" t="n"/>
      <c r="M25" s="15">
        <f>IF(L25="","",IF(UPPER(TRIM(Inputs!$B$23))="IDF_EQUATION",Inputs!$B$3/((L25+Inputs!$B$4)^Inputs!$B$5),INDEX(IDF_Station!$B$3:$G$11,IFERROR(MATCH(L25,IDF_Station!$A$3:$A$11,1),1),MATCH(Inputs!$B$24,IDF_Station!$B$2:$G$2,0))))</f>
        <v/>
      </c>
      <c r="V25" s="28" t="n"/>
      <c r="W25" s="28" t="n"/>
      <c r="X25" s="15">
        <f>IF(W25="","",IF(UPPER(TRIM(Inputs!$B$23))="IDF_EQUATION",Inputs!$B$3/((W25+Inputs!$B$4)^Inputs!$B$5),INDEX(IDF_Station!$B$3:$G$11,IFERROR(MATCH(W25,IDF_Station!$A$3:$A$11,1),1),MATCH(Inputs!$B$24,IDF_Station!$B$2:$G$2,0))))</f>
        <v/>
      </c>
    </row>
    <row r="26">
      <c r="L26" s="28" t="n"/>
      <c r="M26" s="15">
        <f>IF(L26="","",IF(UPPER(TRIM(Inputs!$B$23))="IDF_EQUATION",Inputs!$B$3/((L26+Inputs!$B$4)^Inputs!$B$5),INDEX(IDF_Station!$B$3:$G$11,IFERROR(MATCH(L26,IDF_Station!$A$3:$A$11,1),1),MATCH(Inputs!$B$24,IDF_Station!$B$2:$G$2,0))))</f>
        <v/>
      </c>
      <c r="V26" s="28" t="n"/>
      <c r="W26" s="28" t="n"/>
      <c r="X26" s="15">
        <f>IF(W26="","",IF(UPPER(TRIM(Inputs!$B$23))="IDF_EQUATION",Inputs!$B$3/((W26+Inputs!$B$4)^Inputs!$B$5),INDEX(IDF_Station!$B$3:$G$11,IFERROR(MATCH(W26,IDF_Station!$A$3:$A$11,1),1),MATCH(Inputs!$B$24,IDF_Station!$B$2:$G$2,0))))</f>
        <v/>
      </c>
    </row>
    <row r="27">
      <c r="L27" s="28" t="n"/>
      <c r="M27" s="15">
        <f>IF(L27="","",IF(UPPER(TRIM(Inputs!$B$23))="IDF_EQUATION",Inputs!$B$3/((L27+Inputs!$B$4)^Inputs!$B$5),INDEX(IDF_Station!$B$3:$G$11,IFERROR(MATCH(L27,IDF_Station!$A$3:$A$11,1),1),MATCH(Inputs!$B$24,IDF_Station!$B$2:$G$2,0))))</f>
        <v/>
      </c>
      <c r="V27" s="28" t="n"/>
      <c r="W27" s="28" t="n"/>
      <c r="X27" s="15">
        <f>IF(W27="","",IF(UPPER(TRIM(Inputs!$B$23))="IDF_EQUATION",Inputs!$B$3/((W27+Inputs!$B$4)^Inputs!$B$5),INDEX(IDF_Station!$B$3:$G$11,IFERROR(MATCH(W27,IDF_Station!$A$3:$A$11,1),1),MATCH(Inputs!$B$24,IDF_Station!$B$2:$G$2,0))))</f>
        <v/>
      </c>
    </row>
    <row r="28">
      <c r="L28" s="28" t="n"/>
      <c r="M28" s="15">
        <f>IF(L28="","",IF(UPPER(TRIM(Inputs!$B$23))="IDF_EQUATION",Inputs!$B$3/((L28+Inputs!$B$4)^Inputs!$B$5),INDEX(IDF_Station!$B$3:$G$11,IFERROR(MATCH(L28,IDF_Station!$A$3:$A$11,1),1),MATCH(Inputs!$B$24,IDF_Station!$B$2:$G$2,0))))</f>
        <v/>
      </c>
      <c r="V28" s="28" t="n"/>
      <c r="W28" s="28" t="n"/>
      <c r="X28" s="15">
        <f>IF(W28="","",IF(UPPER(TRIM(Inputs!$B$23))="IDF_EQUATION",Inputs!$B$3/((W28+Inputs!$B$4)^Inputs!$B$5),INDEX(IDF_Station!$B$3:$G$11,IFERROR(MATCH(W28,IDF_Station!$A$3:$A$11,1),1),MATCH(Inputs!$B$24,IDF_Station!$B$2:$G$2,0))))</f>
        <v/>
      </c>
    </row>
    <row r="29">
      <c r="L29" s="28" t="n"/>
      <c r="M29" s="15">
        <f>IF(L29="","",IF(UPPER(TRIM(Inputs!$B$23))="IDF_EQUATION",Inputs!$B$3/((L29+Inputs!$B$4)^Inputs!$B$5),INDEX(IDF_Station!$B$3:$G$11,IFERROR(MATCH(L29,IDF_Station!$A$3:$A$11,1),1),MATCH(Inputs!$B$24,IDF_Station!$B$2:$G$2,0))))</f>
        <v/>
      </c>
      <c r="V29" s="28" t="n"/>
      <c r="W29" s="28" t="n"/>
      <c r="X29" s="15">
        <f>IF(W29="","",IF(UPPER(TRIM(Inputs!$B$23))="IDF_EQUATION",Inputs!$B$3/((W29+Inputs!$B$4)^Inputs!$B$5),INDEX(IDF_Station!$B$3:$G$11,IFERROR(MATCH(W29,IDF_Station!$A$3:$A$11,1),1),MATCH(Inputs!$B$24,IDF_Station!$B$2:$G$2,0))))</f>
        <v/>
      </c>
    </row>
    <row r="30">
      <c r="L30" s="28" t="n"/>
      <c r="M30" s="15">
        <f>IF(L30="","",IF(UPPER(TRIM(Inputs!$B$23))="IDF_EQUATION",Inputs!$B$3/((L30+Inputs!$B$4)^Inputs!$B$5),INDEX(IDF_Station!$B$3:$G$11,IFERROR(MATCH(L30,IDF_Station!$A$3:$A$11,1),1),MATCH(Inputs!$B$24,IDF_Station!$B$2:$G$2,0))))</f>
        <v/>
      </c>
      <c r="V30" s="28" t="n"/>
      <c r="W30" s="28" t="n"/>
      <c r="X30" s="15">
        <f>IF(W30="","",IF(UPPER(TRIM(Inputs!$B$23))="IDF_EQUATION",Inputs!$B$3/((W30+Inputs!$B$4)^Inputs!$B$5),INDEX(IDF_Station!$B$3:$G$11,IFERROR(MATCH(W30,IDF_Station!$A$3:$A$11,1),1),MATCH(Inputs!$B$24,IDF_Station!$B$2:$G$2,0))))</f>
        <v/>
      </c>
    </row>
    <row r="31">
      <c r="L31" s="28" t="n"/>
      <c r="M31" s="15">
        <f>IF(L31="","",IF(UPPER(TRIM(Inputs!$B$23))="IDF_EQUATION",Inputs!$B$3/((L31+Inputs!$B$4)^Inputs!$B$5),INDEX(IDF_Station!$B$3:$G$11,IFERROR(MATCH(L31,IDF_Station!$A$3:$A$11,1),1),MATCH(Inputs!$B$24,IDF_Station!$B$2:$G$2,0))))</f>
        <v/>
      </c>
      <c r="V31" s="28" t="n"/>
      <c r="W31" s="28" t="n"/>
      <c r="X31" s="15">
        <f>IF(W31="","",IF(UPPER(TRIM(Inputs!$B$23))="IDF_EQUATION",Inputs!$B$3/((W31+Inputs!$B$4)^Inputs!$B$5),INDEX(IDF_Station!$B$3:$G$11,IFERROR(MATCH(W31,IDF_Station!$A$3:$A$11,1),1),MATCH(Inputs!$B$24,IDF_Station!$B$2:$G$2,0))))</f>
        <v/>
      </c>
    </row>
    <row r="32">
      <c r="L32" s="28" t="n"/>
      <c r="M32" s="15">
        <f>IF(L32="","",IF(UPPER(TRIM(Inputs!$B$23))="IDF_EQUATION",Inputs!$B$3/((L32+Inputs!$B$4)^Inputs!$B$5),INDEX(IDF_Station!$B$3:$G$11,IFERROR(MATCH(L32,IDF_Station!$A$3:$A$11,1),1),MATCH(Inputs!$B$24,IDF_Station!$B$2:$G$2,0))))</f>
        <v/>
      </c>
      <c r="V32" s="28" t="n"/>
      <c r="W32" s="28" t="n"/>
      <c r="X32" s="15">
        <f>IF(W32="","",IF(UPPER(TRIM(Inputs!$B$23))="IDF_EQUATION",Inputs!$B$3/((W32+Inputs!$B$4)^Inputs!$B$5),INDEX(IDF_Station!$B$3:$G$11,IFERROR(MATCH(W32,IDF_Station!$A$3:$A$11,1),1),MATCH(Inputs!$B$24,IDF_Station!$B$2:$G$2,0))))</f>
        <v/>
      </c>
    </row>
    <row r="33">
      <c r="L33" s="28" t="n"/>
      <c r="M33" s="15">
        <f>IF(L33="","",IF(UPPER(TRIM(Inputs!$B$23))="IDF_EQUATION",Inputs!$B$3/((L33+Inputs!$B$4)^Inputs!$B$5),INDEX(IDF_Station!$B$3:$G$11,IFERROR(MATCH(L33,IDF_Station!$A$3:$A$11,1),1),MATCH(Inputs!$B$24,IDF_Station!$B$2:$G$2,0))))</f>
        <v/>
      </c>
      <c r="V33" s="28" t="n"/>
      <c r="W33" s="28" t="n"/>
      <c r="X33" s="15">
        <f>IF(W33="","",IF(UPPER(TRIM(Inputs!$B$23))="IDF_EQUATION",Inputs!$B$3/((W33+Inputs!$B$4)^Inputs!$B$5),INDEX(IDF_Station!$B$3:$G$11,IFERROR(MATCH(W33,IDF_Station!$A$3:$A$11,1),1),MATCH(Inputs!$B$24,IDF_Station!$B$2:$G$2,0))))</f>
        <v/>
      </c>
    </row>
    <row r="34">
      <c r="L34" s="28" t="n"/>
      <c r="M34" s="15">
        <f>IF(L34="","",IF(UPPER(TRIM(Inputs!$B$23))="IDF_EQUATION",Inputs!$B$3/((L34+Inputs!$B$4)^Inputs!$B$5),INDEX(IDF_Station!$B$3:$G$11,IFERROR(MATCH(L34,IDF_Station!$A$3:$A$11,1),1),MATCH(Inputs!$B$24,IDF_Station!$B$2:$G$2,0))))</f>
        <v/>
      </c>
      <c r="V34" s="28" t="n"/>
      <c r="W34" s="28" t="n"/>
      <c r="X34" s="15">
        <f>IF(W34="","",IF(UPPER(TRIM(Inputs!$B$23))="IDF_EQUATION",Inputs!$B$3/((W34+Inputs!$B$4)^Inputs!$B$5),INDEX(IDF_Station!$B$3:$G$11,IFERROR(MATCH(W34,IDF_Station!$A$3:$A$11,1),1),MATCH(Inputs!$B$24,IDF_Station!$B$2:$G$2,0))))</f>
        <v/>
      </c>
    </row>
    <row r="35">
      <c r="L35" s="28" t="n"/>
      <c r="M35" s="15">
        <f>IF(L35="","",IF(UPPER(TRIM(Inputs!$B$23))="IDF_EQUATION",Inputs!$B$3/((L35+Inputs!$B$4)^Inputs!$B$5),INDEX(IDF_Station!$B$3:$G$11,IFERROR(MATCH(L35,IDF_Station!$A$3:$A$11,1),1),MATCH(Inputs!$B$24,IDF_Station!$B$2:$G$2,0))))</f>
        <v/>
      </c>
      <c r="V35" s="28" t="n"/>
      <c r="W35" s="28" t="n"/>
      <c r="X35" s="15">
        <f>IF(W35="","",IF(UPPER(TRIM(Inputs!$B$23))="IDF_EQUATION",Inputs!$B$3/((W35+Inputs!$B$4)^Inputs!$B$5),INDEX(IDF_Station!$B$3:$G$11,IFERROR(MATCH(W35,IDF_Station!$A$3:$A$11,1),1),MATCH(Inputs!$B$24,IDF_Station!$B$2:$G$2,0))))</f>
        <v/>
      </c>
    </row>
    <row r="36">
      <c r="L36" s="28" t="n"/>
      <c r="M36" s="15">
        <f>IF(L36="","",IF(UPPER(TRIM(Inputs!$B$23))="IDF_EQUATION",Inputs!$B$3/((L36+Inputs!$B$4)^Inputs!$B$5),INDEX(IDF_Station!$B$3:$G$11,IFERROR(MATCH(L36,IDF_Station!$A$3:$A$11,1),1),MATCH(Inputs!$B$24,IDF_Station!$B$2:$G$2,0))))</f>
        <v/>
      </c>
      <c r="V36" s="28" t="n"/>
      <c r="W36" s="28" t="n"/>
      <c r="X36" s="15">
        <f>IF(W36="","",IF(UPPER(TRIM(Inputs!$B$23))="IDF_EQUATION",Inputs!$B$3/((W36+Inputs!$B$4)^Inputs!$B$5),INDEX(IDF_Station!$B$3:$G$11,IFERROR(MATCH(W36,IDF_Station!$A$3:$A$11,1),1),MATCH(Inputs!$B$24,IDF_Station!$B$2:$G$2,0))))</f>
        <v/>
      </c>
    </row>
    <row r="37">
      <c r="L37" s="28" t="n"/>
      <c r="M37" s="15">
        <f>IF(L37="","",IF(UPPER(TRIM(Inputs!$B$23))="IDF_EQUATION",Inputs!$B$3/((L37+Inputs!$B$4)^Inputs!$B$5),INDEX(IDF_Station!$B$3:$G$11,IFERROR(MATCH(L37,IDF_Station!$A$3:$A$11,1),1),MATCH(Inputs!$B$24,IDF_Station!$B$2:$G$2,0))))</f>
        <v/>
      </c>
      <c r="V37" s="28" t="n"/>
      <c r="W37" s="28" t="n"/>
      <c r="X37" s="15">
        <f>IF(W37="","",IF(UPPER(TRIM(Inputs!$B$23))="IDF_EQUATION",Inputs!$B$3/((W37+Inputs!$B$4)^Inputs!$B$5),INDEX(IDF_Station!$B$3:$G$11,IFERROR(MATCH(W37,IDF_Station!$A$3:$A$11,1),1),MATCH(Inputs!$B$24,IDF_Station!$B$2:$G$2,0))))</f>
        <v/>
      </c>
    </row>
    <row r="38">
      <c r="L38" s="28" t="n"/>
      <c r="M38" s="15">
        <f>IF(L38="","",IF(UPPER(TRIM(Inputs!$B$23))="IDF_EQUATION",Inputs!$B$3/((L38+Inputs!$B$4)^Inputs!$B$5),INDEX(IDF_Station!$B$3:$G$11,IFERROR(MATCH(L38,IDF_Station!$A$3:$A$11,1),1),MATCH(Inputs!$B$24,IDF_Station!$B$2:$G$2,0))))</f>
        <v/>
      </c>
      <c r="V38" s="28" t="n"/>
      <c r="W38" s="28" t="n"/>
      <c r="X38" s="15">
        <f>IF(W38="","",IF(UPPER(TRIM(Inputs!$B$23))="IDF_EQUATION",Inputs!$B$3/((W38+Inputs!$B$4)^Inputs!$B$5),INDEX(IDF_Station!$B$3:$G$11,IFERROR(MATCH(W38,IDF_Station!$A$3:$A$11,1),1),MATCH(Inputs!$B$24,IDF_Station!$B$2:$G$2,0))))</f>
        <v/>
      </c>
    </row>
    <row r="39">
      <c r="L39" s="28" t="n"/>
      <c r="M39" s="15">
        <f>IF(L39="","",IF(UPPER(TRIM(Inputs!$B$23))="IDF_EQUATION",Inputs!$B$3/((L39+Inputs!$B$4)^Inputs!$B$5),INDEX(IDF_Station!$B$3:$G$11,IFERROR(MATCH(L39,IDF_Station!$A$3:$A$11,1),1),MATCH(Inputs!$B$24,IDF_Station!$B$2:$G$2,0))))</f>
        <v/>
      </c>
      <c r="V39" s="28" t="n"/>
      <c r="W39" s="28" t="n"/>
      <c r="X39" s="15">
        <f>IF(W39="","",IF(UPPER(TRIM(Inputs!$B$23))="IDF_EQUATION",Inputs!$B$3/((W39+Inputs!$B$4)^Inputs!$B$5),INDEX(IDF_Station!$B$3:$G$11,IFERROR(MATCH(W39,IDF_Station!$A$3:$A$11,1),1),MATCH(Inputs!$B$24,IDF_Station!$B$2:$G$2,0))))</f>
        <v/>
      </c>
    </row>
    <row r="40">
      <c r="L40" s="28" t="n"/>
      <c r="M40" s="15">
        <f>IF(L40="","",IF(UPPER(TRIM(Inputs!$B$23))="IDF_EQUATION",Inputs!$B$3/((L40+Inputs!$B$4)^Inputs!$B$5),INDEX(IDF_Station!$B$3:$G$11,IFERROR(MATCH(L40,IDF_Station!$A$3:$A$11,1),1),MATCH(Inputs!$B$24,IDF_Station!$B$2:$G$2,0))))</f>
        <v/>
      </c>
      <c r="V40" s="28" t="n"/>
      <c r="W40" s="28" t="n"/>
      <c r="X40" s="15">
        <f>IF(W40="","",IF(UPPER(TRIM(Inputs!$B$23))="IDF_EQUATION",Inputs!$B$3/((W40+Inputs!$B$4)^Inputs!$B$5),INDEX(IDF_Station!$B$3:$G$11,IFERROR(MATCH(W40,IDF_Station!$A$3:$A$11,1),1),MATCH(Inputs!$B$24,IDF_Station!$B$2:$G$2,0))))</f>
        <v/>
      </c>
    </row>
    <row r="41">
      <c r="L41" s="28" t="n"/>
      <c r="M41" s="15">
        <f>IF(L41="","",IF(UPPER(TRIM(Inputs!$B$23))="IDF_EQUATION",Inputs!$B$3/((L41+Inputs!$B$4)^Inputs!$B$5),INDEX(IDF_Station!$B$3:$G$11,IFERROR(MATCH(L41,IDF_Station!$A$3:$A$11,1),1),MATCH(Inputs!$B$24,IDF_Station!$B$2:$G$2,0))))</f>
        <v/>
      </c>
      <c r="V41" s="28" t="n"/>
      <c r="W41" s="28" t="n"/>
      <c r="X41" s="15">
        <f>IF(W41="","",IF(UPPER(TRIM(Inputs!$B$23))="IDF_EQUATION",Inputs!$B$3/((W41+Inputs!$B$4)^Inputs!$B$5),INDEX(IDF_Station!$B$3:$G$11,IFERROR(MATCH(W41,IDF_Station!$A$3:$A$11,1),1),MATCH(Inputs!$B$24,IDF_Station!$B$2:$G$2,0))))</f>
        <v/>
      </c>
    </row>
    <row r="42">
      <c r="L42" s="28" t="n"/>
      <c r="M42" s="15">
        <f>IF(L42="","",IF(UPPER(TRIM(Inputs!$B$23))="IDF_EQUATION",Inputs!$B$3/((L42+Inputs!$B$4)^Inputs!$B$5),INDEX(IDF_Station!$B$3:$G$11,IFERROR(MATCH(L42,IDF_Station!$A$3:$A$11,1),1),MATCH(Inputs!$B$24,IDF_Station!$B$2:$G$2,0))))</f>
        <v/>
      </c>
      <c r="V42" s="28" t="n"/>
      <c r="W42" s="28" t="n"/>
      <c r="X42" s="15">
        <f>IF(W42="","",IF(UPPER(TRIM(Inputs!$B$23))="IDF_EQUATION",Inputs!$B$3/((W42+Inputs!$B$4)^Inputs!$B$5),INDEX(IDF_Station!$B$3:$G$11,IFERROR(MATCH(W42,IDF_Station!$A$3:$A$11,1),1),MATCH(Inputs!$B$24,IDF_Station!$B$2:$G$2,0))))</f>
        <v/>
      </c>
    </row>
    <row r="43">
      <c r="L43" s="28" t="n"/>
      <c r="M43" s="15">
        <f>IF(L43="","",IF(UPPER(TRIM(Inputs!$B$23))="IDF_EQUATION",Inputs!$B$3/((L43+Inputs!$B$4)^Inputs!$B$5),INDEX(IDF_Station!$B$3:$G$11,IFERROR(MATCH(L43,IDF_Station!$A$3:$A$11,1),1),MATCH(Inputs!$B$24,IDF_Station!$B$2:$G$2,0))))</f>
        <v/>
      </c>
      <c r="V43" s="28" t="n"/>
      <c r="W43" s="28" t="n"/>
      <c r="X43" s="15">
        <f>IF(W43="","",IF(UPPER(TRIM(Inputs!$B$23))="IDF_EQUATION",Inputs!$B$3/((W43+Inputs!$B$4)^Inputs!$B$5),INDEX(IDF_Station!$B$3:$G$11,IFERROR(MATCH(W43,IDF_Station!$A$3:$A$11,1),1),MATCH(Inputs!$B$24,IDF_Station!$B$2:$G$2,0))))</f>
        <v/>
      </c>
    </row>
    <row r="44">
      <c r="L44" s="28" t="n"/>
      <c r="M44" s="15">
        <f>IF(L44="","",IF(UPPER(TRIM(Inputs!$B$23))="IDF_EQUATION",Inputs!$B$3/((L44+Inputs!$B$4)^Inputs!$B$5),INDEX(IDF_Station!$B$3:$G$11,IFERROR(MATCH(L44,IDF_Station!$A$3:$A$11,1),1),MATCH(Inputs!$B$24,IDF_Station!$B$2:$G$2,0))))</f>
        <v/>
      </c>
      <c r="V44" s="28" t="n"/>
      <c r="W44" s="28" t="n"/>
      <c r="X44" s="15">
        <f>IF(W44="","",IF(UPPER(TRIM(Inputs!$B$23))="IDF_EQUATION",Inputs!$B$3/((W44+Inputs!$B$4)^Inputs!$B$5),INDEX(IDF_Station!$B$3:$G$11,IFERROR(MATCH(W44,IDF_Station!$A$3:$A$11,1),1),MATCH(Inputs!$B$24,IDF_Station!$B$2:$G$2,0))))</f>
        <v/>
      </c>
    </row>
    <row r="45">
      <c r="L45" s="28" t="n"/>
      <c r="M45" s="15">
        <f>IF(L45="","",IF(UPPER(TRIM(Inputs!$B$23))="IDF_EQUATION",Inputs!$B$3/((L45+Inputs!$B$4)^Inputs!$B$5),INDEX(IDF_Station!$B$3:$G$11,IFERROR(MATCH(L45,IDF_Station!$A$3:$A$11,1),1),MATCH(Inputs!$B$24,IDF_Station!$B$2:$G$2,0))))</f>
        <v/>
      </c>
      <c r="V45" s="28" t="n"/>
      <c r="W45" s="28" t="n"/>
      <c r="X45" s="15">
        <f>IF(W45="","",IF(UPPER(TRIM(Inputs!$B$23))="IDF_EQUATION",Inputs!$B$3/((W45+Inputs!$B$4)^Inputs!$B$5),INDEX(IDF_Station!$B$3:$G$11,IFERROR(MATCH(W45,IDF_Station!$A$3:$A$11,1),1),MATCH(Inputs!$B$24,IDF_Station!$B$2:$G$2,0))))</f>
        <v/>
      </c>
    </row>
    <row r="46">
      <c r="L46" s="28" t="n"/>
      <c r="M46" s="15">
        <f>IF(L46="","",IF(UPPER(TRIM(Inputs!$B$23))="IDF_EQUATION",Inputs!$B$3/((L46+Inputs!$B$4)^Inputs!$B$5),INDEX(IDF_Station!$B$3:$G$11,IFERROR(MATCH(L46,IDF_Station!$A$3:$A$11,1),1),MATCH(Inputs!$B$24,IDF_Station!$B$2:$G$2,0))))</f>
        <v/>
      </c>
      <c r="V46" s="28" t="n"/>
      <c r="W46" s="28" t="n"/>
      <c r="X46" s="15">
        <f>IF(W46="","",IF(UPPER(TRIM(Inputs!$B$23))="IDF_EQUATION",Inputs!$B$3/((W46+Inputs!$B$4)^Inputs!$B$5),INDEX(IDF_Station!$B$3:$G$11,IFERROR(MATCH(W46,IDF_Station!$A$3:$A$11,1),1),MATCH(Inputs!$B$24,IDF_Station!$B$2:$G$2,0))))</f>
        <v/>
      </c>
    </row>
    <row r="47">
      <c r="L47" s="28" t="n"/>
      <c r="M47" s="15">
        <f>IF(L47="","",IF(UPPER(TRIM(Inputs!$B$23))="IDF_EQUATION",Inputs!$B$3/((L47+Inputs!$B$4)^Inputs!$B$5),INDEX(IDF_Station!$B$3:$G$11,IFERROR(MATCH(L47,IDF_Station!$A$3:$A$11,1),1),MATCH(Inputs!$B$24,IDF_Station!$B$2:$G$2,0))))</f>
        <v/>
      </c>
      <c r="V47" s="28" t="n"/>
      <c r="W47" s="28" t="n"/>
      <c r="X47" s="15">
        <f>IF(W47="","",IF(UPPER(TRIM(Inputs!$B$23))="IDF_EQUATION",Inputs!$B$3/((W47+Inputs!$B$4)^Inputs!$B$5),INDEX(IDF_Station!$B$3:$G$11,IFERROR(MATCH(W47,IDF_Station!$A$3:$A$11,1),1),MATCH(Inputs!$B$24,IDF_Station!$B$2:$G$2,0))))</f>
        <v/>
      </c>
    </row>
    <row r="48">
      <c r="L48" s="28" t="n"/>
      <c r="M48" s="15">
        <f>IF(L48="","",IF(UPPER(TRIM(Inputs!$B$23))="IDF_EQUATION",Inputs!$B$3/((L48+Inputs!$B$4)^Inputs!$B$5),INDEX(IDF_Station!$B$3:$G$11,IFERROR(MATCH(L48,IDF_Station!$A$3:$A$11,1),1),MATCH(Inputs!$B$24,IDF_Station!$B$2:$G$2,0))))</f>
        <v/>
      </c>
      <c r="V48" s="28" t="n"/>
      <c r="W48" s="28" t="n"/>
      <c r="X48" s="15">
        <f>IF(W48="","",IF(UPPER(TRIM(Inputs!$B$23))="IDF_EQUATION",Inputs!$B$3/((W48+Inputs!$B$4)^Inputs!$B$5),INDEX(IDF_Station!$B$3:$G$11,IFERROR(MATCH(W48,IDF_Station!$A$3:$A$11,1),1),MATCH(Inputs!$B$24,IDF_Station!$B$2:$G$2,0))))</f>
        <v/>
      </c>
    </row>
    <row r="49">
      <c r="L49" s="28" t="n"/>
      <c r="M49" s="15">
        <f>IF(L49="","",IF(UPPER(TRIM(Inputs!$B$23))="IDF_EQUATION",Inputs!$B$3/((L49+Inputs!$B$4)^Inputs!$B$5),INDEX(IDF_Station!$B$3:$G$11,IFERROR(MATCH(L49,IDF_Station!$A$3:$A$11,1),1),MATCH(Inputs!$B$24,IDF_Station!$B$2:$G$2,0))))</f>
        <v/>
      </c>
      <c r="V49" s="28" t="n"/>
      <c r="W49" s="28" t="n"/>
      <c r="X49" s="15">
        <f>IF(W49="","",IF(UPPER(TRIM(Inputs!$B$23))="IDF_EQUATION",Inputs!$B$3/((W49+Inputs!$B$4)^Inputs!$B$5),INDEX(IDF_Station!$B$3:$G$11,IFERROR(MATCH(W49,IDF_Station!$A$3:$A$11,1),1),MATCH(Inputs!$B$24,IDF_Station!$B$2:$G$2,0))))</f>
        <v/>
      </c>
    </row>
    <row r="50">
      <c r="L50" s="28" t="n"/>
      <c r="M50" s="15">
        <f>IF(L50="","",IF(UPPER(TRIM(Inputs!$B$23))="IDF_EQUATION",Inputs!$B$3/((L50+Inputs!$B$4)^Inputs!$B$5),INDEX(IDF_Station!$B$3:$G$11,IFERROR(MATCH(L50,IDF_Station!$A$3:$A$11,1),1),MATCH(Inputs!$B$24,IDF_Station!$B$2:$G$2,0))))</f>
        <v/>
      </c>
      <c r="V50" s="28" t="n"/>
      <c r="W50" s="28" t="n"/>
      <c r="X50" s="15">
        <f>IF(W50="","",IF(UPPER(TRIM(Inputs!$B$23))="IDF_EQUATION",Inputs!$B$3/((W50+Inputs!$B$4)^Inputs!$B$5),INDEX(IDF_Station!$B$3:$G$11,IFERROR(MATCH(W50,IDF_Station!$A$3:$A$11,1),1),MATCH(Inputs!$B$24,IDF_Station!$B$2:$G$2,0))))</f>
        <v/>
      </c>
    </row>
    <row r="51">
      <c r="L51" s="28" t="n"/>
      <c r="M51" s="15">
        <f>IF(L51="","",IF(UPPER(TRIM(Inputs!$B$23))="IDF_EQUATION",Inputs!$B$3/((L51+Inputs!$B$4)^Inputs!$B$5),INDEX(IDF_Station!$B$3:$G$11,IFERROR(MATCH(L51,IDF_Station!$A$3:$A$11,1),1),MATCH(Inputs!$B$24,IDF_Station!$B$2:$G$2,0))))</f>
        <v/>
      </c>
      <c r="V51" s="28" t="n"/>
      <c r="W51" s="28" t="n"/>
      <c r="X51" s="15">
        <f>IF(W51="","",IF(UPPER(TRIM(Inputs!$B$23))="IDF_EQUATION",Inputs!$B$3/((W51+Inputs!$B$4)^Inputs!$B$5),INDEX(IDF_Station!$B$3:$G$11,IFERROR(MATCH(W51,IDF_Station!$A$3:$A$11,1),1),MATCH(Inputs!$B$24,IDF_Station!$B$2:$G$2,0))))</f>
        <v/>
      </c>
    </row>
    <row r="52">
      <c r="L52" s="28" t="n"/>
      <c r="M52" s="15">
        <f>IF(L52="","",IF(UPPER(TRIM(Inputs!$B$23))="IDF_EQUATION",Inputs!$B$3/((L52+Inputs!$B$4)^Inputs!$B$5),INDEX(IDF_Station!$B$3:$G$11,IFERROR(MATCH(L52,IDF_Station!$A$3:$A$11,1),1),MATCH(Inputs!$B$24,IDF_Station!$B$2:$G$2,0))))</f>
        <v/>
      </c>
      <c r="V52" s="28" t="n"/>
      <c r="W52" s="28" t="n"/>
      <c r="X52" s="15">
        <f>IF(W52="","",IF(UPPER(TRIM(Inputs!$B$23))="IDF_EQUATION",Inputs!$B$3/((W52+Inputs!$B$4)^Inputs!$B$5),INDEX(IDF_Station!$B$3:$G$11,IFERROR(MATCH(W52,IDF_Station!$A$3:$A$11,1),1),MATCH(Inputs!$B$24,IDF_Station!$B$2:$G$2,0))))</f>
        <v/>
      </c>
    </row>
    <row r="53">
      <c r="L53" s="28" t="n"/>
      <c r="M53" s="15">
        <f>IF(L53="","",IF(UPPER(TRIM(Inputs!$B$23))="IDF_EQUATION",Inputs!$B$3/((L53+Inputs!$B$4)^Inputs!$B$5),INDEX(IDF_Station!$B$3:$G$11,IFERROR(MATCH(L53,IDF_Station!$A$3:$A$11,1),1),MATCH(Inputs!$B$24,IDF_Station!$B$2:$G$2,0))))</f>
        <v/>
      </c>
      <c r="V53" s="28" t="n"/>
      <c r="W53" s="28" t="n"/>
      <c r="X53" s="15">
        <f>IF(W53="","",IF(UPPER(TRIM(Inputs!$B$23))="IDF_EQUATION",Inputs!$B$3/((W53+Inputs!$B$4)^Inputs!$B$5),INDEX(IDF_Station!$B$3:$G$11,IFERROR(MATCH(W53,IDF_Station!$A$3:$A$11,1),1),MATCH(Inputs!$B$24,IDF_Station!$B$2:$G$2,0))))</f>
        <v/>
      </c>
    </row>
    <row r="54">
      <c r="L54" s="28" t="n"/>
      <c r="M54" s="15">
        <f>IF(L54="","",IF(UPPER(TRIM(Inputs!$B$23))="IDF_EQUATION",Inputs!$B$3/((L54+Inputs!$B$4)^Inputs!$B$5),INDEX(IDF_Station!$B$3:$G$11,IFERROR(MATCH(L54,IDF_Station!$A$3:$A$11,1),1),MATCH(Inputs!$B$24,IDF_Station!$B$2:$G$2,0))))</f>
        <v/>
      </c>
      <c r="V54" s="28" t="n"/>
      <c r="W54" s="28" t="n"/>
      <c r="X54" s="15">
        <f>IF(W54="","",IF(UPPER(TRIM(Inputs!$B$23))="IDF_EQUATION",Inputs!$B$3/((W54+Inputs!$B$4)^Inputs!$B$5),INDEX(IDF_Station!$B$3:$G$11,IFERROR(MATCH(W54,IDF_Station!$A$3:$A$11,1),1),MATCH(Inputs!$B$24,IDF_Station!$B$2:$G$2,0))))</f>
        <v/>
      </c>
    </row>
    <row r="55">
      <c r="L55" s="28" t="n"/>
      <c r="M55" s="15">
        <f>IF(L55="","",IF(UPPER(TRIM(Inputs!$B$23))="IDF_EQUATION",Inputs!$B$3/((L55+Inputs!$B$4)^Inputs!$B$5),INDEX(IDF_Station!$B$3:$G$11,IFERROR(MATCH(L55,IDF_Station!$A$3:$A$11,1),1),MATCH(Inputs!$B$24,IDF_Station!$B$2:$G$2,0))))</f>
        <v/>
      </c>
      <c r="V55" s="28" t="n"/>
      <c r="W55" s="28" t="n"/>
      <c r="X55" s="15">
        <f>IF(W55="","",IF(UPPER(TRIM(Inputs!$B$23))="IDF_EQUATION",Inputs!$B$3/((W55+Inputs!$B$4)^Inputs!$B$5),INDEX(IDF_Station!$B$3:$G$11,IFERROR(MATCH(W55,IDF_Station!$A$3:$A$11,1),1),MATCH(Inputs!$B$24,IDF_Station!$B$2:$G$2,0))))</f>
        <v/>
      </c>
    </row>
    <row r="56">
      <c r="L56" s="28" t="n"/>
      <c r="M56" s="15">
        <f>IF(L56="","",IF(UPPER(TRIM(Inputs!$B$23))="IDF_EQUATION",Inputs!$B$3/((L56+Inputs!$B$4)^Inputs!$B$5),INDEX(IDF_Station!$B$3:$G$11,IFERROR(MATCH(L56,IDF_Station!$A$3:$A$11,1),1),MATCH(Inputs!$B$24,IDF_Station!$B$2:$G$2,0))))</f>
        <v/>
      </c>
      <c r="V56" s="28" t="n"/>
      <c r="W56" s="28" t="n"/>
      <c r="X56" s="15">
        <f>IF(W56="","",IF(UPPER(TRIM(Inputs!$B$23))="IDF_EQUATION",Inputs!$B$3/((W56+Inputs!$B$4)^Inputs!$B$5),INDEX(IDF_Station!$B$3:$G$11,IFERROR(MATCH(W56,IDF_Station!$A$3:$A$11,1),1),MATCH(Inputs!$B$24,IDF_Station!$B$2:$G$2,0))))</f>
        <v/>
      </c>
    </row>
    <row r="57">
      <c r="L57" s="28" t="n"/>
      <c r="M57" s="15">
        <f>IF(L57="","",IF(UPPER(TRIM(Inputs!$B$23))="IDF_EQUATION",Inputs!$B$3/((L57+Inputs!$B$4)^Inputs!$B$5),INDEX(IDF_Station!$B$3:$G$11,IFERROR(MATCH(L57,IDF_Station!$A$3:$A$11,1),1),MATCH(Inputs!$B$24,IDF_Station!$B$2:$G$2,0))))</f>
        <v/>
      </c>
      <c r="V57" s="28" t="n"/>
      <c r="W57" s="28" t="n"/>
      <c r="X57" s="15">
        <f>IF(W57="","",IF(UPPER(TRIM(Inputs!$B$23))="IDF_EQUATION",Inputs!$B$3/((W57+Inputs!$B$4)^Inputs!$B$5),INDEX(IDF_Station!$B$3:$G$11,IFERROR(MATCH(W57,IDF_Station!$A$3:$A$11,1),1),MATCH(Inputs!$B$24,IDF_Station!$B$2:$G$2,0))))</f>
        <v/>
      </c>
    </row>
    <row r="58">
      <c r="L58" s="28" t="n"/>
      <c r="M58" s="15">
        <f>IF(L58="","",IF(UPPER(TRIM(Inputs!$B$23))="IDF_EQUATION",Inputs!$B$3/((L58+Inputs!$B$4)^Inputs!$B$5),INDEX(IDF_Station!$B$3:$G$11,IFERROR(MATCH(L58,IDF_Station!$A$3:$A$11,1),1),MATCH(Inputs!$B$24,IDF_Station!$B$2:$G$2,0))))</f>
        <v/>
      </c>
      <c r="V58" s="28" t="n"/>
      <c r="W58" s="28" t="n"/>
      <c r="X58" s="15">
        <f>IF(W58="","",IF(UPPER(TRIM(Inputs!$B$23))="IDF_EQUATION",Inputs!$B$3/((W58+Inputs!$B$4)^Inputs!$B$5),INDEX(IDF_Station!$B$3:$G$11,IFERROR(MATCH(W58,IDF_Station!$A$3:$A$11,1),1),MATCH(Inputs!$B$24,IDF_Station!$B$2:$G$2,0))))</f>
        <v/>
      </c>
    </row>
    <row r="59">
      <c r="L59" s="28" t="n"/>
      <c r="M59" s="15">
        <f>IF(L59="","",IF(UPPER(TRIM(Inputs!$B$23))="IDF_EQUATION",Inputs!$B$3/((L59+Inputs!$B$4)^Inputs!$B$5),INDEX(IDF_Station!$B$3:$G$11,IFERROR(MATCH(L59,IDF_Station!$A$3:$A$11,1),1),MATCH(Inputs!$B$24,IDF_Station!$B$2:$G$2,0))))</f>
        <v/>
      </c>
      <c r="V59" s="28" t="n"/>
      <c r="W59" s="28" t="n"/>
      <c r="X59" s="15">
        <f>IF(W59="","",IF(UPPER(TRIM(Inputs!$B$23))="IDF_EQUATION",Inputs!$B$3/((W59+Inputs!$B$4)^Inputs!$B$5),INDEX(IDF_Station!$B$3:$G$11,IFERROR(MATCH(W59,IDF_Station!$A$3:$A$11,1),1),MATCH(Inputs!$B$24,IDF_Station!$B$2:$G$2,0))))</f>
        <v/>
      </c>
    </row>
    <row r="60">
      <c r="L60" s="28" t="n"/>
      <c r="M60" s="15">
        <f>IF(L60="","",IF(UPPER(TRIM(Inputs!$B$23))="IDF_EQUATION",Inputs!$B$3/((L60+Inputs!$B$4)^Inputs!$B$5),INDEX(IDF_Station!$B$3:$G$11,IFERROR(MATCH(L60,IDF_Station!$A$3:$A$11,1),1),MATCH(Inputs!$B$24,IDF_Station!$B$2:$G$2,0))))</f>
        <v/>
      </c>
      <c r="V60" s="28" t="n"/>
      <c r="W60" s="28" t="n"/>
      <c r="X60" s="15">
        <f>IF(W60="","",IF(UPPER(TRIM(Inputs!$B$23))="IDF_EQUATION",Inputs!$B$3/((W60+Inputs!$B$4)^Inputs!$B$5),INDEX(IDF_Station!$B$3:$G$11,IFERROR(MATCH(W60,IDF_Station!$A$3:$A$11,1),1),MATCH(Inputs!$B$24,IDF_Station!$B$2:$G$2,0))))</f>
        <v/>
      </c>
    </row>
    <row r="61">
      <c r="L61" s="28" t="n"/>
      <c r="M61" s="15">
        <f>IF(L61="","",IF(UPPER(TRIM(Inputs!$B$23))="IDF_EQUATION",Inputs!$B$3/((L61+Inputs!$B$4)^Inputs!$B$5),INDEX(IDF_Station!$B$3:$G$11,IFERROR(MATCH(L61,IDF_Station!$A$3:$A$11,1),1),MATCH(Inputs!$B$24,IDF_Station!$B$2:$G$2,0))))</f>
        <v/>
      </c>
      <c r="V61" s="28" t="n"/>
      <c r="W61" s="28" t="n"/>
      <c r="X61" s="15">
        <f>IF(W61="","",IF(UPPER(TRIM(Inputs!$B$23))="IDF_EQUATION",Inputs!$B$3/((W61+Inputs!$B$4)^Inputs!$B$5),INDEX(IDF_Station!$B$3:$G$11,IFERROR(MATCH(W61,IDF_Station!$A$3:$A$11,1),1),MATCH(Inputs!$B$24,IDF_Station!$B$2:$G$2,0))))</f>
        <v/>
      </c>
    </row>
    <row r="62">
      <c r="L62" s="28" t="n"/>
      <c r="M62" s="15">
        <f>IF(L62="","",IF(UPPER(TRIM(Inputs!$B$23))="IDF_EQUATION",Inputs!$B$3/((L62+Inputs!$B$4)^Inputs!$B$5),INDEX(IDF_Station!$B$3:$G$11,IFERROR(MATCH(L62,IDF_Station!$A$3:$A$11,1),1),MATCH(Inputs!$B$24,IDF_Station!$B$2:$G$2,0))))</f>
        <v/>
      </c>
      <c r="V62" s="28" t="n"/>
      <c r="W62" s="28" t="n"/>
      <c r="X62" s="15">
        <f>IF(W62="","",IF(UPPER(TRIM(Inputs!$B$23))="IDF_EQUATION",Inputs!$B$3/((W62+Inputs!$B$4)^Inputs!$B$5),INDEX(IDF_Station!$B$3:$G$11,IFERROR(MATCH(W62,IDF_Station!$A$3:$A$11,1),1),MATCH(Inputs!$B$24,IDF_Station!$B$2:$G$2,0))))</f>
        <v/>
      </c>
    </row>
    <row r="63">
      <c r="L63" s="28" t="n"/>
      <c r="M63" s="15">
        <f>IF(L63="","",IF(UPPER(TRIM(Inputs!$B$23))="IDF_EQUATION",Inputs!$B$3/((L63+Inputs!$B$4)^Inputs!$B$5),INDEX(IDF_Station!$B$3:$G$11,IFERROR(MATCH(L63,IDF_Station!$A$3:$A$11,1),1),MATCH(Inputs!$B$24,IDF_Station!$B$2:$G$2,0))))</f>
        <v/>
      </c>
      <c r="V63" s="28" t="n"/>
      <c r="W63" s="28" t="n"/>
      <c r="X63" s="15">
        <f>IF(W63="","",IF(UPPER(TRIM(Inputs!$B$23))="IDF_EQUATION",Inputs!$B$3/((W63+Inputs!$B$4)^Inputs!$B$5),INDEX(IDF_Station!$B$3:$G$11,IFERROR(MATCH(W63,IDF_Station!$A$3:$A$11,1),1),MATCH(Inputs!$B$24,IDF_Station!$B$2:$G$2,0))))</f>
        <v/>
      </c>
    </row>
    <row r="64">
      <c r="L64" s="28" t="n"/>
      <c r="M64" s="15">
        <f>IF(L64="","",IF(UPPER(TRIM(Inputs!$B$23))="IDF_EQUATION",Inputs!$B$3/((L64+Inputs!$B$4)^Inputs!$B$5),INDEX(IDF_Station!$B$3:$G$11,IFERROR(MATCH(L64,IDF_Station!$A$3:$A$11,1),1),MATCH(Inputs!$B$24,IDF_Station!$B$2:$G$2,0))))</f>
        <v/>
      </c>
      <c r="V64" s="28" t="n"/>
      <c r="W64" s="28" t="n"/>
      <c r="X64" s="15">
        <f>IF(W64="","",IF(UPPER(TRIM(Inputs!$B$23))="IDF_EQUATION",Inputs!$B$3/((W64+Inputs!$B$4)^Inputs!$B$5),INDEX(IDF_Station!$B$3:$G$11,IFERROR(MATCH(W64,IDF_Station!$A$3:$A$11,1),1),MATCH(Inputs!$B$24,IDF_Station!$B$2:$G$2,0))))</f>
        <v/>
      </c>
    </row>
    <row r="65">
      <c r="L65" s="28" t="n"/>
      <c r="M65" s="15">
        <f>IF(L65="","",IF(UPPER(TRIM(Inputs!$B$23))="IDF_EQUATION",Inputs!$B$3/((L65+Inputs!$B$4)^Inputs!$B$5),INDEX(IDF_Station!$B$3:$G$11,IFERROR(MATCH(L65,IDF_Station!$A$3:$A$11,1),1),MATCH(Inputs!$B$24,IDF_Station!$B$2:$G$2,0))))</f>
        <v/>
      </c>
      <c r="V65" s="28" t="n"/>
      <c r="W65" s="28" t="n"/>
      <c r="X65" s="15">
        <f>IF(W65="","",IF(UPPER(TRIM(Inputs!$B$23))="IDF_EQUATION",Inputs!$B$3/((W65+Inputs!$B$4)^Inputs!$B$5),INDEX(IDF_Station!$B$3:$G$11,IFERROR(MATCH(W65,IDF_Station!$A$3:$A$11,1),1),MATCH(Inputs!$B$24,IDF_Station!$B$2:$G$2,0))))</f>
        <v/>
      </c>
    </row>
    <row r="66">
      <c r="L66" s="28" t="n"/>
      <c r="M66" s="15">
        <f>IF(L66="","",IF(UPPER(TRIM(Inputs!$B$23))="IDF_EQUATION",Inputs!$B$3/((L66+Inputs!$B$4)^Inputs!$B$5),INDEX(IDF_Station!$B$3:$G$11,IFERROR(MATCH(L66,IDF_Station!$A$3:$A$11,1),1),MATCH(Inputs!$B$24,IDF_Station!$B$2:$G$2,0))))</f>
        <v/>
      </c>
      <c r="V66" s="28" t="n"/>
      <c r="W66" s="28" t="n"/>
      <c r="X66" s="15">
        <f>IF(W66="","",IF(UPPER(TRIM(Inputs!$B$23))="IDF_EQUATION",Inputs!$B$3/((W66+Inputs!$B$4)^Inputs!$B$5),INDEX(IDF_Station!$B$3:$G$11,IFERROR(MATCH(W66,IDF_Station!$A$3:$A$11,1),1),MATCH(Inputs!$B$24,IDF_Station!$B$2:$G$2,0))))</f>
        <v/>
      </c>
    </row>
    <row r="67">
      <c r="L67" s="28" t="n"/>
      <c r="M67" s="15">
        <f>IF(L67="","",IF(UPPER(TRIM(Inputs!$B$23))="IDF_EQUATION",Inputs!$B$3/((L67+Inputs!$B$4)^Inputs!$B$5),INDEX(IDF_Station!$B$3:$G$11,IFERROR(MATCH(L67,IDF_Station!$A$3:$A$11,1),1),MATCH(Inputs!$B$24,IDF_Station!$B$2:$G$2,0))))</f>
        <v/>
      </c>
      <c r="V67" s="28" t="n"/>
      <c r="W67" s="28" t="n"/>
      <c r="X67" s="15">
        <f>IF(W67="","",IF(UPPER(TRIM(Inputs!$B$23))="IDF_EQUATION",Inputs!$B$3/((W67+Inputs!$B$4)^Inputs!$B$5),INDEX(IDF_Station!$B$3:$G$11,IFERROR(MATCH(W67,IDF_Station!$A$3:$A$11,1),1),MATCH(Inputs!$B$24,IDF_Station!$B$2:$G$2,0))))</f>
        <v/>
      </c>
    </row>
    <row r="68">
      <c r="L68" s="28" t="n"/>
      <c r="M68" s="15">
        <f>IF(L68="","",IF(UPPER(TRIM(Inputs!$B$23))="IDF_EQUATION",Inputs!$B$3/((L68+Inputs!$B$4)^Inputs!$B$5),INDEX(IDF_Station!$B$3:$G$11,IFERROR(MATCH(L68,IDF_Station!$A$3:$A$11,1),1),MATCH(Inputs!$B$24,IDF_Station!$B$2:$G$2,0))))</f>
        <v/>
      </c>
      <c r="V68" s="28" t="n"/>
      <c r="W68" s="28" t="n"/>
      <c r="X68" s="15">
        <f>IF(W68="","",IF(UPPER(TRIM(Inputs!$B$23))="IDF_EQUATION",Inputs!$B$3/((W68+Inputs!$B$4)^Inputs!$B$5),INDEX(IDF_Station!$B$3:$G$11,IFERROR(MATCH(W68,IDF_Station!$A$3:$A$11,1),1),MATCH(Inputs!$B$24,IDF_Station!$B$2:$G$2,0))))</f>
        <v/>
      </c>
    </row>
    <row r="69">
      <c r="L69" s="28" t="n"/>
      <c r="M69" s="15">
        <f>IF(L69="","",IF(UPPER(TRIM(Inputs!$B$23))="IDF_EQUATION",Inputs!$B$3/((L69+Inputs!$B$4)^Inputs!$B$5),INDEX(IDF_Station!$B$3:$G$11,IFERROR(MATCH(L69,IDF_Station!$A$3:$A$11,1),1),MATCH(Inputs!$B$24,IDF_Station!$B$2:$G$2,0))))</f>
        <v/>
      </c>
      <c r="V69" s="28" t="n"/>
      <c r="W69" s="28" t="n"/>
      <c r="X69" s="15">
        <f>IF(W69="","",IF(UPPER(TRIM(Inputs!$B$23))="IDF_EQUATION",Inputs!$B$3/((W69+Inputs!$B$4)^Inputs!$B$5),INDEX(IDF_Station!$B$3:$G$11,IFERROR(MATCH(W69,IDF_Station!$A$3:$A$11,1),1),MATCH(Inputs!$B$24,IDF_Station!$B$2:$G$2,0))))</f>
        <v/>
      </c>
    </row>
    <row r="70">
      <c r="L70" s="28" t="n"/>
      <c r="M70" s="15">
        <f>IF(L70="","",IF(UPPER(TRIM(Inputs!$B$23))="IDF_EQUATION",Inputs!$B$3/((L70+Inputs!$B$4)^Inputs!$B$5),INDEX(IDF_Station!$B$3:$G$11,IFERROR(MATCH(L70,IDF_Station!$A$3:$A$11,1),1),MATCH(Inputs!$B$24,IDF_Station!$B$2:$G$2,0))))</f>
        <v/>
      </c>
      <c r="V70" s="28" t="n"/>
      <c r="W70" s="28" t="n"/>
      <c r="X70" s="15">
        <f>IF(W70="","",IF(UPPER(TRIM(Inputs!$B$23))="IDF_EQUATION",Inputs!$B$3/((W70+Inputs!$B$4)^Inputs!$B$5),INDEX(IDF_Station!$B$3:$G$11,IFERROR(MATCH(W70,IDF_Station!$A$3:$A$11,1),1),MATCH(Inputs!$B$24,IDF_Station!$B$2:$G$2,0))))</f>
        <v/>
      </c>
    </row>
    <row r="71">
      <c r="L71" s="28" t="n"/>
      <c r="M71" s="15">
        <f>IF(L71="","",IF(UPPER(TRIM(Inputs!$B$23))="IDF_EQUATION",Inputs!$B$3/((L71+Inputs!$B$4)^Inputs!$B$5),INDEX(IDF_Station!$B$3:$G$11,IFERROR(MATCH(L71,IDF_Station!$A$3:$A$11,1),1),MATCH(Inputs!$B$24,IDF_Station!$B$2:$G$2,0))))</f>
        <v/>
      </c>
      <c r="V71" s="28" t="n"/>
      <c r="W71" s="28" t="n"/>
      <c r="X71" s="15">
        <f>IF(W71="","",IF(UPPER(TRIM(Inputs!$B$23))="IDF_EQUATION",Inputs!$B$3/((W71+Inputs!$B$4)^Inputs!$B$5),INDEX(IDF_Station!$B$3:$G$11,IFERROR(MATCH(W71,IDF_Station!$A$3:$A$11,1),1),MATCH(Inputs!$B$24,IDF_Station!$B$2:$G$2,0))))</f>
        <v/>
      </c>
    </row>
    <row r="72">
      <c r="L72" s="28" t="n"/>
      <c r="M72" s="15">
        <f>IF(L72="","",IF(UPPER(TRIM(Inputs!$B$23))="IDF_EQUATION",Inputs!$B$3/((L72+Inputs!$B$4)^Inputs!$B$5),INDEX(IDF_Station!$B$3:$G$11,IFERROR(MATCH(L72,IDF_Station!$A$3:$A$11,1),1),MATCH(Inputs!$B$24,IDF_Station!$B$2:$G$2,0))))</f>
        <v/>
      </c>
      <c r="V72" s="28" t="n"/>
      <c r="W72" s="28" t="n"/>
      <c r="X72" s="15">
        <f>IF(W72="","",IF(UPPER(TRIM(Inputs!$B$23))="IDF_EQUATION",Inputs!$B$3/((W72+Inputs!$B$4)^Inputs!$B$5),INDEX(IDF_Station!$B$3:$G$11,IFERROR(MATCH(W72,IDF_Station!$A$3:$A$11,1),1),MATCH(Inputs!$B$24,IDF_Station!$B$2:$G$2,0))))</f>
        <v/>
      </c>
    </row>
    <row r="73">
      <c r="L73" s="28" t="n"/>
      <c r="M73" s="15">
        <f>IF(L73="","",IF(UPPER(TRIM(Inputs!$B$23))="IDF_EQUATION",Inputs!$B$3/((L73+Inputs!$B$4)^Inputs!$B$5),INDEX(IDF_Station!$B$3:$G$11,IFERROR(MATCH(L73,IDF_Station!$A$3:$A$11,1),1),MATCH(Inputs!$B$24,IDF_Station!$B$2:$G$2,0))))</f>
        <v/>
      </c>
      <c r="V73" s="28" t="n"/>
      <c r="W73" s="28" t="n"/>
      <c r="X73" s="15">
        <f>IF(W73="","",IF(UPPER(TRIM(Inputs!$B$23))="IDF_EQUATION",Inputs!$B$3/((W73+Inputs!$B$4)^Inputs!$B$5),INDEX(IDF_Station!$B$3:$G$11,IFERROR(MATCH(W73,IDF_Station!$A$3:$A$11,1),1),MATCH(Inputs!$B$24,IDF_Station!$B$2:$G$2,0))))</f>
        <v/>
      </c>
    </row>
    <row r="74">
      <c r="L74" s="28" t="n"/>
      <c r="M74" s="15">
        <f>IF(L74="","",IF(UPPER(TRIM(Inputs!$B$23))="IDF_EQUATION",Inputs!$B$3/((L74+Inputs!$B$4)^Inputs!$B$5),INDEX(IDF_Station!$B$3:$G$11,IFERROR(MATCH(L74,IDF_Station!$A$3:$A$11,1),1),MATCH(Inputs!$B$24,IDF_Station!$B$2:$G$2,0))))</f>
        <v/>
      </c>
      <c r="V74" s="28" t="n"/>
      <c r="W74" s="28" t="n"/>
      <c r="X74" s="15">
        <f>IF(W74="","",IF(UPPER(TRIM(Inputs!$B$23))="IDF_EQUATION",Inputs!$B$3/((W74+Inputs!$B$4)^Inputs!$B$5),INDEX(IDF_Station!$B$3:$G$11,IFERROR(MATCH(W74,IDF_Station!$A$3:$A$11,1),1),MATCH(Inputs!$B$24,IDF_Station!$B$2:$G$2,0))))</f>
        <v/>
      </c>
    </row>
    <row r="75">
      <c r="L75" s="28" t="n"/>
      <c r="M75" s="15">
        <f>IF(L75="","",IF(UPPER(TRIM(Inputs!$B$23))="IDF_EQUATION",Inputs!$B$3/((L75+Inputs!$B$4)^Inputs!$B$5),INDEX(IDF_Station!$B$3:$G$11,IFERROR(MATCH(L75,IDF_Station!$A$3:$A$11,1),1),MATCH(Inputs!$B$24,IDF_Station!$B$2:$G$2,0))))</f>
        <v/>
      </c>
      <c r="V75" s="28" t="n"/>
      <c r="W75" s="28" t="n"/>
      <c r="X75" s="15">
        <f>IF(W75="","",IF(UPPER(TRIM(Inputs!$B$23))="IDF_EQUATION",Inputs!$B$3/((W75+Inputs!$B$4)^Inputs!$B$5),INDEX(IDF_Station!$B$3:$G$11,IFERROR(MATCH(W75,IDF_Station!$A$3:$A$11,1),1),MATCH(Inputs!$B$24,IDF_Station!$B$2:$G$2,0))))</f>
        <v/>
      </c>
    </row>
    <row r="76">
      <c r="L76" s="28" t="n"/>
      <c r="M76" s="15">
        <f>IF(L76="","",IF(UPPER(TRIM(Inputs!$B$23))="IDF_EQUATION",Inputs!$B$3/((L76+Inputs!$B$4)^Inputs!$B$5),INDEX(IDF_Station!$B$3:$G$11,IFERROR(MATCH(L76,IDF_Station!$A$3:$A$11,1),1),MATCH(Inputs!$B$24,IDF_Station!$B$2:$G$2,0))))</f>
        <v/>
      </c>
      <c r="V76" s="28" t="n"/>
      <c r="W76" s="28" t="n"/>
      <c r="X76" s="15">
        <f>IF(W76="","",IF(UPPER(TRIM(Inputs!$B$23))="IDF_EQUATION",Inputs!$B$3/((W76+Inputs!$B$4)^Inputs!$B$5),INDEX(IDF_Station!$B$3:$G$11,IFERROR(MATCH(W76,IDF_Station!$A$3:$A$11,1),1),MATCH(Inputs!$B$24,IDF_Station!$B$2:$G$2,0))))</f>
        <v/>
      </c>
    </row>
    <row r="77">
      <c r="L77" s="28" t="n"/>
      <c r="M77" s="15">
        <f>IF(L77="","",IF(UPPER(TRIM(Inputs!$B$23))="IDF_EQUATION",Inputs!$B$3/((L77+Inputs!$B$4)^Inputs!$B$5),INDEX(IDF_Station!$B$3:$G$11,IFERROR(MATCH(L77,IDF_Station!$A$3:$A$11,1),1),MATCH(Inputs!$B$24,IDF_Station!$B$2:$G$2,0))))</f>
        <v/>
      </c>
      <c r="V77" s="28" t="n"/>
      <c r="W77" s="28" t="n"/>
      <c r="X77" s="15">
        <f>IF(W77="","",IF(UPPER(TRIM(Inputs!$B$23))="IDF_EQUATION",Inputs!$B$3/((W77+Inputs!$B$4)^Inputs!$B$5),INDEX(IDF_Station!$B$3:$G$11,IFERROR(MATCH(W77,IDF_Station!$A$3:$A$11,1),1),MATCH(Inputs!$B$24,IDF_Station!$B$2:$G$2,0))))</f>
        <v/>
      </c>
    </row>
    <row r="78">
      <c r="L78" s="28" t="n"/>
      <c r="M78" s="15">
        <f>IF(L78="","",IF(UPPER(TRIM(Inputs!$B$23))="IDF_EQUATION",Inputs!$B$3/((L78+Inputs!$B$4)^Inputs!$B$5),INDEX(IDF_Station!$B$3:$G$11,IFERROR(MATCH(L78,IDF_Station!$A$3:$A$11,1),1),MATCH(Inputs!$B$24,IDF_Station!$B$2:$G$2,0))))</f>
        <v/>
      </c>
      <c r="V78" s="28" t="n"/>
      <c r="W78" s="28" t="n"/>
      <c r="X78" s="15">
        <f>IF(W78="","",IF(UPPER(TRIM(Inputs!$B$23))="IDF_EQUATION",Inputs!$B$3/((W78+Inputs!$B$4)^Inputs!$B$5),INDEX(IDF_Station!$B$3:$G$11,IFERROR(MATCH(W78,IDF_Station!$A$3:$A$11,1),1),MATCH(Inputs!$B$24,IDF_Station!$B$2:$G$2,0))))</f>
        <v/>
      </c>
    </row>
    <row r="79">
      <c r="L79" s="28" t="n"/>
      <c r="M79" s="15">
        <f>IF(L79="","",IF(UPPER(TRIM(Inputs!$B$23))="IDF_EQUATION",Inputs!$B$3/((L79+Inputs!$B$4)^Inputs!$B$5),INDEX(IDF_Station!$B$3:$G$11,IFERROR(MATCH(L79,IDF_Station!$A$3:$A$11,1),1),MATCH(Inputs!$B$24,IDF_Station!$B$2:$G$2,0))))</f>
        <v/>
      </c>
      <c r="V79" s="28" t="n"/>
      <c r="W79" s="28" t="n"/>
      <c r="X79" s="15">
        <f>IF(W79="","",IF(UPPER(TRIM(Inputs!$B$23))="IDF_EQUATION",Inputs!$B$3/((W79+Inputs!$B$4)^Inputs!$B$5),INDEX(IDF_Station!$B$3:$G$11,IFERROR(MATCH(W79,IDF_Station!$A$3:$A$11,1),1),MATCH(Inputs!$B$24,IDF_Station!$B$2:$G$2,0))))</f>
        <v/>
      </c>
    </row>
    <row r="80">
      <c r="L80" s="28" t="n"/>
      <c r="M80" s="15">
        <f>IF(L80="","",IF(UPPER(TRIM(Inputs!$B$23))="IDF_EQUATION",Inputs!$B$3/((L80+Inputs!$B$4)^Inputs!$B$5),INDEX(IDF_Station!$B$3:$G$11,IFERROR(MATCH(L80,IDF_Station!$A$3:$A$11,1),1),MATCH(Inputs!$B$24,IDF_Station!$B$2:$G$2,0))))</f>
        <v/>
      </c>
      <c r="V80" s="28" t="n"/>
      <c r="W80" s="28" t="n"/>
      <c r="X80" s="15">
        <f>IF(W80="","",IF(UPPER(TRIM(Inputs!$B$23))="IDF_EQUATION",Inputs!$B$3/((W80+Inputs!$B$4)^Inputs!$B$5),INDEX(IDF_Station!$B$3:$G$11,IFERROR(MATCH(W80,IDF_Station!$A$3:$A$11,1),1),MATCH(Inputs!$B$24,IDF_Station!$B$2:$G$2,0))))</f>
        <v/>
      </c>
    </row>
    <row r="81">
      <c r="L81" s="28" t="n"/>
      <c r="M81" s="15">
        <f>IF(L81="","",IF(UPPER(TRIM(Inputs!$B$23))="IDF_EQUATION",Inputs!$B$3/((L81+Inputs!$B$4)^Inputs!$B$5),INDEX(IDF_Station!$B$3:$G$11,IFERROR(MATCH(L81,IDF_Station!$A$3:$A$11,1),1),MATCH(Inputs!$B$24,IDF_Station!$B$2:$G$2,0))))</f>
        <v/>
      </c>
      <c r="V81" s="28" t="n"/>
      <c r="W81" s="28" t="n"/>
      <c r="X81" s="15">
        <f>IF(W81="","",IF(UPPER(TRIM(Inputs!$B$23))="IDF_EQUATION",Inputs!$B$3/((W81+Inputs!$B$4)^Inputs!$B$5),INDEX(IDF_Station!$B$3:$G$11,IFERROR(MATCH(W81,IDF_Station!$A$3:$A$11,1),1),MATCH(Inputs!$B$24,IDF_Station!$B$2:$G$2,0))))</f>
        <v/>
      </c>
    </row>
    <row r="82">
      <c r="L82" s="28" t="n"/>
      <c r="M82" s="15">
        <f>IF(L82="","",IF(UPPER(TRIM(Inputs!$B$23))="IDF_EQUATION",Inputs!$B$3/((L82+Inputs!$B$4)^Inputs!$B$5),INDEX(IDF_Station!$B$3:$G$11,IFERROR(MATCH(L82,IDF_Station!$A$3:$A$11,1),1),MATCH(Inputs!$B$24,IDF_Station!$B$2:$G$2,0))))</f>
        <v/>
      </c>
      <c r="V82" s="28" t="n"/>
      <c r="W82" s="28" t="n"/>
      <c r="X82" s="15">
        <f>IF(W82="","",IF(UPPER(TRIM(Inputs!$B$23))="IDF_EQUATION",Inputs!$B$3/((W82+Inputs!$B$4)^Inputs!$B$5),INDEX(IDF_Station!$B$3:$G$11,IFERROR(MATCH(W82,IDF_Station!$A$3:$A$11,1),1),MATCH(Inputs!$B$24,IDF_Station!$B$2:$G$2,0))))</f>
        <v/>
      </c>
    </row>
    <row r="83">
      <c r="L83" s="28" t="n"/>
      <c r="M83" s="15">
        <f>IF(L83="","",IF(UPPER(TRIM(Inputs!$B$23))="IDF_EQUATION",Inputs!$B$3/((L83+Inputs!$B$4)^Inputs!$B$5),INDEX(IDF_Station!$B$3:$G$11,IFERROR(MATCH(L83,IDF_Station!$A$3:$A$11,1),1),MATCH(Inputs!$B$24,IDF_Station!$B$2:$G$2,0))))</f>
        <v/>
      </c>
      <c r="V83" s="28" t="n"/>
      <c r="W83" s="28" t="n"/>
      <c r="X83" s="15">
        <f>IF(W83="","",IF(UPPER(TRIM(Inputs!$B$23))="IDF_EQUATION",Inputs!$B$3/((W83+Inputs!$B$4)^Inputs!$B$5),INDEX(IDF_Station!$B$3:$G$11,IFERROR(MATCH(W83,IDF_Station!$A$3:$A$11,1),1),MATCH(Inputs!$B$24,IDF_Station!$B$2:$G$2,0))))</f>
        <v/>
      </c>
    </row>
    <row r="84">
      <c r="L84" s="28" t="n"/>
      <c r="M84" s="15">
        <f>IF(L84="","",IF(UPPER(TRIM(Inputs!$B$23))="IDF_EQUATION",Inputs!$B$3/((L84+Inputs!$B$4)^Inputs!$B$5),INDEX(IDF_Station!$B$3:$G$11,IFERROR(MATCH(L84,IDF_Station!$A$3:$A$11,1),1),MATCH(Inputs!$B$24,IDF_Station!$B$2:$G$2,0))))</f>
        <v/>
      </c>
      <c r="V84" s="28" t="n"/>
      <c r="W84" s="28" t="n"/>
      <c r="X84" s="15">
        <f>IF(W84="","",IF(UPPER(TRIM(Inputs!$B$23))="IDF_EQUATION",Inputs!$B$3/((W84+Inputs!$B$4)^Inputs!$B$5),INDEX(IDF_Station!$B$3:$G$11,IFERROR(MATCH(W84,IDF_Station!$A$3:$A$11,1),1),MATCH(Inputs!$B$24,IDF_Station!$B$2:$G$2,0))))</f>
        <v/>
      </c>
    </row>
    <row r="85">
      <c r="L85" s="28" t="n"/>
      <c r="M85" s="15">
        <f>IF(L85="","",IF(UPPER(TRIM(Inputs!$B$23))="IDF_EQUATION",Inputs!$B$3/((L85+Inputs!$B$4)^Inputs!$B$5),INDEX(IDF_Station!$B$3:$G$11,IFERROR(MATCH(L85,IDF_Station!$A$3:$A$11,1),1),MATCH(Inputs!$B$24,IDF_Station!$B$2:$G$2,0))))</f>
        <v/>
      </c>
      <c r="V85" s="28" t="n"/>
      <c r="W85" s="28" t="n"/>
      <c r="X85" s="15">
        <f>IF(W85="","",IF(UPPER(TRIM(Inputs!$B$23))="IDF_EQUATION",Inputs!$B$3/((W85+Inputs!$B$4)^Inputs!$B$5),INDEX(IDF_Station!$B$3:$G$11,IFERROR(MATCH(W85,IDF_Station!$A$3:$A$11,1),1),MATCH(Inputs!$B$24,IDF_Station!$B$2:$G$2,0))))</f>
        <v/>
      </c>
    </row>
    <row r="86">
      <c r="L86" s="28" t="n"/>
      <c r="M86" s="15">
        <f>IF(L86="","",IF(UPPER(TRIM(Inputs!$B$23))="IDF_EQUATION",Inputs!$B$3/((L86+Inputs!$B$4)^Inputs!$B$5),INDEX(IDF_Station!$B$3:$G$11,IFERROR(MATCH(L86,IDF_Station!$A$3:$A$11,1),1),MATCH(Inputs!$B$24,IDF_Station!$B$2:$G$2,0))))</f>
        <v/>
      </c>
      <c r="V86" s="28" t="n"/>
      <c r="W86" s="28" t="n"/>
      <c r="X86" s="15">
        <f>IF(W86="","",IF(UPPER(TRIM(Inputs!$B$23))="IDF_EQUATION",Inputs!$B$3/((W86+Inputs!$B$4)^Inputs!$B$5),INDEX(IDF_Station!$B$3:$G$11,IFERROR(MATCH(W86,IDF_Station!$A$3:$A$11,1),1),MATCH(Inputs!$B$24,IDF_Station!$B$2:$G$2,0))))</f>
        <v/>
      </c>
    </row>
    <row r="87">
      <c r="L87" s="28" t="n"/>
      <c r="M87" s="15">
        <f>IF(L87="","",IF(UPPER(TRIM(Inputs!$B$23))="IDF_EQUATION",Inputs!$B$3/((L87+Inputs!$B$4)^Inputs!$B$5),INDEX(IDF_Station!$B$3:$G$11,IFERROR(MATCH(L87,IDF_Station!$A$3:$A$11,1),1),MATCH(Inputs!$B$24,IDF_Station!$B$2:$G$2,0))))</f>
        <v/>
      </c>
      <c r="V87" s="28" t="n"/>
      <c r="W87" s="28" t="n"/>
      <c r="X87" s="15">
        <f>IF(W87="","",IF(UPPER(TRIM(Inputs!$B$23))="IDF_EQUATION",Inputs!$B$3/((W87+Inputs!$B$4)^Inputs!$B$5),INDEX(IDF_Station!$B$3:$G$11,IFERROR(MATCH(W87,IDF_Station!$A$3:$A$11,1),1),MATCH(Inputs!$B$24,IDF_Station!$B$2:$G$2,0))))</f>
        <v/>
      </c>
    </row>
    <row r="88">
      <c r="L88" s="28" t="n"/>
      <c r="M88" s="15">
        <f>IF(L88="","",IF(UPPER(TRIM(Inputs!$B$23))="IDF_EQUATION",Inputs!$B$3/((L88+Inputs!$B$4)^Inputs!$B$5),INDEX(IDF_Station!$B$3:$G$11,IFERROR(MATCH(L88,IDF_Station!$A$3:$A$11,1),1),MATCH(Inputs!$B$24,IDF_Station!$B$2:$G$2,0))))</f>
        <v/>
      </c>
      <c r="V88" s="28" t="n"/>
      <c r="W88" s="28" t="n"/>
      <c r="X88" s="15">
        <f>IF(W88="","",IF(UPPER(TRIM(Inputs!$B$23))="IDF_EQUATION",Inputs!$B$3/((W88+Inputs!$B$4)^Inputs!$B$5),INDEX(IDF_Station!$B$3:$G$11,IFERROR(MATCH(W88,IDF_Station!$A$3:$A$11,1),1),MATCH(Inputs!$B$24,IDF_Station!$B$2:$G$2,0))))</f>
        <v/>
      </c>
    </row>
    <row r="89">
      <c r="L89" s="28" t="n"/>
      <c r="M89" s="15">
        <f>IF(L89="","",IF(UPPER(TRIM(Inputs!$B$23))="IDF_EQUATION",Inputs!$B$3/((L89+Inputs!$B$4)^Inputs!$B$5),INDEX(IDF_Station!$B$3:$G$11,IFERROR(MATCH(L89,IDF_Station!$A$3:$A$11,1),1),MATCH(Inputs!$B$24,IDF_Station!$B$2:$G$2,0))))</f>
        <v/>
      </c>
      <c r="V89" s="28" t="n"/>
      <c r="W89" s="28" t="n"/>
      <c r="X89" s="15">
        <f>IF(W89="","",IF(UPPER(TRIM(Inputs!$B$23))="IDF_EQUATION",Inputs!$B$3/((W89+Inputs!$B$4)^Inputs!$B$5),INDEX(IDF_Station!$B$3:$G$11,IFERROR(MATCH(W89,IDF_Station!$A$3:$A$11,1),1),MATCH(Inputs!$B$24,IDF_Station!$B$2:$G$2,0))))</f>
        <v/>
      </c>
    </row>
    <row r="90">
      <c r="L90" s="28" t="n"/>
      <c r="M90" s="15">
        <f>IF(L90="","",IF(UPPER(TRIM(Inputs!$B$23))="IDF_EQUATION",Inputs!$B$3/((L90+Inputs!$B$4)^Inputs!$B$5),INDEX(IDF_Station!$B$3:$G$11,IFERROR(MATCH(L90,IDF_Station!$A$3:$A$11,1),1),MATCH(Inputs!$B$24,IDF_Station!$B$2:$G$2,0))))</f>
        <v/>
      </c>
      <c r="V90" s="28" t="n"/>
      <c r="W90" s="28" t="n"/>
      <c r="X90" s="15">
        <f>IF(W90="","",IF(UPPER(TRIM(Inputs!$B$23))="IDF_EQUATION",Inputs!$B$3/((W90+Inputs!$B$4)^Inputs!$B$5),INDEX(IDF_Station!$B$3:$G$11,IFERROR(MATCH(W90,IDF_Station!$A$3:$A$11,1),1),MATCH(Inputs!$B$24,IDF_Station!$B$2:$G$2,0))))</f>
        <v/>
      </c>
    </row>
    <row r="91">
      <c r="L91" s="28" t="n"/>
      <c r="M91" s="15">
        <f>IF(L91="","",IF(UPPER(TRIM(Inputs!$B$23))="IDF_EQUATION",Inputs!$B$3/((L91+Inputs!$B$4)^Inputs!$B$5),INDEX(IDF_Station!$B$3:$G$11,IFERROR(MATCH(L91,IDF_Station!$A$3:$A$11,1),1),MATCH(Inputs!$B$24,IDF_Station!$B$2:$G$2,0))))</f>
        <v/>
      </c>
      <c r="V91" s="28" t="n"/>
      <c r="W91" s="28" t="n"/>
      <c r="X91" s="15">
        <f>IF(W91="","",IF(UPPER(TRIM(Inputs!$B$23))="IDF_EQUATION",Inputs!$B$3/((W91+Inputs!$B$4)^Inputs!$B$5),INDEX(IDF_Station!$B$3:$G$11,IFERROR(MATCH(W91,IDF_Station!$A$3:$A$11,1),1),MATCH(Inputs!$B$24,IDF_Station!$B$2:$G$2,0))))</f>
        <v/>
      </c>
    </row>
    <row r="92">
      <c r="L92" s="28" t="n"/>
      <c r="M92" s="15">
        <f>IF(L92="","",IF(UPPER(TRIM(Inputs!$B$23))="IDF_EQUATION",Inputs!$B$3/((L92+Inputs!$B$4)^Inputs!$B$5),INDEX(IDF_Station!$B$3:$G$11,IFERROR(MATCH(L92,IDF_Station!$A$3:$A$11,1),1),MATCH(Inputs!$B$24,IDF_Station!$B$2:$G$2,0))))</f>
        <v/>
      </c>
      <c r="V92" s="28" t="n"/>
      <c r="W92" s="28" t="n"/>
      <c r="X92" s="15">
        <f>IF(W92="","",IF(UPPER(TRIM(Inputs!$B$23))="IDF_EQUATION",Inputs!$B$3/((W92+Inputs!$B$4)^Inputs!$B$5),INDEX(IDF_Station!$B$3:$G$11,IFERROR(MATCH(W92,IDF_Station!$A$3:$A$11,1),1),MATCH(Inputs!$B$24,IDF_Station!$B$2:$G$2,0))))</f>
        <v/>
      </c>
    </row>
    <row r="93">
      <c r="L93" s="28" t="n"/>
      <c r="M93" s="15">
        <f>IF(L93="","",IF(UPPER(TRIM(Inputs!$B$23))="IDF_EQUATION",Inputs!$B$3/((L93+Inputs!$B$4)^Inputs!$B$5),INDEX(IDF_Station!$B$3:$G$11,IFERROR(MATCH(L93,IDF_Station!$A$3:$A$11,1),1),MATCH(Inputs!$B$24,IDF_Station!$B$2:$G$2,0))))</f>
        <v/>
      </c>
      <c r="V93" s="28" t="n"/>
      <c r="W93" s="28" t="n"/>
      <c r="X93" s="15">
        <f>IF(W93="","",IF(UPPER(TRIM(Inputs!$B$23))="IDF_EQUATION",Inputs!$B$3/((W93+Inputs!$B$4)^Inputs!$B$5),INDEX(IDF_Station!$B$3:$G$11,IFERROR(MATCH(W93,IDF_Station!$A$3:$A$11,1),1),MATCH(Inputs!$B$24,IDF_Station!$B$2:$G$2,0))))</f>
        <v/>
      </c>
    </row>
    <row r="94">
      <c r="L94" s="28" t="n"/>
      <c r="M94" s="15">
        <f>IF(L94="","",IF(UPPER(TRIM(Inputs!$B$23))="IDF_EQUATION",Inputs!$B$3/((L94+Inputs!$B$4)^Inputs!$B$5),INDEX(IDF_Station!$B$3:$G$11,IFERROR(MATCH(L94,IDF_Station!$A$3:$A$11,1),1),MATCH(Inputs!$B$24,IDF_Station!$B$2:$G$2,0))))</f>
        <v/>
      </c>
      <c r="V94" s="28" t="n"/>
      <c r="W94" s="28" t="n"/>
      <c r="X94" s="15">
        <f>IF(W94="","",IF(UPPER(TRIM(Inputs!$B$23))="IDF_EQUATION",Inputs!$B$3/((W94+Inputs!$B$4)^Inputs!$B$5),INDEX(IDF_Station!$B$3:$G$11,IFERROR(MATCH(W94,IDF_Station!$A$3:$A$11,1),1),MATCH(Inputs!$B$24,IDF_Station!$B$2:$G$2,0))))</f>
        <v/>
      </c>
    </row>
    <row r="95">
      <c r="L95" s="28" t="n"/>
      <c r="M95" s="15">
        <f>IF(L95="","",IF(UPPER(TRIM(Inputs!$B$23))="IDF_EQUATION",Inputs!$B$3/((L95+Inputs!$B$4)^Inputs!$B$5),INDEX(IDF_Station!$B$3:$G$11,IFERROR(MATCH(L95,IDF_Station!$A$3:$A$11,1),1),MATCH(Inputs!$B$24,IDF_Station!$B$2:$G$2,0))))</f>
        <v/>
      </c>
      <c r="V95" s="28" t="n"/>
      <c r="W95" s="28" t="n"/>
      <c r="X95" s="15">
        <f>IF(W95="","",IF(UPPER(TRIM(Inputs!$B$23))="IDF_EQUATION",Inputs!$B$3/((W95+Inputs!$B$4)^Inputs!$B$5),INDEX(IDF_Station!$B$3:$G$11,IFERROR(MATCH(W95,IDF_Station!$A$3:$A$11,1),1),MATCH(Inputs!$B$24,IDF_Station!$B$2:$G$2,0))))</f>
        <v/>
      </c>
    </row>
    <row r="96">
      <c r="L96" s="28" t="n"/>
      <c r="M96" s="15">
        <f>IF(L96="","",IF(UPPER(TRIM(Inputs!$B$23))="IDF_EQUATION",Inputs!$B$3/((L96+Inputs!$B$4)^Inputs!$B$5),INDEX(IDF_Station!$B$3:$G$11,IFERROR(MATCH(L96,IDF_Station!$A$3:$A$11,1),1),MATCH(Inputs!$B$24,IDF_Station!$B$2:$G$2,0))))</f>
        <v/>
      </c>
      <c r="V96" s="28" t="n"/>
      <c r="W96" s="28" t="n"/>
      <c r="X96" s="15">
        <f>IF(W96="","",IF(UPPER(TRIM(Inputs!$B$23))="IDF_EQUATION",Inputs!$B$3/((W96+Inputs!$B$4)^Inputs!$B$5),INDEX(IDF_Station!$B$3:$G$11,IFERROR(MATCH(W96,IDF_Station!$A$3:$A$11,1),1),MATCH(Inputs!$B$24,IDF_Station!$B$2:$G$2,0))))</f>
        <v/>
      </c>
    </row>
    <row r="97">
      <c r="L97" s="28" t="n"/>
      <c r="M97" s="15">
        <f>IF(L97="","",IF(UPPER(TRIM(Inputs!$B$23))="IDF_EQUATION",Inputs!$B$3/((L97+Inputs!$B$4)^Inputs!$B$5),INDEX(IDF_Station!$B$3:$G$11,IFERROR(MATCH(L97,IDF_Station!$A$3:$A$11,1),1),MATCH(Inputs!$B$24,IDF_Station!$B$2:$G$2,0))))</f>
        <v/>
      </c>
      <c r="V97" s="28" t="n"/>
      <c r="W97" s="28" t="n"/>
      <c r="X97" s="15">
        <f>IF(W97="","",IF(UPPER(TRIM(Inputs!$B$23))="IDF_EQUATION",Inputs!$B$3/((W97+Inputs!$B$4)^Inputs!$B$5),INDEX(IDF_Station!$B$3:$G$11,IFERROR(MATCH(W97,IDF_Station!$A$3:$A$11,1),1),MATCH(Inputs!$B$24,IDF_Station!$B$2:$G$2,0))))</f>
        <v/>
      </c>
    </row>
    <row r="98">
      <c r="L98" s="28" t="n"/>
      <c r="M98" s="15">
        <f>IF(L98="","",IF(UPPER(TRIM(Inputs!$B$23))="IDF_EQUATION",Inputs!$B$3/((L98+Inputs!$B$4)^Inputs!$B$5),INDEX(IDF_Station!$B$3:$G$11,IFERROR(MATCH(L98,IDF_Station!$A$3:$A$11,1),1),MATCH(Inputs!$B$24,IDF_Station!$B$2:$G$2,0))))</f>
        <v/>
      </c>
      <c r="V98" s="28" t="n"/>
      <c r="W98" s="28" t="n"/>
      <c r="X98" s="15">
        <f>IF(W98="","",IF(UPPER(TRIM(Inputs!$B$23))="IDF_EQUATION",Inputs!$B$3/((W98+Inputs!$B$4)^Inputs!$B$5),INDEX(IDF_Station!$B$3:$G$11,IFERROR(MATCH(W98,IDF_Station!$A$3:$A$11,1),1),MATCH(Inputs!$B$24,IDF_Station!$B$2:$G$2,0))))</f>
        <v/>
      </c>
    </row>
    <row r="99">
      <c r="L99" s="28" t="n"/>
      <c r="M99" s="15">
        <f>IF(L99="","",IF(UPPER(TRIM(Inputs!$B$23))="IDF_EQUATION",Inputs!$B$3/((L99+Inputs!$B$4)^Inputs!$B$5),INDEX(IDF_Station!$B$3:$G$11,IFERROR(MATCH(L99,IDF_Station!$A$3:$A$11,1),1),MATCH(Inputs!$B$24,IDF_Station!$B$2:$G$2,0))))</f>
        <v/>
      </c>
      <c r="V99" s="28" t="n"/>
      <c r="W99" s="28" t="n"/>
      <c r="X99" s="15">
        <f>IF(W99="","",IF(UPPER(TRIM(Inputs!$B$23))="IDF_EQUATION",Inputs!$B$3/((W99+Inputs!$B$4)^Inputs!$B$5),INDEX(IDF_Station!$B$3:$G$11,IFERROR(MATCH(W99,IDF_Station!$A$3:$A$11,1),1),MATCH(Inputs!$B$24,IDF_Station!$B$2:$G$2,0))))</f>
        <v/>
      </c>
    </row>
    <row r="100">
      <c r="L100" s="28" t="n"/>
      <c r="M100" s="15">
        <f>IF(L100="","",IF(UPPER(TRIM(Inputs!$B$23))="IDF_EQUATION",Inputs!$B$3/((L100+Inputs!$B$4)^Inputs!$B$5),INDEX(IDF_Station!$B$3:$G$11,IFERROR(MATCH(L100,IDF_Station!$A$3:$A$11,1),1),MATCH(Inputs!$B$24,IDF_Station!$B$2:$G$2,0))))</f>
        <v/>
      </c>
      <c r="V100" s="28" t="n"/>
      <c r="W100" s="28" t="n"/>
      <c r="X100" s="15">
        <f>IF(W100="","",IF(UPPER(TRIM(Inputs!$B$23))="IDF_EQUATION",Inputs!$B$3/((W100+Inputs!$B$4)^Inputs!$B$5),INDEX(IDF_Station!$B$3:$G$11,IFERROR(MATCH(W100,IDF_Station!$A$3:$A$11,1),1),MATCH(Inputs!$B$24,IDF_Station!$B$2:$G$2,0))))</f>
        <v/>
      </c>
    </row>
    <row r="101">
      <c r="L101" s="28" t="n"/>
      <c r="M101" s="15">
        <f>IF(L101="","",IF(UPPER(TRIM(Inputs!$B$23))="IDF_EQUATION",Inputs!$B$3/((L101+Inputs!$B$4)^Inputs!$B$5),INDEX(IDF_Station!$B$3:$G$11,IFERROR(MATCH(L101,IDF_Station!$A$3:$A$11,1),1),MATCH(Inputs!$B$24,IDF_Station!$B$2:$G$2,0))))</f>
        <v/>
      </c>
      <c r="V101" s="28" t="n"/>
      <c r="W101" s="28" t="n"/>
      <c r="X101" s="15">
        <f>IF(W101="","",IF(UPPER(TRIM(Inputs!$B$23))="IDF_EQUATION",Inputs!$B$3/((W101+Inputs!$B$4)^Inputs!$B$5),INDEX(IDF_Station!$B$3:$G$11,IFERROR(MATCH(W101,IDF_Station!$A$3:$A$11,1),1),MATCH(Inputs!$B$24,IDF_Station!$B$2:$G$2,0))))</f>
        <v/>
      </c>
    </row>
    <row r="102">
      <c r="L102" s="28" t="n"/>
      <c r="M102" s="15">
        <f>IF(L102="","",IF(UPPER(TRIM(Inputs!$B$23))="IDF_EQUATION",Inputs!$B$3/((L102+Inputs!$B$4)^Inputs!$B$5),INDEX(IDF_Station!$B$3:$G$11,IFERROR(MATCH(L102,IDF_Station!$A$3:$A$11,1),1),MATCH(Inputs!$B$24,IDF_Station!$B$2:$G$2,0))))</f>
        <v/>
      </c>
      <c r="V102" s="28" t="n"/>
      <c r="W102" s="28" t="n"/>
      <c r="X102" s="15">
        <f>IF(W102="","",IF(UPPER(TRIM(Inputs!$B$23))="IDF_EQUATION",Inputs!$B$3/((W102+Inputs!$B$4)^Inputs!$B$5),INDEX(IDF_Station!$B$3:$G$11,IFERROR(MATCH(W102,IDF_Station!$A$3:$A$11,1),1),MATCH(Inputs!$B$24,IDF_Station!$B$2:$G$2,0))))</f>
        <v/>
      </c>
    </row>
    <row r="103">
      <c r="L103" s="28" t="n"/>
      <c r="M103" s="15">
        <f>IF(L103="","",IF(UPPER(TRIM(Inputs!$B$23))="IDF_EQUATION",Inputs!$B$3/((L103+Inputs!$B$4)^Inputs!$B$5),INDEX(IDF_Station!$B$3:$G$11,IFERROR(MATCH(L103,IDF_Station!$A$3:$A$11,1),1),MATCH(Inputs!$B$24,IDF_Station!$B$2:$G$2,0))))</f>
        <v/>
      </c>
      <c r="V103" s="28" t="n"/>
      <c r="W103" s="28" t="n"/>
      <c r="X103" s="15">
        <f>IF(W103="","",IF(UPPER(TRIM(Inputs!$B$23))="IDF_EQUATION",Inputs!$B$3/((W103+Inputs!$B$4)^Inputs!$B$5),INDEX(IDF_Station!$B$3:$G$11,IFERROR(MATCH(W103,IDF_Station!$A$3:$A$11,1),1),MATCH(Inputs!$B$24,IDF_Station!$B$2:$G$2,0))))</f>
        <v/>
      </c>
    </row>
    <row r="104">
      <c r="L104" s="28" t="n"/>
      <c r="M104" s="15">
        <f>IF(L104="","",IF(UPPER(TRIM(Inputs!$B$23))="IDF_EQUATION",Inputs!$B$3/((L104+Inputs!$B$4)^Inputs!$B$5),INDEX(IDF_Station!$B$3:$G$11,IFERROR(MATCH(L104,IDF_Station!$A$3:$A$11,1),1),MATCH(Inputs!$B$24,IDF_Station!$B$2:$G$2,0))))</f>
        <v/>
      </c>
      <c r="V104" s="28" t="n"/>
      <c r="W104" s="28" t="n"/>
      <c r="X104" s="15">
        <f>IF(W104="","",IF(UPPER(TRIM(Inputs!$B$23))="IDF_EQUATION",Inputs!$B$3/((W104+Inputs!$B$4)^Inputs!$B$5),INDEX(IDF_Station!$B$3:$G$11,IFERROR(MATCH(W104,IDF_Station!$A$3:$A$11,1),1),MATCH(Inputs!$B$24,IDF_Station!$B$2:$G$2,0))))</f>
        <v/>
      </c>
    </row>
    <row r="105">
      <c r="L105" s="28" t="n"/>
      <c r="M105" s="15">
        <f>IF(L105="","",IF(UPPER(TRIM(Inputs!$B$23))="IDF_EQUATION",Inputs!$B$3/((L105+Inputs!$B$4)^Inputs!$B$5),INDEX(IDF_Station!$B$3:$G$11,IFERROR(MATCH(L105,IDF_Station!$A$3:$A$11,1),1),MATCH(Inputs!$B$24,IDF_Station!$B$2:$G$2,0))))</f>
        <v/>
      </c>
      <c r="V105" s="28" t="n"/>
      <c r="W105" s="28" t="n"/>
      <c r="X105" s="15">
        <f>IF(W105="","",IF(UPPER(TRIM(Inputs!$B$23))="IDF_EQUATION",Inputs!$B$3/((W105+Inputs!$B$4)^Inputs!$B$5),INDEX(IDF_Station!$B$3:$G$11,IFERROR(MATCH(W105,IDF_Station!$A$3:$A$11,1),1),MATCH(Inputs!$B$24,IDF_Station!$B$2:$G$2,0))))</f>
        <v/>
      </c>
    </row>
    <row r="106">
      <c r="L106" s="28" t="n"/>
      <c r="M106" s="15">
        <f>IF(L106="","",IF(UPPER(TRIM(Inputs!$B$23))="IDF_EQUATION",Inputs!$B$3/((L106+Inputs!$B$4)^Inputs!$B$5),INDEX(IDF_Station!$B$3:$G$11,IFERROR(MATCH(L106,IDF_Station!$A$3:$A$11,1),1),MATCH(Inputs!$B$24,IDF_Station!$B$2:$G$2,0))))</f>
        <v/>
      </c>
      <c r="V106" s="28" t="n"/>
      <c r="W106" s="28" t="n"/>
      <c r="X106" s="15">
        <f>IF(W106="","",IF(UPPER(TRIM(Inputs!$B$23))="IDF_EQUATION",Inputs!$B$3/((W106+Inputs!$B$4)^Inputs!$B$5),INDEX(IDF_Station!$B$3:$G$11,IFERROR(MATCH(W106,IDF_Station!$A$3:$A$11,1),1),MATCH(Inputs!$B$24,IDF_Station!$B$2:$G$2,0))))</f>
        <v/>
      </c>
    </row>
    <row r="107">
      <c r="L107" s="28" t="n"/>
      <c r="M107" s="15">
        <f>IF(L107="","",IF(UPPER(TRIM(Inputs!$B$23))="IDF_EQUATION",Inputs!$B$3/((L107+Inputs!$B$4)^Inputs!$B$5),INDEX(IDF_Station!$B$3:$G$11,IFERROR(MATCH(L107,IDF_Station!$A$3:$A$11,1),1),MATCH(Inputs!$B$24,IDF_Station!$B$2:$G$2,0))))</f>
        <v/>
      </c>
      <c r="V107" s="28" t="n"/>
      <c r="W107" s="28" t="n"/>
      <c r="X107" s="15">
        <f>IF(W107="","",IF(UPPER(TRIM(Inputs!$B$23))="IDF_EQUATION",Inputs!$B$3/((W107+Inputs!$B$4)^Inputs!$B$5),INDEX(IDF_Station!$B$3:$G$11,IFERROR(MATCH(W107,IDF_Station!$A$3:$A$11,1),1),MATCH(Inputs!$B$24,IDF_Station!$B$2:$G$2,0))))</f>
        <v/>
      </c>
    </row>
    <row r="108">
      <c r="L108" s="28" t="n"/>
      <c r="M108" s="15">
        <f>IF(L108="","",IF(UPPER(TRIM(Inputs!$B$23))="IDF_EQUATION",Inputs!$B$3/((L108+Inputs!$B$4)^Inputs!$B$5),INDEX(IDF_Station!$B$3:$G$11,IFERROR(MATCH(L108,IDF_Station!$A$3:$A$11,1),1),MATCH(Inputs!$B$24,IDF_Station!$B$2:$G$2,0))))</f>
        <v/>
      </c>
      <c r="V108" s="28" t="n"/>
      <c r="W108" s="28" t="n"/>
      <c r="X108" s="15">
        <f>IF(W108="","",IF(UPPER(TRIM(Inputs!$B$23))="IDF_EQUATION",Inputs!$B$3/((W108+Inputs!$B$4)^Inputs!$B$5),INDEX(IDF_Station!$B$3:$G$11,IFERROR(MATCH(W108,IDF_Station!$A$3:$A$11,1),1),MATCH(Inputs!$B$24,IDF_Station!$B$2:$G$2,0))))</f>
        <v/>
      </c>
    </row>
    <row r="109">
      <c r="L109" s="28" t="n"/>
      <c r="M109" s="15">
        <f>IF(L109="","",IF(UPPER(TRIM(Inputs!$B$23))="IDF_EQUATION",Inputs!$B$3/((L109+Inputs!$B$4)^Inputs!$B$5),INDEX(IDF_Station!$B$3:$G$11,IFERROR(MATCH(L109,IDF_Station!$A$3:$A$11,1),1),MATCH(Inputs!$B$24,IDF_Station!$B$2:$G$2,0))))</f>
        <v/>
      </c>
      <c r="V109" s="28" t="n"/>
      <c r="W109" s="28" t="n"/>
      <c r="X109" s="15">
        <f>IF(W109="","",IF(UPPER(TRIM(Inputs!$B$23))="IDF_EQUATION",Inputs!$B$3/((W109+Inputs!$B$4)^Inputs!$B$5),INDEX(IDF_Station!$B$3:$G$11,IFERROR(MATCH(W109,IDF_Station!$A$3:$A$11,1),1),MATCH(Inputs!$B$24,IDF_Station!$B$2:$G$2,0))))</f>
        <v/>
      </c>
    </row>
    <row r="110">
      <c r="L110" s="28" t="n"/>
      <c r="M110" s="15">
        <f>IF(L110="","",IF(UPPER(TRIM(Inputs!$B$23))="IDF_EQUATION",Inputs!$B$3/((L110+Inputs!$B$4)^Inputs!$B$5),INDEX(IDF_Station!$B$3:$G$11,IFERROR(MATCH(L110,IDF_Station!$A$3:$A$11,1),1),MATCH(Inputs!$B$24,IDF_Station!$B$2:$G$2,0))))</f>
        <v/>
      </c>
      <c r="V110" s="28" t="n"/>
      <c r="W110" s="28" t="n"/>
      <c r="X110" s="15">
        <f>IF(W110="","",IF(UPPER(TRIM(Inputs!$B$23))="IDF_EQUATION",Inputs!$B$3/((W110+Inputs!$B$4)^Inputs!$B$5),INDEX(IDF_Station!$B$3:$G$11,IFERROR(MATCH(W110,IDF_Station!$A$3:$A$11,1),1),MATCH(Inputs!$B$24,IDF_Station!$B$2:$G$2,0))))</f>
        <v/>
      </c>
    </row>
    <row r="111">
      <c r="L111" s="28" t="n"/>
      <c r="M111" s="15">
        <f>IF(L111="","",IF(UPPER(TRIM(Inputs!$B$23))="IDF_EQUATION",Inputs!$B$3/((L111+Inputs!$B$4)^Inputs!$B$5),INDEX(IDF_Station!$B$3:$G$11,IFERROR(MATCH(L111,IDF_Station!$A$3:$A$11,1),1),MATCH(Inputs!$B$24,IDF_Station!$B$2:$G$2,0))))</f>
        <v/>
      </c>
      <c r="V111" s="28" t="n"/>
      <c r="W111" s="28" t="n"/>
      <c r="X111" s="15">
        <f>IF(W111="","",IF(UPPER(TRIM(Inputs!$B$23))="IDF_EQUATION",Inputs!$B$3/((W111+Inputs!$B$4)^Inputs!$B$5),INDEX(IDF_Station!$B$3:$G$11,IFERROR(MATCH(W111,IDF_Station!$A$3:$A$11,1),1),MATCH(Inputs!$B$24,IDF_Station!$B$2:$G$2,0))))</f>
        <v/>
      </c>
    </row>
    <row r="112">
      <c r="L112" s="28" t="n"/>
      <c r="M112" s="15">
        <f>IF(L112="","",IF(UPPER(TRIM(Inputs!$B$23))="IDF_EQUATION",Inputs!$B$3/((L112+Inputs!$B$4)^Inputs!$B$5),INDEX(IDF_Station!$B$3:$G$11,IFERROR(MATCH(L112,IDF_Station!$A$3:$A$11,1),1),MATCH(Inputs!$B$24,IDF_Station!$B$2:$G$2,0))))</f>
        <v/>
      </c>
      <c r="V112" s="28" t="n"/>
      <c r="W112" s="28" t="n"/>
      <c r="X112" s="15">
        <f>IF(W112="","",IF(UPPER(TRIM(Inputs!$B$23))="IDF_EQUATION",Inputs!$B$3/((W112+Inputs!$B$4)^Inputs!$B$5),INDEX(IDF_Station!$B$3:$G$11,IFERROR(MATCH(W112,IDF_Station!$A$3:$A$11,1),1),MATCH(Inputs!$B$24,IDF_Station!$B$2:$G$2,0))))</f>
        <v/>
      </c>
    </row>
    <row r="113">
      <c r="L113" s="28" t="n"/>
      <c r="M113" s="15">
        <f>IF(L113="","",IF(UPPER(TRIM(Inputs!$B$23))="IDF_EQUATION",Inputs!$B$3/((L113+Inputs!$B$4)^Inputs!$B$5),INDEX(IDF_Station!$B$3:$G$11,IFERROR(MATCH(L113,IDF_Station!$A$3:$A$11,1),1),MATCH(Inputs!$B$24,IDF_Station!$B$2:$G$2,0))))</f>
        <v/>
      </c>
      <c r="V113" s="28" t="n"/>
      <c r="W113" s="28" t="n"/>
      <c r="X113" s="15">
        <f>IF(W113="","",IF(UPPER(TRIM(Inputs!$B$23))="IDF_EQUATION",Inputs!$B$3/((W113+Inputs!$B$4)^Inputs!$B$5),INDEX(IDF_Station!$B$3:$G$11,IFERROR(MATCH(W113,IDF_Station!$A$3:$A$11,1),1),MATCH(Inputs!$B$24,IDF_Station!$B$2:$G$2,0))))</f>
        <v/>
      </c>
    </row>
    <row r="114">
      <c r="L114" s="28" t="n"/>
      <c r="M114" s="15">
        <f>IF(L114="","",IF(UPPER(TRIM(Inputs!$B$23))="IDF_EQUATION",Inputs!$B$3/((L114+Inputs!$B$4)^Inputs!$B$5),INDEX(IDF_Station!$B$3:$G$11,IFERROR(MATCH(L114,IDF_Station!$A$3:$A$11,1),1),MATCH(Inputs!$B$24,IDF_Station!$B$2:$G$2,0))))</f>
        <v/>
      </c>
      <c r="V114" s="28" t="n"/>
      <c r="W114" s="28" t="n"/>
      <c r="X114" s="15">
        <f>IF(W114="","",IF(UPPER(TRIM(Inputs!$B$23))="IDF_EQUATION",Inputs!$B$3/((W114+Inputs!$B$4)^Inputs!$B$5),INDEX(IDF_Station!$B$3:$G$11,IFERROR(MATCH(W114,IDF_Station!$A$3:$A$11,1),1),MATCH(Inputs!$B$24,IDF_Station!$B$2:$G$2,0))))</f>
        <v/>
      </c>
    </row>
    <row r="115">
      <c r="L115" s="28" t="n"/>
      <c r="M115" s="15">
        <f>IF(L115="","",IF(UPPER(TRIM(Inputs!$B$23))="IDF_EQUATION",Inputs!$B$3/((L115+Inputs!$B$4)^Inputs!$B$5),INDEX(IDF_Station!$B$3:$G$11,IFERROR(MATCH(L115,IDF_Station!$A$3:$A$11,1),1),MATCH(Inputs!$B$24,IDF_Station!$B$2:$G$2,0))))</f>
        <v/>
      </c>
      <c r="V115" s="28" t="n"/>
      <c r="W115" s="28" t="n"/>
      <c r="X115" s="15">
        <f>IF(W115="","",IF(UPPER(TRIM(Inputs!$B$23))="IDF_EQUATION",Inputs!$B$3/((W115+Inputs!$B$4)^Inputs!$B$5),INDEX(IDF_Station!$B$3:$G$11,IFERROR(MATCH(W115,IDF_Station!$A$3:$A$11,1),1),MATCH(Inputs!$B$24,IDF_Station!$B$2:$G$2,0))))</f>
        <v/>
      </c>
    </row>
    <row r="116">
      <c r="L116" s="28" t="n"/>
      <c r="M116" s="15">
        <f>IF(L116="","",IF(UPPER(TRIM(Inputs!$B$23))="IDF_EQUATION",Inputs!$B$3/((L116+Inputs!$B$4)^Inputs!$B$5),INDEX(IDF_Station!$B$3:$G$11,IFERROR(MATCH(L116,IDF_Station!$A$3:$A$11,1),1),MATCH(Inputs!$B$24,IDF_Station!$B$2:$G$2,0))))</f>
        <v/>
      </c>
      <c r="V116" s="28" t="n"/>
      <c r="W116" s="28" t="n"/>
      <c r="X116" s="15">
        <f>IF(W116="","",IF(UPPER(TRIM(Inputs!$B$23))="IDF_EQUATION",Inputs!$B$3/((W116+Inputs!$B$4)^Inputs!$B$5),INDEX(IDF_Station!$B$3:$G$11,IFERROR(MATCH(W116,IDF_Station!$A$3:$A$11,1),1),MATCH(Inputs!$B$24,IDF_Station!$B$2:$G$2,0))))</f>
        <v/>
      </c>
    </row>
    <row r="117">
      <c r="L117" s="28" t="n"/>
      <c r="M117" s="15">
        <f>IF(L117="","",IF(UPPER(TRIM(Inputs!$B$23))="IDF_EQUATION",Inputs!$B$3/((L117+Inputs!$B$4)^Inputs!$B$5),INDEX(IDF_Station!$B$3:$G$11,IFERROR(MATCH(L117,IDF_Station!$A$3:$A$11,1),1),MATCH(Inputs!$B$24,IDF_Station!$B$2:$G$2,0))))</f>
        <v/>
      </c>
      <c r="V117" s="28" t="n"/>
      <c r="W117" s="28" t="n"/>
      <c r="X117" s="15">
        <f>IF(W117="","",IF(UPPER(TRIM(Inputs!$B$23))="IDF_EQUATION",Inputs!$B$3/((W117+Inputs!$B$4)^Inputs!$B$5),INDEX(IDF_Station!$B$3:$G$11,IFERROR(MATCH(W117,IDF_Station!$A$3:$A$11,1),1),MATCH(Inputs!$B$24,IDF_Station!$B$2:$G$2,0))))</f>
        <v/>
      </c>
    </row>
    <row r="118">
      <c r="L118" s="28" t="n"/>
      <c r="M118" s="15">
        <f>IF(L118="","",IF(UPPER(TRIM(Inputs!$B$23))="IDF_EQUATION",Inputs!$B$3/((L118+Inputs!$B$4)^Inputs!$B$5),INDEX(IDF_Station!$B$3:$G$11,IFERROR(MATCH(L118,IDF_Station!$A$3:$A$11,1),1),MATCH(Inputs!$B$24,IDF_Station!$B$2:$G$2,0))))</f>
        <v/>
      </c>
      <c r="V118" s="28" t="n"/>
      <c r="W118" s="28" t="n"/>
      <c r="X118" s="15">
        <f>IF(W118="","",IF(UPPER(TRIM(Inputs!$B$23))="IDF_EQUATION",Inputs!$B$3/((W118+Inputs!$B$4)^Inputs!$B$5),INDEX(IDF_Station!$B$3:$G$11,IFERROR(MATCH(W118,IDF_Station!$A$3:$A$11,1),1),MATCH(Inputs!$B$24,IDF_Station!$B$2:$G$2,0))))</f>
        <v/>
      </c>
    </row>
    <row r="119">
      <c r="L119" s="28" t="n"/>
      <c r="M119" s="15">
        <f>IF(L119="","",IF(UPPER(TRIM(Inputs!$B$23))="IDF_EQUATION",Inputs!$B$3/((L119+Inputs!$B$4)^Inputs!$B$5),INDEX(IDF_Station!$B$3:$G$11,IFERROR(MATCH(L119,IDF_Station!$A$3:$A$11,1),1),MATCH(Inputs!$B$24,IDF_Station!$B$2:$G$2,0))))</f>
        <v/>
      </c>
      <c r="V119" s="28" t="n"/>
      <c r="W119" s="28" t="n"/>
      <c r="X119" s="15">
        <f>IF(W119="","",IF(UPPER(TRIM(Inputs!$B$23))="IDF_EQUATION",Inputs!$B$3/((W119+Inputs!$B$4)^Inputs!$B$5),INDEX(IDF_Station!$B$3:$G$11,IFERROR(MATCH(W119,IDF_Station!$A$3:$A$11,1),1),MATCH(Inputs!$B$24,IDF_Station!$B$2:$G$2,0))))</f>
        <v/>
      </c>
    </row>
    <row r="120">
      <c r="L120" s="28" t="n"/>
      <c r="M120" s="15">
        <f>IF(L120="","",IF(UPPER(TRIM(Inputs!$B$23))="IDF_EQUATION",Inputs!$B$3/((L120+Inputs!$B$4)^Inputs!$B$5),INDEX(IDF_Station!$B$3:$G$11,IFERROR(MATCH(L120,IDF_Station!$A$3:$A$11,1),1),MATCH(Inputs!$B$24,IDF_Station!$B$2:$G$2,0))))</f>
        <v/>
      </c>
      <c r="V120" s="28" t="n"/>
      <c r="W120" s="28" t="n"/>
      <c r="X120" s="15">
        <f>IF(W120="","",IF(UPPER(TRIM(Inputs!$B$23))="IDF_EQUATION",Inputs!$B$3/((W120+Inputs!$B$4)^Inputs!$B$5),INDEX(IDF_Station!$B$3:$G$11,IFERROR(MATCH(W120,IDF_Station!$A$3:$A$11,1),1),MATCH(Inputs!$B$24,IDF_Station!$B$2:$G$2,0))))</f>
        <v/>
      </c>
    </row>
    <row r="121">
      <c r="L121" s="28" t="n"/>
      <c r="M121" s="15">
        <f>IF(L121="","",IF(UPPER(TRIM(Inputs!$B$23))="IDF_EQUATION",Inputs!$B$3/((L121+Inputs!$B$4)^Inputs!$B$5),INDEX(IDF_Station!$B$3:$G$11,IFERROR(MATCH(L121,IDF_Station!$A$3:$A$11,1),1),MATCH(Inputs!$B$24,IDF_Station!$B$2:$G$2,0))))</f>
        <v/>
      </c>
      <c r="V121" s="28" t="n"/>
      <c r="W121" s="28" t="n"/>
      <c r="X121" s="15">
        <f>IF(W121="","",IF(UPPER(TRIM(Inputs!$B$23))="IDF_EQUATION",Inputs!$B$3/((W121+Inputs!$B$4)^Inputs!$B$5),INDEX(IDF_Station!$B$3:$G$11,IFERROR(MATCH(W121,IDF_Station!$A$3:$A$11,1),1),MATCH(Inputs!$B$24,IDF_Station!$B$2:$G$2,0))))</f>
        <v/>
      </c>
    </row>
    <row r="122">
      <c r="L122" s="28" t="n"/>
      <c r="M122" s="15">
        <f>IF(L122="","",IF(UPPER(TRIM(Inputs!$B$23))="IDF_EQUATION",Inputs!$B$3/((L122+Inputs!$B$4)^Inputs!$B$5),INDEX(IDF_Station!$B$3:$G$11,IFERROR(MATCH(L122,IDF_Station!$A$3:$A$11,1),1),MATCH(Inputs!$B$24,IDF_Station!$B$2:$G$2,0))))</f>
        <v/>
      </c>
      <c r="V122" s="28" t="n"/>
      <c r="W122" s="28" t="n"/>
      <c r="X122" s="15">
        <f>IF(W122="","",IF(UPPER(TRIM(Inputs!$B$23))="IDF_EQUATION",Inputs!$B$3/((W122+Inputs!$B$4)^Inputs!$B$5),INDEX(IDF_Station!$B$3:$G$11,IFERROR(MATCH(W122,IDF_Station!$A$3:$A$11,1),1),MATCH(Inputs!$B$24,IDF_Station!$B$2:$G$2,0))))</f>
        <v/>
      </c>
    </row>
    <row r="123">
      <c r="L123" s="28" t="n"/>
      <c r="M123" s="15">
        <f>IF(L123="","",IF(UPPER(TRIM(Inputs!$B$23))="IDF_EQUATION",Inputs!$B$3/((L123+Inputs!$B$4)^Inputs!$B$5),INDEX(IDF_Station!$B$3:$G$11,IFERROR(MATCH(L123,IDF_Station!$A$3:$A$11,1),1),MATCH(Inputs!$B$24,IDF_Station!$B$2:$G$2,0))))</f>
        <v/>
      </c>
      <c r="V123" s="28" t="n"/>
      <c r="W123" s="28" t="n"/>
      <c r="X123" s="15">
        <f>IF(W123="","",IF(UPPER(TRIM(Inputs!$B$23))="IDF_EQUATION",Inputs!$B$3/((W123+Inputs!$B$4)^Inputs!$B$5),INDEX(IDF_Station!$B$3:$G$11,IFERROR(MATCH(W123,IDF_Station!$A$3:$A$11,1),1),MATCH(Inputs!$B$24,IDF_Station!$B$2:$G$2,0))))</f>
        <v/>
      </c>
    </row>
    <row r="124">
      <c r="L124" s="28" t="n"/>
      <c r="M124" s="15">
        <f>IF(L124="","",IF(UPPER(TRIM(Inputs!$B$23))="IDF_EQUATION",Inputs!$B$3/((L124+Inputs!$B$4)^Inputs!$B$5),INDEX(IDF_Station!$B$3:$G$11,IFERROR(MATCH(L124,IDF_Station!$A$3:$A$11,1),1),MATCH(Inputs!$B$24,IDF_Station!$B$2:$G$2,0))))</f>
        <v/>
      </c>
      <c r="V124" s="28" t="n"/>
      <c r="W124" s="28" t="n"/>
      <c r="X124" s="15">
        <f>IF(W124="","",IF(UPPER(TRIM(Inputs!$B$23))="IDF_EQUATION",Inputs!$B$3/((W124+Inputs!$B$4)^Inputs!$B$5),INDEX(IDF_Station!$B$3:$G$11,IFERROR(MATCH(W124,IDF_Station!$A$3:$A$11,1),1),MATCH(Inputs!$B$24,IDF_Station!$B$2:$G$2,0))))</f>
        <v/>
      </c>
    </row>
    <row r="125">
      <c r="L125" s="28" t="n"/>
      <c r="M125" s="15">
        <f>IF(L125="","",IF(UPPER(TRIM(Inputs!$B$23))="IDF_EQUATION",Inputs!$B$3/((L125+Inputs!$B$4)^Inputs!$B$5),INDEX(IDF_Station!$B$3:$G$11,IFERROR(MATCH(L125,IDF_Station!$A$3:$A$11,1),1),MATCH(Inputs!$B$24,IDF_Station!$B$2:$G$2,0))))</f>
        <v/>
      </c>
      <c r="V125" s="28" t="n"/>
      <c r="W125" s="28" t="n"/>
      <c r="X125" s="15">
        <f>IF(W125="","",IF(UPPER(TRIM(Inputs!$B$23))="IDF_EQUATION",Inputs!$B$3/((W125+Inputs!$B$4)^Inputs!$B$5),INDEX(IDF_Station!$B$3:$G$11,IFERROR(MATCH(W125,IDF_Station!$A$3:$A$11,1),1),MATCH(Inputs!$B$24,IDF_Station!$B$2:$G$2,0))))</f>
        <v/>
      </c>
    </row>
    <row r="126">
      <c r="L126" s="28" t="n"/>
      <c r="M126" s="15">
        <f>IF(L126="","",IF(UPPER(TRIM(Inputs!$B$23))="IDF_EQUATION",Inputs!$B$3/((L126+Inputs!$B$4)^Inputs!$B$5),INDEX(IDF_Station!$B$3:$G$11,IFERROR(MATCH(L126,IDF_Station!$A$3:$A$11,1),1),MATCH(Inputs!$B$24,IDF_Station!$B$2:$G$2,0))))</f>
        <v/>
      </c>
      <c r="V126" s="28" t="n"/>
      <c r="W126" s="28" t="n"/>
      <c r="X126" s="15">
        <f>IF(W126="","",IF(UPPER(TRIM(Inputs!$B$23))="IDF_EQUATION",Inputs!$B$3/((W126+Inputs!$B$4)^Inputs!$B$5),INDEX(IDF_Station!$B$3:$G$11,IFERROR(MATCH(W126,IDF_Station!$A$3:$A$11,1),1),MATCH(Inputs!$B$24,IDF_Station!$B$2:$G$2,0))))</f>
        <v/>
      </c>
    </row>
    <row r="127">
      <c r="L127" s="28" t="n"/>
      <c r="M127" s="15">
        <f>IF(L127="","",IF(UPPER(TRIM(Inputs!$B$23))="IDF_EQUATION",Inputs!$B$3/((L127+Inputs!$B$4)^Inputs!$B$5),INDEX(IDF_Station!$B$3:$G$11,IFERROR(MATCH(L127,IDF_Station!$A$3:$A$11,1),1),MATCH(Inputs!$B$24,IDF_Station!$B$2:$G$2,0))))</f>
        <v/>
      </c>
      <c r="V127" s="28" t="n"/>
      <c r="W127" s="28" t="n"/>
      <c r="X127" s="15">
        <f>IF(W127="","",IF(UPPER(TRIM(Inputs!$B$23))="IDF_EQUATION",Inputs!$B$3/((W127+Inputs!$B$4)^Inputs!$B$5),INDEX(IDF_Station!$B$3:$G$11,IFERROR(MATCH(W127,IDF_Station!$A$3:$A$11,1),1),MATCH(Inputs!$B$24,IDF_Station!$B$2:$G$2,0))))</f>
        <v/>
      </c>
    </row>
    <row r="128">
      <c r="L128" s="28" t="n"/>
      <c r="M128" s="15">
        <f>IF(L128="","",IF(UPPER(TRIM(Inputs!$B$23))="IDF_EQUATION",Inputs!$B$3/((L128+Inputs!$B$4)^Inputs!$B$5),INDEX(IDF_Station!$B$3:$G$11,IFERROR(MATCH(L128,IDF_Station!$A$3:$A$11,1),1),MATCH(Inputs!$B$24,IDF_Station!$B$2:$G$2,0))))</f>
        <v/>
      </c>
      <c r="V128" s="28" t="n"/>
      <c r="W128" s="28" t="n"/>
      <c r="X128" s="15">
        <f>IF(W128="","",IF(UPPER(TRIM(Inputs!$B$23))="IDF_EQUATION",Inputs!$B$3/((W128+Inputs!$B$4)^Inputs!$B$5),INDEX(IDF_Station!$B$3:$G$11,IFERROR(MATCH(W128,IDF_Station!$A$3:$A$11,1),1),MATCH(Inputs!$B$24,IDF_Station!$B$2:$G$2,0))))</f>
        <v/>
      </c>
    </row>
    <row r="129">
      <c r="L129" s="28" t="n"/>
      <c r="M129" s="15">
        <f>IF(L129="","",IF(UPPER(TRIM(Inputs!$B$23))="IDF_EQUATION",Inputs!$B$3/((L129+Inputs!$B$4)^Inputs!$B$5),INDEX(IDF_Station!$B$3:$G$11,IFERROR(MATCH(L129,IDF_Station!$A$3:$A$11,1),1),MATCH(Inputs!$B$24,IDF_Station!$B$2:$G$2,0))))</f>
        <v/>
      </c>
      <c r="V129" s="28" t="n"/>
      <c r="W129" s="28" t="n"/>
      <c r="X129" s="15">
        <f>IF(W129="","",IF(UPPER(TRIM(Inputs!$B$23))="IDF_EQUATION",Inputs!$B$3/((W129+Inputs!$B$4)^Inputs!$B$5),INDEX(IDF_Station!$B$3:$G$11,IFERROR(MATCH(W129,IDF_Station!$A$3:$A$11,1),1),MATCH(Inputs!$B$24,IDF_Station!$B$2:$G$2,0))))</f>
        <v/>
      </c>
    </row>
    <row r="130">
      <c r="L130" s="28" t="n"/>
      <c r="M130" s="15">
        <f>IF(L130="","",IF(UPPER(TRIM(Inputs!$B$23))="IDF_EQUATION",Inputs!$B$3/((L130+Inputs!$B$4)^Inputs!$B$5),INDEX(IDF_Station!$B$3:$G$11,IFERROR(MATCH(L130,IDF_Station!$A$3:$A$11,1),1),MATCH(Inputs!$B$24,IDF_Station!$B$2:$G$2,0))))</f>
        <v/>
      </c>
      <c r="V130" s="28" t="n"/>
      <c r="W130" s="28" t="n"/>
      <c r="X130" s="15">
        <f>IF(W130="","",IF(UPPER(TRIM(Inputs!$B$23))="IDF_EQUATION",Inputs!$B$3/((W130+Inputs!$B$4)^Inputs!$B$5),INDEX(IDF_Station!$B$3:$G$11,IFERROR(MATCH(W130,IDF_Station!$A$3:$A$11,1),1),MATCH(Inputs!$B$24,IDF_Station!$B$2:$G$2,0))))</f>
        <v/>
      </c>
    </row>
    <row r="131">
      <c r="L131" s="28" t="n"/>
      <c r="M131" s="15">
        <f>IF(L131="","",IF(UPPER(TRIM(Inputs!$B$23))="IDF_EQUATION",Inputs!$B$3/((L131+Inputs!$B$4)^Inputs!$B$5),INDEX(IDF_Station!$B$3:$G$11,IFERROR(MATCH(L131,IDF_Station!$A$3:$A$11,1),1),MATCH(Inputs!$B$24,IDF_Station!$B$2:$G$2,0))))</f>
        <v/>
      </c>
      <c r="V131" s="28" t="n"/>
      <c r="W131" s="28" t="n"/>
      <c r="X131" s="15">
        <f>IF(W131="","",IF(UPPER(TRIM(Inputs!$B$23))="IDF_EQUATION",Inputs!$B$3/((W131+Inputs!$B$4)^Inputs!$B$5),INDEX(IDF_Station!$B$3:$G$11,IFERROR(MATCH(W131,IDF_Station!$A$3:$A$11,1),1),MATCH(Inputs!$B$24,IDF_Station!$B$2:$G$2,0))))</f>
        <v/>
      </c>
    </row>
    <row r="132">
      <c r="L132" s="28" t="n"/>
      <c r="M132" s="15">
        <f>IF(L132="","",IF(UPPER(TRIM(Inputs!$B$23))="IDF_EQUATION",Inputs!$B$3/((L132+Inputs!$B$4)^Inputs!$B$5),INDEX(IDF_Station!$B$3:$G$11,IFERROR(MATCH(L132,IDF_Station!$A$3:$A$11,1),1),MATCH(Inputs!$B$24,IDF_Station!$B$2:$G$2,0))))</f>
        <v/>
      </c>
      <c r="V132" s="28" t="n"/>
      <c r="W132" s="28" t="n"/>
      <c r="X132" s="15">
        <f>IF(W132="","",IF(UPPER(TRIM(Inputs!$B$23))="IDF_EQUATION",Inputs!$B$3/((W132+Inputs!$B$4)^Inputs!$B$5),INDEX(IDF_Station!$B$3:$G$11,IFERROR(MATCH(W132,IDF_Station!$A$3:$A$11,1),1),MATCH(Inputs!$B$24,IDF_Station!$B$2:$G$2,0))))</f>
        <v/>
      </c>
    </row>
    <row r="133">
      <c r="L133" s="28" t="n"/>
      <c r="M133" s="15">
        <f>IF(L133="","",IF(UPPER(TRIM(Inputs!$B$23))="IDF_EQUATION",Inputs!$B$3/((L133+Inputs!$B$4)^Inputs!$B$5),INDEX(IDF_Station!$B$3:$G$11,IFERROR(MATCH(L133,IDF_Station!$A$3:$A$11,1),1),MATCH(Inputs!$B$24,IDF_Station!$B$2:$G$2,0))))</f>
        <v/>
      </c>
      <c r="V133" s="28" t="n"/>
      <c r="W133" s="28" t="n"/>
      <c r="X133" s="15">
        <f>IF(W133="","",IF(UPPER(TRIM(Inputs!$B$23))="IDF_EQUATION",Inputs!$B$3/((W133+Inputs!$B$4)^Inputs!$B$5),INDEX(IDF_Station!$B$3:$G$11,IFERROR(MATCH(W133,IDF_Station!$A$3:$A$11,1),1),MATCH(Inputs!$B$24,IDF_Station!$B$2:$G$2,0))))</f>
        <v/>
      </c>
    </row>
    <row r="134">
      <c r="L134" s="28" t="n"/>
      <c r="M134" s="15">
        <f>IF(L134="","",IF(UPPER(TRIM(Inputs!$B$23))="IDF_EQUATION",Inputs!$B$3/((L134+Inputs!$B$4)^Inputs!$B$5),INDEX(IDF_Station!$B$3:$G$11,IFERROR(MATCH(L134,IDF_Station!$A$3:$A$11,1),1),MATCH(Inputs!$B$24,IDF_Station!$B$2:$G$2,0))))</f>
        <v/>
      </c>
      <c r="V134" s="28" t="n"/>
      <c r="W134" s="28" t="n"/>
      <c r="X134" s="15">
        <f>IF(W134="","",IF(UPPER(TRIM(Inputs!$B$23))="IDF_EQUATION",Inputs!$B$3/((W134+Inputs!$B$4)^Inputs!$B$5),INDEX(IDF_Station!$B$3:$G$11,IFERROR(MATCH(W134,IDF_Station!$A$3:$A$11,1),1),MATCH(Inputs!$B$24,IDF_Station!$B$2:$G$2,0))))</f>
        <v/>
      </c>
    </row>
    <row r="135">
      <c r="L135" s="28" t="n"/>
      <c r="M135" s="15">
        <f>IF(L135="","",IF(UPPER(TRIM(Inputs!$B$23))="IDF_EQUATION",Inputs!$B$3/((L135+Inputs!$B$4)^Inputs!$B$5),INDEX(IDF_Station!$B$3:$G$11,IFERROR(MATCH(L135,IDF_Station!$A$3:$A$11,1),1),MATCH(Inputs!$B$24,IDF_Station!$B$2:$G$2,0))))</f>
        <v/>
      </c>
      <c r="V135" s="28" t="n"/>
      <c r="W135" s="28" t="n"/>
      <c r="X135" s="15">
        <f>IF(W135="","",IF(UPPER(TRIM(Inputs!$B$23))="IDF_EQUATION",Inputs!$B$3/((W135+Inputs!$B$4)^Inputs!$B$5),INDEX(IDF_Station!$B$3:$G$11,IFERROR(MATCH(W135,IDF_Station!$A$3:$A$11,1),1),MATCH(Inputs!$B$24,IDF_Station!$B$2:$G$2,0))))</f>
        <v/>
      </c>
    </row>
    <row r="136">
      <c r="L136" s="28" t="n"/>
      <c r="M136" s="15">
        <f>IF(L136="","",IF(UPPER(TRIM(Inputs!$B$23))="IDF_EQUATION",Inputs!$B$3/((L136+Inputs!$B$4)^Inputs!$B$5),INDEX(IDF_Station!$B$3:$G$11,IFERROR(MATCH(L136,IDF_Station!$A$3:$A$11,1),1),MATCH(Inputs!$B$24,IDF_Station!$B$2:$G$2,0))))</f>
        <v/>
      </c>
      <c r="V136" s="28" t="n"/>
      <c r="W136" s="28" t="n"/>
      <c r="X136" s="15">
        <f>IF(W136="","",IF(UPPER(TRIM(Inputs!$B$23))="IDF_EQUATION",Inputs!$B$3/((W136+Inputs!$B$4)^Inputs!$B$5),INDEX(IDF_Station!$B$3:$G$11,IFERROR(MATCH(W136,IDF_Station!$A$3:$A$11,1),1),MATCH(Inputs!$B$24,IDF_Station!$B$2:$G$2,0))))</f>
        <v/>
      </c>
    </row>
    <row r="137">
      <c r="L137" s="28" t="n"/>
      <c r="M137" s="15">
        <f>IF(L137="","",IF(UPPER(TRIM(Inputs!$B$23))="IDF_EQUATION",Inputs!$B$3/((L137+Inputs!$B$4)^Inputs!$B$5),INDEX(IDF_Station!$B$3:$G$11,IFERROR(MATCH(L137,IDF_Station!$A$3:$A$11,1),1),MATCH(Inputs!$B$24,IDF_Station!$B$2:$G$2,0))))</f>
        <v/>
      </c>
      <c r="V137" s="28" t="n"/>
      <c r="W137" s="28" t="n"/>
      <c r="X137" s="15">
        <f>IF(W137="","",IF(UPPER(TRIM(Inputs!$B$23))="IDF_EQUATION",Inputs!$B$3/((W137+Inputs!$B$4)^Inputs!$B$5),INDEX(IDF_Station!$B$3:$G$11,IFERROR(MATCH(W137,IDF_Station!$A$3:$A$11,1),1),MATCH(Inputs!$B$24,IDF_Station!$B$2:$G$2,0))))</f>
        <v/>
      </c>
    </row>
    <row r="138">
      <c r="L138" s="28" t="n"/>
      <c r="M138" s="15">
        <f>IF(L138="","",IF(UPPER(TRIM(Inputs!$B$23))="IDF_EQUATION",Inputs!$B$3/((L138+Inputs!$B$4)^Inputs!$B$5),INDEX(IDF_Station!$B$3:$G$11,IFERROR(MATCH(L138,IDF_Station!$A$3:$A$11,1),1),MATCH(Inputs!$B$24,IDF_Station!$B$2:$G$2,0))))</f>
        <v/>
      </c>
      <c r="V138" s="28" t="n"/>
      <c r="W138" s="28" t="n"/>
      <c r="X138" s="15">
        <f>IF(W138="","",IF(UPPER(TRIM(Inputs!$B$23))="IDF_EQUATION",Inputs!$B$3/((W138+Inputs!$B$4)^Inputs!$B$5),INDEX(IDF_Station!$B$3:$G$11,IFERROR(MATCH(W138,IDF_Station!$A$3:$A$11,1),1),MATCH(Inputs!$B$24,IDF_Station!$B$2:$G$2,0))))</f>
        <v/>
      </c>
    </row>
    <row r="139">
      <c r="L139" s="28" t="n"/>
      <c r="M139" s="15">
        <f>IF(L139="","",IF(UPPER(TRIM(Inputs!$B$23))="IDF_EQUATION",Inputs!$B$3/((L139+Inputs!$B$4)^Inputs!$B$5),INDEX(IDF_Station!$B$3:$G$11,IFERROR(MATCH(L139,IDF_Station!$A$3:$A$11,1),1),MATCH(Inputs!$B$24,IDF_Station!$B$2:$G$2,0))))</f>
        <v/>
      </c>
      <c r="V139" s="28" t="n"/>
      <c r="W139" s="28" t="n"/>
      <c r="X139" s="15">
        <f>IF(W139="","",IF(UPPER(TRIM(Inputs!$B$23))="IDF_EQUATION",Inputs!$B$3/((W139+Inputs!$B$4)^Inputs!$B$5),INDEX(IDF_Station!$B$3:$G$11,IFERROR(MATCH(W139,IDF_Station!$A$3:$A$11,1),1),MATCH(Inputs!$B$24,IDF_Station!$B$2:$G$2,0))))</f>
        <v/>
      </c>
    </row>
    <row r="140">
      <c r="L140" s="28" t="n"/>
      <c r="M140" s="15">
        <f>IF(L140="","",IF(UPPER(TRIM(Inputs!$B$23))="IDF_EQUATION",Inputs!$B$3/((L140+Inputs!$B$4)^Inputs!$B$5),INDEX(IDF_Station!$B$3:$G$11,IFERROR(MATCH(L140,IDF_Station!$A$3:$A$11,1),1),MATCH(Inputs!$B$24,IDF_Station!$B$2:$G$2,0))))</f>
        <v/>
      </c>
      <c r="V140" s="28" t="n"/>
      <c r="W140" s="28" t="n"/>
      <c r="X140" s="15">
        <f>IF(W140="","",IF(UPPER(TRIM(Inputs!$B$23))="IDF_EQUATION",Inputs!$B$3/((W140+Inputs!$B$4)^Inputs!$B$5),INDEX(IDF_Station!$B$3:$G$11,IFERROR(MATCH(W140,IDF_Station!$A$3:$A$11,1),1),MATCH(Inputs!$B$24,IDF_Station!$B$2:$G$2,0))))</f>
        <v/>
      </c>
    </row>
    <row r="141">
      <c r="L141" s="28" t="n"/>
      <c r="M141" s="15">
        <f>IF(L141="","",IF(UPPER(TRIM(Inputs!$B$23))="IDF_EQUATION",Inputs!$B$3/((L141+Inputs!$B$4)^Inputs!$B$5),INDEX(IDF_Station!$B$3:$G$11,IFERROR(MATCH(L141,IDF_Station!$A$3:$A$11,1),1),MATCH(Inputs!$B$24,IDF_Station!$B$2:$G$2,0))))</f>
        <v/>
      </c>
      <c r="V141" s="28" t="n"/>
      <c r="W141" s="28" t="n"/>
      <c r="X141" s="15">
        <f>IF(W141="","",IF(UPPER(TRIM(Inputs!$B$23))="IDF_EQUATION",Inputs!$B$3/((W141+Inputs!$B$4)^Inputs!$B$5),INDEX(IDF_Station!$B$3:$G$11,IFERROR(MATCH(W141,IDF_Station!$A$3:$A$11,1),1),MATCH(Inputs!$B$24,IDF_Station!$B$2:$G$2,0))))</f>
        <v/>
      </c>
    </row>
    <row r="142">
      <c r="L142" s="28" t="n"/>
      <c r="M142" s="15">
        <f>IF(L142="","",IF(UPPER(TRIM(Inputs!$B$23))="IDF_EQUATION",Inputs!$B$3/((L142+Inputs!$B$4)^Inputs!$B$5),INDEX(IDF_Station!$B$3:$G$11,IFERROR(MATCH(L142,IDF_Station!$A$3:$A$11,1),1),MATCH(Inputs!$B$24,IDF_Station!$B$2:$G$2,0))))</f>
        <v/>
      </c>
      <c r="V142" s="28" t="n"/>
      <c r="W142" s="28" t="n"/>
      <c r="X142" s="15">
        <f>IF(W142="","",IF(UPPER(TRIM(Inputs!$B$23))="IDF_EQUATION",Inputs!$B$3/((W142+Inputs!$B$4)^Inputs!$B$5),INDEX(IDF_Station!$B$3:$G$11,IFERROR(MATCH(W142,IDF_Station!$A$3:$A$11,1),1),MATCH(Inputs!$B$24,IDF_Station!$B$2:$G$2,0))))</f>
        <v/>
      </c>
    </row>
    <row r="143">
      <c r="L143" s="28" t="n"/>
      <c r="M143" s="15">
        <f>IF(L143="","",IF(UPPER(TRIM(Inputs!$B$23))="IDF_EQUATION",Inputs!$B$3/((L143+Inputs!$B$4)^Inputs!$B$5),INDEX(IDF_Station!$B$3:$G$11,IFERROR(MATCH(L143,IDF_Station!$A$3:$A$11,1),1),MATCH(Inputs!$B$24,IDF_Station!$B$2:$G$2,0))))</f>
        <v/>
      </c>
      <c r="V143" s="28" t="n"/>
      <c r="W143" s="28" t="n"/>
      <c r="X143" s="15">
        <f>IF(W143="","",IF(UPPER(TRIM(Inputs!$B$23))="IDF_EQUATION",Inputs!$B$3/((W143+Inputs!$B$4)^Inputs!$B$5),INDEX(IDF_Station!$B$3:$G$11,IFERROR(MATCH(W143,IDF_Station!$A$3:$A$11,1),1),MATCH(Inputs!$B$24,IDF_Station!$B$2:$G$2,0))))</f>
        <v/>
      </c>
    </row>
    <row r="144">
      <c r="L144" s="28" t="n"/>
      <c r="M144" s="15">
        <f>IF(L144="","",IF(UPPER(TRIM(Inputs!$B$23))="IDF_EQUATION",Inputs!$B$3/((L144+Inputs!$B$4)^Inputs!$B$5),INDEX(IDF_Station!$B$3:$G$11,IFERROR(MATCH(L144,IDF_Station!$A$3:$A$11,1),1),MATCH(Inputs!$B$24,IDF_Station!$B$2:$G$2,0))))</f>
        <v/>
      </c>
      <c r="V144" s="28" t="n"/>
      <c r="W144" s="28" t="n"/>
      <c r="X144" s="15">
        <f>IF(W144="","",IF(UPPER(TRIM(Inputs!$B$23))="IDF_EQUATION",Inputs!$B$3/((W144+Inputs!$B$4)^Inputs!$B$5),INDEX(IDF_Station!$B$3:$G$11,IFERROR(MATCH(W144,IDF_Station!$A$3:$A$11,1),1),MATCH(Inputs!$B$24,IDF_Station!$B$2:$G$2,0))))</f>
        <v/>
      </c>
    </row>
    <row r="145">
      <c r="L145" s="28" t="n"/>
      <c r="M145" s="15">
        <f>IF(L145="","",IF(UPPER(TRIM(Inputs!$B$23))="IDF_EQUATION",Inputs!$B$3/((L145+Inputs!$B$4)^Inputs!$B$5),INDEX(IDF_Station!$B$3:$G$11,IFERROR(MATCH(L145,IDF_Station!$A$3:$A$11,1),1),MATCH(Inputs!$B$24,IDF_Station!$B$2:$G$2,0))))</f>
        <v/>
      </c>
      <c r="V145" s="28" t="n"/>
      <c r="W145" s="28" t="n"/>
      <c r="X145" s="15">
        <f>IF(W145="","",IF(UPPER(TRIM(Inputs!$B$23))="IDF_EQUATION",Inputs!$B$3/((W145+Inputs!$B$4)^Inputs!$B$5),INDEX(IDF_Station!$B$3:$G$11,IFERROR(MATCH(W145,IDF_Station!$A$3:$A$11,1),1),MATCH(Inputs!$B$24,IDF_Station!$B$2:$G$2,0))))</f>
        <v/>
      </c>
    </row>
    <row r="146">
      <c r="L146" s="28" t="n"/>
      <c r="M146" s="15">
        <f>IF(L146="","",IF(UPPER(TRIM(Inputs!$B$23))="IDF_EQUATION",Inputs!$B$3/((L146+Inputs!$B$4)^Inputs!$B$5),INDEX(IDF_Station!$B$3:$G$11,IFERROR(MATCH(L146,IDF_Station!$A$3:$A$11,1),1),MATCH(Inputs!$B$24,IDF_Station!$B$2:$G$2,0))))</f>
        <v/>
      </c>
      <c r="V146" s="28" t="n"/>
      <c r="W146" s="28" t="n"/>
      <c r="X146" s="15">
        <f>IF(W146="","",IF(UPPER(TRIM(Inputs!$B$23))="IDF_EQUATION",Inputs!$B$3/((W146+Inputs!$B$4)^Inputs!$B$5),INDEX(IDF_Station!$B$3:$G$11,IFERROR(MATCH(W146,IDF_Station!$A$3:$A$11,1),1),MATCH(Inputs!$B$24,IDF_Station!$B$2:$G$2,0))))</f>
        <v/>
      </c>
    </row>
    <row r="147">
      <c r="L147" s="28" t="n"/>
      <c r="M147" s="15">
        <f>IF(L147="","",IF(UPPER(TRIM(Inputs!$B$23))="IDF_EQUATION",Inputs!$B$3/((L147+Inputs!$B$4)^Inputs!$B$5),INDEX(IDF_Station!$B$3:$G$11,IFERROR(MATCH(L147,IDF_Station!$A$3:$A$11,1),1),MATCH(Inputs!$B$24,IDF_Station!$B$2:$G$2,0))))</f>
        <v/>
      </c>
      <c r="V147" s="28" t="n"/>
      <c r="W147" s="28" t="n"/>
      <c r="X147" s="15">
        <f>IF(W147="","",IF(UPPER(TRIM(Inputs!$B$23))="IDF_EQUATION",Inputs!$B$3/((W147+Inputs!$B$4)^Inputs!$B$5),INDEX(IDF_Station!$B$3:$G$11,IFERROR(MATCH(W147,IDF_Station!$A$3:$A$11,1),1),MATCH(Inputs!$B$24,IDF_Station!$B$2:$G$2,0))))</f>
        <v/>
      </c>
    </row>
    <row r="148">
      <c r="L148" s="28" t="n"/>
      <c r="M148" s="15">
        <f>IF(L148="","",IF(UPPER(TRIM(Inputs!$B$23))="IDF_EQUATION",Inputs!$B$3/((L148+Inputs!$B$4)^Inputs!$B$5),INDEX(IDF_Station!$B$3:$G$11,IFERROR(MATCH(L148,IDF_Station!$A$3:$A$11,1),1),MATCH(Inputs!$B$24,IDF_Station!$B$2:$G$2,0))))</f>
        <v/>
      </c>
      <c r="V148" s="28" t="n"/>
      <c r="W148" s="28" t="n"/>
      <c r="X148" s="15">
        <f>IF(W148="","",IF(UPPER(TRIM(Inputs!$B$23))="IDF_EQUATION",Inputs!$B$3/((W148+Inputs!$B$4)^Inputs!$B$5),INDEX(IDF_Station!$B$3:$G$11,IFERROR(MATCH(W148,IDF_Station!$A$3:$A$11,1),1),MATCH(Inputs!$B$24,IDF_Station!$B$2:$G$2,0))))</f>
        <v/>
      </c>
    </row>
    <row r="149">
      <c r="L149" s="28" t="n"/>
      <c r="M149" s="15">
        <f>IF(L149="","",IF(UPPER(TRIM(Inputs!$B$23))="IDF_EQUATION",Inputs!$B$3/((L149+Inputs!$B$4)^Inputs!$B$5),INDEX(IDF_Station!$B$3:$G$11,IFERROR(MATCH(L149,IDF_Station!$A$3:$A$11,1),1),MATCH(Inputs!$B$24,IDF_Station!$B$2:$G$2,0))))</f>
        <v/>
      </c>
      <c r="V149" s="28" t="n"/>
      <c r="W149" s="28" t="n"/>
      <c r="X149" s="15">
        <f>IF(W149="","",IF(UPPER(TRIM(Inputs!$B$23))="IDF_EQUATION",Inputs!$B$3/((W149+Inputs!$B$4)^Inputs!$B$5),INDEX(IDF_Station!$B$3:$G$11,IFERROR(MATCH(W149,IDF_Station!$A$3:$A$11,1),1),MATCH(Inputs!$B$24,IDF_Station!$B$2:$G$2,0))))</f>
        <v/>
      </c>
    </row>
    <row r="150">
      <c r="L150" s="28" t="n"/>
      <c r="M150" s="15">
        <f>IF(L150="","",IF(UPPER(TRIM(Inputs!$B$23))="IDF_EQUATION",Inputs!$B$3/((L150+Inputs!$B$4)^Inputs!$B$5),INDEX(IDF_Station!$B$3:$G$11,IFERROR(MATCH(L150,IDF_Station!$A$3:$A$11,1),1),MATCH(Inputs!$B$24,IDF_Station!$B$2:$G$2,0))))</f>
        <v/>
      </c>
      <c r="V150" s="28" t="n"/>
      <c r="W150" s="28" t="n"/>
      <c r="X150" s="15">
        <f>IF(W150="","",IF(UPPER(TRIM(Inputs!$B$23))="IDF_EQUATION",Inputs!$B$3/((W150+Inputs!$B$4)^Inputs!$B$5),INDEX(IDF_Station!$B$3:$G$11,IFERROR(MATCH(W150,IDF_Station!$A$3:$A$11,1),1),MATCH(Inputs!$B$24,IDF_Station!$B$2:$G$2,0))))</f>
        <v/>
      </c>
    </row>
    <row r="151">
      <c r="L151" s="28" t="n"/>
      <c r="M151" s="15">
        <f>IF(L151="","",IF(UPPER(TRIM(Inputs!$B$23))="IDF_EQUATION",Inputs!$B$3/((L151+Inputs!$B$4)^Inputs!$B$5),INDEX(IDF_Station!$B$3:$G$11,IFERROR(MATCH(L151,IDF_Station!$A$3:$A$11,1),1),MATCH(Inputs!$B$24,IDF_Station!$B$2:$G$2,0))))</f>
        <v/>
      </c>
      <c r="V151" s="28" t="n"/>
      <c r="W151" s="28" t="n"/>
      <c r="X151" s="15">
        <f>IF(W151="","",IF(UPPER(TRIM(Inputs!$B$23))="IDF_EQUATION",Inputs!$B$3/((W151+Inputs!$B$4)^Inputs!$B$5),INDEX(IDF_Station!$B$3:$G$11,IFERROR(MATCH(W151,IDF_Station!$A$3:$A$11,1),1),MATCH(Inputs!$B$24,IDF_Station!$B$2:$G$2,0))))</f>
        <v/>
      </c>
    </row>
    <row r="152">
      <c r="L152" s="28" t="n"/>
      <c r="M152" s="15">
        <f>IF(L152="","",IF(UPPER(TRIM(Inputs!$B$23))="IDF_EQUATION",Inputs!$B$3/((L152+Inputs!$B$4)^Inputs!$B$5),INDEX(IDF_Station!$B$3:$G$11,IFERROR(MATCH(L152,IDF_Station!$A$3:$A$11,1),1),MATCH(Inputs!$B$24,IDF_Station!$B$2:$G$2,0))))</f>
        <v/>
      </c>
      <c r="V152" s="28" t="n"/>
      <c r="W152" s="28" t="n"/>
      <c r="X152" s="15">
        <f>IF(W152="","",IF(UPPER(TRIM(Inputs!$B$23))="IDF_EQUATION",Inputs!$B$3/((W152+Inputs!$B$4)^Inputs!$B$5),INDEX(IDF_Station!$B$3:$G$11,IFERROR(MATCH(W152,IDF_Station!$A$3:$A$11,1),1),MATCH(Inputs!$B$24,IDF_Station!$B$2:$G$2,0))))</f>
        <v/>
      </c>
    </row>
    <row r="153">
      <c r="L153" s="28" t="n"/>
      <c r="M153" s="15">
        <f>IF(L153="","",IF(UPPER(TRIM(Inputs!$B$23))="IDF_EQUATION",Inputs!$B$3/((L153+Inputs!$B$4)^Inputs!$B$5),INDEX(IDF_Station!$B$3:$G$11,IFERROR(MATCH(L153,IDF_Station!$A$3:$A$11,1),1),MATCH(Inputs!$B$24,IDF_Station!$B$2:$G$2,0))))</f>
        <v/>
      </c>
      <c r="V153" s="28" t="n"/>
      <c r="W153" s="28" t="n"/>
      <c r="X153" s="15">
        <f>IF(W153="","",IF(UPPER(TRIM(Inputs!$B$23))="IDF_EQUATION",Inputs!$B$3/((W153+Inputs!$B$4)^Inputs!$B$5),INDEX(IDF_Station!$B$3:$G$11,IFERROR(MATCH(W153,IDF_Station!$A$3:$A$11,1),1),MATCH(Inputs!$B$24,IDF_Station!$B$2:$G$2,0))))</f>
        <v/>
      </c>
    </row>
    <row r="154">
      <c r="L154" s="28" t="n"/>
      <c r="M154" s="15">
        <f>IF(L154="","",IF(UPPER(TRIM(Inputs!$B$23))="IDF_EQUATION",Inputs!$B$3/((L154+Inputs!$B$4)^Inputs!$B$5),INDEX(IDF_Station!$B$3:$G$11,IFERROR(MATCH(L154,IDF_Station!$A$3:$A$11,1),1),MATCH(Inputs!$B$24,IDF_Station!$B$2:$G$2,0))))</f>
        <v/>
      </c>
      <c r="V154" s="28" t="n"/>
      <c r="W154" s="28" t="n"/>
      <c r="X154" s="15">
        <f>IF(W154="","",IF(UPPER(TRIM(Inputs!$B$23))="IDF_EQUATION",Inputs!$B$3/((W154+Inputs!$B$4)^Inputs!$B$5),INDEX(IDF_Station!$B$3:$G$11,IFERROR(MATCH(W154,IDF_Station!$A$3:$A$11,1),1),MATCH(Inputs!$B$24,IDF_Station!$B$2:$G$2,0))))</f>
        <v/>
      </c>
    </row>
    <row r="155">
      <c r="L155" s="28" t="n"/>
      <c r="M155" s="15">
        <f>IF(L155="","",IF(UPPER(TRIM(Inputs!$B$23))="IDF_EQUATION",Inputs!$B$3/((L155+Inputs!$B$4)^Inputs!$B$5),INDEX(IDF_Station!$B$3:$G$11,IFERROR(MATCH(L155,IDF_Station!$A$3:$A$11,1),1),MATCH(Inputs!$B$24,IDF_Station!$B$2:$G$2,0))))</f>
        <v/>
      </c>
      <c r="V155" s="28" t="n"/>
      <c r="W155" s="28" t="n"/>
      <c r="X155" s="15">
        <f>IF(W155="","",IF(UPPER(TRIM(Inputs!$B$23))="IDF_EQUATION",Inputs!$B$3/((W155+Inputs!$B$4)^Inputs!$B$5),INDEX(IDF_Station!$B$3:$G$11,IFERROR(MATCH(W155,IDF_Station!$A$3:$A$11,1),1),MATCH(Inputs!$B$24,IDF_Station!$B$2:$G$2,0))))</f>
        <v/>
      </c>
    </row>
    <row r="156">
      <c r="L156" s="28" t="n"/>
      <c r="M156" s="15">
        <f>IF(L156="","",IF(UPPER(TRIM(Inputs!$B$23))="IDF_EQUATION",Inputs!$B$3/((L156+Inputs!$B$4)^Inputs!$B$5),INDEX(IDF_Station!$B$3:$G$11,IFERROR(MATCH(L156,IDF_Station!$A$3:$A$11,1),1),MATCH(Inputs!$B$24,IDF_Station!$B$2:$G$2,0))))</f>
        <v/>
      </c>
      <c r="V156" s="28" t="n"/>
      <c r="W156" s="28" t="n"/>
      <c r="X156" s="15">
        <f>IF(W156="","",IF(UPPER(TRIM(Inputs!$B$23))="IDF_EQUATION",Inputs!$B$3/((W156+Inputs!$B$4)^Inputs!$B$5),INDEX(IDF_Station!$B$3:$G$11,IFERROR(MATCH(W156,IDF_Station!$A$3:$A$11,1),1),MATCH(Inputs!$B$24,IDF_Station!$B$2:$G$2,0))))</f>
        <v/>
      </c>
    </row>
    <row r="157">
      <c r="L157" s="28" t="n"/>
      <c r="M157" s="15">
        <f>IF(L157="","",IF(UPPER(TRIM(Inputs!$B$23))="IDF_EQUATION",Inputs!$B$3/((L157+Inputs!$B$4)^Inputs!$B$5),INDEX(IDF_Station!$B$3:$G$11,IFERROR(MATCH(L157,IDF_Station!$A$3:$A$11,1),1),MATCH(Inputs!$B$24,IDF_Station!$B$2:$G$2,0))))</f>
        <v/>
      </c>
      <c r="V157" s="28" t="n"/>
      <c r="W157" s="28" t="n"/>
      <c r="X157" s="15">
        <f>IF(W157="","",IF(UPPER(TRIM(Inputs!$B$23))="IDF_EQUATION",Inputs!$B$3/((W157+Inputs!$B$4)^Inputs!$B$5),INDEX(IDF_Station!$B$3:$G$11,IFERROR(MATCH(W157,IDF_Station!$A$3:$A$11,1),1),MATCH(Inputs!$B$24,IDF_Station!$B$2:$G$2,0))))</f>
        <v/>
      </c>
    </row>
    <row r="158">
      <c r="L158" s="28" t="n"/>
      <c r="M158" s="15">
        <f>IF(L158="","",IF(UPPER(TRIM(Inputs!$B$23))="IDF_EQUATION",Inputs!$B$3/((L158+Inputs!$B$4)^Inputs!$B$5),INDEX(IDF_Station!$B$3:$G$11,IFERROR(MATCH(L158,IDF_Station!$A$3:$A$11,1),1),MATCH(Inputs!$B$24,IDF_Station!$B$2:$G$2,0))))</f>
        <v/>
      </c>
      <c r="V158" s="28" t="n"/>
      <c r="W158" s="28" t="n"/>
      <c r="X158" s="15">
        <f>IF(W158="","",IF(UPPER(TRIM(Inputs!$B$23))="IDF_EQUATION",Inputs!$B$3/((W158+Inputs!$B$4)^Inputs!$B$5),INDEX(IDF_Station!$B$3:$G$11,IFERROR(MATCH(W158,IDF_Station!$A$3:$A$11,1),1),MATCH(Inputs!$B$24,IDF_Station!$B$2:$G$2,0))))</f>
        <v/>
      </c>
    </row>
    <row r="159">
      <c r="L159" s="28" t="n"/>
      <c r="M159" s="15">
        <f>IF(L159="","",IF(UPPER(TRIM(Inputs!$B$23))="IDF_EQUATION",Inputs!$B$3/((L159+Inputs!$B$4)^Inputs!$B$5),INDEX(IDF_Station!$B$3:$G$11,IFERROR(MATCH(L159,IDF_Station!$A$3:$A$11,1),1),MATCH(Inputs!$B$24,IDF_Station!$B$2:$G$2,0))))</f>
        <v/>
      </c>
      <c r="V159" s="28" t="n"/>
      <c r="W159" s="28" t="n"/>
      <c r="X159" s="15">
        <f>IF(W159="","",IF(UPPER(TRIM(Inputs!$B$23))="IDF_EQUATION",Inputs!$B$3/((W159+Inputs!$B$4)^Inputs!$B$5),INDEX(IDF_Station!$B$3:$G$11,IFERROR(MATCH(W159,IDF_Station!$A$3:$A$11,1),1),MATCH(Inputs!$B$24,IDF_Station!$B$2:$G$2,0))))</f>
        <v/>
      </c>
    </row>
    <row r="160">
      <c r="L160" s="28" t="n"/>
      <c r="M160" s="15">
        <f>IF(L160="","",IF(UPPER(TRIM(Inputs!$B$23))="IDF_EQUATION",Inputs!$B$3/((L160+Inputs!$B$4)^Inputs!$B$5),INDEX(IDF_Station!$B$3:$G$11,IFERROR(MATCH(L160,IDF_Station!$A$3:$A$11,1),1),MATCH(Inputs!$B$24,IDF_Station!$B$2:$G$2,0))))</f>
        <v/>
      </c>
      <c r="V160" s="28" t="n"/>
      <c r="W160" s="28" t="n"/>
      <c r="X160" s="15">
        <f>IF(W160="","",IF(UPPER(TRIM(Inputs!$B$23))="IDF_EQUATION",Inputs!$B$3/((W160+Inputs!$B$4)^Inputs!$B$5),INDEX(IDF_Station!$B$3:$G$11,IFERROR(MATCH(W160,IDF_Station!$A$3:$A$11,1),1),MATCH(Inputs!$B$24,IDF_Station!$B$2:$G$2,0))))</f>
        <v/>
      </c>
    </row>
    <row r="161">
      <c r="L161" s="28" t="n"/>
      <c r="M161" s="15">
        <f>IF(L161="","",IF(UPPER(TRIM(Inputs!$B$23))="IDF_EQUATION",Inputs!$B$3/((L161+Inputs!$B$4)^Inputs!$B$5),INDEX(IDF_Station!$B$3:$G$11,IFERROR(MATCH(L161,IDF_Station!$A$3:$A$11,1),1),MATCH(Inputs!$B$24,IDF_Station!$B$2:$G$2,0))))</f>
        <v/>
      </c>
      <c r="V161" s="28" t="n"/>
      <c r="W161" s="28" t="n"/>
      <c r="X161" s="15">
        <f>IF(W161="","",IF(UPPER(TRIM(Inputs!$B$23))="IDF_EQUATION",Inputs!$B$3/((W161+Inputs!$B$4)^Inputs!$B$5),INDEX(IDF_Station!$B$3:$G$11,IFERROR(MATCH(W161,IDF_Station!$A$3:$A$11,1),1),MATCH(Inputs!$B$24,IDF_Station!$B$2:$G$2,0))))</f>
        <v/>
      </c>
    </row>
    <row r="162">
      <c r="L162" s="28" t="n"/>
      <c r="M162" s="15">
        <f>IF(L162="","",IF(UPPER(TRIM(Inputs!$B$23))="IDF_EQUATION",Inputs!$B$3/((L162+Inputs!$B$4)^Inputs!$B$5),INDEX(IDF_Station!$B$3:$G$11,IFERROR(MATCH(L162,IDF_Station!$A$3:$A$11,1),1),MATCH(Inputs!$B$24,IDF_Station!$B$2:$G$2,0))))</f>
        <v/>
      </c>
      <c r="V162" s="28" t="n"/>
      <c r="W162" s="28" t="n"/>
      <c r="X162" s="15">
        <f>IF(W162="","",IF(UPPER(TRIM(Inputs!$B$23))="IDF_EQUATION",Inputs!$B$3/((W162+Inputs!$B$4)^Inputs!$B$5),INDEX(IDF_Station!$B$3:$G$11,IFERROR(MATCH(W162,IDF_Station!$A$3:$A$11,1),1),MATCH(Inputs!$B$24,IDF_Station!$B$2:$G$2,0))))</f>
        <v/>
      </c>
    </row>
    <row r="163">
      <c r="L163" s="28" t="n"/>
      <c r="M163" s="15">
        <f>IF(L163="","",IF(UPPER(TRIM(Inputs!$B$23))="IDF_EQUATION",Inputs!$B$3/((L163+Inputs!$B$4)^Inputs!$B$5),INDEX(IDF_Station!$B$3:$G$11,IFERROR(MATCH(L163,IDF_Station!$A$3:$A$11,1),1),MATCH(Inputs!$B$24,IDF_Station!$B$2:$G$2,0))))</f>
        <v/>
      </c>
      <c r="V163" s="28" t="n"/>
      <c r="W163" s="28" t="n"/>
      <c r="X163" s="15">
        <f>IF(W163="","",IF(UPPER(TRIM(Inputs!$B$23))="IDF_EQUATION",Inputs!$B$3/((W163+Inputs!$B$4)^Inputs!$B$5),INDEX(IDF_Station!$B$3:$G$11,IFERROR(MATCH(W163,IDF_Station!$A$3:$A$11,1),1),MATCH(Inputs!$B$24,IDF_Station!$B$2:$G$2,0))))</f>
        <v/>
      </c>
    </row>
    <row r="164">
      <c r="L164" s="28" t="n"/>
      <c r="M164" s="15">
        <f>IF(L164="","",IF(UPPER(TRIM(Inputs!$B$23))="IDF_EQUATION",Inputs!$B$3/((L164+Inputs!$B$4)^Inputs!$B$5),INDEX(IDF_Station!$B$3:$G$11,IFERROR(MATCH(L164,IDF_Station!$A$3:$A$11,1),1),MATCH(Inputs!$B$24,IDF_Station!$B$2:$G$2,0))))</f>
        <v/>
      </c>
      <c r="V164" s="28" t="n"/>
      <c r="W164" s="28" t="n"/>
      <c r="X164" s="15">
        <f>IF(W164="","",IF(UPPER(TRIM(Inputs!$B$23))="IDF_EQUATION",Inputs!$B$3/((W164+Inputs!$B$4)^Inputs!$B$5),INDEX(IDF_Station!$B$3:$G$11,IFERROR(MATCH(W164,IDF_Station!$A$3:$A$11,1),1),MATCH(Inputs!$B$24,IDF_Station!$B$2:$G$2,0))))</f>
        <v/>
      </c>
    </row>
    <row r="165">
      <c r="L165" s="28" t="n"/>
      <c r="M165" s="15">
        <f>IF(L165="","",IF(UPPER(TRIM(Inputs!$B$23))="IDF_EQUATION",Inputs!$B$3/((L165+Inputs!$B$4)^Inputs!$B$5),INDEX(IDF_Station!$B$3:$G$11,IFERROR(MATCH(L165,IDF_Station!$A$3:$A$11,1),1),MATCH(Inputs!$B$24,IDF_Station!$B$2:$G$2,0))))</f>
        <v/>
      </c>
      <c r="V165" s="28" t="n"/>
      <c r="W165" s="28" t="n"/>
      <c r="X165" s="15">
        <f>IF(W165="","",IF(UPPER(TRIM(Inputs!$B$23))="IDF_EQUATION",Inputs!$B$3/((W165+Inputs!$B$4)^Inputs!$B$5),INDEX(IDF_Station!$B$3:$G$11,IFERROR(MATCH(W165,IDF_Station!$A$3:$A$11,1),1),MATCH(Inputs!$B$24,IDF_Station!$B$2:$G$2,0))))</f>
        <v/>
      </c>
    </row>
    <row r="166">
      <c r="L166" s="28" t="n"/>
      <c r="M166" s="15">
        <f>IF(L166="","",IF(UPPER(TRIM(Inputs!$B$23))="IDF_EQUATION",Inputs!$B$3/((L166+Inputs!$B$4)^Inputs!$B$5),INDEX(IDF_Station!$B$3:$G$11,IFERROR(MATCH(L166,IDF_Station!$A$3:$A$11,1),1),MATCH(Inputs!$B$24,IDF_Station!$B$2:$G$2,0))))</f>
        <v/>
      </c>
      <c r="V166" s="28" t="n"/>
      <c r="W166" s="28" t="n"/>
      <c r="X166" s="15">
        <f>IF(W166="","",IF(UPPER(TRIM(Inputs!$B$23))="IDF_EQUATION",Inputs!$B$3/((W166+Inputs!$B$4)^Inputs!$B$5),INDEX(IDF_Station!$B$3:$G$11,IFERROR(MATCH(W166,IDF_Station!$A$3:$A$11,1),1),MATCH(Inputs!$B$24,IDF_Station!$B$2:$G$2,0))))</f>
        <v/>
      </c>
    </row>
    <row r="167">
      <c r="L167" s="28" t="n"/>
      <c r="M167" s="15">
        <f>IF(L167="","",IF(UPPER(TRIM(Inputs!$B$23))="IDF_EQUATION",Inputs!$B$3/((L167+Inputs!$B$4)^Inputs!$B$5),INDEX(IDF_Station!$B$3:$G$11,IFERROR(MATCH(L167,IDF_Station!$A$3:$A$11,1),1),MATCH(Inputs!$B$24,IDF_Station!$B$2:$G$2,0))))</f>
        <v/>
      </c>
      <c r="V167" s="28" t="n"/>
      <c r="W167" s="28" t="n"/>
      <c r="X167" s="15">
        <f>IF(W167="","",IF(UPPER(TRIM(Inputs!$B$23))="IDF_EQUATION",Inputs!$B$3/((W167+Inputs!$B$4)^Inputs!$B$5),INDEX(IDF_Station!$B$3:$G$11,IFERROR(MATCH(W167,IDF_Station!$A$3:$A$11,1),1),MATCH(Inputs!$B$24,IDF_Station!$B$2:$G$2,0))))</f>
        <v/>
      </c>
    </row>
    <row r="168">
      <c r="L168" s="28" t="n"/>
      <c r="M168" s="15">
        <f>IF(L168="","",IF(UPPER(TRIM(Inputs!$B$23))="IDF_EQUATION",Inputs!$B$3/((L168+Inputs!$B$4)^Inputs!$B$5),INDEX(IDF_Station!$B$3:$G$11,IFERROR(MATCH(L168,IDF_Station!$A$3:$A$11,1),1),MATCH(Inputs!$B$24,IDF_Station!$B$2:$G$2,0))))</f>
        <v/>
      </c>
      <c r="V168" s="28" t="n"/>
      <c r="W168" s="28" t="n"/>
      <c r="X168" s="15">
        <f>IF(W168="","",IF(UPPER(TRIM(Inputs!$B$23))="IDF_EQUATION",Inputs!$B$3/((W168+Inputs!$B$4)^Inputs!$B$5),INDEX(IDF_Station!$B$3:$G$11,IFERROR(MATCH(W168,IDF_Station!$A$3:$A$11,1),1),MATCH(Inputs!$B$24,IDF_Station!$B$2:$G$2,0))))</f>
        <v/>
      </c>
    </row>
    <row r="169">
      <c r="L169" s="28" t="n"/>
      <c r="M169" s="15">
        <f>IF(L169="","",IF(UPPER(TRIM(Inputs!$B$23))="IDF_EQUATION",Inputs!$B$3/((L169+Inputs!$B$4)^Inputs!$B$5),INDEX(IDF_Station!$B$3:$G$11,IFERROR(MATCH(L169,IDF_Station!$A$3:$A$11,1),1),MATCH(Inputs!$B$24,IDF_Station!$B$2:$G$2,0))))</f>
        <v/>
      </c>
      <c r="V169" s="28" t="n"/>
      <c r="W169" s="28" t="n"/>
      <c r="X169" s="15">
        <f>IF(W169="","",IF(UPPER(TRIM(Inputs!$B$23))="IDF_EQUATION",Inputs!$B$3/((W169+Inputs!$B$4)^Inputs!$B$5),INDEX(IDF_Station!$B$3:$G$11,IFERROR(MATCH(W169,IDF_Station!$A$3:$A$11,1),1),MATCH(Inputs!$B$24,IDF_Station!$B$2:$G$2,0))))</f>
        <v/>
      </c>
    </row>
    <row r="170">
      <c r="L170" s="28" t="n"/>
      <c r="M170" s="15">
        <f>IF(L170="","",IF(UPPER(TRIM(Inputs!$B$23))="IDF_EQUATION",Inputs!$B$3/((L170+Inputs!$B$4)^Inputs!$B$5),INDEX(IDF_Station!$B$3:$G$11,IFERROR(MATCH(L170,IDF_Station!$A$3:$A$11,1),1),MATCH(Inputs!$B$24,IDF_Station!$B$2:$G$2,0))))</f>
        <v/>
      </c>
      <c r="V170" s="28" t="n"/>
      <c r="W170" s="28" t="n"/>
      <c r="X170" s="15">
        <f>IF(W170="","",IF(UPPER(TRIM(Inputs!$B$23))="IDF_EQUATION",Inputs!$B$3/((W170+Inputs!$B$4)^Inputs!$B$5),INDEX(IDF_Station!$B$3:$G$11,IFERROR(MATCH(W170,IDF_Station!$A$3:$A$11,1),1),MATCH(Inputs!$B$24,IDF_Station!$B$2:$G$2,0))))</f>
        <v/>
      </c>
    </row>
    <row r="171">
      <c r="L171" s="28" t="n"/>
      <c r="M171" s="15">
        <f>IF(L171="","",IF(UPPER(TRIM(Inputs!$B$23))="IDF_EQUATION",Inputs!$B$3/((L171+Inputs!$B$4)^Inputs!$B$5),INDEX(IDF_Station!$B$3:$G$11,IFERROR(MATCH(L171,IDF_Station!$A$3:$A$11,1),1),MATCH(Inputs!$B$24,IDF_Station!$B$2:$G$2,0))))</f>
        <v/>
      </c>
      <c r="V171" s="28" t="n"/>
      <c r="W171" s="28" t="n"/>
      <c r="X171" s="15">
        <f>IF(W171="","",IF(UPPER(TRIM(Inputs!$B$23))="IDF_EQUATION",Inputs!$B$3/((W171+Inputs!$B$4)^Inputs!$B$5),INDEX(IDF_Station!$B$3:$G$11,IFERROR(MATCH(W171,IDF_Station!$A$3:$A$11,1),1),MATCH(Inputs!$B$24,IDF_Station!$B$2:$G$2,0))))</f>
        <v/>
      </c>
    </row>
    <row r="172">
      <c r="L172" s="28" t="n"/>
      <c r="M172" s="15">
        <f>IF(L172="","",IF(UPPER(TRIM(Inputs!$B$23))="IDF_EQUATION",Inputs!$B$3/((L172+Inputs!$B$4)^Inputs!$B$5),INDEX(IDF_Station!$B$3:$G$11,IFERROR(MATCH(L172,IDF_Station!$A$3:$A$11,1),1),MATCH(Inputs!$B$24,IDF_Station!$B$2:$G$2,0))))</f>
        <v/>
      </c>
      <c r="V172" s="28" t="n"/>
      <c r="W172" s="28" t="n"/>
      <c r="X172" s="15">
        <f>IF(W172="","",IF(UPPER(TRIM(Inputs!$B$23))="IDF_EQUATION",Inputs!$B$3/((W172+Inputs!$B$4)^Inputs!$B$5),INDEX(IDF_Station!$B$3:$G$11,IFERROR(MATCH(W172,IDF_Station!$A$3:$A$11,1),1),MATCH(Inputs!$B$24,IDF_Station!$B$2:$G$2,0))))</f>
        <v/>
      </c>
    </row>
    <row r="173">
      <c r="L173" s="28" t="n"/>
      <c r="M173" s="15">
        <f>IF(L173="","",IF(UPPER(TRIM(Inputs!$B$23))="IDF_EQUATION",Inputs!$B$3/((L173+Inputs!$B$4)^Inputs!$B$5),INDEX(IDF_Station!$B$3:$G$11,IFERROR(MATCH(L173,IDF_Station!$A$3:$A$11,1),1),MATCH(Inputs!$B$24,IDF_Station!$B$2:$G$2,0))))</f>
        <v/>
      </c>
      <c r="V173" s="28" t="n"/>
      <c r="W173" s="28" t="n"/>
      <c r="X173" s="15">
        <f>IF(W173="","",IF(UPPER(TRIM(Inputs!$B$23))="IDF_EQUATION",Inputs!$B$3/((W173+Inputs!$B$4)^Inputs!$B$5),INDEX(IDF_Station!$B$3:$G$11,IFERROR(MATCH(W173,IDF_Station!$A$3:$A$11,1),1),MATCH(Inputs!$B$24,IDF_Station!$B$2:$G$2,0))))</f>
        <v/>
      </c>
    </row>
    <row r="174">
      <c r="L174" s="28" t="n"/>
      <c r="M174" s="15">
        <f>IF(L174="","",IF(UPPER(TRIM(Inputs!$B$23))="IDF_EQUATION",Inputs!$B$3/((L174+Inputs!$B$4)^Inputs!$B$5),INDEX(IDF_Station!$B$3:$G$11,IFERROR(MATCH(L174,IDF_Station!$A$3:$A$11,1),1),MATCH(Inputs!$B$24,IDF_Station!$B$2:$G$2,0))))</f>
        <v/>
      </c>
      <c r="V174" s="28" t="n"/>
      <c r="W174" s="28" t="n"/>
      <c r="X174" s="15">
        <f>IF(W174="","",IF(UPPER(TRIM(Inputs!$B$23))="IDF_EQUATION",Inputs!$B$3/((W174+Inputs!$B$4)^Inputs!$B$5),INDEX(IDF_Station!$B$3:$G$11,IFERROR(MATCH(W174,IDF_Station!$A$3:$A$11,1),1),MATCH(Inputs!$B$24,IDF_Station!$B$2:$G$2,0))))</f>
        <v/>
      </c>
    </row>
    <row r="175">
      <c r="L175" s="28" t="n"/>
      <c r="M175" s="15">
        <f>IF(L175="","",IF(UPPER(TRIM(Inputs!$B$23))="IDF_EQUATION",Inputs!$B$3/((L175+Inputs!$B$4)^Inputs!$B$5),INDEX(IDF_Station!$B$3:$G$11,IFERROR(MATCH(L175,IDF_Station!$A$3:$A$11,1),1),MATCH(Inputs!$B$24,IDF_Station!$B$2:$G$2,0))))</f>
        <v/>
      </c>
      <c r="V175" s="28" t="n"/>
      <c r="W175" s="28" t="n"/>
      <c r="X175" s="15">
        <f>IF(W175="","",IF(UPPER(TRIM(Inputs!$B$23))="IDF_EQUATION",Inputs!$B$3/((W175+Inputs!$B$4)^Inputs!$B$5),INDEX(IDF_Station!$B$3:$G$11,IFERROR(MATCH(W175,IDF_Station!$A$3:$A$11,1),1),MATCH(Inputs!$B$24,IDF_Station!$B$2:$G$2,0))))</f>
        <v/>
      </c>
    </row>
    <row r="176">
      <c r="L176" s="28" t="n"/>
      <c r="M176" s="15">
        <f>IF(L176="","",IF(UPPER(TRIM(Inputs!$B$23))="IDF_EQUATION",Inputs!$B$3/((L176+Inputs!$B$4)^Inputs!$B$5),INDEX(IDF_Station!$B$3:$G$11,IFERROR(MATCH(L176,IDF_Station!$A$3:$A$11,1),1),MATCH(Inputs!$B$24,IDF_Station!$B$2:$G$2,0))))</f>
        <v/>
      </c>
      <c r="V176" s="28" t="n"/>
      <c r="W176" s="28" t="n"/>
      <c r="X176" s="15">
        <f>IF(W176="","",IF(UPPER(TRIM(Inputs!$B$23))="IDF_EQUATION",Inputs!$B$3/((W176+Inputs!$B$4)^Inputs!$B$5),INDEX(IDF_Station!$B$3:$G$11,IFERROR(MATCH(W176,IDF_Station!$A$3:$A$11,1),1),MATCH(Inputs!$B$24,IDF_Station!$B$2:$G$2,0))))</f>
        <v/>
      </c>
    </row>
    <row r="177">
      <c r="L177" s="28" t="n"/>
      <c r="M177" s="15">
        <f>IF(L177="","",IF(UPPER(TRIM(Inputs!$B$23))="IDF_EQUATION",Inputs!$B$3/((L177+Inputs!$B$4)^Inputs!$B$5),INDEX(IDF_Station!$B$3:$G$11,IFERROR(MATCH(L177,IDF_Station!$A$3:$A$11,1),1),MATCH(Inputs!$B$24,IDF_Station!$B$2:$G$2,0))))</f>
        <v/>
      </c>
      <c r="V177" s="28" t="n"/>
      <c r="W177" s="28" t="n"/>
      <c r="X177" s="15">
        <f>IF(W177="","",IF(UPPER(TRIM(Inputs!$B$23))="IDF_EQUATION",Inputs!$B$3/((W177+Inputs!$B$4)^Inputs!$B$5),INDEX(IDF_Station!$B$3:$G$11,IFERROR(MATCH(W177,IDF_Station!$A$3:$A$11,1),1),MATCH(Inputs!$B$24,IDF_Station!$B$2:$G$2,0))))</f>
        <v/>
      </c>
    </row>
    <row r="178">
      <c r="L178" s="28" t="n"/>
      <c r="M178" s="15">
        <f>IF(L178="","",IF(UPPER(TRIM(Inputs!$B$23))="IDF_EQUATION",Inputs!$B$3/((L178+Inputs!$B$4)^Inputs!$B$5),INDEX(IDF_Station!$B$3:$G$11,IFERROR(MATCH(L178,IDF_Station!$A$3:$A$11,1),1),MATCH(Inputs!$B$24,IDF_Station!$B$2:$G$2,0))))</f>
        <v/>
      </c>
      <c r="V178" s="28" t="n"/>
      <c r="W178" s="28" t="n"/>
      <c r="X178" s="15">
        <f>IF(W178="","",IF(UPPER(TRIM(Inputs!$B$23))="IDF_EQUATION",Inputs!$B$3/((W178+Inputs!$B$4)^Inputs!$B$5),INDEX(IDF_Station!$B$3:$G$11,IFERROR(MATCH(W178,IDF_Station!$A$3:$A$11,1),1),MATCH(Inputs!$B$24,IDF_Station!$B$2:$G$2,0))))</f>
        <v/>
      </c>
    </row>
    <row r="179">
      <c r="L179" s="28" t="n"/>
      <c r="M179" s="15">
        <f>IF(L179="","",IF(UPPER(TRIM(Inputs!$B$23))="IDF_EQUATION",Inputs!$B$3/((L179+Inputs!$B$4)^Inputs!$B$5),INDEX(IDF_Station!$B$3:$G$11,IFERROR(MATCH(L179,IDF_Station!$A$3:$A$11,1),1),MATCH(Inputs!$B$24,IDF_Station!$B$2:$G$2,0))))</f>
        <v/>
      </c>
      <c r="V179" s="28" t="n"/>
      <c r="W179" s="28" t="n"/>
      <c r="X179" s="15">
        <f>IF(W179="","",IF(UPPER(TRIM(Inputs!$B$23))="IDF_EQUATION",Inputs!$B$3/((W179+Inputs!$B$4)^Inputs!$B$5),INDEX(IDF_Station!$B$3:$G$11,IFERROR(MATCH(W179,IDF_Station!$A$3:$A$11,1),1),MATCH(Inputs!$B$24,IDF_Station!$B$2:$G$2,0))))</f>
        <v/>
      </c>
    </row>
    <row r="180">
      <c r="L180" s="28" t="n"/>
      <c r="M180" s="15">
        <f>IF(L180="","",IF(UPPER(TRIM(Inputs!$B$23))="IDF_EQUATION",Inputs!$B$3/((L180+Inputs!$B$4)^Inputs!$B$5),INDEX(IDF_Station!$B$3:$G$11,IFERROR(MATCH(L180,IDF_Station!$A$3:$A$11,1),1),MATCH(Inputs!$B$24,IDF_Station!$B$2:$G$2,0))))</f>
        <v/>
      </c>
      <c r="V180" s="28" t="n"/>
      <c r="W180" s="28" t="n"/>
      <c r="X180" s="15">
        <f>IF(W180="","",IF(UPPER(TRIM(Inputs!$B$23))="IDF_EQUATION",Inputs!$B$3/((W180+Inputs!$B$4)^Inputs!$B$5),INDEX(IDF_Station!$B$3:$G$11,IFERROR(MATCH(W180,IDF_Station!$A$3:$A$11,1),1),MATCH(Inputs!$B$24,IDF_Station!$B$2:$G$2,0))))</f>
        <v/>
      </c>
    </row>
    <row r="181">
      <c r="L181" s="28" t="n"/>
      <c r="M181" s="15">
        <f>IF(L181="","",IF(UPPER(TRIM(Inputs!$B$23))="IDF_EQUATION",Inputs!$B$3/((L181+Inputs!$B$4)^Inputs!$B$5),INDEX(IDF_Station!$B$3:$G$11,IFERROR(MATCH(L181,IDF_Station!$A$3:$A$11,1),1),MATCH(Inputs!$B$24,IDF_Station!$B$2:$G$2,0))))</f>
        <v/>
      </c>
      <c r="V181" s="28" t="n"/>
      <c r="W181" s="28" t="n"/>
      <c r="X181" s="15">
        <f>IF(W181="","",IF(UPPER(TRIM(Inputs!$B$23))="IDF_EQUATION",Inputs!$B$3/((W181+Inputs!$B$4)^Inputs!$B$5),INDEX(IDF_Station!$B$3:$G$11,IFERROR(MATCH(W181,IDF_Station!$A$3:$A$11,1),1),MATCH(Inputs!$B$24,IDF_Station!$B$2:$G$2,0))))</f>
        <v/>
      </c>
    </row>
    <row r="182">
      <c r="L182" s="28" t="n"/>
      <c r="M182" s="15">
        <f>IF(L182="","",IF(UPPER(TRIM(Inputs!$B$23))="IDF_EQUATION",Inputs!$B$3/((L182+Inputs!$B$4)^Inputs!$B$5),INDEX(IDF_Station!$B$3:$G$11,IFERROR(MATCH(L182,IDF_Station!$A$3:$A$11,1),1),MATCH(Inputs!$B$24,IDF_Station!$B$2:$G$2,0))))</f>
        <v/>
      </c>
      <c r="V182" s="28" t="n"/>
      <c r="W182" s="28" t="n"/>
      <c r="X182" s="15">
        <f>IF(W182="","",IF(UPPER(TRIM(Inputs!$B$23))="IDF_EQUATION",Inputs!$B$3/((W182+Inputs!$B$4)^Inputs!$B$5),INDEX(IDF_Station!$B$3:$G$11,IFERROR(MATCH(W182,IDF_Station!$A$3:$A$11,1),1),MATCH(Inputs!$B$24,IDF_Station!$B$2:$G$2,0))))</f>
        <v/>
      </c>
    </row>
    <row r="183">
      <c r="L183" s="28" t="n"/>
      <c r="M183" s="15">
        <f>IF(L183="","",IF(UPPER(TRIM(Inputs!$B$23))="IDF_EQUATION",Inputs!$B$3/((L183+Inputs!$B$4)^Inputs!$B$5),INDEX(IDF_Station!$B$3:$G$11,IFERROR(MATCH(L183,IDF_Station!$A$3:$A$11,1),1),MATCH(Inputs!$B$24,IDF_Station!$B$2:$G$2,0))))</f>
        <v/>
      </c>
      <c r="V183" s="28" t="n"/>
      <c r="W183" s="28" t="n"/>
      <c r="X183" s="15">
        <f>IF(W183="","",IF(UPPER(TRIM(Inputs!$B$23))="IDF_EQUATION",Inputs!$B$3/((W183+Inputs!$B$4)^Inputs!$B$5),INDEX(IDF_Station!$B$3:$G$11,IFERROR(MATCH(W183,IDF_Station!$A$3:$A$11,1),1),MATCH(Inputs!$B$24,IDF_Station!$B$2:$G$2,0))))</f>
        <v/>
      </c>
    </row>
    <row r="184">
      <c r="L184" s="28" t="n"/>
      <c r="M184" s="15">
        <f>IF(L184="","",IF(UPPER(TRIM(Inputs!$B$23))="IDF_EQUATION",Inputs!$B$3/((L184+Inputs!$B$4)^Inputs!$B$5),INDEX(IDF_Station!$B$3:$G$11,IFERROR(MATCH(L184,IDF_Station!$A$3:$A$11,1),1),MATCH(Inputs!$B$24,IDF_Station!$B$2:$G$2,0))))</f>
        <v/>
      </c>
      <c r="V184" s="28" t="n"/>
      <c r="W184" s="28" t="n"/>
      <c r="X184" s="15">
        <f>IF(W184="","",IF(UPPER(TRIM(Inputs!$B$23))="IDF_EQUATION",Inputs!$B$3/((W184+Inputs!$B$4)^Inputs!$B$5),INDEX(IDF_Station!$B$3:$G$11,IFERROR(MATCH(W184,IDF_Station!$A$3:$A$11,1),1),MATCH(Inputs!$B$24,IDF_Station!$B$2:$G$2,0))))</f>
        <v/>
      </c>
    </row>
    <row r="185">
      <c r="L185" s="28" t="n"/>
      <c r="M185" s="15">
        <f>IF(L185="","",IF(UPPER(TRIM(Inputs!$B$23))="IDF_EQUATION",Inputs!$B$3/((L185+Inputs!$B$4)^Inputs!$B$5),INDEX(IDF_Station!$B$3:$G$11,IFERROR(MATCH(L185,IDF_Station!$A$3:$A$11,1),1),MATCH(Inputs!$B$24,IDF_Station!$B$2:$G$2,0))))</f>
        <v/>
      </c>
      <c r="V185" s="28" t="n"/>
      <c r="W185" s="28" t="n"/>
      <c r="X185" s="15">
        <f>IF(W185="","",IF(UPPER(TRIM(Inputs!$B$23))="IDF_EQUATION",Inputs!$B$3/((W185+Inputs!$B$4)^Inputs!$B$5),INDEX(IDF_Station!$B$3:$G$11,IFERROR(MATCH(W185,IDF_Station!$A$3:$A$11,1),1),MATCH(Inputs!$B$24,IDF_Station!$B$2:$G$2,0))))</f>
        <v/>
      </c>
    </row>
    <row r="186">
      <c r="L186" s="28" t="n"/>
      <c r="M186" s="15">
        <f>IF(L186="","",IF(UPPER(TRIM(Inputs!$B$23))="IDF_EQUATION",Inputs!$B$3/((L186+Inputs!$B$4)^Inputs!$B$5),INDEX(IDF_Station!$B$3:$G$11,IFERROR(MATCH(L186,IDF_Station!$A$3:$A$11,1),1),MATCH(Inputs!$B$24,IDF_Station!$B$2:$G$2,0))))</f>
        <v/>
      </c>
      <c r="V186" s="28" t="n"/>
      <c r="W186" s="28" t="n"/>
      <c r="X186" s="15">
        <f>IF(W186="","",IF(UPPER(TRIM(Inputs!$B$23))="IDF_EQUATION",Inputs!$B$3/((W186+Inputs!$B$4)^Inputs!$B$5),INDEX(IDF_Station!$B$3:$G$11,IFERROR(MATCH(W186,IDF_Station!$A$3:$A$11,1),1),MATCH(Inputs!$B$24,IDF_Station!$B$2:$G$2,0))))</f>
        <v/>
      </c>
    </row>
    <row r="187">
      <c r="L187" s="28" t="n"/>
      <c r="M187" s="15">
        <f>IF(L187="","",IF(UPPER(TRIM(Inputs!$B$23))="IDF_EQUATION",Inputs!$B$3/((L187+Inputs!$B$4)^Inputs!$B$5),INDEX(IDF_Station!$B$3:$G$11,IFERROR(MATCH(L187,IDF_Station!$A$3:$A$11,1),1),MATCH(Inputs!$B$24,IDF_Station!$B$2:$G$2,0))))</f>
        <v/>
      </c>
      <c r="V187" s="28" t="n"/>
      <c r="W187" s="28" t="n"/>
      <c r="X187" s="15">
        <f>IF(W187="","",IF(UPPER(TRIM(Inputs!$B$23))="IDF_EQUATION",Inputs!$B$3/((W187+Inputs!$B$4)^Inputs!$B$5),INDEX(IDF_Station!$B$3:$G$11,IFERROR(MATCH(W187,IDF_Station!$A$3:$A$11,1),1),MATCH(Inputs!$B$24,IDF_Station!$B$2:$G$2,0))))</f>
        <v/>
      </c>
    </row>
    <row r="188">
      <c r="L188" s="28" t="n"/>
      <c r="M188" s="15">
        <f>IF(L188="","",IF(UPPER(TRIM(Inputs!$B$23))="IDF_EQUATION",Inputs!$B$3/((L188+Inputs!$B$4)^Inputs!$B$5),INDEX(IDF_Station!$B$3:$G$11,IFERROR(MATCH(L188,IDF_Station!$A$3:$A$11,1),1),MATCH(Inputs!$B$24,IDF_Station!$B$2:$G$2,0))))</f>
        <v/>
      </c>
      <c r="V188" s="28" t="n"/>
      <c r="W188" s="28" t="n"/>
      <c r="X188" s="15">
        <f>IF(W188="","",IF(UPPER(TRIM(Inputs!$B$23))="IDF_EQUATION",Inputs!$B$3/((W188+Inputs!$B$4)^Inputs!$B$5),INDEX(IDF_Station!$B$3:$G$11,IFERROR(MATCH(W188,IDF_Station!$A$3:$A$11,1),1),MATCH(Inputs!$B$24,IDF_Station!$B$2:$G$2,0))))</f>
        <v/>
      </c>
    </row>
    <row r="189">
      <c r="L189" s="28" t="n"/>
      <c r="M189" s="15">
        <f>IF(L189="","",IF(UPPER(TRIM(Inputs!$B$23))="IDF_EQUATION",Inputs!$B$3/((L189+Inputs!$B$4)^Inputs!$B$5),INDEX(IDF_Station!$B$3:$G$11,IFERROR(MATCH(L189,IDF_Station!$A$3:$A$11,1),1),MATCH(Inputs!$B$24,IDF_Station!$B$2:$G$2,0))))</f>
        <v/>
      </c>
      <c r="V189" s="28" t="n"/>
      <c r="W189" s="28" t="n"/>
      <c r="X189" s="15">
        <f>IF(W189="","",IF(UPPER(TRIM(Inputs!$B$23))="IDF_EQUATION",Inputs!$B$3/((W189+Inputs!$B$4)^Inputs!$B$5),INDEX(IDF_Station!$B$3:$G$11,IFERROR(MATCH(W189,IDF_Station!$A$3:$A$11,1),1),MATCH(Inputs!$B$24,IDF_Station!$B$2:$G$2,0))))</f>
        <v/>
      </c>
    </row>
    <row r="190">
      <c r="L190" s="28" t="n"/>
      <c r="M190" s="15">
        <f>IF(L190="","",IF(UPPER(TRIM(Inputs!$B$23))="IDF_EQUATION",Inputs!$B$3/((L190+Inputs!$B$4)^Inputs!$B$5),INDEX(IDF_Station!$B$3:$G$11,IFERROR(MATCH(L190,IDF_Station!$A$3:$A$11,1),1),MATCH(Inputs!$B$24,IDF_Station!$B$2:$G$2,0))))</f>
        <v/>
      </c>
      <c r="V190" s="28" t="n"/>
      <c r="W190" s="28" t="n"/>
      <c r="X190" s="15">
        <f>IF(W190="","",IF(UPPER(TRIM(Inputs!$B$23))="IDF_EQUATION",Inputs!$B$3/((W190+Inputs!$B$4)^Inputs!$B$5),INDEX(IDF_Station!$B$3:$G$11,IFERROR(MATCH(W190,IDF_Station!$A$3:$A$11,1),1),MATCH(Inputs!$B$24,IDF_Station!$B$2:$G$2,0))))</f>
        <v/>
      </c>
    </row>
    <row r="191">
      <c r="L191" s="28" t="n"/>
      <c r="M191" s="15">
        <f>IF(L191="","",IF(UPPER(TRIM(Inputs!$B$23))="IDF_EQUATION",Inputs!$B$3/((L191+Inputs!$B$4)^Inputs!$B$5),INDEX(IDF_Station!$B$3:$G$11,IFERROR(MATCH(L191,IDF_Station!$A$3:$A$11,1),1),MATCH(Inputs!$B$24,IDF_Station!$B$2:$G$2,0))))</f>
        <v/>
      </c>
      <c r="V191" s="28" t="n"/>
      <c r="W191" s="28" t="n"/>
      <c r="X191" s="15">
        <f>IF(W191="","",IF(UPPER(TRIM(Inputs!$B$23))="IDF_EQUATION",Inputs!$B$3/((W191+Inputs!$B$4)^Inputs!$B$5),INDEX(IDF_Station!$B$3:$G$11,IFERROR(MATCH(W191,IDF_Station!$A$3:$A$11,1),1),MATCH(Inputs!$B$24,IDF_Station!$B$2:$G$2,0))))</f>
        <v/>
      </c>
    </row>
    <row r="192">
      <c r="L192" s="28" t="n"/>
      <c r="M192" s="15">
        <f>IF(L192="","",IF(UPPER(TRIM(Inputs!$B$23))="IDF_EQUATION",Inputs!$B$3/((L192+Inputs!$B$4)^Inputs!$B$5),INDEX(IDF_Station!$B$3:$G$11,IFERROR(MATCH(L192,IDF_Station!$A$3:$A$11,1),1),MATCH(Inputs!$B$24,IDF_Station!$B$2:$G$2,0))))</f>
        <v/>
      </c>
      <c r="V192" s="28" t="n"/>
      <c r="W192" s="28" t="n"/>
      <c r="X192" s="15">
        <f>IF(W192="","",IF(UPPER(TRIM(Inputs!$B$23))="IDF_EQUATION",Inputs!$B$3/((W192+Inputs!$B$4)^Inputs!$B$5),INDEX(IDF_Station!$B$3:$G$11,IFERROR(MATCH(W192,IDF_Station!$A$3:$A$11,1),1),MATCH(Inputs!$B$24,IDF_Station!$B$2:$G$2,0))))</f>
        <v/>
      </c>
    </row>
    <row r="193">
      <c r="L193" s="28" t="n"/>
      <c r="M193" s="15">
        <f>IF(L193="","",IF(UPPER(TRIM(Inputs!$B$23))="IDF_EQUATION",Inputs!$B$3/((L193+Inputs!$B$4)^Inputs!$B$5),INDEX(IDF_Station!$B$3:$G$11,IFERROR(MATCH(L193,IDF_Station!$A$3:$A$11,1),1),MATCH(Inputs!$B$24,IDF_Station!$B$2:$G$2,0))))</f>
        <v/>
      </c>
      <c r="V193" s="28" t="n"/>
      <c r="W193" s="28" t="n"/>
      <c r="X193" s="15">
        <f>IF(W193="","",IF(UPPER(TRIM(Inputs!$B$23))="IDF_EQUATION",Inputs!$B$3/((W193+Inputs!$B$4)^Inputs!$B$5),INDEX(IDF_Station!$B$3:$G$11,IFERROR(MATCH(W193,IDF_Station!$A$3:$A$11,1),1),MATCH(Inputs!$B$24,IDF_Station!$B$2:$G$2,0))))</f>
        <v/>
      </c>
    </row>
    <row r="194">
      <c r="L194" s="28" t="n"/>
      <c r="M194" s="15">
        <f>IF(L194="","",IF(UPPER(TRIM(Inputs!$B$23))="IDF_EQUATION",Inputs!$B$3/((L194+Inputs!$B$4)^Inputs!$B$5),INDEX(IDF_Station!$B$3:$G$11,IFERROR(MATCH(L194,IDF_Station!$A$3:$A$11,1),1),MATCH(Inputs!$B$24,IDF_Station!$B$2:$G$2,0))))</f>
        <v/>
      </c>
      <c r="V194" s="28" t="n"/>
      <c r="W194" s="28" t="n"/>
      <c r="X194" s="15">
        <f>IF(W194="","",IF(UPPER(TRIM(Inputs!$B$23))="IDF_EQUATION",Inputs!$B$3/((W194+Inputs!$B$4)^Inputs!$B$5),INDEX(IDF_Station!$B$3:$G$11,IFERROR(MATCH(W194,IDF_Station!$A$3:$A$11,1),1),MATCH(Inputs!$B$24,IDF_Station!$B$2:$G$2,0))))</f>
        <v/>
      </c>
    </row>
    <row r="195">
      <c r="L195" s="28" t="n"/>
      <c r="M195" s="15">
        <f>IF(L195="","",IF(UPPER(TRIM(Inputs!$B$23))="IDF_EQUATION",Inputs!$B$3/((L195+Inputs!$B$4)^Inputs!$B$5),INDEX(IDF_Station!$B$3:$G$11,IFERROR(MATCH(L195,IDF_Station!$A$3:$A$11,1),1),MATCH(Inputs!$B$24,IDF_Station!$B$2:$G$2,0))))</f>
        <v/>
      </c>
      <c r="V195" s="28" t="n"/>
      <c r="W195" s="28" t="n"/>
      <c r="X195" s="15">
        <f>IF(W195="","",IF(UPPER(TRIM(Inputs!$B$23))="IDF_EQUATION",Inputs!$B$3/((W195+Inputs!$B$4)^Inputs!$B$5),INDEX(IDF_Station!$B$3:$G$11,IFERROR(MATCH(W195,IDF_Station!$A$3:$A$11,1),1),MATCH(Inputs!$B$24,IDF_Station!$B$2:$G$2,0))))</f>
        <v/>
      </c>
    </row>
    <row r="196">
      <c r="L196" s="28" t="n"/>
      <c r="M196" s="15">
        <f>IF(L196="","",IF(UPPER(TRIM(Inputs!$B$23))="IDF_EQUATION",Inputs!$B$3/((L196+Inputs!$B$4)^Inputs!$B$5),INDEX(IDF_Station!$B$3:$G$11,IFERROR(MATCH(L196,IDF_Station!$A$3:$A$11,1),1),MATCH(Inputs!$B$24,IDF_Station!$B$2:$G$2,0))))</f>
        <v/>
      </c>
      <c r="V196" s="28" t="n"/>
      <c r="W196" s="28" t="n"/>
      <c r="X196" s="15">
        <f>IF(W196="","",IF(UPPER(TRIM(Inputs!$B$23))="IDF_EQUATION",Inputs!$B$3/((W196+Inputs!$B$4)^Inputs!$B$5),INDEX(IDF_Station!$B$3:$G$11,IFERROR(MATCH(W196,IDF_Station!$A$3:$A$11,1),1),MATCH(Inputs!$B$24,IDF_Station!$B$2:$G$2,0))))</f>
        <v/>
      </c>
    </row>
    <row r="197">
      <c r="L197" s="28" t="n"/>
      <c r="M197" s="15">
        <f>IF(L197="","",IF(UPPER(TRIM(Inputs!$B$23))="IDF_EQUATION",Inputs!$B$3/((L197+Inputs!$B$4)^Inputs!$B$5),INDEX(IDF_Station!$B$3:$G$11,IFERROR(MATCH(L197,IDF_Station!$A$3:$A$11,1),1),MATCH(Inputs!$B$24,IDF_Station!$B$2:$G$2,0))))</f>
        <v/>
      </c>
      <c r="V197" s="28" t="n"/>
      <c r="W197" s="28" t="n"/>
      <c r="X197" s="15">
        <f>IF(W197="","",IF(UPPER(TRIM(Inputs!$B$23))="IDF_EQUATION",Inputs!$B$3/((W197+Inputs!$B$4)^Inputs!$B$5),INDEX(IDF_Station!$B$3:$G$11,IFERROR(MATCH(W197,IDF_Station!$A$3:$A$11,1),1),MATCH(Inputs!$B$24,IDF_Station!$B$2:$G$2,0))))</f>
        <v/>
      </c>
    </row>
    <row r="198">
      <c r="L198" s="28" t="n"/>
      <c r="M198" s="15">
        <f>IF(L198="","",IF(UPPER(TRIM(Inputs!$B$23))="IDF_EQUATION",Inputs!$B$3/((L198+Inputs!$B$4)^Inputs!$B$5),INDEX(IDF_Station!$B$3:$G$11,IFERROR(MATCH(L198,IDF_Station!$A$3:$A$11,1),1),MATCH(Inputs!$B$24,IDF_Station!$B$2:$G$2,0))))</f>
        <v/>
      </c>
      <c r="V198" s="28" t="n"/>
      <c r="W198" s="28" t="n"/>
      <c r="X198" s="15">
        <f>IF(W198="","",IF(UPPER(TRIM(Inputs!$B$23))="IDF_EQUATION",Inputs!$B$3/((W198+Inputs!$B$4)^Inputs!$B$5),INDEX(IDF_Station!$B$3:$G$11,IFERROR(MATCH(W198,IDF_Station!$A$3:$A$11,1),1),MATCH(Inputs!$B$24,IDF_Station!$B$2:$G$2,0))))</f>
        <v/>
      </c>
    </row>
    <row r="199">
      <c r="L199" s="28" t="n"/>
      <c r="M199" s="15">
        <f>IF(L199="","",IF(UPPER(TRIM(Inputs!$B$23))="IDF_EQUATION",Inputs!$B$3/((L199+Inputs!$B$4)^Inputs!$B$5),INDEX(IDF_Station!$B$3:$G$11,IFERROR(MATCH(L199,IDF_Station!$A$3:$A$11,1),1),MATCH(Inputs!$B$24,IDF_Station!$B$2:$G$2,0))))</f>
        <v/>
      </c>
      <c r="V199" s="28" t="n"/>
      <c r="W199" s="28" t="n"/>
      <c r="X199" s="15">
        <f>IF(W199="","",IF(UPPER(TRIM(Inputs!$B$23))="IDF_EQUATION",Inputs!$B$3/((W199+Inputs!$B$4)^Inputs!$B$5),INDEX(IDF_Station!$B$3:$G$11,IFERROR(MATCH(W199,IDF_Station!$A$3:$A$11,1),1),MATCH(Inputs!$B$24,IDF_Station!$B$2:$G$2,0))))</f>
        <v/>
      </c>
    </row>
    <row r="200">
      <c r="L200" s="28" t="n"/>
      <c r="M200" s="15">
        <f>IF(L200="","",IF(UPPER(TRIM(Inputs!$B$23))="IDF_EQUATION",Inputs!$B$3/((L200+Inputs!$B$4)^Inputs!$B$5),INDEX(IDF_Station!$B$3:$G$11,IFERROR(MATCH(L200,IDF_Station!$A$3:$A$11,1),1),MATCH(Inputs!$B$24,IDF_Station!$B$2:$G$2,0))))</f>
        <v/>
      </c>
      <c r="V200" s="28" t="n"/>
      <c r="W200" s="28" t="n"/>
      <c r="X200" s="15">
        <f>IF(W200="","",IF(UPPER(TRIM(Inputs!$B$23))="IDF_EQUATION",Inputs!$B$3/((W200+Inputs!$B$4)^Inputs!$B$5),INDEX(IDF_Station!$B$3:$G$11,IFERROR(MATCH(W200,IDF_Station!$A$3:$A$11,1),1),MATCH(Inputs!$B$24,IDF_Station!$B$2:$G$2,0))))</f>
        <v/>
      </c>
    </row>
    <row r="201">
      <c r="L201" s="28" t="n"/>
      <c r="M201" s="15">
        <f>IF(L201="","",IF(UPPER(TRIM(Inputs!$B$23))="IDF_EQUATION",Inputs!$B$3/((L201+Inputs!$B$4)^Inputs!$B$5),INDEX(IDF_Station!$B$3:$G$11,IFERROR(MATCH(L201,IDF_Station!$A$3:$A$11,1),1),MATCH(Inputs!$B$24,IDF_Station!$B$2:$G$2,0))))</f>
        <v/>
      </c>
      <c r="V201" s="28" t="n"/>
      <c r="W201" s="28" t="n"/>
      <c r="X201" s="15">
        <f>IF(W201="","",IF(UPPER(TRIM(Inputs!$B$23))="IDF_EQUATION",Inputs!$B$3/((W201+Inputs!$B$4)^Inputs!$B$5),INDEX(IDF_Station!$B$3:$G$11,IFERROR(MATCH(W201,IDF_Station!$A$3:$A$11,1),1),MATCH(Inputs!$B$24,IDF_Station!$B$2:$G$2,0))))</f>
        <v/>
      </c>
    </row>
    <row r="202">
      <c r="L202" s="28" t="n"/>
      <c r="M202" s="15">
        <f>IF(L202="","",IF(UPPER(TRIM(Inputs!$B$23))="IDF_EQUATION",Inputs!$B$3/((L202+Inputs!$B$4)^Inputs!$B$5),INDEX(IDF_Station!$B$3:$G$11,IFERROR(MATCH(L202,IDF_Station!$A$3:$A$11,1),1),MATCH(Inputs!$B$24,IDF_Station!$B$2:$G$2,0))))</f>
        <v/>
      </c>
      <c r="V202" s="28" t="n"/>
      <c r="W202" s="28" t="n"/>
      <c r="X202" s="15">
        <f>IF(W202="","",IF(UPPER(TRIM(Inputs!$B$23))="IDF_EQUATION",Inputs!$B$3/((W202+Inputs!$B$4)^Inputs!$B$5),INDEX(IDF_Station!$B$3:$G$11,IFERROR(MATCH(W202,IDF_Station!$A$3:$A$11,1),1),MATCH(Inputs!$B$24,IDF_Station!$B$2:$G$2,0))))</f>
        <v/>
      </c>
    </row>
    <row r="203">
      <c r="L203" s="28" t="n"/>
      <c r="M203" s="15">
        <f>IF(L203="","",IF(UPPER(TRIM(Inputs!$B$23))="IDF_EQUATION",Inputs!$B$3/((L203+Inputs!$B$4)^Inputs!$B$5),INDEX(IDF_Station!$B$3:$G$11,IFERROR(MATCH(L203,IDF_Station!$A$3:$A$11,1),1),MATCH(Inputs!$B$24,IDF_Station!$B$2:$G$2,0))))</f>
        <v/>
      </c>
      <c r="V203" s="28" t="n"/>
      <c r="W203" s="28" t="n"/>
      <c r="X203" s="15">
        <f>IF(W203="","",IF(UPPER(TRIM(Inputs!$B$23))="IDF_EQUATION",Inputs!$B$3/((W203+Inputs!$B$4)^Inputs!$B$5),INDEX(IDF_Station!$B$3:$G$11,IFERROR(MATCH(W203,IDF_Station!$A$3:$A$11,1),1),MATCH(Inputs!$B$24,IDF_Station!$B$2:$G$2,0))))</f>
        <v/>
      </c>
    </row>
    <row r="204">
      <c r="L204" s="28" t="n"/>
      <c r="M204" s="15">
        <f>IF(L204="","",IF(UPPER(TRIM(Inputs!$B$23))="IDF_EQUATION",Inputs!$B$3/((L204+Inputs!$B$4)^Inputs!$B$5),INDEX(IDF_Station!$B$3:$G$11,IFERROR(MATCH(L204,IDF_Station!$A$3:$A$11,1),1),MATCH(Inputs!$B$24,IDF_Station!$B$2:$G$2,0))))</f>
        <v/>
      </c>
      <c r="V204" s="28" t="n"/>
      <c r="W204" s="28" t="n"/>
      <c r="X204" s="15">
        <f>IF(W204="","",IF(UPPER(TRIM(Inputs!$B$23))="IDF_EQUATION",Inputs!$B$3/((W204+Inputs!$B$4)^Inputs!$B$5),INDEX(IDF_Station!$B$3:$G$11,IFERROR(MATCH(W204,IDF_Station!$A$3:$A$11,1),1),MATCH(Inputs!$B$24,IDF_Station!$B$2:$G$2,0))))</f>
        <v/>
      </c>
    </row>
    <row r="205">
      <c r="L205" s="28" t="n"/>
      <c r="V205" s="28" t="n"/>
      <c r="W205" s="28" t="n"/>
    </row>
    <row r="206">
      <c r="L206" s="28" t="n"/>
      <c r="V206" s="28" t="n"/>
      <c r="W206" s="28" t="n"/>
    </row>
    <row r="207">
      <c r="L207" s="28" t="n"/>
      <c r="V207" s="28" t="n"/>
      <c r="W207" s="28" t="n"/>
    </row>
    <row r="208">
      <c r="L208" s="28" t="n"/>
      <c r="V208" s="28" t="n"/>
      <c r="W208" s="28" t="n"/>
    </row>
    <row r="209">
      <c r="L209" s="28" t="n"/>
      <c r="V209" s="28" t="n"/>
      <c r="W209" s="28" t="n"/>
    </row>
    <row r="210">
      <c r="L210" s="28" t="n"/>
      <c r="V210" s="28" t="n"/>
      <c r="W210" s="28" t="n"/>
    </row>
    <row r="211">
      <c r="L211" s="28" t="n"/>
      <c r="V211" s="28" t="n"/>
      <c r="W211" s="28" t="n"/>
    </row>
    <row r="212">
      <c r="L212" s="28" t="n"/>
      <c r="V212" s="28" t="n"/>
      <c r="W212" s="28" t="n"/>
    </row>
    <row r="213">
      <c r="L213" s="28" t="n"/>
      <c r="V213" s="28" t="n"/>
      <c r="W213" s="28" t="n"/>
    </row>
    <row r="214">
      <c r="L214" s="28" t="n"/>
      <c r="V214" s="28" t="n"/>
      <c r="W214" s="28" t="n"/>
    </row>
    <row r="215">
      <c r="L215" s="28" t="n"/>
      <c r="V215" s="28" t="n"/>
      <c r="W215" s="28" t="n"/>
    </row>
    <row r="216">
      <c r="L216" s="28" t="n"/>
      <c r="V216" s="28" t="n"/>
      <c r="W216" s="28" t="n"/>
    </row>
    <row r="217">
      <c r="L217" s="28" t="n"/>
      <c r="V217" s="28" t="n"/>
      <c r="W217" s="28" t="n"/>
    </row>
    <row r="218">
      <c r="L218" s="28" t="n"/>
      <c r="V218" s="28" t="n"/>
      <c r="W218" s="28" t="n"/>
    </row>
    <row r="219">
      <c r="L219" s="28" t="n"/>
      <c r="V219" s="28" t="n"/>
      <c r="W219" s="28" t="n"/>
    </row>
    <row r="220">
      <c r="L220" s="28" t="n"/>
      <c r="V220" s="28" t="n"/>
      <c r="W220" s="2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0" customWidth="1" min="3" max="3"/>
    <col width="48" customWidth="1" min="4" max="4"/>
  </cols>
  <sheetData>
    <row r="1">
      <c r="A1" s="8" t="inlineStr">
        <is>
          <t>RUNOFF SUMMARY AT EAST DISCHARGE</t>
        </is>
      </c>
      <c r="B1" s="9" t="n"/>
      <c r="C1" s="9" t="n"/>
      <c r="D1" s="9" t="n"/>
    </row>
    <row r="3">
      <c r="A3" s="10" t="inlineStr">
        <is>
          <t>Metric</t>
        </is>
      </c>
      <c r="B3" s="10" t="inlineStr">
        <is>
          <t>Value</t>
        </is>
      </c>
      <c r="C3" s="10" t="inlineStr">
        <is>
          <t>Unit</t>
        </is>
      </c>
      <c r="D3" s="10" t="inlineStr">
        <is>
          <t>Comment</t>
        </is>
      </c>
    </row>
    <row r="4">
      <c r="A4" s="3" t="inlineStr">
        <is>
          <t>Total effective contributing area BEFORE (m2)</t>
        </is>
      </c>
      <c r="B4" s="13">
        <f>SUM(Subcatchments!$E$4:$E$200)</f>
        <v/>
      </c>
      <c r="C4" s="3" t="inlineStr">
        <is>
          <t>m2</t>
        </is>
      </c>
      <c r="D4" s="3" t="inlineStr"/>
    </row>
    <row r="5">
      <c r="A5" s="3" t="inlineStr">
        <is>
          <t>Total effective contributing area AFTER (m2)</t>
        </is>
      </c>
      <c r="B5" s="13">
        <f>SUM(Subcatchments!$P$4:$P$200)</f>
        <v/>
      </c>
      <c r="C5" s="3" t="inlineStr">
        <is>
          <t>m2</t>
        </is>
      </c>
      <c r="D5" s="3" t="inlineStr"/>
    </row>
    <row r="6">
      <c r="A6" s="3" t="inlineStr">
        <is>
          <t>Total impervious area BEFORE (m2)</t>
        </is>
      </c>
      <c r="B6" s="13">
        <f>SUMIFS(Subcatchments!$E$4:$E$200,Subcatchments!$F$4:$F$200,"ROOF")+SUMIFS(Subcatchments!$E$4:$E$200,Subcatchments!$F$4:$F$200,"PAVAGE")+SUMIFS(Subcatchments!$E$4:$E$200,Subcatchments!$F$4:$F$200,"TRESFOND")+Inputs!$B$54*SUMIFS(Subcatchments!$E$4:$E$200,Subcatchments!$F$4:$F$200,"GRAVEL")</f>
        <v/>
      </c>
      <c r="C6" s="3" t="inlineStr">
        <is>
          <t>m2</t>
        </is>
      </c>
      <c r="D6" s="3" t="inlineStr">
        <is>
          <t>Impervious total includes GRAVEL weighted by Inputs!B54 policy factor.</t>
        </is>
      </c>
    </row>
    <row r="7">
      <c r="A7" s="3" t="inlineStr">
        <is>
          <t>Total impervious area AFTER (m2)</t>
        </is>
      </c>
      <c r="B7" s="13">
        <f>SUMIFS(Subcatchments!$P$4:$P$200,Subcatchments!$Q$4:$Q$200,"ROOF")+SUMIFS(Subcatchments!$P$4:$P$200,Subcatchments!$Q$4:$Q$200,"PAVAGE")+SUMIFS(Subcatchments!$P$4:$P$200,Subcatchments!$Q$4:$Q$200,"TRESFOND")+Inputs!$B$54*SUMIFS(Subcatchments!$P$4:$P$200,Subcatchments!$Q$4:$Q$200,"GRAVEL")</f>
        <v/>
      </c>
      <c r="C7" s="3" t="inlineStr">
        <is>
          <t>m2</t>
        </is>
      </c>
      <c r="D7" s="3" t="inlineStr">
        <is>
          <t>Impervious total includes GRAVEL weighted by Inputs!B54 policy factor.</t>
        </is>
      </c>
    </row>
    <row r="8">
      <c r="A8" s="3" t="inlineStr">
        <is>
          <t>Total grass area BEFORE (m2)</t>
        </is>
      </c>
      <c r="B8" s="13">
        <f>SUMIFS(Subcatchments!$E$4:$E$200,Subcatchments!$F$4:$F$200,"GRASS")</f>
        <v/>
      </c>
      <c r="C8" s="3" t="inlineStr">
        <is>
          <t>m2</t>
        </is>
      </c>
      <c r="D8" s="3" t="inlineStr"/>
    </row>
    <row r="9">
      <c r="A9" s="3" t="inlineStr">
        <is>
          <t>Total grass area AFTER (m2)</t>
        </is>
      </c>
      <c r="B9" s="13">
        <f>SUMIFS(Subcatchments!$P$4:$P$200,Subcatchments!$Q$4:$Q$200,"GRASS")</f>
        <v/>
      </c>
      <c r="C9" s="3" t="inlineStr">
        <is>
          <t>m2</t>
        </is>
      </c>
      <c r="D9" s="3" t="inlineStr"/>
    </row>
    <row r="10">
      <c r="A10" s="3" t="inlineStr">
        <is>
          <t>Total Q BEFORE (m3/s)</t>
        </is>
      </c>
      <c r="B10" s="13">
        <f>SUM(Subcatchments!$N$4:$N$200)*Inputs!$B$6</f>
        <v/>
      </c>
      <c r="C10" s="3" t="inlineStr">
        <is>
          <t>m3/s</t>
        </is>
      </c>
      <c r="D10" s="3" t="inlineStr">
        <is>
          <t>At east discharge reference</t>
        </is>
      </c>
    </row>
    <row r="11">
      <c r="A11" s="3" t="inlineStr">
        <is>
          <t>Total Q AFTER (m3/s)</t>
        </is>
      </c>
      <c r="B11" s="13">
        <f>SUM(Subcatchments!$Y$4:$Y$200)*Inputs!$B$6</f>
        <v/>
      </c>
      <c r="C11" s="3" t="inlineStr">
        <is>
          <t>m3/s</t>
        </is>
      </c>
      <c r="D11" s="3" t="inlineStr">
        <is>
          <t>At east discharge reference</t>
        </is>
      </c>
    </row>
    <row r="12">
      <c r="A12" s="3" t="inlineStr">
        <is>
          <t>Delta Q (AFTER-BEFORE) (m3/s)</t>
        </is>
      </c>
      <c r="B12" s="13">
        <f>B11-B10</f>
        <v/>
      </c>
      <c r="C12" s="3" t="inlineStr">
        <is>
          <t>m3/s</t>
        </is>
      </c>
      <c r="D12" s="3" t="inlineStr"/>
    </row>
    <row r="13">
      <c r="A13" s="3" t="inlineStr">
        <is>
          <t>Delta Q (%)</t>
        </is>
      </c>
      <c r="B13" s="13">
        <f>IF(B10=0,"",B12/B10)</f>
        <v/>
      </c>
      <c r="C13" s="3" t="inlineStr">
        <is>
          <t>-</t>
        </is>
      </c>
      <c r="D13" s="3" t="inlineStr"/>
    </row>
    <row r="16">
      <c r="A16" s="14" t="inlineStr">
        <is>
          <t>Discharge point considered:</t>
        </is>
      </c>
      <c r="B16" s="3">
        <f>Inputs!$B$20</f>
        <v/>
      </c>
    </row>
    <row r="18">
      <c r="A18" s="14" t="inlineStr">
        <is>
          <t>Intensity method / station</t>
        </is>
      </c>
      <c r="B18" s="16">
        <f>Inputs!$B$23&amp;" | "&amp;Inputs!$B$22&amp;" | "&amp;Inputs!$B$24</f>
        <v/>
      </c>
      <c r="C18" s="3" t="inlineStr">
        <is>
          <t>-</t>
        </is>
      </c>
      <c r="D18" s="3" t="inlineStr">
        <is>
          <t>STATION_TABLE uses IDF_Station lookup by Tc and return period (Saint-Constant project).</t>
        </is>
      </c>
    </row>
    <row r="20">
      <c r="A20" s="14" t="inlineStr">
        <is>
          <t>Allowable runoff check</t>
        </is>
      </c>
      <c r="B20" s="3" t="n"/>
      <c r="C20" s="3" t="n"/>
      <c r="D20" s="3" t="n"/>
    </row>
    <row r="21">
      <c r="A21" s="3" t="inlineStr">
        <is>
          <t>Q_allowable_user (m3/s)</t>
        </is>
      </c>
      <c r="B21" s="13">
        <f>Inputs!$B$25</f>
        <v/>
      </c>
      <c r="C21" s="3" t="inlineStr">
        <is>
          <t>m3/s</t>
        </is>
      </c>
      <c r="D21" s="3" t="inlineStr">
        <is>
          <t>Input by user/City requirement.</t>
        </is>
      </c>
    </row>
    <row r="22">
      <c r="A22" s="3" t="inlineStr">
        <is>
          <t>Q_after &lt;= Q_allowable ?</t>
        </is>
      </c>
      <c r="B22" s="16">
        <f>IF(B21="","INPUT REQUIRED",IF(B11&lt;=B21,"PASS","FAIL"))</f>
        <v/>
      </c>
      <c r="C22" s="3" t="inlineStr">
        <is>
          <t>-</t>
        </is>
      </c>
      <c r="D22" s="3" t="inlineStr">
        <is>
          <t>Compares total post-development flow to user allowable limit.</t>
        </is>
      </c>
    </row>
    <row r="23">
      <c r="A23" s="3" t="inlineStr">
        <is>
          <t>Margin (Q_allowable - Q_after)</t>
        </is>
      </c>
      <c r="B23" s="13">
        <f>IF(B21="","",B21-B11)</f>
        <v/>
      </c>
      <c r="C23" s="3" t="inlineStr">
        <is>
          <t>m3/s</t>
        </is>
      </c>
      <c r="D23" s="3" t="inlineStr">
        <is>
          <t>Positive = capacity remaining; negative = exceedance.</t>
        </is>
      </c>
    </row>
    <row r="25">
      <c r="A25" s="10" t="inlineStr">
        <is>
          <t>Area takeoff check (labels from marked plan)</t>
        </is>
      </c>
      <c r="B25" s="19" t="n"/>
      <c r="C25" s="19" t="n"/>
      <c r="D25" s="19" t="n"/>
    </row>
    <row r="26">
      <c r="A26" s="3" t="inlineStr">
        <is>
          <t>A=12712 m2 included?</t>
        </is>
      </c>
      <c r="B26" s="16">
        <f>IF(COUNTIF(Subcatchments!$C$4:$C$200,12712)&gt;0,"YES","NO")</f>
        <v/>
      </c>
      <c r="C26" s="3" t="n"/>
      <c r="D26" s="3" t="n"/>
    </row>
    <row r="27">
      <c r="A27" s="3" t="inlineStr">
        <is>
          <t>A=2961 m2 included?</t>
        </is>
      </c>
      <c r="B27" s="16">
        <f>IF(COUNTIF(Subcatchments!$C$4:$C$200,2961)&gt;0,"YES","NO")</f>
        <v/>
      </c>
      <c r="C27" s="3" t="n"/>
      <c r="D27" s="3" t="n"/>
    </row>
    <row r="28">
      <c r="A28" s="3" t="inlineStr">
        <is>
          <t>A=2882 m2 included?</t>
        </is>
      </c>
      <c r="B28" s="16">
        <f>IF(COUNTIF(Subcatchments!$C$4:$C$200,2882)&gt;0,"YES","NO")</f>
        <v/>
      </c>
      <c r="C28" s="3" t="n"/>
      <c r="D28" s="3" t="n"/>
    </row>
    <row r="29">
      <c r="A29" s="3" t="inlineStr">
        <is>
          <t>A=1869.7 m2 included?</t>
        </is>
      </c>
      <c r="B29" s="16">
        <f>IF(COUNTIF(Subcatchments!$C$4:$C$200,1869.7)&gt;0,"YES","NO")</f>
        <v/>
      </c>
      <c r="C29" s="3" t="n"/>
      <c r="D29" s="3" t="n"/>
    </row>
    <row r="30">
      <c r="A30" s="3" t="inlineStr">
        <is>
          <t>A=398 m2 included?</t>
        </is>
      </c>
      <c r="B30" s="16">
        <f>IF(COUNTIF(Subcatchments!$C$4:$C$200,398)&gt;0,"YES","NO")</f>
        <v/>
      </c>
      <c r="C30" s="3" t="n"/>
      <c r="D30" s="3" t="n"/>
    </row>
    <row r="32">
      <c r="A32" s="10" t="inlineStr">
        <is>
          <t>SC-07 + SC-08 mixed-surface sensitivity (Q_after)</t>
        </is>
      </c>
      <c r="B32" s="19" t="n"/>
      <c r="C32" s="19" t="n"/>
      <c r="D32" s="19" t="n"/>
    </row>
    <row r="33">
      <c r="A33" s="3" t="inlineStr">
        <is>
          <t>LOW (imp frac = Inputs!B34)</t>
        </is>
      </c>
      <c r="B33" s="13">
        <f>Inputs!$B$6*(IF(OR(Subcatchments!$P$9="",Subcatchments!$X$9=""),0,2.78E-7*(Inputs!$B$34*Inputs!$B$14+(1-Inputs!$B$34)*Inputs!$B$16)*Subcatchments!$P$9*Subcatchments!$X$9)+IF(OR(Subcatchments!$P$10="",Subcatchments!$X$10=""),0,2.78E-7*(Inputs!$B$34*Inputs!$B$14+(1-Inputs!$B$34)*Inputs!$B$16)*Subcatchments!$P$10*Subcatchments!$X$10))</f>
        <v/>
      </c>
      <c r="C33" s="3" t="inlineStr">
        <is>
          <t>m3/s</t>
        </is>
      </c>
      <c r="D33" s="3" t="inlineStr">
        <is>
          <t>After-flow contribution of SC-07+SC-08 under LOW impervious assumption.</t>
        </is>
      </c>
    </row>
    <row r="34">
      <c r="A34" s="3" t="inlineStr">
        <is>
          <t>BASE (imp frac = Inputs!B35)</t>
        </is>
      </c>
      <c r="B34" s="13">
        <f>Inputs!$B$6*(IF(OR(Subcatchments!$P$9="",Subcatchments!$X$9=""),0,2.78E-7*(Inputs!$B$35*Inputs!$B$14+(1-Inputs!$B$35)*Inputs!$B$16)*Subcatchments!$P$9*Subcatchments!$X$9)+IF(OR(Subcatchments!$P$10="",Subcatchments!$X$10=""),0,2.78E-7*(Inputs!$B$35*Inputs!$B$14+(1-Inputs!$B$35)*Inputs!$B$16)*Subcatchments!$P$10*Subcatchments!$X$10))</f>
        <v/>
      </c>
      <c r="C34" s="3" t="inlineStr">
        <is>
          <t>m3/s</t>
        </is>
      </c>
      <c r="D34" s="3" t="inlineStr">
        <is>
          <t>After-flow contribution of SC-07+SC-08 under BASE impervious assumption.</t>
        </is>
      </c>
    </row>
    <row r="35">
      <c r="A35" s="3" t="inlineStr">
        <is>
          <t>HIGH (imp frac = Inputs!B36)</t>
        </is>
      </c>
      <c r="B35" s="13">
        <f>Inputs!$B$6*(IF(OR(Subcatchments!$P$9="",Subcatchments!$X$9=""),0,2.78E-7*(Inputs!$B$36*Inputs!$B$14+(1-Inputs!$B$36)*Inputs!$B$16)*Subcatchments!$P$9*Subcatchments!$X$9)+IF(OR(Subcatchments!$P$10="",Subcatchments!$X$10=""),0,2.78E-7*(Inputs!$B$36*Inputs!$B$14+(1-Inputs!$B$36)*Inputs!$B$16)*Subcatchments!$P$10*Subcatchments!$X$10))</f>
        <v/>
      </c>
      <c r="C35" s="3" t="inlineStr">
        <is>
          <t>m3/s</t>
        </is>
      </c>
      <c r="D35" s="3" t="inlineStr">
        <is>
          <t>After-flow contribution of SC-07+SC-08 under HIGH impervious assumption.</t>
        </is>
      </c>
    </row>
    <row r="36">
      <c r="A36" s="3" t="inlineStr">
        <is>
          <t>ACTIVE scenario value (from mode)</t>
        </is>
      </c>
      <c r="B36" s="13">
        <f>(Subcatchments!$Y$9+Subcatchments!$Y$10)*Inputs!$B$6</f>
        <v/>
      </c>
      <c r="C36" s="3" t="inlineStr">
        <is>
          <t>m3/s</t>
        </is>
      </c>
      <c r="D36" s="3" t="inlineStr">
        <is>
          <t>Current SC-07+SC-08 after-flow using selected mode in Inputs!B33.</t>
        </is>
      </c>
    </row>
    <row r="38">
      <c r="A38" s="10" t="inlineStr">
        <is>
          <t>Collector trunk explicit total length (m)</t>
        </is>
      </c>
      <c r="B38" s="22">
        <f>Inputs!$B$49</f>
        <v/>
      </c>
      <c r="C38" s="3" t="inlineStr">
        <is>
          <t>m</t>
        </is>
      </c>
      <c r="D38" s="3" t="inlineStr">
        <is>
          <t>From explicit east+bottom+west inputs.</t>
        </is>
      </c>
    </row>
    <row r="39">
      <c r="A39" s="10" t="inlineStr">
        <is>
          <t>Collector trunk implied length from note (m)</t>
        </is>
      </c>
      <c r="B39" s="22">
        <f>Inputs!$B$45</f>
        <v/>
      </c>
      <c r="C39" s="3" t="inlineStr">
        <is>
          <t>m</t>
        </is>
      </c>
      <c r="D39" s="3" t="inlineStr">
        <is>
          <t>Computed from 0.983 m / 0.5%.</t>
        </is>
      </c>
    </row>
    <row r="40">
      <c r="A40" s="10" t="inlineStr">
        <is>
          <t>Length mismatch explicit-implied (m)</t>
        </is>
      </c>
      <c r="B40" s="22">
        <f>Inputs!$B$50</f>
        <v/>
      </c>
      <c r="C40" s="3" t="inlineStr">
        <is>
          <t>m</t>
        </is>
      </c>
      <c r="D40" s="3" t="inlineStr">
        <is>
          <t>Target near 0 after field chainage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IDF station table used by model (Saint-Constant project; current values from McTavish table)</t>
        </is>
      </c>
      <c r="B1" s="6" t="n"/>
      <c r="C1" s="6" t="n"/>
      <c r="D1" s="6" t="n"/>
      <c r="E1" s="6" t="n"/>
      <c r="F1" s="6" t="n"/>
      <c r="G1" s="6" t="n"/>
    </row>
    <row r="2">
      <c r="A2" s="10" t="inlineStr">
        <is>
          <t>Duration_min</t>
        </is>
      </c>
      <c r="B2" s="10" t="inlineStr">
        <is>
          <t>2-Year</t>
        </is>
      </c>
      <c r="C2" s="10" t="inlineStr">
        <is>
          <t>5-Year</t>
        </is>
      </c>
      <c r="D2" s="10" t="inlineStr">
        <is>
          <t>10-Year</t>
        </is>
      </c>
      <c r="E2" s="10" t="inlineStr">
        <is>
          <t>25-Year</t>
        </is>
      </c>
      <c r="F2" s="10" t="inlineStr">
        <is>
          <t>50-Year</t>
        </is>
      </c>
      <c r="G2" s="10" t="inlineStr">
        <is>
          <t>100-Year</t>
        </is>
      </c>
    </row>
    <row r="3">
      <c r="A3" s="17" t="n">
        <v>5</v>
      </c>
      <c r="B3" s="17" t="n">
        <v>91.2</v>
      </c>
      <c r="C3" s="17" t="n">
        <v>120</v>
      </c>
      <c r="D3" s="17" t="n">
        <v>138</v>
      </c>
      <c r="E3" s="17" t="n">
        <v>162</v>
      </c>
      <c r="F3" s="17" t="n">
        <v>178.8</v>
      </c>
      <c r="G3" s="17" t="n">
        <v>196.8</v>
      </c>
    </row>
    <row r="4">
      <c r="A4" s="17" t="n">
        <v>10</v>
      </c>
      <c r="B4" s="17" t="n">
        <v>69.59999999999999</v>
      </c>
      <c r="C4" s="17" t="n">
        <v>91.2</v>
      </c>
      <c r="D4" s="17" t="n">
        <v>105.6</v>
      </c>
      <c r="E4" s="17" t="n">
        <v>123.6</v>
      </c>
      <c r="F4" s="17" t="n">
        <v>136.8</v>
      </c>
      <c r="G4" s="17" t="n">
        <v>150</v>
      </c>
    </row>
    <row r="5">
      <c r="A5" s="17" t="n">
        <v>15</v>
      </c>
      <c r="B5" s="17" t="n">
        <v>55.6</v>
      </c>
      <c r="C5" s="17" t="n">
        <v>74</v>
      </c>
      <c r="D5" s="17" t="n">
        <v>86.40000000000001</v>
      </c>
      <c r="E5" s="17" t="n">
        <v>102</v>
      </c>
      <c r="F5" s="17" t="n">
        <v>113.2</v>
      </c>
      <c r="G5" s="17" t="n">
        <v>124.8</v>
      </c>
    </row>
    <row r="6">
      <c r="A6" s="17" t="n">
        <v>30</v>
      </c>
      <c r="B6" s="17" t="n">
        <v>39.6</v>
      </c>
      <c r="C6" s="17" t="n">
        <v>53.6</v>
      </c>
      <c r="D6" s="17" t="n">
        <v>62.8</v>
      </c>
      <c r="E6" s="17" t="n">
        <v>74.59999999999999</v>
      </c>
      <c r="F6" s="17" t="n">
        <v>83.40000000000001</v>
      </c>
      <c r="G6" s="17" t="n">
        <v>92</v>
      </c>
    </row>
    <row r="7">
      <c r="A7" s="17" t="n">
        <v>60</v>
      </c>
      <c r="B7" s="17" t="n">
        <v>24.6</v>
      </c>
      <c r="C7" s="17" t="n">
        <v>36.3</v>
      </c>
      <c r="D7" s="17" t="n">
        <v>44.1</v>
      </c>
      <c r="E7" s="17" t="n">
        <v>53.9</v>
      </c>
      <c r="F7" s="17" t="n">
        <v>61.2</v>
      </c>
      <c r="G7" s="17" t="n">
        <v>68.40000000000001</v>
      </c>
    </row>
    <row r="8">
      <c r="A8" s="17" t="n">
        <v>120</v>
      </c>
      <c r="B8" s="17" t="n">
        <v>13.7</v>
      </c>
      <c r="C8" s="17" t="n">
        <v>20.3</v>
      </c>
      <c r="D8" s="17" t="n">
        <v>24.7</v>
      </c>
      <c r="E8" s="17" t="n">
        <v>30.3</v>
      </c>
      <c r="F8" s="17" t="n">
        <v>34.4</v>
      </c>
      <c r="G8" s="17" t="n">
        <v>38.5</v>
      </c>
    </row>
    <row r="9">
      <c r="A9" s="17" t="n">
        <v>360</v>
      </c>
      <c r="B9" s="17" t="n">
        <v>6</v>
      </c>
      <c r="C9" s="17" t="n">
        <v>8.1</v>
      </c>
      <c r="D9" s="17" t="n">
        <v>9.6</v>
      </c>
      <c r="E9" s="17" t="n">
        <v>11.4</v>
      </c>
      <c r="F9" s="17" t="n">
        <v>12.8</v>
      </c>
      <c r="G9" s="17" t="n">
        <v>14.2</v>
      </c>
    </row>
    <row r="10">
      <c r="A10" s="17" t="n">
        <v>720</v>
      </c>
      <c r="B10" s="17" t="n">
        <v>3.6</v>
      </c>
      <c r="C10" s="17" t="n">
        <v>4.8</v>
      </c>
      <c r="D10" s="17" t="n">
        <v>5.5</v>
      </c>
      <c r="E10" s="17" t="n">
        <v>6.5</v>
      </c>
      <c r="F10" s="17" t="n">
        <v>7.2</v>
      </c>
      <c r="G10" s="17" t="n">
        <v>7.9</v>
      </c>
    </row>
    <row r="11">
      <c r="A11" s="17" t="n">
        <v>1440</v>
      </c>
      <c r="B11" s="17" t="n">
        <v>2.1</v>
      </c>
      <c r="C11" s="17" t="n">
        <v>2.7</v>
      </c>
      <c r="D11" s="17" t="n">
        <v>3.1</v>
      </c>
      <c r="E11" s="17" t="n">
        <v>3.6</v>
      </c>
      <c r="F11" s="17" t="n">
        <v>3.9</v>
      </c>
      <c r="G11" s="17" t="n">
        <v>4.3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8" customWidth="1" min="4" max="4"/>
    <col width="20" customWidth="1" min="5" max="5"/>
    <col width="18" customWidth="1" min="6" max="6"/>
    <col width="24" customWidth="1" min="7" max="7"/>
    <col width="24" customWidth="1" min="8" max="8"/>
    <col width="40" customWidth="1" min="9" max="9"/>
  </cols>
  <sheetData>
    <row r="1">
      <c r="A1" s="8" t="inlineStr">
        <is>
          <t>THREE-LINE TRENCH/DITCH PROFILE INPUT</t>
        </is>
      </c>
      <c r="B1" s="9" t="n"/>
      <c r="C1" s="9" t="n"/>
      <c r="D1" s="9" t="n"/>
      <c r="E1" s="9" t="n"/>
      <c r="F1" s="9" t="n"/>
      <c r="G1" s="9" t="n"/>
      <c r="H1" s="9" t="n"/>
      <c r="I1" s="9" t="n"/>
    </row>
    <row r="3">
      <c r="A3" s="10" t="inlineStr">
        <is>
          <t>Path_ID</t>
        </is>
      </c>
      <c r="B3" s="10" t="inlineStr">
        <is>
          <t>Station_ID</t>
        </is>
      </c>
      <c r="C3" s="10" t="inlineStr">
        <is>
          <t>Distance_from_start_m</t>
        </is>
      </c>
      <c r="D3" s="10" t="inlineStr">
        <is>
          <t>Left_edge_elev_m</t>
        </is>
      </c>
      <c r="E3" s="10" t="inlineStr">
        <is>
          <t>Center_invert_elev_m</t>
        </is>
      </c>
      <c r="F3" s="10" t="inlineStr">
        <is>
          <t>Right_edge_elev_m</t>
        </is>
      </c>
      <c r="G3" s="10" t="inlineStr">
        <is>
          <t>Cross_slope_left_to_center_%</t>
        </is>
      </c>
      <c r="H3" s="10" t="inlineStr">
        <is>
          <t>Cross_slope_right_to_center_%</t>
        </is>
      </c>
      <c r="I3" s="10" t="inlineStr">
        <is>
          <t>Notes</t>
        </is>
      </c>
    </row>
    <row r="4">
      <c r="A4" s="3" t="inlineStr">
        <is>
          <t>P-FIELD-3LINE</t>
        </is>
      </c>
      <c r="B4" s="3" t="inlineStr">
        <is>
          <t>S0</t>
        </is>
      </c>
      <c r="C4" s="3" t="n">
        <v>0</v>
      </c>
      <c r="D4" s="3" t="inlineStr"/>
      <c r="E4" s="3" t="inlineStr"/>
      <c r="F4" s="3" t="inlineStr"/>
      <c r="G4" s="16">
        <f>IF(OR(D4="",E4=""),"",IF(C4="","",100*(D4-E4)/MAX(0.001,1)))</f>
        <v/>
      </c>
      <c r="H4" s="16">
        <f>IF(OR(F4="",E4=""),"",IF(C4="","",100*(F4-E4)/MAX(0.001,1)))</f>
        <v/>
      </c>
      <c r="I4" s="3" t="inlineStr">
        <is>
          <t>Start point</t>
        </is>
      </c>
    </row>
    <row r="5">
      <c r="A5" s="3" t="inlineStr">
        <is>
          <t>P-FIELD-3LINE</t>
        </is>
      </c>
      <c r="B5" s="3" t="inlineStr">
        <is>
          <t>S1</t>
        </is>
      </c>
      <c r="C5" s="3" t="inlineStr"/>
      <c r="D5" s="3" t="inlineStr"/>
      <c r="E5" s="3" t="inlineStr"/>
      <c r="F5" s="3" t="inlineStr"/>
      <c r="G5" s="16">
        <f>IF(OR(D5="",E5=""),"",IF(C5="","",100*(D5-E5)/MAX(0.001,1)))</f>
        <v/>
      </c>
      <c r="H5" s="16">
        <f>IF(OR(F5="",E5=""),"",IF(C5="","",100*(F5-E5)/MAX(0.001,1)))</f>
        <v/>
      </c>
      <c r="I5" s="3" t="inlineStr">
        <is>
          <t>Intermediate point</t>
        </is>
      </c>
    </row>
    <row r="6">
      <c r="A6" s="3" t="inlineStr">
        <is>
          <t>P-FIELD-3LINE</t>
        </is>
      </c>
      <c r="B6" s="3" t="inlineStr">
        <is>
          <t>S2</t>
        </is>
      </c>
      <c r="C6" s="3" t="inlineStr"/>
      <c r="D6" s="3" t="inlineStr"/>
      <c r="E6" s="3" t="inlineStr"/>
      <c r="F6" s="3" t="inlineStr"/>
      <c r="G6" s="16">
        <f>IF(OR(D6="",E6=""),"",IF(C6="","",100*(D6-E6)/MAX(0.001,1)))</f>
        <v/>
      </c>
      <c r="H6" s="16">
        <f>IF(OR(F6="",E6=""),"",IF(C6="","",100*(F6-E6)/MAX(0.001,1)))</f>
        <v/>
      </c>
      <c r="I6" s="3" t="inlineStr">
        <is>
          <t>Near outlet point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42" customWidth="1" min="5" max="5"/>
    <col width="48" customWidth="1" min="6" max="6"/>
  </cols>
  <sheetData>
    <row r="1">
      <c r="A1" s="10" t="inlineStr">
        <is>
          <t>Segment_ID</t>
        </is>
      </c>
      <c r="B1" s="10" t="inlineStr">
        <is>
          <t>Path_ID</t>
        </is>
      </c>
      <c r="C1" s="10" t="inlineStr">
        <is>
          <t>From_node</t>
        </is>
      </c>
      <c r="D1" s="10" t="inlineStr">
        <is>
          <t>To_node</t>
        </is>
      </c>
      <c r="E1" s="10" t="inlineStr">
        <is>
          <t>Plan location intent</t>
        </is>
      </c>
      <c r="F1" s="10" t="inlineStr">
        <is>
          <t>Length source</t>
        </is>
      </c>
    </row>
    <row r="2">
      <c r="A2" s="3" t="inlineStr">
        <is>
          <t>A01-EAST-STRIP</t>
        </is>
      </c>
      <c r="B2" s="3" t="inlineStr">
        <is>
          <t>P-EAST-STRIP</t>
        </is>
      </c>
      <c r="C2" s="3" t="inlineStr">
        <is>
          <t>Field east strip inflow</t>
        </is>
      </c>
      <c r="D2" s="3" t="inlineStr">
        <is>
          <t>J-EAST-IN</t>
        </is>
      </c>
      <c r="E2" s="3" t="inlineStr">
        <is>
          <t>SE/right-field edge trench line</t>
        </is>
      </c>
      <c r="F2" s="3" t="inlineStr">
        <is>
          <t>Profile/plan geometry (editable in FlowPaths G7)</t>
        </is>
      </c>
    </row>
    <row r="3">
      <c r="A3" s="3" t="inlineStr">
        <is>
          <t>A02-EAST-OUT</t>
        </is>
      </c>
      <c r="B3" s="3" t="inlineStr">
        <is>
          <t>P-EAST-OUT</t>
        </is>
      </c>
      <c r="C3" s="3" t="inlineStr">
        <is>
          <t>J-EAST-IN</t>
        </is>
      </c>
      <c r="D3" s="3" t="inlineStr">
        <is>
          <t>EAST-OUT</t>
        </is>
      </c>
      <c r="E3" s="3" t="inlineStr">
        <is>
          <t>Short east outlet collector</t>
        </is>
      </c>
      <c r="F3" s="3" t="inlineStr">
        <is>
          <t>Profile/plan geometry (editable in FlowPaths G8)</t>
        </is>
      </c>
    </row>
    <row r="4">
      <c r="A4" s="3" t="inlineStr">
        <is>
          <t>A03-FIELD-3LINE</t>
        </is>
      </c>
      <c r="B4" s="3" t="inlineStr">
        <is>
          <t>P-FIELD-3LINE</t>
        </is>
      </c>
      <c r="C4" s="3" t="inlineStr">
        <is>
          <t>Field interior (3-line drain)</t>
        </is>
      </c>
      <c r="D4" s="3" t="inlineStr">
        <is>
          <t>EAST-IN</t>
        </is>
      </c>
      <c r="E4" s="3" t="inlineStr">
        <is>
          <t>Center/middle dimensioned segment ending at EAST-IN label.</t>
        </is>
      </c>
      <c r="F4" s="3" t="inlineStr">
        <is>
          <t>Inputs!B47 = 34.509 m (user dimension tool).</t>
        </is>
      </c>
    </row>
    <row r="5">
      <c r="A5" s="3" t="inlineStr">
        <is>
          <t>A01T-EAST-TRUNK</t>
        </is>
      </c>
      <c r="B5" s="3" t="inlineStr">
        <is>
          <t>P-EAST-STRIP</t>
        </is>
      </c>
      <c r="C5" s="3" t="inlineStr">
        <is>
          <t>EAST-IN</t>
        </is>
      </c>
      <c r="D5" s="3" t="inlineStr">
        <is>
          <t>EAST-OUT</t>
        </is>
      </c>
      <c r="E5" s="3" t="inlineStr">
        <is>
          <t>East-side collector run for P-EAST-STRIP path.</t>
        </is>
      </c>
      <c r="F5" s="3" t="inlineStr">
        <is>
          <t>Inputs!B46 = 66.398 m (user dimension tool).</t>
        </is>
      </c>
    </row>
    <row r="6">
      <c r="A6" s="3" t="inlineStr">
        <is>
          <t>A03T-EAST-TRUNK</t>
        </is>
      </c>
      <c r="B6" s="3" t="inlineStr">
        <is>
          <t>P-FIELD-3LINE</t>
        </is>
      </c>
      <c r="C6" s="3" t="inlineStr">
        <is>
          <t>EAST-IN</t>
        </is>
      </c>
      <c r="D6" s="3" t="inlineStr">
        <is>
          <t>EAST-OUT</t>
        </is>
      </c>
      <c r="E6" s="3" t="inlineStr">
        <is>
          <t>East-side collector run from EAST-IN to EAST-OUT.</t>
        </is>
      </c>
      <c r="F6" s="3" t="inlineStr">
        <is>
          <t>Inputs!B46 = 66.398 m (user dimension tool).</t>
        </is>
      </c>
    </row>
    <row r="7">
      <c r="A7" s="3" t="inlineStr">
        <is>
          <t>A04T-WEST-TRUNK</t>
        </is>
      </c>
      <c r="B7" s="3" t="inlineStr">
        <is>
          <t>P-WEST-PAVE</t>
        </is>
      </c>
      <c r="C7" s="3" t="inlineStr">
        <is>
          <t>West tie-in</t>
        </is>
      </c>
      <c r="D7" s="3" t="inlineStr">
        <is>
          <t>J-TRUNK-WEST</t>
        </is>
      </c>
      <c r="E7" s="3" t="inlineStr">
        <is>
          <t>Future collector west side</t>
        </is>
      </c>
      <c r="F7" s="3" t="inlineStr">
        <is>
          <t>Inputs!B48 (67.025 m from dimension tool)</t>
        </is>
      </c>
    </row>
    <row r="8">
      <c r="A8" s="3" t="inlineStr">
        <is>
          <t>A04T-CENTER-SW</t>
        </is>
      </c>
      <c r="B8" s="3" t="inlineStr">
        <is>
          <t>P-WEST-PAVE</t>
        </is>
      </c>
      <c r="C8" s="3" t="inlineStr">
        <is>
          <t>J-TRUNK-WEST</t>
        </is>
      </c>
      <c r="D8" s="3" t="inlineStr">
        <is>
          <t>J-TRUNK-BOTTOM</t>
        </is>
      </c>
      <c r="E8" s="3" t="inlineStr">
        <is>
          <t>Center-to-south trunk reach</t>
        </is>
      </c>
      <c r="F8" s="3" t="inlineStr">
        <is>
          <t>Inputs!B47 (34.509 m from dimension tool)</t>
        </is>
      </c>
    </row>
    <row r="9">
      <c r="A9" s="3" t="inlineStr">
        <is>
          <t>A04T-EAST-TRUNK2</t>
        </is>
      </c>
      <c r="B9" s="3" t="inlineStr">
        <is>
          <t>P-WEST-PAVE</t>
        </is>
      </c>
      <c r="C9" s="3" t="inlineStr">
        <is>
          <t>J-TRUNK-BOTTOM</t>
        </is>
      </c>
      <c r="D9" s="3" t="inlineStr">
        <is>
          <t>EAST-OUT</t>
        </is>
      </c>
      <c r="E9" s="3" t="inlineStr">
        <is>
          <t>East approach to outlet</t>
        </is>
      </c>
      <c r="F9" s="3" t="inlineStr">
        <is>
          <t>Inputs!B46 (66.398 m from dimension tool)</t>
        </is>
      </c>
    </row>
    <row r="10">
      <c r="A10" s="3" t="inlineStr">
        <is>
          <t>A02T-EAST-TRUNK</t>
        </is>
      </c>
      <c r="B10" s="3" t="inlineStr">
        <is>
          <t>P-EAST-OUT</t>
        </is>
      </c>
      <c r="C10" s="3" t="inlineStr">
        <is>
          <t>Along east collector</t>
        </is>
      </c>
      <c r="D10" s="3" t="inlineStr">
        <is>
          <t>EAST-OUT</t>
        </is>
      </c>
      <c r="E10" s="3" t="inlineStr">
        <is>
          <t>Optional extra east trunk for P-EAST-OUT</t>
        </is>
      </c>
      <c r="F10" s="3" t="inlineStr">
        <is>
          <t>Inputs!B46 (66.398 m from dimension tool)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2026-07-11T05:08:38Z</dcterms:created>
  <dcterms:modified xsi:type="dcterms:W3CDTF">2026-07-14T00:43:49Z</dcterms:modified>
</cp:coreProperties>
</file>