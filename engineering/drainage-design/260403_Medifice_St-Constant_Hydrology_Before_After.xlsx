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0;0.000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Tresfond/puisard/internal drainage option can be modeled with path ID P-MECH (after scenario).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sheet: define each hydraulic stretch (sheet flow/swale/pipe/internal line) for BEFORE and AFTER.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fix: intensity formulas simplified (table lookup by Tc, no deep nested interpolation).</t>
        </is>
      </c>
    </row>
    <row r="59">
      <c r="A59" t="inlineStr">
        <is>
          <t>Default mode now STATION_TABLE; paste Metabetchouan IDF values in IDF_Station rows 3..11.</t>
        </is>
      </c>
    </row>
    <row r="60">
      <c r="A60" t="inlineStr">
        <is>
          <t>IDF_a/b/c are ignored unless Intensity_source is switched to IDF_EQUATION.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mechanical drain adopted velocity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METABETCHOUAN (paste station table values in IDF_Station)</t>
        </is>
      </c>
      <c r="C22" s="3" t="inlineStr">
        <is>
          <t>-</t>
        </is>
      </c>
      <c r="D22" s="3" t="inlineStr">
        <is>
          <t>Station used for table lookup intensities.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IF(I4&lt;&gt;"",I4,IF(UPPER(TRIM(F4))="SHEET",Inputs!$B$7,IF(UPPER(TRIM(F4))="SWALE",Inputs!$B$8,IF(UPPER(TRIM(F4))="PIPE",Inputs!$B$9,Inputs!$B$10))))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Adjust lengths from plan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IF(I5&lt;&gt;"",I5,IF(UPPER(TRIM(F5))="SHEET",Inputs!$B$7,IF(UPPER(TRIM(F5))="SWALE",Inputs!$B$8,IF(UPPER(TRIM(F5))="PIPE",Inputs!$B$9,Inputs!$B$10))))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IF(I6&lt;&gt;"",I6,IF(UPPER(TRIM(F6))="SHEET",Inputs!$B$7,IF(UPPER(TRIM(F6))="SWALE",Inputs!$B$8,IF(UPPER(TRIM(F6))="PIPE",Inputs!$B$9,Inputs!$B$10))))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trench/collector</t>
        </is>
      </c>
      <c r="F7" s="3" t="inlineStr">
        <is>
          <t>PIPE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IF(I7&lt;&gt;"",I7,IF(UPPER(TRIM(F7))="SHEET",Inputs!$B$7,IF(UPPER(TRIM(F7))="SWALE",Inputs!$B$8,IF(UPPER(TRIM(F7))="PIPE",Inputs!$B$9,Inputs!$B$10))))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E01+E02 equivalent path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collector to culvert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IF(I8&lt;&gt;"",I8,IF(UPPER(TRIM(F8))="SHEET",Inputs!$B$7,IF(UPPER(TRIM(F8))="SWALE",Inputs!$B$8,IF(UPPER(TRIM(F8))="PIPE",Inputs!$B$9,Inputs!$B$10))))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Equivalent to outlet branch</t>
        </is>
      </c>
    </row>
    <row r="9">
      <c r="A9" s="3" t="inlineStr">
        <is>
          <t>AFTER</t>
        </is>
      </c>
      <c r="B9" s="3" t="inlineStr">
        <is>
          <t>P-MECH</t>
        </is>
      </c>
      <c r="C9" s="3" t="n">
        <v>1</v>
      </c>
      <c r="D9" s="3" t="inlineStr">
        <is>
          <t>A03</t>
        </is>
      </c>
      <c r="E9" s="3" t="inlineStr">
        <is>
          <t>Puisards to internal drainage line</t>
        </is>
      </c>
      <c r="F9" s="3" t="inlineStr">
        <is>
          <t>INTERNAL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IF(I9&lt;&gt;"",I9,IF(UPPER(TRIM(F9))="SHEET",Inputs!$B$7,IF(UPPER(TRIM(F9))="SWALE",Inputs!$B$8,IF(UPPER(TRIM(F9))="PIPE",Inputs!$B$9,Inputs!$B$10))))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Mechanical team system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IF(I10&lt;&gt;"",I10,IF(UPPER(TRIM(F10))="SHEET",Inputs!$B$7,IF(UPPER(TRIM(F10))="SWALE",Inputs!$B$8,IF(UPPER(TRIM(F10))="PIPE",Inputs!$B$9,Inputs!$B$10))))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12712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From marked plan: A=12712 m2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2" t="inlineStr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2" t="inlineStr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P-EAST-OUT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 (concrete, treated as impervious paved surface).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P-EAST-OUT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SC-06</t>
        </is>
      </c>
      <c r="B9" s="3" t="inlineStr">
        <is>
          <t>Optional additional tributary (if another label is found)</t>
        </is>
      </c>
      <c r="C9" s="18" t="inlineStr"/>
      <c r="D9" s="3" t="n">
        <v>1</v>
      </c>
      <c r="E9" s="13">
        <f>IF(C9="","",C9*D9)</f>
        <v/>
      </c>
      <c r="F9" s="3" t="inlineStr">
        <is>
          <t>GRAVEL</t>
        </is>
      </c>
      <c r="G9" s="3" t="n"/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13">
        <f>IF(I9="",Inputs!$B$11,I9)+K9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GRAVEL</t>
        </is>
      </c>
      <c r="R9" s="3" t="n"/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P-EAST-OUT</t>
        </is>
      </c>
      <c r="V9" s="13">
        <f>IF(U9="",0,SUMIFS(FlowPaths!$K:$K,FlowPaths!$A:$A,"AFTER",FlowPaths!$B:$B,U9))</f>
        <v/>
      </c>
      <c r="W9" s="13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Reserved row. Enter area only if another labeled tributary must be included.</t>
        </is>
      </c>
    </row>
    <row r="10">
      <c r="M10" s="15">
        <f>IF(L10="","",IF(UPPER(TRIM(Inputs!$B$23))="IDF_EQUATION",Inputs!$B$3/((L10+Inputs!$B$4)^Inputs!$B$5),INDEX(IDF_Station!$B$3:$G$11,IFERROR(MATCH(L10,IDF_Station!$A$3:$A$11,1),1),MATCH(Inputs!$B$24,IDF_Station!$B$2:$G$2,0))))</f>
        <v/>
      </c>
      <c r="X10" s="15">
        <f>IF(W10="","",IF(UPPER(TRIM(Inputs!$B$23))="IDF_EQUATION",Inputs!$B$3/((W10+Inputs!$B$4)^Inputs!$B$5),INDEX(IDF_Station!$B$3:$G$11,IFERROR(MATCH(W10,IDF_Station!$A$3:$A$11,1),1),MATCH(Inputs!$B$24,IDF_Station!$B$2:$G$2,0))))</f>
        <v/>
      </c>
    </row>
    <row r="11"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selected return period.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(paste Metabetchouan values here)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2026-07-11T19:32:27Z</dcterms:modified>
</cp:coreProperties>
</file>