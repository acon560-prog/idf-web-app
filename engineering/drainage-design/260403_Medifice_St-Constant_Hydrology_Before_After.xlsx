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  <xf numFmtId="1" fontId="0" fillId="6" borderId="1" pivotButton="0" quotePrefix="0" xfId="0"/>
    <xf numFmtId="2" fontId="0" fillId="6" borderId="1" pivotButton="0" quotePrefix="0" xfId="0"/>
    <xf numFmtId="165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TERRAIN DE BASEBALL - HYDROLOGIE AVANT/APRES (METHODE RATIONNELLE)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Objectif : comparer le debit au point de rejet est (ponceau) avant et apres la refection.</t>
        </is>
      </c>
      <c r="B3" s="3" t="n"/>
      <c r="C3" s="3" t="n"/>
      <c r="D3" s="3" t="n"/>
      <c r="E3" s="3" t="n"/>
      <c r="F3" s="3" t="n"/>
    </row>
    <row r="4">
      <c r="A4" s="4" t="inlineStr">
        <is>
          <t>Regle d interpretation utilisee : elevations en boites de texte jaunes = propose; texte simple = existant.</t>
        </is>
      </c>
      <c r="B4" s="3" t="n"/>
      <c r="C4" s="3" t="n"/>
      <c r="D4" s="3" t="n"/>
      <c r="E4" s="3" t="n"/>
      <c r="F4" s="3" t="n"/>
    </row>
    <row r="5">
      <c r="A5" s="4" t="inlineStr">
        <is>
          <t>Connu de l utilisateur : la surface pavee grise totale est 1869.7 m2; utiliser le facteur d inclusion dans Inputs!B19 si seulement une partie contribue.</t>
        </is>
      </c>
      <c r="B5" s="3" t="n"/>
      <c r="C5" s="3" t="n"/>
      <c r="D5" s="3" t="n"/>
      <c r="E5" s="3" t="n"/>
      <c r="F5" s="3" t="n"/>
    </row>
    <row r="6">
      <c r="A6" s="4" t="inlineStr">
        <is>
          <t>Pour ce modele de terrain de baseball, les trajets de drainage sont representes par ecoulement de surface/tranchee/collecteur vers le ponceau est; aucun drainage mecanique interne de batiment n est suppose.</t>
        </is>
      </c>
      <c r="B6" s="3" t="n"/>
      <c r="C6" s="3" t="n"/>
      <c r="D6" s="3" t="n"/>
      <c r="E6" s="3" t="n"/>
      <c r="F6" s="3" t="n"/>
    </row>
    <row r="7">
      <c r="A7" s="4" t="inlineStr">
        <is>
          <t>Feuille Subcatchments : saisir/ajuster les surfaces tributaires et types de surface pour chaque zone contributive.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: le scenario APRES utilise la representation tranchee/drain perfore pour la bande de terrain (TRENCH) + collecteur vers l exutoire.</t>
        </is>
      </c>
      <c r="B8" s="3" t="n"/>
      <c r="C8" s="3" t="n"/>
      <c r="D8" s="3" t="n"/>
      <c r="E8" s="3" t="n"/>
      <c r="F8" s="3" t="n"/>
    </row>
    <row r="9">
      <c r="A9" s="4" t="inlineStr">
        <is>
          <t>Tc pour chaque sous-bassin = Tc de base + temps de parcours sur le trajet assigne (somme des segments).</t>
        </is>
      </c>
      <c r="B9" s="3" t="n"/>
      <c r="C9" s="3" t="n"/>
      <c r="D9" s="3" t="n"/>
      <c r="E9" s="3" t="n"/>
      <c r="F9" s="3" t="n"/>
    </row>
    <row r="10">
      <c r="A10" s="4" t="inlineStr">
        <is>
          <t>Les resultats sont resumes dans Summary_Before_After avec les totaux impermeables/gazon et Q avant/apres.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 : comme l extraction de texte du PDF est limitee, verifier/completer manuellement toutes les limites et surfaces tributaires selon le plan.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Note sur la qualite des donnees</t>
        </is>
      </c>
      <c r="B13" s="6" t="n"/>
      <c r="C13" s="6" t="n"/>
      <c r="D13" s="6" t="n"/>
      <c r="E13" s="6" t="n"/>
      <c r="F13" s="6" t="n"/>
    </row>
    <row r="14">
      <c r="A14" s="7" t="inlineStr">
        <is>
          <t>Une seule surface est pre-remplie selon votre note (1869.7 m2 pave). Completer les autres surfaces tributaires a partir des etiquettes du plan en m2.</t>
        </is>
      </c>
      <c r="B14" s="3" t="n"/>
      <c r="C14" s="3" t="n"/>
      <c r="D14" s="3" t="n"/>
      <c r="E14" s="3" t="n"/>
      <c r="F14" s="3" t="n"/>
    </row>
    <row r="16">
      <c r="A16" t="inlineStr">
        <is>
          <t>Portee de la surface pavee : 1869.7 m2 peut s etendre vers l ouest hors de la zone de drainage du terrain; utiliser le facteur d inclusion (Inputs!B19).</t>
        </is>
      </c>
    </row>
    <row r="53">
      <c r="A53" t="inlineStr">
        <is>
          <t>Le symbole des trois lignes paralleles est interprete comme un corridor de tranchee/fosse avec elevations rive gauche, fond centre, rive droite.</t>
        </is>
      </c>
    </row>
    <row r="54">
      <c r="A54" t="inlineStr">
        <is>
          <t>Utiliser la feuille TrenchProfile_3Lines pour saisir les elevations observees le long de ce corridor.</t>
        </is>
      </c>
    </row>
    <row r="57">
      <c r="A57" t="inlineStr">
        <is>
          <t>Le relevé de surfaces inclut la valeur manquante A=2882 m2 pres de l exutoire; bloc de verification ajoute dans Summary_Before_After A25:B30.</t>
        </is>
      </c>
    </row>
    <row r="58">
      <c r="A58" t="inlineStr">
        <is>
          <t>Correction Err:508 appliquee; formules simplifiees pour compatibilite.</t>
        </is>
      </c>
    </row>
    <row r="59">
      <c r="A59" t="inlineStr">
        <is>
          <t>Ce classeur est pour SAINT-CONSTANT. La source d intensite par defaut est la table de station (valeurs McTavish fournies).</t>
        </is>
      </c>
    </row>
    <row r="60">
      <c r="A60" t="inlineStr">
        <is>
          <t>IDF_a/b/c sont utilises seulement si Intensity_source est commute a IDF_EQUATION.</t>
        </is>
      </c>
    </row>
    <row r="61">
      <c r="A61" t="inlineStr">
        <is>
          <t>Intention de conception : terrain renove represente par tranchee/drain perfore plus collecteur vers l exutoire (ponceau est).</t>
        </is>
      </c>
    </row>
    <row r="62">
      <c r="A62" t="inlineStr">
        <is>
          <t>La sensibilite de surface mixte s applique a SC-07 et SC-08 (422.73 m2 et 415.45 m2). SC-04 est completement impermeable.</t>
        </is>
      </c>
    </row>
    <row r="63">
      <c r="A63" s="20" t="inlineStr">
        <is>
          <t>La note du collecteur est encodee explicitement : les segments est/bas/ouest a P=0.5% sont pilotes par Inputs et integres a Tc/Q APRES dans FlowPaths.</t>
        </is>
      </c>
    </row>
    <row r="64">
      <c r="A64" t="inlineStr">
        <is>
          <t>Le resume des surfaces impermeables inclut maintenant GRAVEL via le facteur de politique Inputs!B54 (1.0 inclus, 0.0 exclu).</t>
        </is>
      </c>
    </row>
    <row r="65">
      <c r="A65" t="inlineStr">
        <is>
          <t>La precision d affichage de Travel_time_min est reduite a deux/trois decimales pour lisibilite.</t>
        </is>
      </c>
    </row>
    <row r="66">
      <c r="A66" t="inlineStr">
        <is>
          <t>Voir l onglet Segment_Legend pour le positionnement de A01/A02/A01T et les sources de longueurs.</t>
        </is>
      </c>
    </row>
    <row r="67">
      <c r="A67" t="inlineStr">
        <is>
          <t>La longueur de A03 utilise maintenant Inputs!B47 (34.509 m) selon vos cotes; l ancienne valeur de 12 m a ete retiree.</t>
        </is>
      </c>
    </row>
    <row r="68">
      <c r="A68" t="inlineStr">
        <is>
          <t>Le nommage EAST-IN et EAST-OUT est harmonise dans FlowPaths/Segment_Legend pour les segments est cotes.</t>
        </is>
      </c>
    </row>
    <row r="69">
      <c r="A69" t="inlineStr">
        <is>
          <t>Le concept actif est maintenant un reseau de tranchees/fosses; la conduite a ete retiree de la representation APRES.</t>
        </is>
      </c>
    </row>
    <row r="70">
      <c r="A70" t="inlineStr">
        <is>
          <t>Le corridor a trois lignes est modele avec Inputs!B55 = 112.0 m jusqu a EAST-IN.</t>
        </is>
      </c>
    </row>
    <row r="71">
      <c r="A71" t="inlineStr">
        <is>
          <t>Le troncon vers l exutoire est modele avec Inputs!B56 = 51.32 m de EAST-IN a EAST-OUT.</t>
        </is>
      </c>
    </row>
    <row r="72">
      <c r="A72" t="inlineStr">
        <is>
          <t>Les lignes placeholders du collecteur perimetrique ont ete retirees de FlowPaths actif; seules les tranchees/fosses actives restent visibles.</t>
        </is>
      </c>
    </row>
    <row r="73">
      <c r="A73" t="inlineStr">
        <is>
          <t>Le concept de collecteur sud a ete reintroduit pour dimensionnement : surface complete 11 103 m2 avec formules de Manning dans Inputs lignes 60-75.</t>
        </is>
      </c>
    </row>
    <row r="74">
      <c r="A74" t="inlineStr">
        <is>
          <t>Dimensionnement rapide : modifier Inputs B60:B64/B61:B63; lire Qdesign (B70), Dreq (B71), Dsel (B72), PASS/FAIL (B74).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ENTREES</t>
        </is>
      </c>
      <c r="B1" s="9" t="n"/>
      <c r="C1" s="9" t="n"/>
      <c r="D1" s="9" t="n"/>
    </row>
    <row r="2">
      <c r="A2" s="10" t="inlineStr">
        <is>
          <t>Parametre</t>
        </is>
      </c>
      <c r="B2" s="10" t="inlineStr">
        <is>
          <t>Valeur</t>
        </is>
      </c>
      <c r="C2" s="10" t="inlineStr">
        <is>
          <t>Unite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(seulement si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Parametre IDF b (seulement si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Parametre IDF c (seulement si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Multiplie le debit local + amont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Vitesse adoptee pour ecoulement de surface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Vitesse adoptee pour fossé/canal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Vitesse adoptee pour conduite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Vitesse INTERNE reservee; inutilisee sauf si un trajet interne dedie est reintroduit.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Tc de base si non force (avant)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Tc de base si non force (apres)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Coefficient de ruissellement toiture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Coefficient de ruissellement pavage/pave-uni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Coefficient de ruissellement gazon existant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Coefficient de ruissellement gazon propose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Coefficient de ruissellement gravier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Coefficient de ruissellement sol nu/infield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Utiliser &lt;1 si seulement une partie de 1869.7 m2 se draine vers l exutoire de conception.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Reference principale de rejet</t>
        </is>
      </c>
    </row>
    <row r="21"/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Contexte projet : Saint-Constant. Table de station actuellement basee sur les valeurs McTavish fournies par l utilisateur.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Par defaut STATION_TABLE. Utiliser IDF_EQUATION seulement si a,b,c sont valides pour la meme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Doit correspondre a un en-tete de IDF_Station ligne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Entrer le debit admissible au cours d eau/ponceau selon l autorite ou le critere du projet.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Exemple : Q_after &lt;= Q_before ou limite municipale.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Vitesse adoptee pour drain perfore en tranchee (geotextile + pierre).</t>
        </is>
      </c>
    </row>
    <row r="28"/>
    <row r="29"/>
    <row r="30"/>
    <row r="31">
      <c r="A31" s="10" t="inlineStr">
        <is>
          <t>Sous-bassins cibles bloc mixte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Bloc de sortie incertain pour la sensibilite de surface mixte.</t>
        </is>
      </c>
    </row>
    <row r="32">
      <c r="A32" s="10" t="inlineStr">
        <is>
          <t>Surface totale bloc mixte_m2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Doit correspondre a la surface de SC-07+SC-08.</t>
        </is>
      </c>
    </row>
    <row r="33">
      <c r="A33" s="10" t="inlineStr">
        <is>
          <t>Mode sensibilite bloc mixte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Controle la fraction impermeable utilisee pour le bloc mixte.</t>
        </is>
      </c>
    </row>
    <row r="34">
      <c r="A34" s="10" t="inlineStr">
        <is>
          <t>Fraction impermeable bloc mixte_LOW</t>
        </is>
      </c>
      <c r="B34" s="11" t="n">
        <v>0.35</v>
      </c>
      <c r="C34" s="3" t="inlineStr">
        <is>
          <t>0-1</t>
        </is>
      </c>
      <c r="D34" s="3" t="inlineStr">
        <is>
          <t>Hypothese impermeable faible.</t>
        </is>
      </c>
    </row>
    <row r="35">
      <c r="A35" s="10" t="inlineStr">
        <is>
          <t>Fraction impermeable bloc mixte_BASE</t>
        </is>
      </c>
      <c r="B35" s="11" t="n">
        <v>0.5</v>
      </c>
      <c r="C35" s="3" t="inlineStr">
        <is>
          <t>0-1</t>
        </is>
      </c>
      <c r="D35" s="3" t="inlineStr">
        <is>
          <t>Hypothese impermeable de base.</t>
        </is>
      </c>
    </row>
    <row r="36">
      <c r="A36" s="10" t="inlineStr">
        <is>
          <t>Fraction impermeable bloc mixte_HIGH</t>
        </is>
      </c>
      <c r="B36" s="11" t="n">
        <v>0.7</v>
      </c>
      <c r="C36" s="3" t="inlineStr">
        <is>
          <t>0-1</t>
        </is>
      </c>
      <c r="D36" s="3" t="inlineStr">
        <is>
          <t>Hypothese impermeable elevee.</t>
        </is>
      </c>
    </row>
    <row r="37">
      <c r="A37" s="10" t="inlineStr">
        <is>
          <t>Fraction impermeable bloc mixte_utilisee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Selectionne selon le mode.</t>
        </is>
      </c>
    </row>
    <row r="38">
      <c r="A38" s="10" t="inlineStr">
        <is>
          <t>Fraction gazon bloc mixte_utilisee</t>
        </is>
      </c>
      <c r="B38" s="13">
        <f>1-B37</f>
        <v/>
      </c>
      <c r="C38" s="3" t="inlineStr">
        <is>
          <t>0-1</t>
        </is>
      </c>
      <c r="D38" s="3" t="inlineStr">
        <is>
          <t>Fraction complementaire.</t>
        </is>
      </c>
    </row>
    <row r="39">
      <c r="A39" s="10" t="inlineStr">
        <is>
          <t>C pondere bloc mixte_AVANT</t>
        </is>
      </c>
      <c r="B39" s="13">
        <f>B37*B14+B38*B15</f>
        <v/>
      </c>
      <c r="C39" s="3" t="inlineStr">
        <is>
          <t>-</t>
        </is>
      </c>
      <c r="D39" s="3" t="inlineStr">
        <is>
          <t>C pondere AVANT (pavage + gazon existant).</t>
        </is>
      </c>
    </row>
    <row r="40">
      <c r="A40" s="10" t="inlineStr">
        <is>
          <t>C pondere bloc mixte_APRES</t>
        </is>
      </c>
      <c r="B40" s="13">
        <f>B37*B14+B38*B16</f>
        <v/>
      </c>
      <c r="C40" s="3" t="inlineStr">
        <is>
          <t>-</t>
        </is>
      </c>
      <c r="D40" s="3" t="inlineStr">
        <is>
          <t>C pondere APRES (pavage + gazon propose).</t>
        </is>
      </c>
    </row>
    <row r="41">
      <c r="A41" s="10" t="inlineStr">
        <is>
          <t>Activer surcharge bloc mixte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Si OUI, les blocs mixtes utilisent les C ponderes.</t>
        </is>
      </c>
    </row>
    <row r="42"/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D apres la note du plan 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D apres la note du plan : radier = 0.983 m au-dessus du point bas du collecteur.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Chainage implicite selon la note (delta/pente).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Cote de la derniere image (66.398 m) le long de la trajectoire est.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Cote de la derniere image (34.509 m) sur le troncon centre-vers-sud.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Cote de la derniere image (67.025 m) pour le troncon ouest.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Chainage explicite total utilise dans les temps de parcours.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Proche de 0 lorsque le chainage explicite concorde avec la note du plan.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Utiliser PIPE sauf si la reconception exige un autre type de transport.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Surcharge de vitesse du tronc (laisser numerique pour forcer la valeur).</t>
        </is>
      </c>
    </row>
    <row r="53">
      <c r="A53" s="10" t="inlineStr">
        <is>
          <t>Chemins collecteur perimetrique actifs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le collecteur perimetrique est reporte et exclu des trajets APRES actifs.</t>
        </is>
      </c>
    </row>
    <row r="54">
      <c r="A54" s="10" t="inlineStr">
        <is>
          <t>Facteur_gravier_impermeable_resume_0a1</t>
        </is>
      </c>
      <c r="B54" s="25" t="n">
        <v>1</v>
      </c>
      <c r="C54" s="3" t="inlineStr">
        <is>
          <t>-</t>
        </is>
      </c>
      <c r="D54" s="3" t="inlineStr">
        <is>
          <t>1.0 compte tout le gravier comme impermeable; mettre 0.0 pour exclure.</t>
        </is>
      </c>
    </row>
    <row r="55">
      <c r="A55" s="10" t="inlineStr">
        <is>
          <t>Longueur_principale_tranchee_champ_vers_EAST_IN_m</t>
        </is>
      </c>
      <c r="B55" s="24" t="n">
        <v>112</v>
      </c>
      <c r="C55" s="3" t="inlineStr">
        <is>
          <t>m</t>
        </is>
      </c>
      <c r="D55" s="3" t="inlineStr">
        <is>
          <t>Longueur cotee du corridor principal tranchee/fosse jusqu a EAST-IN.</t>
        </is>
      </c>
    </row>
    <row r="56">
      <c r="A56" s="10" t="inlineStr">
        <is>
          <t>Longueur_troncon_sortie_EAST_IN_vers_EAST_OUT_m</t>
        </is>
      </c>
      <c r="B56" s="24" t="n">
        <v>51.32</v>
      </c>
      <c r="C56" s="3" t="inlineStr">
        <is>
          <t>m</t>
        </is>
      </c>
      <c r="D56" s="3" t="inlineStr">
        <is>
          <t>Troncon cote de EAST-IN a EAST-OUT mentionne par l utilisateur.</t>
        </is>
      </c>
    </row>
    <row r="57">
      <c r="A57" s="10" t="inlineStr">
        <is>
          <t>Espacement_tranchees_1_m</t>
        </is>
      </c>
      <c r="B57" s="24" t="n">
        <v>10.239</v>
      </c>
      <c r="C57" s="3" t="inlineStr">
        <is>
          <t>m</t>
        </is>
      </c>
      <c r="D57" s="3" t="inlineStr">
        <is>
          <t>Espacement entre axes de tranchees/fosses (premier intervalle).</t>
        </is>
      </c>
    </row>
    <row r="58">
      <c r="A58" s="10" t="inlineStr">
        <is>
          <t>Espacement_tranchees_2_m</t>
        </is>
      </c>
      <c r="B58" s="24" t="n">
        <v>13.978</v>
      </c>
      <c r="C58" s="3" t="inlineStr">
        <is>
          <t>m</t>
        </is>
      </c>
      <c r="D58" s="3" t="inlineStr">
        <is>
          <t>Espacement entre axes de tranchees/fosses (deuxieme intervalle).</t>
        </is>
      </c>
    </row>
    <row r="59">
      <c r="A59" s="10" t="inlineStr">
        <is>
          <t>Largeur_superieure_tranchee_m</t>
        </is>
      </c>
      <c r="B59" s="24" t="n">
        <v>4.1</v>
      </c>
      <c r="C59" s="3" t="inlineStr">
        <is>
          <t>m</t>
        </is>
      </c>
      <c r="D59" s="3" t="inlineStr">
        <is>
          <t>Largeur approximative bord-a-bord de la tranchee/fosse.</t>
        </is>
      </c>
    </row>
    <row r="60">
      <c r="A60" s="10" t="inlineStr">
        <is>
          <t>Surface_collecteur_sud_m2</t>
        </is>
      </c>
      <c r="B60" s="11" t="n">
        <v>11103</v>
      </c>
      <c r="C60" s="3" t="inlineStr">
        <is>
          <t>m2</t>
        </is>
      </c>
      <c r="D60" s="3" t="inlineStr">
        <is>
          <t>Surface de concept drainee vers le collecteur sud (demande utilisateur).</t>
        </is>
      </c>
    </row>
    <row r="61">
      <c r="A61" s="10" t="inlineStr">
        <is>
          <t>Longueur_collecteur_sud_m</t>
        </is>
      </c>
      <c r="B61" s="11" t="n">
        <v>51.32</v>
      </c>
      <c r="C61" s="3" t="inlineStr">
        <is>
          <t>m</t>
        </is>
      </c>
      <c r="D61" s="3" t="inlineStr">
        <is>
          <t>Longueur du collecteur le long du secteur sud (modifiable).</t>
        </is>
      </c>
    </row>
    <row r="62">
      <c r="A62" s="10" t="inlineStr">
        <is>
          <t>Pente_collecteur_sud_m_par_m</t>
        </is>
      </c>
      <c r="B62" s="11" t="n">
        <v>0.005</v>
      </c>
      <c r="C62" s="3" t="inlineStr">
        <is>
          <t>m/m</t>
        </is>
      </c>
      <c r="D62" s="3" t="inlineStr">
        <is>
          <t>Pente du collecteur.</t>
        </is>
      </c>
    </row>
    <row r="63">
      <c r="A63" s="10" t="inlineStr">
        <is>
          <t>Manning_n_collecteur_sud</t>
        </is>
      </c>
      <c r="B63" s="11" t="n">
        <v>0.013</v>
      </c>
      <c r="C63" s="3" t="inlineStr">
        <is>
          <t>-</t>
        </is>
      </c>
      <c r="D63" s="3" t="inlineStr">
        <is>
          <t>Rugosite de Manning pour le dimensionnement de conduite.</t>
        </is>
      </c>
    </row>
    <row r="64">
      <c r="A64" s="10" t="inlineStr">
        <is>
          <t>C_ruissellement_collecteur_sud</t>
        </is>
      </c>
      <c r="B64" s="13">
        <f>Inputs!$B$16</f>
        <v/>
      </c>
      <c r="C64" s="3" t="inlineStr">
        <is>
          <t>-</t>
        </is>
      </c>
      <c r="D64" s="3" t="inlineStr">
        <is>
          <t>Coefficient de ruissellement utilise pour le debit de conception du collecteur.</t>
        </is>
      </c>
    </row>
    <row r="65">
      <c r="A65" s="10" t="inlineStr">
        <is>
          <t>Tc_base_collecteur_sud_min</t>
        </is>
      </c>
      <c r="B65" s="13">
        <f>Inputs!$B$12</f>
        <v/>
      </c>
      <c r="C65" s="3" t="inlineStr">
        <is>
          <t>min</t>
        </is>
      </c>
      <c r="D65" s="3" t="inlineStr">
        <is>
          <t>Tc de base avant le temps de parcours dans le collecteur.</t>
        </is>
      </c>
    </row>
    <row r="66">
      <c r="A66" s="10" t="inlineStr">
        <is>
          <t>Vitesse_collecteur_sud_mps</t>
        </is>
      </c>
      <c r="B66" s="13">
        <f>Inputs!$B$9</f>
        <v/>
      </c>
      <c r="C66" s="3" t="inlineStr">
        <is>
          <t>m/s</t>
        </is>
      </c>
      <c r="D66" s="3" t="inlineStr">
        <is>
          <t>Vitesse utilisee pour estimer le temps de parcours dans le collecteur.</t>
        </is>
      </c>
    </row>
    <row r="67">
      <c r="A67" s="10" t="inlineStr">
        <is>
          <t>Temps_parcours_collecteur_sud_min</t>
        </is>
      </c>
      <c r="B67" s="13">
        <f>IF(OR(B61="",B66="",B66=0),"",B61/(B66*60))</f>
        <v/>
      </c>
      <c r="C67" s="3" t="inlineStr">
        <is>
          <t>min</t>
        </is>
      </c>
      <c r="D67" s="3" t="inlineStr">
        <is>
          <t>Temps de parcours dans le collecteur.</t>
        </is>
      </c>
    </row>
    <row r="68">
      <c r="A68" s="10" t="inlineStr">
        <is>
          <t>Tc_utilise_collecteur_sud_min</t>
        </is>
      </c>
      <c r="B68" s="13">
        <f>IF(B65="","",B65)+IF(B67="",0,B67)</f>
        <v/>
      </c>
      <c r="C68" s="3" t="inlineStr">
        <is>
          <t>min</t>
        </is>
      </c>
      <c r="D68" s="3" t="inlineStr">
        <is>
          <t>Tc utilise pour la recherche d intensite.</t>
        </is>
      </c>
    </row>
    <row r="69">
      <c r="A69" s="10" t="inlineStr">
        <is>
          <t>Intensite_collecteur_sud_mmh</t>
        </is>
      </c>
      <c r="B69" s="13">
        <f>IF(B68="","",IF(UPPER(TRIM(Inputs!$B$23))="IDF_EQUATION",Inputs!$B$3/((B68+Inputs!$B$4)^Inputs!$B$5),INDEX(IDF_Station!$B$3:$G$11,IFERROR(MATCH(B68,IDF_Station!$A$3:$A$11,1),1),MATCH(Inputs!$B$24,IDF_Station!$B$2:$G$2,0))))</f>
        <v/>
      </c>
      <c r="C69" s="3" t="inlineStr">
        <is>
          <t>mm/h</t>
        </is>
      </c>
      <c r="D69" s="3" t="inlineStr">
        <is>
          <t>Intensite de conception au Tc utilise.</t>
        </is>
      </c>
    </row>
    <row r="70">
      <c r="A70" s="10" t="inlineStr">
        <is>
          <t>Qconception_collecteur_sud_m3s</t>
        </is>
      </c>
      <c r="B70" s="13">
        <f>IF(OR(B60="",B64="",B69=""),"",2.78E-7*B64*B60*B69*Inputs!$B$6)</f>
        <v/>
      </c>
      <c r="C70" s="3" t="inlineStr">
        <is>
          <t>m3/s</t>
        </is>
      </c>
      <c r="D70" s="3" t="inlineStr">
        <is>
          <t>Debit de conception avec facteur de securite.</t>
        </is>
      </c>
    </row>
    <row r="71">
      <c r="A71" s="10" t="inlineStr">
        <is>
          <t>Diametre_requis_collecteur_sud_m</t>
        </is>
      </c>
      <c r="B71" s="13">
        <f>IF(OR(B70="",B62="",B63="",B62&lt;=0),"",((B70*B63)/(0.3117*SQRT(B62)))^(3/8))</f>
        <v/>
      </c>
      <c r="C71" s="3" t="inlineStr">
        <is>
          <t>m</t>
        </is>
      </c>
      <c r="D71" s="3" t="inlineStr">
        <is>
          <t>Diametre requis en pleine section (Manning reordonne).</t>
        </is>
      </c>
    </row>
    <row r="72">
      <c r="A72" s="10" t="inlineStr">
        <is>
          <t>Diametre_selectionne_collecteur_sud_mm</t>
        </is>
      </c>
      <c r="B72" s="29">
        <f>IF(B77="","",IF(UPPER(TRIM(B76))="PVC",IF(B77&lt;=100,100,IF(B77&lt;=150,150,IF(B77&lt;=200,200,IF(B77&lt;=250,250,IF(B77&lt;=300,300,IF(B77&lt;=375,375,IF(B77&lt;=450,450,IF(B77&lt;=525,525,600)))))))),IF(UPPER(TRIM(B76))="BETON",IF(B77&lt;=300,300,IF(B77&lt;=375,375,IF(B77&lt;=450,450,IF(B77&lt;=525,525,IF(B77&lt;=600,600,IF(B77&lt;=675,675,IF(B77&lt;=750,750,IF(B77&lt;=825,825,IF(B77&lt;=900,900,IF(B77&lt;=1050,1050,IF(B77&lt;=1200,1200,IF(B77&lt;=1350,1350,IF(B77&lt;=1500,1500,IF(B77&lt;=1800,1800,IF(B77&lt;=2100,2100,IF(B77&lt;=2400,2400,3000)))))))))))))))),IF(OR(UPPER(TRIM(B76))="PEHD",UPPER(TRIM(B76))="HDPE"),IF(B77&lt;=100,100,IF(B77&lt;=150,150,IF(B77&lt;=200,200,IF(B77&lt;=250,250,IF(B77&lt;=300,300,IF(B77&lt;=375,375,IF(B77&lt;=450,450,IF(B77&lt;=600,600,IF(B77&lt;=750,750,IF(B77&lt;=900,900,IF(B77&lt;=1050,1050,IF(B77&lt;=1200,1200,1500)))))))))))),""))))</f>
        <v/>
      </c>
      <c r="C72" s="3" t="inlineStr">
        <is>
          <t>mm</t>
        </is>
      </c>
      <c r="D72" s="3" t="inlineStr">
        <is>
          <t>Diametre commercial selectionne automatiquement selon le materiau choisi.</t>
        </is>
      </c>
    </row>
    <row r="73">
      <c r="A73" s="10" t="inlineStr">
        <is>
          <t>Capacite_diametre_selectionne_collecteur_sud_m3s</t>
        </is>
      </c>
      <c r="B73" s="13">
        <f>IF(OR(B72="",B62="",B63="",B62&lt;=0),"",0.3117/B63*(B72/1000)^(8/3)*SQRT(B62))</f>
        <v/>
      </c>
      <c r="C73" s="3" t="inlineStr">
        <is>
          <t>m3/s</t>
        </is>
      </c>
      <c r="D73" s="3" t="inlineStr">
        <is>
          <t>Capacite en pleine section du diametre selectionne.</t>
        </is>
      </c>
    </row>
    <row r="74">
      <c r="A74" s="10" t="inlineStr">
        <is>
          <t>Verification_capacite_collecteur_sud</t>
        </is>
      </c>
      <c r="B74" s="16">
        <f>IF(OR(B73="",B70=""),"",IF(B73&gt;=B70,"PASS","FAIL"))</f>
        <v/>
      </c>
      <c r="C74" s="3" t="inlineStr">
        <is>
          <t>-</t>
        </is>
      </c>
      <c r="D74" s="3" t="inlineStr">
        <is>
          <t>PASS si la capacite selectionnee &gt;= debit de conception.</t>
        </is>
      </c>
    </row>
    <row r="75">
      <c r="A75" s="10" t="inlineStr">
        <is>
          <t>Vitesse_pleine_section_collecteur_sud_mps</t>
        </is>
      </c>
      <c r="B75" s="13">
        <f>IF(OR(B72="",B73=""),"",B73/(PI()*(B72/1000)^2/4))</f>
        <v/>
      </c>
      <c r="C75" s="3" t="inlineStr">
        <is>
          <t>m/s</t>
        </is>
      </c>
      <c r="D75" s="3" t="inlineStr">
        <is>
          <t>Vitesse a pleine section pour le diametre selectionne.</t>
        </is>
      </c>
    </row>
    <row r="76">
      <c r="A76" s="10" t="inlineStr">
        <is>
          <t>Materiau_collecteur_sud (PVC/BETON/PEHD)</t>
        </is>
      </c>
      <c r="B76" s="12" t="inlineStr">
        <is>
          <t>PVC</t>
        </is>
      </c>
      <c r="C76" s="3" t="inlineStr">
        <is>
          <t>texte</t>
        </is>
      </c>
      <c r="D76" s="3" t="inlineStr">
        <is>
          <t>Choisir le materiau pour la selection du diametre commercial.</t>
        </is>
      </c>
    </row>
    <row r="77">
      <c r="A77" s="10" t="inlineStr">
        <is>
          <t>Diametre_requis_collecteur_sud_mm</t>
        </is>
      </c>
      <c r="B77" s="31">
        <f>IF(B71="","",B71*1000)</f>
        <v/>
      </c>
      <c r="C77" s="3" t="inlineStr">
        <is>
          <t>mm</t>
        </is>
      </c>
      <c r="D77" s="3" t="inlineStr">
        <is>
          <t>Conversion du diametre requis en mm.</t>
        </is>
      </c>
    </row>
    <row r="78">
      <c r="A78" s="10" t="inlineStr">
        <is>
          <t>Source_diametres_commerciaux</t>
        </is>
      </c>
      <c r="B78" s="16" t="inlineStr">
        <is>
          <t>Listes en F91:H107</t>
        </is>
      </c>
      <c r="C78" s="3" t="inlineStr">
        <is>
          <t>-</t>
        </is>
      </c>
      <c r="D78" s="3" t="inlineStr">
        <is>
          <t>La cellule B72 choisit automatiquement le prochain diametre commercial disponible selon le materiau.</t>
        </is>
      </c>
    </row>
    <row r="79"/>
    <row r="80"/>
    <row r="81"/>
    <row r="82"/>
    <row r="83"/>
    <row r="84"/>
    <row r="85"/>
    <row r="86"/>
    <row r="87"/>
    <row r="88"/>
    <row r="89"/>
    <row r="90">
      <c r="F90" s="10" t="inlineStr">
        <is>
          <t>Diametres commerciaux PVC (mm)</t>
        </is>
      </c>
      <c r="G90" s="10" t="inlineStr">
        <is>
          <t>Diametres commerciaux BETON (mm)</t>
        </is>
      </c>
      <c r="H90" s="10" t="inlineStr">
        <is>
          <t>Diametres commerciaux PEHD (mm)</t>
        </is>
      </c>
    </row>
    <row r="91">
      <c r="F91" s="3" t="n">
        <v>100</v>
      </c>
      <c r="G91" s="3" t="n">
        <v>300</v>
      </c>
      <c r="H91" s="3" t="n">
        <v>100</v>
      </c>
    </row>
    <row r="92">
      <c r="F92" s="3" t="n">
        <v>150</v>
      </c>
      <c r="G92" s="3" t="n">
        <v>375</v>
      </c>
      <c r="H92" s="3" t="n">
        <v>150</v>
      </c>
    </row>
    <row r="93">
      <c r="F93" s="3" t="n">
        <v>200</v>
      </c>
      <c r="G93" s="3" t="n">
        <v>450</v>
      </c>
      <c r="H93" s="3" t="n">
        <v>200</v>
      </c>
    </row>
    <row r="94">
      <c r="F94" s="3" t="n">
        <v>250</v>
      </c>
      <c r="G94" s="3" t="n">
        <v>525</v>
      </c>
      <c r="H94" s="3" t="n">
        <v>250</v>
      </c>
    </row>
    <row r="95">
      <c r="F95" s="3" t="n">
        <v>300</v>
      </c>
      <c r="G95" s="3" t="n">
        <v>600</v>
      </c>
      <c r="H95" s="3" t="n">
        <v>300</v>
      </c>
    </row>
    <row r="96">
      <c r="F96" s="3" t="n">
        <v>375</v>
      </c>
      <c r="G96" s="3" t="n">
        <v>675</v>
      </c>
      <c r="H96" s="3" t="n">
        <v>375</v>
      </c>
    </row>
    <row r="97">
      <c r="F97" s="3" t="n">
        <v>450</v>
      </c>
      <c r="G97" s="3" t="n">
        <v>750</v>
      </c>
      <c r="H97" s="3" t="n">
        <v>450</v>
      </c>
    </row>
    <row r="98">
      <c r="F98" s="3" t="n">
        <v>525</v>
      </c>
      <c r="G98" s="3" t="n">
        <v>825</v>
      </c>
      <c r="H98" s="3" t="n">
        <v>600</v>
      </c>
    </row>
    <row r="99">
      <c r="F99" s="3" t="n">
        <v>600</v>
      </c>
      <c r="G99" s="3" t="n">
        <v>900</v>
      </c>
      <c r="H99" s="3" t="n">
        <v>750</v>
      </c>
    </row>
    <row r="100">
      <c r="F100" s="3" t="n"/>
      <c r="G100" s="3" t="n">
        <v>1050</v>
      </c>
      <c r="H100" s="3" t="n">
        <v>900</v>
      </c>
    </row>
    <row r="101">
      <c r="F101" s="3" t="n"/>
      <c r="G101" s="3" t="n">
        <v>1200</v>
      </c>
      <c r="H101" s="3" t="n">
        <v>1050</v>
      </c>
    </row>
    <row r="102">
      <c r="F102" s="3" t="n"/>
      <c r="G102" s="3" t="n">
        <v>1350</v>
      </c>
      <c r="H102" s="3" t="n">
        <v>1200</v>
      </c>
    </row>
    <row r="103">
      <c r="F103" s="3" t="n"/>
      <c r="G103" s="3" t="n">
        <v>1500</v>
      </c>
      <c r="H103" s="3" t="n">
        <v>1500</v>
      </c>
    </row>
    <row r="104">
      <c r="F104" s="3" t="n"/>
      <c r="G104" s="3" t="n">
        <v>1800</v>
      </c>
      <c r="H104" s="3" t="n"/>
    </row>
    <row r="105">
      <c r="F105" s="3" t="n"/>
      <c r="G105" s="3" t="n">
        <v>2100</v>
      </c>
      <c r="H105" s="3" t="n"/>
    </row>
    <row r="106">
      <c r="F106" s="3" t="n"/>
      <c r="G106" s="3" t="n">
        <v>2400</v>
      </c>
      <c r="H106" s="3" t="n"/>
    </row>
    <row r="107">
      <c r="F107" s="3" t="n"/>
      <c r="G107" s="3" t="n">
        <v>3000</v>
      </c>
      <c r="H107" s="3" t="n"/>
    </row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TRAJETS D ECOULEMENT (AVANT / APRES)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Description_segment</t>
        </is>
      </c>
      <c r="F3" s="10" t="inlineStr">
        <is>
          <t>Type_transport</t>
        </is>
      </c>
      <c r="G3" s="10" t="inlineStr">
        <is>
          <t>Longueur_m</t>
        </is>
      </c>
      <c r="H3" s="10" t="inlineStr">
        <is>
          <t>Pente_m/m</t>
        </is>
      </c>
      <c r="I3" s="10" t="inlineStr">
        <is>
          <t>Vitesse_surcharge_mps</t>
        </is>
      </c>
      <c r="J3" s="10" t="inlineStr">
        <is>
          <t>Vitesse_utilisee_mps</t>
        </is>
      </c>
      <c r="K3" s="10" t="inlineStr">
        <is>
          <t>Temps_parcours_min</t>
        </is>
      </c>
      <c r="L3" s="10" t="inlineStr">
        <is>
          <t>Noeud_aval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Ruissellement du terrain vers le bord est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Si ancien sous-drain deteriore, conserver une vitesse SHEET prudente ou separer en segment additionnel.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Transport vers le ponceau est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Contribution pavee ouest vers l exutoire est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Utiliser seulement si la connexion hydraulique est confirmee.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Segment de tranchee bande est (SE vers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Represente les lateraux/collecteur de drainage en tranchee; non represente comme conduite pleine section.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Troncon de tranchee/fosse vers l exutoire (EAST-IN vers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Conduite abandonnee dans le concept actif; utiliser un troncon de tranchee/fosse proche surface.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Corridor principal de tranchee/fosse du terrain vers EAST-IN (112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Represente le systeme a trois lignes sur le terrain; longueur issue de vos cotes.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Branche ouest en tranchee/fosse vers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Conduite abandonnee dans le concept actif; representation en tranchee/fosse.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Troncon bande est vers exutoire (51.32 m lorsque collecteur perimetrique inactif)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Concept actif tranchee/fosse : troncon EAST-IN vers EAST-OUT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Troncon vers exutoire de EAST-IN a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Utilise la cote manquante 51.32 m mentionnee par l utilisateur.</t>
        </is>
      </c>
    </row>
    <row r="13">
      <c r="A13" s="19" t="inlineStr">
        <is>
          <t>AFTER</t>
        </is>
      </c>
      <c r="B13" s="3" t="inlineStr">
        <is>
          <t>P-SOUTH-COLLECTOR</t>
        </is>
      </c>
      <c r="C13" s="3" t="n">
        <v>1</v>
      </c>
      <c r="D13" s="3" t="inlineStr">
        <is>
          <t>A05-SOUTH-COLLECTOR</t>
        </is>
      </c>
      <c r="E13" s="3" t="inlineStr">
        <is>
          <t>Concept de collecteur sud (recoit toute la surface 11 103 m2)</t>
        </is>
      </c>
      <c r="F13" s="3" t="inlineStr">
        <is>
          <t>PIPE</t>
        </is>
      </c>
      <c r="G13" s="23">
        <f>Inputs!$B$61</f>
        <v/>
      </c>
      <c r="H13" s="22">
        <f>Inputs!$B$62</f>
        <v/>
      </c>
      <c r="I13" s="12">
        <f>Inputs!$B$66</f>
        <v/>
      </c>
      <c r="J13" s="27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EAST-OUT</t>
        </is>
      </c>
      <c r="M13" s="3" t="inlineStr">
        <is>
          <t>Ligne de concept pour dimensionnement. Debit et diametre calcules dans Inputs lignes 60-75.</t>
        </is>
      </c>
    </row>
    <row r="14">
      <c r="A14" s="19" t="n"/>
      <c r="B14" s="3" t="n"/>
      <c r="C14" s="3" t="n"/>
      <c r="D14" s="3" t="n"/>
      <c r="E14" s="3" t="n"/>
      <c r="F14" s="3" t="n"/>
      <c r="G14" s="23" t="n"/>
      <c r="H14" s="22" t="n"/>
      <c r="I14" s="12" t="n"/>
      <c r="J14" s="3" t="n"/>
      <c r="K14" s="27" t="n"/>
      <c r="L14" s="3" t="n"/>
      <c r="M14" s="3" t="n"/>
    </row>
    <row r="15">
      <c r="A15" s="19" t="n"/>
      <c r="B15" s="3" t="n"/>
      <c r="C15" s="3" t="n"/>
      <c r="D15" s="3" t="n"/>
      <c r="E15" s="3" t="n"/>
      <c r="F15" s="3" t="n"/>
      <c r="G15" s="23" t="n"/>
      <c r="H15" s="22" t="n"/>
      <c r="I15" s="12" t="n"/>
      <c r="J15" s="3" t="n"/>
      <c r="K15" s="27" t="n"/>
      <c r="L15" s="3" t="n"/>
      <c r="M15" s="3" t="n"/>
    </row>
    <row r="16">
      <c r="A16" s="19" t="n"/>
      <c r="B16" s="3" t="n"/>
      <c r="C16" s="3" t="n"/>
      <c r="D16" s="3" t="n"/>
      <c r="E16" s="3" t="n"/>
      <c r="F16" s="3" t="n"/>
      <c r="G16" s="23" t="n"/>
      <c r="H16" s="22" t="n"/>
      <c r="I16" s="12" t="n"/>
      <c r="J16" s="3" t="n"/>
      <c r="K16" s="27" t="n"/>
      <c r="L16" s="3" t="n"/>
      <c r="M16" s="3" t="n"/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SOUS-BASSINS - COMPARAISON AVANT / APRES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Surface_brute_m2</t>
        </is>
      </c>
      <c r="D3" s="10" t="inlineStr">
        <is>
          <t>Facteur_inclusion_avant</t>
        </is>
      </c>
      <c r="E3" s="10" t="inlineStr">
        <is>
          <t>Surface_effective_avant_m2</t>
        </is>
      </c>
      <c r="F3" s="10" t="inlineStr">
        <is>
          <t>Surface_avant</t>
        </is>
      </c>
      <c r="G3" s="10" t="inlineStr">
        <is>
          <t>C_avant_surcharge</t>
        </is>
      </c>
      <c r="H3" s="10" t="inlineStr">
        <is>
          <t>C_avant_utilise</t>
        </is>
      </c>
      <c r="I3" s="10" t="inlineStr">
        <is>
          <t>Tc_base_avant_min</t>
        </is>
      </c>
      <c r="J3" s="10" t="inlineStr">
        <is>
          <t>Path_ID_avant</t>
        </is>
      </c>
      <c r="K3" s="10" t="inlineStr">
        <is>
          <t>Temps_parcours_avant_min</t>
        </is>
      </c>
      <c r="L3" s="10" t="inlineStr">
        <is>
          <t>Tc_utilise_avant_min</t>
        </is>
      </c>
      <c r="M3" s="10" t="inlineStr">
        <is>
          <t>Intensite_avant_mmh</t>
        </is>
      </c>
      <c r="N3" s="10" t="inlineStr">
        <is>
          <t>Q_avant_m3s</t>
        </is>
      </c>
      <c r="O3" s="10" t="inlineStr">
        <is>
          <t>Facteur_inclusion_apres</t>
        </is>
      </c>
      <c r="P3" s="10" t="inlineStr">
        <is>
          <t>Surface_effective_apres_m2</t>
        </is>
      </c>
      <c r="Q3" s="10" t="inlineStr">
        <is>
          <t>Surface_apres</t>
        </is>
      </c>
      <c r="R3" s="10" t="inlineStr">
        <is>
          <t>C_apres_surcharge</t>
        </is>
      </c>
      <c r="S3" s="10" t="inlineStr">
        <is>
          <t>C_apres_utilise</t>
        </is>
      </c>
      <c r="T3" s="10" t="inlineStr">
        <is>
          <t>Tc_base_apres_min</t>
        </is>
      </c>
      <c r="U3" s="10" t="inlineStr">
        <is>
          <t>Path_ID_apres</t>
        </is>
      </c>
      <c r="V3" s="10" t="inlineStr">
        <is>
          <t>Temps_parcours_apres_min</t>
        </is>
      </c>
      <c r="W3" s="10" t="inlineStr">
        <is>
          <t>Tc_utilise_apres_min</t>
        </is>
      </c>
      <c r="X3" s="10" t="inlineStr">
        <is>
          <t>Intensite_apres_mmh</t>
        </is>
      </c>
      <c r="Y3" s="10" t="inlineStr">
        <is>
          <t>Q_apres_m3s</t>
        </is>
      </c>
      <c r="Z3" s="10" t="inlineStr">
        <is>
          <t>Delta_Q_apres_moins_avant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Surface principale du terrain (vert pale)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Surface gazon principale ajustee : 12712 - 422.73 - 415.45 = 11873.82 m2.</t>
        </is>
      </c>
    </row>
    <row r="5">
      <c r="A5" s="3" t="inlineStr">
        <is>
          <t>SC-02</t>
        </is>
      </c>
      <c r="B5" s="3" t="inlineStr">
        <is>
          <t>Surface peripherique terrain/paysage (vert plus fonce)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Depuis le plan cote : A=2961 m2.</t>
        </is>
      </c>
    </row>
    <row r="6">
      <c r="A6" s="3" t="inlineStr">
        <is>
          <t>SC-03</t>
        </is>
      </c>
      <c r="B6" s="3" t="inlineStr">
        <is>
          <t>Surface pavee potentiellement connectee (gris)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Depuis le plan cote : A=1869.7 m2 (utiliser le facteur d inclusion D/O).</t>
        </is>
      </c>
    </row>
    <row r="7">
      <c r="A7" s="3" t="inlineStr">
        <is>
          <t>SC-04</t>
        </is>
      </c>
      <c r="B7" s="3" t="inlineStr">
        <is>
          <t>Dalle betonnee / surface dure (completement impermeable)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Depuis le plan cote : A=398 m2, completement impermeable (sans fraction mixte).</t>
        </is>
      </c>
    </row>
    <row r="8">
      <c r="A8" s="3" t="inlineStr">
        <is>
          <t>SC-05</t>
        </is>
      </c>
      <c r="B8" s="3" t="inlineStr">
        <is>
          <t>Surface de terrain pres de l exutoire (etiquette manquante recuperee)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Depuis le plan cote : A=2882 m2 (surface de terrain proche de l exutoire).</t>
        </is>
      </c>
    </row>
    <row r="9">
      <c r="A9" s="3" t="inlineStr">
        <is>
          <t>SC-07</t>
        </is>
      </c>
      <c r="B9" s="3" t="inlineStr">
        <is>
          <t>Bloc mixte - trajectoire champ droit (SE milieu)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Bloc mixte fourni par l utilisateur : A=422.73 m2 (trajectoire SE/champ droit).</t>
        </is>
      </c>
    </row>
    <row r="10">
      <c r="A10" s="3" t="inlineStr">
        <is>
          <t>SC-08</t>
        </is>
      </c>
      <c r="B10" s="3" t="inlineStr">
        <is>
          <t>Bloc mixte - trajectoire champ gauche (NW milieu)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Bloc mixte fourni par l utilisateur : A=415.45 m2 (trajectoire NW/champ gauche).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RESUME DU RUISSELLEMENT AU POINT DE REJET EST</t>
        </is>
      </c>
      <c r="B1" s="9" t="n"/>
      <c r="C1" s="9" t="n"/>
      <c r="D1" s="9" t="n"/>
    </row>
    <row r="3">
      <c r="A3" s="10" t="inlineStr">
        <is>
          <t>Indicateur</t>
        </is>
      </c>
      <c r="B3" s="10" t="inlineStr">
        <is>
          <t>Valeur</t>
        </is>
      </c>
      <c r="C3" s="10" t="inlineStr">
        <is>
          <t>Unite</t>
        </is>
      </c>
      <c r="D3" s="10" t="inlineStr">
        <is>
          <t>Commentaire</t>
        </is>
      </c>
    </row>
    <row r="4">
      <c r="A4" s="3" t="inlineStr">
        <is>
          <t>Surface contributive effective totale AVANT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Surface contributive effective totale APRES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Surface impermeable totale AVANT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Le total impermeable inclut GRAVEL pondere par le facteur Inputs!B54.</t>
        </is>
      </c>
    </row>
    <row r="7">
      <c r="A7" s="3" t="inlineStr">
        <is>
          <t>Surface impermeable totale APRES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Le total impermeable inclut GRAVEL pondere par le facteur Inputs!B54.</t>
        </is>
      </c>
    </row>
    <row r="8">
      <c r="A8" s="3" t="inlineStr">
        <is>
          <t>Surface gazon totale AVANT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Surface gazon totale APRES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Q total AVANT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Au point de rejet est de reference.</t>
        </is>
      </c>
    </row>
    <row r="11">
      <c r="A11" s="3" t="inlineStr">
        <is>
          <t>Q total APRES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Au point de rejet est de reference.</t>
        </is>
      </c>
    </row>
    <row r="12">
      <c r="A12" s="3" t="inlineStr">
        <is>
          <t>Delta Q (APRES-AVANT)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Point de rejet considere :</t>
        </is>
      </c>
      <c r="B16" s="3">
        <f>Inputs!$B$20</f>
        <v/>
      </c>
    </row>
    <row r="18">
      <c r="A18" s="14" t="inlineStr">
        <is>
          <t>Methode d intensite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utilise la recherche IDF_Station selon Tc et periode de retour (projet Saint-Constant).</t>
        </is>
      </c>
    </row>
    <row r="20">
      <c r="A20" s="14" t="inlineStr">
        <is>
          <t>Verification du debit admissible</t>
        </is>
      </c>
      <c r="B20" s="3" t="n"/>
      <c r="C20" s="3" t="n"/>
      <c r="D20" s="3" t="n"/>
    </row>
    <row r="21">
      <c r="A21" s="3" t="inlineStr">
        <is>
          <t>Q_admissible_utilisateur (m3/s)</t>
        </is>
      </c>
      <c r="B21" s="13">
        <f>Inputs!$B$25</f>
        <v/>
      </c>
      <c r="C21" s="3" t="inlineStr">
        <is>
          <t>m3/s</t>
        </is>
      </c>
      <c r="D21" s="3" t="inlineStr">
        <is>
          <t>Saisie par l utilisateur/ville.</t>
        </is>
      </c>
    </row>
    <row r="22">
      <c r="A22" s="3" t="inlineStr">
        <is>
          <t>Q_apres &lt;= Q_admissible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 le debit total post-amenagement a la limite admissible.</t>
        </is>
      </c>
    </row>
    <row r="23">
      <c r="A23" s="3" t="inlineStr">
        <is>
          <t>Marge (Q_admissible - Q_apres)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reserve de capacite; negative = depassement.</t>
        </is>
      </c>
    </row>
    <row r="25">
      <c r="A25" s="10" t="inlineStr">
        <is>
          <t>Verification des releves de surface (etiquettes du plan)</t>
        </is>
      </c>
      <c r="B25" s="19" t="n"/>
      <c r="C25" s="19" t="n"/>
      <c r="D25" s="19" t="n"/>
    </row>
    <row r="26">
      <c r="A26" s="3" t="inlineStr">
        <is>
          <t>A=12712 m2 inclus?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inclus?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inclus?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inclus?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inclus?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Sensibilite surface mixte SC-07 + SC-08 (Q_apres)</t>
        </is>
      </c>
      <c r="B32" s="19" t="n"/>
      <c r="C32" s="19" t="n"/>
      <c r="D32" s="19" t="n"/>
    </row>
    <row r="33">
      <c r="A33" s="3" t="inlineStr">
        <is>
          <t>LOW (fraction imperm.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Contribution Q_apres de SC-07+SC-08 sous hypothese impermeable LOW.</t>
        </is>
      </c>
    </row>
    <row r="34">
      <c r="A34" s="3" t="inlineStr">
        <is>
          <t>BASE (fraction imperm.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Contribution Q_apres de SC-07+SC-08 sous hypothese impermeable BASE.</t>
        </is>
      </c>
    </row>
    <row r="35">
      <c r="A35" s="3" t="inlineStr">
        <is>
          <t>HIGH (fraction imperm.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Contribution Q_apres de SC-07+SC-08 sous hypothese impermeable HIGH.</t>
        </is>
      </c>
    </row>
    <row r="36">
      <c r="A36" s="3" t="inlineStr">
        <is>
          <t>Valeur scenario ACTIF (selon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Valeur Q_apres actuelle de SC-07+SC-08 selon Inputs!B33.</t>
        </is>
      </c>
    </row>
    <row r="38">
      <c r="A38" s="10" t="inlineStr">
        <is>
          <t>Longueur explicite totale du tronc collecteur (m)</t>
        </is>
      </c>
      <c r="B38" s="22">
        <f>Inputs!$B$49</f>
        <v/>
      </c>
      <c r="C38" s="3" t="inlineStr">
        <is>
          <t>m</t>
        </is>
      </c>
      <c r="D38" s="3" t="inlineStr">
        <is>
          <t>Depuis les entrees explicites est+bas+ouest.</t>
        </is>
      </c>
    </row>
    <row r="39">
      <c r="A39" s="10" t="inlineStr">
        <is>
          <t>Longueur implicite du tronc selon la note (m)</t>
        </is>
      </c>
      <c r="B39" s="22">
        <f>Inputs!$B$45</f>
        <v/>
      </c>
      <c r="C39" s="3" t="inlineStr">
        <is>
          <t>m</t>
        </is>
      </c>
      <c r="D39" s="3" t="inlineStr">
        <is>
          <t>Calculee a partir de 0.983 m / 0.5%.</t>
        </is>
      </c>
    </row>
    <row r="40">
      <c r="A40" s="10" t="inlineStr">
        <is>
          <t>Ecart longueur explicite - implicite (m)</t>
        </is>
      </c>
      <c r="B40" s="22">
        <f>Inputs!$B$50</f>
        <v/>
      </c>
      <c r="C40" s="3" t="inlineStr">
        <is>
          <t>m</t>
        </is>
      </c>
      <c r="D40" s="3" t="inlineStr">
        <is>
          <t>Cible proche de 0 apres calibration du chainage.</t>
        </is>
      </c>
    </row>
    <row r="42">
      <c r="A42" s="10" t="inlineStr">
        <is>
          <t>Dimensionnement du collecteur sud (concept)</t>
        </is>
      </c>
      <c r="B42" s="16" t="n"/>
      <c r="C42" s="3" t="n"/>
      <c r="D42" s="3" t="inlineStr">
        <is>
          <t>Collecteur sud dimensionne a partir des formules Inputs (Manning pleine section).</t>
        </is>
      </c>
    </row>
    <row r="43">
      <c r="A43" s="19" t="inlineStr">
        <is>
          <t>Surface de conception utilisee (m2)</t>
        </is>
      </c>
      <c r="B43" s="30">
        <f>Inputs!$B$60</f>
        <v/>
      </c>
      <c r="C43" s="3" t="n"/>
      <c r="D43" s="3" t="n"/>
    </row>
    <row r="44">
      <c r="A44" s="19" t="inlineStr">
        <is>
          <t>Debit de conception Q (m3/s)</t>
        </is>
      </c>
      <c r="B44" s="13">
        <f>Inputs!$B$70</f>
        <v/>
      </c>
      <c r="C44" s="3" t="n"/>
      <c r="D44" s="3" t="inlineStr">
        <is>
          <t>Q = 2.78E-7 * C * A * i * securite.</t>
        </is>
      </c>
    </row>
    <row r="45">
      <c r="A45" s="19" t="inlineStr">
        <is>
          <t>Diametre requis Dreq (mm)</t>
        </is>
      </c>
      <c r="B45" s="29">
        <f>IF(Inputs!$B$71="","",Inputs!$B$71*1000)</f>
        <v/>
      </c>
      <c r="C45" s="3" t="n"/>
      <c r="D45" s="3" t="inlineStr">
        <is>
          <t>Dreq via Manning reordonne : D=((Q*n)/(0.3117*sqrt(S)))^(3/8).</t>
        </is>
      </c>
    </row>
    <row r="46">
      <c r="A46" s="19" t="inlineStr">
        <is>
          <t>Diametre selectionne Dsel (mm)</t>
        </is>
      </c>
      <c r="B46" s="29">
        <f>Inputs!$B$72</f>
        <v/>
      </c>
      <c r="C46" s="3" t="n"/>
      <c r="D46" s="3" t="n"/>
    </row>
    <row r="47">
      <c r="A47" s="19" t="inlineStr">
        <is>
          <t>Capacite du diametre selectionne (m3/s)</t>
        </is>
      </c>
      <c r="B47" s="13">
        <f>Inputs!$B$73</f>
        <v/>
      </c>
      <c r="C47" s="3" t="n"/>
      <c r="D47" s="3" t="n"/>
    </row>
    <row r="48">
      <c r="A48" s="19" t="inlineStr">
        <is>
          <t>Verification de capacite</t>
        </is>
      </c>
      <c r="B48" s="16">
        <f>Inputs!$B$74</f>
        <v/>
      </c>
      <c r="C48" s="3" t="n"/>
      <c r="D48" s="3" t="inlineStr">
        <is>
          <t>PASS si la capacite selectionnee &gt;= Qdesign.</t>
        </is>
      </c>
    </row>
    <row r="49">
      <c r="A49" s="19" t="inlineStr">
        <is>
          <t>Vitesse en pleine section a Dsel (m/s)</t>
        </is>
      </c>
      <c r="B49" s="13">
        <f>Inputs!$B$75</f>
        <v/>
      </c>
      <c r="C49" s="3" t="n"/>
      <c r="D4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Table IDF utilisee par le modele (projet Saint-Constant; valeurs actuelles issues de McTavish)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Duree_min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SAISIE DU PROFIL TRANCHEE/FOSSE A TROIS LIGNES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Distance_depuis_amont_m</t>
        </is>
      </c>
      <c r="D3" s="10" t="inlineStr">
        <is>
          <t>Elevation_rive_gauche_m</t>
        </is>
      </c>
      <c r="E3" s="10" t="inlineStr">
        <is>
          <t>Elevation_fond_centre_m</t>
        </is>
      </c>
      <c r="F3" s="10" t="inlineStr">
        <is>
          <t>Elevation_rive_droite_m</t>
        </is>
      </c>
      <c r="G3" s="10" t="inlineStr">
        <is>
          <t>Pente_transv_gauche_vers_centre_%</t>
        </is>
      </c>
      <c r="H3" s="10" t="inlineStr">
        <is>
          <t>Pente_transv_droite_vers_centre_%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Point de depart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Point intermediaire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Point pres de l exutoire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Noeud_amont</t>
        </is>
      </c>
      <c r="D1" s="10" t="inlineStr">
        <is>
          <t>Noeud_aval</t>
        </is>
      </c>
      <c r="E1" s="10" t="inlineStr">
        <is>
          <t>Intention de localisation au plan</t>
        </is>
      </c>
      <c r="F1" s="10" t="inlineStr">
        <is>
          <t>Source de longueur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Apport bande est du terrain</t>
        </is>
      </c>
      <c r="D2" s="3" t="inlineStr">
        <is>
          <t>J-EAST-IN</t>
        </is>
      </c>
      <c r="E2" s="3" t="inlineStr">
        <is>
          <t>Ligne de tranchee au bord SE/champ droit</t>
        </is>
      </c>
      <c r="F2" s="3" t="inlineStr">
        <is>
          <t>Geometrie profil/plan (modifiable dans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Troncon alternatif vers exutoire (sans conduite).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Debut tranchee interieure du terrain</t>
        </is>
      </c>
      <c r="D4" s="3" t="inlineStr">
        <is>
          <t>EAST-IN</t>
        </is>
      </c>
      <c r="E4" s="3" t="inlineStr">
        <is>
          <t>Corridor principal a trois lignes de tranchee/fosse sur le terrain.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Parcours cote est pour le trajet P-EAST-STRIP.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Troncon vers exutoire en tranchee/fosse (concept actif).</t>
        </is>
      </c>
      <c r="F6" s="3" t="inlineStr">
        <is>
          <t>Inputs!B56 = 51.320 m (longueur manquante mentionnee par l utilisateur).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Raccord ouest</t>
        </is>
      </c>
      <c r="D7" s="3" t="inlineStr">
        <is>
          <t>J-TRUNK-WEST</t>
        </is>
      </c>
      <c r="E7" s="3" t="inlineStr">
        <is>
          <t>Cote ouest du futur collecteur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Troncon centre-vers-sud du tronc collecteur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Approche est vers exutoire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Le long du collecteur est</t>
        </is>
      </c>
      <c r="D10" s="3" t="inlineStr">
        <is>
          <t>EAST-OUT</t>
        </is>
      </c>
      <c r="E10" s="3" t="inlineStr">
        <is>
          <t>Troncon est additionnel optionnel pour P-EAST-OUT</t>
        </is>
      </c>
      <c r="F10" s="3" t="inlineStr">
        <is>
          <t>Inputs!B46 (66.398 m from dimension tool)</t>
        </is>
      </c>
    </row>
    <row r="11">
      <c r="A11" s="3" t="inlineStr">
        <is>
          <t>A05-SOUTH-COLLECTOR</t>
        </is>
      </c>
      <c r="B11" s="3" t="inlineStr">
        <is>
          <t>P-SOUTH-COLLECTOR</t>
        </is>
      </c>
      <c r="C11" s="3" t="inlineStr">
        <is>
          <t>Amont collecteur sud</t>
        </is>
      </c>
      <c r="D11" s="3" t="inlineStr">
        <is>
          <t>EAST-OUT</t>
        </is>
      </c>
      <c r="E11" s="3" t="inlineStr">
        <is>
          <t>Concept de collecteur le long de la partie sud recevant toute la surface 11 103 m2 pour dimensionnement.</t>
        </is>
      </c>
      <c r="F11" s="3" t="inlineStr">
        <is>
          <t>Longueur=Inputs!B61, pente=Inputs!B62, formules de dimensionnement dans Inputs!B70:B75.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2026-07-16T06:34:45Z</dcterms:modified>
</cp:coreProperties>
</file>