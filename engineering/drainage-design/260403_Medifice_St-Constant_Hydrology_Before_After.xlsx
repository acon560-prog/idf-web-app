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  <xf numFmtId="1" fontId="0" fillId="6" borderId="1" pivotButton="0" quotePrefix="0" xfId="0"/>
    <xf numFmtId="2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applies to SC-07 and SC-08 (422.73 m2 and 415.45 m2). SC-04 is fully impervious.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  <row r="64">
      <c r="A64" t="inlineStr">
        <is>
          <t>Impervious summary now includes GRAVEL via Inputs!B54 policy factor (set 1.0 include, 0.0 exclude).</t>
        </is>
      </c>
    </row>
    <row r="65">
      <c r="A65" t="inlineStr">
        <is>
          <t>Travel_time_min display precision reduced to two/three decimals for readability.</t>
        </is>
      </c>
    </row>
    <row r="66">
      <c r="A66" t="inlineStr">
        <is>
          <t>See Segment_Legend tab for A01/A02/A01T location mapping and length source references.</t>
        </is>
      </c>
    </row>
    <row r="67">
      <c r="A67" t="inlineStr">
        <is>
          <t>A03 length now uses Inputs!B47 (34.509 m) from user dimension markup; previous 12 m placeholder removed.</t>
        </is>
      </c>
    </row>
    <row r="68">
      <c r="A68" t="inlineStr">
        <is>
          <t>EAST-IN and EAST-OUT node naming aligned in FlowPaths/Segment_Legend for dimensioned east collector segments.</t>
        </is>
      </c>
    </row>
    <row r="69">
      <c r="A69" t="inlineStr">
        <is>
          <t>Current active concept set to trench/ditch routing; pipe conveyance removed from AFTER path representation.</t>
        </is>
      </c>
    </row>
    <row r="70">
      <c r="A70" t="inlineStr">
        <is>
          <t>Field three-line corridor modeled with Inputs!B55 = 112.0 m to EAST-IN.</t>
        </is>
      </c>
    </row>
    <row r="71">
      <c r="A71" t="inlineStr">
        <is>
          <t>Outlet-leading reach modeled with Inputs!B56 = 51.32 m from EAST-IN to EAST-OUT.</t>
        </is>
      </c>
    </row>
    <row r="72">
      <c r="A72" t="inlineStr">
        <is>
          <t>Collecteur a venir edge-path placeholder rows removed from active FlowPaths; workbook now shows only active trench/ditch routing rows.</t>
        </is>
      </c>
    </row>
    <row r="73">
      <c r="A73" t="inlineStr">
        <is>
          <t>South collector concept reintroduced for sizing: uses whole field area 11,103 m2 with Manning diameter formulas in Inputs rows 60-75.</t>
        </is>
      </c>
    </row>
    <row r="74">
      <c r="A74" t="inlineStr">
        <is>
          <t>To size quickly: edit Inputs B60:B64/B61:B63; read Qdesign (B70), Dreq (B71), Dsel (B72), PASS/FAIL (B74).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Mixed_block_target_subcatchments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From latest image dimension (66.398 m) along east-side collector trajectory.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From latest image dimension (34.509 m) along center-to-south trajectory.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From latest image dimension (67.025 m) for west-side reach shown by dimension tool.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Collector_edge_paths_active_now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edge collecteur a venir is shelved and excluded from active AFTER travel paths.</t>
        </is>
      </c>
    </row>
    <row r="54">
      <c r="A54" s="10" t="inlineStr">
        <is>
          <t>Gravel_impervious_factor_for_summary_0to1</t>
        </is>
      </c>
      <c r="B54" s="25" t="n">
        <v>1</v>
      </c>
      <c r="C54" s="3" t="inlineStr">
        <is>
          <t>-</t>
        </is>
      </c>
      <c r="D54" s="3" t="inlineStr">
        <is>
          <t>1.0 counts all gravel as impervious in totals; set 0.0 to exclude.</t>
        </is>
      </c>
    </row>
    <row r="55">
      <c r="A55" s="10" t="inlineStr">
        <is>
          <t>Field_trench_main_length_to_EAST_IN_m</t>
        </is>
      </c>
      <c r="B55" s="24" t="n">
        <v>112</v>
      </c>
      <c r="C55" s="3" t="inlineStr">
        <is>
          <t>m</t>
        </is>
      </c>
      <c r="D55" s="3" t="inlineStr">
        <is>
          <t>Dimensioned main field trench/ditch corridor length to EAST-IN from user markup.</t>
        </is>
      </c>
    </row>
    <row r="56">
      <c r="A56" s="10" t="inlineStr">
        <is>
          <t>Field_trench_outlet_reach_EAST_IN_to_EAST_OUT_m</t>
        </is>
      </c>
      <c r="B56" s="24" t="n">
        <v>51.32</v>
      </c>
      <c r="C56" s="3" t="inlineStr">
        <is>
          <t>m</t>
        </is>
      </c>
      <c r="D56" s="3" t="inlineStr">
        <is>
          <t>Dimensioned reach from EAST-IN to EAST-OUT mentioned by user.</t>
        </is>
      </c>
    </row>
    <row r="57">
      <c r="A57" s="10" t="inlineStr">
        <is>
          <t>Field_trench_spacing_1_m</t>
        </is>
      </c>
      <c r="B57" s="24" t="n">
        <v>10.239</v>
      </c>
      <c r="C57" s="3" t="inlineStr">
        <is>
          <t>m</t>
        </is>
      </c>
      <c r="D57" s="3" t="inlineStr">
        <is>
          <t>Spacing between trench/ditch centerlines (first interval) from user markup.</t>
        </is>
      </c>
    </row>
    <row r="58">
      <c r="A58" s="10" t="inlineStr">
        <is>
          <t>Field_trench_spacing_2_m</t>
        </is>
      </c>
      <c r="B58" s="24" t="n">
        <v>13.978</v>
      </c>
      <c r="C58" s="3" t="inlineStr">
        <is>
          <t>m</t>
        </is>
      </c>
      <c r="D58" s="3" t="inlineStr">
        <is>
          <t>Spacing between trench/ditch centerlines (second interval) from user markup.</t>
        </is>
      </c>
    </row>
    <row r="59">
      <c r="A59" s="10" t="inlineStr">
        <is>
          <t>Field_trench_top_width_m</t>
        </is>
      </c>
      <c r="B59" s="24" t="n">
        <v>4.1</v>
      </c>
      <c r="C59" s="3" t="inlineStr">
        <is>
          <t>m</t>
        </is>
      </c>
      <c r="D59" s="3" t="inlineStr">
        <is>
          <t>Approximate edge-to-edge trench/ditch width from user comment.</t>
        </is>
      </c>
    </row>
    <row r="60">
      <c r="A60" s="10" t="inlineStr">
        <is>
          <t>South_collector_area_m2</t>
        </is>
      </c>
      <c r="B60" s="11" t="n">
        <v>11103</v>
      </c>
      <c r="C60" s="3" t="inlineStr">
        <is>
          <t>m2</t>
        </is>
      </c>
      <c r="D60" s="3" t="inlineStr">
        <is>
          <t>Concept area draining to south collector (user request).</t>
        </is>
      </c>
    </row>
    <row r="61">
      <c r="A61" s="10" t="inlineStr">
        <is>
          <t>South_collector_length_m</t>
        </is>
      </c>
      <c r="B61" s="11" t="n">
        <v>51.32</v>
      </c>
      <c r="C61" s="3" t="inlineStr">
        <is>
          <t>m</t>
        </is>
      </c>
      <c r="D61" s="3" t="inlineStr">
        <is>
          <t>Collector length along south part (editable).</t>
        </is>
      </c>
    </row>
    <row r="62">
      <c r="A62" s="10" t="inlineStr">
        <is>
          <t>South_collector_slope_m_per_m</t>
        </is>
      </c>
      <c r="B62" s="11" t="n">
        <v>0.005</v>
      </c>
      <c r="C62" s="3" t="inlineStr">
        <is>
          <t>m/m</t>
        </is>
      </c>
      <c r="D62" s="3" t="inlineStr">
        <is>
          <t>Collector slope.</t>
        </is>
      </c>
    </row>
    <row r="63">
      <c r="A63" s="10" t="inlineStr">
        <is>
          <t>South_collector_manning_n</t>
        </is>
      </c>
      <c r="B63" s="11" t="n">
        <v>0.013</v>
      </c>
      <c r="C63" s="3" t="inlineStr">
        <is>
          <t>-</t>
        </is>
      </c>
      <c r="D63" s="3" t="inlineStr">
        <is>
          <t>Manning roughness for pipe sizing.</t>
        </is>
      </c>
    </row>
    <row r="64">
      <c r="A64" s="10" t="inlineStr">
        <is>
          <t>South_collector_runoff_C</t>
        </is>
      </c>
      <c r="B64" s="13">
        <f>Inputs!$B$16</f>
        <v/>
      </c>
      <c r="C64" s="3" t="inlineStr">
        <is>
          <t>-</t>
        </is>
      </c>
      <c r="D64" s="3" t="inlineStr">
        <is>
          <t>Runoff coefficient used for collector design flow.</t>
        </is>
      </c>
    </row>
    <row r="65">
      <c r="A65" s="10" t="inlineStr">
        <is>
          <t>South_collector_Tc_base_min</t>
        </is>
      </c>
      <c r="B65" s="13">
        <f>Inputs!$B$12</f>
        <v/>
      </c>
      <c r="C65" s="3" t="inlineStr">
        <is>
          <t>min</t>
        </is>
      </c>
      <c r="D65" s="3" t="inlineStr">
        <is>
          <t>Base Tc before collector travel time.</t>
        </is>
      </c>
    </row>
    <row r="66">
      <c r="A66" s="10" t="inlineStr">
        <is>
          <t>South_collector_velocity_mps</t>
        </is>
      </c>
      <c r="B66" s="13">
        <f>Inputs!$B$9</f>
        <v/>
      </c>
      <c r="C66" s="3" t="inlineStr">
        <is>
          <t>m/s</t>
        </is>
      </c>
      <c r="D66" s="3" t="inlineStr">
        <is>
          <t>Velocity used to estimate travel time in collector.</t>
        </is>
      </c>
    </row>
    <row r="67">
      <c r="A67" s="10" t="inlineStr">
        <is>
          <t>South_collector_travel_time_min</t>
        </is>
      </c>
      <c r="B67" s="13">
        <f>IF(OR(B61="",B66="",B66=0),"",B61/(B66*60))</f>
        <v/>
      </c>
      <c r="C67" s="3" t="inlineStr">
        <is>
          <t>min</t>
        </is>
      </c>
      <c r="D67" s="3" t="inlineStr">
        <is>
          <t>Travel time through collector.</t>
        </is>
      </c>
    </row>
    <row r="68">
      <c r="A68" s="10" t="inlineStr">
        <is>
          <t>South_collector_Tc_used_min</t>
        </is>
      </c>
      <c r="B68" s="13">
        <f>IF(B65="","",B65)+IF(B67="",0,B67)</f>
        <v/>
      </c>
      <c r="C68" s="3" t="inlineStr">
        <is>
          <t>min</t>
        </is>
      </c>
      <c r="D68" s="3" t="inlineStr">
        <is>
          <t>Tc used for intensity lookup.</t>
        </is>
      </c>
    </row>
    <row r="69">
      <c r="A69" s="10" t="inlineStr">
        <is>
          <t>South_collector_intensity_mmh</t>
        </is>
      </c>
      <c r="B69" s="13">
        <f>IF(B68="","",IF(UPPER(TRIM(Inputs!$B$23))="IDF_EQUATION",Inputs!$B$3/((B68+Inputs!$B$4)^Inputs!$B$5),INDEX(IDF_Station!$B$3:$G$11,IFERROR(MATCH(B68,IDF_Station!$A$3:$A$11,1),1),MATCH(Inputs!$B$24,IDF_Station!$B$2:$G$2,0))))</f>
        <v/>
      </c>
      <c r="C69" s="3" t="inlineStr">
        <is>
          <t>mm/h</t>
        </is>
      </c>
      <c r="D69" s="3" t="inlineStr">
        <is>
          <t>Design intensity at Tc used.</t>
        </is>
      </c>
    </row>
    <row r="70">
      <c r="A70" s="10" t="inlineStr">
        <is>
          <t>South_collector_Qdesign_m3s</t>
        </is>
      </c>
      <c r="B70" s="13">
        <f>IF(OR(B60="",B64="",B69=""),"",2.78E-7*B64*B60*B69*Inputs!$B$6)</f>
        <v/>
      </c>
      <c r="C70" s="3" t="inlineStr">
        <is>
          <t>m3/s</t>
        </is>
      </c>
      <c r="D70" s="3" t="inlineStr">
        <is>
          <t>Design flow with safety factor.</t>
        </is>
      </c>
    </row>
    <row r="71">
      <c r="A71" s="10" t="inlineStr">
        <is>
          <t>South_collector_required_D_m</t>
        </is>
      </c>
      <c r="B71" s="13">
        <f>IF(OR(B70="",B62="",B63="",B62&lt;=0),"",((B70*B63)/(0.3117*SQRT(B62)))^(3/8))</f>
        <v/>
      </c>
      <c r="C71" s="3" t="inlineStr">
        <is>
          <t>m</t>
        </is>
      </c>
      <c r="D71" s="3" t="inlineStr">
        <is>
          <t>Required full-flow diameter from Manning rearranged.</t>
        </is>
      </c>
    </row>
    <row r="72">
      <c r="A72" s="10" t="inlineStr">
        <is>
          <t>South_collector_selected_D_mm</t>
        </is>
      </c>
      <c r="B72" s="29">
        <f>IF(B71="","",ROUNDUP(B71*1000/25,0)*25)</f>
        <v/>
      </c>
      <c r="C72" s="3" t="inlineStr">
        <is>
          <t>mm</t>
        </is>
      </c>
      <c r="D72" s="3" t="inlineStr">
        <is>
          <t>Selected nominal diameter (rounded up to 25 mm).</t>
        </is>
      </c>
    </row>
    <row r="73">
      <c r="A73" s="10" t="inlineStr">
        <is>
          <t>South_collector_capacity_selected_m3s</t>
        </is>
      </c>
      <c r="B73" s="13">
        <f>IF(OR(B72="",B62="",B63="",B62&lt;=0),"",0.3117/B63*(B72/1000)^(8/3)*SQRT(B62))</f>
        <v/>
      </c>
      <c r="C73" s="3" t="inlineStr">
        <is>
          <t>m3/s</t>
        </is>
      </c>
      <c r="D73" s="3" t="inlineStr">
        <is>
          <t>Full-flow capacity of selected diameter.</t>
        </is>
      </c>
    </row>
    <row r="74">
      <c r="A74" s="10" t="inlineStr">
        <is>
          <t>South_collector_capacity_check</t>
        </is>
      </c>
      <c r="B74" s="16">
        <f>IF(OR(B73="",B70=""),"",IF(B73&gt;=B70,"PASS","FAIL"))</f>
        <v/>
      </c>
      <c r="C74" s="3" t="inlineStr">
        <is>
          <t>-</t>
        </is>
      </c>
      <c r="D74" s="3" t="inlineStr">
        <is>
          <t>PASS if selected capacity &gt;= design flow.</t>
        </is>
      </c>
    </row>
    <row r="75">
      <c r="A75" s="10" t="inlineStr">
        <is>
          <t>South_collector_fullflow_velocity_mps</t>
        </is>
      </c>
      <c r="B75" s="13">
        <f>IF(OR(B72="",B73=""),"",B73/(PI()*(B72/1000)^2/4))</f>
        <v/>
      </c>
      <c r="C75" s="3" t="inlineStr">
        <is>
          <t>m/s</t>
        </is>
      </c>
      <c r="D75" s="3" t="inlineStr">
        <is>
          <t>Velocity at full-flow capacity for selected diameter.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East strip trench segment (SE edge toward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 | Mapped on right-field/east strip green edge.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Outlet-leading trench/ditch reach (EAST-IN to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Pipe discarded per updated concept; use open/near-surface trench reach to outlet.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Main field trench/ditch corridor to EAST-IN (dimensioned 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Represents the three-line trench/ditch system across field; length from user markup.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West branch trench/ditch toward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Pipe discarded per updated concept; represent as trench/ditch connection.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East-strip to outlet trench reach (uses 51.32 m when edge collector inactive)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Active trench-only concept: EAST-IN to EAST-OUT outlet reach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Outlet-leading trench/ditch reach from EAST-IN to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Uses user-provided missing dimension 51.32 m for reach leading to outlet.</t>
        </is>
      </c>
    </row>
    <row r="13">
      <c r="A13" s="19" t="inlineStr">
        <is>
          <t>AFTER</t>
        </is>
      </c>
      <c r="B13" s="3" t="inlineStr">
        <is>
          <t>P-SOUTH-COLLECTOR</t>
        </is>
      </c>
      <c r="C13" s="3" t="n">
        <v>1</v>
      </c>
      <c r="D13" s="3" t="inlineStr">
        <is>
          <t>A05-SOUTH-COLLECTOR</t>
        </is>
      </c>
      <c r="E13" s="3" t="inlineStr">
        <is>
          <t>South collector concept (receives full 11,103 m2 field area)</t>
        </is>
      </c>
      <c r="F13" s="3" t="inlineStr">
        <is>
          <t>PIPE</t>
        </is>
      </c>
      <c r="G13" s="23">
        <f>Inputs!$B$61</f>
        <v/>
      </c>
      <c r="H13" s="22">
        <f>Inputs!$B$62</f>
        <v/>
      </c>
      <c r="I13" s="12">
        <f>Inputs!$B$66</f>
        <v/>
      </c>
      <c r="J13" s="27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EAST-OUT</t>
        </is>
      </c>
      <c r="M13" s="3" t="inlineStr">
        <is>
          <t>Concept sizing row. Design flow and diameter are calculated in Inputs rows 60-75.</t>
        </is>
      </c>
    </row>
    <row r="14">
      <c r="A14" s="19" t="n"/>
      <c r="B14" s="3" t="n"/>
      <c r="C14" s="3" t="n"/>
      <c r="D14" s="3" t="n"/>
      <c r="E14" s="3" t="n"/>
      <c r="F14" s="3" t="n"/>
      <c r="G14" s="23" t="n"/>
      <c r="H14" s="22" t="n"/>
      <c r="I14" s="12" t="n"/>
      <c r="J14" s="3" t="n"/>
      <c r="K14" s="27" t="n"/>
      <c r="L14" s="3" t="n"/>
      <c r="M14" s="3" t="n"/>
    </row>
    <row r="15">
      <c r="A15" s="19" t="n"/>
      <c r="B15" s="3" t="n"/>
      <c r="C15" s="3" t="n"/>
      <c r="D15" s="3" t="n"/>
      <c r="E15" s="3" t="n"/>
      <c r="F15" s="3" t="n"/>
      <c r="G15" s="23" t="n"/>
      <c r="H15" s="22" t="n"/>
      <c r="I15" s="12" t="n"/>
      <c r="J15" s="3" t="n"/>
      <c r="K15" s="27" t="n"/>
      <c r="L15" s="3" t="n"/>
      <c r="M15" s="3" t="n"/>
    </row>
    <row r="16">
      <c r="A16" s="19" t="n"/>
      <c r="B16" s="3" t="n"/>
      <c r="C16" s="3" t="n"/>
      <c r="D16" s="3" t="n"/>
      <c r="E16" s="3" t="n"/>
      <c r="F16" s="3" t="n"/>
      <c r="G16" s="23" t="n"/>
      <c r="H16" s="22" t="n"/>
      <c r="I16" s="12" t="n"/>
      <c r="J16" s="3" t="n"/>
      <c r="K16" s="27" t="n"/>
      <c r="L16" s="3" t="n"/>
      <c r="M16" s="3" t="n"/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Main grass area adjusted: 12712 - 422.73 - 415.45 = 11873.82 m2.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 (fully impervious)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m2, fully impervious (no mixed split).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SC-07</t>
        </is>
      </c>
      <c r="B9" s="3" t="inlineStr">
        <is>
          <t>Mixed block - right field trajectory (SE mid)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Mixed block provided by user: A=422.73 m2 (SE/right-field trajectory).</t>
        </is>
      </c>
    </row>
    <row r="10">
      <c r="A10" s="3" t="inlineStr">
        <is>
          <t>SC-08</t>
        </is>
      </c>
      <c r="B10" s="3" t="inlineStr">
        <is>
          <t>Mixed block - left field trajectory (NW mid)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Mixed block provided by user: A=415.45 m2 (NW/left-field trajectory).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Impervious total includes GRAVEL weighted by Inputs!B54 policy factor.</t>
        </is>
      </c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Impervious total includes GRAVEL weighted by Inputs!B54 policy factor.</t>
        </is>
      </c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SC-07 + SC-08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After-flow contribution of SC-07+SC-08 under LOW impervious assumption.</t>
        </is>
      </c>
    </row>
    <row r="34">
      <c r="A34" s="3" t="inlineStr">
        <is>
          <t>BASE (imp frac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After-flow contribution of SC-07+SC-08 under BASE impervious assumption.</t>
        </is>
      </c>
    </row>
    <row r="35">
      <c r="A35" s="3" t="inlineStr">
        <is>
          <t>HIGH (imp frac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After-flow contribution of SC-07+SC-08 under HIGH impervious assumption.</t>
        </is>
      </c>
    </row>
    <row r="36">
      <c r="A36" s="3" t="inlineStr">
        <is>
          <t>ACTIVE scenario value (from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Current SC-07+SC-08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  <row r="42">
      <c r="A42" s="10" t="inlineStr">
        <is>
          <t>South collector sizing (concept)</t>
        </is>
      </c>
      <c r="B42" s="16" t="n"/>
      <c r="C42" s="3" t="n"/>
      <c r="D42" s="3" t="inlineStr">
        <is>
          <t>Collector at south part sized from Inputs formulas (Manning full-flow).</t>
        </is>
      </c>
    </row>
    <row r="43">
      <c r="A43" s="19" t="inlineStr">
        <is>
          <t>Design area used (m2)</t>
        </is>
      </c>
      <c r="B43" s="30">
        <f>Inputs!$B$60</f>
        <v/>
      </c>
      <c r="C43" s="3" t="n"/>
      <c r="D43" s="3" t="n"/>
    </row>
    <row r="44">
      <c r="A44" s="19" t="inlineStr">
        <is>
          <t>Design flow Q (m3/s)</t>
        </is>
      </c>
      <c r="B44" s="13">
        <f>Inputs!$B$70</f>
        <v/>
      </c>
      <c r="C44" s="3" t="n"/>
      <c r="D44" s="3" t="inlineStr">
        <is>
          <t>Q = 2.78E-7 * C * A * i * safety.</t>
        </is>
      </c>
    </row>
    <row r="45">
      <c r="A45" s="19" t="inlineStr">
        <is>
          <t>Required diameter Dreq (mm)</t>
        </is>
      </c>
      <c r="B45" s="29">
        <f>IF(Inputs!$B$71="","",Inputs!$B$71*1000)</f>
        <v/>
      </c>
      <c r="C45" s="3" t="n"/>
      <c r="D45" s="3" t="inlineStr">
        <is>
          <t>Dreq from Manning rearranged: D=((Q*n)/(0.3117*sqrt(S)))^(3/8).</t>
        </is>
      </c>
    </row>
    <row r="46">
      <c r="A46" s="19" t="inlineStr">
        <is>
          <t>Selected diameter Dsel (mm)</t>
        </is>
      </c>
      <c r="B46" s="29">
        <f>Inputs!$B$72</f>
        <v/>
      </c>
      <c r="C46" s="3" t="n"/>
      <c r="D46" s="3" t="n"/>
    </row>
    <row r="47">
      <c r="A47" s="19" t="inlineStr">
        <is>
          <t>Selected capacity (m3/s)</t>
        </is>
      </c>
      <c r="B47" s="13">
        <f>Inputs!$B$73</f>
        <v/>
      </c>
      <c r="C47" s="3" t="n"/>
      <c r="D47" s="3" t="n"/>
    </row>
    <row r="48">
      <c r="A48" s="19" t="inlineStr">
        <is>
          <t>Capacity check</t>
        </is>
      </c>
      <c r="B48" s="16">
        <f>Inputs!$B$74</f>
        <v/>
      </c>
      <c r="C48" s="3" t="n"/>
      <c r="D48" s="3" t="inlineStr">
        <is>
          <t>PASS if selected capacity &gt;= Qdesign.</t>
        </is>
      </c>
    </row>
    <row r="49">
      <c r="A49" s="19" t="inlineStr">
        <is>
          <t>Full-flow velocity at Dsel (m/s)</t>
        </is>
      </c>
      <c r="B49" s="13">
        <f>Inputs!$B$75</f>
        <v/>
      </c>
      <c r="C49" s="3" t="n"/>
      <c r="D4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From_node</t>
        </is>
      </c>
      <c r="D1" s="10" t="inlineStr">
        <is>
          <t>To_node</t>
        </is>
      </c>
      <c r="E1" s="10" t="inlineStr">
        <is>
          <t>Plan location intent</t>
        </is>
      </c>
      <c r="F1" s="10" t="inlineStr">
        <is>
          <t>Length source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Field east strip inflow</t>
        </is>
      </c>
      <c r="D2" s="3" t="inlineStr">
        <is>
          <t>J-EAST-IN</t>
        </is>
      </c>
      <c r="E2" s="3" t="inlineStr">
        <is>
          <t>SE/right-field edge trench line</t>
        </is>
      </c>
      <c r="F2" s="3" t="inlineStr">
        <is>
          <t>Profile/plan geometry (editable in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Alternate outlet-leading trench reach (no pipe).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Field interior trench start</t>
        </is>
      </c>
      <c r="D4" s="3" t="inlineStr">
        <is>
          <t>EAST-IN</t>
        </is>
      </c>
      <c r="E4" s="3" t="inlineStr">
        <is>
          <t>Main three-line trench/ditch corridor across field.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East-side collector run for P-EAST-STRIP path.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Outlet-leading trench/ditch reach (active concept).</t>
        </is>
      </c>
      <c r="F6" s="3" t="inlineStr">
        <is>
          <t>Inputs!B56 = 51.320 m (user-mentioned missing length).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West tie-in</t>
        </is>
      </c>
      <c r="D7" s="3" t="inlineStr">
        <is>
          <t>J-TRUNK-WEST</t>
        </is>
      </c>
      <c r="E7" s="3" t="inlineStr">
        <is>
          <t>Future collector west side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Center-to-south trunk reach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East approach to outlet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Along east collector</t>
        </is>
      </c>
      <c r="D10" s="3" t="inlineStr">
        <is>
          <t>EAST-OUT</t>
        </is>
      </c>
      <c r="E10" s="3" t="inlineStr">
        <is>
          <t>Optional extra east trunk for P-EAST-OUT</t>
        </is>
      </c>
      <c r="F10" s="3" t="inlineStr">
        <is>
          <t>Inputs!B46 (66.398 m from dimension tool)</t>
        </is>
      </c>
    </row>
    <row r="11">
      <c r="A11" s="3" t="inlineStr">
        <is>
          <t>A05-SOUTH-COLLECTOR</t>
        </is>
      </c>
      <c r="B11" s="3" t="inlineStr">
        <is>
          <t>P-SOUTH-COLLECTOR</t>
        </is>
      </c>
      <c r="C11" s="3" t="inlineStr">
        <is>
          <t>South field collector start</t>
        </is>
      </c>
      <c r="D11" s="3" t="inlineStr">
        <is>
          <t>EAST-OUT</t>
        </is>
      </c>
      <c r="E11" s="3" t="inlineStr">
        <is>
          <t>Concept collector along south part receiving whole field area (11103 m2) for sizing.</t>
        </is>
      </c>
      <c r="F11" s="3" t="inlineStr">
        <is>
          <t>Length=Inputs!B61, slope=Inputs!B62, sizing formulas in Inputs!B70:B75.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2026-07-16T05:59:43Z</dcterms:modified>
</cp:coreProperties>
</file>