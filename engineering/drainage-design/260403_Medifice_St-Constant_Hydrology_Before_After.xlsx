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  <sheet name="TrenchProfile_3Lines" sheetId="7" state="visible" r:id="rId7"/>
    <sheet name="Segment_Legen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[&lt;1]0.0000;0.000"/>
    <numFmt numFmtId="165" formatCode="0.0"/>
    <numFmt numFmtId="166" formatCode="0.0000"/>
    <numFmt numFmtId="167" formatCode="0.000"/>
    <numFmt numFmtId="168" formatCode="[&lt;1]0.000;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  <xf numFmtId="0" fontId="3" fillId="0" borderId="0" pivotButton="0" quotePrefix="0" xfId="0"/>
    <xf numFmtId="166" fontId="0" fillId="5" borderId="1" pivotButton="0" quotePrefix="0" xfId="0"/>
    <xf numFmtId="166" fontId="0" fillId="6" borderId="1" pivotButton="0" quotePrefix="0" xfId="0"/>
    <xf numFmtId="167" fontId="0" fillId="6" borderId="1" pivotButton="0" quotePrefix="0" xfId="0"/>
    <xf numFmtId="167" fontId="0" fillId="5" borderId="1" pivotButton="0" quotePrefix="0" xfId="0"/>
    <xf numFmtId="2" fontId="0" fillId="5" borderId="1" pivotButton="0" quotePrefix="0" xfId="0"/>
    <xf numFmtId="168" fontId="0" fillId="6" borderId="1" pivotButton="0" quotePrefix="0" xfId="0"/>
    <xf numFmtId="168" fontId="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For this baseball-field model, drainage paths are represented as field sheet/trench/collector to east culvert; no building-internal mechanical path assumed.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FlowPaths: AFTER uses trench/perforated underdrain representation for field strip (TRENCH) + pipe collector to outlet.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3">
      <c r="A53" t="inlineStr">
        <is>
          <t>Three-parallel-line symbol is interpreted as trench/ditch corridor with left-edge, center-invert, right-edge elevations.</t>
        </is>
      </c>
    </row>
    <row r="54">
      <c r="A54" t="inlineStr">
        <is>
          <t>Use TrenchProfile_3Lines sheet to input observed elevations along that corridor.</t>
        </is>
      </c>
    </row>
    <row r="57">
      <c r="A57" t="inlineStr">
        <is>
          <t>Takeoff updated with missing A=2882 m2 near outlet; verification block added in Summary_Before_After A25:B30.</t>
        </is>
      </c>
    </row>
    <row r="58">
      <c r="A58" t="inlineStr">
        <is>
          <t>Err:508 fix applied; formulas simplified for compatibility.</t>
        </is>
      </c>
    </row>
    <row r="59">
      <c r="A59" t="inlineStr">
        <is>
          <t>This workbook is for SAINT-CONSTANT. Intensity source defaults to station table (McTavish values provided).</t>
        </is>
      </c>
    </row>
    <row r="60">
      <c r="A60" t="inlineStr">
        <is>
          <t>IDF_a/b/c are used only when Intensity_source is switched to IDF_EQUATION.</t>
        </is>
      </c>
    </row>
    <row r="61">
      <c r="A61" t="inlineStr">
        <is>
          <t>Design intent: renovated field represented by trench/perforated underdrain plus collector to outlet (east culvert).</t>
        </is>
      </c>
    </row>
    <row r="62">
      <c r="A62" t="inlineStr">
        <is>
          <t>Mixed-surface sensitivity applies to SC-07 and SC-08 (422.73 m2 and 415.45 m2). SC-04 is fully impervious.</t>
        </is>
      </c>
    </row>
    <row r="63">
      <c r="A63" s="20" t="inlineStr">
        <is>
          <t>Collector note encoded explicitly: trunk east/bottom/west segments at P=0.5% are now Inputs-driven and included in AFTER Tc/Q via FlowPaths.</t>
        </is>
      </c>
    </row>
    <row r="64">
      <c r="A64" t="inlineStr">
        <is>
          <t>Impervious summary now includes GRAVEL via Inputs!B54 policy factor (set 1.0 include, 0.0 exclude).</t>
        </is>
      </c>
    </row>
    <row r="65">
      <c r="A65" t="inlineStr">
        <is>
          <t>Travel_time_min display precision reduced to two/three decimals for readability.</t>
        </is>
      </c>
    </row>
    <row r="66">
      <c r="A66" t="inlineStr">
        <is>
          <t>See Segment_Legend tab for A01/A02/A01T location mapping and length source references.</t>
        </is>
      </c>
    </row>
    <row r="67">
      <c r="A67" t="inlineStr">
        <is>
          <t>A03 length now uses Inputs!B47 (34.509 m) from user dimension markup; previous 12 m placeholder removed.</t>
        </is>
      </c>
    </row>
    <row r="68">
      <c r="A68" t="inlineStr">
        <is>
          <t>EAST-IN and EAST-OUT node naming aligned in FlowPaths/Segment_Legend for dimensioned east collector segments.</t>
        </is>
      </c>
    </row>
    <row r="69">
      <c r="A69" t="inlineStr">
        <is>
          <t>Current active concept set to trench/ditch routing; pipe conveyance removed from AFTER path representation.</t>
        </is>
      </c>
    </row>
    <row r="70">
      <c r="A70" t="inlineStr">
        <is>
          <t>Field three-line corridor modeled with Inputs!B55 = 112.0 m to EAST-IN.</t>
        </is>
      </c>
    </row>
    <row r="71">
      <c r="A71" t="inlineStr">
        <is>
          <t>Outlet-leading reach modeled with Inputs!B56 = 51.32 m from EAST-IN to EAST-OUT.</t>
        </is>
      </c>
    </row>
    <row r="72">
      <c r="A72" t="inlineStr">
        <is>
          <t>Collecteur a venir edge paths treated as shelved by default (Inputs!B53 = NO).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(only if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 (only if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 (only if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velocity reserved; unused unless a dedicated internal path is intentionally reintroduced.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Project context: Saint-Constant. Station table currently from McTavish values provided by user.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Default STATION_TABLE. Use IDF_EQUATION only if a,b,c are valid for same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one header in IDF_Station row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Adopted velocity for perforated underdrain in trench envelope (geotextile + stone).</t>
        </is>
      </c>
    </row>
    <row r="31">
      <c r="A31" s="10" t="inlineStr">
        <is>
          <t>Mixed_block_target_subcatchments</t>
        </is>
      </c>
      <c r="B31" s="11" t="inlineStr">
        <is>
          <t>SC-07 + SC-08</t>
        </is>
      </c>
      <c r="C31" s="3" t="inlineStr">
        <is>
          <t>-</t>
        </is>
      </c>
      <c r="D31" s="3" t="inlineStr">
        <is>
          <t>Outlet uncertain block for mixed-surface sensitivity.</t>
        </is>
      </c>
    </row>
    <row r="32">
      <c r="A32" s="10" t="inlineStr">
        <is>
          <t>Mixed_block_total_area_m2</t>
        </is>
      </c>
      <c r="B32" s="13">
        <f>SUM(Subcatchments!$C$9:$C$10)</f>
        <v/>
      </c>
      <c r="C32" s="3" t="inlineStr">
        <is>
          <t>m2</t>
        </is>
      </c>
      <c r="D32" s="3" t="inlineStr">
        <is>
          <t>Should match SC-04 area.</t>
        </is>
      </c>
    </row>
    <row r="33">
      <c r="A33" s="10" t="inlineStr">
        <is>
          <t>Mixed_block_sensitivity_mode (LOW/BASE/HIGH)</t>
        </is>
      </c>
      <c r="B33" s="11" t="inlineStr">
        <is>
          <t>BASE</t>
        </is>
      </c>
      <c r="C33" s="3" t="inlineStr">
        <is>
          <t>text</t>
        </is>
      </c>
      <c r="D33" s="3" t="inlineStr">
        <is>
          <t>Controls impervious fraction used for SC-04.</t>
        </is>
      </c>
    </row>
    <row r="34">
      <c r="A34" s="10" t="inlineStr">
        <is>
          <t>Mixed_block_impervious_fraction_LOW</t>
        </is>
      </c>
      <c r="B34" s="11" t="n">
        <v>0.35</v>
      </c>
      <c r="C34" s="3" t="inlineStr">
        <is>
          <t>0-1</t>
        </is>
      </c>
      <c r="D34" s="3" t="inlineStr">
        <is>
          <t>Low impervious assumption.</t>
        </is>
      </c>
    </row>
    <row r="35">
      <c r="A35" s="10" t="inlineStr">
        <is>
          <t>Mixed_block_impervious_fraction_BASE</t>
        </is>
      </c>
      <c r="B35" s="11" t="n">
        <v>0.5</v>
      </c>
      <c r="C35" s="3" t="inlineStr">
        <is>
          <t>0-1</t>
        </is>
      </c>
      <c r="D35" s="3" t="inlineStr">
        <is>
          <t>Base impervious assumption.</t>
        </is>
      </c>
    </row>
    <row r="36">
      <c r="A36" s="10" t="inlineStr">
        <is>
          <t>Mixed_block_impervious_fraction_HIGH</t>
        </is>
      </c>
      <c r="B36" s="11" t="n">
        <v>0.7</v>
      </c>
      <c r="C36" s="3" t="inlineStr">
        <is>
          <t>0-1</t>
        </is>
      </c>
      <c r="D36" s="3" t="inlineStr">
        <is>
          <t>High impervious assumption.</t>
        </is>
      </c>
    </row>
    <row r="37">
      <c r="A37" s="10" t="inlineStr">
        <is>
          <t>Mixed_block_impervious_fraction_used</t>
        </is>
      </c>
      <c r="B37" s="13">
        <f>IF(UPPER(TRIM(B33))="LOW",B34,IF(UPPER(TRIM(B33))="HIGH",B36,B35))</f>
        <v/>
      </c>
      <c r="C37" s="3" t="inlineStr">
        <is>
          <t>0-1</t>
        </is>
      </c>
      <c r="D37" s="3" t="inlineStr">
        <is>
          <t>Selected by mode.</t>
        </is>
      </c>
    </row>
    <row r="38">
      <c r="A38" s="10" t="inlineStr">
        <is>
          <t>Mixed_block_grass_fraction_used</t>
        </is>
      </c>
      <c r="B38" s="13">
        <f>1-B37</f>
        <v/>
      </c>
      <c r="C38" s="3" t="inlineStr">
        <is>
          <t>0-1</t>
        </is>
      </c>
      <c r="D38" s="3" t="inlineStr">
        <is>
          <t>Complementary fraction.</t>
        </is>
      </c>
    </row>
    <row r="39">
      <c r="A39" s="10" t="inlineStr">
        <is>
          <t>Mixed_block_C_before_weighted</t>
        </is>
      </c>
      <c r="B39" s="13">
        <f>B37*B14+B38*B15</f>
        <v/>
      </c>
      <c r="C39" s="3" t="inlineStr">
        <is>
          <t>-</t>
        </is>
      </c>
      <c r="D39" s="3" t="inlineStr">
        <is>
          <t>Weighted C for BEFORE (pavage + grass existing).</t>
        </is>
      </c>
    </row>
    <row r="40">
      <c r="A40" s="10" t="inlineStr">
        <is>
          <t>Mixed_block_C_after_weighted</t>
        </is>
      </c>
      <c r="B40" s="13">
        <f>B37*B14+B38*B16</f>
        <v/>
      </c>
      <c r="C40" s="3" t="inlineStr">
        <is>
          <t>-</t>
        </is>
      </c>
      <c r="D40" s="3" t="inlineStr">
        <is>
          <t>Weighted C for AFTER (pavage + grass proposed).</t>
        </is>
      </c>
    </row>
    <row r="41">
      <c r="A41" s="10" t="inlineStr">
        <is>
          <t>Mixed_block_enable_override (YES/NO)</t>
        </is>
      </c>
      <c r="B41" s="11" t="inlineStr">
        <is>
          <t>YES</t>
        </is>
      </c>
      <c r="C41" s="3" t="inlineStr">
        <is>
          <t>text</t>
        </is>
      </c>
      <c r="D41" s="3" t="inlineStr">
        <is>
          <t>If YES, SC-04 uses weighted C overrides.</t>
        </is>
      </c>
    </row>
    <row r="43">
      <c r="A43" s="10" t="inlineStr">
        <is>
          <t>Collector_trunk_slope_m_per_m</t>
        </is>
      </c>
      <c r="B43" s="21" t="n">
        <v>0.005</v>
      </c>
      <c r="C43" s="3" t="inlineStr">
        <is>
          <t>m/m</t>
        </is>
      </c>
      <c r="D43" s="3" t="inlineStr">
        <is>
          <t>From plan note: COLLECTEUR A VENIR (P=0.5%).</t>
        </is>
      </c>
    </row>
    <row r="44">
      <c r="A44" s="10" t="inlineStr">
        <is>
          <t>Collector_trunk_delta_invert_to_lowpoint_m</t>
        </is>
      </c>
      <c r="B44" s="21" t="n">
        <v>0.983</v>
      </c>
      <c r="C44" s="3" t="inlineStr">
        <is>
          <t>m</t>
        </is>
      </c>
      <c r="D44" s="3" t="inlineStr">
        <is>
          <t>From plan note: radier = 0.983 m above collector low point.</t>
        </is>
      </c>
    </row>
    <row r="45">
      <c r="A45" s="10" t="inlineStr">
        <is>
          <t>Collector_trunk_chainage_implied_by_note_m</t>
        </is>
      </c>
      <c r="B45" s="22">
        <f>IF(B43=0,"",B44/B43)</f>
        <v/>
      </c>
      <c r="C45" s="3" t="inlineStr">
        <is>
          <t>m</t>
        </is>
      </c>
      <c r="D45" s="3" t="inlineStr">
        <is>
          <t>Implied chainage from note (delta/slope).</t>
        </is>
      </c>
    </row>
    <row r="46">
      <c r="A46" s="10" t="inlineStr">
        <is>
          <t>Collector_trunk_east_length_m</t>
        </is>
      </c>
      <c r="B46" s="24" t="n">
        <v>66.398</v>
      </c>
      <c r="C46" s="3" t="inlineStr">
        <is>
          <t>m</t>
        </is>
      </c>
      <c r="D46" s="3" t="inlineStr">
        <is>
          <t>From latest image dimension (66.398 m) along east-side collector trajectory.</t>
        </is>
      </c>
    </row>
    <row r="47">
      <c r="A47" s="10" t="inlineStr">
        <is>
          <t>Collector_trunk_bottom_length_m</t>
        </is>
      </c>
      <c r="B47" s="24" t="n">
        <v>34.509</v>
      </c>
      <c r="C47" s="3" t="inlineStr">
        <is>
          <t>m</t>
        </is>
      </c>
      <c r="D47" s="3" t="inlineStr">
        <is>
          <t>From latest image dimension (34.509 m) along center-to-south trajectory.</t>
        </is>
      </c>
    </row>
    <row r="48">
      <c r="A48" s="10" t="inlineStr">
        <is>
          <t>Collector_trunk_west_length_m</t>
        </is>
      </c>
      <c r="B48" s="24" t="n">
        <v>67.02500000000001</v>
      </c>
      <c r="C48" s="3" t="inlineStr">
        <is>
          <t>m</t>
        </is>
      </c>
      <c r="D48" s="3" t="inlineStr">
        <is>
          <t>From latest image dimension (67.025 m) for west-side reach shown by dimension tool.</t>
        </is>
      </c>
    </row>
    <row r="49">
      <c r="A49" s="10" t="inlineStr">
        <is>
          <t>Collector_trunk_total_explicit_length_m</t>
        </is>
      </c>
      <c r="B49" s="23">
        <f>SUM(B46:B48)</f>
        <v/>
      </c>
      <c r="C49" s="3" t="inlineStr">
        <is>
          <t>m</t>
        </is>
      </c>
      <c r="D49" s="3" t="inlineStr">
        <is>
          <t>Total explicit chainage used in path travel times.</t>
        </is>
      </c>
    </row>
    <row r="50">
      <c r="A50" s="10" t="inlineStr">
        <is>
          <t>Collector_trunk_length_diff_explicit_minus_implied_m</t>
        </is>
      </c>
      <c r="B50" s="23">
        <f>B49-B45</f>
        <v/>
      </c>
      <c r="C50" s="3" t="inlineStr">
        <is>
          <t>m</t>
        </is>
      </c>
      <c r="D50" s="3" t="inlineStr">
        <is>
          <t>Close to 0 when explicit chainage matches plan note.</t>
        </is>
      </c>
    </row>
    <row r="51">
      <c r="A51" s="10" t="inlineStr">
        <is>
          <t>Collector_trunk_conveyance_type</t>
        </is>
      </c>
      <c r="B51" s="12" t="inlineStr">
        <is>
          <t>TRENCH</t>
        </is>
      </c>
      <c r="C51" s="3" t="inlineStr">
        <is>
          <t>text</t>
        </is>
      </c>
      <c r="D51" s="3" t="inlineStr">
        <is>
          <t>Use PIPE unless redesign requires other conveyance.</t>
        </is>
      </c>
    </row>
    <row r="52">
      <c r="A52" s="10" t="inlineStr">
        <is>
          <t>Collector_trunk_velocity_override_mps</t>
        </is>
      </c>
      <c r="B52" s="21" t="n">
        <v>1.5</v>
      </c>
      <c r="C52" s="3" t="inlineStr">
        <is>
          <t>m/s</t>
        </is>
      </c>
      <c r="D52" s="3" t="inlineStr">
        <is>
          <t>Override trunk velocity (leave numeric to force value).</t>
        </is>
      </c>
    </row>
    <row r="53">
      <c r="A53" s="10" t="inlineStr">
        <is>
          <t>Collector_edge_paths_active_now (YES/NO)</t>
        </is>
      </c>
      <c r="B53" s="12" t="inlineStr">
        <is>
          <t>NO</t>
        </is>
      </c>
      <c r="C53" s="3" t="inlineStr">
        <is>
          <t>text</t>
        </is>
      </c>
      <c r="D53" s="3" t="inlineStr">
        <is>
          <t>NO = edge collecteur a venir is shelved and excluded from active AFTER travel paths.</t>
        </is>
      </c>
    </row>
    <row r="54">
      <c r="A54" s="10" t="inlineStr">
        <is>
          <t>Gravel_impervious_factor_for_summary_0to1</t>
        </is>
      </c>
      <c r="B54" s="25" t="n">
        <v>1</v>
      </c>
      <c r="C54" s="3" t="inlineStr">
        <is>
          <t>-</t>
        </is>
      </c>
      <c r="D54" s="3" t="inlineStr">
        <is>
          <t>1.0 counts all gravel as impervious in totals; set 0.0 to exclude.</t>
        </is>
      </c>
    </row>
    <row r="55">
      <c r="A55" s="10" t="inlineStr">
        <is>
          <t>Field_trench_main_length_to_EAST_IN_m</t>
        </is>
      </c>
      <c r="B55" s="24" t="n">
        <v>112</v>
      </c>
      <c r="C55" s="3" t="inlineStr">
        <is>
          <t>m</t>
        </is>
      </c>
      <c r="D55" s="3" t="inlineStr">
        <is>
          <t>Dimensioned main field trench/ditch corridor length to EAST-IN from user markup.</t>
        </is>
      </c>
    </row>
    <row r="56">
      <c r="A56" s="10" t="inlineStr">
        <is>
          <t>Field_trench_outlet_reach_EAST_IN_to_EAST_OUT_m</t>
        </is>
      </c>
      <c r="B56" s="24" t="n">
        <v>51.32</v>
      </c>
      <c r="C56" s="3" t="inlineStr">
        <is>
          <t>m</t>
        </is>
      </c>
      <c r="D56" s="3" t="inlineStr">
        <is>
          <t>Dimensioned reach from EAST-IN to EAST-OUT mentioned by user.</t>
        </is>
      </c>
    </row>
    <row r="57">
      <c r="A57" s="10" t="inlineStr">
        <is>
          <t>Field_trench_spacing_1_m</t>
        </is>
      </c>
      <c r="B57" s="24" t="n">
        <v>10.239</v>
      </c>
      <c r="C57" s="3" t="inlineStr">
        <is>
          <t>m</t>
        </is>
      </c>
      <c r="D57" s="3" t="inlineStr">
        <is>
          <t>Spacing between trench/ditch centerlines (first interval) from user markup.</t>
        </is>
      </c>
    </row>
    <row r="58">
      <c r="A58" s="10" t="inlineStr">
        <is>
          <t>Field_trench_spacing_2_m</t>
        </is>
      </c>
      <c r="B58" s="24" t="n">
        <v>13.978</v>
      </c>
      <c r="C58" s="3" t="inlineStr">
        <is>
          <t>m</t>
        </is>
      </c>
      <c r="D58" s="3" t="inlineStr">
        <is>
          <t>Spacing between trench/ditch centerlines (second interval) from user markup.</t>
        </is>
      </c>
    </row>
    <row r="59">
      <c r="A59" s="10" t="inlineStr">
        <is>
          <t>Field_trench_top_width_m</t>
        </is>
      </c>
      <c r="B59" s="24" t="n">
        <v>4.1</v>
      </c>
      <c r="C59" s="3" t="inlineStr">
        <is>
          <t>m</t>
        </is>
      </c>
      <c r="D59" s="3" t="inlineStr">
        <is>
          <t>Approximate edge-to-edge trench/ditch width from user comment.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26">
        <f>IF(OR(G4="",J4=""),"",G4/(J4*60))</f>
        <v/>
      </c>
      <c r="L4" s="3" t="inlineStr">
        <is>
          <t>EAST-OUT</t>
        </is>
      </c>
      <c r="M4" s="3" t="inlineStr">
        <is>
          <t>If old subdrain exists but deteriorated, keep SHEET velocity conservative or split into extra segment.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26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26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A01-EAST-STRIP</t>
        </is>
      </c>
      <c r="E7" s="3" t="inlineStr">
        <is>
          <t>East strip trench segment (SE edge toward J-EAST-IN)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26">
        <f>IF(OR(G7="",J7=""),"",G7/(J7*60))</f>
        <v/>
      </c>
      <c r="L7" s="3" t="inlineStr">
        <is>
          <t>J-EAST-IN</t>
        </is>
      </c>
      <c r="M7" s="3" t="inlineStr">
        <is>
          <t>Represents field underdrain laterals/collector in trench, not a plain solid pipe. | Mapped on right-field/east strip green edge.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A02-EAST-OUT</t>
        </is>
      </c>
      <c r="E8" s="3" t="inlineStr">
        <is>
          <t>Outlet-leading trench/ditch reach (EAST-IN to EAST-OUT)</t>
        </is>
      </c>
      <c r="F8" s="3" t="inlineStr">
        <is>
          <t>TRENCH</t>
        </is>
      </c>
      <c r="G8" s="3">
        <f>Inputs!$B$56</f>
        <v/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26">
        <f>IF(OR(G8="",J8=""),"",G8/(J8*60))</f>
        <v/>
      </c>
      <c r="L8" s="3" t="inlineStr">
        <is>
          <t>EAST-OUT</t>
        </is>
      </c>
      <c r="M8" s="3" t="inlineStr">
        <is>
          <t>Pipe discarded per updated concept; use open/near-surface trench reach to outlet.</t>
        </is>
      </c>
    </row>
    <row r="9">
      <c r="A9" s="3" t="inlineStr">
        <is>
          <t>AFTER</t>
        </is>
      </c>
      <c r="B9" s="3" t="inlineStr">
        <is>
          <t>P-FIELD-3LINE</t>
        </is>
      </c>
      <c r="C9" s="3" t="n">
        <v>1</v>
      </c>
      <c r="D9" s="3" t="inlineStr">
        <is>
          <t>A03-FIELD-3LINE</t>
        </is>
      </c>
      <c r="E9" s="3" t="inlineStr">
        <is>
          <t>Main field trench/ditch corridor to EAST-IN (dimensioned 112 m)</t>
        </is>
      </c>
      <c r="F9" s="3" t="inlineStr">
        <is>
          <t>TRENCH</t>
        </is>
      </c>
      <c r="G9" s="3">
        <f>Inputs!$B$55</f>
        <v/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26">
        <f>IF(OR(G9="",J9=""),"",G9/(J9*60))</f>
        <v/>
      </c>
      <c r="L9" s="3" t="inlineStr">
        <is>
          <t>EAST-IN</t>
        </is>
      </c>
      <c r="M9" s="3" t="inlineStr">
        <is>
          <t>Represents the three-line trench/ditch system across field; length from user markup.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A04-WEST-BRANCH</t>
        </is>
      </c>
      <c r="E10" s="3" t="inlineStr">
        <is>
          <t>West branch trench/ditch toward EAST-IN/EAST-OUT</t>
        </is>
      </c>
      <c r="F10" s="3" t="inlineStr">
        <is>
          <t>TRENCH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26">
        <f>IF(OR(G10="",J10=""),"",G10/(J10*60))</f>
        <v/>
      </c>
      <c r="L10" s="3" t="inlineStr">
        <is>
          <t>EAST-OUT</t>
        </is>
      </c>
      <c r="M10" s="3" t="inlineStr">
        <is>
          <t>Pipe discarded per updated concept; represent as trench/ditch connection.</t>
        </is>
      </c>
    </row>
    <row r="11">
      <c r="A11" s="19" t="inlineStr">
        <is>
          <t>AFTER</t>
        </is>
      </c>
      <c r="B11" s="3" t="inlineStr">
        <is>
          <t>P-EAST-STRIP</t>
        </is>
      </c>
      <c r="C11" s="3" t="n">
        <v>2</v>
      </c>
      <c r="D11" s="3" t="inlineStr">
        <is>
          <t>A01T-EAST-TRUNK</t>
        </is>
      </c>
      <c r="E11" s="3" t="inlineStr">
        <is>
          <t>East-strip to outlet trench reach (uses 51.32 m when edge collector inactive)</t>
        </is>
      </c>
      <c r="F11" s="3" t="inlineStr">
        <is>
          <t>TRENCH</t>
        </is>
      </c>
      <c r="G11" s="23">
        <f>IF(UPPER(TRIM(Inputs!$B$53))="YES",Inputs!$B$46,Inputs!$B$56)</f>
        <v/>
      </c>
      <c r="H11" s="22">
        <f>Inputs!$B$43</f>
        <v/>
      </c>
      <c r="I11" s="12">
        <f>Inputs!$B$52</f>
        <v/>
      </c>
      <c r="J11" s="3">
        <f>IF(I11&lt;&gt;"",I11,IF(UPPER(TRIM(F11))="SHEET",Inputs!$B$7,IF(UPPER(TRIM(F11))="SWALE",Inputs!$B$8,IF(UPPER(TRIM(F11))="TRENCH",Inputs!$B$27,IF(UPPER(TRIM(F11))="PIPE",Inputs!$B$9,Inputs!$B$10)))))</f>
        <v/>
      </c>
      <c r="K11" s="27">
        <f>IF(OR(G11="",J11=""),"",G11/(J11*60))</f>
        <v/>
      </c>
      <c r="L11" s="3" t="inlineStr">
        <is>
          <t>EAST-OUT</t>
        </is>
      </c>
      <c r="M11" s="3" t="inlineStr">
        <is>
          <t>If collector edge is inactive (NO), this uses EAST-IN-&gt;EAST-OUT trench length (51.32 m).</t>
        </is>
      </c>
    </row>
    <row r="12">
      <c r="A12" s="19" t="inlineStr">
        <is>
          <t>AFTER</t>
        </is>
      </c>
      <c r="B12" s="3" t="inlineStr">
        <is>
          <t>P-FIELD-3LINE</t>
        </is>
      </c>
      <c r="C12" s="3" t="n">
        <v>2</v>
      </c>
      <c r="D12" s="3" t="inlineStr">
        <is>
          <t>A03T-EAST-TRUNK</t>
        </is>
      </c>
      <c r="E12" s="3" t="inlineStr">
        <is>
          <t>Outlet-leading trench/ditch reach from EAST-IN to EAST-OUT (51.32 m)</t>
        </is>
      </c>
      <c r="F12" s="3" t="inlineStr">
        <is>
          <t>TRENCH</t>
        </is>
      </c>
      <c r="G12" s="23">
        <f>Inputs!$B$56</f>
        <v/>
      </c>
      <c r="H12" s="22">
        <f>Inputs!$B$43</f>
        <v/>
      </c>
      <c r="I12" s="12">
        <f>Inputs!$B$52</f>
        <v/>
      </c>
      <c r="J12" s="3">
        <f>IF(I12&lt;&gt;"",I12,IF(UPPER(TRIM(F12))="SHEET",Inputs!$B$7,IF(UPPER(TRIM(F12))="SWALE",Inputs!$B$8,IF(UPPER(TRIM(F12))="TRENCH",Inputs!$B$27,IF(UPPER(TRIM(F12))="PIPE",Inputs!$B$9,Inputs!$B$10)))))</f>
        <v/>
      </c>
      <c r="K12" s="27">
        <f>IF(OR(G12="",J12=""),"",G12/(J12*60))</f>
        <v/>
      </c>
      <c r="L12" s="3" t="inlineStr">
        <is>
          <t>EAST-OUT</t>
        </is>
      </c>
      <c r="M12" s="3" t="inlineStr">
        <is>
          <t>Uses user-provided missing dimension 51.32 m for reach leading to outlet.</t>
        </is>
      </c>
    </row>
    <row r="13">
      <c r="A13" s="19" t="inlineStr">
        <is>
          <t>AFTER</t>
        </is>
      </c>
      <c r="B13" s="3" t="inlineStr">
        <is>
          <t>P-WEST-PAVE</t>
        </is>
      </c>
      <c r="C13" s="3" t="n">
        <v>2</v>
      </c>
      <c r="D13" s="3" t="inlineStr">
        <is>
          <t>A04T-WEST-TRUNK</t>
        </is>
      </c>
      <c r="E13" s="3" t="inlineStr">
        <is>
          <t>Collector trunk west segment (dimensioned)</t>
        </is>
      </c>
      <c r="F13" s="3" t="inlineStr">
        <is>
          <t>TRENCH</t>
        </is>
      </c>
      <c r="G13" s="23">
        <f>IF(UPPER(TRIM(Inputs!$B$53))="YES",Inputs!$B$48,0)</f>
        <v/>
      </c>
      <c r="H13" s="22">
        <f>Inputs!$B$43</f>
        <v/>
      </c>
      <c r="I13" s="12">
        <f>Inputs!$B$52</f>
        <v/>
      </c>
      <c r="J13" s="3">
        <f>IF(I13&lt;&gt;"",I13,IF(UPPER(TRIM(F13))="SHEET",Inputs!$B$7,IF(UPPER(TRIM(F13))="SWALE",Inputs!$B$8,IF(UPPER(TRIM(F13))="TRENCH",Inputs!$B$27,IF(UPPER(TRIM(F13))="PIPE",Inputs!$B$9,Inputs!$B$10)))))</f>
        <v/>
      </c>
      <c r="K13" s="27">
        <f>IF(OR(G13="",J13=""),"",G13/(J13*60))</f>
        <v/>
      </c>
      <c r="L13" s="3" t="inlineStr">
        <is>
          <t>J-TRUNK-WEST</t>
        </is>
      </c>
      <c r="M13" s="3" t="inlineStr">
        <is>
          <t>Explicit west-side trunk reach. | West trunk reach from dimension tool.</t>
        </is>
      </c>
    </row>
    <row r="14">
      <c r="A14" s="19" t="inlineStr">
        <is>
          <t>AFTER</t>
        </is>
      </c>
      <c r="B14" s="3" t="inlineStr">
        <is>
          <t>P-WEST-PAVE</t>
        </is>
      </c>
      <c r="C14" s="3" t="n">
        <v>3</v>
      </c>
      <c r="D14" s="3" t="inlineStr">
        <is>
          <t>A04T-CENTER-SW</t>
        </is>
      </c>
      <c r="E14" s="3" t="inlineStr">
        <is>
          <t>Collector trunk center-to-south reach (dimensioned)</t>
        </is>
      </c>
      <c r="F14" s="3" t="inlineStr">
        <is>
          <t>TRENCH</t>
        </is>
      </c>
      <c r="G14" s="23">
        <f>IF(UPPER(TRIM(Inputs!$B$53))="YES",Inputs!$B$47,0)</f>
        <v/>
      </c>
      <c r="H14" s="22">
        <f>Inputs!$B$43</f>
        <v/>
      </c>
      <c r="I14" s="12">
        <f>Inputs!$B$52</f>
        <v/>
      </c>
      <c r="J14" s="3">
        <f>IF(I14&lt;&gt;"",I14,IF(UPPER(TRIM(F14))="SHEET",Inputs!$B$7,IF(UPPER(TRIM(F14))="SWALE",Inputs!$B$8,IF(UPPER(TRIM(F14))="TRENCH",Inputs!$B$27,IF(UPPER(TRIM(F14))="PIPE",Inputs!$B$9,Inputs!$B$10)))))</f>
        <v/>
      </c>
      <c r="K14" s="27">
        <f>IF(OR(G14="",J14=""),"",G14/(J14*60))</f>
        <v/>
      </c>
      <c r="L14" s="3" t="inlineStr">
        <is>
          <t>J-TRUNK-BOTTOM</t>
        </is>
      </c>
      <c r="M14" s="3" t="inlineStr">
        <is>
          <t>Explicit bottom trunk reach. | Middle-to-south segment from dimension tool.</t>
        </is>
      </c>
    </row>
    <row r="15">
      <c r="A15" s="19" t="inlineStr">
        <is>
          <t>AFTER</t>
        </is>
      </c>
      <c r="B15" s="3" t="inlineStr">
        <is>
          <t>P-WEST-PAVE</t>
        </is>
      </c>
      <c r="C15" s="3" t="n">
        <v>4</v>
      </c>
      <c r="D15" s="3" t="inlineStr">
        <is>
          <t>A04T-EAST-TRUNK2</t>
        </is>
      </c>
      <c r="E15" s="3" t="inlineStr">
        <is>
          <t>Collector trunk east approach to outlet</t>
        </is>
      </c>
      <c r="F15" s="3" t="inlineStr">
        <is>
          <t>TRENCH</t>
        </is>
      </c>
      <c r="G15" s="23">
        <f>IF(UPPER(TRIM(Inputs!$B$53))="YES",Inputs!$B$46,0)</f>
        <v/>
      </c>
      <c r="H15" s="22">
        <f>Inputs!$B$43</f>
        <v/>
      </c>
      <c r="I15" s="12">
        <f>Inputs!$B$52</f>
        <v/>
      </c>
      <c r="J15" s="3">
        <f>IF(I15&lt;&gt;"",I15,IF(UPPER(TRIM(F15))="SHEET",Inputs!$B$7,IF(UPPER(TRIM(F15))="SWALE",Inputs!$B$8,IF(UPPER(TRIM(F15))="TRENCH",Inputs!$B$27,IF(UPPER(TRIM(F15))="PIPE",Inputs!$B$9,Inputs!$B$10)))))</f>
        <v/>
      </c>
      <c r="K15" s="27">
        <f>IF(OR(G15="",J15=""),"",G15/(J15*60))</f>
        <v/>
      </c>
      <c r="L15" s="3" t="inlineStr">
        <is>
          <t>EAST-OUT</t>
        </is>
      </c>
      <c r="M15" s="3" t="inlineStr">
        <is>
          <t>Explicit east trunk reach to outlet. | Final east approach segment for west branch path.</t>
        </is>
      </c>
    </row>
    <row r="16">
      <c r="A16" s="19" t="inlineStr">
        <is>
          <t>AFTER</t>
        </is>
      </c>
      <c r="B16" s="3" t="inlineStr">
        <is>
          <t>P-EAST-OUT</t>
        </is>
      </c>
      <c r="C16" s="3" t="n">
        <v>2</v>
      </c>
      <c r="D16" s="3" t="inlineStr">
        <is>
          <t>A02T-EAST-TRUNK</t>
        </is>
      </c>
      <c r="E16" s="3" t="inlineStr">
        <is>
          <t>Optional east-outlet trench add-on</t>
        </is>
      </c>
      <c r="F16" s="3" t="inlineStr">
        <is>
          <t>TRENCH</t>
        </is>
      </c>
      <c r="G16" s="23">
        <f>IF(UPPER(TRIM(Inputs!$B$53))="YES",Inputs!$B$46,Inputs!$B$56)</f>
        <v/>
      </c>
      <c r="H16" s="22">
        <f>Inputs!$B$43</f>
        <v/>
      </c>
      <c r="I16" s="12">
        <f>Inputs!$B$52</f>
        <v/>
      </c>
      <c r="J16" s="3">
        <f>IF(I16&lt;&gt;"",I16,IF(UPPER(TRIM(F16))="SHEET",Inputs!$B$7,IF(UPPER(TRIM(F16))="SWALE",Inputs!$B$8,IF(UPPER(TRIM(F16))="TRENCH",Inputs!$B$27,IF(UPPER(TRIM(F16))="PIPE",Inputs!$B$9,Inputs!$B$10)))))</f>
        <v/>
      </c>
      <c r="K16" s="27">
        <f>IF(OR(G16="",J16=""),"",G16/(J16*60))</f>
        <v/>
      </c>
      <c r="L16" s="3" t="inlineStr">
        <is>
          <t>EAST-OUT</t>
        </is>
      </c>
      <c r="M16" s="3" t="inlineStr">
        <is>
          <t>When collector edge inactive, uses 51.32 m outlet trench reach.</t>
        </is>
      </c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 s="28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 s="2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 s="28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 s="28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 s="28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 s="28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 s="28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 s="28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 s="28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 s="28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 s="28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 s="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 s="28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 s="28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 s="28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 s="28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 s="28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 s="28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 s="28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 s="28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 s="28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 s="2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 s="28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 s="28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 s="28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 s="28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 s="28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 s="28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 s="28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 s="28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 s="28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 s="2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 s="28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 s="28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 s="28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 s="28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 s="28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 s="28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 s="28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 s="28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 s="28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 s="2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 s="28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 s="28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 s="28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 s="28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 s="28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 s="28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 s="28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 s="28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 s="28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 s="2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 s="28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 s="28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 s="28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 s="28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 s="28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 s="28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 s="28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 s="28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 s="28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 s="2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 s="28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 s="28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 s="28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 s="28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 s="28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 s="28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 s="28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 s="28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 s="28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 s="2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 s="28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 s="28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 s="28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 s="28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 s="28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 s="28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 s="28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 s="28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 s="28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 s="2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 s="28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 s="28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 s="28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 s="28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 s="28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 s="28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 s="28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 s="28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 s="28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 s="2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 s="28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 s="28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 s="28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 s="28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 s="28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 s="28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 s="28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 s="28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 s="28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 s="2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 s="28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 s="28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 s="28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 s="28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 s="28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 s="28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 s="28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 s="28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 s="28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 s="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 s="28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 s="28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 s="28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 s="28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 s="28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 s="28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 s="28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 s="28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 s="28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 s="2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 s="28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 s="28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 s="28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 s="28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 s="28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 s="28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 s="28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 s="28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 s="28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 s="2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 s="28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 s="28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 s="28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 s="28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 s="28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 s="28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 s="28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 s="28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 s="28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 s="2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 s="28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 s="28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 s="28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 s="28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 s="28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 s="28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 s="28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 s="28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 s="28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 s="2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 s="28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 s="28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 s="28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 s="28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 s="28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 s="28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 s="28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 s="28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 s="28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 s="2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 s="28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 s="28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 s="28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 s="28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 s="28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 s="28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 s="28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 s="28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 s="28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 s="2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 s="28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 s="28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 s="28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 s="28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 s="28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 s="28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 s="28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 s="28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 s="28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 s="2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 s="28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 s="28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 s="28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 s="28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 s="28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 s="28">
        <f>IF(OR(G204="",J204=""),"",G204/(J204*60))</f>
        <v/>
      </c>
    </row>
    <row r="205">
      <c r="K205" s="28" t="n"/>
    </row>
    <row r="206">
      <c r="K206" s="28" t="n"/>
    </row>
    <row r="207">
      <c r="K207" s="28" t="n"/>
    </row>
    <row r="208">
      <c r="K208" s="28" t="n"/>
    </row>
    <row r="209">
      <c r="K209" s="28" t="n"/>
    </row>
    <row r="210">
      <c r="K210" s="28" t="n"/>
    </row>
    <row r="211">
      <c r="K211" s="28" t="n"/>
    </row>
    <row r="212">
      <c r="K212" s="28" t="n"/>
    </row>
    <row r="213">
      <c r="K213" s="28" t="n"/>
    </row>
    <row r="214">
      <c r="K214" s="28" t="n"/>
    </row>
    <row r="215">
      <c r="K215" s="28" t="n"/>
    </row>
    <row r="216">
      <c r="K216" s="28" t="n"/>
    </row>
    <row r="217">
      <c r="K217" s="28" t="n"/>
    </row>
    <row r="218">
      <c r="K218" s="28" t="n"/>
    </row>
    <row r="219">
      <c r="K219" s="28" t="n"/>
    </row>
    <row r="220">
      <c r="K220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11873.82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26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26">
        <f>IF(U4="",0,SUMIFS(FlowPaths!$K:$K,FlowPaths!$A:$A,"AFTER",FlowPaths!$B:$B,U4))</f>
        <v/>
      </c>
      <c r="W4" s="26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Main grass area adjusted: 12712 - 422.73 - 415.45 = 11873.82 m2.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26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26">
        <f>IF(U5="",0,SUMIFS(FlowPaths!$K:$K,FlowPaths!$A:$A,"AFTER",FlowPaths!$B:$B,U5))</f>
        <v/>
      </c>
      <c r="W5" s="26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26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26">
        <f>IF(U6="",0,SUMIFS(FlowPaths!$K:$K,FlowPaths!$A:$A,"AFTER",FlowPaths!$B:$B,U6))</f>
        <v/>
      </c>
      <c r="W6" s="26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 (fully impervious)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3" t="n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26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3" t="n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P-FIELD-3LINE</t>
        </is>
      </c>
      <c r="V7" s="26">
        <f>IF(U7="",0,SUMIFS(FlowPaths!$K:$K,FlowPaths!$A:$A,"AFTER",FlowPaths!$B:$B,U7))</f>
        <v/>
      </c>
      <c r="W7" s="26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m2, fully impervious (no mixed split).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26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P-FIELD-3LINE</t>
        </is>
      </c>
      <c r="V8" s="26">
        <f>IF(U8="",0,SUMIFS(FlowPaths!$K:$K,FlowPaths!$A:$A,"AFTER",FlowPaths!$B:$B,U8))</f>
        <v/>
      </c>
      <c r="W8" s="26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SC-07</t>
        </is>
      </c>
      <c r="B9" s="3" t="inlineStr">
        <is>
          <t>Mixed block - right field trajectory (SE mid)</t>
        </is>
      </c>
      <c r="C9" s="18" t="n">
        <v>422.73</v>
      </c>
      <c r="D9" s="3" t="n">
        <v>1</v>
      </c>
      <c r="E9" s="13">
        <f>IF(C9="","",C9*D9)</f>
        <v/>
      </c>
      <c r="F9" s="3" t="inlineStr">
        <is>
          <t>MIXED</t>
        </is>
      </c>
      <c r="G9" s="3">
        <f>IF(UPPER(TRIM(Inputs!$B$41))="YES",Inputs!$B$39,"")</f>
        <v/>
      </c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26">
        <f>IF(J9="",0,SUMIFS(FlowPaths!$K:$K,FlowPaths!$A:$A,"BEFORE",FlowPaths!$B:$B,J9))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MIXED</t>
        </is>
      </c>
      <c r="R9" s="3">
        <f>IF(UPPER(TRIM(Inputs!$B$41))="YES",Inputs!$B$40,"")</f>
        <v/>
      </c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P-EAST-STRIP</t>
        </is>
      </c>
      <c r="V9" s="26">
        <f>IF(U9="",0,SUMIFS(FlowPaths!$K:$K,FlowPaths!$A:$A,"AFTER",FlowPaths!$B:$B,U9))</f>
        <v/>
      </c>
      <c r="W9" s="26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Mixed block provided by user: A=422.73 m2 (SE/right-field trajectory).</t>
        </is>
      </c>
    </row>
    <row r="10">
      <c r="A10" s="3" t="inlineStr">
        <is>
          <t>SC-08</t>
        </is>
      </c>
      <c r="B10" s="3" t="inlineStr">
        <is>
          <t>Mixed block - left field trajectory (NW mid)</t>
        </is>
      </c>
      <c r="C10" s="3" t="n">
        <v>415.45</v>
      </c>
      <c r="D10" s="3" t="n">
        <v>1</v>
      </c>
      <c r="E10" s="3">
        <f>IF(C10="","",C10*D10)</f>
        <v/>
      </c>
      <c r="F10" s="3" t="inlineStr">
        <is>
          <t>MIXED</t>
        </is>
      </c>
      <c r="G10" s="3">
        <f>IF(UPPER(TRIM(Inputs!$B$41))="YES",Inputs!$B$39,"")</f>
        <v/>
      </c>
      <c r="H10" s="3">
        <f>IF(G10&lt;&gt;"",G10,IF(UPPER(TRIM(F10))="ROOF",Inputs!$B$13,IF(UPPER(TRIM(F10))="PAVAGE",Inputs!$B$14,IF(UPPER(TRIM(F10))="GRASS",Inputs!$B$15,IF(UPPER(TRIM(F10))="GRAVEL",Inputs!$B$17,Inputs!$B$18)))))</f>
        <v/>
      </c>
      <c r="I10" s="3" t="n">
        <v>7</v>
      </c>
      <c r="J10" s="3" t="inlineStr">
        <is>
          <t>P-EAST</t>
        </is>
      </c>
      <c r="K10" s="3" t="n"/>
      <c r="L10" s="27">
        <f>IF(J10="",0,SUMIFS(FlowPaths!$K:$K,FlowPaths!$A:$A,"BEFORE",FlowPaths!$B:$B,J10))</f>
        <v/>
      </c>
      <c r="M10" s="13">
        <f>IF(L10="","",IF(UPPER(TRIM(Inputs!$B$23))="IDF_EQUATION",Inputs!$B$3/((L10+Inputs!$B$4)^Inputs!$B$5),INDEX(IDF_Station!$B$3:$G$11,IFERROR(MATCH(L10,IDF_Station!$A$3:$A$11,1),1),MATCH(Inputs!$B$24,IDF_Station!$B$2:$G$2,0))))</f>
        <v/>
      </c>
      <c r="N10" s="3">
        <f>IF(OR(E10="",H10="",M10=""),"",2.78E-7*H10*E10*M10)</f>
        <v/>
      </c>
      <c r="O10" s="3" t="n">
        <v>1</v>
      </c>
      <c r="P10" s="3">
        <f>IF(C10="","",C10*O10)</f>
        <v/>
      </c>
      <c r="Q10" s="3" t="inlineStr">
        <is>
          <t>MIXED</t>
        </is>
      </c>
      <c r="R10" s="3">
        <f>IF(UPPER(TRIM(Inputs!$B$41))="YES",Inputs!$B$40,"")</f>
        <v/>
      </c>
      <c r="S10" s="3">
        <f>IF(R10&lt;&gt;"",R10,IF(UPPER(TRIM(Q10))="ROOF",Inputs!$B$13,IF(UPPER(TRIM(Q10))="PAVAGE",Inputs!$B$14,IF(UPPER(TRIM(Q10))="GRASS",Inputs!$B$16,IF(UPPER(TRIM(Q10))="GRAVEL",Inputs!$B$17,Inputs!$B$18)))))</f>
        <v/>
      </c>
      <c r="T10" s="3" t="n">
        <v>7</v>
      </c>
      <c r="U10" s="3" t="inlineStr">
        <is>
          <t>P-EAST-STRIP</t>
        </is>
      </c>
      <c r="V10" s="27">
        <f>IF(U10="",0,SUMIFS(FlowPaths!$K:$K,FlowPaths!$A:$A,"AFTER",FlowPaths!$B:$B,U10))</f>
        <v/>
      </c>
      <c r="W10" s="27">
        <f>IF(T10="",Inputs!$B$12,T10)+V10</f>
        <v/>
      </c>
      <c r="X10" s="13">
        <f>IF(W10="","",IF(UPPER(TRIM(Inputs!$B$23))="IDF_EQUATION",Inputs!$B$3/((W10+Inputs!$B$4)^Inputs!$B$5),INDEX(IDF_Station!$B$3:$G$11,IFERROR(MATCH(W10,IDF_Station!$A$3:$A$11,1),1),MATCH(Inputs!$B$24,IDF_Station!$B$2:$G$2,0))))</f>
        <v/>
      </c>
      <c r="Y10" s="3">
        <f>IF(OR(P10="",S10="",X10=""),"",2.78E-7*S10*P10*X10)</f>
        <v/>
      </c>
      <c r="Z10" s="3">
        <f>IF(OR(Y10="",N10=""),"",Y10-N10)</f>
        <v/>
      </c>
      <c r="AA10" s="3" t="inlineStr">
        <is>
          <t>Mixed block provided by user: A=415.45 m2 (NW/left-field trajectory).</t>
        </is>
      </c>
    </row>
    <row r="11">
      <c r="L11" s="28" t="n"/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V11" s="28" t="n"/>
      <c r="W11" s="28" t="n"/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L12" s="28" t="n"/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V12" s="28" t="n"/>
      <c r="W12" s="28" t="n"/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L13" s="28" t="n"/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V13" s="28" t="n"/>
      <c r="W13" s="28" t="n"/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L14" s="28" t="n"/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V14" s="28" t="n"/>
      <c r="W14" s="28" t="n"/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L15" s="28" t="n"/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V15" s="28" t="n"/>
      <c r="W15" s="28" t="n"/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L16" s="28" t="n"/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V16" s="28" t="n"/>
      <c r="W16" s="28" t="n"/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L17" s="28" t="n"/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V17" s="28" t="n"/>
      <c r="W17" s="28" t="n"/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L18" s="28" t="n"/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V18" s="28" t="n"/>
      <c r="W18" s="28" t="n"/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L19" s="28" t="n"/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V19" s="28" t="n"/>
      <c r="W19" s="28" t="n"/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L20" s="28" t="n"/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V20" s="28" t="n"/>
      <c r="W20" s="28" t="n"/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L21" s="28" t="n"/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V21" s="28" t="n"/>
      <c r="W21" s="28" t="n"/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L22" s="28" t="n"/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V22" s="28" t="n"/>
      <c r="W22" s="28" t="n"/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L23" s="28" t="n"/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V23" s="28" t="n"/>
      <c r="W23" s="28" t="n"/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L24" s="28" t="n"/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V24" s="28" t="n"/>
      <c r="W24" s="28" t="n"/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L25" s="28" t="n"/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V25" s="28" t="n"/>
      <c r="W25" s="28" t="n"/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L26" s="28" t="n"/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V26" s="28" t="n"/>
      <c r="W26" s="28" t="n"/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L27" s="28" t="n"/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V27" s="28" t="n"/>
      <c r="W27" s="28" t="n"/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L28" s="28" t="n"/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V28" s="28" t="n"/>
      <c r="W28" s="28" t="n"/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L29" s="28" t="n"/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V29" s="28" t="n"/>
      <c r="W29" s="28" t="n"/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L30" s="28" t="n"/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V30" s="28" t="n"/>
      <c r="W30" s="28" t="n"/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L31" s="28" t="n"/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V31" s="28" t="n"/>
      <c r="W31" s="28" t="n"/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L32" s="28" t="n"/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V32" s="28" t="n"/>
      <c r="W32" s="28" t="n"/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L33" s="28" t="n"/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V33" s="28" t="n"/>
      <c r="W33" s="28" t="n"/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L34" s="28" t="n"/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V34" s="28" t="n"/>
      <c r="W34" s="28" t="n"/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L35" s="28" t="n"/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V35" s="28" t="n"/>
      <c r="W35" s="28" t="n"/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L36" s="28" t="n"/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V36" s="28" t="n"/>
      <c r="W36" s="28" t="n"/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L37" s="28" t="n"/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V37" s="28" t="n"/>
      <c r="W37" s="28" t="n"/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L38" s="28" t="n"/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V38" s="28" t="n"/>
      <c r="W38" s="28" t="n"/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L39" s="28" t="n"/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V39" s="28" t="n"/>
      <c r="W39" s="28" t="n"/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L40" s="28" t="n"/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V40" s="28" t="n"/>
      <c r="W40" s="28" t="n"/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L41" s="28" t="n"/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V41" s="28" t="n"/>
      <c r="W41" s="28" t="n"/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L42" s="28" t="n"/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V42" s="28" t="n"/>
      <c r="W42" s="28" t="n"/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L43" s="28" t="n"/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V43" s="28" t="n"/>
      <c r="W43" s="28" t="n"/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L44" s="28" t="n"/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V44" s="28" t="n"/>
      <c r="W44" s="28" t="n"/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L45" s="28" t="n"/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V45" s="28" t="n"/>
      <c r="W45" s="28" t="n"/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L46" s="28" t="n"/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V46" s="28" t="n"/>
      <c r="W46" s="28" t="n"/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L47" s="28" t="n"/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V47" s="28" t="n"/>
      <c r="W47" s="28" t="n"/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L48" s="28" t="n"/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V48" s="28" t="n"/>
      <c r="W48" s="28" t="n"/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L49" s="28" t="n"/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V49" s="28" t="n"/>
      <c r="W49" s="28" t="n"/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L50" s="28" t="n"/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V50" s="28" t="n"/>
      <c r="W50" s="28" t="n"/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L51" s="28" t="n"/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V51" s="28" t="n"/>
      <c r="W51" s="28" t="n"/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L52" s="28" t="n"/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V52" s="28" t="n"/>
      <c r="W52" s="28" t="n"/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L53" s="28" t="n"/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V53" s="28" t="n"/>
      <c r="W53" s="28" t="n"/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L54" s="28" t="n"/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V54" s="28" t="n"/>
      <c r="W54" s="28" t="n"/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L55" s="28" t="n"/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V55" s="28" t="n"/>
      <c r="W55" s="28" t="n"/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L56" s="28" t="n"/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V56" s="28" t="n"/>
      <c r="W56" s="28" t="n"/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L57" s="28" t="n"/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V57" s="28" t="n"/>
      <c r="W57" s="28" t="n"/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L58" s="28" t="n"/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V58" s="28" t="n"/>
      <c r="W58" s="28" t="n"/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L59" s="28" t="n"/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V59" s="28" t="n"/>
      <c r="W59" s="28" t="n"/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L60" s="28" t="n"/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V60" s="28" t="n"/>
      <c r="W60" s="28" t="n"/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L61" s="28" t="n"/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V61" s="28" t="n"/>
      <c r="W61" s="28" t="n"/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L62" s="28" t="n"/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V62" s="28" t="n"/>
      <c r="W62" s="28" t="n"/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L63" s="28" t="n"/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V63" s="28" t="n"/>
      <c r="W63" s="28" t="n"/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L64" s="28" t="n"/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V64" s="28" t="n"/>
      <c r="W64" s="28" t="n"/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L65" s="28" t="n"/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V65" s="28" t="n"/>
      <c r="W65" s="28" t="n"/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L66" s="28" t="n"/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V66" s="28" t="n"/>
      <c r="W66" s="28" t="n"/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L67" s="28" t="n"/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V67" s="28" t="n"/>
      <c r="W67" s="28" t="n"/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L68" s="28" t="n"/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V68" s="28" t="n"/>
      <c r="W68" s="28" t="n"/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L69" s="28" t="n"/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V69" s="28" t="n"/>
      <c r="W69" s="28" t="n"/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L70" s="28" t="n"/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V70" s="28" t="n"/>
      <c r="W70" s="28" t="n"/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L71" s="28" t="n"/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V71" s="28" t="n"/>
      <c r="W71" s="28" t="n"/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L72" s="28" t="n"/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V72" s="28" t="n"/>
      <c r="W72" s="28" t="n"/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L73" s="28" t="n"/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V73" s="28" t="n"/>
      <c r="W73" s="28" t="n"/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L74" s="28" t="n"/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V74" s="28" t="n"/>
      <c r="W74" s="28" t="n"/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L75" s="28" t="n"/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V75" s="28" t="n"/>
      <c r="W75" s="28" t="n"/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L76" s="28" t="n"/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V76" s="28" t="n"/>
      <c r="W76" s="28" t="n"/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L77" s="28" t="n"/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V77" s="28" t="n"/>
      <c r="W77" s="28" t="n"/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L78" s="28" t="n"/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V78" s="28" t="n"/>
      <c r="W78" s="28" t="n"/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L79" s="28" t="n"/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V79" s="28" t="n"/>
      <c r="W79" s="28" t="n"/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L80" s="28" t="n"/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V80" s="28" t="n"/>
      <c r="W80" s="28" t="n"/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L81" s="28" t="n"/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V81" s="28" t="n"/>
      <c r="W81" s="28" t="n"/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L82" s="28" t="n"/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V82" s="28" t="n"/>
      <c r="W82" s="28" t="n"/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L83" s="28" t="n"/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V83" s="28" t="n"/>
      <c r="W83" s="28" t="n"/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L84" s="28" t="n"/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V84" s="28" t="n"/>
      <c r="W84" s="28" t="n"/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L85" s="28" t="n"/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V85" s="28" t="n"/>
      <c r="W85" s="28" t="n"/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L86" s="28" t="n"/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V86" s="28" t="n"/>
      <c r="W86" s="28" t="n"/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L87" s="28" t="n"/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V87" s="28" t="n"/>
      <c r="W87" s="28" t="n"/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L88" s="28" t="n"/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V88" s="28" t="n"/>
      <c r="W88" s="28" t="n"/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L89" s="28" t="n"/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V89" s="28" t="n"/>
      <c r="W89" s="28" t="n"/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L90" s="28" t="n"/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V90" s="28" t="n"/>
      <c r="W90" s="28" t="n"/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L91" s="28" t="n"/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V91" s="28" t="n"/>
      <c r="W91" s="28" t="n"/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L92" s="28" t="n"/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V92" s="28" t="n"/>
      <c r="W92" s="28" t="n"/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L93" s="28" t="n"/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V93" s="28" t="n"/>
      <c r="W93" s="28" t="n"/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L94" s="28" t="n"/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V94" s="28" t="n"/>
      <c r="W94" s="28" t="n"/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L95" s="28" t="n"/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V95" s="28" t="n"/>
      <c r="W95" s="28" t="n"/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L96" s="28" t="n"/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V96" s="28" t="n"/>
      <c r="W96" s="28" t="n"/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L97" s="28" t="n"/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V97" s="28" t="n"/>
      <c r="W97" s="28" t="n"/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L98" s="28" t="n"/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V98" s="28" t="n"/>
      <c r="W98" s="28" t="n"/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L99" s="28" t="n"/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V99" s="28" t="n"/>
      <c r="W99" s="28" t="n"/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L100" s="28" t="n"/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V100" s="28" t="n"/>
      <c r="W100" s="28" t="n"/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L101" s="28" t="n"/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V101" s="28" t="n"/>
      <c r="W101" s="28" t="n"/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L102" s="28" t="n"/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V102" s="28" t="n"/>
      <c r="W102" s="28" t="n"/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L103" s="28" t="n"/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V103" s="28" t="n"/>
      <c r="W103" s="28" t="n"/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L104" s="28" t="n"/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V104" s="28" t="n"/>
      <c r="W104" s="28" t="n"/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L105" s="28" t="n"/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V105" s="28" t="n"/>
      <c r="W105" s="28" t="n"/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L106" s="28" t="n"/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V106" s="28" t="n"/>
      <c r="W106" s="28" t="n"/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L107" s="28" t="n"/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V107" s="28" t="n"/>
      <c r="W107" s="28" t="n"/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L108" s="28" t="n"/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V108" s="28" t="n"/>
      <c r="W108" s="28" t="n"/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L109" s="28" t="n"/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V109" s="28" t="n"/>
      <c r="W109" s="28" t="n"/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L110" s="28" t="n"/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V110" s="28" t="n"/>
      <c r="W110" s="28" t="n"/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L111" s="28" t="n"/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V111" s="28" t="n"/>
      <c r="W111" s="28" t="n"/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L112" s="28" t="n"/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V112" s="28" t="n"/>
      <c r="W112" s="28" t="n"/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L113" s="28" t="n"/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V113" s="28" t="n"/>
      <c r="W113" s="28" t="n"/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L114" s="28" t="n"/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V114" s="28" t="n"/>
      <c r="W114" s="28" t="n"/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L115" s="28" t="n"/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V115" s="28" t="n"/>
      <c r="W115" s="28" t="n"/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L116" s="28" t="n"/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V116" s="28" t="n"/>
      <c r="W116" s="28" t="n"/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L117" s="28" t="n"/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V117" s="28" t="n"/>
      <c r="W117" s="28" t="n"/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L118" s="28" t="n"/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V118" s="28" t="n"/>
      <c r="W118" s="28" t="n"/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L119" s="28" t="n"/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V119" s="28" t="n"/>
      <c r="W119" s="28" t="n"/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L120" s="28" t="n"/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V120" s="28" t="n"/>
      <c r="W120" s="28" t="n"/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L121" s="28" t="n"/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V121" s="28" t="n"/>
      <c r="W121" s="28" t="n"/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L122" s="28" t="n"/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V122" s="28" t="n"/>
      <c r="W122" s="28" t="n"/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L123" s="28" t="n"/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V123" s="28" t="n"/>
      <c r="W123" s="28" t="n"/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L124" s="28" t="n"/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V124" s="28" t="n"/>
      <c r="W124" s="28" t="n"/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L125" s="28" t="n"/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V125" s="28" t="n"/>
      <c r="W125" s="28" t="n"/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L126" s="28" t="n"/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V126" s="28" t="n"/>
      <c r="W126" s="28" t="n"/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L127" s="28" t="n"/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V127" s="28" t="n"/>
      <c r="W127" s="28" t="n"/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L128" s="28" t="n"/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V128" s="28" t="n"/>
      <c r="W128" s="28" t="n"/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L129" s="28" t="n"/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V129" s="28" t="n"/>
      <c r="W129" s="28" t="n"/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L130" s="28" t="n"/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V130" s="28" t="n"/>
      <c r="W130" s="28" t="n"/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L131" s="28" t="n"/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V131" s="28" t="n"/>
      <c r="W131" s="28" t="n"/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L132" s="28" t="n"/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V132" s="28" t="n"/>
      <c r="W132" s="28" t="n"/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L133" s="28" t="n"/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V133" s="28" t="n"/>
      <c r="W133" s="28" t="n"/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L134" s="28" t="n"/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V134" s="28" t="n"/>
      <c r="W134" s="28" t="n"/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L135" s="28" t="n"/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V135" s="28" t="n"/>
      <c r="W135" s="28" t="n"/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L136" s="28" t="n"/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V136" s="28" t="n"/>
      <c r="W136" s="28" t="n"/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L137" s="28" t="n"/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V137" s="28" t="n"/>
      <c r="W137" s="28" t="n"/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L138" s="28" t="n"/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V138" s="28" t="n"/>
      <c r="W138" s="28" t="n"/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L139" s="28" t="n"/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V139" s="28" t="n"/>
      <c r="W139" s="28" t="n"/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L140" s="28" t="n"/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V140" s="28" t="n"/>
      <c r="W140" s="28" t="n"/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L141" s="28" t="n"/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V141" s="28" t="n"/>
      <c r="W141" s="28" t="n"/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L142" s="28" t="n"/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V142" s="28" t="n"/>
      <c r="W142" s="28" t="n"/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L143" s="28" t="n"/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V143" s="28" t="n"/>
      <c r="W143" s="28" t="n"/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L144" s="28" t="n"/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V144" s="28" t="n"/>
      <c r="W144" s="28" t="n"/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L145" s="28" t="n"/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V145" s="28" t="n"/>
      <c r="W145" s="28" t="n"/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L146" s="28" t="n"/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V146" s="28" t="n"/>
      <c r="W146" s="28" t="n"/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L147" s="28" t="n"/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V147" s="28" t="n"/>
      <c r="W147" s="28" t="n"/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L148" s="28" t="n"/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V148" s="28" t="n"/>
      <c r="W148" s="28" t="n"/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L149" s="28" t="n"/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V149" s="28" t="n"/>
      <c r="W149" s="28" t="n"/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L150" s="28" t="n"/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V150" s="28" t="n"/>
      <c r="W150" s="28" t="n"/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L151" s="28" t="n"/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V151" s="28" t="n"/>
      <c r="W151" s="28" t="n"/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L152" s="28" t="n"/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V152" s="28" t="n"/>
      <c r="W152" s="28" t="n"/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L153" s="28" t="n"/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V153" s="28" t="n"/>
      <c r="W153" s="28" t="n"/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L154" s="28" t="n"/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V154" s="28" t="n"/>
      <c r="W154" s="28" t="n"/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L155" s="28" t="n"/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V155" s="28" t="n"/>
      <c r="W155" s="28" t="n"/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L156" s="28" t="n"/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V156" s="28" t="n"/>
      <c r="W156" s="28" t="n"/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L157" s="28" t="n"/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V157" s="28" t="n"/>
      <c r="W157" s="28" t="n"/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L158" s="28" t="n"/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V158" s="28" t="n"/>
      <c r="W158" s="28" t="n"/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L159" s="28" t="n"/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V159" s="28" t="n"/>
      <c r="W159" s="28" t="n"/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L160" s="28" t="n"/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V160" s="28" t="n"/>
      <c r="W160" s="28" t="n"/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L161" s="28" t="n"/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V161" s="28" t="n"/>
      <c r="W161" s="28" t="n"/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L162" s="28" t="n"/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V162" s="28" t="n"/>
      <c r="W162" s="28" t="n"/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L163" s="28" t="n"/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V163" s="28" t="n"/>
      <c r="W163" s="28" t="n"/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L164" s="28" t="n"/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V164" s="28" t="n"/>
      <c r="W164" s="28" t="n"/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L165" s="28" t="n"/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V165" s="28" t="n"/>
      <c r="W165" s="28" t="n"/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L166" s="28" t="n"/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V166" s="28" t="n"/>
      <c r="W166" s="28" t="n"/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L167" s="28" t="n"/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V167" s="28" t="n"/>
      <c r="W167" s="28" t="n"/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L168" s="28" t="n"/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V168" s="28" t="n"/>
      <c r="W168" s="28" t="n"/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L169" s="28" t="n"/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V169" s="28" t="n"/>
      <c r="W169" s="28" t="n"/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L170" s="28" t="n"/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V170" s="28" t="n"/>
      <c r="W170" s="28" t="n"/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L171" s="28" t="n"/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V171" s="28" t="n"/>
      <c r="W171" s="28" t="n"/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L172" s="28" t="n"/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V172" s="28" t="n"/>
      <c r="W172" s="28" t="n"/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L173" s="28" t="n"/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V173" s="28" t="n"/>
      <c r="W173" s="28" t="n"/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L174" s="28" t="n"/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V174" s="28" t="n"/>
      <c r="W174" s="28" t="n"/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L175" s="28" t="n"/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V175" s="28" t="n"/>
      <c r="W175" s="28" t="n"/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L176" s="28" t="n"/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V176" s="28" t="n"/>
      <c r="W176" s="28" t="n"/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L177" s="28" t="n"/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V177" s="28" t="n"/>
      <c r="W177" s="28" t="n"/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L178" s="28" t="n"/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V178" s="28" t="n"/>
      <c r="W178" s="28" t="n"/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L179" s="28" t="n"/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V179" s="28" t="n"/>
      <c r="W179" s="28" t="n"/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L180" s="28" t="n"/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V180" s="28" t="n"/>
      <c r="W180" s="28" t="n"/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L181" s="28" t="n"/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V181" s="28" t="n"/>
      <c r="W181" s="28" t="n"/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L182" s="28" t="n"/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V182" s="28" t="n"/>
      <c r="W182" s="28" t="n"/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L183" s="28" t="n"/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V183" s="28" t="n"/>
      <c r="W183" s="28" t="n"/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L184" s="28" t="n"/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V184" s="28" t="n"/>
      <c r="W184" s="28" t="n"/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L185" s="28" t="n"/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V185" s="28" t="n"/>
      <c r="W185" s="28" t="n"/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L186" s="28" t="n"/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V186" s="28" t="n"/>
      <c r="W186" s="28" t="n"/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L187" s="28" t="n"/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V187" s="28" t="n"/>
      <c r="W187" s="28" t="n"/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L188" s="28" t="n"/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V188" s="28" t="n"/>
      <c r="W188" s="28" t="n"/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L189" s="28" t="n"/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V189" s="28" t="n"/>
      <c r="W189" s="28" t="n"/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L190" s="28" t="n"/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V190" s="28" t="n"/>
      <c r="W190" s="28" t="n"/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L191" s="28" t="n"/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V191" s="28" t="n"/>
      <c r="W191" s="28" t="n"/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L192" s="28" t="n"/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V192" s="28" t="n"/>
      <c r="W192" s="28" t="n"/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L193" s="28" t="n"/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V193" s="28" t="n"/>
      <c r="W193" s="28" t="n"/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L194" s="28" t="n"/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V194" s="28" t="n"/>
      <c r="W194" s="28" t="n"/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L195" s="28" t="n"/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V195" s="28" t="n"/>
      <c r="W195" s="28" t="n"/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L196" s="28" t="n"/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V196" s="28" t="n"/>
      <c r="W196" s="28" t="n"/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L197" s="28" t="n"/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V197" s="28" t="n"/>
      <c r="W197" s="28" t="n"/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L198" s="28" t="n"/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V198" s="28" t="n"/>
      <c r="W198" s="28" t="n"/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L199" s="28" t="n"/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V199" s="28" t="n"/>
      <c r="W199" s="28" t="n"/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L200" s="28" t="n"/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V200" s="28" t="n"/>
      <c r="W200" s="28" t="n"/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L201" s="28" t="n"/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V201" s="28" t="n"/>
      <c r="W201" s="28" t="n"/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L202" s="28" t="n"/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V202" s="28" t="n"/>
      <c r="W202" s="28" t="n"/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L203" s="28" t="n"/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V203" s="28" t="n"/>
      <c r="W203" s="28" t="n"/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L204" s="28" t="n"/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V204" s="28" t="n"/>
      <c r="W204" s="28" t="n"/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  <row r="205">
      <c r="L205" s="28" t="n"/>
      <c r="V205" s="28" t="n"/>
      <c r="W205" s="28" t="n"/>
    </row>
    <row r="206">
      <c r="L206" s="28" t="n"/>
      <c r="V206" s="28" t="n"/>
      <c r="W206" s="28" t="n"/>
    </row>
    <row r="207">
      <c r="L207" s="28" t="n"/>
      <c r="V207" s="28" t="n"/>
      <c r="W207" s="28" t="n"/>
    </row>
    <row r="208">
      <c r="L208" s="28" t="n"/>
      <c r="V208" s="28" t="n"/>
      <c r="W208" s="28" t="n"/>
    </row>
    <row r="209">
      <c r="L209" s="28" t="n"/>
      <c r="V209" s="28" t="n"/>
      <c r="W209" s="28" t="n"/>
    </row>
    <row r="210">
      <c r="L210" s="28" t="n"/>
      <c r="V210" s="28" t="n"/>
      <c r="W210" s="28" t="n"/>
    </row>
    <row r="211">
      <c r="L211" s="28" t="n"/>
      <c r="V211" s="28" t="n"/>
      <c r="W211" s="28" t="n"/>
    </row>
    <row r="212">
      <c r="L212" s="28" t="n"/>
      <c r="V212" s="28" t="n"/>
      <c r="W212" s="28" t="n"/>
    </row>
    <row r="213">
      <c r="L213" s="28" t="n"/>
      <c r="V213" s="28" t="n"/>
      <c r="W213" s="28" t="n"/>
    </row>
    <row r="214">
      <c r="L214" s="28" t="n"/>
      <c r="V214" s="28" t="n"/>
      <c r="W214" s="28" t="n"/>
    </row>
    <row r="215">
      <c r="L215" s="28" t="n"/>
      <c r="V215" s="28" t="n"/>
      <c r="W215" s="28" t="n"/>
    </row>
    <row r="216">
      <c r="L216" s="28" t="n"/>
      <c r="V216" s="28" t="n"/>
      <c r="W216" s="28" t="n"/>
    </row>
    <row r="217">
      <c r="L217" s="28" t="n"/>
      <c r="V217" s="28" t="n"/>
      <c r="W217" s="28" t="n"/>
    </row>
    <row r="218">
      <c r="L218" s="28" t="n"/>
      <c r="V218" s="28" t="n"/>
      <c r="W218" s="28" t="n"/>
    </row>
    <row r="219">
      <c r="L219" s="28" t="n"/>
      <c r="V219" s="28" t="n"/>
      <c r="W219" s="28" t="n"/>
    </row>
    <row r="220">
      <c r="L220" s="28" t="n"/>
      <c r="V220" s="28" t="n"/>
      <c r="W220" s="2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+Inputs!$B$54*SUMIFS(Subcatchments!$E$4:$E$200,Subcatchments!$F$4:$F$200,"GRAVEL")</f>
        <v/>
      </c>
      <c r="C6" s="3" t="inlineStr">
        <is>
          <t>m2</t>
        </is>
      </c>
      <c r="D6" s="3" t="inlineStr">
        <is>
          <t>Impervious total includes GRAVEL weighted by Inputs!B54 policy factor.</t>
        </is>
      </c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+Inputs!$B$54*SUMIFS(Subcatchments!$P$4:$P$200,Subcatchments!$Q$4:$Q$200,"GRAVEL")</f>
        <v/>
      </c>
      <c r="C7" s="3" t="inlineStr">
        <is>
          <t>m2</t>
        </is>
      </c>
      <c r="D7" s="3" t="inlineStr">
        <is>
          <t>Impervious total includes GRAVEL weighted by Inputs!B54 policy factor.</t>
        </is>
      </c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uses IDF_Station lookup by Tc and return period (Saint-Constant project).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  <row r="32">
      <c r="A32" s="10" t="inlineStr">
        <is>
          <t>SC-07 + SC-08 mixed-surface sensitivity (Q_after)</t>
        </is>
      </c>
      <c r="B32" s="19" t="n"/>
      <c r="C32" s="19" t="n"/>
      <c r="D32" s="19" t="n"/>
    </row>
    <row r="33">
      <c r="A33" s="3" t="inlineStr">
        <is>
          <t>LOW (imp frac = Inputs!B34)</t>
        </is>
      </c>
      <c r="B33" s="13">
        <f>Inputs!$B$6*(IF(OR(Subcatchments!$P$9="",Subcatchments!$X$9=""),0,2.78E-7*(Inputs!$B$34*Inputs!$B$14+(1-Inputs!$B$34)*Inputs!$B$16)*Subcatchments!$P$9*Subcatchments!$X$9)+IF(OR(Subcatchments!$P$10="",Subcatchments!$X$10=""),0,2.78E-7*(Inputs!$B$34*Inputs!$B$14+(1-Inputs!$B$34)*Inputs!$B$16)*Subcatchments!$P$10*Subcatchments!$X$10))</f>
        <v/>
      </c>
      <c r="C33" s="3" t="inlineStr">
        <is>
          <t>m3/s</t>
        </is>
      </c>
      <c r="D33" s="3" t="inlineStr">
        <is>
          <t>After-flow contribution of SC-07+SC-08 under LOW impervious assumption.</t>
        </is>
      </c>
    </row>
    <row r="34">
      <c r="A34" s="3" t="inlineStr">
        <is>
          <t>BASE (imp frac = Inputs!B35)</t>
        </is>
      </c>
      <c r="B34" s="13">
        <f>Inputs!$B$6*(IF(OR(Subcatchments!$P$9="",Subcatchments!$X$9=""),0,2.78E-7*(Inputs!$B$35*Inputs!$B$14+(1-Inputs!$B$35)*Inputs!$B$16)*Subcatchments!$P$9*Subcatchments!$X$9)+IF(OR(Subcatchments!$P$10="",Subcatchments!$X$10=""),0,2.78E-7*(Inputs!$B$35*Inputs!$B$14+(1-Inputs!$B$35)*Inputs!$B$16)*Subcatchments!$P$10*Subcatchments!$X$10))</f>
        <v/>
      </c>
      <c r="C34" s="3" t="inlineStr">
        <is>
          <t>m3/s</t>
        </is>
      </c>
      <c r="D34" s="3" t="inlineStr">
        <is>
          <t>After-flow contribution of SC-07+SC-08 under BASE impervious assumption.</t>
        </is>
      </c>
    </row>
    <row r="35">
      <c r="A35" s="3" t="inlineStr">
        <is>
          <t>HIGH (imp frac = Inputs!B36)</t>
        </is>
      </c>
      <c r="B35" s="13">
        <f>Inputs!$B$6*(IF(OR(Subcatchments!$P$9="",Subcatchments!$X$9=""),0,2.78E-7*(Inputs!$B$36*Inputs!$B$14+(1-Inputs!$B$36)*Inputs!$B$16)*Subcatchments!$P$9*Subcatchments!$X$9)+IF(OR(Subcatchments!$P$10="",Subcatchments!$X$10=""),0,2.78E-7*(Inputs!$B$36*Inputs!$B$14+(1-Inputs!$B$36)*Inputs!$B$16)*Subcatchments!$P$10*Subcatchments!$X$10))</f>
        <v/>
      </c>
      <c r="C35" s="3" t="inlineStr">
        <is>
          <t>m3/s</t>
        </is>
      </c>
      <c r="D35" s="3" t="inlineStr">
        <is>
          <t>After-flow contribution of SC-07+SC-08 under HIGH impervious assumption.</t>
        </is>
      </c>
    </row>
    <row r="36">
      <c r="A36" s="3" t="inlineStr">
        <is>
          <t>ACTIVE scenario value (from mode)</t>
        </is>
      </c>
      <c r="B36" s="13">
        <f>(Subcatchments!$Y$9+Subcatchments!$Y$10)*Inputs!$B$6</f>
        <v/>
      </c>
      <c r="C36" s="3" t="inlineStr">
        <is>
          <t>m3/s</t>
        </is>
      </c>
      <c r="D36" s="3" t="inlineStr">
        <is>
          <t>Current SC-07+SC-08 after-flow using selected mode in Inputs!B33.</t>
        </is>
      </c>
    </row>
    <row r="38">
      <c r="A38" s="10" t="inlineStr">
        <is>
          <t>Collector trunk explicit total length (m)</t>
        </is>
      </c>
      <c r="B38" s="22">
        <f>Inputs!$B$49</f>
        <v/>
      </c>
      <c r="C38" s="3" t="inlineStr">
        <is>
          <t>m</t>
        </is>
      </c>
      <c r="D38" s="3" t="inlineStr">
        <is>
          <t>From explicit east+bottom+west inputs.</t>
        </is>
      </c>
    </row>
    <row r="39">
      <c r="A39" s="10" t="inlineStr">
        <is>
          <t>Collector trunk implied length from note (m)</t>
        </is>
      </c>
      <c r="B39" s="22">
        <f>Inputs!$B$45</f>
        <v/>
      </c>
      <c r="C39" s="3" t="inlineStr">
        <is>
          <t>m</t>
        </is>
      </c>
      <c r="D39" s="3" t="inlineStr">
        <is>
          <t>Computed from 0.983 m / 0.5%.</t>
        </is>
      </c>
    </row>
    <row r="40">
      <c r="A40" s="10" t="inlineStr">
        <is>
          <t>Length mismatch explicit-implied (m)</t>
        </is>
      </c>
      <c r="B40" s="22">
        <f>Inputs!$B$50</f>
        <v/>
      </c>
      <c r="C40" s="3" t="inlineStr">
        <is>
          <t>m</t>
        </is>
      </c>
      <c r="D40" s="3" t="inlineStr">
        <is>
          <t>Target near 0 after field chainage calibration.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IDF station table used by model (Saint-Constant project; current values from McTavish table)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0" customWidth="1" min="5" max="5"/>
    <col width="18" customWidth="1" min="6" max="6"/>
    <col width="24" customWidth="1" min="7" max="7"/>
    <col width="24" customWidth="1" min="8" max="8"/>
    <col width="40" customWidth="1" min="9" max="9"/>
  </cols>
  <sheetData>
    <row r="1">
      <c r="A1" s="8" t="inlineStr">
        <is>
          <t>THREE-LINE TRENCH/DITCH PROFILE INPUT</t>
        </is>
      </c>
      <c r="B1" s="9" t="n"/>
      <c r="C1" s="9" t="n"/>
      <c r="D1" s="9" t="n"/>
      <c r="E1" s="9" t="n"/>
      <c r="F1" s="9" t="n"/>
      <c r="G1" s="9" t="n"/>
      <c r="H1" s="9" t="n"/>
      <c r="I1" s="9" t="n"/>
    </row>
    <row r="3">
      <c r="A3" s="10" t="inlineStr">
        <is>
          <t>Path_ID</t>
        </is>
      </c>
      <c r="B3" s="10" t="inlineStr">
        <is>
          <t>Station_ID</t>
        </is>
      </c>
      <c r="C3" s="10" t="inlineStr">
        <is>
          <t>Distance_from_start_m</t>
        </is>
      </c>
      <c r="D3" s="10" t="inlineStr">
        <is>
          <t>Left_edge_elev_m</t>
        </is>
      </c>
      <c r="E3" s="10" t="inlineStr">
        <is>
          <t>Center_invert_elev_m</t>
        </is>
      </c>
      <c r="F3" s="10" t="inlineStr">
        <is>
          <t>Right_edge_elev_m</t>
        </is>
      </c>
      <c r="G3" s="10" t="inlineStr">
        <is>
          <t>Cross_slope_left_to_center_%</t>
        </is>
      </c>
      <c r="H3" s="10" t="inlineStr">
        <is>
          <t>Cross_slope_right_to_center_%</t>
        </is>
      </c>
      <c r="I3" s="10" t="inlineStr">
        <is>
          <t>Notes</t>
        </is>
      </c>
    </row>
    <row r="4">
      <c r="A4" s="3" t="inlineStr">
        <is>
          <t>P-FIELD-3LINE</t>
        </is>
      </c>
      <c r="B4" s="3" t="inlineStr">
        <is>
          <t>S0</t>
        </is>
      </c>
      <c r="C4" s="3" t="n">
        <v>0</v>
      </c>
      <c r="D4" s="3" t="inlineStr"/>
      <c r="E4" s="3" t="inlineStr"/>
      <c r="F4" s="3" t="inlineStr"/>
      <c r="G4" s="16">
        <f>IF(OR(D4="",E4=""),"",IF(C4="","",100*(D4-E4)/MAX(0.001,1)))</f>
        <v/>
      </c>
      <c r="H4" s="16">
        <f>IF(OR(F4="",E4=""),"",IF(C4="","",100*(F4-E4)/MAX(0.001,1)))</f>
        <v/>
      </c>
      <c r="I4" s="3" t="inlineStr">
        <is>
          <t>Start point</t>
        </is>
      </c>
    </row>
    <row r="5">
      <c r="A5" s="3" t="inlineStr">
        <is>
          <t>P-FIELD-3LINE</t>
        </is>
      </c>
      <c r="B5" s="3" t="inlineStr">
        <is>
          <t>S1</t>
        </is>
      </c>
      <c r="C5" s="3" t="inlineStr"/>
      <c r="D5" s="3" t="inlineStr"/>
      <c r="E5" s="3" t="inlineStr"/>
      <c r="F5" s="3" t="inlineStr"/>
      <c r="G5" s="16">
        <f>IF(OR(D5="",E5=""),"",IF(C5="","",100*(D5-E5)/MAX(0.001,1)))</f>
        <v/>
      </c>
      <c r="H5" s="16">
        <f>IF(OR(F5="",E5=""),"",IF(C5="","",100*(F5-E5)/MAX(0.001,1)))</f>
        <v/>
      </c>
      <c r="I5" s="3" t="inlineStr">
        <is>
          <t>Intermediate point</t>
        </is>
      </c>
    </row>
    <row r="6">
      <c r="A6" s="3" t="inlineStr">
        <is>
          <t>P-FIELD-3LINE</t>
        </is>
      </c>
      <c r="B6" s="3" t="inlineStr">
        <is>
          <t>S2</t>
        </is>
      </c>
      <c r="C6" s="3" t="inlineStr"/>
      <c r="D6" s="3" t="inlineStr"/>
      <c r="E6" s="3" t="inlineStr"/>
      <c r="F6" s="3" t="inlineStr"/>
      <c r="G6" s="16">
        <f>IF(OR(D6="",E6=""),"",IF(C6="","",100*(D6-E6)/MAX(0.001,1)))</f>
        <v/>
      </c>
      <c r="H6" s="16">
        <f>IF(OR(F6="",E6=""),"",IF(C6="","",100*(F6-E6)/MAX(0.001,1)))</f>
        <v/>
      </c>
      <c r="I6" s="3" t="inlineStr">
        <is>
          <t>Near outlet point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42" customWidth="1" min="5" max="5"/>
    <col width="48" customWidth="1" min="6" max="6"/>
  </cols>
  <sheetData>
    <row r="1">
      <c r="A1" s="10" t="inlineStr">
        <is>
          <t>Segment_ID</t>
        </is>
      </c>
      <c r="B1" s="10" t="inlineStr">
        <is>
          <t>Path_ID</t>
        </is>
      </c>
      <c r="C1" s="10" t="inlineStr">
        <is>
          <t>From_node</t>
        </is>
      </c>
      <c r="D1" s="10" t="inlineStr">
        <is>
          <t>To_node</t>
        </is>
      </c>
      <c r="E1" s="10" t="inlineStr">
        <is>
          <t>Plan location intent</t>
        </is>
      </c>
      <c r="F1" s="10" t="inlineStr">
        <is>
          <t>Length source</t>
        </is>
      </c>
    </row>
    <row r="2">
      <c r="A2" s="3" t="inlineStr">
        <is>
          <t>A01-EAST-STRIP</t>
        </is>
      </c>
      <c r="B2" s="3" t="inlineStr">
        <is>
          <t>P-EAST-STRIP</t>
        </is>
      </c>
      <c r="C2" s="3" t="inlineStr">
        <is>
          <t>Field east strip inflow</t>
        </is>
      </c>
      <c r="D2" s="3" t="inlineStr">
        <is>
          <t>J-EAST-IN</t>
        </is>
      </c>
      <c r="E2" s="3" t="inlineStr">
        <is>
          <t>SE/right-field edge trench line</t>
        </is>
      </c>
      <c r="F2" s="3" t="inlineStr">
        <is>
          <t>Profile/plan geometry (editable in FlowPaths G7)</t>
        </is>
      </c>
    </row>
    <row r="3">
      <c r="A3" s="3" t="inlineStr">
        <is>
          <t>A02-EAST-OUT</t>
        </is>
      </c>
      <c r="B3" s="3" t="inlineStr">
        <is>
          <t>P-EAST-OUT</t>
        </is>
      </c>
      <c r="C3" s="3" t="inlineStr">
        <is>
          <t>EAST-IN</t>
        </is>
      </c>
      <c r="D3" s="3" t="inlineStr">
        <is>
          <t>EAST-OUT</t>
        </is>
      </c>
      <c r="E3" s="3" t="inlineStr">
        <is>
          <t>Alternate outlet-leading trench reach (no pipe).</t>
        </is>
      </c>
      <c r="F3" s="3" t="inlineStr">
        <is>
          <t>Inputs!B56 = 51.320 m.</t>
        </is>
      </c>
    </row>
    <row r="4">
      <c r="A4" s="3" t="inlineStr">
        <is>
          <t>A03-FIELD-3LINE</t>
        </is>
      </c>
      <c r="B4" s="3" t="inlineStr">
        <is>
          <t>P-FIELD-3LINE</t>
        </is>
      </c>
      <c r="C4" s="3" t="inlineStr">
        <is>
          <t>Field interior trench start</t>
        </is>
      </c>
      <c r="D4" s="3" t="inlineStr">
        <is>
          <t>EAST-IN</t>
        </is>
      </c>
      <c r="E4" s="3" t="inlineStr">
        <is>
          <t>Main three-line trench/ditch corridor across field.</t>
        </is>
      </c>
      <c r="F4" s="3" t="inlineStr">
        <is>
          <t>Inputs!B55 = 112.000 m (user dimension).</t>
        </is>
      </c>
    </row>
    <row r="5">
      <c r="A5" s="3" t="inlineStr">
        <is>
          <t>A01T-EAST-TRUNK</t>
        </is>
      </c>
      <c r="B5" s="3" t="inlineStr">
        <is>
          <t>P-EAST-STRIP</t>
        </is>
      </c>
      <c r="C5" s="3" t="inlineStr">
        <is>
          <t>EAST-IN</t>
        </is>
      </c>
      <c r="D5" s="3" t="inlineStr">
        <is>
          <t>EAST-OUT</t>
        </is>
      </c>
      <c r="E5" s="3" t="inlineStr">
        <is>
          <t>East-side collector run for P-EAST-STRIP path.</t>
        </is>
      </c>
      <c r="F5" s="3" t="inlineStr">
        <is>
          <t>Inputs!B46 = 66.398 m (user dimension tool).</t>
        </is>
      </c>
    </row>
    <row r="6">
      <c r="A6" s="3" t="inlineStr">
        <is>
          <t>A03T-EAST-TRUNK</t>
        </is>
      </c>
      <c r="B6" s="3" t="inlineStr">
        <is>
          <t>P-FIELD-3LINE</t>
        </is>
      </c>
      <c r="C6" s="3" t="inlineStr">
        <is>
          <t>EAST-IN</t>
        </is>
      </c>
      <c r="D6" s="3" t="inlineStr">
        <is>
          <t>EAST-OUT</t>
        </is>
      </c>
      <c r="E6" s="3" t="inlineStr">
        <is>
          <t>Outlet-leading trench/ditch reach (active concept).</t>
        </is>
      </c>
      <c r="F6" s="3" t="inlineStr">
        <is>
          <t>Inputs!B56 = 51.320 m (user-mentioned missing length).</t>
        </is>
      </c>
    </row>
    <row r="7">
      <c r="A7" s="3" t="inlineStr">
        <is>
          <t>A04T-WEST-TRUNK</t>
        </is>
      </c>
      <c r="B7" s="3" t="inlineStr">
        <is>
          <t>P-WEST-PAVE</t>
        </is>
      </c>
      <c r="C7" s="3" t="inlineStr">
        <is>
          <t>West tie-in</t>
        </is>
      </c>
      <c r="D7" s="3" t="inlineStr">
        <is>
          <t>J-TRUNK-WEST</t>
        </is>
      </c>
      <c r="E7" s="3" t="inlineStr">
        <is>
          <t>Future collector west side</t>
        </is>
      </c>
      <c r="F7" s="3" t="inlineStr">
        <is>
          <t>Inputs!B48 (67.025 m from dimension tool)</t>
        </is>
      </c>
    </row>
    <row r="8">
      <c r="A8" s="3" t="inlineStr">
        <is>
          <t>A04T-CENTER-SW</t>
        </is>
      </c>
      <c r="B8" s="3" t="inlineStr">
        <is>
          <t>P-WEST-PAVE</t>
        </is>
      </c>
      <c r="C8" s="3" t="inlineStr">
        <is>
          <t>J-TRUNK-WEST</t>
        </is>
      </c>
      <c r="D8" s="3" t="inlineStr">
        <is>
          <t>J-TRUNK-BOTTOM</t>
        </is>
      </c>
      <c r="E8" s="3" t="inlineStr">
        <is>
          <t>Center-to-south trunk reach</t>
        </is>
      </c>
      <c r="F8" s="3" t="inlineStr">
        <is>
          <t>Inputs!B47 (34.509 m from dimension tool)</t>
        </is>
      </c>
    </row>
    <row r="9">
      <c r="A9" s="3" t="inlineStr">
        <is>
          <t>A04T-EAST-TRUNK2</t>
        </is>
      </c>
      <c r="B9" s="3" t="inlineStr">
        <is>
          <t>P-WEST-PAVE</t>
        </is>
      </c>
      <c r="C9" s="3" t="inlineStr">
        <is>
          <t>J-TRUNK-BOTTOM</t>
        </is>
      </c>
      <c r="D9" s="3" t="inlineStr">
        <is>
          <t>EAST-OUT</t>
        </is>
      </c>
      <c r="E9" s="3" t="inlineStr">
        <is>
          <t>East approach to outlet</t>
        </is>
      </c>
      <c r="F9" s="3" t="inlineStr">
        <is>
          <t>Inputs!B46 (66.398 m from dimension tool)</t>
        </is>
      </c>
    </row>
    <row r="10">
      <c r="A10" s="3" t="inlineStr">
        <is>
          <t>A02T-EAST-TRUNK</t>
        </is>
      </c>
      <c r="B10" s="3" t="inlineStr">
        <is>
          <t>P-EAST-OUT</t>
        </is>
      </c>
      <c r="C10" s="3" t="inlineStr">
        <is>
          <t>Along east collector</t>
        </is>
      </c>
      <c r="D10" s="3" t="inlineStr">
        <is>
          <t>EAST-OUT</t>
        </is>
      </c>
      <c r="E10" s="3" t="inlineStr">
        <is>
          <t>Optional extra east trunk for P-EAST-OUT</t>
        </is>
      </c>
      <c r="F10" s="3" t="inlineStr">
        <is>
          <t>Inputs!B46 (66.398 m from dimension tool)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2026-07-14T02:41:30Z</dcterms:modified>
</cp:coreProperties>
</file>