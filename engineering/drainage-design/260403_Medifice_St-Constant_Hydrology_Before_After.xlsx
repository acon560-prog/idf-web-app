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&lt;1]0.0000;0.000"/>
    <numFmt numFmtId="165" formatCode="0.0"/>
    <numFmt numFmtId="166" formatCode="0.0000"/>
    <numFmt numFmtId="167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  <row r="62">
      <c r="A62" t="inlineStr">
        <is>
          <t>Mixed-surface sensitivity applies to SC-07 and SC-08 (422.73 m2 and 415.45 m2). SC-04 is fully impervious.</t>
        </is>
      </c>
    </row>
    <row r="63">
      <c r="A63" s="20" t="inlineStr">
        <is>
          <t>Collector note encoded explicitly: trunk east/bottom/west segments at P=0.5% are now Inputs-driven and included in AFTER Tc/Q via FlowPaths.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  <row r="31">
      <c r="A31" s="10" t="inlineStr">
        <is>
          <t>Mixed_block_target_subcatchments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Outlet uncertain block for mixed-surface sensitivity.</t>
        </is>
      </c>
    </row>
    <row r="32">
      <c r="A32" s="10" t="inlineStr">
        <is>
          <t>Mixed_block_total_area_m2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Should match SC-04 area.</t>
        </is>
      </c>
    </row>
    <row r="33">
      <c r="A33" s="10" t="inlineStr">
        <is>
          <t>Mixed_block_sensitivity_mode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Controls impervious fraction used for SC-04.</t>
        </is>
      </c>
    </row>
    <row r="34">
      <c r="A34" s="10" t="inlineStr">
        <is>
          <t>Mixed_block_impervious_fraction_LOW</t>
        </is>
      </c>
      <c r="B34" s="11" t="n">
        <v>0.35</v>
      </c>
      <c r="C34" s="3" t="inlineStr">
        <is>
          <t>0-1</t>
        </is>
      </c>
      <c r="D34" s="3" t="inlineStr">
        <is>
          <t>Low impervious assumption.</t>
        </is>
      </c>
    </row>
    <row r="35">
      <c r="A35" s="10" t="inlineStr">
        <is>
          <t>Mixed_block_impervious_fraction_BASE</t>
        </is>
      </c>
      <c r="B35" s="11" t="n">
        <v>0.5</v>
      </c>
      <c r="C35" s="3" t="inlineStr">
        <is>
          <t>0-1</t>
        </is>
      </c>
      <c r="D35" s="3" t="inlineStr">
        <is>
          <t>Base impervious assumption.</t>
        </is>
      </c>
    </row>
    <row r="36">
      <c r="A36" s="10" t="inlineStr">
        <is>
          <t>Mixed_block_impervious_fraction_HIGH</t>
        </is>
      </c>
      <c r="B36" s="11" t="n">
        <v>0.7</v>
      </c>
      <c r="C36" s="3" t="inlineStr">
        <is>
          <t>0-1</t>
        </is>
      </c>
      <c r="D36" s="3" t="inlineStr">
        <is>
          <t>High impervious assumption.</t>
        </is>
      </c>
    </row>
    <row r="37">
      <c r="A37" s="10" t="inlineStr">
        <is>
          <t>Mixed_block_impervious_fraction_used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Selected by mode.</t>
        </is>
      </c>
    </row>
    <row r="38">
      <c r="A38" s="10" t="inlineStr">
        <is>
          <t>Mixed_block_grass_fraction_used</t>
        </is>
      </c>
      <c r="B38" s="13">
        <f>1-B37</f>
        <v/>
      </c>
      <c r="C38" s="3" t="inlineStr">
        <is>
          <t>0-1</t>
        </is>
      </c>
      <c r="D38" s="3" t="inlineStr">
        <is>
          <t>Complementary fraction.</t>
        </is>
      </c>
    </row>
    <row r="39">
      <c r="A39" s="10" t="inlineStr">
        <is>
          <t>Mixed_block_C_before_weighted</t>
        </is>
      </c>
      <c r="B39" s="13">
        <f>B37*B14+B38*B15</f>
        <v/>
      </c>
      <c r="C39" s="3" t="inlineStr">
        <is>
          <t>-</t>
        </is>
      </c>
      <c r="D39" s="3" t="inlineStr">
        <is>
          <t>Weighted C for BEFORE (pavage + grass existing).</t>
        </is>
      </c>
    </row>
    <row r="40">
      <c r="A40" s="10" t="inlineStr">
        <is>
          <t>Mixed_block_C_after_weighted</t>
        </is>
      </c>
      <c r="B40" s="13">
        <f>B37*B14+B38*B16</f>
        <v/>
      </c>
      <c r="C40" s="3" t="inlineStr">
        <is>
          <t>-</t>
        </is>
      </c>
      <c r="D40" s="3" t="inlineStr">
        <is>
          <t>Weighted C for AFTER (pavage + grass proposed).</t>
        </is>
      </c>
    </row>
    <row r="41">
      <c r="A41" s="10" t="inlineStr">
        <is>
          <t>Mixed_block_enable_override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If YES, SC-04 uses weighted C overrides.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From plan note: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From plan note: radier = 0.983 m above collector low point.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Implied chainage from note (delta/slope).</t>
        </is>
      </c>
    </row>
    <row r="46">
      <c r="A46" s="10" t="inlineStr">
        <is>
          <t>Collector_trunk_east_length_m</t>
        </is>
      </c>
      <c r="B46" s="21" t="n">
        <v>65.5</v>
      </c>
      <c r="C46" s="3" t="inlineStr">
        <is>
          <t>m</t>
        </is>
      </c>
      <c r="D46" s="3" t="inlineStr">
        <is>
          <t>Editable explicit east-side trunk segment.</t>
        </is>
      </c>
    </row>
    <row r="47">
      <c r="A47" s="10" t="inlineStr">
        <is>
          <t>Collector_trunk_bottom_length_m</t>
        </is>
      </c>
      <c r="B47" s="21" t="n">
        <v>65.5</v>
      </c>
      <c r="C47" s="3" t="inlineStr">
        <is>
          <t>m</t>
        </is>
      </c>
      <c r="D47" s="3" t="inlineStr">
        <is>
          <t>Editable explicit bottom-side trunk segment.</t>
        </is>
      </c>
    </row>
    <row r="48">
      <c r="A48" s="10" t="inlineStr">
        <is>
          <t>Collector_trunk_west_length_m</t>
        </is>
      </c>
      <c r="B48" s="21" t="n">
        <v>65.59999999999999</v>
      </c>
      <c r="C48" s="3" t="inlineStr">
        <is>
          <t>m</t>
        </is>
      </c>
      <c r="D48" s="3" t="inlineStr">
        <is>
          <t>Editable explicit west-side trunk segment.</t>
        </is>
      </c>
    </row>
    <row r="49">
      <c r="A49" s="10" t="inlineStr">
        <is>
          <t>Collector_trunk_total_explicit_length_m</t>
        </is>
      </c>
      <c r="B49" s="22">
        <f>SUM(B46:B48)</f>
        <v/>
      </c>
      <c r="C49" s="3" t="inlineStr">
        <is>
          <t>m</t>
        </is>
      </c>
      <c r="D49" s="3" t="inlineStr">
        <is>
          <t>Total explicit chainage used in path travel times.</t>
        </is>
      </c>
    </row>
    <row r="50">
      <c r="A50" s="10" t="inlineStr">
        <is>
          <t>Collector_trunk_length_diff_explicit_minus_implied_m</t>
        </is>
      </c>
      <c r="B50" s="22">
        <f>B49-B45</f>
        <v/>
      </c>
      <c r="C50" s="3" t="inlineStr">
        <is>
          <t>m</t>
        </is>
      </c>
      <c r="D50" s="3" t="inlineStr">
        <is>
          <t>Close to 0 when explicit chainage matches plan note.</t>
        </is>
      </c>
    </row>
    <row r="51">
      <c r="A51" s="10" t="inlineStr">
        <is>
          <t>Collector_trunk_conveyance_type</t>
        </is>
      </c>
      <c r="B51" s="12" t="inlineStr">
        <is>
          <t>PIPE</t>
        </is>
      </c>
      <c r="C51" s="3" t="inlineStr">
        <is>
          <t>text</t>
        </is>
      </c>
      <c r="D51" s="3" t="inlineStr">
        <is>
          <t>Use PIPE unless redesign requires other conveyance.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Override trunk velocity (leave numeric to force value).</t>
        </is>
      </c>
    </row>
    <row r="53">
      <c r="A53" s="10" t="inlineStr">
        <is>
          <t>Collector_trunk_enable_after_paths (YES/NO)</t>
        </is>
      </c>
      <c r="B53" s="12" t="inlineStr">
        <is>
          <t>YES</t>
        </is>
      </c>
      <c r="C53" s="3" t="inlineStr">
        <is>
          <t>text</t>
        </is>
      </c>
      <c r="D53" s="3" t="inlineStr">
        <is>
          <t>YES adds trunk segments to AFTER travel times and Tc.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perforated underdrain trench (geotextile + stone envelope)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solid collector to culvert/outlet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Collector/outlet branch (non-perforated).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</t>
        </is>
      </c>
      <c r="E9" s="3" t="inlineStr">
        <is>
          <t>Field 3-line drain corridor (interpreted trench/ditch centerline)</t>
        </is>
      </c>
      <c r="F9" s="3" t="inlineStr">
        <is>
          <t>TRENCH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Replaces P-MECH. Use for segments represented by three parallel lines with edge/invert elevations.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</t>
        </is>
      </c>
      <c r="E11" s="3" t="inlineStr">
        <is>
          <t>Future collector trunk - east side (P=0.5%)</t>
        </is>
      </c>
      <c r="F11" s="3">
        <f>Inputs!$B$51</f>
        <v/>
      </c>
      <c r="G11" s="23">
        <f>IF(UPPER(TRIM(Inputs!$B$53))="YES",Inputs!$B$46,0)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3">
        <f>IF(OR(G11="",J11=""),"",G11/(J11*60))</f>
        <v/>
      </c>
      <c r="L11" s="3" t="inlineStr">
        <is>
          <t>J-TRUNK-EAST</t>
        </is>
      </c>
      <c r="M11" s="3" t="inlineStr">
        <is>
          <t>Explicit trunk segment from plan note.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</t>
        </is>
      </c>
      <c r="E12" s="3" t="inlineStr">
        <is>
          <t>Future collector trunk - east side (P=0.5%)</t>
        </is>
      </c>
      <c r="F12" s="3">
        <f>Inputs!$B$51</f>
        <v/>
      </c>
      <c r="G12" s="23">
        <f>IF(UPPER(TRIM(Inputs!$B$53))="YES",Inputs!$B$46,0)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3">
        <f>IF(OR(G12="",J12=""),"",G12/(J12*60))</f>
        <v/>
      </c>
      <c r="L12" s="3" t="inlineStr">
        <is>
          <t>J-TRUNK-EAST</t>
        </is>
      </c>
      <c r="M12" s="3" t="inlineStr">
        <is>
          <t>Three-line field drain tie-in to explicit east trunk.</t>
        </is>
      </c>
    </row>
    <row r="13">
      <c r="A13" s="19" t="inlineStr">
        <is>
          <t>AFTER</t>
        </is>
      </c>
      <c r="B13" s="3" t="inlineStr">
        <is>
          <t>P-WEST-PAVE</t>
        </is>
      </c>
      <c r="C13" s="3" t="n">
        <v>2</v>
      </c>
      <c r="D13" s="3" t="inlineStr">
        <is>
          <t>A04T-W</t>
        </is>
      </c>
      <c r="E13" s="3" t="inlineStr">
        <is>
          <t>Future collector trunk - west side (P=0.5%)</t>
        </is>
      </c>
      <c r="F13" s="3">
        <f>Inputs!$B$51</f>
        <v/>
      </c>
      <c r="G13" s="23">
        <f>IF(UPPER(TRIM(Inputs!$B$53))="YES",Inputs!$B$48,0)</f>
        <v/>
      </c>
      <c r="H13" s="22">
        <f>Inputs!$B$43</f>
        <v/>
      </c>
      <c r="I13" s="12">
        <f>Inputs!$B$52</f>
        <v/>
      </c>
      <c r="J13" s="3">
        <f>IF(I13&lt;&gt;"",I13,IF(UPPER(TRIM(F13))="SHEET",Inputs!$B$7,IF(UPPER(TRIM(F13))="SWALE",Inputs!$B$8,IF(UPPER(TRIM(F13))="TRENCH",Inputs!$B$27,IF(UPPER(TRIM(F13))="PIPE",Inputs!$B$9,Inputs!$B$10)))))</f>
        <v/>
      </c>
      <c r="K13" s="3">
        <f>IF(OR(G13="",J13=""),"",G13/(J13*60))</f>
        <v/>
      </c>
      <c r="L13" s="3" t="inlineStr">
        <is>
          <t>J-TRUNK-WEST</t>
        </is>
      </c>
      <c r="M13" s="3" t="inlineStr">
        <is>
          <t>Explicit west-side trunk reach.</t>
        </is>
      </c>
    </row>
    <row r="14">
      <c r="A14" s="19" t="inlineStr">
        <is>
          <t>AFTER</t>
        </is>
      </c>
      <c r="B14" s="3" t="inlineStr">
        <is>
          <t>P-WEST-PAVE</t>
        </is>
      </c>
      <c r="C14" s="3" t="n">
        <v>3</v>
      </c>
      <c r="D14" s="3" t="inlineStr">
        <is>
          <t>A04T-B</t>
        </is>
      </c>
      <c r="E14" s="3" t="inlineStr">
        <is>
          <t>Future collector trunk - bottom side (P=0.5%)</t>
        </is>
      </c>
      <c r="F14" s="3">
        <f>Inputs!$B$51</f>
        <v/>
      </c>
      <c r="G14" s="23">
        <f>IF(UPPER(TRIM(Inputs!$B$53))="YES",Inputs!$B$47,0)</f>
        <v/>
      </c>
      <c r="H14" s="22">
        <f>Inputs!$B$43</f>
        <v/>
      </c>
      <c r="I14" s="12">
        <f>Inputs!$B$52</f>
        <v/>
      </c>
      <c r="J14" s="3">
        <f>IF(I14&lt;&gt;"",I14,IF(UPPER(TRIM(F14))="SHEET",Inputs!$B$7,IF(UPPER(TRIM(F14))="SWALE",Inputs!$B$8,IF(UPPER(TRIM(F14))="TRENCH",Inputs!$B$27,IF(UPPER(TRIM(F14))="PIPE",Inputs!$B$9,Inputs!$B$10)))))</f>
        <v/>
      </c>
      <c r="K14" s="3">
        <f>IF(OR(G14="",J14=""),"",G14/(J14*60))</f>
        <v/>
      </c>
      <c r="L14" s="3" t="inlineStr">
        <is>
          <t>J-TRUNK-BOTTOM</t>
        </is>
      </c>
      <c r="M14" s="3" t="inlineStr">
        <is>
          <t>Explicit bottom trunk reach.</t>
        </is>
      </c>
    </row>
    <row r="15">
      <c r="A15" s="19" t="inlineStr">
        <is>
          <t>AFTER</t>
        </is>
      </c>
      <c r="B15" s="3" t="inlineStr">
        <is>
          <t>P-WEST-PAVE</t>
        </is>
      </c>
      <c r="C15" s="3" t="n">
        <v>4</v>
      </c>
      <c r="D15" s="3" t="inlineStr">
        <is>
          <t>A04T-E</t>
        </is>
      </c>
      <c r="E15" s="3" t="inlineStr">
        <is>
          <t>Future collector trunk - east side (P=0.5%)</t>
        </is>
      </c>
      <c r="F15" s="3">
        <f>Inputs!$B$51</f>
        <v/>
      </c>
      <c r="G15" s="23">
        <f>IF(UPPER(TRIM(Inputs!$B$53))="YES",Inputs!$B$46,0)</f>
        <v/>
      </c>
      <c r="H15" s="22">
        <f>Inputs!$B$43</f>
        <v/>
      </c>
      <c r="I15" s="12">
        <f>Inputs!$B$52</f>
        <v/>
      </c>
      <c r="J15" s="3">
        <f>IF(I15&lt;&gt;"",I15,IF(UPPER(TRIM(F15))="SHEET",Inputs!$B$7,IF(UPPER(TRIM(F15))="SWALE",Inputs!$B$8,IF(UPPER(TRIM(F15))="TRENCH",Inputs!$B$27,IF(UPPER(TRIM(F15))="PIPE",Inputs!$B$9,Inputs!$B$10)))))</f>
        <v/>
      </c>
      <c r="K15" s="3">
        <f>IF(OR(G15="",J15=""),"",G15/(J15*60))</f>
        <v/>
      </c>
      <c r="L15" s="3" t="inlineStr">
        <is>
          <t>EAST-OUT</t>
        </is>
      </c>
      <c r="M15" s="3" t="inlineStr">
        <is>
          <t>Explicit east trunk reach to outlet.</t>
        </is>
      </c>
    </row>
    <row r="16">
      <c r="A16" s="19" t="inlineStr">
        <is>
          <t>AFTER</t>
        </is>
      </c>
      <c r="B16" s="3" t="inlineStr">
        <is>
          <t>P-EAST-OUT</t>
        </is>
      </c>
      <c r="C16" s="3" t="n">
        <v>2</v>
      </c>
      <c r="D16" s="3" t="inlineStr">
        <is>
          <t>A02T-E</t>
        </is>
      </c>
      <c r="E16" s="3" t="inlineStr">
        <is>
          <t>Future collector trunk - east side (P=0.5%)</t>
        </is>
      </c>
      <c r="F16" s="3">
        <f>Inputs!$B$51</f>
        <v/>
      </c>
      <c r="G16" s="23">
        <f>IF(UPPER(TRIM(Inputs!$B$53))="YES",Inputs!$B$46,0)</f>
        <v/>
      </c>
      <c r="H16" s="22">
        <f>Inputs!$B$43</f>
        <v/>
      </c>
      <c r="I16" s="12">
        <f>Inputs!$B$52</f>
        <v/>
      </c>
      <c r="J16" s="3">
        <f>IF(I16&lt;&gt;"",I16,IF(UPPER(TRIM(F16))="SHEET",Inputs!$B$7,IF(UPPER(TRIM(F16))="SWALE",Inputs!$B$8,IF(UPPER(TRIM(F16))="TRENCH",Inputs!$B$27,IF(UPPER(TRIM(F16))="PIPE",Inputs!$B$9,Inputs!$B$10)))))</f>
        <v/>
      </c>
      <c r="K16" s="3">
        <f>IF(OR(G16="",J16=""),"",G16/(J16*60))</f>
        <v/>
      </c>
      <c r="L16" s="3" t="inlineStr">
        <is>
          <t>EAST-OUT</t>
        </is>
      </c>
      <c r="M16" s="3" t="inlineStr">
        <is>
          <t>Adds trunk run if this path is used.</t>
        </is>
      </c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>
        <f>IF(OR(G204="",J204=""),"",G204/(J204*60))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Main grass area adjusted: 12712 - 422.73 - 415.45 = 11873.82 m2.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 (fully impervious)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m2, fully impervious (no mixed split).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SC-07</t>
        </is>
      </c>
      <c r="B9" s="3" t="inlineStr">
        <is>
          <t>Mixed block - right field trajectory (SE mid)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Mixed block provided by user: A=422.73 m2 (SE/right-field trajectory).</t>
        </is>
      </c>
    </row>
    <row r="10">
      <c r="A10" s="3" t="inlineStr">
        <is>
          <t>SC-08</t>
        </is>
      </c>
      <c r="B10" s="3" t="inlineStr">
        <is>
          <t>Mixed block - left field trajectory (NW mid)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3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3">
        <f>IF(U10="",0,SUMIFS(FlowPaths!$K:$K,FlowPaths!$A:$A,"AFTER",FlowPaths!$B:$B,U10))</f>
        <v/>
      </c>
      <c r="W10" s="3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Mixed block provided by user: A=415.45 m2 (NW/left-field trajectory).</t>
        </is>
      </c>
    </row>
    <row r="11"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SC-07 + SC-08 mixed-surface sensitivity (Q_after)</t>
        </is>
      </c>
      <c r="B32" s="19" t="n"/>
      <c r="C32" s="19" t="n"/>
      <c r="D32" s="19" t="n"/>
    </row>
    <row r="33">
      <c r="A33" s="3" t="inlineStr">
        <is>
          <t>LOW (imp frac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After-flow contribution of SC-07+SC-08 under LOW impervious assumption.</t>
        </is>
      </c>
    </row>
    <row r="34">
      <c r="A34" s="3" t="inlineStr">
        <is>
          <t>BASE (imp frac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After-flow contribution of SC-07+SC-08 under BASE impervious assumption.</t>
        </is>
      </c>
    </row>
    <row r="35">
      <c r="A35" s="3" t="inlineStr">
        <is>
          <t>HIGH (imp frac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After-flow contribution of SC-07+SC-08 under HIGH impervious assumption.</t>
        </is>
      </c>
    </row>
    <row r="36">
      <c r="A36" s="3" t="inlineStr">
        <is>
          <t>ACTIVE scenario value (from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Current SC-07+SC-08 after-flow using selected mode in Inputs!B33.</t>
        </is>
      </c>
    </row>
    <row r="38">
      <c r="A38" s="10" t="inlineStr">
        <is>
          <t>Collector trunk explicit total length (m)</t>
        </is>
      </c>
      <c r="B38" s="22">
        <f>Inputs!$B$49</f>
        <v/>
      </c>
      <c r="C38" s="3" t="inlineStr">
        <is>
          <t>m</t>
        </is>
      </c>
      <c r="D38" s="3" t="inlineStr">
        <is>
          <t>From explicit east+bottom+west inputs.</t>
        </is>
      </c>
    </row>
    <row r="39">
      <c r="A39" s="10" t="inlineStr">
        <is>
          <t>Collector trunk implied length from note (m)</t>
        </is>
      </c>
      <c r="B39" s="22">
        <f>Inputs!$B$45</f>
        <v/>
      </c>
      <c r="C39" s="3" t="inlineStr">
        <is>
          <t>m</t>
        </is>
      </c>
      <c r="D39" s="3" t="inlineStr">
        <is>
          <t>Computed from 0.983 m / 0.5%.</t>
        </is>
      </c>
    </row>
    <row r="40">
      <c r="A40" s="10" t="inlineStr">
        <is>
          <t>Length mismatch explicit-implied (m)</t>
        </is>
      </c>
      <c r="B40" s="22">
        <f>Inputs!$B$50</f>
        <v/>
      </c>
      <c r="C40" s="3" t="inlineStr">
        <is>
          <t>m</t>
        </is>
      </c>
      <c r="D40" s="3" t="inlineStr">
        <is>
          <t>Target near 0 after field chainage calibration.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2026-07-13T10:41:29Z</dcterms:modified>
</cp:coreProperties>
</file>