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lt;1]0.0000;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Tresfond/puisard/internal drainage option can be modeled with path ID P-MECH (after scenario).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 sheet: define each hydraulic stretch (sheet flow/swale/pipe/internal line) for BEFORE and AFTER.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mechanical drain adopted velocity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1"/>
    <row r="22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IF(I4&lt;&gt;"",I4,IF(UPPER(TRIM(F4))="SHEET",Inputs!$B$7,IF(UPPER(TRIM(F4))="SWALE",Inputs!$B$8,IF(UPPER(TRIM(F4))="PIPE",Inputs!$B$9,Inputs!$B$10))))</f>
        <v/>
      </c>
      <c r="K4" s="13">
        <f>IF(OR(G4="",J4=""),"",G4/(J4*60))</f>
        <v/>
      </c>
      <c r="L4" s="3" t="inlineStr">
        <is>
          <t>EAST-OUT</t>
        </is>
      </c>
      <c r="M4" s="3" t="inlineStr">
        <is>
          <t>Adjust lengths from plan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IF(I5&lt;&gt;"",I5,IF(UPPER(TRIM(F5))="SHEET",Inputs!$B$7,IF(UPPER(TRIM(F5))="SWALE",Inputs!$B$8,IF(UPPER(TRIM(F5))="PIPE",Inputs!$B$9,Inputs!$B$10))))</f>
        <v/>
      </c>
      <c r="K5" s="13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IF(I6&lt;&gt;"",I6,IF(UPPER(TRIM(F6))="SHEET",Inputs!$B$7,IF(UPPER(TRIM(F6))="SWALE",Inputs!$B$8,IF(UPPER(TRIM(F6))="PIPE",Inputs!$B$9,Inputs!$B$10))))</f>
        <v/>
      </c>
      <c r="K6" s="13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</t>
        </is>
      </c>
      <c r="E7" s="3" t="inlineStr">
        <is>
          <t>East strip trench/collector</t>
        </is>
      </c>
      <c r="F7" s="3" t="inlineStr">
        <is>
          <t>PIPE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IF(I7&lt;&gt;"",I7,IF(UPPER(TRIM(F7))="SHEET",Inputs!$B$7,IF(UPPER(TRIM(F7))="SWALE",Inputs!$B$8,IF(UPPER(TRIM(F7))="PIPE",Inputs!$B$9,Inputs!$B$10))))</f>
        <v/>
      </c>
      <c r="K7" s="13">
        <f>IF(OR(G7="",J7=""),"",G7/(J7*60))</f>
        <v/>
      </c>
      <c r="L7" s="3" t="inlineStr">
        <is>
          <t>J-EAST-IN</t>
        </is>
      </c>
      <c r="M7" s="3" t="inlineStr">
        <is>
          <t>E01+E02 equivalent path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</t>
        </is>
      </c>
      <c r="E8" s="3" t="inlineStr">
        <is>
          <t>East collector to culvert area</t>
        </is>
      </c>
      <c r="F8" s="3" t="inlineStr">
        <is>
          <t>PIPE</t>
        </is>
      </c>
      <c r="G8" s="3" t="n">
        <v>16.1</v>
      </c>
      <c r="H8" s="3" t="n">
        <v>0.005</v>
      </c>
      <c r="I8" s="3" t="inlineStr"/>
      <c r="J8" s="13">
        <f>IF(I8&lt;&gt;"",I8,IF(UPPER(TRIM(F8))="SHEET",Inputs!$B$7,IF(UPPER(TRIM(F8))="SWALE",Inputs!$B$8,IF(UPPER(TRIM(F8))="PIPE",Inputs!$B$9,Inputs!$B$10))))</f>
        <v/>
      </c>
      <c r="K8" s="13">
        <f>IF(OR(G8="",J8=""),"",G8/(J8*60))</f>
        <v/>
      </c>
      <c r="L8" s="3" t="inlineStr">
        <is>
          <t>EAST-OUT</t>
        </is>
      </c>
      <c r="M8" s="3" t="inlineStr">
        <is>
          <t>Equivalent to outlet branch</t>
        </is>
      </c>
    </row>
    <row r="9">
      <c r="A9" s="3" t="inlineStr">
        <is>
          <t>AFTER</t>
        </is>
      </c>
      <c r="B9" s="3" t="inlineStr">
        <is>
          <t>P-MECH</t>
        </is>
      </c>
      <c r="C9" s="3" t="n">
        <v>1</v>
      </c>
      <c r="D9" s="3" t="inlineStr">
        <is>
          <t>A03</t>
        </is>
      </c>
      <c r="E9" s="3" t="inlineStr">
        <is>
          <t>Puisards to internal drainage line</t>
        </is>
      </c>
      <c r="F9" s="3" t="inlineStr">
        <is>
          <t>INTERNAL</t>
        </is>
      </c>
      <c r="G9" s="3" t="n">
        <v>12</v>
      </c>
      <c r="H9" s="3" t="n">
        <v>0.005</v>
      </c>
      <c r="I9" s="3" t="inlineStr"/>
      <c r="J9" s="13">
        <f>IF(I9&lt;&gt;"",I9,IF(UPPER(TRIM(F9))="SHEET",Inputs!$B$7,IF(UPPER(TRIM(F9))="SWALE",Inputs!$B$8,IF(UPPER(TRIM(F9))="PIPE",Inputs!$B$9,Inputs!$B$10))))</f>
        <v/>
      </c>
      <c r="K9" s="13">
        <f>IF(OR(G9="",J9=""),"",G9/(J9*60))</f>
        <v/>
      </c>
      <c r="L9" s="3" t="inlineStr">
        <is>
          <t>EAST-OUT</t>
        </is>
      </c>
      <c r="M9" s="3" t="inlineStr">
        <is>
          <t>Mechanical team system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</t>
        </is>
      </c>
      <c r="E10" s="3" t="inlineStr">
        <is>
          <t>West paved branch to final collector</t>
        </is>
      </c>
      <c r="F10" s="3" t="inlineStr">
        <is>
          <t>PIPE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IF(I10&lt;&gt;"",I10,IF(UPPER(TRIM(F10))="SHEET",Inputs!$B$7,IF(UPPER(TRIM(F10))="SWALE",Inputs!$B$8,IF(UPPER(TRIM(F10))="PIPE",Inputs!$B$9,Inputs!$B$10))))</f>
        <v/>
      </c>
      <c r="K10" s="13">
        <f>IF(OR(G10="",J10=""),"",G10/(J10*60))</f>
        <v/>
      </c>
      <c r="L10" s="3" t="inlineStr">
        <is>
          <t>EAST-OUT</t>
        </is>
      </c>
      <c r="M10" s="3" t="inlineStr">
        <is>
          <t>Set per final profile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Baseball playing field (grass/turf)</t>
        </is>
      </c>
      <c r="C4" s="11" t="n"/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13">
        <f>IF(I4="",Inputs!$B$11,I4)+K4</f>
        <v/>
      </c>
      <c r="M4" s="13">
        <f>IF(L4="","",Inputs!$B$3/((L4+Inputs!$B$4)^Inputs!$B$5))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13">
        <f>IF(U4="",0,SUMIFS(FlowPaths!$K:$K,FlowPaths!$A:$A,"AFTER",FlowPaths!$B:$B,U4))</f>
        <v/>
      </c>
      <c r="W4" s="13">
        <f>IF(T4="",Inputs!$B$12,T4)+V4</f>
        <v/>
      </c>
      <c r="X4" s="13">
        <f>IF(W4="","",Inputs!$B$3/((W4+Inputs!$B$4)^Inputs!$B$5))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Fill area from plan</t>
        </is>
      </c>
    </row>
    <row r="5">
      <c r="A5" s="3" t="inlineStr">
        <is>
          <t>SC-02</t>
        </is>
      </c>
      <c r="B5" s="3" t="inlineStr">
        <is>
          <t>Infield / bare soil zone</t>
        </is>
      </c>
      <c r="C5" s="11" t="n"/>
      <c r="D5" s="11" t="n">
        <v>1</v>
      </c>
      <c r="E5" s="13">
        <f>IF(C5="","",C5*D5)</f>
        <v/>
      </c>
      <c r="F5" s="3" t="inlineStr">
        <is>
          <t>BARE_SOIL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13">
        <f>IF(I5="",Inputs!$B$11,I5)+K5</f>
        <v/>
      </c>
      <c r="M5" s="13">
        <f>IF(L5="","",Inputs!$B$3/((L5+Inputs!$B$4)^Inputs!$B$5))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BARE_SOIL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13">
        <f>IF(U5="",0,SUMIFS(FlowPaths!$K:$K,FlowPaths!$A:$A,"AFTER",FlowPaths!$B:$B,U5))</f>
        <v/>
      </c>
      <c r="W5" s="13">
        <f>IF(T5="",Inputs!$B$12,T5)+V5</f>
        <v/>
      </c>
      <c r="X5" s="13">
        <f>IF(W5="","",Inputs!$B$3/((W5+Inputs!$B$4)^Inputs!$B$5))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Fill area from plan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1" t="n">
        <v>1869.7</v>
      </c>
      <c r="D6" s="11">
        <f>Inputs!$B$20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13">
        <f>IF(I6="",Inputs!$B$11,I6)+K6</f>
        <v/>
      </c>
      <c r="M6" s="13">
        <f>IF(L6="","",Inputs!$B$3/((L6+Inputs!$B$4)^Inputs!$B$5))</f>
        <v/>
      </c>
      <c r="N6" s="13">
        <f>IF(OR(E6="",H6="",M6=""),"",2.78E-7*H6*E6*M6)</f>
        <v/>
      </c>
      <c r="O6" s="11">
        <f>Inputs!$B$20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13">
        <f>IF(U6="",0,SUMIFS(FlowPaths!$K:$K,FlowPaths!$A:$A,"AFTER",FlowPaths!$B:$B,U6))</f>
        <v/>
      </c>
      <c r="W6" s="13">
        <f>IF(T6="",Inputs!$B$12,T6)+V6</f>
        <v/>
      </c>
      <c r="X6" s="13">
        <f>IF(W6="","",Inputs!$B$3/((W6+Inputs!$B$4)^Inputs!$B$5))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Known total paved area from note</t>
        </is>
      </c>
    </row>
    <row r="7">
      <c r="A7" s="3" t="inlineStr">
        <is>
          <t>SC-04</t>
        </is>
      </c>
      <c r="B7" s="3" t="inlineStr">
        <is>
          <t>Top strip to PEHD puisard / internal drainage</t>
        </is>
      </c>
      <c r="C7" s="11" t="n">
        <v>40.8</v>
      </c>
      <c r="D7" s="11" t="n">
        <v>1</v>
      </c>
      <c r="E7" s="13">
        <f>IF(C7="","",C7*D7)</f>
        <v/>
      </c>
      <c r="F7" s="3" t="inlineStr">
        <is>
          <t>GRASS</t>
        </is>
      </c>
      <c r="G7" s="12" t="inlineStr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13">
        <f>IF(I7="",Inputs!$B$11,I7)+K7</f>
        <v/>
      </c>
      <c r="M7" s="13">
        <f>IF(L7="","",Inputs!$B$3/((L7+Inputs!$B$4)^Inputs!$B$5))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GRASS</t>
        </is>
      </c>
      <c r="R7" s="12" t="inlineStr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P-MECH</t>
        </is>
      </c>
      <c r="V7" s="13">
        <f>IF(U7="",0,SUMIFS(FlowPaths!$K:$K,FlowPaths!$A:$A,"AFTER",FlowPaths!$B:$B,U7))</f>
        <v/>
      </c>
      <c r="W7" s="13">
        <f>IF(T7="",Inputs!$B$12,T7)+V7</f>
        <v/>
      </c>
      <c r="X7" s="13">
        <f>IF(W7="","",Inputs!$B$3/((W7+Inputs!$B$4)^Inputs!$B$5))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As requested: diverted to internal system after</t>
        </is>
      </c>
    </row>
    <row r="8">
      <c r="A8" s="3" t="inlineStr">
        <is>
          <t>SC-05</t>
        </is>
      </c>
      <c r="B8" s="3" t="inlineStr">
        <is>
          <t>Other tributary area near east outlet</t>
        </is>
      </c>
      <c r="C8" s="11" t="n"/>
      <c r="D8" s="11" t="n">
        <v>1</v>
      </c>
      <c r="E8" s="13">
        <f>IF(C8="","",C8*D8)</f>
        <v/>
      </c>
      <c r="F8" s="3" t="inlineStr">
        <is>
          <t>GRAVEL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13">
        <f>IF(I8="",Inputs!$B$11,I8)+K8</f>
        <v/>
      </c>
      <c r="M8" s="13">
        <f>IF(L8="","",Inputs!$B$3/((L8+Inputs!$B$4)^Inputs!$B$5))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GRAVEL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P-EAST-OUT</t>
        </is>
      </c>
      <c r="V8" s="13">
        <f>IF(U8="",0,SUMIFS(FlowPaths!$K:$K,FlowPaths!$A:$A,"AFTER",FlowPaths!$B:$B,U8))</f>
        <v/>
      </c>
      <c r="W8" s="13">
        <f>IF(T8="",Inputs!$B$12,T8)+V8</f>
        <v/>
      </c>
      <c r="X8" s="13">
        <f>IF(W8="","",Inputs!$B$3/((W8+Inputs!$B$4)^Inputs!$B$5))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Optional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</f>
        <v/>
      </c>
      <c r="C6" s="3" t="inlineStr">
        <is>
          <t>m2</t>
        </is>
      </c>
      <c r="D6" s="3" t="inlineStr"/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</f>
        <v/>
      </c>
      <c r="C7" s="3" t="inlineStr">
        <is>
          <t>m2</t>
        </is>
      </c>
      <c r="D7" s="3" t="inlineStr"/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2026-07-11T05:08:48Z</dcterms:modified>
</cp:coreProperties>
</file>