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0;0.000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13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13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13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</t>
        </is>
      </c>
      <c r="E7" s="3" t="inlineStr">
        <is>
          <t>East strip perforated underdrain trench (geotextile + stone envelope)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13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</t>
        </is>
      </c>
      <c r="E8" s="3" t="inlineStr">
        <is>
          <t>East solid collector to culvert/outlet area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13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</t>
        </is>
      </c>
      <c r="E9" s="3" t="inlineStr">
        <is>
          <t>Field 3-line drain corridor (interpreted trench/ditch centerline)</t>
        </is>
      </c>
      <c r="F9" s="3" t="inlineStr">
        <is>
          <t>TRENCH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13">
        <f>IF(OR(G9="",J9=""),"",G9/(J9*60))</f>
        <v/>
      </c>
      <c r="L9" s="3" t="inlineStr">
        <is>
          <t>EAST-OUT</t>
        </is>
      </c>
      <c r="M9" s="3" t="inlineStr">
        <is>
          <t>Replaces P-MECH. Use for segments represented by three parallel lines with edge/invert elevations.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</t>
        </is>
      </c>
      <c r="E10" s="3" t="inlineStr">
        <is>
          <t>West paved branch to final collector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13">
        <f>IF(OR(G10="",J10=""),"",G10/(J10*60))</f>
        <v/>
      </c>
      <c r="L10" s="3" t="inlineStr">
        <is>
          <t>EAST-OUT</t>
        </is>
      </c>
      <c r="M10" s="3" t="inlineStr">
        <is>
          <t>Set per final profile</t>
        </is>
      </c>
    </row>
    <row r="11">
      <c r="J11">
        <f>IF(I11&lt;&gt;"",I11,IF(UPPER(TRIM(F11))="SHEET",Inputs!$B$7,IF(UPPER(TRIM(F11))="SWALE",Inputs!$B$8,IF(UPPER(TRIM(F11))="TRENCH",Inputs!$B$27,IF(UPPER(TRIM(F11))="PIPE",Inputs!$B$9,Inputs!$B$10)))))</f>
        <v/>
      </c>
      <c r="K11">
        <f>IF(OR(G11="",J11=""),"",G11/(J11*60))</f>
        <v/>
      </c>
    </row>
    <row r="12">
      <c r="J12">
        <f>IF(I12&lt;&gt;"",I12,IF(UPPER(TRIM(F12))="SHEET",Inputs!$B$7,IF(UPPER(TRIM(F12))="SWALE",Inputs!$B$8,IF(UPPER(TRIM(F12))="TRENCH",Inputs!$B$27,IF(UPPER(TRIM(F12))="PIPE",Inputs!$B$9,Inputs!$B$10)))))</f>
        <v/>
      </c>
      <c r="K12">
        <f>IF(OR(G12="",J12=""),"",G12/(J12*60))</f>
        <v/>
      </c>
    </row>
    <row r="13">
      <c r="J13">
        <f>IF(I13&lt;&gt;"",I13,IF(UPPER(TRIM(F13))="SHEET",Inputs!$B$7,IF(UPPER(TRIM(F13))="SWALE",Inputs!$B$8,IF(UPPER(TRIM(F13))="TRENCH",Inputs!$B$27,IF(UPPER(TRIM(F13))="PIPE",Inputs!$B$9,Inputs!$B$10)))))</f>
        <v/>
      </c>
      <c r="K13">
        <f>IF(OR(G13="",J13=""),"",G13/(J13*60))</f>
        <v/>
      </c>
    </row>
    <row r="14">
      <c r="J14">
        <f>IF(I14&lt;&gt;"",I14,IF(UPPER(TRIM(F14))="SHEET",Inputs!$B$7,IF(UPPER(TRIM(F14))="SWALE",Inputs!$B$8,IF(UPPER(TRIM(F14))="TRENCH",Inputs!$B$27,IF(UPPER(TRIM(F14))="PIPE",Inputs!$B$9,Inputs!$B$10)))))</f>
        <v/>
      </c>
      <c r="K14">
        <f>IF(OR(G14="",J14=""),"",G14/(J14*60))</f>
        <v/>
      </c>
    </row>
    <row r="15">
      <c r="J15">
        <f>IF(I15&lt;&gt;"",I15,IF(UPPER(TRIM(F15))="SHEET",Inputs!$B$7,IF(UPPER(TRIM(F15))="SWALE",Inputs!$B$8,IF(UPPER(TRIM(F15))="TRENCH",Inputs!$B$27,IF(UPPER(TRIM(F15))="PIPE",Inputs!$B$9,Inputs!$B$10)))))</f>
        <v/>
      </c>
      <c r="K15">
        <f>IF(OR(G15="",J15=""),"",G15/(J15*60))</f>
        <v/>
      </c>
    </row>
    <row r="16">
      <c r="J16">
        <f>IF(I16&lt;&gt;"",I16,IF(UPPER(TRIM(F16))="SHEET",Inputs!$B$7,IF(UPPER(TRIM(F16))="SWALE",Inputs!$B$8,IF(UPPER(TRIM(F16))="TRENCH",Inputs!$B$27,IF(UPPER(TRIM(F16))="PIPE",Inputs!$B$9,Inputs!$B$10)))))</f>
        <v/>
      </c>
      <c r="K16">
        <f>IF(OR(G16="",J16=""),"",G16/(J16*60))</f>
        <v/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>
        <f>IF(OR(G204="",J204=""),"",G204/(J204*60))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12712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13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13">
        <f>IF(U4="",0,SUMIFS(FlowPaths!$K:$K,FlowPaths!$A:$A,"AFTER",FlowPaths!$B:$B,U4))</f>
        <v/>
      </c>
      <c r="W4" s="13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From marked plan: A=12712 m2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13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13">
        <f>IF(U5="",0,SUMIFS(FlowPaths!$K:$K,FlowPaths!$A:$A,"AFTER",FlowPaths!$B:$B,U5))</f>
        <v/>
      </c>
      <c r="W5" s="13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13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13">
        <f>IF(U6="",0,SUMIFS(FlowPaths!$K:$K,FlowPaths!$A:$A,"AFTER",FlowPaths!$B:$B,U6))</f>
        <v/>
      </c>
      <c r="W6" s="13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2" t="inlineStr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13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2" t="inlineStr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13">
        <f>IF(U7="",0,SUMIFS(FlowPaths!$K:$K,FlowPaths!$A:$A,"AFTER",FlowPaths!$B:$B,U7))</f>
        <v/>
      </c>
      <c r="W7" s="13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 (concrete, treated as impervious paved surface).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13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13">
        <f>IF(U8="",0,SUMIFS(FlowPaths!$K:$K,FlowPaths!$A:$A,"AFTER",FlowPaths!$B:$B,U8))</f>
        <v/>
      </c>
      <c r="W8" s="13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SC-06</t>
        </is>
      </c>
      <c r="B9" s="3" t="inlineStr">
        <is>
          <t>Optional additional tributary (if another label is found)</t>
        </is>
      </c>
      <c r="C9" s="18" t="inlineStr"/>
      <c r="D9" s="3" t="n">
        <v>1</v>
      </c>
      <c r="E9" s="13">
        <f>IF(C9="","",C9*D9)</f>
        <v/>
      </c>
      <c r="F9" s="3" t="inlineStr">
        <is>
          <t>GRAVEL</t>
        </is>
      </c>
      <c r="G9" s="3" t="n"/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13">
        <f>IF(I9="",Inputs!$B$11,I9)+K9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GRAVEL</t>
        </is>
      </c>
      <c r="R9" s="3" t="n"/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P-EAST-OUT</t>
        </is>
      </c>
      <c r="V9" s="13">
        <f>IF(U9="",0,SUMIFS(FlowPaths!$K:$K,FlowPaths!$A:$A,"AFTER",FlowPaths!$B:$B,U9))</f>
        <v/>
      </c>
      <c r="W9" s="13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Reserved row. Enter area only if another labeled tributary must be included.</t>
        </is>
      </c>
    </row>
    <row r="10">
      <c r="M10" s="15">
        <f>IF(L10="","",IF(UPPER(TRIM(Inputs!$B$23))="IDF_EQUATION",Inputs!$B$3/((L10+Inputs!$B$4)^Inputs!$B$5),INDEX(IDF_Station!$B$3:$G$11,IFERROR(MATCH(L10,IDF_Station!$A$3:$A$11,1),1),MATCH(Inputs!$B$24,IDF_Station!$B$2:$G$2,0))))</f>
        <v/>
      </c>
      <c r="X10" s="15">
        <f>IF(W10="","",IF(UPPER(TRIM(Inputs!$B$23))="IDF_EQUATION",Inputs!$B$3/((W10+Inputs!$B$4)^Inputs!$B$5),INDEX(IDF_Station!$B$3:$G$11,IFERROR(MATCH(W10,IDF_Station!$A$3:$A$11,1),1),MATCH(Inputs!$B$24,IDF_Station!$B$2:$G$2,0))))</f>
        <v/>
      </c>
    </row>
    <row r="11"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</f>
        <v/>
      </c>
      <c r="C6" s="3" t="inlineStr">
        <is>
          <t>m2</t>
        </is>
      </c>
      <c r="D6" s="3" t="inlineStr"/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</f>
        <v/>
      </c>
      <c r="C7" s="3" t="inlineStr">
        <is>
          <t>m2</t>
        </is>
      </c>
      <c r="D7" s="3" t="inlineStr"/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2026-07-11T23:49:05Z</dcterms:modified>
</cp:coreProperties>
</file>