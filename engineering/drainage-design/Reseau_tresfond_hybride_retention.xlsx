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20</v>
      </c>
      <c r="C35" s="4" t="inlineStr">
        <is>
          <t>m</t>
        </is>
      </c>
      <c r="D35" s="4" t="inlineStr">
        <is>
          <t>Longueur bassin retention (plan utilisateur) - remplace valeur preliminaire 29.4 m.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  <row r="51">
      <c r="A51" s="3" t="inlineStr">
        <is>
          <t>Top_central_tresfond_area_m2</t>
        </is>
      </c>
      <c r="B51" s="5" t="n">
        <v>0</v>
      </c>
      <c r="C51" s="4" t="inlineStr">
        <is>
          <t>m2</t>
        </is>
      </c>
      <c r="D51" s="4" t="inlineStr">
        <is>
          <t>A renseigner depuis plan releve. Zone tresfond bande haute centrale.</t>
        </is>
      </c>
    </row>
    <row r="52">
      <c r="A52" s="3" t="inlineStr">
        <is>
          <t>Include_basin_footprint_runoff (YES/NO)</t>
        </is>
      </c>
      <c r="B52" s="5" t="inlineStr">
        <is>
          <t>NO</t>
        </is>
      </c>
      <c r="C52" s="4" t="inlineStr">
        <is>
          <t>-</t>
        </is>
      </c>
      <c r="D52" s="4" t="inlineStr">
        <is>
          <t>NO recommande: empreinte bassin n'est pas contributive au bassin lui-meme.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IF(E4&lt;&gt;"",E4,IF(UPPER(TRIM(C4))="BASIN",IF(UPPER(TRIM(Inputs!$B$52))="YES",Inputs!$B$12,0),IF(UPPER(TRIM(C4))="ROOF",Inputs!$B$10,IF(UPPER(TRIM(C4))="TRESFOND",Inputs!$B$11,IF(UPPER(TRIM(C4))="GRASS",Inputs!$B$12,Inputs!$B$13)))))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E04</t>
        </is>
      </c>
      <c r="K4" s="4" t="inlineStr">
        <is>
          <t>Toiture vers collecte sud</t>
        </is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IF(E5&lt;&gt;"",E5,IF(UPPER(TRIM(C5))="BASIN",IF(UPPER(TRIM(Inputs!$B$52))="YES",Inputs!$B$12,0),IF(UPPER(TRIM(C5))="ROOF",Inputs!$B$10,IF(UPPER(TRIM(C5))="TRESFOND",Inputs!$B$11,IF(UPPER(TRIM(C5))="GRASS",Inputs!$B$12,Inputs!$B$13)))))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E03</t>
        </is>
      </c>
      <c r="K5" s="4" t="inlineStr">
        <is>
          <t>Pente vers bande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IF(E6&lt;&gt;"",E6,IF(UPPER(TRIM(C6))="BASIN",IF(UPPER(TRIM(Inputs!$B$52))="YES",Inputs!$B$12,0),IF(UPPER(TRIM(C6))="ROOF",Inputs!$B$10,IF(UPPER(TRIM(C6))="TRESFOND",Inputs!$B$11,IF(UPPER(TRIM(C6))="GRASS",Inputs!$B$12,Inputs!$B$13)))))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</row>
    <row r="7">
      <c r="A7" s="4" t="inlineStr">
        <is>
          <t>Z04</t>
        </is>
      </c>
      <c r="B7" s="4" t="inlineStr">
        <is>
          <t>Ouest gazon amont (12.5 m2)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IF(E7&lt;&gt;"",E7,IF(UPPER(TRIM(C7))="BASIN",IF(UPPER(TRIM(Inputs!$B$52))="YES",Inputs!$B$12,0),IF(UPPER(TRIM(C7))="ROOF",Inputs!$B$10,IF(UPPER(TRIM(C7))="TRESFOND",Inputs!$B$11,IF(UPPER(TRIM(C7))="GRASS",Inputs!$B$12,Inputs!$B$13)))))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Image: zone verte amont gauche.</t>
        </is>
      </c>
    </row>
    <row r="8">
      <c r="A8" s="4" t="inlineStr">
        <is>
          <t>Z07</t>
        </is>
      </c>
      <c r="B8" s="4" t="inlineStr">
        <is>
          <t>Ouest pave-uni court (6.7 m2)</t>
        </is>
      </c>
      <c r="C8" s="4" t="inlineStr">
        <is>
          <t>TRESFOND</t>
        </is>
      </c>
      <c r="D8" s="7" t="n">
        <v>6.7</v>
      </c>
      <c r="E8" s="7" t="inlineStr"/>
      <c r="F8" s="8">
        <f>IF(E8&lt;&gt;"",E8,IF(UPPER(TRIM(C8))="BASIN",IF(UPPER(TRIM(Inputs!$B$52))="YES",Inputs!$B$12,0),IF(UPPER(TRIM(C8))="ROOF",Inputs!$B$10,IF(UPPER(TRIM(C8))="TRESFOND",Inputs!$B$11,IF(UPPER(TRIM(C8))="GRASS",Inputs!$B$12,Inputs!$B$13)))))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Image: petit troncon pave entre zones gazon.</t>
        </is>
      </c>
    </row>
    <row r="9">
      <c r="A9" s="4" t="inlineStr">
        <is>
          <t>Z05</t>
        </is>
      </c>
      <c r="B9" s="4" t="inlineStr">
        <is>
          <t>Ouest gazon milieu (27.2 m2)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IF(E9&lt;&gt;"",E9,IF(UPPER(TRIM(C9))="BASIN",IF(UPPER(TRIM(Inputs!$B$52))="YES",Inputs!$B$12,0),IF(UPPER(TRIM(C9))="ROOF",Inputs!$B$10,IF(UPPER(TRIM(C9))="TRESFOND",Inputs!$B$11,IF(UPPER(TRIM(C9))="GRASS",Inputs!$B$12,Inputs!$B$13)))))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Image: bande verte milieu ouest.</t>
        </is>
      </c>
    </row>
    <row r="10">
      <c r="A10" s="4" t="inlineStr">
        <is>
          <t>Z08</t>
        </is>
      </c>
      <c r="B10" s="4" t="inlineStr">
        <is>
          <t>Ouest pave-uni principal (37.5 m2)</t>
        </is>
      </c>
      <c r="C10" s="4" t="inlineStr">
        <is>
          <t>TRESFOND</t>
        </is>
      </c>
      <c r="D10" s="7" t="n">
        <v>37.5</v>
      </c>
      <c r="E10" s="7" t="inlineStr"/>
      <c r="F10" s="8">
        <f>IF(E10&lt;&gt;"",E10,IF(UPPER(TRIM(C10))="BASIN",IF(UPPER(TRIM(Inputs!$B$52))="YES",Inputs!$B$12,0),IF(UPPER(TRIM(C10))="ROOF",Inputs!$B$10,IF(UPPER(TRIM(C10))="TRESFOND",Inputs!$B$11,IF(UPPER(TRIM(C10))="GRASS",Inputs!$B$12,Inputs!$B$13)))))</f>
        <v/>
      </c>
      <c r="G10" s="7" t="n">
        <v>9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LOCALISATION: zone pavee entre Z05 et Z06 (pas l'entree pavee externe).</t>
        </is>
      </c>
    </row>
    <row r="11">
      <c r="A11" s="4" t="inlineStr">
        <is>
          <t>Z06</t>
        </is>
      </c>
      <c r="B11" s="4" t="inlineStr">
        <is>
          <t>Ouest gazon aval coin sud-ouest (21.9 m2)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IF(E11&lt;&gt;"",E11,IF(UPPER(TRIM(C11))="BASIN",IF(UPPER(TRIM(Inputs!$B$52))="YES",Inputs!$B$12,0),IF(UPPER(TRIM(C11))="ROOF",Inputs!$B$10,IF(UPPER(TRIM(C11))="TRESFOND",Inputs!$B$11,IF(UPPER(TRIM(C11))="GRASS",Inputs!$B$12,Inputs!$B$13)))))</f>
        <v/>
      </c>
      <c r="G11" s="7" t="n">
        <v>10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Image: zone verte pres J-OUEST-AVAL.</t>
        </is>
      </c>
    </row>
    <row r="12">
      <c r="A12" s="4" t="inlineStr">
        <is>
          <t>Z09</t>
        </is>
      </c>
      <c r="B12" s="4" t="inlineStr">
        <is>
          <t>Empreinte bassin retention (zone de stockage)</t>
        </is>
      </c>
      <c r="C12" s="4" t="inlineStr">
        <is>
          <t>BASIN</t>
        </is>
      </c>
      <c r="D12" s="7" t="n">
        <v>109.7</v>
      </c>
      <c r="E12" s="7" t="inlineStr"/>
      <c r="F12" s="8">
        <f>IF(E12&lt;&gt;"",E12,IF(UPPER(TRIM(C12))="BASIN",IF(UPPER(TRIM(Inputs!$B$52))="YES",Inputs!$B$12,0),IF(UPPER(TRIM(C12))="ROOF",Inputs!$B$10,IF(UPPER(TRIM(C12))="TRESFOND",Inputs!$B$11,IF(UPPER(TRIM(C12))="GRASS",Inputs!$B$12,Inputs!$B$13)))))</f>
        <v/>
      </c>
      <c r="G12" s="7" t="n">
        <v>10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/>
      <c r="K12" s="4" t="inlineStr">
        <is>
          <t>Non contributive par defaut (Inputs!B52=NO). Mettre YES pour sensibilité si requis.</t>
        </is>
      </c>
    </row>
    <row r="13">
      <c r="A13" s="4" t="inlineStr">
        <is>
          <t>Z10</t>
        </is>
      </c>
      <c r="B13" s="4" t="inlineStr">
        <is>
          <t>Sud gris local</t>
        </is>
      </c>
      <c r="C13" s="4" t="inlineStr">
        <is>
          <t>TRESFOND</t>
        </is>
      </c>
      <c r="D13" s="7" t="n">
        <v>44.3</v>
      </c>
      <c r="E13" s="7" t="inlineStr"/>
      <c r="F13" s="8">
        <f>IF(E13&lt;&gt;"",E13,IF(UPPER(TRIM(C13))="BASIN",IF(UPPER(TRIM(Inputs!$B$52))="YES",Inputs!$B$12,0),IF(UPPER(TRIM(C13))="ROOF",Inputs!$B$10,IF(UPPER(TRIM(C13))="TRESFOND",Inputs!$B$11,IF(UPPER(TRIM(C13))="GRASS",Inputs!$B$12,Inputs!$B$13)))))</f>
        <v/>
      </c>
      <c r="G13" s="7" t="n">
        <v>8</v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E04</t>
        </is>
      </c>
      <c r="K13" s="4" t="inlineStr">
        <is>
          <t>Vers noue sud</t>
        </is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IF(E14&lt;&gt;"",E14,IF(UPPER(TRIM(C14))="BASIN",IF(UPPER(TRIM(Inputs!$B$52))="YES",Inputs!$B$12,0),IF(UPPER(TRIM(C14))="ROOF",Inputs!$B$10,IF(UPPER(TRIM(C14))="TRESFOND",Inputs!$B$11,IF(UPPER(TRIM(C14))="GRASS",Inputs!$B$12,Inputs!$B$13)))))</f>
        <v/>
      </c>
      <c r="G14" s="7" t="n">
        <v>10</v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E03</t>
        </is>
      </c>
      <c r="K14" s="4" t="inlineStr">
        <is>
          <t>Vers noue sud</t>
        </is>
      </c>
    </row>
    <row r="15">
      <c r="A15" s="4" t="inlineStr">
        <is>
          <t>Z12</t>
        </is>
      </c>
      <c r="B15" s="4" t="inlineStr">
        <is>
          <t>Sud est gris petit</t>
        </is>
      </c>
      <c r="C15" s="4" t="inlineStr">
        <is>
          <t>TRESFOND</t>
        </is>
      </c>
      <c r="D15" s="7" t="n">
        <v>5.8</v>
      </c>
      <c r="E15" s="7" t="inlineStr"/>
      <c r="F15" s="8">
        <f>IF(E15&lt;&gt;"",E15,IF(UPPER(TRIM(C15))="BASIN",IF(UPPER(TRIM(Inputs!$B$52))="YES",Inputs!$B$12,0),IF(UPPER(TRIM(C15))="ROOF",Inputs!$B$10,IF(UPPER(TRIM(C15))="TRESFOND",Inputs!$B$11,IF(UPPER(TRIM(C15))="GRASS",Inputs!$B$12,Inputs!$B$13)))))</f>
        <v/>
      </c>
      <c r="G15" s="7" t="n">
        <v>8</v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E03</t>
        </is>
      </c>
      <c r="K15" s="4" t="inlineStr">
        <is>
          <t>Vers noue sud</t>
        </is>
      </c>
    </row>
    <row r="16">
      <c r="A16" s="4" t="inlineStr">
        <is>
          <t>Z13</t>
        </is>
      </c>
      <c r="B16" s="4" t="inlineStr">
        <is>
          <t>Tresfond haut central (bande nord centrale)</t>
        </is>
      </c>
      <c r="C16" s="4" t="inlineStr">
        <is>
          <t>TRESFOND</t>
        </is>
      </c>
      <c r="D16" s="7">
        <f>Inputs!$B$51</f>
        <v/>
      </c>
      <c r="E16" s="7" t="n"/>
      <c r="F16" s="8">
        <f>IF(E16&lt;&gt;"",E16,IF(UPPER(TRIM(C16))="BASIN",IF(UPPER(TRIM(Inputs!$B$52))="YES",Inputs!$B$12,0),IF(UPPER(TRIM(C16))="ROOF",Inputs!$B$10,IF(UPPER(TRIM(C16))="TRESFOND",Inputs!$B$11,IF(UPPER(TRIM(C16))="GRASS",Inputs!$B$12,Inputs!$B$13)))))</f>
        <v/>
      </c>
      <c r="G16" s="7" t="n">
        <v>8</v>
      </c>
      <c r="H16" s="8">
        <f>IF(A16="","",Inputs!$B$3/((IF(G16="",Inputs!$B$14,G16)+Inputs!$B$4)^Inputs!$B$5))</f>
        <v/>
      </c>
      <c r="I16" s="8">
        <f>IF(A16="","",2.78E-7*F16*D16*H16)</f>
        <v/>
      </c>
      <c r="J16" s="4" t="inlineStr">
        <is>
          <t>E03</t>
        </is>
      </c>
      <c r="K16" s="4" t="inlineStr">
        <is>
          <t>Ajoute pour inclure le tresfond central haut; saisir aire exacte Inputs!B51.</t>
        </is>
      </c>
    </row>
    <row r="17">
      <c r="A17" s="4" t="n"/>
      <c r="B17" s="4" t="n"/>
      <c r="C17" s="4" t="n"/>
      <c r="D17" s="7" t="n"/>
      <c r="E17" s="7" t="n"/>
      <c r="F17" s="8">
        <f>IF(E17&lt;&gt;"",E17,IF(UPPER(TRIM(C17))="BASIN",IF(UPPER(TRIM(Inputs!$B$52))="YES",Inputs!$B$12,0),IF(UPPER(TRIM(C17))="ROOF",Inputs!$B$10,IF(UPPER(TRIM(C17))="TRESFOND",Inputs!$B$11,IF(UPPER(TRIM(C17))="GRASS",Inputs!$B$12,Inputs!$B$13)))))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IF(E18&lt;&gt;"",E18,IF(UPPER(TRIM(C18))="BASIN",IF(UPPER(TRIM(Inputs!$B$52))="YES",Inputs!$B$12,0),IF(UPPER(TRIM(C18))="ROOF",Inputs!$B$10,IF(UPPER(TRIM(C18))="TRESFOND",Inputs!$B$11,IF(UPPER(TRIM(C18))="GRASS",Inputs!$B$12,Inputs!$B$13)))))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IF(E19&lt;&gt;"",E19,IF(UPPER(TRIM(C19))="BASIN",IF(UPPER(TRIM(Inputs!$B$52))="YES",Inputs!$B$12,0),IF(UPPER(TRIM(C19))="ROOF",Inputs!$B$10,IF(UPPER(TRIM(C19))="TRESFOND",Inputs!$B$11,IF(UPPER(TRIM(C19))="GRASS",Inputs!$B$12,Inputs!$B$13)))))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IF(E20&lt;&gt;"",E20,IF(UPPER(TRIM(C20))="BASIN",IF(UPPER(TRIM(Inputs!$B$52))="YES",Inputs!$B$12,0),IF(UPPER(TRIM(C20))="ROOF",Inputs!$B$10,IF(UPPER(TRIM(C20))="TRESFOND",Inputs!$B$11,IF(UPPER(TRIM(C20))="GRASS",Inputs!$B$12,Inputs!$B$13)))))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IF(E21&lt;&gt;"",E21,IF(UPPER(TRIM(C21))="BASIN",IF(UPPER(TRIM(Inputs!$B$52))="YES",Inputs!$B$12,0),IF(UPPER(TRIM(C21))="ROOF",Inputs!$B$10,IF(UPPER(TRIM(C21))="TRESFOND",Inputs!$B$11,IF(UPPER(TRIM(C21))="GRASS",Inputs!$B$12,Inputs!$B$13)))))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IF(E22&lt;&gt;"",E22,IF(UPPER(TRIM(C22))="BASIN",IF(UPPER(TRIM(Inputs!$B$52))="YES",Inputs!$B$12,0),IF(UPPER(TRIM(C22))="ROOF",Inputs!$B$10,IF(UPPER(TRIM(C22))="TRESFOND",Inputs!$B$11,IF(UPPER(TRIM(C22))="GRASS",Inputs!$B$12,Inputs!$B$13)))))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IF(E23&lt;&gt;"",E23,IF(UPPER(TRIM(C23))="BASIN",IF(UPPER(TRIM(Inputs!$B$52))="YES",Inputs!$B$12,0),IF(UPPER(TRIM(C23))="ROOF",Inputs!$B$10,IF(UPPER(TRIM(C23))="TRESFOND",Inputs!$B$11,IF(UPPER(TRIM(C23))="GRASS",Inputs!$B$12,Inputs!$B$13)))))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IF(E24&lt;&gt;"",E24,IF(UPPER(TRIM(C24))="BASIN",IF(UPPER(TRIM(Inputs!$B$52))="YES",Inputs!$B$12,0),IF(UPPER(TRIM(C24))="ROOF",Inputs!$B$10,IF(UPPER(TRIM(C24))="TRESFOND",Inputs!$B$11,IF(UPPER(TRIM(C24))="GRASS",Inputs!$B$12,Inputs!$B$13)))))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IF(E25&lt;&gt;"",E25,IF(UPPER(TRIM(C25))="BASIN",IF(UPPER(TRIM(Inputs!$B$52))="YES",Inputs!$B$12,0),IF(UPPER(TRIM(C25))="ROOF",Inputs!$B$10,IF(UPPER(TRIM(C25))="TRESFOND",Inputs!$B$11,IF(UPPER(TRIM(C25))="GRASS",Inputs!$B$12,Inputs!$B$13)))))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IF(E26&lt;&gt;"",E26,IF(UPPER(TRIM(C26))="BASIN",IF(UPPER(TRIM(Inputs!$B$52))="YES",Inputs!$B$12,0),IF(UPPER(TRIM(C26))="ROOF",Inputs!$B$10,IF(UPPER(TRIM(C26))="TRESFOND",Inputs!$B$11,IF(UPPER(TRIM(C26))="GRASS",Inputs!$B$12,Inputs!$B$13)))))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IF(E27&lt;&gt;"",E27,IF(UPPER(TRIM(C27))="BASIN",IF(UPPER(TRIM(Inputs!$B$52))="YES",Inputs!$B$12,0),IF(UPPER(TRIM(C27))="ROOF",Inputs!$B$10,IF(UPPER(TRIM(C27))="TRESFOND",Inputs!$B$11,IF(UPPER(TRIM(C27))="GRASS",Inputs!$B$12,Inputs!$B$13)))))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IF(E28&lt;&gt;"",E28,IF(UPPER(TRIM(C28))="BASIN",IF(UPPER(TRIM(Inputs!$B$52))="YES",Inputs!$B$12,0),IF(UPPER(TRIM(C28))="ROOF",Inputs!$B$10,IF(UPPER(TRIM(C28))="TRESFOND",Inputs!$B$11,IF(UPPER(TRIM(C28))="GRASS",Inputs!$B$12,Inputs!$B$13)))))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IF(E29&lt;&gt;"",E29,IF(UPPER(TRIM(C29))="BASIN",IF(UPPER(TRIM(Inputs!$B$52))="YES",Inputs!$B$12,0),IF(UPPER(TRIM(C29))="ROOF",Inputs!$B$10,IF(UPPER(TRIM(C29))="TRESFOND",Inputs!$B$11,IF(UPPER(TRIM(C29))="GRASS",Inputs!$B$12,Inputs!$B$13)))))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IF(E30&lt;&gt;"",E30,IF(UPPER(TRIM(C30))="BASIN",IF(UPPER(TRIM(Inputs!$B$52))="YES",Inputs!$B$12,0),IF(UPPER(TRIM(C30))="ROOF",Inputs!$B$10,IF(UPPER(TRIM(C30))="TRESFOND",Inputs!$B$11,IF(UPPER(TRIM(C30))="GRASS",Inputs!$B$12,Inputs!$B$13)))))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IF(E31&lt;&gt;"",E31,IF(UPPER(TRIM(C31))="BASIN",IF(UPPER(TRIM(Inputs!$B$52))="YES",Inputs!$B$12,0),IF(UPPER(TRIM(C31))="ROOF",Inputs!$B$10,IF(UPPER(TRIM(C31))="TRESFOND",Inputs!$B$11,IF(UPPER(TRIM(C31))="GRASS",Inputs!$B$12,Inputs!$B$13)))))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IF(E32&lt;&gt;"",E32,IF(UPPER(TRIM(C32))="BASIN",IF(UPPER(TRIM(Inputs!$B$52))="YES",Inputs!$B$12,0),IF(UPPER(TRIM(C32))="ROOF",Inputs!$B$10,IF(UPPER(TRIM(C32))="TRESFOND",Inputs!$B$11,IF(UPPER(TRIM(C32))="GRASS",Inputs!$B$12,Inputs!$B$13)))))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IF(E33&lt;&gt;"",E33,IF(UPPER(TRIM(C33))="BASIN",IF(UPPER(TRIM(Inputs!$B$52))="YES",Inputs!$B$12,0),IF(UPPER(TRIM(C33))="ROOF",Inputs!$B$10,IF(UPPER(TRIM(C33))="TRESFOND",Inputs!$B$11,IF(UPPER(TRIM(C33))="GRASS",Inputs!$B$12,Inputs!$B$13)))))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IF(E34&lt;&gt;"",E34,IF(UPPER(TRIM(C34))="BASIN",IF(UPPER(TRIM(Inputs!$B$52))="YES",Inputs!$B$12,0),IF(UPPER(TRIM(C34))="ROOF",Inputs!$B$10,IF(UPPER(TRIM(C34))="TRESFOND",Inputs!$B$11,IF(UPPER(TRIM(C34))="GRASS",Inputs!$B$12,Inputs!$B$13)))))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IF(E35&lt;&gt;"",E35,IF(UPPER(TRIM(C35))="BASIN",IF(UPPER(TRIM(Inputs!$B$52))="YES",Inputs!$B$12,0),IF(UPPER(TRIM(C35))="ROOF",Inputs!$B$10,IF(UPPER(TRIM(C35))="TRESFOND",Inputs!$B$11,IF(UPPER(TRIM(C35))="GRASS",Inputs!$B$12,Inputs!$B$13)))))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IF(E36&lt;&gt;"",E36,IF(UPPER(TRIM(C36))="BASIN",IF(UPPER(TRIM(Inputs!$B$52))="YES",Inputs!$B$12,0),IF(UPPER(TRIM(C36))="ROOF",Inputs!$B$10,IF(UPPER(TRIM(C36))="TRESFOND",Inputs!$B$11,IF(UPPER(TRIM(C36))="GRASS",Inputs!$B$12,Inputs!$B$13)))))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IF(E37&lt;&gt;"",E37,IF(UPPER(TRIM(C37))="BASIN",IF(UPPER(TRIM(Inputs!$B$52))="YES",Inputs!$B$12,0),IF(UPPER(TRIM(C37))="ROOF",Inputs!$B$10,IF(UPPER(TRIM(C37))="TRESFOND",Inputs!$B$11,IF(UPPER(TRIM(C37))="GRASS",Inputs!$B$12,Inputs!$B$13)))))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IF(E38&lt;&gt;"",E38,IF(UPPER(TRIM(C38))="BASIN",IF(UPPER(TRIM(Inputs!$B$52))="YES",Inputs!$B$12,0),IF(UPPER(TRIM(C38))="ROOF",Inputs!$B$10,IF(UPPER(TRIM(C38))="TRESFOND",Inputs!$B$11,IF(UPPER(TRIM(C38))="GRASS",Inputs!$B$12,Inputs!$B$13)))))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IF(E39&lt;&gt;"",E39,IF(UPPER(TRIM(C39))="BASIN",IF(UPPER(TRIM(Inputs!$B$52))="YES",Inputs!$B$12,0),IF(UPPER(TRIM(C39))="ROOF",Inputs!$B$10,IF(UPPER(TRIM(C39))="TRESFOND",Inputs!$B$11,IF(UPPER(TRIM(C39))="GRASS",Inputs!$B$12,Inputs!$B$13)))))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IF(E40&lt;&gt;"",E40,IF(UPPER(TRIM(C40))="BASIN",IF(UPPER(TRIM(Inputs!$B$52))="YES",Inputs!$B$12,0),IF(UPPER(TRIM(C40))="ROOF",Inputs!$B$10,IF(UPPER(TRIM(C40))="TRESFOND",Inputs!$B$11,IF(UPPER(TRIM(C40))="GRASS",Inputs!$B$12,Inputs!$B$13)))))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IF(E41&lt;&gt;"",E41,IF(UPPER(TRIM(C41))="BASIN",IF(UPPER(TRIM(Inputs!$B$52))="YES",Inputs!$B$12,0),IF(UPPER(TRIM(C41))="ROOF",Inputs!$B$10,IF(UPPER(TRIM(C41))="TRESFOND",Inputs!$B$11,IF(UPPER(TRIM(C41))="GRASS",Inputs!$B$12,Inputs!$B$13)))))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IF(E42&lt;&gt;"",E42,IF(UPPER(TRIM(C42))="BASIN",IF(UPPER(TRIM(Inputs!$B$52))="YES",Inputs!$B$12,0),IF(UPPER(TRIM(C42))="ROOF",Inputs!$B$10,IF(UPPER(TRIM(C42))="TRESFOND",Inputs!$B$11,IF(UPPER(TRIM(C42))="GRASS",Inputs!$B$12,Inputs!$B$13)))))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IF(E43&lt;&gt;"",E43,IF(UPPER(TRIM(C43))="BASIN",IF(UPPER(TRIM(Inputs!$B$52))="YES",Inputs!$B$12,0),IF(UPPER(TRIM(C43))="ROOF",Inputs!$B$10,IF(UPPER(TRIM(C43))="TRESFOND",Inputs!$B$11,IF(UPPER(TRIM(C43))="GRASS",Inputs!$B$12,Inputs!$B$13)))))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IF(E44&lt;&gt;"",E44,IF(UPPER(TRIM(C44))="BASIN",IF(UPPER(TRIM(Inputs!$B$52))="YES",Inputs!$B$12,0),IF(UPPER(TRIM(C44))="ROOF",Inputs!$B$10,IF(UPPER(TRIM(C44))="TRESFOND",Inputs!$B$11,IF(UPPER(TRIM(C44))="GRASS",Inputs!$B$12,Inputs!$B$13)))))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IF(E45&lt;&gt;"",E45,IF(UPPER(TRIM(C45))="BASIN",IF(UPPER(TRIM(Inputs!$B$52))="YES",Inputs!$B$12,0),IF(UPPER(TRIM(C45))="ROOF",Inputs!$B$10,IF(UPPER(TRIM(C45))="TRESFOND",Inputs!$B$11,IF(UPPER(TRIM(C45))="GRASS",Inputs!$B$12,Inputs!$B$13)))))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IF(E46&lt;&gt;"",E46,IF(UPPER(TRIM(C46))="BASIN",IF(UPPER(TRIM(Inputs!$B$52))="YES",Inputs!$B$12,0),IF(UPPER(TRIM(C46))="ROOF",Inputs!$B$10,IF(UPPER(TRIM(C46))="TRESFOND",Inputs!$B$11,IF(UPPER(TRIM(C46))="GRASS",Inputs!$B$12,Inputs!$B$13)))))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IF(E47&lt;&gt;"",E47,IF(UPPER(TRIM(C47))="BASIN",IF(UPPER(TRIM(Inputs!$B$52))="YES",Inputs!$B$12,0),IF(UPPER(TRIM(C47))="ROOF",Inputs!$B$10,IF(UPPER(TRIM(C47))="TRESFOND",Inputs!$B$11,IF(UPPER(TRIM(C47))="GRASS",Inputs!$B$12,Inputs!$B$13)))))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IF(E48&lt;&gt;"",E48,IF(UPPER(TRIM(C48))="BASIN",IF(UPPER(TRIM(Inputs!$B$52))="YES",Inputs!$B$12,0),IF(UPPER(TRIM(C48))="ROOF",Inputs!$B$10,IF(UPPER(TRIM(C48))="TRESFOND",Inputs!$B$11,IF(UPPER(TRIM(C48))="GRASS",Inputs!$B$12,Inputs!$B$13)))))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IF(E49&lt;&gt;"",E49,IF(UPPER(TRIM(C49))="BASIN",IF(UPPER(TRIM(Inputs!$B$52))="YES",Inputs!$B$12,0),IF(UPPER(TRIM(C49))="ROOF",Inputs!$B$10,IF(UPPER(TRIM(C49))="TRESFOND",Inputs!$B$11,IF(UPPER(TRIM(C49))="GRASS",Inputs!$B$12,Inputs!$B$13)))))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IF(E50&lt;&gt;"",E50,IF(UPPER(TRIM(C50))="BASIN",IF(UPPER(TRIM(Inputs!$B$52))="YES",Inputs!$B$12,0),IF(UPPER(TRIM(C50))="ROOF",Inputs!$B$10,IF(UPPER(TRIM(C50))="TRESFOND",Inputs!$B$11,IF(UPPER(TRIM(C50))="GRASS",Inputs!$B$12,Inputs!$B$13)))))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IF(E51&lt;&gt;"",E51,IF(UPPER(TRIM(C51))="BASIN",IF(UPPER(TRIM(Inputs!$B$52))="YES",Inputs!$B$12,0),IF(UPPER(TRIM(C51))="ROOF",Inputs!$B$10,IF(UPPER(TRIM(C51))="TRESFOND",Inputs!$B$11,IF(UPPER(TRIM(C51))="GRASS",Inputs!$B$12,Inputs!$B$13)))))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IF(E52&lt;&gt;"",E52,IF(UPPER(TRIM(C52))="BASIN",IF(UPPER(TRIM(Inputs!$B$52))="YES",Inputs!$B$12,0),IF(UPPER(TRIM(C52))="ROOF",Inputs!$B$10,IF(UPPER(TRIM(C52))="TRESFOND",Inputs!$B$11,IF(UPPER(TRIM(C52))="GRASS",Inputs!$B$12,Inputs!$B$13)))))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IF(E53&lt;&gt;"",E53,IF(UPPER(TRIM(C53))="BASIN",IF(UPPER(TRIM(Inputs!$B$52))="YES",Inputs!$B$12,0),IF(UPPER(TRIM(C53))="ROOF",Inputs!$B$10,IF(UPPER(TRIM(C53))="TRESFOND",Inputs!$B$11,IF(UPPER(TRIM(C53))="GRASS",Inputs!$B$12,Inputs!$B$13)))))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IF(E54&lt;&gt;"",E54,IF(UPPER(TRIM(C54))="BASIN",IF(UPPER(TRIM(Inputs!$B$52))="YES",Inputs!$B$12,0),IF(UPPER(TRIM(C54))="ROOF",Inputs!$B$10,IF(UPPER(TRIM(C54))="TRESFOND",Inputs!$B$11,IF(UPPER(TRIM(C54))="GRASS",Inputs!$B$12,Inputs!$B$13)))))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IF(E55&lt;&gt;"",E55,IF(UPPER(TRIM(C55))="BASIN",IF(UPPER(TRIM(Inputs!$B$52))="YES",Inputs!$B$12,0),IF(UPPER(TRIM(C55))="ROOF",Inputs!$B$10,IF(UPPER(TRIM(C55))="TRESFOND",Inputs!$B$11,IF(UPPER(TRIM(C55))="GRASS",Inputs!$B$12,Inputs!$B$13)))))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IF(E56&lt;&gt;"",E56,IF(UPPER(TRIM(C56))="BASIN",IF(UPPER(TRIM(Inputs!$B$52))="YES",Inputs!$B$12,0),IF(UPPER(TRIM(C56))="ROOF",Inputs!$B$10,IF(UPPER(TRIM(C56))="TRESFOND",Inputs!$B$11,IF(UPPER(TRIM(C56))="GRASS",Inputs!$B$12,Inputs!$B$13)))))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IF(E57&lt;&gt;"",E57,IF(UPPER(TRIM(C57))="BASIN",IF(UPPER(TRIM(Inputs!$B$52))="YES",Inputs!$B$12,0),IF(UPPER(TRIM(C57))="ROOF",Inputs!$B$10,IF(UPPER(TRIM(C57))="TRESFOND",Inputs!$B$11,IF(UPPER(TRIM(C57))="GRASS",Inputs!$B$12,Inputs!$B$13)))))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IF(E58&lt;&gt;"",E58,IF(UPPER(TRIM(C58))="BASIN",IF(UPPER(TRIM(Inputs!$B$52))="YES",Inputs!$B$12,0),IF(UPPER(TRIM(C58))="ROOF",Inputs!$B$10,IF(UPPER(TRIM(C58))="TRESFOND",Inputs!$B$11,IF(UPPER(TRIM(C58))="GRASS",Inputs!$B$12,Inputs!$B$13)))))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IF(E59&lt;&gt;"",E59,IF(UPPER(TRIM(C59))="BASIN",IF(UPPER(TRIM(Inputs!$B$52))="YES",Inputs!$B$12,0),IF(UPPER(TRIM(C59))="ROOF",Inputs!$B$10,IF(UPPER(TRIM(C59))="TRESFOND",Inputs!$B$11,IF(UPPER(TRIM(C59))="GRASS",Inputs!$B$12,Inputs!$B$13)))))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IF(E60&lt;&gt;"",E60,IF(UPPER(TRIM(C60))="BASIN",IF(UPPER(TRIM(Inputs!$B$52))="YES",Inputs!$B$12,0),IF(UPPER(TRIM(C60))="ROOF",Inputs!$B$10,IF(UPPER(TRIM(C60))="TRESFOND",Inputs!$B$11,IF(UPPER(TRIM(C60))="GRASS",Inputs!$B$12,Inputs!$B$13)))))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IF(E61&lt;&gt;"",E61,IF(UPPER(TRIM(C61))="BASIN",IF(UPPER(TRIM(Inputs!$B$52))="YES",Inputs!$B$12,0),IF(UPPER(TRIM(C61))="ROOF",Inputs!$B$10,IF(UPPER(TRIM(C61))="TRESFOND",Inputs!$B$11,IF(UPPER(TRIM(C61))="GRASS",Inputs!$B$12,Inputs!$B$13)))))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IF(E62&lt;&gt;"",E62,IF(UPPER(TRIM(C62))="BASIN",IF(UPPER(TRIM(Inputs!$B$52))="YES",Inputs!$B$12,0),IF(UPPER(TRIM(C62))="ROOF",Inputs!$B$10,IF(UPPER(TRIM(C62))="TRESFOND",Inputs!$B$11,IF(UPPER(TRIM(C62))="GRASS",Inputs!$B$12,Inputs!$B$13)))))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IF(E63&lt;&gt;"",E63,IF(UPPER(TRIM(C63))="BASIN",IF(UPPER(TRIM(Inputs!$B$52))="YES",Inputs!$B$12,0),IF(UPPER(TRIM(C63))="ROOF",Inputs!$B$10,IF(UPPER(TRIM(C63))="TRESFOND",Inputs!$B$11,IF(UPPER(TRIM(C63))="GRASS",Inputs!$B$12,Inputs!$B$13)))))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IF(E64&lt;&gt;"",E64,IF(UPPER(TRIM(C64))="BASIN",IF(UPPER(TRIM(Inputs!$B$52))="YES",Inputs!$B$12,0),IF(UPPER(TRIM(C64))="ROOF",Inputs!$B$10,IF(UPPER(TRIM(C64))="TRESFOND",Inputs!$B$11,IF(UPPER(TRIM(C64))="GRASS",Inputs!$B$12,Inputs!$B$13)))))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IF(E65&lt;&gt;"",E65,IF(UPPER(TRIM(C65))="BASIN",IF(UPPER(TRIM(Inputs!$B$52))="YES",Inputs!$B$12,0),IF(UPPER(TRIM(C65))="ROOF",Inputs!$B$10,IF(UPPER(TRIM(C65))="TRESFOND",Inputs!$B$11,IF(UPPER(TRIM(C65))="GRASS",Inputs!$B$12,Inputs!$B$13)))))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IF(E66&lt;&gt;"",E66,IF(UPPER(TRIM(C66))="BASIN",IF(UPPER(TRIM(Inputs!$B$52))="YES",Inputs!$B$12,0),IF(UPPER(TRIM(C66))="ROOF",Inputs!$B$10,IF(UPPER(TRIM(C66))="TRESFOND",Inputs!$B$11,IF(UPPER(TRIM(C66))="GRASS",Inputs!$B$12,Inputs!$B$13)))))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IF(E67&lt;&gt;"",E67,IF(UPPER(TRIM(C67))="BASIN",IF(UPPER(TRIM(Inputs!$B$52))="YES",Inputs!$B$12,0),IF(UPPER(TRIM(C67))="ROOF",Inputs!$B$10,IF(UPPER(TRIM(C67))="TRESFOND",Inputs!$B$11,IF(UPPER(TRIM(C67))="GRASS",Inputs!$B$12,Inputs!$B$13)))))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IF(E68&lt;&gt;"",E68,IF(UPPER(TRIM(C68))="BASIN",IF(UPPER(TRIM(Inputs!$B$52))="YES",Inputs!$B$12,0),IF(UPPER(TRIM(C68))="ROOF",Inputs!$B$10,IF(UPPER(TRIM(C68))="TRESFOND",Inputs!$B$11,IF(UPPER(TRIM(C68))="GRASS",Inputs!$B$12,Inputs!$B$13)))))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IF(E69&lt;&gt;"",E69,IF(UPPER(TRIM(C69))="BASIN",IF(UPPER(TRIM(Inputs!$B$52))="YES",Inputs!$B$12,0),IF(UPPER(TRIM(C69))="ROOF",Inputs!$B$10,IF(UPPER(TRIM(C69))="TRESFOND",Inputs!$B$11,IF(UPPER(TRIM(C69))="GRASS",Inputs!$B$12,Inputs!$B$13)))))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IF(E70&lt;&gt;"",E70,IF(UPPER(TRIM(C70))="BASIN",IF(UPPER(TRIM(Inputs!$B$52))="YES",Inputs!$B$12,0),IF(UPPER(TRIM(C70))="ROOF",Inputs!$B$10,IF(UPPER(TRIM(C70))="TRESFOND",Inputs!$B$11,IF(UPPER(TRIM(C70))="GRASS",Inputs!$B$12,Inputs!$B$13)))))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IF(E71&lt;&gt;"",E71,IF(UPPER(TRIM(C71))="BASIN",IF(UPPER(TRIM(Inputs!$B$52))="YES",Inputs!$B$12,0),IF(UPPER(TRIM(C71))="ROOF",Inputs!$B$10,IF(UPPER(TRIM(C71))="TRESFOND",Inputs!$B$11,IF(UPPER(TRIM(C71))="GRASS",Inputs!$B$12,Inputs!$B$13)))))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IF(E72&lt;&gt;"",E72,IF(UPPER(TRIM(C72))="BASIN",IF(UPPER(TRIM(Inputs!$B$52))="YES",Inputs!$B$12,0),IF(UPPER(TRIM(C72))="ROOF",Inputs!$B$10,IF(UPPER(TRIM(C72))="TRESFOND",Inputs!$B$11,IF(UPPER(TRIM(C72))="GRASS",Inputs!$B$12,Inputs!$B$13)))))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IF(E73&lt;&gt;"",E73,IF(UPPER(TRIM(C73))="BASIN",IF(UPPER(TRIM(Inputs!$B$52))="YES",Inputs!$B$12,0),IF(UPPER(TRIM(C73))="ROOF",Inputs!$B$10,IF(UPPER(TRIM(C73))="TRESFOND",Inputs!$B$11,IF(UPPER(TRIM(C73))="GRASS",Inputs!$B$12,Inputs!$B$13)))))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IF(E74&lt;&gt;"",E74,IF(UPPER(TRIM(C74))="BASIN",IF(UPPER(TRIM(Inputs!$B$52))="YES",Inputs!$B$12,0),IF(UPPER(TRIM(C74))="ROOF",Inputs!$B$10,IF(UPPER(TRIM(C74))="TRESFOND",Inputs!$B$11,IF(UPPER(TRIM(C74))="GRASS",Inputs!$B$12,Inputs!$B$13)))))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IF(E75&lt;&gt;"",E75,IF(UPPER(TRIM(C75))="BASIN",IF(UPPER(TRIM(Inputs!$B$52))="YES",Inputs!$B$12,0),IF(UPPER(TRIM(C75))="ROOF",Inputs!$B$10,IF(UPPER(TRIM(C75))="TRESFOND",Inputs!$B$11,IF(UPPER(TRIM(C75))="GRASS",Inputs!$B$12,Inputs!$B$13)))))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IF(E76&lt;&gt;"",E76,IF(UPPER(TRIM(C76))="BASIN",IF(UPPER(TRIM(Inputs!$B$52))="YES",Inputs!$B$12,0),IF(UPPER(TRIM(C76))="ROOF",Inputs!$B$10,IF(UPPER(TRIM(C76))="TRESFOND",Inputs!$B$11,IF(UPPER(TRIM(C76))="GRASS",Inputs!$B$12,Inputs!$B$13)))))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IF(E77&lt;&gt;"",E77,IF(UPPER(TRIM(C77))="BASIN",IF(UPPER(TRIM(Inputs!$B$52))="YES",Inputs!$B$12,0),IF(UPPER(TRIM(C77))="ROOF",Inputs!$B$10,IF(UPPER(TRIM(C77))="TRESFOND",Inputs!$B$11,IF(UPPER(TRIM(C77))="GRASS",Inputs!$B$12,Inputs!$B$13)))))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IF(E78&lt;&gt;"",E78,IF(UPPER(TRIM(C78))="BASIN",IF(UPPER(TRIM(Inputs!$B$52))="YES",Inputs!$B$12,0),IF(UPPER(TRIM(C78))="ROOF",Inputs!$B$10,IF(UPPER(TRIM(C78))="TRESFOND",Inputs!$B$11,IF(UPPER(TRIM(C78))="GRASS",Inputs!$B$12,Inputs!$B$13)))))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IF(E79&lt;&gt;"",E79,IF(UPPER(TRIM(C79))="BASIN",IF(UPPER(TRIM(Inputs!$B$52))="YES",Inputs!$B$12,0),IF(UPPER(TRIM(C79))="ROOF",Inputs!$B$10,IF(UPPER(TRIM(C79))="TRESFOND",Inputs!$B$11,IF(UPPER(TRIM(C79))="GRASS",Inputs!$B$12,Inputs!$B$13)))))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IF(E80&lt;&gt;"",E80,IF(UPPER(TRIM(C80))="BASIN",IF(UPPER(TRIM(Inputs!$B$52))="YES",Inputs!$B$12,0),IF(UPPER(TRIM(C80))="ROOF",Inputs!$B$10,IF(UPPER(TRIM(C80))="TRESFOND",Inputs!$B$11,IF(UPPER(TRIM(C80))="GRASS",Inputs!$B$12,Inputs!$B$13)))))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IF(E81&lt;&gt;"",E81,IF(UPPER(TRIM(C81))="BASIN",IF(UPPER(TRIM(Inputs!$B$52))="YES",Inputs!$B$12,0),IF(UPPER(TRIM(C81))="ROOF",Inputs!$B$10,IF(UPPER(TRIM(C81))="TRESFOND",Inputs!$B$11,IF(UPPER(TRIM(C81))="GRASS",Inputs!$B$12,Inputs!$B$13)))))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IF(E82&lt;&gt;"",E82,IF(UPPER(TRIM(C82))="BASIN",IF(UPPER(TRIM(Inputs!$B$52))="YES",Inputs!$B$12,0),IF(UPPER(TRIM(C82))="ROOF",Inputs!$B$10,IF(UPPER(TRIM(C82))="TRESFOND",Inputs!$B$11,IF(UPPER(TRIM(C82))="GRASS",Inputs!$B$12,Inputs!$B$13)))))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IF(E83&lt;&gt;"",E83,IF(UPPER(TRIM(C83))="BASIN",IF(UPPER(TRIM(Inputs!$B$52))="YES",Inputs!$B$12,0),IF(UPPER(TRIM(C83))="ROOF",Inputs!$B$10,IF(UPPER(TRIM(C83))="TRESFOND",Inputs!$B$11,IF(UPPER(TRIM(C83))="GRASS",Inputs!$B$12,Inputs!$B$13)))))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IF(E84&lt;&gt;"",E84,IF(UPPER(TRIM(C84))="BASIN",IF(UPPER(TRIM(Inputs!$B$52))="YES",Inputs!$B$12,0),IF(UPPER(TRIM(C84))="ROOF",Inputs!$B$10,IF(UPPER(TRIM(C84))="TRESFOND",Inputs!$B$11,IF(UPPER(TRIM(C84))="GRASS",Inputs!$B$12,Inputs!$B$13)))))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IF(E85&lt;&gt;"",E85,IF(UPPER(TRIM(C85))="BASIN",IF(UPPER(TRIM(Inputs!$B$52))="YES",Inputs!$B$12,0),IF(UPPER(TRIM(C85))="ROOF",Inputs!$B$10,IF(UPPER(TRIM(C85))="TRESFOND",Inputs!$B$11,IF(UPPER(TRIM(C85))="GRASS",Inputs!$B$12,Inputs!$B$13)))))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IF(E86&lt;&gt;"",E86,IF(UPPER(TRIM(C86))="BASIN",IF(UPPER(TRIM(Inputs!$B$52))="YES",Inputs!$B$12,0),IF(UPPER(TRIM(C86))="ROOF",Inputs!$B$10,IF(UPPER(TRIM(C86))="TRESFOND",Inputs!$B$11,IF(UPPER(TRIM(C86))="GRASS",Inputs!$B$12,Inputs!$B$13)))))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IF(E87&lt;&gt;"",E87,IF(UPPER(TRIM(C87))="BASIN",IF(UPPER(TRIM(Inputs!$B$52))="YES",Inputs!$B$12,0),IF(UPPER(TRIM(C87))="ROOF",Inputs!$B$10,IF(UPPER(TRIM(C87))="TRESFOND",Inputs!$B$11,IF(UPPER(TRIM(C87))="GRASS",Inputs!$B$12,Inputs!$B$13)))))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IF(E88&lt;&gt;"",E88,IF(UPPER(TRIM(C88))="BASIN",IF(UPPER(TRIM(Inputs!$B$52))="YES",Inputs!$B$12,0),IF(UPPER(TRIM(C88))="ROOF",Inputs!$B$10,IF(UPPER(TRIM(C88))="TRESFOND",Inputs!$B$11,IF(UPPER(TRIM(C88))="GRASS",Inputs!$B$12,Inputs!$B$13)))))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IF(E89&lt;&gt;"",E89,IF(UPPER(TRIM(C89))="BASIN",IF(UPPER(TRIM(Inputs!$B$52))="YES",Inputs!$B$12,0),IF(UPPER(TRIM(C89))="ROOF",Inputs!$B$10,IF(UPPER(TRIM(C89))="TRESFOND",Inputs!$B$11,IF(UPPER(TRIM(C89))="GRASS",Inputs!$B$12,Inputs!$B$13)))))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IF(E90&lt;&gt;"",E90,IF(UPPER(TRIM(C90))="BASIN",IF(UPPER(TRIM(Inputs!$B$52))="YES",Inputs!$B$12,0),IF(UPPER(TRIM(C90))="ROOF",Inputs!$B$10,IF(UPPER(TRIM(C90))="TRESFOND",Inputs!$B$11,IF(UPPER(TRIM(C90))="GRASS",Inputs!$B$12,Inputs!$B$13)))))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IF(E91&lt;&gt;"",E91,IF(UPPER(TRIM(C91))="BASIN",IF(UPPER(TRIM(Inputs!$B$52))="YES",Inputs!$B$12,0),IF(UPPER(TRIM(C91))="ROOF",Inputs!$B$10,IF(UPPER(TRIM(C91))="TRESFOND",Inputs!$B$11,IF(UPPER(TRIM(C91))="GRASS",Inputs!$B$12,Inputs!$B$13)))))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IF(E92&lt;&gt;"",E92,IF(UPPER(TRIM(C92))="BASIN",IF(UPPER(TRIM(Inputs!$B$52))="YES",Inputs!$B$12,0),IF(UPPER(TRIM(C92))="ROOF",Inputs!$B$10,IF(UPPER(TRIM(C92))="TRESFOND",Inputs!$B$11,IF(UPPER(TRIM(C92))="GRASS",Inputs!$B$12,Inputs!$B$13)))))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IF(E93&lt;&gt;"",E93,IF(UPPER(TRIM(C93))="BASIN",IF(UPPER(TRIM(Inputs!$B$52))="YES",Inputs!$B$12,0),IF(UPPER(TRIM(C93))="ROOF",Inputs!$B$10,IF(UPPER(TRIM(C93))="TRESFOND",Inputs!$B$11,IF(UPPER(TRIM(C93))="GRASS",Inputs!$B$12,Inputs!$B$13)))))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IF(E94&lt;&gt;"",E94,IF(UPPER(TRIM(C94))="BASIN",IF(UPPER(TRIM(Inputs!$B$52))="YES",Inputs!$B$12,0),IF(UPPER(TRIM(C94))="ROOF",Inputs!$B$10,IF(UPPER(TRIM(C94))="TRESFOND",Inputs!$B$11,IF(UPPER(TRIM(C94))="GRASS",Inputs!$B$12,Inputs!$B$13)))))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IF(E95&lt;&gt;"",E95,IF(UPPER(TRIM(C95))="BASIN",IF(UPPER(TRIM(Inputs!$B$52))="YES",Inputs!$B$12,0),IF(UPPER(TRIM(C95))="ROOF",Inputs!$B$10,IF(UPPER(TRIM(C95))="TRESFOND",Inputs!$B$11,IF(UPPER(TRIM(C95))="GRASS",Inputs!$B$12,Inputs!$B$13)))))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IF(E96&lt;&gt;"",E96,IF(UPPER(TRIM(C96))="BASIN",IF(UPPER(TRIM(Inputs!$B$52))="YES",Inputs!$B$12,0),IF(UPPER(TRIM(C96))="ROOF",Inputs!$B$10,IF(UPPER(TRIM(C96))="TRESFOND",Inputs!$B$11,IF(UPPER(TRIM(C96))="GRASS",Inputs!$B$12,Inputs!$B$13)))))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IF(E97&lt;&gt;"",E97,IF(UPPER(TRIM(C97))="BASIN",IF(UPPER(TRIM(Inputs!$B$52))="YES",Inputs!$B$12,0),IF(UPPER(TRIM(C97))="ROOF",Inputs!$B$10,IF(UPPER(TRIM(C97))="TRESFOND",Inputs!$B$11,IF(UPPER(TRIM(C97))="GRASS",Inputs!$B$12,Inputs!$B$13)))))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IF(E98&lt;&gt;"",E98,IF(UPPER(TRIM(C98))="BASIN",IF(UPPER(TRIM(Inputs!$B$52))="YES",Inputs!$B$12,0),IF(UPPER(TRIM(C98))="ROOF",Inputs!$B$10,IF(UPPER(TRIM(C98))="TRESFOND",Inputs!$B$11,IF(UPPER(TRIM(C98))="GRASS",Inputs!$B$12,Inputs!$B$13)))))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IF(E99&lt;&gt;"",E99,IF(UPPER(TRIM(C99))="BASIN",IF(UPPER(TRIM(Inputs!$B$52))="YES",Inputs!$B$12,0),IF(UPPER(TRIM(C99))="ROOF",Inputs!$B$10,IF(UPPER(TRIM(C99))="TRESFOND",Inputs!$B$11,IF(UPPER(TRIM(C99))="GRASS",Inputs!$B$12,Inputs!$B$13)))))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IF(E100&lt;&gt;"",E100,IF(UPPER(TRIM(C100))="BASIN",IF(UPPER(TRIM(Inputs!$B$52))="YES",Inputs!$B$12,0),IF(UPPER(TRIM(C100))="ROOF",Inputs!$B$10,IF(UPPER(TRIM(C100))="TRESFOND",Inputs!$B$11,IF(UPPER(TRIM(C100))="GRASS",Inputs!$B$12,Inputs!$B$13)))))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IF(E101&lt;&gt;"",E101,IF(UPPER(TRIM(C101))="BASIN",IF(UPPER(TRIM(Inputs!$B$52))="YES",Inputs!$B$12,0),IF(UPPER(TRIM(C101))="ROOF",Inputs!$B$10,IF(UPPER(TRIM(C101))="TRESFOND",Inputs!$B$11,IF(UPPER(TRIM(C101))="GRASS",Inputs!$B$12,Inputs!$B$13)))))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IF(E102&lt;&gt;"",E102,IF(UPPER(TRIM(C102))="BASIN",IF(UPPER(TRIM(Inputs!$B$52))="YES",Inputs!$B$12,0),IF(UPPER(TRIM(C102))="ROOF",Inputs!$B$10,IF(UPPER(TRIM(C102))="TRESFOND",Inputs!$B$11,IF(UPPER(TRIM(C102))="GRASS",Inputs!$B$12,Inputs!$B$13)))))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IF(E103&lt;&gt;"",E103,IF(UPPER(TRIM(C103))="BASIN",IF(UPPER(TRIM(Inputs!$B$52))="YES",Inputs!$B$12,0),IF(UPPER(TRIM(C103))="ROOF",Inputs!$B$10,IF(UPPER(TRIM(C103))="TRESFOND",Inputs!$B$11,IF(UPPER(TRIM(C103))="GRASS",Inputs!$B$12,Inputs!$B$13)))))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IF(E104&lt;&gt;"",E104,IF(UPPER(TRIM(C104))="BASIN",IF(UPPER(TRIM(Inputs!$B$52))="YES",Inputs!$B$12,0),IF(UPPER(TRIM(C104))="ROOF",Inputs!$B$10,IF(UPPER(TRIM(C104))="TRESFOND",Inputs!$B$11,IF(UPPER(TRIM(C104))="GRASS",Inputs!$B$12,Inputs!$B$13)))))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IF(E105&lt;&gt;"",E105,IF(UPPER(TRIM(C105))="BASIN",IF(UPPER(TRIM(Inputs!$B$52))="YES",Inputs!$B$12,0),IF(UPPER(TRIM(C105))="ROOF",Inputs!$B$10,IF(UPPER(TRIM(C105))="TRESFOND",Inputs!$B$11,IF(UPPER(TRIM(C105))="GRASS",Inputs!$B$12,Inputs!$B$13)))))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IF(E106&lt;&gt;"",E106,IF(UPPER(TRIM(C106))="BASIN",IF(UPPER(TRIM(Inputs!$B$52))="YES",Inputs!$B$12,0),IF(UPPER(TRIM(C106))="ROOF",Inputs!$B$10,IF(UPPER(TRIM(C106))="TRESFOND",Inputs!$B$11,IF(UPPER(TRIM(C106))="GRASS",Inputs!$B$12,Inputs!$B$13)))))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IF(E107&lt;&gt;"",E107,IF(UPPER(TRIM(C107))="BASIN",IF(UPPER(TRIM(Inputs!$B$52))="YES",Inputs!$B$12,0),IF(UPPER(TRIM(C107))="ROOF",Inputs!$B$10,IF(UPPER(TRIM(C107))="TRESFOND",Inputs!$B$11,IF(UPPER(TRIM(C107))="GRASS",Inputs!$B$12,Inputs!$B$13)))))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IF(E108&lt;&gt;"",E108,IF(UPPER(TRIM(C108))="BASIN",IF(UPPER(TRIM(Inputs!$B$52))="YES",Inputs!$B$12,0),IF(UPPER(TRIM(C108))="ROOF",Inputs!$B$10,IF(UPPER(TRIM(C108))="TRESFOND",Inputs!$B$11,IF(UPPER(TRIM(C108))="GRASS",Inputs!$B$12,Inputs!$B$13)))))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IF(E109&lt;&gt;"",E109,IF(UPPER(TRIM(C109))="BASIN",IF(UPPER(TRIM(Inputs!$B$52))="YES",Inputs!$B$12,0),IF(UPPER(TRIM(C109))="ROOF",Inputs!$B$10,IF(UPPER(TRIM(C109))="TRESFOND",Inputs!$B$11,IF(UPPER(TRIM(C109))="GRASS",Inputs!$B$12,Inputs!$B$13)))))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IF(E110&lt;&gt;"",E110,IF(UPPER(TRIM(C110))="BASIN",IF(UPPER(TRIM(Inputs!$B$52))="YES",Inputs!$B$12,0),IF(UPPER(TRIM(C110))="ROOF",Inputs!$B$10,IF(UPPER(TRIM(C110))="TRESFOND",Inputs!$B$11,IF(UPPER(TRIM(C110))="GRASS",Inputs!$B$12,Inputs!$B$13)))))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IF(E111&lt;&gt;"",E111,IF(UPPER(TRIM(C111))="BASIN",IF(UPPER(TRIM(Inputs!$B$52))="YES",Inputs!$B$12,0),IF(UPPER(TRIM(C111))="ROOF",Inputs!$B$10,IF(UPPER(TRIM(C111))="TRESFOND",Inputs!$B$11,IF(UPPER(TRIM(C111))="GRASS",Inputs!$B$12,Inputs!$B$13)))))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IF(E112&lt;&gt;"",E112,IF(UPPER(TRIM(C112))="BASIN",IF(UPPER(TRIM(Inputs!$B$52))="YES",Inputs!$B$12,0),IF(UPPER(TRIM(C112))="ROOF",Inputs!$B$10,IF(UPPER(TRIM(C112))="TRESFOND",Inputs!$B$11,IF(UPPER(TRIM(C112))="GRASS",Inputs!$B$12,Inputs!$B$13)))))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IF(E113&lt;&gt;"",E113,IF(UPPER(TRIM(C113))="BASIN",IF(UPPER(TRIM(Inputs!$B$52))="YES",Inputs!$B$12,0),IF(UPPER(TRIM(C113))="ROOF",Inputs!$B$10,IF(UPPER(TRIM(C113))="TRESFOND",Inputs!$B$11,IF(UPPER(TRIM(C113))="GRASS",Inputs!$B$12,Inputs!$B$13)))))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IF(E114&lt;&gt;"",E114,IF(UPPER(TRIM(C114))="BASIN",IF(UPPER(TRIM(Inputs!$B$52))="YES",Inputs!$B$12,0),IF(UPPER(TRIM(C114))="ROOF",Inputs!$B$10,IF(UPPER(TRIM(C114))="TRESFOND",Inputs!$B$11,IF(UPPER(TRIM(C114))="GRASS",Inputs!$B$12,Inputs!$B$13)))))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IF(E115&lt;&gt;"",E115,IF(UPPER(TRIM(C115))="BASIN",IF(UPPER(TRIM(Inputs!$B$52))="YES",Inputs!$B$12,0),IF(UPPER(TRIM(C115))="ROOF",Inputs!$B$10,IF(UPPER(TRIM(C115))="TRESFOND",Inputs!$B$11,IF(UPPER(TRIM(C115))="GRASS",Inputs!$B$12,Inputs!$B$13)))))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IF(E116&lt;&gt;"",E116,IF(UPPER(TRIM(C116))="BASIN",IF(UPPER(TRIM(Inputs!$B$52))="YES",Inputs!$B$12,0),IF(UPPER(TRIM(C116))="ROOF",Inputs!$B$10,IF(UPPER(TRIM(C116))="TRESFOND",Inputs!$B$11,IF(UPPER(TRIM(C116))="GRASS",Inputs!$B$12,Inputs!$B$13)))))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IF(E117&lt;&gt;"",E117,IF(UPPER(TRIM(C117))="BASIN",IF(UPPER(TRIM(Inputs!$B$52))="YES",Inputs!$B$12,0),IF(UPPER(TRIM(C117))="ROOF",Inputs!$B$10,IF(UPPER(TRIM(C117))="TRESFOND",Inputs!$B$11,IF(UPPER(TRIM(C117))="GRASS",Inputs!$B$12,Inputs!$B$13)))))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IF(E118&lt;&gt;"",E118,IF(UPPER(TRIM(C118))="BASIN",IF(UPPER(TRIM(Inputs!$B$52))="YES",Inputs!$B$12,0),IF(UPPER(TRIM(C118))="ROOF",Inputs!$B$10,IF(UPPER(TRIM(C118))="TRESFOND",Inputs!$B$11,IF(UPPER(TRIM(C118))="GRASS",Inputs!$B$12,Inputs!$B$13)))))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IF(E119&lt;&gt;"",E119,IF(UPPER(TRIM(C119))="BASIN",IF(UPPER(TRIM(Inputs!$B$52))="YES",Inputs!$B$12,0),IF(UPPER(TRIM(C119))="ROOF",Inputs!$B$10,IF(UPPER(TRIM(C119))="TRESFOND",Inputs!$B$11,IF(UPPER(TRIM(C119))="GRASS",Inputs!$B$12,Inputs!$B$13)))))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IF(E120&lt;&gt;"",E120,IF(UPPER(TRIM(C120))="BASIN",IF(UPPER(TRIM(Inputs!$B$52))="YES",Inputs!$B$12,0),IF(UPPER(TRIM(C120))="ROOF",Inputs!$B$10,IF(UPPER(TRIM(C120))="TRESFOND",Inputs!$B$11,IF(UPPER(TRIM(C120))="GRASS",Inputs!$B$12,Inputs!$B$13)))))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IF(E121&lt;&gt;"",E121,IF(UPPER(TRIM(C121))="BASIN",IF(UPPER(TRIM(Inputs!$B$52))="YES",Inputs!$B$12,0),IF(UPPER(TRIM(C121))="ROOF",Inputs!$B$10,IF(UPPER(TRIM(C121))="TRESFOND",Inputs!$B$11,IF(UPPER(TRIM(C121))="GRASS",Inputs!$B$12,Inputs!$B$13)))))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IF(E122&lt;&gt;"",E122,IF(UPPER(TRIM(C122))="BASIN",IF(UPPER(TRIM(Inputs!$B$52))="YES",Inputs!$B$12,0),IF(UPPER(TRIM(C122))="ROOF",Inputs!$B$10,IF(UPPER(TRIM(C122))="TRESFOND",Inputs!$B$11,IF(UPPER(TRIM(C122))="GRASS",Inputs!$B$12,Inputs!$B$13)))))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IF(E123&lt;&gt;"",E123,IF(UPPER(TRIM(C123))="BASIN",IF(UPPER(TRIM(Inputs!$B$52))="YES",Inputs!$B$12,0),IF(UPPER(TRIM(C123))="ROOF",Inputs!$B$10,IF(UPPER(TRIM(C123))="TRESFOND",Inputs!$B$11,IF(UPPER(TRIM(C123))="GRASS",Inputs!$B$12,Inputs!$B$13)))))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IF(E124&lt;&gt;"",E124,IF(UPPER(TRIM(C124))="BASIN",IF(UPPER(TRIM(Inputs!$B$52))="YES",Inputs!$B$12,0),IF(UPPER(TRIM(C124))="ROOF",Inputs!$B$10,IF(UPPER(TRIM(C124))="TRESFOND",Inputs!$B$11,IF(UPPER(TRIM(C124))="GRASS",Inputs!$B$12,Inputs!$B$13)))))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IF(E125&lt;&gt;"",E125,IF(UPPER(TRIM(C125))="BASIN",IF(UPPER(TRIM(Inputs!$B$52))="YES",Inputs!$B$12,0),IF(UPPER(TRIM(C125))="ROOF",Inputs!$B$10,IF(UPPER(TRIM(C125))="TRESFOND",Inputs!$B$11,IF(UPPER(TRIM(C125))="GRASS",Inputs!$B$12,Inputs!$B$13)))))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IF(E126&lt;&gt;"",E126,IF(UPPER(TRIM(C126))="BASIN",IF(UPPER(TRIM(Inputs!$B$52))="YES",Inputs!$B$12,0),IF(UPPER(TRIM(C126))="ROOF",Inputs!$B$10,IF(UPPER(TRIM(C126))="TRESFOND",Inputs!$B$11,IF(UPPER(TRIM(C126))="GRASS",Inputs!$B$12,Inputs!$B$13)))))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IF(E127&lt;&gt;"",E127,IF(UPPER(TRIM(C127))="BASIN",IF(UPPER(TRIM(Inputs!$B$52))="YES",Inputs!$B$12,0),IF(UPPER(TRIM(C127))="ROOF",Inputs!$B$10,IF(UPPER(TRIM(C127))="TRESFOND",Inputs!$B$11,IF(UPPER(TRIM(C127))="GRASS",Inputs!$B$12,Inputs!$B$13)))))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IF(E128&lt;&gt;"",E128,IF(UPPER(TRIM(C128))="BASIN",IF(UPPER(TRIM(Inputs!$B$52))="YES",Inputs!$B$12,0),IF(UPPER(TRIM(C128))="ROOF",Inputs!$B$10,IF(UPPER(TRIM(C128))="TRESFOND",Inputs!$B$11,IF(UPPER(TRIM(C128))="GRASS",Inputs!$B$12,Inputs!$B$13)))))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IF(E129&lt;&gt;"",E129,IF(UPPER(TRIM(C129))="BASIN",IF(UPPER(TRIM(Inputs!$B$52))="YES",Inputs!$B$12,0),IF(UPPER(TRIM(C129))="ROOF",Inputs!$B$10,IF(UPPER(TRIM(C129))="TRESFOND",Inputs!$B$11,IF(UPPER(TRIM(C129))="GRASS",Inputs!$B$12,Inputs!$B$13)))))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IF(E130&lt;&gt;"",E130,IF(UPPER(TRIM(C130))="BASIN",IF(UPPER(TRIM(Inputs!$B$52))="YES",Inputs!$B$12,0),IF(UPPER(TRIM(C130))="ROOF",Inputs!$B$10,IF(UPPER(TRIM(C130))="TRESFOND",Inputs!$B$11,IF(UPPER(TRIM(C130))="GRASS",Inputs!$B$12,Inputs!$B$13)))))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IF(E131&lt;&gt;"",E131,IF(UPPER(TRIM(C131))="BASIN",IF(UPPER(TRIM(Inputs!$B$52))="YES",Inputs!$B$12,0),IF(UPPER(TRIM(C131))="ROOF",Inputs!$B$10,IF(UPPER(TRIM(C131))="TRESFOND",Inputs!$B$11,IF(UPPER(TRIM(C131))="GRASS",Inputs!$B$12,Inputs!$B$13)))))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IF(E132&lt;&gt;"",E132,IF(UPPER(TRIM(C132))="BASIN",IF(UPPER(TRIM(Inputs!$B$52))="YES",Inputs!$B$12,0),IF(UPPER(TRIM(C132))="ROOF",Inputs!$B$10,IF(UPPER(TRIM(C132))="TRESFOND",Inputs!$B$11,IF(UPPER(TRIM(C132))="GRASS",Inputs!$B$12,Inputs!$B$13)))))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IF(E133&lt;&gt;"",E133,IF(UPPER(TRIM(C133))="BASIN",IF(UPPER(TRIM(Inputs!$B$52))="YES",Inputs!$B$12,0),IF(UPPER(TRIM(C133))="ROOF",Inputs!$B$10,IF(UPPER(TRIM(C133))="TRESFOND",Inputs!$B$11,IF(UPPER(TRIM(C133))="GRASS",Inputs!$B$12,Inputs!$B$13)))))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IF(E134&lt;&gt;"",E134,IF(UPPER(TRIM(C134))="BASIN",IF(UPPER(TRIM(Inputs!$B$52))="YES",Inputs!$B$12,0),IF(UPPER(TRIM(C134))="ROOF",Inputs!$B$10,IF(UPPER(TRIM(C134))="TRESFOND",Inputs!$B$11,IF(UPPER(TRIM(C134))="GRASS",Inputs!$B$12,Inputs!$B$13)))))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IF(E135&lt;&gt;"",E135,IF(UPPER(TRIM(C135))="BASIN",IF(UPPER(TRIM(Inputs!$B$52))="YES",Inputs!$B$12,0),IF(UPPER(TRIM(C135))="ROOF",Inputs!$B$10,IF(UPPER(TRIM(C135))="TRESFOND",Inputs!$B$11,IF(UPPER(TRIM(C135))="GRASS",Inputs!$B$12,Inputs!$B$13)))))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IF(E136&lt;&gt;"",E136,IF(UPPER(TRIM(C136))="BASIN",IF(UPPER(TRIM(Inputs!$B$52))="YES",Inputs!$B$12,0),IF(UPPER(TRIM(C136))="ROOF",Inputs!$B$10,IF(UPPER(TRIM(C136))="TRESFOND",Inputs!$B$11,IF(UPPER(TRIM(C136))="GRASS",Inputs!$B$12,Inputs!$B$13)))))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IF(E137&lt;&gt;"",E137,IF(UPPER(TRIM(C137))="BASIN",IF(UPPER(TRIM(Inputs!$B$52))="YES",Inputs!$B$12,0),IF(UPPER(TRIM(C137))="ROOF",Inputs!$B$10,IF(UPPER(TRIM(C137))="TRESFOND",Inputs!$B$11,IF(UPPER(TRIM(C137))="GRASS",Inputs!$B$12,Inputs!$B$13)))))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IF(E138&lt;&gt;"",E138,IF(UPPER(TRIM(C138))="BASIN",IF(UPPER(TRIM(Inputs!$B$52))="YES",Inputs!$B$12,0),IF(UPPER(TRIM(C138))="ROOF",Inputs!$B$10,IF(UPPER(TRIM(C138))="TRESFOND",Inputs!$B$11,IF(UPPER(TRIM(C138))="GRASS",Inputs!$B$12,Inputs!$B$13)))))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IF(E139&lt;&gt;"",E139,IF(UPPER(TRIM(C139))="BASIN",IF(UPPER(TRIM(Inputs!$B$52))="YES",Inputs!$B$12,0),IF(UPPER(TRIM(C139))="ROOF",Inputs!$B$10,IF(UPPER(TRIM(C139))="TRESFOND",Inputs!$B$11,IF(UPPER(TRIM(C139))="GRASS",Inputs!$B$12,Inputs!$B$13)))))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IF(E140&lt;&gt;"",E140,IF(UPPER(TRIM(C140))="BASIN",IF(UPPER(TRIM(Inputs!$B$52))="YES",Inputs!$B$12,0),IF(UPPER(TRIM(C140))="ROOF",Inputs!$B$10,IF(UPPER(TRIM(C140))="TRESFOND",Inputs!$B$11,IF(UPPER(TRIM(C140))="GRASS",Inputs!$B$12,Inputs!$B$13)))))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IF(E141&lt;&gt;"",E141,IF(UPPER(TRIM(C141))="BASIN",IF(UPPER(TRIM(Inputs!$B$52))="YES",Inputs!$B$12,0),IF(UPPER(TRIM(C141))="ROOF",Inputs!$B$10,IF(UPPER(TRIM(C141))="TRESFOND",Inputs!$B$11,IF(UPPER(TRIM(C141))="GRASS",Inputs!$B$12,Inputs!$B$13)))))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IF(E142&lt;&gt;"",E142,IF(UPPER(TRIM(C142))="BASIN",IF(UPPER(TRIM(Inputs!$B$52))="YES",Inputs!$B$12,0),IF(UPPER(TRIM(C142))="ROOF",Inputs!$B$10,IF(UPPER(TRIM(C142))="TRESFOND",Inputs!$B$11,IF(UPPER(TRIM(C142))="GRASS",Inputs!$B$12,Inputs!$B$13)))))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IF(E143&lt;&gt;"",E143,IF(UPPER(TRIM(C143))="BASIN",IF(UPPER(TRIM(Inputs!$B$52))="YES",Inputs!$B$12,0),IF(UPPER(TRIM(C143))="ROOF",Inputs!$B$10,IF(UPPER(TRIM(C143))="TRESFOND",Inputs!$B$11,IF(UPPER(TRIM(C143))="GRASS",Inputs!$B$12,Inputs!$B$13)))))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IF(E144&lt;&gt;"",E144,IF(UPPER(TRIM(C144))="BASIN",IF(UPPER(TRIM(Inputs!$B$52))="YES",Inputs!$B$12,0),IF(UPPER(TRIM(C144))="ROOF",Inputs!$B$10,IF(UPPER(TRIM(C144))="TRESFOND",Inputs!$B$11,IF(UPPER(TRIM(C144))="GRASS",Inputs!$B$12,Inputs!$B$13)))))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IF(E145&lt;&gt;"",E145,IF(UPPER(TRIM(C145))="BASIN",IF(UPPER(TRIM(Inputs!$B$52))="YES",Inputs!$B$12,0),IF(UPPER(TRIM(C145))="ROOF",Inputs!$B$10,IF(UPPER(TRIM(C145))="TRESFOND",Inputs!$B$11,IF(UPPER(TRIM(C145))="GRASS",Inputs!$B$12,Inputs!$B$13)))))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IF(E146&lt;&gt;"",E146,IF(UPPER(TRIM(C146))="BASIN",IF(UPPER(TRIM(Inputs!$B$52))="YES",Inputs!$B$12,0),IF(UPPER(TRIM(C146))="ROOF",Inputs!$B$10,IF(UPPER(TRIM(C146))="TRESFOND",Inputs!$B$11,IF(UPPER(TRIM(C146))="GRASS",Inputs!$B$12,Inputs!$B$13)))))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IF(E147&lt;&gt;"",E147,IF(UPPER(TRIM(C147))="BASIN",IF(UPPER(TRIM(Inputs!$B$52))="YES",Inputs!$B$12,0),IF(UPPER(TRIM(C147))="ROOF",Inputs!$B$10,IF(UPPER(TRIM(C147))="TRESFOND",Inputs!$B$11,IF(UPPER(TRIM(C147))="GRASS",Inputs!$B$12,Inputs!$B$13)))))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IF(E148&lt;&gt;"",E148,IF(UPPER(TRIM(C148))="BASIN",IF(UPPER(TRIM(Inputs!$B$52))="YES",Inputs!$B$12,0),IF(UPPER(TRIM(C148))="ROOF",Inputs!$B$10,IF(UPPER(TRIM(C148))="TRESFOND",Inputs!$B$11,IF(UPPER(TRIM(C148))="GRASS",Inputs!$B$12,Inputs!$B$13)))))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IF(E149&lt;&gt;"",E149,IF(UPPER(TRIM(C149))="BASIN",IF(UPPER(TRIM(Inputs!$B$52))="YES",Inputs!$B$12,0),IF(UPPER(TRIM(C149))="ROOF",Inputs!$B$10,IF(UPPER(TRIM(C149))="TRESFOND",Inputs!$B$11,IF(UPPER(TRIM(C149))="GRASS",Inputs!$B$12,Inputs!$B$13)))))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IF(E150&lt;&gt;"",E150,IF(UPPER(TRIM(C150))="BASIN",IF(UPPER(TRIM(Inputs!$B$52))="YES",Inputs!$B$12,0),IF(UPPER(TRIM(C150))="ROOF",Inputs!$B$10,IF(UPPER(TRIM(C150))="TRESFOND",Inputs!$B$11,IF(UPPER(TRIM(C150))="GRASS",Inputs!$B$12,Inputs!$B$13)))))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IF(E151&lt;&gt;"",E151,IF(UPPER(TRIM(C151))="BASIN",IF(UPPER(TRIM(Inputs!$B$52))="YES",Inputs!$B$12,0),IF(UPPER(TRIM(C151))="ROOF",Inputs!$B$10,IF(UPPER(TRIM(C151))="TRESFOND",Inputs!$B$11,IF(UPPER(TRIM(C151))="GRASS",Inputs!$B$12,Inputs!$B$13)))))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IF(E152&lt;&gt;"",E152,IF(UPPER(TRIM(C152))="BASIN",IF(UPPER(TRIM(Inputs!$B$52))="YES",Inputs!$B$12,0),IF(UPPER(TRIM(C152))="ROOF",Inputs!$B$10,IF(UPPER(TRIM(C152))="TRESFOND",Inputs!$B$11,IF(UPPER(TRIM(C152))="GRASS",Inputs!$B$12,Inputs!$B$13)))))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IF(E153&lt;&gt;"",E153,IF(UPPER(TRIM(C153))="BASIN",IF(UPPER(TRIM(Inputs!$B$52))="YES",Inputs!$B$12,0),IF(UPPER(TRIM(C153))="ROOF",Inputs!$B$10,IF(UPPER(TRIM(C153))="TRESFOND",Inputs!$B$11,IF(UPPER(TRIM(C153))="GRASS",Inputs!$B$12,Inputs!$B$13)))))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IF(E154&lt;&gt;"",E154,IF(UPPER(TRIM(C154))="BASIN",IF(UPPER(TRIM(Inputs!$B$52))="YES",Inputs!$B$12,0),IF(UPPER(TRIM(C154))="ROOF",Inputs!$B$10,IF(UPPER(TRIM(C154))="TRESFOND",Inputs!$B$11,IF(UPPER(TRIM(C154))="GRASS",Inputs!$B$12,Inputs!$B$13)))))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IF(E155&lt;&gt;"",E155,IF(UPPER(TRIM(C155))="BASIN",IF(UPPER(TRIM(Inputs!$B$52))="YES",Inputs!$B$12,0),IF(UPPER(TRIM(C155))="ROOF",Inputs!$B$10,IF(UPPER(TRIM(C155))="TRESFOND",Inputs!$B$11,IF(UPPER(TRIM(C155))="GRASS",Inputs!$B$12,Inputs!$B$13)))))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IF(E156&lt;&gt;"",E156,IF(UPPER(TRIM(C156))="BASIN",IF(UPPER(TRIM(Inputs!$B$52))="YES",Inputs!$B$12,0),IF(UPPER(TRIM(C156))="ROOF",Inputs!$B$10,IF(UPPER(TRIM(C156))="TRESFOND",Inputs!$B$11,IF(UPPER(TRIM(C156))="GRASS",Inputs!$B$12,Inputs!$B$13)))))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IF(E157&lt;&gt;"",E157,IF(UPPER(TRIM(C157))="BASIN",IF(UPPER(TRIM(Inputs!$B$52))="YES",Inputs!$B$12,0),IF(UPPER(TRIM(C157))="ROOF",Inputs!$B$10,IF(UPPER(TRIM(C157))="TRESFOND",Inputs!$B$11,IF(UPPER(TRIM(C157))="GRASS",Inputs!$B$12,Inputs!$B$13)))))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IF(E158&lt;&gt;"",E158,IF(UPPER(TRIM(C158))="BASIN",IF(UPPER(TRIM(Inputs!$B$52))="YES",Inputs!$B$12,0),IF(UPPER(TRIM(C158))="ROOF",Inputs!$B$10,IF(UPPER(TRIM(C158))="TRESFOND",Inputs!$B$11,IF(UPPER(TRIM(C158))="GRASS",Inputs!$B$12,Inputs!$B$13)))))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IF(E159&lt;&gt;"",E159,IF(UPPER(TRIM(C159))="BASIN",IF(UPPER(TRIM(Inputs!$B$52))="YES",Inputs!$B$12,0),IF(UPPER(TRIM(C159))="ROOF",Inputs!$B$10,IF(UPPER(TRIM(C159))="TRESFOND",Inputs!$B$11,IF(UPPER(TRIM(C159))="GRASS",Inputs!$B$12,Inputs!$B$13)))))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IF(E160&lt;&gt;"",E160,IF(UPPER(TRIM(C160))="BASIN",IF(UPPER(TRIM(Inputs!$B$52))="YES",Inputs!$B$12,0),IF(UPPER(TRIM(C160))="ROOF",Inputs!$B$10,IF(UPPER(TRIM(C160))="TRESFOND",Inputs!$B$11,IF(UPPER(TRIM(C160))="GRASS",Inputs!$B$12,Inputs!$B$13)))))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IF(E161&lt;&gt;"",E161,IF(UPPER(TRIM(C161))="BASIN",IF(UPPER(TRIM(Inputs!$B$52))="YES",Inputs!$B$12,0),IF(UPPER(TRIM(C161))="ROOF",Inputs!$B$10,IF(UPPER(TRIM(C161))="TRESFOND",Inputs!$B$11,IF(UPPER(TRIM(C161))="GRASS",Inputs!$B$12,Inputs!$B$13)))))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IF(E162&lt;&gt;"",E162,IF(UPPER(TRIM(C162))="BASIN",IF(UPPER(TRIM(Inputs!$B$52))="YES",Inputs!$B$12,0),IF(UPPER(TRIM(C162))="ROOF",Inputs!$B$10,IF(UPPER(TRIM(C162))="TRESFOND",Inputs!$B$11,IF(UPPER(TRIM(C162))="GRASS",Inputs!$B$12,Inputs!$B$13)))))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IF(E163&lt;&gt;"",E163,IF(UPPER(TRIM(C163))="BASIN",IF(UPPER(TRIM(Inputs!$B$52))="YES",Inputs!$B$12,0),IF(UPPER(TRIM(C163))="ROOF",Inputs!$B$10,IF(UPPER(TRIM(C163))="TRESFOND",Inputs!$B$11,IF(UPPER(TRIM(C163))="GRASS",Inputs!$B$12,Inputs!$B$13)))))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IF(E164&lt;&gt;"",E164,IF(UPPER(TRIM(C164))="BASIN",IF(UPPER(TRIM(Inputs!$B$52))="YES",Inputs!$B$12,0),IF(UPPER(TRIM(C164))="ROOF",Inputs!$B$10,IF(UPPER(TRIM(C164))="TRESFOND",Inputs!$B$11,IF(UPPER(TRIM(C164))="GRASS",Inputs!$B$12,Inputs!$B$13)))))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IF(E165&lt;&gt;"",E165,IF(UPPER(TRIM(C165))="BASIN",IF(UPPER(TRIM(Inputs!$B$52))="YES",Inputs!$B$12,0),IF(UPPER(TRIM(C165))="ROOF",Inputs!$B$10,IF(UPPER(TRIM(C165))="TRESFOND",Inputs!$B$11,IF(UPPER(TRIM(C165))="GRASS",Inputs!$B$12,Inputs!$B$13)))))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IF(E166&lt;&gt;"",E166,IF(UPPER(TRIM(C166))="BASIN",IF(UPPER(TRIM(Inputs!$B$52))="YES",Inputs!$B$12,0),IF(UPPER(TRIM(C166))="ROOF",Inputs!$B$10,IF(UPPER(TRIM(C166))="TRESFOND",Inputs!$B$11,IF(UPPER(TRIM(C166))="GRASS",Inputs!$B$12,Inputs!$B$13)))))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IF(E167&lt;&gt;"",E167,IF(UPPER(TRIM(C167))="BASIN",IF(UPPER(TRIM(Inputs!$B$52))="YES",Inputs!$B$12,0),IF(UPPER(TRIM(C167))="ROOF",Inputs!$B$10,IF(UPPER(TRIM(C167))="TRESFOND",Inputs!$B$11,IF(UPPER(TRIM(C167))="GRASS",Inputs!$B$12,Inputs!$B$13)))))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IF(E168&lt;&gt;"",E168,IF(UPPER(TRIM(C168))="BASIN",IF(UPPER(TRIM(Inputs!$B$52))="YES",Inputs!$B$12,0),IF(UPPER(TRIM(C168))="ROOF",Inputs!$B$10,IF(UPPER(TRIM(C168))="TRESFOND",Inputs!$B$11,IF(UPPER(TRIM(C168))="GRASS",Inputs!$B$12,Inputs!$B$13)))))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IF(E169&lt;&gt;"",E169,IF(UPPER(TRIM(C169))="BASIN",IF(UPPER(TRIM(Inputs!$B$52))="YES",Inputs!$B$12,0),IF(UPPER(TRIM(C169))="ROOF",Inputs!$B$10,IF(UPPER(TRIM(C169))="TRESFOND",Inputs!$B$11,IF(UPPER(TRIM(C169))="GRASS",Inputs!$B$12,Inputs!$B$13)))))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IF(E170&lt;&gt;"",E170,IF(UPPER(TRIM(C170))="BASIN",IF(UPPER(TRIM(Inputs!$B$52))="YES",Inputs!$B$12,0),IF(UPPER(TRIM(C170))="ROOF",Inputs!$B$10,IF(UPPER(TRIM(C170))="TRESFOND",Inputs!$B$11,IF(UPPER(TRIM(C170))="GRASS",Inputs!$B$12,Inputs!$B$13)))))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IF(E171&lt;&gt;"",E171,IF(UPPER(TRIM(C171))="BASIN",IF(UPPER(TRIM(Inputs!$B$52))="YES",Inputs!$B$12,0),IF(UPPER(TRIM(C171))="ROOF",Inputs!$B$10,IF(UPPER(TRIM(C171))="TRESFOND",Inputs!$B$11,IF(UPPER(TRIM(C171))="GRASS",Inputs!$B$12,Inputs!$B$13)))))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IF(E172&lt;&gt;"",E172,IF(UPPER(TRIM(C172))="BASIN",IF(UPPER(TRIM(Inputs!$B$52))="YES",Inputs!$B$12,0),IF(UPPER(TRIM(C172))="ROOF",Inputs!$B$10,IF(UPPER(TRIM(C172))="TRESFOND",Inputs!$B$11,IF(UPPER(TRIM(C172))="GRASS",Inputs!$B$12,Inputs!$B$13)))))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IF(E173&lt;&gt;"",E173,IF(UPPER(TRIM(C173))="BASIN",IF(UPPER(TRIM(Inputs!$B$52))="YES",Inputs!$B$12,0),IF(UPPER(TRIM(C173))="ROOF",Inputs!$B$10,IF(UPPER(TRIM(C173))="TRESFOND",Inputs!$B$11,IF(UPPER(TRIM(C173))="GRASS",Inputs!$B$12,Inputs!$B$13)))))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IF(E174&lt;&gt;"",E174,IF(UPPER(TRIM(C174))="BASIN",IF(UPPER(TRIM(Inputs!$B$52))="YES",Inputs!$B$12,0),IF(UPPER(TRIM(C174))="ROOF",Inputs!$B$10,IF(UPPER(TRIM(C174))="TRESFOND",Inputs!$B$11,IF(UPPER(TRIM(C174))="GRASS",Inputs!$B$12,Inputs!$B$13)))))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IF(E175&lt;&gt;"",E175,IF(UPPER(TRIM(C175))="BASIN",IF(UPPER(TRIM(Inputs!$B$52))="YES",Inputs!$B$12,0),IF(UPPER(TRIM(C175))="ROOF",Inputs!$B$10,IF(UPPER(TRIM(C175))="TRESFOND",Inputs!$B$11,IF(UPPER(TRIM(C175))="GRASS",Inputs!$B$12,Inputs!$B$13)))))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IF(E176&lt;&gt;"",E176,IF(UPPER(TRIM(C176))="BASIN",IF(UPPER(TRIM(Inputs!$B$52))="YES",Inputs!$B$12,0),IF(UPPER(TRIM(C176))="ROOF",Inputs!$B$10,IF(UPPER(TRIM(C176))="TRESFOND",Inputs!$B$11,IF(UPPER(TRIM(C176))="GRASS",Inputs!$B$12,Inputs!$B$13)))))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IF(E177&lt;&gt;"",E177,IF(UPPER(TRIM(C177))="BASIN",IF(UPPER(TRIM(Inputs!$B$52))="YES",Inputs!$B$12,0),IF(UPPER(TRIM(C177))="ROOF",Inputs!$B$10,IF(UPPER(TRIM(C177))="TRESFOND",Inputs!$B$11,IF(UPPER(TRIM(C177))="GRASS",Inputs!$B$12,Inputs!$B$13)))))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IF(E178&lt;&gt;"",E178,IF(UPPER(TRIM(C178))="BASIN",IF(UPPER(TRIM(Inputs!$B$52))="YES",Inputs!$B$12,0),IF(UPPER(TRIM(C178))="ROOF",Inputs!$B$10,IF(UPPER(TRIM(C178))="TRESFOND",Inputs!$B$11,IF(UPPER(TRIM(C178))="GRASS",Inputs!$B$12,Inputs!$B$13)))))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IF(E179&lt;&gt;"",E179,IF(UPPER(TRIM(C179))="BASIN",IF(UPPER(TRIM(Inputs!$B$52))="YES",Inputs!$B$12,0),IF(UPPER(TRIM(C179))="ROOF",Inputs!$B$10,IF(UPPER(TRIM(C179))="TRESFOND",Inputs!$B$11,IF(UPPER(TRIM(C179))="GRASS",Inputs!$B$12,Inputs!$B$13)))))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IF(E180&lt;&gt;"",E180,IF(UPPER(TRIM(C180))="BASIN",IF(UPPER(TRIM(Inputs!$B$52))="YES",Inputs!$B$12,0),IF(UPPER(TRIM(C180))="ROOF",Inputs!$B$10,IF(UPPER(TRIM(C180))="TRESFOND",Inputs!$B$11,IF(UPPER(TRIM(C180))="GRASS",Inputs!$B$12,Inputs!$B$13)))))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IF(E181&lt;&gt;"",E181,IF(UPPER(TRIM(C181))="BASIN",IF(UPPER(TRIM(Inputs!$B$52))="YES",Inputs!$B$12,0),IF(UPPER(TRIM(C181))="ROOF",Inputs!$B$10,IF(UPPER(TRIM(C181))="TRESFOND",Inputs!$B$11,IF(UPPER(TRIM(C181))="GRASS",Inputs!$B$12,Inputs!$B$13)))))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IF(E182&lt;&gt;"",E182,IF(UPPER(TRIM(C182))="BASIN",IF(UPPER(TRIM(Inputs!$B$52))="YES",Inputs!$B$12,0),IF(UPPER(TRIM(C182))="ROOF",Inputs!$B$10,IF(UPPER(TRIM(C182))="TRESFOND",Inputs!$B$11,IF(UPPER(TRIM(C182))="GRASS",Inputs!$B$12,Inputs!$B$13)))))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IF(E183&lt;&gt;"",E183,IF(UPPER(TRIM(C183))="BASIN",IF(UPPER(TRIM(Inputs!$B$52))="YES",Inputs!$B$12,0),IF(UPPER(TRIM(C183))="ROOF",Inputs!$B$10,IF(UPPER(TRIM(C183))="TRESFOND",Inputs!$B$11,IF(UPPER(TRIM(C183))="GRASS",Inputs!$B$12,Inputs!$B$13)))))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IF(E184&lt;&gt;"",E184,IF(UPPER(TRIM(C184))="BASIN",IF(UPPER(TRIM(Inputs!$B$52))="YES",Inputs!$B$12,0),IF(UPPER(TRIM(C184))="ROOF",Inputs!$B$10,IF(UPPER(TRIM(C184))="TRESFOND",Inputs!$B$11,IF(UPPER(TRIM(C184))="GRASS",Inputs!$B$12,Inputs!$B$13)))))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IF(E185&lt;&gt;"",E185,IF(UPPER(TRIM(C185))="BASIN",IF(UPPER(TRIM(Inputs!$B$52))="YES",Inputs!$B$12,0),IF(UPPER(TRIM(C185))="ROOF",Inputs!$B$10,IF(UPPER(TRIM(C185))="TRESFOND",Inputs!$B$11,IF(UPPER(TRIM(C185))="GRASS",Inputs!$B$12,Inputs!$B$13)))))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IF(E186&lt;&gt;"",E186,IF(UPPER(TRIM(C186))="BASIN",IF(UPPER(TRIM(Inputs!$B$52))="YES",Inputs!$B$12,0),IF(UPPER(TRIM(C186))="ROOF",Inputs!$B$10,IF(UPPER(TRIM(C186))="TRESFOND",Inputs!$B$11,IF(UPPER(TRIM(C186))="GRASS",Inputs!$B$12,Inputs!$B$13)))))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IF(E187&lt;&gt;"",E187,IF(UPPER(TRIM(C187))="BASIN",IF(UPPER(TRIM(Inputs!$B$52))="YES",Inputs!$B$12,0),IF(UPPER(TRIM(C187))="ROOF",Inputs!$B$10,IF(UPPER(TRIM(C187))="TRESFOND",Inputs!$B$11,IF(UPPER(TRIM(C187))="GRASS",Inputs!$B$12,Inputs!$B$13)))))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IF(E188&lt;&gt;"",E188,IF(UPPER(TRIM(C188))="BASIN",IF(UPPER(TRIM(Inputs!$B$52))="YES",Inputs!$B$12,0),IF(UPPER(TRIM(C188))="ROOF",Inputs!$B$10,IF(UPPER(TRIM(C188))="TRESFOND",Inputs!$B$11,IF(UPPER(TRIM(C188))="GRASS",Inputs!$B$12,Inputs!$B$13)))))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IF(E189&lt;&gt;"",E189,IF(UPPER(TRIM(C189))="BASIN",IF(UPPER(TRIM(Inputs!$B$52))="YES",Inputs!$B$12,0),IF(UPPER(TRIM(C189))="ROOF",Inputs!$B$10,IF(UPPER(TRIM(C189))="TRESFOND",Inputs!$B$11,IF(UPPER(TRIM(C189))="GRASS",Inputs!$B$12,Inputs!$B$13)))))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IF(E190&lt;&gt;"",E190,IF(UPPER(TRIM(C190))="BASIN",IF(UPPER(TRIM(Inputs!$B$52))="YES",Inputs!$B$12,0),IF(UPPER(TRIM(C190))="ROOF",Inputs!$B$10,IF(UPPER(TRIM(C190))="TRESFOND",Inputs!$B$11,IF(UPPER(TRIM(C190))="GRASS",Inputs!$B$12,Inputs!$B$13)))))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IF(E191&lt;&gt;"",E191,IF(UPPER(TRIM(C191))="BASIN",IF(UPPER(TRIM(Inputs!$B$52))="YES",Inputs!$B$12,0),IF(UPPER(TRIM(C191))="ROOF",Inputs!$B$10,IF(UPPER(TRIM(C191))="TRESFOND",Inputs!$B$11,IF(UPPER(TRIM(C191))="GRASS",Inputs!$B$12,Inputs!$B$13)))))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IF(E192&lt;&gt;"",E192,IF(UPPER(TRIM(C192))="BASIN",IF(UPPER(TRIM(Inputs!$B$52))="YES",Inputs!$B$12,0),IF(UPPER(TRIM(C192))="ROOF",Inputs!$B$10,IF(UPPER(TRIM(C192))="TRESFOND",Inputs!$B$11,IF(UPPER(TRIM(C192))="GRASS",Inputs!$B$12,Inputs!$B$13)))))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IF(E193&lt;&gt;"",E193,IF(UPPER(TRIM(C193))="BASIN",IF(UPPER(TRIM(Inputs!$B$52))="YES",Inputs!$B$12,0),IF(UPPER(TRIM(C193))="ROOF",Inputs!$B$10,IF(UPPER(TRIM(C193))="TRESFOND",Inputs!$B$11,IF(UPPER(TRIM(C193))="GRASS",Inputs!$B$12,Inputs!$B$13)))))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IF(E194&lt;&gt;"",E194,IF(UPPER(TRIM(C194))="BASIN",IF(UPPER(TRIM(Inputs!$B$52))="YES",Inputs!$B$12,0),IF(UPPER(TRIM(C194))="ROOF",Inputs!$B$10,IF(UPPER(TRIM(C194))="TRESFOND",Inputs!$B$11,IF(UPPER(TRIM(C194))="GRASS",Inputs!$B$12,Inputs!$B$13)))))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IF(E195&lt;&gt;"",E195,IF(UPPER(TRIM(C195))="BASIN",IF(UPPER(TRIM(Inputs!$B$52))="YES",Inputs!$B$12,0),IF(UPPER(TRIM(C195))="ROOF",Inputs!$B$10,IF(UPPER(TRIM(C195))="TRESFOND",Inputs!$B$11,IF(UPPER(TRIM(C195))="GRASS",Inputs!$B$12,Inputs!$B$13)))))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IF(E196&lt;&gt;"",E196,IF(UPPER(TRIM(C196))="BASIN",IF(UPPER(TRIM(Inputs!$B$52))="YES",Inputs!$B$12,0),IF(UPPER(TRIM(C196))="ROOF",Inputs!$B$10,IF(UPPER(TRIM(C196))="TRESFOND",Inputs!$B$11,IF(UPPER(TRIM(C196))="GRASS",Inputs!$B$12,Inputs!$B$13)))))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IF(E197&lt;&gt;"",E197,IF(UPPER(TRIM(C197))="BASIN",IF(UPPER(TRIM(Inputs!$B$52))="YES",Inputs!$B$12,0),IF(UPPER(TRIM(C197))="ROOF",Inputs!$B$10,IF(UPPER(TRIM(C197))="TRESFOND",Inputs!$B$11,IF(UPPER(TRIM(C197))="GRASS",Inputs!$B$12,Inputs!$B$13)))))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IF(E198&lt;&gt;"",E198,IF(UPPER(TRIM(C198))="BASIN",IF(UPPER(TRIM(Inputs!$B$52))="YES",Inputs!$B$12,0),IF(UPPER(TRIM(C198))="ROOF",Inputs!$B$10,IF(UPPER(TRIM(C198))="TRESFOND",Inputs!$B$11,IF(UPPER(TRIM(C198))="GRASS",Inputs!$B$12,Inputs!$B$13)))))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IF(E199&lt;&gt;"",E199,IF(UPPER(TRIM(C199))="BASIN",IF(UPPER(TRIM(Inputs!$B$52))="YES",Inputs!$B$12,0),IF(UPPER(TRIM(C199))="ROOF",Inputs!$B$10,IF(UPPER(TRIM(C199))="TRESFOND",Inputs!$B$11,IF(UPPER(TRIM(C199))="GRASS",Inputs!$B$12,Inputs!$B$13)))))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IF(E200&lt;&gt;"",E200,IF(UPPER(TRIM(C200))="BASIN",IF(UPPER(TRIM(Inputs!$B$52))="YES",Inputs!$B$12,0),IF(UPPER(TRIM(C200))="ROOF",Inputs!$B$10,IF(UPPER(TRIM(C200))="TRESFOND",Inputs!$B$11,IF(UPPER(TRIM(C200))="GRASS",Inputs!$B$12,Inputs!$B$13)))))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IF(E201&lt;&gt;"",E201,IF(UPPER(TRIM(C201))="BASIN",IF(UPPER(TRIM(Inputs!$B$52))="YES",Inputs!$B$12,0),IF(UPPER(TRIM(C201))="ROOF",Inputs!$B$10,IF(UPPER(TRIM(C201))="TRESFOND",Inputs!$B$11,IF(UPPER(TRIM(C201))="GRASS",Inputs!$B$12,Inputs!$B$13)))))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IF(E202&lt;&gt;"",E202,IF(UPPER(TRIM(C202))="BASIN",IF(UPPER(TRIM(Inputs!$B$52))="YES",Inputs!$B$12,0),IF(UPPER(TRIM(C202))="ROOF",Inputs!$B$10,IF(UPPER(TRIM(C202))="TRESFOND",Inputs!$B$11,IF(UPPER(TRIM(C202))="GRASS",Inputs!$B$12,Inputs!$B$13)))))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IF(E203&lt;&gt;"",E203,IF(UPPER(TRIM(C203))="BASIN",IF(UPPER(TRIM(Inputs!$B$52))="YES",Inputs!$B$12,0),IF(UPPER(TRIM(C203))="ROOF",Inputs!$B$10,IF(UPPER(TRIM(C203))="TRESFOND",Inputs!$B$11,IF(UPPER(TRIM(C203))="GRASS",Inputs!$B$12,Inputs!$B$13)))))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IF(E204&lt;&gt;"",E204,IF(UPPER(TRIM(C204))="BASIN",IF(UPPER(TRIM(Inputs!$B$52))="YES",Inputs!$B$12,0),IF(UPPER(TRIM(C204))="ROOF",Inputs!$B$10,IF(UPPER(TRIM(C204))="TRESFOND",Inputs!$B$11,IF(UPPER(TRIM(C204))="GRASS",Inputs!$B$12,Inputs!$B$13)))))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Bande est amont (arbres) - underdrain segment 1.</t>
        </is>
      </c>
      <c r="AC4" s="7" t="n"/>
      <c r="AD4" s="8">
        <f>IF(A4="","",IF(AC4&lt;&gt;"",AC4,IF(E4="",Inputs!$B$38,IFERROR(INDEX($AE$4:$AE$204,MATCH(E4,$A$4:$A$204,0)),""))))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IF(A4="","",IF(E4="","TERMINAL",IF(AG4="","INFO",IF(ABS(AG4)&lt;=0.01,"OK","CHECK"))))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Bande est aval (arbres) - underdrain segment 2.</t>
        </is>
      </c>
      <c r="AC5" s="7" t="n"/>
      <c r="AD5" s="8">
        <f>IF(A5="","",IF(AC5&lt;&gt;"",AC5,IF(E5="",Inputs!$B$38,IFERROR(INDEX($AE$4:$AE$204,MATCH(E5,$A$4:$A$204,0)),""))))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IF(A5="","",IF(E5="","TERMINAL",IF(AG5="","INFO",IF(ABS(AG5)&lt;=0.01,"OK","CHECK"))))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16.1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Corrige: P-03 -&gt; J-BASSIN-IN = 16.1 m (pas 20 m).</t>
        </is>
      </c>
      <c r="AC6" s="7" t="n"/>
      <c r="AD6" s="8">
        <f>IF(A6="","",IF(AC6&lt;&gt;"",AC6,IF(E6="",Inputs!$B$38,IFERROR(INDEX($AE$4:$AE$204,MATCH(E6,$A$4:$A$204,0)),""))))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IF(A6="","",IF(E6="","TERMINAL",IF(AG6="","INFO",IF(ABS(AG6)&lt;=0.01,"OK","CHECK"))))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J-OUEST-AVAL</t>
        </is>
      </c>
      <c r="D7" s="4" t="inlineStr">
        <is>
          <t>J-BASSIN-IN</t>
        </is>
      </c>
      <c r="E7" s="4" t="inlineStr">
        <is>
          <t>E07</t>
        </is>
      </c>
      <c r="F7" s="7" t="n">
        <v>20</v>
      </c>
      <c r="G7" s="7" t="n">
        <v>0.004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>
        <f>Inputs!$B$34</f>
        <v/>
      </c>
      <c r="L7" s="7">
        <f>Inputs!$B$36</f>
        <v/>
      </c>
      <c r="M7" s="7" t="inlineStr">
        <is>
          <t>3</t>
        </is>
      </c>
      <c r="N7" s="7" t="inlineStr">
        <is>
          <t>0</t>
        </is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Segment sud 20 m correspondant a l'emprise du bassin lineaire (pas superpose a E03).</t>
        </is>
      </c>
      <c r="AC7" s="7" t="n"/>
      <c r="AD7" s="8">
        <f>IF(A7="","",IF(AC7&lt;&gt;"",AC7,IF(E7="",Inputs!$B$38,IFERROR(INDEX($AE$4:$AE$204,MATCH(E7,$A$4:$A$204,0)),""))))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IF(A7="","",IF(E7="","TERMINAL",IF(AG7="","INFO",IF(ABS(AG7)&lt;=0.01,"OK","CHECK"))))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gazon amont - longueur issue cotes plan (chaine 11.1 m repartie par aires).</t>
        </is>
      </c>
      <c r="AC8" s="7" t="n"/>
      <c r="AD8" s="8">
        <f>IF(A8="","",IF(AC8&lt;&gt;"",AC8,IF(E8="",Inputs!$B$38,IFERROR(INDEX($AE$4:$AE$204,MATCH(E8,$A$4:$A$204,0)),""))))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IF(A8="","",IF(E8="","TERMINAL",IF(AG8="","INFO",IF(ABS(AG8)&lt;=0.01,"OK","CHECK"))))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Ouest pave-uni court - longueur cotee 2.3 m.</t>
        </is>
      </c>
      <c r="AC9" s="7" t="n"/>
      <c r="AD9" s="8">
        <f>IF(A9="","",IF(AC9&lt;&gt;"",AC9,IF(E9="",Inputs!$B$38,IFERROR(INDEX($AE$4:$AE$204,MATCH(E9,$A$4:$A$204,0)),""))))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IF(A9="","",IF(E9="","TERMINAL",IF(AG9="","INFO",IF(ABS(AG9)&lt;=0.01,"OK","CHECK"))))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gazon milieu - longueur issue cotes plan (chaine 11.1 m repartie par aires).</t>
        </is>
      </c>
      <c r="AC10" s="7" t="n"/>
      <c r="AD10" s="8">
        <f>IF(A10="","",IF(AC10&lt;&gt;"",AC10,IF(E10="",Inputs!$B$38,IFERROR(INDEX($AE$4:$AE$204,MATCH(E10,$A$4:$A$204,0)),""))))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IF(A10="","",IF(E10="","TERMINAL",IF(AG10="","INFO",IF(ABS(AG10)&lt;=0.01,"OK","CHECK"))))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Ouest pave-uni inferieur - longueur cotee 5.1 m.</t>
        </is>
      </c>
      <c r="AC11" s="7" t="n"/>
      <c r="AD11" s="8">
        <f>IF(A11="","",IF(AC11&lt;&gt;"",AC11,IF(E11="",Inputs!$B$38,IFERROR(INDEX($AE$4:$AE$204,MATCH(E11,$A$4:$A$204,0)),""))))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IF(A11="","",IF(E11="","TERMINAL",IF(AG11="","INFO",IF(ABS(AG11)&lt;=0.01,"OK","CHECK"))))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E04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gazon aval - longueur solde sur chaine totale 23.58 m.</t>
        </is>
      </c>
      <c r="AC12" s="7" t="n"/>
      <c r="AD12" s="8">
        <f>IF(A12="","",IF(AC12&lt;&gt;"",AC12,IF(E12="",Inputs!$B$38,IFERROR(INDEX($AE$4:$AE$204,MATCH(E12,$A$4:$A$204,0)),""))))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IF(A12="","",IF(E12="","TERMINAL",IF(AG12="","INFO",IF(ABS(AG12)&lt;=0.01,"OK","CHECK"))))</f>
        <v/>
      </c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/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n"/>
      <c r="AC13" s="7" t="n"/>
      <c r="AD13" s="8">
        <f>IF(A13="","",IF(AC13&lt;&gt;"",AC13,IF(E13="",Inputs!$B$38,IFERROR(INDEX($AE$4:$AE$204,MATCH(E13,$A$4:$A$204,0)),""))))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IF(A13="","",IF(E13="","TERMINAL",IF(AG13="","INFO",IF(ABS(AG13)&lt;=0.01,"OK","CHECK"))))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1</v>
      </c>
      <c r="G14" s="7" t="n">
        <v>0.005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450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Courte liaison d'entree/ouvrage de regulation vers noeud de stockage BASSIN-RET.</t>
        </is>
      </c>
      <c r="AC14" s="7" t="n"/>
      <c r="AD14" s="8">
        <f>IF(A14="","",IF(AC14&lt;&gt;"",AC14,IF(E14="",Inputs!$B$38,IFERROR(INDEX($AE$4:$AE$204,MATCH(E14,$A$4:$A$204,0)),""))))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IF(A14="","",IF(E14="","TERMINAL",IF(AG14="","INFO",IF(ABS(AG14)&lt;=0.01,"OK","CHECK"))))</f>
        <v/>
      </c>
    </row>
    <row r="15">
      <c r="A15" s="4" t="n"/>
      <c r="B15" s="4" t="n"/>
      <c r="C15" s="4" t="n"/>
      <c r="D15" s="4" t="n"/>
      <c r="E15" s="4" t="n"/>
      <c r="F15" s="7" t="n"/>
      <c r="G15" s="7" t="n"/>
      <c r="H15" s="7" t="n"/>
      <c r="I15" s="8">
        <f>IF(A15="","",IF(H15&lt;&gt;"",H15,IF(UPPER(TRIM(B15))="PIPE",Inputs!$B$7,IF(UPPER(TRIM(B15))="SWALE",Inputs!$B$8,Inputs!$B$9))))</f>
        <v/>
      </c>
      <c r="J15" s="7" t="n"/>
      <c r="K15" s="7" t="n"/>
      <c r="L15" s="7" t="n"/>
      <c r="M15" s="7" t="n"/>
      <c r="N15" s="7" t="n"/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n"/>
      <c r="AC15" s="7" t="n"/>
      <c r="AD15" s="8">
        <f>IF(A15="","",IF(AC15&lt;&gt;"",AC15,IF(E15="",Inputs!$B$38,IFERROR(INDEX($AE$4:$AE$204,MATCH(E15,$A$4:$A$204,0)),""))))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IF(A15="","",IF(E15="","TERMINAL",IF(AG15="","INFO",IF(ABS(AG15)&lt;=0.01,"OK","CHECK"))))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IF(A16="","",IF(E16="","TERMINAL",IF(AG16="","INFO",IF(ABS(AG16)&lt;=0.01,"OK","CHECK"))))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IF(A17="","",IF(E17="","TERMINAL",IF(AG17="","INFO",IF(ABS(AG17)&lt;=0.01,"OK","CHECK"))))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IF(A18="","",IF(E18="","TERMINAL",IF(AG18="","INFO",IF(ABS(AG18)&lt;=0.01,"OK","CHECK"))))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IF(A19="","",IF(E19="","TERMINAL",IF(AG19="","INFO",IF(ABS(AG19)&lt;=0.01,"OK","CHECK"))))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IF(A20="","",IF(E20="","TERMINAL",IF(AG20="","INFO",IF(ABS(AG20)&lt;=0.01,"OK","CHECK"))))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IF(A21="","",IF(E21="","TERMINAL",IF(AG21="","INFO",IF(ABS(AG21)&lt;=0.01,"OK","CHECK"))))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IF(A22="","",IF(E22="","TERMINAL",IF(AG22="","INFO",IF(ABS(AG22)&lt;=0.01,"OK","CHECK"))))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IF(A23="","",IF(E23="","TERMINAL",IF(AG23="","INFO",IF(ABS(AG23)&lt;=0.01,"OK","CHECK"))))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IF(A24="","",IF(E24="","TERMINAL",IF(AG24="","INFO",IF(ABS(AG24)&lt;=0.01,"OK","CHECK"))))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IF(A25="","",IF(E25="","TERMINAL",IF(AG25="","INFO",IF(ABS(AG25)&lt;=0.01,"OK","CHECK"))))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IF(A26="","",IF(E26="","TERMINAL",IF(AG26="","INFO",IF(ABS(AG26)&lt;=0.01,"OK","CHECK"))))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IF(A27="","",IF(E27="","TERMINAL",IF(AG27="","INFO",IF(ABS(AG27)&lt;=0.01,"OK","CHECK"))))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IF(A28="","",IF(E28="","TERMINAL",IF(AG28="","INFO",IF(ABS(AG28)&lt;=0.01,"OK","CHECK"))))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IF(A29="","",IF(E29="","TERMINAL",IF(AG29="","INFO",IF(ABS(AG29)&lt;=0.01,"OK","CHECK"))))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IF(A30="","",IF(E30="","TERMINAL",IF(AG30="","INFO",IF(ABS(AG30)&lt;=0.01,"OK","CHECK"))))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IF(A31="","",IF(E31="","TERMINAL",IF(AG31="","INFO",IF(ABS(AG31)&lt;=0.01,"OK","CHECK"))))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IF(A32="","",IF(E32="","TERMINAL",IF(AG32="","INFO",IF(ABS(AG32)&lt;=0.01,"OK","CHECK"))))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IF(A33="","",IF(E33="","TERMINAL",IF(AG33="","INFO",IF(ABS(AG33)&lt;=0.01,"OK","CHECK"))))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IF(A34="","",IF(E34="","TERMINAL",IF(AG34="","INFO",IF(ABS(AG34)&lt;=0.01,"OK","CHECK"))))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IF(A35="","",IF(E35="","TERMINAL",IF(AG35="","INFO",IF(ABS(AG35)&lt;=0.01,"OK","CHECK"))))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IF(A36="","",IF(E36="","TERMINAL",IF(AG36="","INFO",IF(ABS(AG36)&lt;=0.01,"OK","CHECK"))))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IF(A37="","",IF(E37="","TERMINAL",IF(AG37="","INFO",IF(ABS(AG37)&lt;=0.01,"OK","CHECK"))))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IF(A38="","",IF(E38="","TERMINAL",IF(AG38="","INFO",IF(ABS(AG38)&lt;=0.01,"OK","CHECK"))))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IF(A39="","",IF(E39="","TERMINAL",IF(AG39="","INFO",IF(ABS(AG39)&lt;=0.01,"OK","CHECK"))))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IF(A40="","",IF(E40="","TERMINAL",IF(AG40="","INFO",IF(ABS(AG40)&lt;=0.01,"OK","CHECK"))))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IF(A41="","",IF(E41="","TERMINAL",IF(AG41="","INFO",IF(ABS(AG41)&lt;=0.01,"OK","CHECK"))))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IF(A42="","",IF(E42="","TERMINAL",IF(AG42="","INFO",IF(ABS(AG42)&lt;=0.01,"OK","CHECK"))))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IF(A43="","",IF(E43="","TERMINAL",IF(AG43="","INFO",IF(ABS(AG43)&lt;=0.01,"OK","CHECK"))))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IF(A44="","",IF(E44="","TERMINAL",IF(AG44="","INFO",IF(ABS(AG44)&lt;=0.01,"OK","CHECK"))))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IF(A45="","",IF(E45="","TERMINAL",IF(AG45="","INFO",IF(ABS(AG45)&lt;=0.01,"OK","CHECK"))))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IF(A46="","",IF(E46="","TERMINAL",IF(AG46="","INFO",IF(ABS(AG46)&lt;=0.01,"OK","CHECK"))))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IF(A47="","",IF(E47="","TERMINAL",IF(AG47="","INFO",IF(ABS(AG47)&lt;=0.01,"OK","CHECK"))))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IF(A48="","",IF(E48="","TERMINAL",IF(AG48="","INFO",IF(ABS(AG48)&lt;=0.01,"OK","CHECK"))))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IF(A49="","",IF(E49="","TERMINAL",IF(AG49="","INFO",IF(ABS(AG49)&lt;=0.01,"OK","CHECK"))))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IF(A50="","",IF(E50="","TERMINAL",IF(AG50="","INFO",IF(ABS(AG50)&lt;=0.01,"OK","CHECK"))))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IF(A51="","",IF(E51="","TERMINAL",IF(AG51="","INFO",IF(ABS(AG51)&lt;=0.01,"OK","CHECK"))))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IF(A52="","",IF(E52="","TERMINAL",IF(AG52="","INFO",IF(ABS(AG52)&lt;=0.01,"OK","CHECK"))))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IF(A53="","",IF(E53="","TERMINAL",IF(AG53="","INFO",IF(ABS(AG53)&lt;=0.01,"OK","CHECK"))))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IF(A54="","",IF(E54="","TERMINAL",IF(AG54="","INFO",IF(ABS(AG54)&lt;=0.01,"OK","CHECK"))))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IF(A55="","",IF(E55="","TERMINAL",IF(AG55="","INFO",IF(ABS(AG55)&lt;=0.01,"OK","CHECK"))))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IF(A56="","",IF(E56="","TERMINAL",IF(AG56="","INFO",IF(ABS(AG56)&lt;=0.01,"OK","CHECK"))))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IF(A57="","",IF(E57="","TERMINAL",IF(AG57="","INFO",IF(ABS(AG57)&lt;=0.01,"OK","CHECK"))))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IF(A58="","",IF(E58="","TERMINAL",IF(AG58="","INFO",IF(ABS(AG58)&lt;=0.01,"OK","CHECK"))))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IF(A59="","",IF(E59="","TERMINAL",IF(AG59="","INFO",IF(ABS(AG59)&lt;=0.01,"OK","CHECK"))))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IF(A60="","",IF(E60="","TERMINAL",IF(AG60="","INFO",IF(ABS(AG60)&lt;=0.01,"OK","CHECK"))))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IF(A61="","",IF(E61="","TERMINAL",IF(AG61="","INFO",IF(ABS(AG61)&lt;=0.01,"OK","CHECK"))))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IF(A62="","",IF(E62="","TERMINAL",IF(AG62="","INFO",IF(ABS(AG62)&lt;=0.01,"OK","CHECK"))))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IF(A63="","",IF(E63="","TERMINAL",IF(AG63="","INFO",IF(ABS(AG63)&lt;=0.01,"OK","CHECK"))))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IF(A64="","",IF(E64="","TERMINAL",IF(AG64="","INFO",IF(ABS(AG64)&lt;=0.01,"OK","CHECK"))))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IF(A65="","",IF(E65="","TERMINAL",IF(AG65="","INFO",IF(ABS(AG65)&lt;=0.01,"OK","CHECK"))))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IF(A66="","",IF(E66="","TERMINAL",IF(AG66="","INFO",IF(ABS(AG66)&lt;=0.01,"OK","CHECK"))))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IF(A67="","",IF(E67="","TERMINAL",IF(AG67="","INFO",IF(ABS(AG67)&lt;=0.01,"OK","CHECK"))))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IF(A68="","",IF(E68="","TERMINAL",IF(AG68="","INFO",IF(ABS(AG68)&lt;=0.01,"OK","CHECK"))))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IF(A69="","",IF(E69="","TERMINAL",IF(AG69="","INFO",IF(ABS(AG69)&lt;=0.01,"OK","CHECK"))))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IF(A70="","",IF(E70="","TERMINAL",IF(AG70="","INFO",IF(ABS(AG70)&lt;=0.01,"OK","CHECK"))))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IF(A71="","",IF(E71="","TERMINAL",IF(AG71="","INFO",IF(ABS(AG71)&lt;=0.01,"OK","CHECK"))))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IF(A72="","",IF(E72="","TERMINAL",IF(AG72="","INFO",IF(ABS(AG72)&lt;=0.01,"OK","CHECK"))))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IF(A73="","",IF(E73="","TERMINAL",IF(AG73="","INFO",IF(ABS(AG73)&lt;=0.01,"OK","CHECK"))))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IF(A74="","",IF(E74="","TERMINAL",IF(AG74="","INFO",IF(ABS(AG74)&lt;=0.01,"OK","CHECK"))))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IF(A75="","",IF(E75="","TERMINAL",IF(AG75="","INFO",IF(ABS(AG75)&lt;=0.01,"OK","CHECK"))))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IF(A76="","",IF(E76="","TERMINAL",IF(AG76="","INFO",IF(ABS(AG76)&lt;=0.01,"OK","CHECK"))))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IF(A77="","",IF(E77="","TERMINAL",IF(AG77="","INFO",IF(ABS(AG77)&lt;=0.01,"OK","CHECK"))))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IF(A78="","",IF(E78="","TERMINAL",IF(AG78="","INFO",IF(ABS(AG78)&lt;=0.01,"OK","CHECK"))))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IF(A79="","",IF(E79="","TERMINAL",IF(AG79="","INFO",IF(ABS(AG79)&lt;=0.01,"OK","CHECK"))))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IF(A80="","",IF(E80="","TERMINAL",IF(AG80="","INFO",IF(ABS(AG80)&lt;=0.01,"OK","CHECK"))))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IF(A81="","",IF(E81="","TERMINAL",IF(AG81="","INFO",IF(ABS(AG81)&lt;=0.01,"OK","CHECK"))))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IF(A82="","",IF(E82="","TERMINAL",IF(AG82="","INFO",IF(ABS(AG82)&lt;=0.01,"OK","CHECK"))))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IF(A83="","",IF(E83="","TERMINAL",IF(AG83="","INFO",IF(ABS(AG83)&lt;=0.01,"OK","CHECK"))))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IF(A84="","",IF(E84="","TERMINAL",IF(AG84="","INFO",IF(ABS(AG84)&lt;=0.01,"OK","CHECK"))))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IF(A85="","",IF(E85="","TERMINAL",IF(AG85="","INFO",IF(ABS(AG85)&lt;=0.01,"OK","CHECK"))))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IF(A86="","",IF(E86="","TERMINAL",IF(AG86="","INFO",IF(ABS(AG86)&lt;=0.01,"OK","CHECK"))))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IF(A87="","",IF(E87="","TERMINAL",IF(AG87="","INFO",IF(ABS(AG87)&lt;=0.01,"OK","CHECK"))))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IF(A88="","",IF(E88="","TERMINAL",IF(AG88="","INFO",IF(ABS(AG88)&lt;=0.01,"OK","CHECK"))))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IF(A89="","",IF(E89="","TERMINAL",IF(AG89="","INFO",IF(ABS(AG89)&lt;=0.01,"OK","CHECK"))))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IF(A90="","",IF(E90="","TERMINAL",IF(AG90="","INFO",IF(ABS(AG90)&lt;=0.01,"OK","CHECK"))))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IF(A91="","",IF(E91="","TERMINAL",IF(AG91="","INFO",IF(ABS(AG91)&lt;=0.01,"OK","CHECK"))))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IF(A92="","",IF(E92="","TERMINAL",IF(AG92="","INFO",IF(ABS(AG92)&lt;=0.01,"OK","CHECK"))))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IF(A93="","",IF(E93="","TERMINAL",IF(AG93="","INFO",IF(ABS(AG93)&lt;=0.01,"OK","CHECK"))))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IF(A94="","",IF(E94="","TERMINAL",IF(AG94="","INFO",IF(ABS(AG94)&lt;=0.01,"OK","CHECK"))))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IF(A95="","",IF(E95="","TERMINAL",IF(AG95="","INFO",IF(ABS(AG95)&lt;=0.01,"OK","CHECK"))))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IF(A96="","",IF(E96="","TERMINAL",IF(AG96="","INFO",IF(ABS(AG96)&lt;=0.01,"OK","CHECK"))))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IF(A97="","",IF(E97="","TERMINAL",IF(AG97="","INFO",IF(ABS(AG97)&lt;=0.01,"OK","CHECK"))))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IF(A98="","",IF(E98="","TERMINAL",IF(AG98="","INFO",IF(ABS(AG98)&lt;=0.01,"OK","CHECK"))))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IF(A99="","",IF(E99="","TERMINAL",IF(AG99="","INFO",IF(ABS(AG99)&lt;=0.01,"OK","CHECK"))))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IF(A100="","",IF(E100="","TERMINAL",IF(AG100="","INFO",IF(ABS(AG100)&lt;=0.01,"OK","CHECK"))))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IF(A101="","",IF(E101="","TERMINAL",IF(AG101="","INFO",IF(ABS(AG101)&lt;=0.01,"OK","CHECK"))))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IF(A102="","",IF(E102="","TERMINAL",IF(AG102="","INFO",IF(ABS(AG102)&lt;=0.01,"OK","CHECK"))))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IF(A103="","",IF(E103="","TERMINAL",IF(AG103="","INFO",IF(ABS(AG103)&lt;=0.01,"OK","CHECK"))))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IF(A104="","",IF(E104="","TERMINAL",IF(AG104="","INFO",IF(ABS(AG104)&lt;=0.01,"OK","CHECK"))))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IF(A105="","",IF(E105="","TERMINAL",IF(AG105="","INFO",IF(ABS(AG105)&lt;=0.01,"OK","CHECK"))))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IF(A106="","",IF(E106="","TERMINAL",IF(AG106="","INFO",IF(ABS(AG106)&lt;=0.01,"OK","CHECK"))))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IF(A107="","",IF(E107="","TERMINAL",IF(AG107="","INFO",IF(ABS(AG107)&lt;=0.01,"OK","CHECK"))))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IF(A108="","",IF(E108="","TERMINAL",IF(AG108="","INFO",IF(ABS(AG108)&lt;=0.01,"OK","CHECK"))))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IF(A109="","",IF(E109="","TERMINAL",IF(AG109="","INFO",IF(ABS(AG109)&lt;=0.01,"OK","CHECK"))))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IF(A110="","",IF(E110="","TERMINAL",IF(AG110="","INFO",IF(ABS(AG110)&lt;=0.01,"OK","CHECK"))))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IF(A111="","",IF(E111="","TERMINAL",IF(AG111="","INFO",IF(ABS(AG111)&lt;=0.01,"OK","CHECK"))))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IF(A112="","",IF(E112="","TERMINAL",IF(AG112="","INFO",IF(ABS(AG112)&lt;=0.01,"OK","CHECK"))))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IF(A113="","",IF(E113="","TERMINAL",IF(AG113="","INFO",IF(ABS(AG113)&lt;=0.01,"OK","CHECK"))))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IF(A114="","",IF(E114="","TERMINAL",IF(AG114="","INFO",IF(ABS(AG114)&lt;=0.01,"OK","CHECK"))))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IF(A115="","",IF(E115="","TERMINAL",IF(AG115="","INFO",IF(ABS(AG115)&lt;=0.01,"OK","CHECK"))))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IF(A116="","",IF(E116="","TERMINAL",IF(AG116="","INFO",IF(ABS(AG116)&lt;=0.01,"OK","CHECK"))))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IF(A117="","",IF(E117="","TERMINAL",IF(AG117="","INFO",IF(ABS(AG117)&lt;=0.01,"OK","CHECK"))))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IF(A118="","",IF(E118="","TERMINAL",IF(AG118="","INFO",IF(ABS(AG118)&lt;=0.01,"OK","CHECK"))))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IF(A119="","",IF(E119="","TERMINAL",IF(AG119="","INFO",IF(ABS(AG119)&lt;=0.01,"OK","CHECK"))))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IF(A120="","",IF(E120="","TERMINAL",IF(AG120="","INFO",IF(ABS(AG120)&lt;=0.01,"OK","CHECK"))))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IF(A121="","",IF(E121="","TERMINAL",IF(AG121="","INFO",IF(ABS(AG121)&lt;=0.01,"OK","CHECK"))))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IF(A122="","",IF(E122="","TERMINAL",IF(AG122="","INFO",IF(ABS(AG122)&lt;=0.01,"OK","CHECK"))))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IF(A123="","",IF(E123="","TERMINAL",IF(AG123="","INFO",IF(ABS(AG123)&lt;=0.01,"OK","CHECK"))))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IF(A124="","",IF(E124="","TERMINAL",IF(AG124="","INFO",IF(ABS(AG124)&lt;=0.01,"OK","CHECK"))))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IF(A125="","",IF(E125="","TERMINAL",IF(AG125="","INFO",IF(ABS(AG125)&lt;=0.01,"OK","CHECK"))))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IF(A126="","",IF(E126="","TERMINAL",IF(AG126="","INFO",IF(ABS(AG126)&lt;=0.01,"OK","CHECK"))))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IF(A127="","",IF(E127="","TERMINAL",IF(AG127="","INFO",IF(ABS(AG127)&lt;=0.01,"OK","CHECK"))))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IF(A128="","",IF(E128="","TERMINAL",IF(AG128="","INFO",IF(ABS(AG128)&lt;=0.01,"OK","CHECK"))))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IF(A129="","",IF(E129="","TERMINAL",IF(AG129="","INFO",IF(ABS(AG129)&lt;=0.01,"OK","CHECK"))))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IF(A130="","",IF(E130="","TERMINAL",IF(AG130="","INFO",IF(ABS(AG130)&lt;=0.01,"OK","CHECK"))))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IF(A131="","",IF(E131="","TERMINAL",IF(AG131="","INFO",IF(ABS(AG131)&lt;=0.01,"OK","CHECK"))))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IF(A132="","",IF(E132="","TERMINAL",IF(AG132="","INFO",IF(ABS(AG132)&lt;=0.01,"OK","CHECK"))))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IF(A133="","",IF(E133="","TERMINAL",IF(AG133="","INFO",IF(ABS(AG133)&lt;=0.01,"OK","CHECK"))))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IF(A134="","",IF(E134="","TERMINAL",IF(AG134="","INFO",IF(ABS(AG134)&lt;=0.01,"OK","CHECK"))))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IF(A135="","",IF(E135="","TERMINAL",IF(AG135="","INFO",IF(ABS(AG135)&lt;=0.01,"OK","CHECK"))))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IF(A136="","",IF(E136="","TERMINAL",IF(AG136="","INFO",IF(ABS(AG136)&lt;=0.01,"OK","CHECK"))))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IF(A137="","",IF(E137="","TERMINAL",IF(AG137="","INFO",IF(ABS(AG137)&lt;=0.01,"OK","CHECK"))))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IF(A138="","",IF(E138="","TERMINAL",IF(AG138="","INFO",IF(ABS(AG138)&lt;=0.01,"OK","CHECK"))))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IF(A139="","",IF(E139="","TERMINAL",IF(AG139="","INFO",IF(ABS(AG139)&lt;=0.01,"OK","CHECK"))))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IF(A140="","",IF(E140="","TERMINAL",IF(AG140="","INFO",IF(ABS(AG140)&lt;=0.01,"OK","CHECK"))))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IF(A141="","",IF(E141="","TERMINAL",IF(AG141="","INFO",IF(ABS(AG141)&lt;=0.01,"OK","CHECK"))))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IF(A142="","",IF(E142="","TERMINAL",IF(AG142="","INFO",IF(ABS(AG142)&lt;=0.01,"OK","CHECK"))))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IF(A143="","",IF(E143="","TERMINAL",IF(AG143="","INFO",IF(ABS(AG143)&lt;=0.01,"OK","CHECK"))))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IF(A144="","",IF(E144="","TERMINAL",IF(AG144="","INFO",IF(ABS(AG144)&lt;=0.01,"OK","CHECK"))))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IF(A145="","",IF(E145="","TERMINAL",IF(AG145="","INFO",IF(ABS(AG145)&lt;=0.01,"OK","CHECK"))))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IF(A146="","",IF(E146="","TERMINAL",IF(AG146="","INFO",IF(ABS(AG146)&lt;=0.01,"OK","CHECK"))))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IF(A147="","",IF(E147="","TERMINAL",IF(AG147="","INFO",IF(ABS(AG147)&lt;=0.01,"OK","CHECK"))))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IF(A148="","",IF(E148="","TERMINAL",IF(AG148="","INFO",IF(ABS(AG148)&lt;=0.01,"OK","CHECK"))))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IF(A149="","",IF(E149="","TERMINAL",IF(AG149="","INFO",IF(ABS(AG149)&lt;=0.01,"OK","CHECK"))))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IF(A150="","",IF(E150="","TERMINAL",IF(AG150="","INFO",IF(ABS(AG150)&lt;=0.01,"OK","CHECK"))))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IF(A151="","",IF(E151="","TERMINAL",IF(AG151="","INFO",IF(ABS(AG151)&lt;=0.01,"OK","CHECK"))))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IF(A152="","",IF(E152="","TERMINAL",IF(AG152="","INFO",IF(ABS(AG152)&lt;=0.01,"OK","CHECK"))))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IF(A153="","",IF(E153="","TERMINAL",IF(AG153="","INFO",IF(ABS(AG153)&lt;=0.01,"OK","CHECK"))))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IF(A154="","",IF(E154="","TERMINAL",IF(AG154="","INFO",IF(ABS(AG154)&lt;=0.01,"OK","CHECK"))))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IF(A155="","",IF(E155="","TERMINAL",IF(AG155="","INFO",IF(ABS(AG155)&lt;=0.01,"OK","CHECK"))))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IF(A156="","",IF(E156="","TERMINAL",IF(AG156="","INFO",IF(ABS(AG156)&lt;=0.01,"OK","CHECK"))))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IF(A157="","",IF(E157="","TERMINAL",IF(AG157="","INFO",IF(ABS(AG157)&lt;=0.01,"OK","CHECK"))))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IF(A158="","",IF(E158="","TERMINAL",IF(AG158="","INFO",IF(ABS(AG158)&lt;=0.01,"OK","CHECK"))))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IF(A159="","",IF(E159="","TERMINAL",IF(AG159="","INFO",IF(ABS(AG159)&lt;=0.01,"OK","CHECK"))))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IF(A160="","",IF(E160="","TERMINAL",IF(AG160="","INFO",IF(ABS(AG160)&lt;=0.01,"OK","CHECK"))))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IF(A161="","",IF(E161="","TERMINAL",IF(AG161="","INFO",IF(ABS(AG161)&lt;=0.01,"OK","CHECK"))))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IF(A162="","",IF(E162="","TERMINAL",IF(AG162="","INFO",IF(ABS(AG162)&lt;=0.01,"OK","CHECK"))))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IF(A163="","",IF(E163="","TERMINAL",IF(AG163="","INFO",IF(ABS(AG163)&lt;=0.01,"OK","CHECK"))))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IF(A164="","",IF(E164="","TERMINAL",IF(AG164="","INFO",IF(ABS(AG164)&lt;=0.01,"OK","CHECK"))))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IF(A165="","",IF(E165="","TERMINAL",IF(AG165="","INFO",IF(ABS(AG165)&lt;=0.01,"OK","CHECK"))))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IF(A166="","",IF(E166="","TERMINAL",IF(AG166="","INFO",IF(ABS(AG166)&lt;=0.01,"OK","CHECK"))))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IF(A167="","",IF(E167="","TERMINAL",IF(AG167="","INFO",IF(ABS(AG167)&lt;=0.01,"OK","CHECK"))))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IF(A168="","",IF(E168="","TERMINAL",IF(AG168="","INFO",IF(ABS(AG168)&lt;=0.01,"OK","CHECK"))))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IF(A169="","",IF(E169="","TERMINAL",IF(AG169="","INFO",IF(ABS(AG169)&lt;=0.01,"OK","CHECK"))))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IF(A170="","",IF(E170="","TERMINAL",IF(AG170="","INFO",IF(ABS(AG170)&lt;=0.01,"OK","CHECK"))))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IF(A171="","",IF(E171="","TERMINAL",IF(AG171="","INFO",IF(ABS(AG171)&lt;=0.01,"OK","CHECK"))))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IF(A172="","",IF(E172="","TERMINAL",IF(AG172="","INFO",IF(ABS(AG172)&lt;=0.01,"OK","CHECK"))))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IF(A173="","",IF(E173="","TERMINAL",IF(AG173="","INFO",IF(ABS(AG173)&lt;=0.01,"OK","CHECK"))))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IF(A174="","",IF(E174="","TERMINAL",IF(AG174="","INFO",IF(ABS(AG174)&lt;=0.01,"OK","CHECK"))))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IF(A175="","",IF(E175="","TERMINAL",IF(AG175="","INFO",IF(ABS(AG175)&lt;=0.01,"OK","CHECK"))))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IF(A176="","",IF(E176="","TERMINAL",IF(AG176="","INFO",IF(ABS(AG176)&lt;=0.01,"OK","CHECK"))))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IF(A177="","",IF(E177="","TERMINAL",IF(AG177="","INFO",IF(ABS(AG177)&lt;=0.01,"OK","CHECK"))))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IF(A178="","",IF(E178="","TERMINAL",IF(AG178="","INFO",IF(ABS(AG178)&lt;=0.01,"OK","CHECK"))))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IF(A179="","",IF(E179="","TERMINAL",IF(AG179="","INFO",IF(ABS(AG179)&lt;=0.01,"OK","CHECK"))))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IF(A180="","",IF(E180="","TERMINAL",IF(AG180="","INFO",IF(ABS(AG180)&lt;=0.01,"OK","CHECK"))))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IF(A181="","",IF(E181="","TERMINAL",IF(AG181="","INFO",IF(ABS(AG181)&lt;=0.01,"OK","CHECK"))))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IF(A182="","",IF(E182="","TERMINAL",IF(AG182="","INFO",IF(ABS(AG182)&lt;=0.01,"OK","CHECK"))))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IF(A183="","",IF(E183="","TERMINAL",IF(AG183="","INFO",IF(ABS(AG183)&lt;=0.01,"OK","CHECK"))))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IF(A184="","",IF(E184="","TERMINAL",IF(AG184="","INFO",IF(ABS(AG184)&lt;=0.01,"OK","CHECK"))))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IF(A185="","",IF(E185="","TERMINAL",IF(AG185="","INFO",IF(ABS(AG185)&lt;=0.01,"OK","CHECK"))))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IF(A186="","",IF(E186="","TERMINAL",IF(AG186="","INFO",IF(ABS(AG186)&lt;=0.01,"OK","CHECK"))))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IF(A187="","",IF(E187="","TERMINAL",IF(AG187="","INFO",IF(ABS(AG187)&lt;=0.01,"OK","CHECK"))))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IF(A188="","",IF(E188="","TERMINAL",IF(AG188="","INFO",IF(ABS(AG188)&lt;=0.01,"OK","CHECK"))))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IF(A189="","",IF(E189="","TERMINAL",IF(AG189="","INFO",IF(ABS(AG189)&lt;=0.01,"OK","CHECK"))))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IF(A190="","",IF(E190="","TERMINAL",IF(AG190="","INFO",IF(ABS(AG190)&lt;=0.01,"OK","CHECK"))))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IF(A191="","",IF(E191="","TERMINAL",IF(AG191="","INFO",IF(ABS(AG191)&lt;=0.01,"OK","CHECK"))))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IF(A192="","",IF(E192="","TERMINAL",IF(AG192="","INFO",IF(ABS(AG192)&lt;=0.01,"OK","CHECK"))))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IF(A193="","",IF(E193="","TERMINAL",IF(AG193="","INFO",IF(ABS(AG193)&lt;=0.01,"OK","CHECK"))))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IF(A194="","",IF(E194="","TERMINAL",IF(AG194="","INFO",IF(ABS(AG194)&lt;=0.01,"OK","CHECK"))))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IF(A195="","",IF(E195="","TERMINAL",IF(AG195="","INFO",IF(ABS(AG195)&lt;=0.01,"OK","CHECK"))))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IF(A196="","",IF(E196="","TERMINAL",IF(AG196="","INFO",IF(ABS(AG196)&lt;=0.01,"OK","CHECK"))))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IF(A197="","",IF(E197="","TERMINAL",IF(AG197="","INFO",IF(ABS(AG197)&lt;=0.01,"OK","CHECK"))))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IF(A198="","",IF(E198="","TERMINAL",IF(AG198="","INFO",IF(ABS(AG198)&lt;=0.01,"OK","CHECK"))))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IF(A199="","",IF(E199="","TERMINAL",IF(AG199="","INFO",IF(ABS(AG199)&lt;=0.01,"OK","CHECK"))))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IF(A200="","",IF(E200="","TERMINAL",IF(AG200="","INFO",IF(ABS(AG200)&lt;=0.01,"OK","CHECK"))))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IF(A201="","",IF(E201="","TERMINAL",IF(AG201="","INFO",IF(ABS(AG201)&lt;=0.01,"OK","CHECK"))))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IF(A202="","",IF(E202="","TERMINAL",IF(AG202="","INFO",IF(ABS(AG202)&lt;=0.01,"OK","CHECK"))))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IF(A203="","",IF(E203="","TERMINAL",IF(AG203="","INFO",IF(ABS(AG203)&lt;=0.01,"OK","CHECK"))))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IF(A204="","",IF(E204="","TERMINAL",IF(AG204="","INFO",IF(ABS(AG204)&lt;=0.01,"OK","CHECK"))))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n"/>
      <c r="B17" s="4" t="n"/>
      <c r="C17" s="7" t="n"/>
      <c r="D17" s="7" t="n"/>
      <c r="E17" s="8">
        <f>IF(OR(C17="",D17=""),"",MAX(0,C17-D17))</f>
        <v/>
      </c>
      <c r="F17" s="7" t="n"/>
      <c r="G17" s="7" t="n"/>
      <c r="H17" s="7" t="n"/>
      <c r="I17" s="8">
        <f>IF(A17="","",IF(UPPER(TRIM(F17))="CIRC",PI()*(G17/2)^2*E17,IF(UPPER(TRIM(F17))="RECT",G17*H17*E17,"")))</f>
        <v/>
      </c>
      <c r="J17" s="7" t="n"/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+ pipe DN250</t>
        </is>
      </c>
      <c r="D5" s="4" t="inlineStr">
        <is>
          <t>E05B (PIPE)</t>
        </is>
      </c>
      <c r="E5" s="4" t="inlineStr">
        <is>
          <t>slope ~1.0%</t>
        </is>
      </c>
      <c r="F5" s="4" t="inlineStr">
        <is>
          <t>Raccorder aux noeuds MH.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+ pipe DN300</t>
        </is>
      </c>
      <c r="D7" s="4" t="inlineStr">
        <is>
          <t>E05D (PIPE)</t>
        </is>
      </c>
      <c r="E7" s="4" t="inlineStr">
        <is>
          <t>slope ~0.9%</t>
        </is>
      </c>
      <c r="F7" s="4" t="inlineStr">
        <is>
          <t>Verifier degagement lateraux.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Exutoire final au bassin de retention via J-BASSIN-IN -&gt;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South basin corridor width x length (m)</t>
        </is>
      </c>
      <c r="B14" s="9">
        <f>Inputs!B34&amp;" x "&amp;Inputs!B35</f>
        <v/>
      </c>
      <c r="C14" s="4" t="inlineStr">
        <is>
          <t>Between building and pedestrian road</t>
        </is>
      </c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Basin target depth (m)</t>
        </is>
      </c>
      <c r="B15" s="9">
        <f>Inputs!B36</f>
        <v/>
      </c>
      <c r="C15" s="4" t="inlineStr">
        <is>
          <t>Adjust with topo survey</t>
        </is>
      </c>
      <c r="E15" s="4" t="inlineStr">
        <is>
          <t>E05</t>
        </is>
      </c>
      <c r="F15" s="4">
        <f>IFERROR(INDEX(Elements_hybrides!$B$4:$B$204,MATCH(E15,Elements_hybrides!$A$4:$A$204,0)),"")</f>
        <v/>
      </c>
      <c r="G15" s="13">
        <f>IFERROR(INDEX(Elements_hybrides!$Q$4:$Q$204,MATCH(E15,Elements_hybrides!$A$4:$A$204,0)),"")</f>
        <v/>
      </c>
      <c r="H15" s="4">
        <f>IFERROR(INDEX(Elements_hybrides!$AA$4:$AA$204,MATCH(E15,Elements_hybrides!$A$4:$A$204,0)),"")</f>
        <v/>
      </c>
    </row>
    <row r="16">
      <c r="A16" s="4" t="inlineStr">
        <is>
          <t>Max cover near west utilities (m)</t>
        </is>
      </c>
      <c r="B16" s="9">
        <f>Inputs!B39</f>
        <v/>
      </c>
      <c r="C16" s="4" t="inlineStr">
        <is>
          <t>Conservative limit</t>
        </is>
      </c>
      <c r="E16" s="4" t="inlineStr">
        <is>
          <t>E06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E17" s="4" t="inlineStr">
        <is>
          <t>E07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2026-07-04T14:28:08Z</dcterms:modified>
</cp:coreProperties>
</file>