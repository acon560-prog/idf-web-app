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  <row r="51">
      <c r="A51" t="inlineStr">
        <is>
          <t>Strategie ouest revisee: traverses pave-uni traitees en caniveaux de surface (E05B, E05D), pas en conduites enterrees.</t>
        </is>
      </c>
    </row>
    <row r="52">
      <c r="A52" t="inlineStr">
        <is>
          <t>Objectif: eviter cas pipe profond -&gt; noue aval plus haute, et garder un profil gravitaire lisible.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7423.67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33.5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1.148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7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  <row r="58">
      <c r="A58" s="3" t="inlineStr">
        <is>
          <t>C_pavage</t>
        </is>
      </c>
      <c r="B58" s="5" t="n">
        <v>0.85</v>
      </c>
      <c r="C58" s="4" t="inlineStr">
        <is>
          <t>-</t>
        </is>
      </c>
      <c r="D58" s="4" t="inlineStr">
        <is>
          <t>Coefficient ruissellement pour surfaces pavees (pave-uni/pavage).</t>
        </is>
      </c>
    </row>
    <row r="59">
      <c r="A59" s="3" t="inlineStr">
        <is>
          <t>Tc_travel_velocity_mps</t>
        </is>
      </c>
      <c r="B59" s="5" t="n">
        <v>1</v>
      </c>
      <c r="C59" s="4" t="inlineStr">
        <is>
          <t>m/s</t>
        </is>
      </c>
      <c r="D59" s="4" t="inlineStr">
        <is>
          <t>Vitesse adoptee pour calcul temps de transit dans element route (evite references circulaires).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  <col width="18" customWidth="1" min="12" max="12"/>
    <col width="24" customWidth="1" min="13" max="13"/>
    <col width="17" customWidth="1" min="14" max="14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  <c r="L3" s="6" t="inlineStr">
        <is>
          <t>Tc_base_override_min</t>
        </is>
      </c>
      <c r="M3" s="6" t="inlineStr">
        <is>
          <t>Travel_time_routed_element_min</t>
        </is>
      </c>
      <c r="N3" s="6" t="inlineStr">
        <is>
          <t>Tc_auto_used_min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8">
        <f>IF(A4="","",N4)</f>
        <v/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  <c r="L4" s="5" t="n">
        <v>12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8">
        <f>IF(A5="","",N5)</f>
        <v/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  <c r="L5" s="5" t="n">
        <v>8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8">
        <f>IF(A6="","",N6)</f>
        <v/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  <c r="L6" s="5" t="n">
        <v>10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8">
        <f>IF(A7="","",N7)</f>
        <v/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  <c r="L7" s="5" t="n">
        <v>10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PAVAGE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8">
        <f>IF(A8="","",N8)</f>
        <v/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Surface pavage (pas tresfond).</t>
        </is>
      </c>
      <c r="L8" s="5" t="n">
        <v>10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8">
        <f>IF(A9="","",N9)</f>
        <v/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  <c r="L9" s="5" t="n">
        <v>10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PAVAGE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8">
        <f>IF(A10="","",N10)</f>
        <v/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pavage principal (pave-uni), entre Z05 et Z06.</t>
        </is>
      </c>
      <c r="L10" s="5" t="n">
        <v>9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8">
        <f>IF(A11="","",N11)</f>
        <v/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  <c r="L11" s="5" t="n">
        <v>10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8">
        <f>IF(A12="","",N12)</f>
        <v/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  <c r="L12" s="5" t="n">
        <v>10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4" t="inlineStr">
        <is>
          <t>Z10</t>
        </is>
      </c>
      <c r="B13" s="4" t="inlineStr">
        <is>
          <t>Sud gris local (pavage)</t>
        </is>
      </c>
      <c r="C13" s="4" t="inlineStr">
        <is>
          <t>PAVAGE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8">
        <f>IF(A13="","",N13)</f>
        <v/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Surface pavage locale (pas tresfond), routage vers entree EST.</t>
        </is>
      </c>
      <c r="L13" s="5" t="n">
        <v>8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8">
        <f>IF(A14="","",N14)</f>
        <v/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  <c r="L14" s="5" t="n">
        <v>10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4" t="inlineStr">
        <is>
          <t>Z12</t>
        </is>
      </c>
      <c r="B15" s="4" t="inlineStr">
        <is>
          <t>Sud est gris petit (pavage)</t>
        </is>
      </c>
      <c r="C15" s="4" t="inlineStr">
        <is>
          <t>PAVAGE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8">
        <f>IF(A15="","",N15)</f>
        <v/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Surface pavage petite zone sud-est (pas tresfond).</t>
        </is>
      </c>
      <c r="L15" s="5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4" t="n"/>
      <c r="B16" s="4" t="n"/>
      <c r="C16" s="4" t="n"/>
      <c r="D16" s="7" t="n"/>
      <c r="E16" s="7" t="n"/>
      <c r="F16" s="8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8">
        <f>IF(A16="","",N16)</f>
        <v/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  <c r="L16" s="5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8">
        <f>IF(A17="","",N17)</f>
        <v/>
      </c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  <c r="L17" s="5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8">
        <f>IF(A18="","",N18)</f>
        <v/>
      </c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  <c r="L18" s="5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8">
        <f>IF(A19="","",N19)</f>
        <v/>
      </c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  <c r="L19" s="5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8">
        <f>IF(A20="","",N20)</f>
        <v/>
      </c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  <c r="L20" s="5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8">
        <f>IF(A21="","",N21)</f>
        <v/>
      </c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  <c r="L21" s="5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8">
        <f>IF(A22="","",N22)</f>
        <v/>
      </c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  <c r="L22" s="5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8">
        <f>IF(A23="","",N23)</f>
        <v/>
      </c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  <c r="L23" s="5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8">
        <f>IF(A24="","",N24)</f>
        <v/>
      </c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  <c r="L24" s="5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8">
        <f>IF(A25="","",N25)</f>
        <v/>
      </c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  <c r="L25" s="5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8">
        <f>IF(A26="","",N26)</f>
        <v/>
      </c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  <c r="L26" s="5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8">
        <f>IF(A27="","",N27)</f>
        <v/>
      </c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  <c r="L27" s="5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8">
        <f>IF(A28="","",N28)</f>
        <v/>
      </c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  <c r="L28" s="5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8">
        <f>IF(A29="","",N29)</f>
        <v/>
      </c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  <c r="L29" s="5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8">
        <f>IF(A30="","",N30)</f>
        <v/>
      </c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  <c r="L30" s="5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8">
        <f>IF(A31="","",N31)</f>
        <v/>
      </c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  <c r="L31" s="5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8">
        <f>IF(A32="","",N32)</f>
        <v/>
      </c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  <c r="L32" s="5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8">
        <f>IF(A33="","",N33)</f>
        <v/>
      </c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  <c r="L33" s="5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8">
        <f>IF(A34="","",N34)</f>
        <v/>
      </c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  <c r="L34" s="5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8">
        <f>IF(A35="","",N35)</f>
        <v/>
      </c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  <c r="L35" s="5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8">
        <f>IF(A36="","",N36)</f>
        <v/>
      </c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  <c r="L36" s="5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8">
        <f>IF(A37="","",N37)</f>
        <v/>
      </c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  <c r="L37" s="5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8">
        <f>IF(A38="","",N38)</f>
        <v/>
      </c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  <c r="L38" s="5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8">
        <f>IF(A39="","",N39)</f>
        <v/>
      </c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  <c r="L39" s="5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8">
        <f>IF(A40="","",N40)</f>
        <v/>
      </c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  <c r="L40" s="5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8">
        <f>IF(A41="","",N41)</f>
        <v/>
      </c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  <c r="L41" s="5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8">
        <f>IF(A42="","",N42)</f>
        <v/>
      </c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  <c r="L42" s="5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8">
        <f>IF(A43="","",N43)</f>
        <v/>
      </c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  <c r="L43" s="5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8">
        <f>IF(A44="","",N44)</f>
        <v/>
      </c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  <c r="L44" s="5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8">
        <f>IF(A45="","",N45)</f>
        <v/>
      </c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  <c r="L45" s="5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8">
        <f>IF(A46="","",N46)</f>
        <v/>
      </c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  <c r="L46" s="5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8">
        <f>IF(A47="","",N47)</f>
        <v/>
      </c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  <c r="L47" s="5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8">
        <f>IF(A48="","",N48)</f>
        <v/>
      </c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  <c r="L48" s="5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8">
        <f>IF(A49="","",N49)</f>
        <v/>
      </c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  <c r="L49" s="5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8">
        <f>IF(A50="","",N50)</f>
        <v/>
      </c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  <c r="L50" s="5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8">
        <f>IF(A51="","",N51)</f>
        <v/>
      </c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  <c r="L51" s="5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8">
        <f>IF(A52="","",N52)</f>
        <v/>
      </c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  <c r="L52" s="5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8">
        <f>IF(A53="","",N53)</f>
        <v/>
      </c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  <c r="L53" s="5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8">
        <f>IF(A54="","",N54)</f>
        <v/>
      </c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  <c r="L54" s="5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8">
        <f>IF(A55="","",N55)</f>
        <v/>
      </c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  <c r="L55" s="5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8">
        <f>IF(A56="","",N56)</f>
        <v/>
      </c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  <c r="L56" s="5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8">
        <f>IF(A57="","",N57)</f>
        <v/>
      </c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  <c r="L57" s="5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8">
        <f>IF(A58="","",N58)</f>
        <v/>
      </c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  <c r="L58" s="5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8">
        <f>IF(A59="","",N59)</f>
        <v/>
      </c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  <c r="L59" s="5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8">
        <f>IF(A60="","",N60)</f>
        <v/>
      </c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  <c r="L60" s="5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8">
        <f>IF(A61="","",N61)</f>
        <v/>
      </c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  <c r="L61" s="5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8">
        <f>IF(A62="","",N62)</f>
        <v/>
      </c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  <c r="L62" s="5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8">
        <f>IF(A63="","",N63)</f>
        <v/>
      </c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  <c r="L63" s="5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8">
        <f>IF(A64="","",N64)</f>
        <v/>
      </c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  <c r="L64" s="5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8">
        <f>IF(A65="","",N65)</f>
        <v/>
      </c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  <c r="L65" s="5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8">
        <f>IF(A66="","",N66)</f>
        <v/>
      </c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  <c r="L66" s="5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8">
        <f>IF(A67="","",N67)</f>
        <v/>
      </c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  <c r="L67" s="5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8">
        <f>IF(A68="","",N68)</f>
        <v/>
      </c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  <c r="L68" s="5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8">
        <f>IF(A69="","",N69)</f>
        <v/>
      </c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  <c r="L69" s="5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8">
        <f>IF(A70="","",N70)</f>
        <v/>
      </c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  <c r="L70" s="5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8">
        <f>IF(A71="","",N71)</f>
        <v/>
      </c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  <c r="L71" s="5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8">
        <f>IF(A72="","",N72)</f>
        <v/>
      </c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  <c r="L72" s="5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8">
        <f>IF(A73="","",N73)</f>
        <v/>
      </c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  <c r="L73" s="5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8">
        <f>IF(A74="","",N74)</f>
        <v/>
      </c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  <c r="L74" s="5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8">
        <f>IF(A75="","",N75)</f>
        <v/>
      </c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  <c r="L75" s="5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8">
        <f>IF(A76="","",N76)</f>
        <v/>
      </c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  <c r="L76" s="5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8">
        <f>IF(A77="","",N77)</f>
        <v/>
      </c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  <c r="L77" s="5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8">
        <f>IF(A78="","",N78)</f>
        <v/>
      </c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  <c r="L78" s="5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8">
        <f>IF(A79="","",N79)</f>
        <v/>
      </c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  <c r="L79" s="5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8">
        <f>IF(A80="","",N80)</f>
        <v/>
      </c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  <c r="L80" s="5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8">
        <f>IF(A81="","",N81)</f>
        <v/>
      </c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  <c r="L81" s="5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8">
        <f>IF(A82="","",N82)</f>
        <v/>
      </c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  <c r="L82" s="5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8">
        <f>IF(A83="","",N83)</f>
        <v/>
      </c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  <c r="L83" s="5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8">
        <f>IF(A84="","",N84)</f>
        <v/>
      </c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  <c r="L84" s="5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8">
        <f>IF(A85="","",N85)</f>
        <v/>
      </c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  <c r="L85" s="5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8">
        <f>IF(A86="","",N86)</f>
        <v/>
      </c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  <c r="L86" s="5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8">
        <f>IF(A87="","",N87)</f>
        <v/>
      </c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  <c r="L87" s="5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8">
        <f>IF(A88="","",N88)</f>
        <v/>
      </c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  <c r="L88" s="5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8">
        <f>IF(A89="","",N89)</f>
        <v/>
      </c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  <c r="L89" s="5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8">
        <f>IF(A90="","",N90)</f>
        <v/>
      </c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  <c r="L90" s="5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8">
        <f>IF(A91="","",N91)</f>
        <v/>
      </c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  <c r="L91" s="5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8">
        <f>IF(A92="","",N92)</f>
        <v/>
      </c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  <c r="L92" s="5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8">
        <f>IF(A93="","",N93)</f>
        <v/>
      </c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  <c r="L93" s="5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8">
        <f>IF(A94="","",N94)</f>
        <v/>
      </c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  <c r="L94" s="5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8">
        <f>IF(A95="","",N95)</f>
        <v/>
      </c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  <c r="L95" s="5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8">
        <f>IF(A96="","",N96)</f>
        <v/>
      </c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  <c r="L96" s="5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8">
        <f>IF(A97="","",N97)</f>
        <v/>
      </c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  <c r="L97" s="5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8">
        <f>IF(A98="","",N98)</f>
        <v/>
      </c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  <c r="L98" s="5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8">
        <f>IF(A99="","",N99)</f>
        <v/>
      </c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  <c r="L99" s="5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8">
        <f>IF(A100="","",N100)</f>
        <v/>
      </c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  <c r="L100" s="5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8">
        <f>IF(A101="","",N101)</f>
        <v/>
      </c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  <c r="L101" s="5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8">
        <f>IF(A102="","",N102)</f>
        <v/>
      </c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  <c r="L102" s="5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8">
        <f>IF(A103="","",N103)</f>
        <v/>
      </c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  <c r="L103" s="5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8">
        <f>IF(A104="","",N104)</f>
        <v/>
      </c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  <c r="L104" s="5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8">
        <f>IF(A105="","",N105)</f>
        <v/>
      </c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  <c r="L105" s="5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8">
        <f>IF(A106="","",N106)</f>
        <v/>
      </c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  <c r="L106" s="5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8">
        <f>IF(A107="","",N107)</f>
        <v/>
      </c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  <c r="L107" s="5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8">
        <f>IF(A108="","",N108)</f>
        <v/>
      </c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  <c r="L108" s="5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8">
        <f>IF(A109="","",N109)</f>
        <v/>
      </c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  <c r="L109" s="5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8">
        <f>IF(A110="","",N110)</f>
        <v/>
      </c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  <c r="L110" s="5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8">
        <f>IF(A111="","",N111)</f>
        <v/>
      </c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  <c r="L111" s="5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8">
        <f>IF(A112="","",N112)</f>
        <v/>
      </c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  <c r="L112" s="5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8">
        <f>IF(A113="","",N113)</f>
        <v/>
      </c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  <c r="L113" s="5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8">
        <f>IF(A114="","",N114)</f>
        <v/>
      </c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  <c r="L114" s="5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8">
        <f>IF(A115="","",N115)</f>
        <v/>
      </c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  <c r="L115" s="5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8">
        <f>IF(A116="","",N116)</f>
        <v/>
      </c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  <c r="L116" s="5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8">
        <f>IF(A117="","",N117)</f>
        <v/>
      </c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  <c r="L117" s="5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8">
        <f>IF(A118="","",N118)</f>
        <v/>
      </c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  <c r="L118" s="5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8">
        <f>IF(A119="","",N119)</f>
        <v/>
      </c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  <c r="L119" s="5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8">
        <f>IF(A120="","",N120)</f>
        <v/>
      </c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  <c r="L120" s="5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8">
        <f>IF(A121="","",N121)</f>
        <v/>
      </c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  <c r="L121" s="5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8">
        <f>IF(A122="","",N122)</f>
        <v/>
      </c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  <c r="L122" s="5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8">
        <f>IF(A123="","",N123)</f>
        <v/>
      </c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  <c r="L123" s="5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8">
        <f>IF(A124="","",N124)</f>
        <v/>
      </c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  <c r="L124" s="5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8">
        <f>IF(A125="","",N125)</f>
        <v/>
      </c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  <c r="L125" s="5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8">
        <f>IF(A126="","",N126)</f>
        <v/>
      </c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  <c r="L126" s="5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8">
        <f>IF(A127="","",N127)</f>
        <v/>
      </c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  <c r="L127" s="5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8">
        <f>IF(A128="","",N128)</f>
        <v/>
      </c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  <c r="L128" s="5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8">
        <f>IF(A129="","",N129)</f>
        <v/>
      </c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  <c r="L129" s="5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8">
        <f>IF(A130="","",N130)</f>
        <v/>
      </c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  <c r="L130" s="5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8">
        <f>IF(A131="","",N131)</f>
        <v/>
      </c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  <c r="L131" s="5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8">
        <f>IF(A132="","",N132)</f>
        <v/>
      </c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  <c r="L132" s="5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8">
        <f>IF(A133="","",N133)</f>
        <v/>
      </c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  <c r="L133" s="5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8">
        <f>IF(A134="","",N134)</f>
        <v/>
      </c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  <c r="L134" s="5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8">
        <f>IF(A135="","",N135)</f>
        <v/>
      </c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  <c r="L135" s="5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8">
        <f>IF(A136="","",N136)</f>
        <v/>
      </c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  <c r="L136" s="5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8">
        <f>IF(A137="","",N137)</f>
        <v/>
      </c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  <c r="L137" s="5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8">
        <f>IF(A138="","",N138)</f>
        <v/>
      </c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  <c r="L138" s="5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8">
        <f>IF(A139="","",N139)</f>
        <v/>
      </c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  <c r="L139" s="5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8">
        <f>IF(A140="","",N140)</f>
        <v/>
      </c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  <c r="L140" s="5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8">
        <f>IF(A141="","",N141)</f>
        <v/>
      </c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  <c r="L141" s="5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8">
        <f>IF(A142="","",N142)</f>
        <v/>
      </c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  <c r="L142" s="5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8">
        <f>IF(A143="","",N143)</f>
        <v/>
      </c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  <c r="L143" s="5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8">
        <f>IF(A144="","",N144)</f>
        <v/>
      </c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  <c r="L144" s="5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8">
        <f>IF(A145="","",N145)</f>
        <v/>
      </c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  <c r="L145" s="5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8">
        <f>IF(A146="","",N146)</f>
        <v/>
      </c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  <c r="L146" s="5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8">
        <f>IF(A147="","",N147)</f>
        <v/>
      </c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  <c r="L147" s="5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8">
        <f>IF(A148="","",N148)</f>
        <v/>
      </c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  <c r="L148" s="5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8">
        <f>IF(A149="","",N149)</f>
        <v/>
      </c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  <c r="L149" s="5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8">
        <f>IF(A150="","",N150)</f>
        <v/>
      </c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  <c r="L150" s="5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8">
        <f>IF(A151="","",N151)</f>
        <v/>
      </c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  <c r="L151" s="5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8">
        <f>IF(A152="","",N152)</f>
        <v/>
      </c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  <c r="L152" s="5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8">
        <f>IF(A153="","",N153)</f>
        <v/>
      </c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  <c r="L153" s="5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8">
        <f>IF(A154="","",N154)</f>
        <v/>
      </c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  <c r="L154" s="5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8">
        <f>IF(A155="","",N155)</f>
        <v/>
      </c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  <c r="L155" s="5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8">
        <f>IF(A156="","",N156)</f>
        <v/>
      </c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  <c r="L156" s="5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8">
        <f>IF(A157="","",N157)</f>
        <v/>
      </c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  <c r="L157" s="5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8">
        <f>IF(A158="","",N158)</f>
        <v/>
      </c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  <c r="L158" s="5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8">
        <f>IF(A159="","",N159)</f>
        <v/>
      </c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  <c r="L159" s="5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8">
        <f>IF(A160="","",N160)</f>
        <v/>
      </c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  <c r="L160" s="5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8">
        <f>IF(A161="","",N161)</f>
        <v/>
      </c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  <c r="L161" s="5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8">
        <f>IF(A162="","",N162)</f>
        <v/>
      </c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  <c r="L162" s="5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8">
        <f>IF(A163="","",N163)</f>
        <v/>
      </c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  <c r="L163" s="5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8">
        <f>IF(A164="","",N164)</f>
        <v/>
      </c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  <c r="L164" s="5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8">
        <f>IF(A165="","",N165)</f>
        <v/>
      </c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  <c r="L165" s="5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8">
        <f>IF(A166="","",N166)</f>
        <v/>
      </c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  <c r="L166" s="5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8">
        <f>IF(A167="","",N167)</f>
        <v/>
      </c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  <c r="L167" s="5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8">
        <f>IF(A168="","",N168)</f>
        <v/>
      </c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  <c r="L168" s="5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8">
        <f>IF(A169="","",N169)</f>
        <v/>
      </c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  <c r="L169" s="5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8">
        <f>IF(A170="","",N170)</f>
        <v/>
      </c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  <c r="L170" s="5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8">
        <f>IF(A171="","",N171)</f>
        <v/>
      </c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  <c r="L171" s="5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8">
        <f>IF(A172="","",N172)</f>
        <v/>
      </c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  <c r="L172" s="5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8">
        <f>IF(A173="","",N173)</f>
        <v/>
      </c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  <c r="L173" s="5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8">
        <f>IF(A174="","",N174)</f>
        <v/>
      </c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  <c r="L174" s="5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8">
        <f>IF(A175="","",N175)</f>
        <v/>
      </c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  <c r="L175" s="5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8">
        <f>IF(A176="","",N176)</f>
        <v/>
      </c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  <c r="L176" s="5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8">
        <f>IF(A177="","",N177)</f>
        <v/>
      </c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  <c r="L177" s="5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8">
        <f>IF(A178="","",N178)</f>
        <v/>
      </c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  <c r="L178" s="5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8">
        <f>IF(A179="","",N179)</f>
        <v/>
      </c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  <c r="L179" s="5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8">
        <f>IF(A180="","",N180)</f>
        <v/>
      </c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  <c r="L180" s="5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8">
        <f>IF(A181="","",N181)</f>
        <v/>
      </c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  <c r="L181" s="5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8">
        <f>IF(A182="","",N182)</f>
        <v/>
      </c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  <c r="L182" s="5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8">
        <f>IF(A183="","",N183)</f>
        <v/>
      </c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  <c r="L183" s="5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8">
        <f>IF(A184="","",N184)</f>
        <v/>
      </c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  <c r="L184" s="5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8">
        <f>IF(A185="","",N185)</f>
        <v/>
      </c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  <c r="L185" s="5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8">
        <f>IF(A186="","",N186)</f>
        <v/>
      </c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  <c r="L186" s="5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8">
        <f>IF(A187="","",N187)</f>
        <v/>
      </c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  <c r="L187" s="5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8">
        <f>IF(A188="","",N188)</f>
        <v/>
      </c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  <c r="L188" s="5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8">
        <f>IF(A189="","",N189)</f>
        <v/>
      </c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  <c r="L189" s="5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8">
        <f>IF(A190="","",N190)</f>
        <v/>
      </c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  <c r="L190" s="5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8">
        <f>IF(A191="","",N191)</f>
        <v/>
      </c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  <c r="L191" s="5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8">
        <f>IF(A192="","",N192)</f>
        <v/>
      </c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  <c r="L192" s="5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8">
        <f>IF(A193="","",N193)</f>
        <v/>
      </c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  <c r="L193" s="5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8">
        <f>IF(A194="","",N194)</f>
        <v/>
      </c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  <c r="L194" s="5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8">
        <f>IF(A195="","",N195)</f>
        <v/>
      </c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  <c r="L195" s="5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8">
        <f>IF(A196="","",N196)</f>
        <v/>
      </c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  <c r="L196" s="5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8">
        <f>IF(A197="","",N197)</f>
        <v/>
      </c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  <c r="L197" s="5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8">
        <f>IF(A198="","",N198)</f>
        <v/>
      </c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  <c r="L198" s="5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8">
        <f>IF(A199="","",N199)</f>
        <v/>
      </c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  <c r="L199" s="5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8">
        <f>IF(A200="","",N200)</f>
        <v/>
      </c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  <c r="L200" s="5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8">
        <f>IF(A201="","",N201)</f>
        <v/>
      </c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  <c r="L201" s="5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8">
        <f>IF(A202="","",N202)</f>
        <v/>
      </c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  <c r="L202" s="5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8">
        <f>IF(A203="","",N203)</f>
        <v/>
      </c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  <c r="L203" s="5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8">
        <f>IF(A204="","",N204)</f>
        <v/>
      </c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  <c r="L204" s="5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9.6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Longueur corrigee selon plan: P-01 -&gt; P-02 = 9.6 m.</t>
        </is>
      </c>
      <c r="AC4" s="7" t="n"/>
      <c r="AD4" s="8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8.699999999999999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Longueur corrigee selon plan: P-02 -&gt; P-03 = 8.7 m.</t>
        </is>
      </c>
      <c r="AC5" s="7" t="n"/>
      <c r="AD5" s="8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SWALE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n">
        <v>0.015</v>
      </c>
      <c r="I9" s="8">
        <f>IF(A9="","",IF(H9&lt;&gt;"",H9,IF(UPPER(TRIM(B9))="PIPE",Inputs!$B$7,IF(UPPER(TRIM(B9))="SWALE",Inputs!$B$8,Inputs!$B$9))))</f>
        <v/>
      </c>
      <c r="J9" s="7" t="inlineStr"/>
      <c r="K9" s="7" t="n">
        <v>0.25</v>
      </c>
      <c r="L9" s="7" t="n">
        <v>0.08</v>
      </c>
      <c r="M9" s="7" t="n">
        <v>0</v>
      </c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par caniveau a grille de surface (pas de conduite enterree sur ce troncon).</t>
        </is>
      </c>
      <c r="AC9" s="7" t="n"/>
      <c r="AD9" s="8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SWALE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n">
        <v>0.015</v>
      </c>
      <c r="I11" s="8">
        <f>IF(A11="","",IF(H11&lt;&gt;"",H11,IF(UPPER(TRIM(B11))="PIPE",Inputs!$B$7,IF(UPPER(TRIM(B11))="SWALE",Inputs!$B$8,Inputs!$B$9))))</f>
        <v/>
      </c>
      <c r="J11" s="7" t="inlineStr"/>
      <c r="K11" s="7" t="n">
        <v>0.3</v>
      </c>
      <c r="L11" s="7" t="n">
        <v>0.1</v>
      </c>
      <c r="M11" s="7" t="n">
        <v>0</v>
      </c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par caniveau a grille de surface (pas de conduite enterree sur ce troncon).</t>
        </is>
      </c>
      <c r="AC11" s="7" t="n"/>
      <c r="AD11" s="8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de surface</t>
        </is>
      </c>
      <c r="D5" s="4" t="inlineStr">
        <is>
          <t>E05B (CANIVEAU SURFACE)</t>
        </is>
      </c>
      <c r="E5" s="4" t="inlineStr">
        <is>
          <t>section ~0.25 x 0.08 m</t>
        </is>
      </c>
      <c r="F5" s="4" t="inlineStr">
        <is>
          <t>Aucune remontee hydraulique requise; ecoulement de surface continu.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de surface</t>
        </is>
      </c>
      <c r="D7" s="4" t="inlineStr">
        <is>
          <t>E05D (CANIVEAU SURFACE)</t>
        </is>
      </c>
      <c r="E7" s="4" t="inlineStr">
        <is>
          <t>section ~0.30 x 0.10 m</t>
        </is>
      </c>
      <c r="F7" s="4" t="inlineStr">
        <is>
          <t>Aucune conduite profonde de traversee sur ce troncon.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Deux entrees au bassin: EST (J-BASSIN-IN) et OUEST (J-BASSIN-OUEST) vers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West connector to basin inlet (m)</t>
        </is>
      </c>
      <c r="B14" s="9">
        <f>Inputs!B53</f>
        <v/>
      </c>
      <c r="C14" s="4" t="inlineStr">
        <is>
          <t>Measured corner link J-OUEST-AVAL -&gt; J-BASSIN-OUEST</t>
        </is>
      </c>
      <c r="D14" s="4" t="n"/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Retention basin corridor width x length (m)</t>
        </is>
      </c>
      <c r="B15" s="9">
        <f>Inputs!B34&amp;" x "&amp;Inputs!B35</f>
        <v/>
      </c>
      <c r="C15" s="4" t="inlineStr">
        <is>
          <t>Storage geometry at node BASSIN-RET (not an E04 reach).</t>
        </is>
      </c>
      <c r="D15" s="4" t="n"/>
      <c r="E15" s="4" t="inlineStr"/>
      <c r="F15" s="18" t="inlineStr">
        <is>
          <t>BASSIN-RET (node)</t>
        </is>
      </c>
      <c r="G15" s="13" t="inlineStr"/>
      <c r="H15" s="4" t="inlineStr">
        <is>
          <t>N/A</t>
        </is>
      </c>
    </row>
    <row r="16">
      <c r="A16" s="4" t="inlineStr">
        <is>
          <t>East inlet pipe length to basin (m)</t>
        </is>
      </c>
      <c r="B16" s="9">
        <f>IFERROR(INDEX(Elements_hybrides!$F$4:$F$204,MATCH("E07",Elements_hybrides!$A$4:$A$204,0)),"")</f>
        <v/>
      </c>
      <c r="C16" s="4" t="inlineStr">
        <is>
          <t>J-BASSIN-IN -&gt; BASSIN-RET</t>
        </is>
      </c>
      <c r="D16" s="4" t="n"/>
      <c r="E16" s="4" t="inlineStr">
        <is>
          <t>E07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A17" s="4" t="inlineStr">
        <is>
          <t>West inlet pipe length to basin (m)</t>
        </is>
      </c>
      <c r="B17" s="4">
        <f>IFERROR(INDEX(Elements_hybrides!$F$4:$F$204,MATCH("E08",Elements_hybrides!$A$4:$A$204,0)),"")</f>
        <v/>
      </c>
      <c r="C17" s="4" t="inlineStr">
        <is>
          <t>J-BASSIN-OUEST -&gt; BASSIN-RET</t>
        </is>
      </c>
      <c r="D17" s="4" t="n"/>
      <c r="E17" s="4" t="inlineStr">
        <is>
          <t>E08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2026-07-05T22:56:55Z</dcterms:modified>
</cp:coreProperties>
</file>