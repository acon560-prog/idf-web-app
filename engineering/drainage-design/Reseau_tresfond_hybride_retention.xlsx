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29.4</v>
      </c>
      <c r="C35" s="4" t="inlineStr">
        <is>
          <t>m</t>
        </is>
      </c>
      <c r="D35" s="4" t="inlineStr">
        <is>
          <t>Longueur exploitable du bassin lineaire sud.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collecte sud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vert 1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</t>
        </is>
      </c>
      <c r="K7" s="4" t="inlineStr">
        <is>
          <t>Vers collecte ouest</t>
        </is>
      </c>
    </row>
    <row r="8">
      <c r="A8" s="4" t="inlineStr">
        <is>
          <t>Z05</t>
        </is>
      </c>
      <c r="B8" s="4" t="inlineStr">
        <is>
          <t>Ouest vert 2</t>
        </is>
      </c>
      <c r="C8" s="4" t="inlineStr">
        <is>
          <t>GRASS</t>
        </is>
      </c>
      <c r="D8" s="7" t="n">
        <v>6.7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</t>
        </is>
      </c>
      <c r="K8" s="4" t="inlineStr">
        <is>
          <t>Vers collecte ouest</t>
        </is>
      </c>
    </row>
    <row r="9">
      <c r="A9" s="4" t="inlineStr">
        <is>
          <t>Z06</t>
        </is>
      </c>
      <c r="B9" s="4" t="inlineStr">
        <is>
          <t>Ouest vert 3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</t>
        </is>
      </c>
      <c r="K9" s="4" t="inlineStr">
        <is>
          <t>Vers collecte ouest</t>
        </is>
      </c>
    </row>
    <row r="10">
      <c r="A10" s="4" t="inlineStr">
        <is>
          <t>Z07</t>
        </is>
      </c>
      <c r="B10" s="4" t="inlineStr">
        <is>
          <t>Ouest pave-uni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</t>
        </is>
      </c>
      <c r="K10" s="4" t="inlineStr">
        <is>
          <t>Surface mineralisee ouest</t>
        </is>
      </c>
    </row>
    <row r="11">
      <c r="A11" s="4" t="inlineStr">
        <is>
          <t>Z08</t>
        </is>
      </c>
      <c r="B11" s="4" t="inlineStr">
        <is>
          <t>Ouest vert 4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</t>
        </is>
      </c>
      <c r="K11" s="4" t="inlineStr">
        <is>
          <t>Vers collecte ouest</t>
        </is>
      </c>
    </row>
    <row r="12">
      <c r="A12" s="4" t="inlineStr">
        <is>
          <t>Z09</t>
        </is>
      </c>
      <c r="B12" s="4" t="inlineStr">
        <is>
          <t>Bande sud verte centrale</t>
        </is>
      </c>
      <c r="C12" s="4" t="inlineStr">
        <is>
          <t>GRASS</t>
        </is>
      </c>
      <c r="D12" s="7" t="n">
        <v>109.7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IF(E13&lt;&gt;"",E13,IF(UPPER(TRIM(C13))="ROOF",Inputs!$B$10,IF(UPPER(TRIM(C13))="TRESFOND",Inputs!$B$11,IF(UPPER(TRIM(C13))="GRASS",Inputs!$B$12,Inputs!$B$13))))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E04</t>
        </is>
      </c>
      <c r="K13" s="4" t="inlineStr">
        <is>
          <t>Vers noue sud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IF(E14&lt;&gt;"",E14,IF(UPPER(TRIM(C14))="ROOF",Inputs!$B$10,IF(UPPER(TRIM(C14))="TRESFOND",Inputs!$B$11,IF(UPPER(TRIM(C14))="GRASS",Inputs!$B$12,Inputs!$B$13))))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E04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IF(E15&lt;&gt;"",E15,IF(UPPER(TRIM(C15))="ROOF",Inputs!$B$10,IF(UPPER(TRIM(C15))="TRESFOND",Inputs!$B$11,IF(UPPER(TRIM(C15))="GRASS",Inputs!$B$12,Inputs!$B$13))))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E04</t>
        </is>
      </c>
      <c r="K15" s="4" t="inlineStr">
        <is>
          <t>Vers noue sud</t>
        </is>
      </c>
    </row>
    <row r="16">
      <c r="A16" s="4" t="n"/>
      <c r="B16" s="4" t="n"/>
      <c r="C16" s="4" t="n"/>
      <c r="D16" s="7" t="n"/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IF(A4="","",IF(OR(U4&gt;1,AND(X4&lt;&gt;"",X4&lt;Inputs!$B$16),AND(X4&lt;&gt;"",X4&gt;Inputs!$B$17),G4&lt;Inputs!$B$18),"CHECK","OK"))</f>
        <v/>
      </c>
      <c r="AB4" s="4" t="inlineStr">
        <is>
          <t>Bande est amont: tranchee drainante sous arbres (segment 1).</t>
        </is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IF(A5="","",IF(OR(U5&gt;1,AND(X5&lt;&gt;"",X5&lt;Inputs!$B$16),AND(X5&lt;&gt;"",X5&gt;Inputs!$B$17),G5&lt;Inputs!$B$18),"CHECK","OK"))</f>
        <v/>
      </c>
      <c r="AB5" s="4" t="inlineStr">
        <is>
          <t>Bande est aval: tranchee drainante sous arbres (segment 2).</t>
        </is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20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n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IF(A6="","",IF(OR(U6&gt;1,AND(X6&lt;&gt;"",X6&lt;Inputs!$B$16),AND(X6&lt;&gt;"",X6&gt;Inputs!$B$17),G6&lt;Inputs!$B$18),"CHECK","OK"))</f>
        <v/>
      </c>
      <c r="AB6" s="4" t="inlineStr">
        <is>
          <t>Collecteur est vers J-BASSIN-IN (hors zone racinaire dense).</t>
        </is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J-SUD-EST</t>
        </is>
      </c>
      <c r="D7" s="4" t="inlineStr">
        <is>
          <t>J-SUD-OUEST</t>
        </is>
      </c>
      <c r="E7" s="4" t="inlineStr">
        <is>
          <t>E07</t>
        </is>
      </c>
      <c r="F7" s="7">
        <f>Inputs!$B$35</f>
        <v/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Inputs!$B$25</f>
        <v/>
      </c>
      <c r="L7" s="7">
        <f>Inputs!$B$26</f>
        <v/>
      </c>
      <c r="M7" s="7">
        <f>Inputs!$B$20</f>
        <v/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IF(A7="","",IF(OR(U7&gt;1,AND(X7&lt;&gt;"",X7&lt;Inputs!$B$16),AND(X7&lt;&gt;"",X7&gt;Inputs!$B$17),G7&lt;Inputs!$B$18),"CHECK","OK"))</f>
        <v/>
      </c>
      <c r="AB7" s="4" t="inlineStr">
        <is>
          <t>Noue/tranchee sud dans bande 2.0m vers bassin lineaire.</t>
        </is>
      </c>
    </row>
    <row r="8">
      <c r="A8" s="4" t="inlineStr">
        <is>
          <t>E05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J-OUEST-AVAL</t>
        </is>
      </c>
      <c r="E8" s="4" t="inlineStr">
        <is>
          <t>E06</t>
        </is>
      </c>
      <c r="F8" s="7" t="n">
        <v>16</v>
      </c>
      <c r="G8" s="7" t="n">
        <v>0.008</v>
      </c>
      <c r="H8" s="7" t="inlineStr"/>
      <c r="I8" s="8">
        <f>IF(A8="","",IF(H8&lt;&gt;"",H8,IF(UPPER(TRIM(B8))="PIPE",Inputs!$B$7,IF(UPPER(TRIM(B8))="SWALE",Inputs!$B$8,Inputs!$B$9))))</f>
        <v/>
      </c>
      <c r="J8" s="7" t="n"/>
      <c r="K8" s="7" t="n">
        <v>0.8</v>
      </c>
      <c r="L8" s="7" t="n">
        <v>0.2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IF(A8="","",IF(OR(U8&gt;1,AND(X8&lt;&gt;"",X8&lt;Inputs!$B$16),AND(X8&lt;&gt;"",X8&gt;Inputs!$B$17),G8&lt;Inputs!$B$18),"CHECK","OK"))</f>
        <v/>
      </c>
      <c r="AB8" s="4" t="inlineStr">
        <is>
          <t>Collecte ouest avec conduite peu profonde/element lineaire compatible utilites.</t>
        </is>
      </c>
    </row>
    <row r="9">
      <c r="A9" s="4" t="inlineStr">
        <is>
          <t>E06</t>
        </is>
      </c>
      <c r="B9" s="4" t="inlineStr">
        <is>
          <t>PIPE</t>
        </is>
      </c>
      <c r="C9" s="4" t="inlineStr">
        <is>
          <t>J-OUEST-AVAL</t>
        </is>
      </c>
      <c r="D9" s="4" t="inlineStr">
        <is>
          <t>J-BASSIN-IN</t>
        </is>
      </c>
      <c r="E9" s="4" t="inlineStr">
        <is>
          <t>E07</t>
        </is>
      </c>
      <c r="F9" s="7" t="n">
        <v>8</v>
      </c>
      <c r="G9" s="7" t="n">
        <v>0.008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300</v>
      </c>
      <c r="K9" s="7" t="inlineStr"/>
      <c r="L9" s="7" t="inlineStr"/>
      <c r="M9" s="7" t="n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IF(A9="","",IF(OR(U9&gt;1,AND(X9&lt;&gt;"",X9&lt;Inputs!$B$16),AND(X9&lt;&gt;"",X9&gt;Inputs!$B$17),G9&lt;Inputs!$B$18),"CHECK","OK"))</f>
        <v/>
      </c>
      <c r="AB9" s="4" t="inlineStr">
        <is>
          <t>Branche ouest vers J-BASSIN-IN (traverse utilites avec precautions).</t>
        </is>
      </c>
    </row>
    <row r="10">
      <c r="A10" s="4" t="inlineStr">
        <is>
          <t>E07</t>
        </is>
      </c>
      <c r="B10" s="4" t="inlineStr">
        <is>
          <t>PIPE</t>
        </is>
      </c>
      <c r="C10" s="4" t="inlineStr">
        <is>
          <t>J-BASSIN-IN</t>
        </is>
      </c>
      <c r="D10" s="4" t="inlineStr">
        <is>
          <t>BASSIN-RET</t>
        </is>
      </c>
      <c r="E10" s="4" t="inlineStr"/>
      <c r="F10" s="7" t="n">
        <v>6</v>
      </c>
      <c r="G10" s="7" t="n">
        <v>0.006</v>
      </c>
      <c r="H10" s="7" t="inlineStr"/>
      <c r="I10" s="8">
        <f>IF(A10="","",IF(H10&lt;&gt;"",H10,IF(UPPER(TRIM(B10))="PIPE",Inputs!$B$7,IF(UPPER(TRIM(B10))="SWALE",Inputs!$B$8,Inputs!$B$9))))</f>
        <v/>
      </c>
      <c r="J10" s="7" t="n">
        <v>525</v>
      </c>
      <c r="K10" s="7" t="inlineStr"/>
      <c r="L10" s="7" t="inlineStr"/>
      <c r="M10" s="7" t="n"/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IF(A10="","",IF(OR(U10&gt;1,AND(X10&lt;&gt;"",X10&lt;Inputs!$B$16),AND(X10&lt;&gt;"",X10&gt;Inputs!$B$17),G10&lt;Inputs!$B$18),"CHECK","OK"))</f>
        <v/>
      </c>
      <c r="AB10" s="4" t="inlineStr">
        <is>
          <t>Injection finale vers BASSIN-RET lineaire sud.</t>
        </is>
      </c>
    </row>
    <row r="11">
      <c r="A11" s="4" t="n"/>
      <c r="B11" s="4" t="n"/>
      <c r="C11" s="4" t="n"/>
      <c r="D11" s="4" t="n"/>
      <c r="E11" s="4" t="n"/>
      <c r="F11" s="7" t="n"/>
      <c r="G11" s="7" t="n"/>
      <c r="H11" s="7" t="n"/>
      <c r="I11" s="8">
        <f>IF(A11="","",IF(H11&lt;&gt;"",H11,IF(UPPER(TRIM(B11))="PIPE",Inputs!$B$7,IF(UPPER(TRIM(B11))="SWALE",Inputs!$B$8,Inputs!$B$9))))</f>
        <v/>
      </c>
      <c r="J11" s="7" t="n"/>
      <c r="K11" s="7" t="n"/>
      <c r="L11" s="7" t="n"/>
      <c r="M11" s="7" t="n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IF(A11="","",IF(OR(U11&gt;1,AND(X11&lt;&gt;"",X11&lt;Inputs!$B$16),AND(X11&lt;&gt;"",X11&gt;Inputs!$B$17),G11&lt;Inputs!$B$18),"CHECK","OK"))</f>
        <v/>
      </c>
      <c r="AB11" s="4" t="n"/>
    </row>
    <row r="12">
      <c r="A12" s="4" t="n"/>
      <c r="B12" s="4" t="n"/>
      <c r="C12" s="4" t="n"/>
      <c r="D12" s="4" t="n"/>
      <c r="E12" s="4" t="n"/>
      <c r="F12" s="7" t="n"/>
      <c r="G12" s="7" t="n"/>
      <c r="H12" s="7" t="n"/>
      <c r="I12" s="8">
        <f>IF(A12="","",IF(H12&lt;&gt;"",H12,IF(UPPER(TRIM(B12))="PIPE",Inputs!$B$7,IF(UPPER(TRIM(B12))="SWALE",Inputs!$B$8,Inputs!$B$9))))</f>
        <v/>
      </c>
      <c r="J12" s="7" t="n"/>
      <c r="K12" s="7" t="n"/>
      <c r="L12" s="7" t="n"/>
      <c r="M12" s="7" t="n"/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IF(A12="","",IF(OR(U12&gt;1,AND(X12&lt;&gt;"",X12&lt;Inputs!$B$16),AND(X12&lt;&gt;"",X12&gt;Inputs!$B$17),G12&lt;Inputs!$B$18),"CHECK","OK"))</f>
        <v/>
      </c>
      <c r="AB12" s="4" t="n"/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IF(A13="","",IF(OR(U13&gt;1,AND(X13&lt;&gt;"",X13&lt;Inputs!$B$16),AND(X13&lt;&gt;"",X13&gt;Inputs!$B$17),G13&lt;Inputs!$B$18),"CHECK","OK"))</f>
        <v/>
      </c>
      <c r="AB13" s="4" t="n"/>
    </row>
    <row r="14">
      <c r="A14" s="4" t="n"/>
      <c r="B14" s="4" t="n"/>
      <c r="C14" s="4" t="n"/>
      <c r="D14" s="4" t="n"/>
      <c r="E14" s="4" t="n"/>
      <c r="F14" s="7" t="n"/>
      <c r="G14" s="7" t="n"/>
      <c r="H14" s="7" t="n"/>
      <c r="I14" s="8">
        <f>IF(A14="","",IF(H14&lt;&gt;"",H14,IF(UPPER(TRIM(B14))="PIPE",Inputs!$B$7,IF(UPPER(TRIM(B14))="SWALE",Inputs!$B$8,Inputs!$B$9))))</f>
        <v/>
      </c>
      <c r="J14" s="7" t="n"/>
      <c r="K14" s="7" t="n"/>
      <c r="L14" s="7" t="n"/>
      <c r="M14" s="7" t="n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IF(A14="","",IF(OR(U14&gt;1,AND(X14&lt;&gt;"",X14&lt;Inputs!$B$16),AND(X14&lt;&gt;"",X14&gt;Inputs!$B$17),G14&lt;Inputs!$B$18),"CHECK","OK"))</f>
        <v/>
      </c>
      <c r="AB14" s="4" t="n"/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IF(A15="","",IF(OR(U15&gt;1,AND(X15&lt;&gt;"",X15&lt;Inputs!$B$16),AND(X15&lt;&gt;"",X15&gt;Inputs!$B$17),G15&lt;Inputs!$B$18),"CHECK","OK"))</f>
        <v/>
      </c>
      <c r="AB15" s="4" t="n"/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>
        <v>0</v>
      </c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IF(A16="","",IF(OR(U16&gt;1,AND(X16&lt;&gt;"",X16&lt;Inputs!$B$16),AND(X16&lt;&gt;"",X16&gt;Inputs!$B$17),G16&lt;Inputs!$B$18),"CHECK","OK"))</f>
        <v/>
      </c>
      <c r="AB16" s="4" t="n"/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>
        <v>0</v>
      </c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IF(A17="","",IF(OR(U17&gt;1,AND(X17&lt;&gt;"",X17&lt;Inputs!$B$16),AND(X17&lt;&gt;"",X17&gt;Inputs!$B$17),G17&lt;Inputs!$B$18),"CHECK","OK"))</f>
        <v/>
      </c>
      <c r="AB17" s="4" t="n"/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>
        <v>0</v>
      </c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IF(A18="","",IF(OR(U18&gt;1,AND(X18&lt;&gt;"",X18&lt;Inputs!$B$16),AND(X18&lt;&gt;"",X18&gt;Inputs!$B$17),G18&lt;Inputs!$B$18),"CHECK","OK"))</f>
        <v/>
      </c>
      <c r="AB18" s="4" t="n"/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>
        <v>0</v>
      </c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IF(A19="","",IF(OR(U19&gt;1,AND(X19&lt;&gt;"",X19&lt;Inputs!$B$16),AND(X19&lt;&gt;"",X19&gt;Inputs!$B$17),G19&lt;Inputs!$B$18),"CHECK","OK"))</f>
        <v/>
      </c>
      <c r="AB19" s="4" t="n"/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>
        <v>0</v>
      </c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IF(A20="","",IF(OR(U20&gt;1,AND(X20&lt;&gt;"",X20&lt;Inputs!$B$16),AND(X20&lt;&gt;"",X20&gt;Inputs!$B$17),G20&lt;Inputs!$B$18),"CHECK","OK"))</f>
        <v/>
      </c>
      <c r="AB20" s="4" t="n"/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IF(A21="","",IF(OR(U21&gt;1,AND(X21&lt;&gt;"",X21&lt;Inputs!$B$16),AND(X21&lt;&gt;"",X21&gt;Inputs!$B$17),G21&lt;Inputs!$B$18),"CHECK","OK"))</f>
        <v/>
      </c>
      <c r="AB21" s="4" t="n"/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IF(A22="","",IF(OR(U22&gt;1,AND(X22&lt;&gt;"",X22&lt;Inputs!$B$16),AND(X22&lt;&gt;"",X22&gt;Inputs!$B$17),G22&lt;Inputs!$B$18),"CHECK","OK"))</f>
        <v/>
      </c>
      <c r="AB22" s="4" t="n"/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IF(A23="","",IF(OR(U23&gt;1,AND(X23&lt;&gt;"",X23&lt;Inputs!$B$16),AND(X23&lt;&gt;"",X23&gt;Inputs!$B$17),G23&lt;Inputs!$B$18),"CHECK","OK"))</f>
        <v/>
      </c>
      <c r="AB23" s="4" t="n"/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IF(A24="","",IF(OR(U24&gt;1,AND(X24&lt;&gt;"",X24&lt;Inputs!$B$16),AND(X24&lt;&gt;"",X24&gt;Inputs!$B$17),G24&lt;Inputs!$B$18),"CHECK","OK"))</f>
        <v/>
      </c>
      <c r="AB24" s="4" t="n"/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IF(A25="","",IF(OR(U25&gt;1,AND(X25&lt;&gt;"",X25&lt;Inputs!$B$16),AND(X25&lt;&gt;"",X25&gt;Inputs!$B$17),G25&lt;Inputs!$B$18),"CHECK","OK"))</f>
        <v/>
      </c>
      <c r="AB25" s="4" t="n"/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IF(A26="","",IF(OR(U26&gt;1,AND(X26&lt;&gt;"",X26&lt;Inputs!$B$16),AND(X26&lt;&gt;"",X26&gt;Inputs!$B$17),G26&lt;Inputs!$B$18),"CHECK","OK"))</f>
        <v/>
      </c>
      <c r="AB26" s="4" t="n"/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IF(A27="","",IF(OR(U27&gt;1,AND(X27&lt;&gt;"",X27&lt;Inputs!$B$16),AND(X27&lt;&gt;"",X27&gt;Inputs!$B$17),G27&lt;Inputs!$B$18),"CHECK","OK"))</f>
        <v/>
      </c>
      <c r="AB27" s="4" t="n"/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IF(A28="","",IF(OR(U28&gt;1,AND(X28&lt;&gt;"",X28&lt;Inputs!$B$16),AND(X28&lt;&gt;"",X28&gt;Inputs!$B$17),G28&lt;Inputs!$B$18),"CHECK","OK"))</f>
        <v/>
      </c>
      <c r="AB28" s="4" t="n"/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IF(A29="","",IF(OR(U29&gt;1,AND(X29&lt;&gt;"",X29&lt;Inputs!$B$16),AND(X29&lt;&gt;"",X29&gt;Inputs!$B$17),G29&lt;Inputs!$B$18),"CHECK","OK"))</f>
        <v/>
      </c>
      <c r="AB29" s="4" t="n"/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IF(A30="","",IF(OR(U30&gt;1,AND(X30&lt;&gt;"",X30&lt;Inputs!$B$16),AND(X30&lt;&gt;"",X30&gt;Inputs!$B$17),G30&lt;Inputs!$B$18),"CHECK","OK"))</f>
        <v/>
      </c>
      <c r="AB30" s="4" t="n"/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IF(A31="","",IF(OR(U31&gt;1,AND(X31&lt;&gt;"",X31&lt;Inputs!$B$16),AND(X31&lt;&gt;"",X31&gt;Inputs!$B$17),G31&lt;Inputs!$B$18),"CHECK","OK"))</f>
        <v/>
      </c>
      <c r="AB31" s="4" t="n"/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IF(A32="","",IF(OR(U32&gt;1,AND(X32&lt;&gt;"",X32&lt;Inputs!$B$16),AND(X32&lt;&gt;"",X32&gt;Inputs!$B$17),G32&lt;Inputs!$B$18),"CHECK","OK"))</f>
        <v/>
      </c>
      <c r="AB32" s="4" t="n"/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IF(A33="","",IF(OR(U33&gt;1,AND(X33&lt;&gt;"",X33&lt;Inputs!$B$16),AND(X33&lt;&gt;"",X33&gt;Inputs!$B$17),G33&lt;Inputs!$B$18),"CHECK","OK"))</f>
        <v/>
      </c>
      <c r="AB33" s="4" t="n"/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IF(A34="","",IF(OR(U34&gt;1,AND(X34&lt;&gt;"",X34&lt;Inputs!$B$16),AND(X34&lt;&gt;"",X34&gt;Inputs!$B$17),G34&lt;Inputs!$B$18),"CHECK","OK"))</f>
        <v/>
      </c>
      <c r="AB34" s="4" t="n"/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IF(A35="","",IF(OR(U35&gt;1,AND(X35&lt;&gt;"",X35&lt;Inputs!$B$16),AND(X35&lt;&gt;"",X35&gt;Inputs!$B$17),G35&lt;Inputs!$B$18),"CHECK","OK"))</f>
        <v/>
      </c>
      <c r="AB35" s="4" t="n"/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IF(A36="","",IF(OR(U36&gt;1,AND(X36&lt;&gt;"",X36&lt;Inputs!$B$16),AND(X36&lt;&gt;"",X36&gt;Inputs!$B$17),G36&lt;Inputs!$B$18),"CHECK","OK"))</f>
        <v/>
      </c>
      <c r="AB36" s="4" t="n"/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IF(A37="","",IF(OR(U37&gt;1,AND(X37&lt;&gt;"",X37&lt;Inputs!$B$16),AND(X37&lt;&gt;"",X37&gt;Inputs!$B$17),G37&lt;Inputs!$B$18),"CHECK","OK"))</f>
        <v/>
      </c>
      <c r="AB37" s="4" t="n"/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IF(A38="","",IF(OR(U38&gt;1,AND(X38&lt;&gt;"",X38&lt;Inputs!$B$16),AND(X38&lt;&gt;"",X38&gt;Inputs!$B$17),G38&lt;Inputs!$B$18),"CHECK","OK"))</f>
        <v/>
      </c>
      <c r="AB38" s="4" t="n"/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IF(A39="","",IF(OR(U39&gt;1,AND(X39&lt;&gt;"",X39&lt;Inputs!$B$16),AND(X39&lt;&gt;"",X39&gt;Inputs!$B$17),G39&lt;Inputs!$B$18),"CHECK","OK"))</f>
        <v/>
      </c>
      <c r="AB39" s="4" t="n"/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IF(A40="","",IF(OR(U40&gt;1,AND(X40&lt;&gt;"",X40&lt;Inputs!$B$16),AND(X40&lt;&gt;"",X40&gt;Inputs!$B$17),G40&lt;Inputs!$B$18),"CHECK","OK"))</f>
        <v/>
      </c>
      <c r="AB40" s="4" t="n"/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IF(A41="","",IF(OR(U41&gt;1,AND(X41&lt;&gt;"",X41&lt;Inputs!$B$16),AND(X41&lt;&gt;"",X41&gt;Inputs!$B$17),G41&lt;Inputs!$B$18),"CHECK","OK"))</f>
        <v/>
      </c>
      <c r="AB41" s="4" t="n"/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IF(A42="","",IF(OR(U42&gt;1,AND(X42&lt;&gt;"",X42&lt;Inputs!$B$16),AND(X42&lt;&gt;"",X42&gt;Inputs!$B$17),G42&lt;Inputs!$B$18),"CHECK","OK"))</f>
        <v/>
      </c>
      <c r="AB42" s="4" t="n"/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IF(A43="","",IF(OR(U43&gt;1,AND(X43&lt;&gt;"",X43&lt;Inputs!$B$16),AND(X43&lt;&gt;"",X43&gt;Inputs!$B$17),G43&lt;Inputs!$B$18),"CHECK","OK"))</f>
        <v/>
      </c>
      <c r="AB43" s="4" t="n"/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IF(A44="","",IF(OR(U44&gt;1,AND(X44&lt;&gt;"",X44&lt;Inputs!$B$16),AND(X44&lt;&gt;"",X44&gt;Inputs!$B$17),G44&lt;Inputs!$B$18),"CHECK","OK"))</f>
        <v/>
      </c>
      <c r="AB44" s="4" t="n"/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IF(A45="","",IF(OR(U45&gt;1,AND(X45&lt;&gt;"",X45&lt;Inputs!$B$16),AND(X45&lt;&gt;"",X45&gt;Inputs!$B$17),G45&lt;Inputs!$B$18),"CHECK","OK"))</f>
        <v/>
      </c>
      <c r="AB45" s="4" t="n"/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IF(A46="","",IF(OR(U46&gt;1,AND(X46&lt;&gt;"",X46&lt;Inputs!$B$16),AND(X46&lt;&gt;"",X46&gt;Inputs!$B$17),G46&lt;Inputs!$B$18),"CHECK","OK"))</f>
        <v/>
      </c>
      <c r="AB46" s="4" t="n"/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IF(A47="","",IF(OR(U47&gt;1,AND(X47&lt;&gt;"",X47&lt;Inputs!$B$16),AND(X47&lt;&gt;"",X47&gt;Inputs!$B$17),G47&lt;Inputs!$B$18),"CHECK","OK"))</f>
        <v/>
      </c>
      <c r="AB47" s="4" t="n"/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IF(A48="","",IF(OR(U48&gt;1,AND(X48&lt;&gt;"",X48&lt;Inputs!$B$16),AND(X48&lt;&gt;"",X48&gt;Inputs!$B$17),G48&lt;Inputs!$B$18),"CHECK","OK"))</f>
        <v/>
      </c>
      <c r="AB48" s="4" t="n"/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IF(A49="","",IF(OR(U49&gt;1,AND(X49&lt;&gt;"",X49&lt;Inputs!$B$16),AND(X49&lt;&gt;"",X49&gt;Inputs!$B$17),G49&lt;Inputs!$B$18),"CHECK","OK"))</f>
        <v/>
      </c>
      <c r="AB49" s="4" t="n"/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IF(A50="","",IF(OR(U50&gt;1,AND(X50&lt;&gt;"",X50&lt;Inputs!$B$16),AND(X50&lt;&gt;"",X50&gt;Inputs!$B$17),G50&lt;Inputs!$B$18),"CHECK","OK"))</f>
        <v/>
      </c>
      <c r="AB50" s="4" t="n"/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IF(A51="","",IF(OR(U51&gt;1,AND(X51&lt;&gt;"",X51&lt;Inputs!$B$16),AND(X51&lt;&gt;"",X51&gt;Inputs!$B$17),G51&lt;Inputs!$B$18),"CHECK","OK"))</f>
        <v/>
      </c>
      <c r="AB51" s="4" t="n"/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IF(A52="","",IF(OR(U52&gt;1,AND(X52&lt;&gt;"",X52&lt;Inputs!$B$16),AND(X52&lt;&gt;"",X52&gt;Inputs!$B$17),G52&lt;Inputs!$B$18),"CHECK","OK"))</f>
        <v/>
      </c>
      <c r="AB52" s="4" t="n"/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IF(A53="","",IF(OR(U53&gt;1,AND(X53&lt;&gt;"",X53&lt;Inputs!$B$16),AND(X53&lt;&gt;"",X53&gt;Inputs!$B$17),G53&lt;Inputs!$B$18),"CHECK","OK"))</f>
        <v/>
      </c>
      <c r="AB53" s="4" t="n"/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IF(A54="","",IF(OR(U54&gt;1,AND(X54&lt;&gt;"",X54&lt;Inputs!$B$16),AND(X54&lt;&gt;"",X54&gt;Inputs!$B$17),G54&lt;Inputs!$B$18),"CHECK","OK"))</f>
        <v/>
      </c>
      <c r="AB54" s="4" t="n"/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IF(A55="","",IF(OR(U55&gt;1,AND(X55&lt;&gt;"",X55&lt;Inputs!$B$16),AND(X55&lt;&gt;"",X55&gt;Inputs!$B$17),G55&lt;Inputs!$B$18),"CHECK","OK"))</f>
        <v/>
      </c>
      <c r="AB55" s="4" t="n"/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IF(A56="","",IF(OR(U56&gt;1,AND(X56&lt;&gt;"",X56&lt;Inputs!$B$16),AND(X56&lt;&gt;"",X56&gt;Inputs!$B$17),G56&lt;Inputs!$B$18),"CHECK","OK"))</f>
        <v/>
      </c>
      <c r="AB56" s="4" t="n"/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IF(A57="","",IF(OR(U57&gt;1,AND(X57&lt;&gt;"",X57&lt;Inputs!$B$16),AND(X57&lt;&gt;"",X57&gt;Inputs!$B$17),G57&lt;Inputs!$B$18),"CHECK","OK"))</f>
        <v/>
      </c>
      <c r="AB57" s="4" t="n"/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IF(A58="","",IF(OR(U58&gt;1,AND(X58&lt;&gt;"",X58&lt;Inputs!$B$16),AND(X58&lt;&gt;"",X58&gt;Inputs!$B$17),G58&lt;Inputs!$B$18),"CHECK","OK"))</f>
        <v/>
      </c>
      <c r="AB58" s="4" t="n"/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IF(A59="","",IF(OR(U59&gt;1,AND(X59&lt;&gt;"",X59&lt;Inputs!$B$16),AND(X59&lt;&gt;"",X59&gt;Inputs!$B$17),G59&lt;Inputs!$B$18),"CHECK","OK"))</f>
        <v/>
      </c>
      <c r="AB59" s="4" t="n"/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IF(A60="","",IF(OR(U60&gt;1,AND(X60&lt;&gt;"",X60&lt;Inputs!$B$16),AND(X60&lt;&gt;"",X60&gt;Inputs!$B$17),G60&lt;Inputs!$B$18),"CHECK","OK"))</f>
        <v/>
      </c>
      <c r="AB60" s="4" t="n"/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IF(A61="","",IF(OR(U61&gt;1,AND(X61&lt;&gt;"",X61&lt;Inputs!$B$16),AND(X61&lt;&gt;"",X61&gt;Inputs!$B$17),G61&lt;Inputs!$B$18),"CHECK","OK"))</f>
        <v/>
      </c>
      <c r="AB61" s="4" t="n"/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IF(A62="","",IF(OR(U62&gt;1,AND(X62&lt;&gt;"",X62&lt;Inputs!$B$16),AND(X62&lt;&gt;"",X62&gt;Inputs!$B$17),G62&lt;Inputs!$B$18),"CHECK","OK"))</f>
        <v/>
      </c>
      <c r="AB62" s="4" t="n"/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IF(A63="","",IF(OR(U63&gt;1,AND(X63&lt;&gt;"",X63&lt;Inputs!$B$16),AND(X63&lt;&gt;"",X63&gt;Inputs!$B$17),G63&lt;Inputs!$B$18),"CHECK","OK"))</f>
        <v/>
      </c>
      <c r="AB63" s="4" t="n"/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IF(A64="","",IF(OR(U64&gt;1,AND(X64&lt;&gt;"",X64&lt;Inputs!$B$16),AND(X64&lt;&gt;"",X64&gt;Inputs!$B$17),G64&lt;Inputs!$B$18),"CHECK","OK"))</f>
        <v/>
      </c>
      <c r="AB64" s="4" t="n"/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IF(A65="","",IF(OR(U65&gt;1,AND(X65&lt;&gt;"",X65&lt;Inputs!$B$16),AND(X65&lt;&gt;"",X65&gt;Inputs!$B$17),G65&lt;Inputs!$B$18),"CHECK","OK"))</f>
        <v/>
      </c>
      <c r="AB65" s="4" t="n"/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IF(A66="","",IF(OR(U66&gt;1,AND(X66&lt;&gt;"",X66&lt;Inputs!$B$16),AND(X66&lt;&gt;"",X66&gt;Inputs!$B$17),G66&lt;Inputs!$B$18),"CHECK","OK"))</f>
        <v/>
      </c>
      <c r="AB66" s="4" t="n"/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IF(A67="","",IF(OR(U67&gt;1,AND(X67&lt;&gt;"",X67&lt;Inputs!$B$16),AND(X67&lt;&gt;"",X67&gt;Inputs!$B$17),G67&lt;Inputs!$B$18),"CHECK","OK"))</f>
        <v/>
      </c>
      <c r="AB67" s="4" t="n"/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IF(A68="","",IF(OR(U68&gt;1,AND(X68&lt;&gt;"",X68&lt;Inputs!$B$16),AND(X68&lt;&gt;"",X68&gt;Inputs!$B$17),G68&lt;Inputs!$B$18),"CHECK","OK"))</f>
        <v/>
      </c>
      <c r="AB68" s="4" t="n"/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IF(A69="","",IF(OR(U69&gt;1,AND(X69&lt;&gt;"",X69&lt;Inputs!$B$16),AND(X69&lt;&gt;"",X69&gt;Inputs!$B$17),G69&lt;Inputs!$B$18),"CHECK","OK"))</f>
        <v/>
      </c>
      <c r="AB69" s="4" t="n"/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IF(A70="","",IF(OR(U70&gt;1,AND(X70&lt;&gt;"",X70&lt;Inputs!$B$16),AND(X70&lt;&gt;"",X70&gt;Inputs!$B$17),G70&lt;Inputs!$B$18),"CHECK","OK"))</f>
        <v/>
      </c>
      <c r="AB70" s="4" t="n"/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IF(A71="","",IF(OR(U71&gt;1,AND(X71&lt;&gt;"",X71&lt;Inputs!$B$16),AND(X71&lt;&gt;"",X71&gt;Inputs!$B$17),G71&lt;Inputs!$B$18),"CHECK","OK"))</f>
        <v/>
      </c>
      <c r="AB71" s="4" t="n"/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IF(A72="","",IF(OR(U72&gt;1,AND(X72&lt;&gt;"",X72&lt;Inputs!$B$16),AND(X72&lt;&gt;"",X72&gt;Inputs!$B$17),G72&lt;Inputs!$B$18),"CHECK","OK"))</f>
        <v/>
      </c>
      <c r="AB72" s="4" t="n"/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IF(A73="","",IF(OR(U73&gt;1,AND(X73&lt;&gt;"",X73&lt;Inputs!$B$16),AND(X73&lt;&gt;"",X73&gt;Inputs!$B$17),G73&lt;Inputs!$B$18),"CHECK","OK"))</f>
        <v/>
      </c>
      <c r="AB73" s="4" t="n"/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IF(A74="","",IF(OR(U74&gt;1,AND(X74&lt;&gt;"",X74&lt;Inputs!$B$16),AND(X74&lt;&gt;"",X74&gt;Inputs!$B$17),G74&lt;Inputs!$B$18),"CHECK","OK"))</f>
        <v/>
      </c>
      <c r="AB74" s="4" t="n"/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IF(A75="","",IF(OR(U75&gt;1,AND(X75&lt;&gt;"",X75&lt;Inputs!$B$16),AND(X75&lt;&gt;"",X75&gt;Inputs!$B$17),G75&lt;Inputs!$B$18),"CHECK","OK"))</f>
        <v/>
      </c>
      <c r="AB75" s="4" t="n"/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IF(A76="","",IF(OR(U76&gt;1,AND(X76&lt;&gt;"",X76&lt;Inputs!$B$16),AND(X76&lt;&gt;"",X76&gt;Inputs!$B$17),G76&lt;Inputs!$B$18),"CHECK","OK"))</f>
        <v/>
      </c>
      <c r="AB76" s="4" t="n"/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IF(A77="","",IF(OR(U77&gt;1,AND(X77&lt;&gt;"",X77&lt;Inputs!$B$16),AND(X77&lt;&gt;"",X77&gt;Inputs!$B$17),G77&lt;Inputs!$B$18),"CHECK","OK"))</f>
        <v/>
      </c>
      <c r="AB77" s="4" t="n"/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IF(A78="","",IF(OR(U78&gt;1,AND(X78&lt;&gt;"",X78&lt;Inputs!$B$16),AND(X78&lt;&gt;"",X78&gt;Inputs!$B$17),G78&lt;Inputs!$B$18),"CHECK","OK"))</f>
        <v/>
      </c>
      <c r="AB78" s="4" t="n"/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IF(A79="","",IF(OR(U79&gt;1,AND(X79&lt;&gt;"",X79&lt;Inputs!$B$16),AND(X79&lt;&gt;"",X79&gt;Inputs!$B$17),G79&lt;Inputs!$B$18),"CHECK","OK"))</f>
        <v/>
      </c>
      <c r="AB79" s="4" t="n"/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IF(A80="","",IF(OR(U80&gt;1,AND(X80&lt;&gt;"",X80&lt;Inputs!$B$16),AND(X80&lt;&gt;"",X80&gt;Inputs!$B$17),G80&lt;Inputs!$B$18),"CHECK","OK"))</f>
        <v/>
      </c>
      <c r="AB80" s="4" t="n"/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IF(A81="","",IF(OR(U81&gt;1,AND(X81&lt;&gt;"",X81&lt;Inputs!$B$16),AND(X81&lt;&gt;"",X81&gt;Inputs!$B$17),G81&lt;Inputs!$B$18),"CHECK","OK"))</f>
        <v/>
      </c>
      <c r="AB81" s="4" t="n"/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IF(A82="","",IF(OR(U82&gt;1,AND(X82&lt;&gt;"",X82&lt;Inputs!$B$16),AND(X82&lt;&gt;"",X82&gt;Inputs!$B$17),G82&lt;Inputs!$B$18),"CHECK","OK"))</f>
        <v/>
      </c>
      <c r="AB82" s="4" t="n"/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IF(A83="","",IF(OR(U83&gt;1,AND(X83&lt;&gt;"",X83&lt;Inputs!$B$16),AND(X83&lt;&gt;"",X83&gt;Inputs!$B$17),G83&lt;Inputs!$B$18),"CHECK","OK"))</f>
        <v/>
      </c>
      <c r="AB83" s="4" t="n"/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IF(A84="","",IF(OR(U84&gt;1,AND(X84&lt;&gt;"",X84&lt;Inputs!$B$16),AND(X84&lt;&gt;"",X84&gt;Inputs!$B$17),G84&lt;Inputs!$B$18),"CHECK","OK"))</f>
        <v/>
      </c>
      <c r="AB84" s="4" t="n"/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IF(A85="","",IF(OR(U85&gt;1,AND(X85&lt;&gt;"",X85&lt;Inputs!$B$16),AND(X85&lt;&gt;"",X85&gt;Inputs!$B$17),G85&lt;Inputs!$B$18),"CHECK","OK"))</f>
        <v/>
      </c>
      <c r="AB85" s="4" t="n"/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IF(A86="","",IF(OR(U86&gt;1,AND(X86&lt;&gt;"",X86&lt;Inputs!$B$16),AND(X86&lt;&gt;"",X86&gt;Inputs!$B$17),G86&lt;Inputs!$B$18),"CHECK","OK"))</f>
        <v/>
      </c>
      <c r="AB86" s="4" t="n"/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IF(A87="","",IF(OR(U87&gt;1,AND(X87&lt;&gt;"",X87&lt;Inputs!$B$16),AND(X87&lt;&gt;"",X87&gt;Inputs!$B$17),G87&lt;Inputs!$B$18),"CHECK","OK"))</f>
        <v/>
      </c>
      <c r="AB87" s="4" t="n"/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IF(A88="","",IF(OR(U88&gt;1,AND(X88&lt;&gt;"",X88&lt;Inputs!$B$16),AND(X88&lt;&gt;"",X88&gt;Inputs!$B$17),G88&lt;Inputs!$B$18),"CHECK","OK"))</f>
        <v/>
      </c>
      <c r="AB88" s="4" t="n"/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IF(A89="","",IF(OR(U89&gt;1,AND(X89&lt;&gt;"",X89&lt;Inputs!$B$16),AND(X89&lt;&gt;"",X89&gt;Inputs!$B$17),G89&lt;Inputs!$B$18),"CHECK","OK"))</f>
        <v/>
      </c>
      <c r="AB89" s="4" t="n"/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IF(A90="","",IF(OR(U90&gt;1,AND(X90&lt;&gt;"",X90&lt;Inputs!$B$16),AND(X90&lt;&gt;"",X90&gt;Inputs!$B$17),G90&lt;Inputs!$B$18),"CHECK","OK"))</f>
        <v/>
      </c>
      <c r="AB90" s="4" t="n"/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IF(A91="","",IF(OR(U91&gt;1,AND(X91&lt;&gt;"",X91&lt;Inputs!$B$16),AND(X91&lt;&gt;"",X91&gt;Inputs!$B$17),G91&lt;Inputs!$B$18),"CHECK","OK"))</f>
        <v/>
      </c>
      <c r="AB91" s="4" t="n"/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IF(A92="","",IF(OR(U92&gt;1,AND(X92&lt;&gt;"",X92&lt;Inputs!$B$16),AND(X92&lt;&gt;"",X92&gt;Inputs!$B$17),G92&lt;Inputs!$B$18),"CHECK","OK"))</f>
        <v/>
      </c>
      <c r="AB92" s="4" t="n"/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IF(A93="","",IF(OR(U93&gt;1,AND(X93&lt;&gt;"",X93&lt;Inputs!$B$16),AND(X93&lt;&gt;"",X93&gt;Inputs!$B$17),G93&lt;Inputs!$B$18),"CHECK","OK"))</f>
        <v/>
      </c>
      <c r="AB93" s="4" t="n"/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IF(A94="","",IF(OR(U94&gt;1,AND(X94&lt;&gt;"",X94&lt;Inputs!$B$16),AND(X94&lt;&gt;"",X94&gt;Inputs!$B$17),G94&lt;Inputs!$B$18),"CHECK","OK"))</f>
        <v/>
      </c>
      <c r="AB94" s="4" t="n"/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IF(A95="","",IF(OR(U95&gt;1,AND(X95&lt;&gt;"",X95&lt;Inputs!$B$16),AND(X95&lt;&gt;"",X95&gt;Inputs!$B$17),G95&lt;Inputs!$B$18),"CHECK","OK"))</f>
        <v/>
      </c>
      <c r="AB95" s="4" t="n"/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IF(A96="","",IF(OR(U96&gt;1,AND(X96&lt;&gt;"",X96&lt;Inputs!$B$16),AND(X96&lt;&gt;"",X96&gt;Inputs!$B$17),G96&lt;Inputs!$B$18),"CHECK","OK"))</f>
        <v/>
      </c>
      <c r="AB96" s="4" t="n"/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IF(A97="","",IF(OR(U97&gt;1,AND(X97&lt;&gt;"",X97&lt;Inputs!$B$16),AND(X97&lt;&gt;"",X97&gt;Inputs!$B$17),G97&lt;Inputs!$B$18),"CHECK","OK"))</f>
        <v/>
      </c>
      <c r="AB97" s="4" t="n"/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IF(A98="","",IF(OR(U98&gt;1,AND(X98&lt;&gt;"",X98&lt;Inputs!$B$16),AND(X98&lt;&gt;"",X98&gt;Inputs!$B$17),G98&lt;Inputs!$B$18),"CHECK","OK"))</f>
        <v/>
      </c>
      <c r="AB98" s="4" t="n"/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IF(A99="","",IF(OR(U99&gt;1,AND(X99&lt;&gt;"",X99&lt;Inputs!$B$16),AND(X99&lt;&gt;"",X99&gt;Inputs!$B$17),G99&lt;Inputs!$B$18),"CHECK","OK"))</f>
        <v/>
      </c>
      <c r="AB99" s="4" t="n"/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IF(A100="","",IF(OR(U100&gt;1,AND(X100&lt;&gt;"",X100&lt;Inputs!$B$16),AND(X100&lt;&gt;"",X100&gt;Inputs!$B$17),G100&lt;Inputs!$B$18),"CHECK","OK"))</f>
        <v/>
      </c>
      <c r="AB100" s="4" t="n"/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IF(A101="","",IF(OR(U101&gt;1,AND(X101&lt;&gt;"",X101&lt;Inputs!$B$16),AND(X101&lt;&gt;"",X101&gt;Inputs!$B$17),G101&lt;Inputs!$B$18),"CHECK","OK"))</f>
        <v/>
      </c>
      <c r="AB101" s="4" t="n"/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IF(A102="","",IF(OR(U102&gt;1,AND(X102&lt;&gt;"",X102&lt;Inputs!$B$16),AND(X102&lt;&gt;"",X102&gt;Inputs!$B$17),G102&lt;Inputs!$B$18),"CHECK","OK"))</f>
        <v/>
      </c>
      <c r="AB102" s="4" t="n"/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IF(A103="","",IF(OR(U103&gt;1,AND(X103&lt;&gt;"",X103&lt;Inputs!$B$16),AND(X103&lt;&gt;"",X103&gt;Inputs!$B$17),G103&lt;Inputs!$B$18),"CHECK","OK"))</f>
        <v/>
      </c>
      <c r="AB103" s="4" t="n"/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IF(A104="","",IF(OR(U104&gt;1,AND(X104&lt;&gt;"",X104&lt;Inputs!$B$16),AND(X104&lt;&gt;"",X104&gt;Inputs!$B$17),G104&lt;Inputs!$B$18),"CHECK","OK"))</f>
        <v/>
      </c>
      <c r="AB104" s="4" t="n"/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IF(A105="","",IF(OR(U105&gt;1,AND(X105&lt;&gt;"",X105&lt;Inputs!$B$16),AND(X105&lt;&gt;"",X105&gt;Inputs!$B$17),G105&lt;Inputs!$B$18),"CHECK","OK"))</f>
        <v/>
      </c>
      <c r="AB105" s="4" t="n"/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IF(A106="","",IF(OR(U106&gt;1,AND(X106&lt;&gt;"",X106&lt;Inputs!$B$16),AND(X106&lt;&gt;"",X106&gt;Inputs!$B$17),G106&lt;Inputs!$B$18),"CHECK","OK"))</f>
        <v/>
      </c>
      <c r="AB106" s="4" t="n"/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IF(A107="","",IF(OR(U107&gt;1,AND(X107&lt;&gt;"",X107&lt;Inputs!$B$16),AND(X107&lt;&gt;"",X107&gt;Inputs!$B$17),G107&lt;Inputs!$B$18),"CHECK","OK"))</f>
        <v/>
      </c>
      <c r="AB107" s="4" t="n"/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IF(A108="","",IF(OR(U108&gt;1,AND(X108&lt;&gt;"",X108&lt;Inputs!$B$16),AND(X108&lt;&gt;"",X108&gt;Inputs!$B$17),G108&lt;Inputs!$B$18),"CHECK","OK"))</f>
        <v/>
      </c>
      <c r="AB108" s="4" t="n"/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IF(A109="","",IF(OR(U109&gt;1,AND(X109&lt;&gt;"",X109&lt;Inputs!$B$16),AND(X109&lt;&gt;"",X109&gt;Inputs!$B$17),G109&lt;Inputs!$B$18),"CHECK","OK"))</f>
        <v/>
      </c>
      <c r="AB109" s="4" t="n"/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IF(A110="","",IF(OR(U110&gt;1,AND(X110&lt;&gt;"",X110&lt;Inputs!$B$16),AND(X110&lt;&gt;"",X110&gt;Inputs!$B$17),G110&lt;Inputs!$B$18),"CHECK","OK"))</f>
        <v/>
      </c>
      <c r="AB110" s="4" t="n"/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IF(A111="","",IF(OR(U111&gt;1,AND(X111&lt;&gt;"",X111&lt;Inputs!$B$16),AND(X111&lt;&gt;"",X111&gt;Inputs!$B$17),G111&lt;Inputs!$B$18),"CHECK","OK"))</f>
        <v/>
      </c>
      <c r="AB111" s="4" t="n"/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IF(A112="","",IF(OR(U112&gt;1,AND(X112&lt;&gt;"",X112&lt;Inputs!$B$16),AND(X112&lt;&gt;"",X112&gt;Inputs!$B$17),G112&lt;Inputs!$B$18),"CHECK","OK"))</f>
        <v/>
      </c>
      <c r="AB112" s="4" t="n"/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IF(A113="","",IF(OR(U113&gt;1,AND(X113&lt;&gt;"",X113&lt;Inputs!$B$16),AND(X113&lt;&gt;"",X113&gt;Inputs!$B$17),G113&lt;Inputs!$B$18),"CHECK","OK"))</f>
        <v/>
      </c>
      <c r="AB113" s="4" t="n"/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IF(A114="","",IF(OR(U114&gt;1,AND(X114&lt;&gt;"",X114&lt;Inputs!$B$16),AND(X114&lt;&gt;"",X114&gt;Inputs!$B$17),G114&lt;Inputs!$B$18),"CHECK","OK"))</f>
        <v/>
      </c>
      <c r="AB114" s="4" t="n"/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IF(A115="","",IF(OR(U115&gt;1,AND(X115&lt;&gt;"",X115&lt;Inputs!$B$16),AND(X115&lt;&gt;"",X115&gt;Inputs!$B$17),G115&lt;Inputs!$B$18),"CHECK","OK"))</f>
        <v/>
      </c>
      <c r="AB115" s="4" t="n"/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IF(A116="","",IF(OR(U116&gt;1,AND(X116&lt;&gt;"",X116&lt;Inputs!$B$16),AND(X116&lt;&gt;"",X116&gt;Inputs!$B$17),G116&lt;Inputs!$B$18),"CHECK","OK"))</f>
        <v/>
      </c>
      <c r="AB116" s="4" t="n"/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IF(A117="","",IF(OR(U117&gt;1,AND(X117&lt;&gt;"",X117&lt;Inputs!$B$16),AND(X117&lt;&gt;"",X117&gt;Inputs!$B$17),G117&lt;Inputs!$B$18),"CHECK","OK"))</f>
        <v/>
      </c>
      <c r="AB117" s="4" t="n"/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IF(A118="","",IF(OR(U118&gt;1,AND(X118&lt;&gt;"",X118&lt;Inputs!$B$16),AND(X118&lt;&gt;"",X118&gt;Inputs!$B$17),G118&lt;Inputs!$B$18),"CHECK","OK"))</f>
        <v/>
      </c>
      <c r="AB118" s="4" t="n"/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IF(A119="","",IF(OR(U119&gt;1,AND(X119&lt;&gt;"",X119&lt;Inputs!$B$16),AND(X119&lt;&gt;"",X119&gt;Inputs!$B$17),G119&lt;Inputs!$B$18),"CHECK","OK"))</f>
        <v/>
      </c>
      <c r="AB119" s="4" t="n"/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IF(A120="","",IF(OR(U120&gt;1,AND(X120&lt;&gt;"",X120&lt;Inputs!$B$16),AND(X120&lt;&gt;"",X120&gt;Inputs!$B$17),G120&lt;Inputs!$B$18),"CHECK","OK"))</f>
        <v/>
      </c>
      <c r="AB120" s="4" t="n"/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IF(A121="","",IF(OR(U121&gt;1,AND(X121&lt;&gt;"",X121&lt;Inputs!$B$16),AND(X121&lt;&gt;"",X121&gt;Inputs!$B$17),G121&lt;Inputs!$B$18),"CHECK","OK"))</f>
        <v/>
      </c>
      <c r="AB121" s="4" t="n"/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IF(A122="","",IF(OR(U122&gt;1,AND(X122&lt;&gt;"",X122&lt;Inputs!$B$16),AND(X122&lt;&gt;"",X122&gt;Inputs!$B$17),G122&lt;Inputs!$B$18),"CHECK","OK"))</f>
        <v/>
      </c>
      <c r="AB122" s="4" t="n"/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IF(A123="","",IF(OR(U123&gt;1,AND(X123&lt;&gt;"",X123&lt;Inputs!$B$16),AND(X123&lt;&gt;"",X123&gt;Inputs!$B$17),G123&lt;Inputs!$B$18),"CHECK","OK"))</f>
        <v/>
      </c>
      <c r="AB123" s="4" t="n"/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IF(A124="","",IF(OR(U124&gt;1,AND(X124&lt;&gt;"",X124&lt;Inputs!$B$16),AND(X124&lt;&gt;"",X124&gt;Inputs!$B$17),G124&lt;Inputs!$B$18),"CHECK","OK"))</f>
        <v/>
      </c>
      <c r="AB124" s="4" t="n"/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IF(A125="","",IF(OR(U125&gt;1,AND(X125&lt;&gt;"",X125&lt;Inputs!$B$16),AND(X125&lt;&gt;"",X125&gt;Inputs!$B$17),G125&lt;Inputs!$B$18),"CHECK","OK"))</f>
        <v/>
      </c>
      <c r="AB125" s="4" t="n"/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IF(A126="","",IF(OR(U126&gt;1,AND(X126&lt;&gt;"",X126&lt;Inputs!$B$16),AND(X126&lt;&gt;"",X126&gt;Inputs!$B$17),G126&lt;Inputs!$B$18),"CHECK","OK"))</f>
        <v/>
      </c>
      <c r="AB126" s="4" t="n"/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IF(A127="","",IF(OR(U127&gt;1,AND(X127&lt;&gt;"",X127&lt;Inputs!$B$16),AND(X127&lt;&gt;"",X127&gt;Inputs!$B$17),G127&lt;Inputs!$B$18),"CHECK","OK"))</f>
        <v/>
      </c>
      <c r="AB127" s="4" t="n"/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IF(A128="","",IF(OR(U128&gt;1,AND(X128&lt;&gt;"",X128&lt;Inputs!$B$16),AND(X128&lt;&gt;"",X128&gt;Inputs!$B$17),G128&lt;Inputs!$B$18),"CHECK","OK"))</f>
        <v/>
      </c>
      <c r="AB128" s="4" t="n"/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IF(A129="","",IF(OR(U129&gt;1,AND(X129&lt;&gt;"",X129&lt;Inputs!$B$16),AND(X129&lt;&gt;"",X129&gt;Inputs!$B$17),G129&lt;Inputs!$B$18),"CHECK","OK"))</f>
        <v/>
      </c>
      <c r="AB129" s="4" t="n"/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IF(A130="","",IF(OR(U130&gt;1,AND(X130&lt;&gt;"",X130&lt;Inputs!$B$16),AND(X130&lt;&gt;"",X130&gt;Inputs!$B$17),G130&lt;Inputs!$B$18),"CHECK","OK"))</f>
        <v/>
      </c>
      <c r="AB130" s="4" t="n"/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IF(A131="","",IF(OR(U131&gt;1,AND(X131&lt;&gt;"",X131&lt;Inputs!$B$16),AND(X131&lt;&gt;"",X131&gt;Inputs!$B$17),G131&lt;Inputs!$B$18),"CHECK","OK"))</f>
        <v/>
      </c>
      <c r="AB131" s="4" t="n"/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IF(A132="","",IF(OR(U132&gt;1,AND(X132&lt;&gt;"",X132&lt;Inputs!$B$16),AND(X132&lt;&gt;"",X132&gt;Inputs!$B$17),G132&lt;Inputs!$B$18),"CHECK","OK"))</f>
        <v/>
      </c>
      <c r="AB132" s="4" t="n"/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IF(A133="","",IF(OR(U133&gt;1,AND(X133&lt;&gt;"",X133&lt;Inputs!$B$16),AND(X133&lt;&gt;"",X133&gt;Inputs!$B$17),G133&lt;Inputs!$B$18),"CHECK","OK"))</f>
        <v/>
      </c>
      <c r="AB133" s="4" t="n"/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IF(A134="","",IF(OR(U134&gt;1,AND(X134&lt;&gt;"",X134&lt;Inputs!$B$16),AND(X134&lt;&gt;"",X134&gt;Inputs!$B$17),G134&lt;Inputs!$B$18),"CHECK","OK"))</f>
        <v/>
      </c>
      <c r="AB134" s="4" t="n"/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IF(A135="","",IF(OR(U135&gt;1,AND(X135&lt;&gt;"",X135&lt;Inputs!$B$16),AND(X135&lt;&gt;"",X135&gt;Inputs!$B$17),G135&lt;Inputs!$B$18),"CHECK","OK"))</f>
        <v/>
      </c>
      <c r="AB135" s="4" t="n"/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IF(A136="","",IF(OR(U136&gt;1,AND(X136&lt;&gt;"",X136&lt;Inputs!$B$16),AND(X136&lt;&gt;"",X136&gt;Inputs!$B$17),G136&lt;Inputs!$B$18),"CHECK","OK"))</f>
        <v/>
      </c>
      <c r="AB136" s="4" t="n"/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IF(A137="","",IF(OR(U137&gt;1,AND(X137&lt;&gt;"",X137&lt;Inputs!$B$16),AND(X137&lt;&gt;"",X137&gt;Inputs!$B$17),G137&lt;Inputs!$B$18),"CHECK","OK"))</f>
        <v/>
      </c>
      <c r="AB137" s="4" t="n"/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IF(A138="","",IF(OR(U138&gt;1,AND(X138&lt;&gt;"",X138&lt;Inputs!$B$16),AND(X138&lt;&gt;"",X138&gt;Inputs!$B$17),G138&lt;Inputs!$B$18),"CHECK","OK"))</f>
        <v/>
      </c>
      <c r="AB138" s="4" t="n"/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IF(A139="","",IF(OR(U139&gt;1,AND(X139&lt;&gt;"",X139&lt;Inputs!$B$16),AND(X139&lt;&gt;"",X139&gt;Inputs!$B$17),G139&lt;Inputs!$B$18),"CHECK","OK"))</f>
        <v/>
      </c>
      <c r="AB139" s="4" t="n"/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IF(A140="","",IF(OR(U140&gt;1,AND(X140&lt;&gt;"",X140&lt;Inputs!$B$16),AND(X140&lt;&gt;"",X140&gt;Inputs!$B$17),G140&lt;Inputs!$B$18),"CHECK","OK"))</f>
        <v/>
      </c>
      <c r="AB140" s="4" t="n"/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IF(A141="","",IF(OR(U141&gt;1,AND(X141&lt;&gt;"",X141&lt;Inputs!$B$16),AND(X141&lt;&gt;"",X141&gt;Inputs!$B$17),G141&lt;Inputs!$B$18),"CHECK","OK"))</f>
        <v/>
      </c>
      <c r="AB141" s="4" t="n"/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IF(A142="","",IF(OR(U142&gt;1,AND(X142&lt;&gt;"",X142&lt;Inputs!$B$16),AND(X142&lt;&gt;"",X142&gt;Inputs!$B$17),G142&lt;Inputs!$B$18),"CHECK","OK"))</f>
        <v/>
      </c>
      <c r="AB142" s="4" t="n"/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IF(A143="","",IF(OR(U143&gt;1,AND(X143&lt;&gt;"",X143&lt;Inputs!$B$16),AND(X143&lt;&gt;"",X143&gt;Inputs!$B$17),G143&lt;Inputs!$B$18),"CHECK","OK"))</f>
        <v/>
      </c>
      <c r="AB143" s="4" t="n"/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IF(A144="","",IF(OR(U144&gt;1,AND(X144&lt;&gt;"",X144&lt;Inputs!$B$16),AND(X144&lt;&gt;"",X144&gt;Inputs!$B$17),G144&lt;Inputs!$B$18),"CHECK","OK"))</f>
        <v/>
      </c>
      <c r="AB144" s="4" t="n"/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IF(A145="","",IF(OR(U145&gt;1,AND(X145&lt;&gt;"",X145&lt;Inputs!$B$16),AND(X145&lt;&gt;"",X145&gt;Inputs!$B$17),G145&lt;Inputs!$B$18),"CHECK","OK"))</f>
        <v/>
      </c>
      <c r="AB145" s="4" t="n"/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IF(A146="","",IF(OR(U146&gt;1,AND(X146&lt;&gt;"",X146&lt;Inputs!$B$16),AND(X146&lt;&gt;"",X146&gt;Inputs!$B$17),G146&lt;Inputs!$B$18),"CHECK","OK"))</f>
        <v/>
      </c>
      <c r="AB146" s="4" t="n"/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IF(A147="","",IF(OR(U147&gt;1,AND(X147&lt;&gt;"",X147&lt;Inputs!$B$16),AND(X147&lt;&gt;"",X147&gt;Inputs!$B$17),G147&lt;Inputs!$B$18),"CHECK","OK"))</f>
        <v/>
      </c>
      <c r="AB147" s="4" t="n"/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IF(A148="","",IF(OR(U148&gt;1,AND(X148&lt;&gt;"",X148&lt;Inputs!$B$16),AND(X148&lt;&gt;"",X148&gt;Inputs!$B$17),G148&lt;Inputs!$B$18),"CHECK","OK"))</f>
        <v/>
      </c>
      <c r="AB148" s="4" t="n"/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IF(A149="","",IF(OR(U149&gt;1,AND(X149&lt;&gt;"",X149&lt;Inputs!$B$16),AND(X149&lt;&gt;"",X149&gt;Inputs!$B$17),G149&lt;Inputs!$B$18),"CHECK","OK"))</f>
        <v/>
      </c>
      <c r="AB149" s="4" t="n"/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IF(A150="","",IF(OR(U150&gt;1,AND(X150&lt;&gt;"",X150&lt;Inputs!$B$16),AND(X150&lt;&gt;"",X150&gt;Inputs!$B$17),G150&lt;Inputs!$B$18),"CHECK","OK"))</f>
        <v/>
      </c>
      <c r="AB150" s="4" t="n"/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IF(A151="","",IF(OR(U151&gt;1,AND(X151&lt;&gt;"",X151&lt;Inputs!$B$16),AND(X151&lt;&gt;"",X151&gt;Inputs!$B$17),G151&lt;Inputs!$B$18),"CHECK","OK"))</f>
        <v/>
      </c>
      <c r="AB151" s="4" t="n"/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IF(A152="","",IF(OR(U152&gt;1,AND(X152&lt;&gt;"",X152&lt;Inputs!$B$16),AND(X152&lt;&gt;"",X152&gt;Inputs!$B$17),G152&lt;Inputs!$B$18),"CHECK","OK"))</f>
        <v/>
      </c>
      <c r="AB152" s="4" t="n"/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IF(A153="","",IF(OR(U153&gt;1,AND(X153&lt;&gt;"",X153&lt;Inputs!$B$16),AND(X153&lt;&gt;"",X153&gt;Inputs!$B$17),G153&lt;Inputs!$B$18),"CHECK","OK"))</f>
        <v/>
      </c>
      <c r="AB153" s="4" t="n"/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IF(A154="","",IF(OR(U154&gt;1,AND(X154&lt;&gt;"",X154&lt;Inputs!$B$16),AND(X154&lt;&gt;"",X154&gt;Inputs!$B$17),G154&lt;Inputs!$B$18),"CHECK","OK"))</f>
        <v/>
      </c>
      <c r="AB154" s="4" t="n"/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IF(A155="","",IF(OR(U155&gt;1,AND(X155&lt;&gt;"",X155&lt;Inputs!$B$16),AND(X155&lt;&gt;"",X155&gt;Inputs!$B$17),G155&lt;Inputs!$B$18),"CHECK","OK"))</f>
        <v/>
      </c>
      <c r="AB155" s="4" t="n"/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IF(A156="","",IF(OR(U156&gt;1,AND(X156&lt;&gt;"",X156&lt;Inputs!$B$16),AND(X156&lt;&gt;"",X156&gt;Inputs!$B$17),G156&lt;Inputs!$B$18),"CHECK","OK"))</f>
        <v/>
      </c>
      <c r="AB156" s="4" t="n"/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IF(A157="","",IF(OR(U157&gt;1,AND(X157&lt;&gt;"",X157&lt;Inputs!$B$16),AND(X157&lt;&gt;"",X157&gt;Inputs!$B$17),G157&lt;Inputs!$B$18),"CHECK","OK"))</f>
        <v/>
      </c>
      <c r="AB157" s="4" t="n"/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IF(A158="","",IF(OR(U158&gt;1,AND(X158&lt;&gt;"",X158&lt;Inputs!$B$16),AND(X158&lt;&gt;"",X158&gt;Inputs!$B$17),G158&lt;Inputs!$B$18),"CHECK","OK"))</f>
        <v/>
      </c>
      <c r="AB158" s="4" t="n"/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IF(A159="","",IF(OR(U159&gt;1,AND(X159&lt;&gt;"",X159&lt;Inputs!$B$16),AND(X159&lt;&gt;"",X159&gt;Inputs!$B$17),G159&lt;Inputs!$B$18),"CHECK","OK"))</f>
        <v/>
      </c>
      <c r="AB159" s="4" t="n"/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IF(A160="","",IF(OR(U160&gt;1,AND(X160&lt;&gt;"",X160&lt;Inputs!$B$16),AND(X160&lt;&gt;"",X160&gt;Inputs!$B$17),G160&lt;Inputs!$B$18),"CHECK","OK"))</f>
        <v/>
      </c>
      <c r="AB160" s="4" t="n"/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IF(A161="","",IF(OR(U161&gt;1,AND(X161&lt;&gt;"",X161&lt;Inputs!$B$16),AND(X161&lt;&gt;"",X161&gt;Inputs!$B$17),G161&lt;Inputs!$B$18),"CHECK","OK"))</f>
        <v/>
      </c>
      <c r="AB161" s="4" t="n"/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IF(A162="","",IF(OR(U162&gt;1,AND(X162&lt;&gt;"",X162&lt;Inputs!$B$16),AND(X162&lt;&gt;"",X162&gt;Inputs!$B$17),G162&lt;Inputs!$B$18),"CHECK","OK"))</f>
        <v/>
      </c>
      <c r="AB162" s="4" t="n"/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IF(A163="","",IF(OR(U163&gt;1,AND(X163&lt;&gt;"",X163&lt;Inputs!$B$16),AND(X163&lt;&gt;"",X163&gt;Inputs!$B$17),G163&lt;Inputs!$B$18),"CHECK","OK"))</f>
        <v/>
      </c>
      <c r="AB163" s="4" t="n"/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IF(A164="","",IF(OR(U164&gt;1,AND(X164&lt;&gt;"",X164&lt;Inputs!$B$16),AND(X164&lt;&gt;"",X164&gt;Inputs!$B$17),G164&lt;Inputs!$B$18),"CHECK","OK"))</f>
        <v/>
      </c>
      <c r="AB164" s="4" t="n"/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IF(A165="","",IF(OR(U165&gt;1,AND(X165&lt;&gt;"",X165&lt;Inputs!$B$16),AND(X165&lt;&gt;"",X165&gt;Inputs!$B$17),G165&lt;Inputs!$B$18),"CHECK","OK"))</f>
        <v/>
      </c>
      <c r="AB165" s="4" t="n"/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IF(A166="","",IF(OR(U166&gt;1,AND(X166&lt;&gt;"",X166&lt;Inputs!$B$16),AND(X166&lt;&gt;"",X166&gt;Inputs!$B$17),G166&lt;Inputs!$B$18),"CHECK","OK"))</f>
        <v/>
      </c>
      <c r="AB166" s="4" t="n"/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IF(A167="","",IF(OR(U167&gt;1,AND(X167&lt;&gt;"",X167&lt;Inputs!$B$16),AND(X167&lt;&gt;"",X167&gt;Inputs!$B$17),G167&lt;Inputs!$B$18),"CHECK","OK"))</f>
        <v/>
      </c>
      <c r="AB167" s="4" t="n"/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IF(A168="","",IF(OR(U168&gt;1,AND(X168&lt;&gt;"",X168&lt;Inputs!$B$16),AND(X168&lt;&gt;"",X168&gt;Inputs!$B$17),G168&lt;Inputs!$B$18),"CHECK","OK"))</f>
        <v/>
      </c>
      <c r="AB168" s="4" t="n"/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IF(A169="","",IF(OR(U169&gt;1,AND(X169&lt;&gt;"",X169&lt;Inputs!$B$16),AND(X169&lt;&gt;"",X169&gt;Inputs!$B$17),G169&lt;Inputs!$B$18),"CHECK","OK"))</f>
        <v/>
      </c>
      <c r="AB169" s="4" t="n"/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IF(A170="","",IF(OR(U170&gt;1,AND(X170&lt;&gt;"",X170&lt;Inputs!$B$16),AND(X170&lt;&gt;"",X170&gt;Inputs!$B$17),G170&lt;Inputs!$B$18),"CHECK","OK"))</f>
        <v/>
      </c>
      <c r="AB170" s="4" t="n"/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IF(A171="","",IF(OR(U171&gt;1,AND(X171&lt;&gt;"",X171&lt;Inputs!$B$16),AND(X171&lt;&gt;"",X171&gt;Inputs!$B$17),G171&lt;Inputs!$B$18),"CHECK","OK"))</f>
        <v/>
      </c>
      <c r="AB171" s="4" t="n"/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IF(A172="","",IF(OR(U172&gt;1,AND(X172&lt;&gt;"",X172&lt;Inputs!$B$16),AND(X172&lt;&gt;"",X172&gt;Inputs!$B$17),G172&lt;Inputs!$B$18),"CHECK","OK"))</f>
        <v/>
      </c>
      <c r="AB172" s="4" t="n"/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IF(A173="","",IF(OR(U173&gt;1,AND(X173&lt;&gt;"",X173&lt;Inputs!$B$16),AND(X173&lt;&gt;"",X173&gt;Inputs!$B$17),G173&lt;Inputs!$B$18),"CHECK","OK"))</f>
        <v/>
      </c>
      <c r="AB173" s="4" t="n"/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IF(A174="","",IF(OR(U174&gt;1,AND(X174&lt;&gt;"",X174&lt;Inputs!$B$16),AND(X174&lt;&gt;"",X174&gt;Inputs!$B$17),G174&lt;Inputs!$B$18),"CHECK","OK"))</f>
        <v/>
      </c>
      <c r="AB174" s="4" t="n"/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IF(A175="","",IF(OR(U175&gt;1,AND(X175&lt;&gt;"",X175&lt;Inputs!$B$16),AND(X175&lt;&gt;"",X175&gt;Inputs!$B$17),G175&lt;Inputs!$B$18),"CHECK","OK"))</f>
        <v/>
      </c>
      <c r="AB175" s="4" t="n"/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IF(A176="","",IF(OR(U176&gt;1,AND(X176&lt;&gt;"",X176&lt;Inputs!$B$16),AND(X176&lt;&gt;"",X176&gt;Inputs!$B$17),G176&lt;Inputs!$B$18),"CHECK","OK"))</f>
        <v/>
      </c>
      <c r="AB176" s="4" t="n"/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IF(A177="","",IF(OR(U177&gt;1,AND(X177&lt;&gt;"",X177&lt;Inputs!$B$16),AND(X177&lt;&gt;"",X177&gt;Inputs!$B$17),G177&lt;Inputs!$B$18),"CHECK","OK"))</f>
        <v/>
      </c>
      <c r="AB177" s="4" t="n"/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IF(A178="","",IF(OR(U178&gt;1,AND(X178&lt;&gt;"",X178&lt;Inputs!$B$16),AND(X178&lt;&gt;"",X178&gt;Inputs!$B$17),G178&lt;Inputs!$B$18),"CHECK","OK"))</f>
        <v/>
      </c>
      <c r="AB178" s="4" t="n"/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IF(A179="","",IF(OR(U179&gt;1,AND(X179&lt;&gt;"",X179&lt;Inputs!$B$16),AND(X179&lt;&gt;"",X179&gt;Inputs!$B$17),G179&lt;Inputs!$B$18),"CHECK","OK"))</f>
        <v/>
      </c>
      <c r="AB179" s="4" t="n"/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IF(A180="","",IF(OR(U180&gt;1,AND(X180&lt;&gt;"",X180&lt;Inputs!$B$16),AND(X180&lt;&gt;"",X180&gt;Inputs!$B$17),G180&lt;Inputs!$B$18),"CHECK","OK"))</f>
        <v/>
      </c>
      <c r="AB180" s="4" t="n"/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IF(A181="","",IF(OR(U181&gt;1,AND(X181&lt;&gt;"",X181&lt;Inputs!$B$16),AND(X181&lt;&gt;"",X181&gt;Inputs!$B$17),G181&lt;Inputs!$B$18),"CHECK","OK"))</f>
        <v/>
      </c>
      <c r="AB181" s="4" t="n"/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IF(A182="","",IF(OR(U182&gt;1,AND(X182&lt;&gt;"",X182&lt;Inputs!$B$16),AND(X182&lt;&gt;"",X182&gt;Inputs!$B$17),G182&lt;Inputs!$B$18),"CHECK","OK"))</f>
        <v/>
      </c>
      <c r="AB182" s="4" t="n"/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IF(A183="","",IF(OR(U183&gt;1,AND(X183&lt;&gt;"",X183&lt;Inputs!$B$16),AND(X183&lt;&gt;"",X183&gt;Inputs!$B$17),G183&lt;Inputs!$B$18),"CHECK","OK"))</f>
        <v/>
      </c>
      <c r="AB183" s="4" t="n"/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IF(A184="","",IF(OR(U184&gt;1,AND(X184&lt;&gt;"",X184&lt;Inputs!$B$16),AND(X184&lt;&gt;"",X184&gt;Inputs!$B$17),G184&lt;Inputs!$B$18),"CHECK","OK"))</f>
        <v/>
      </c>
      <c r="AB184" s="4" t="n"/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IF(A185="","",IF(OR(U185&gt;1,AND(X185&lt;&gt;"",X185&lt;Inputs!$B$16),AND(X185&lt;&gt;"",X185&gt;Inputs!$B$17),G185&lt;Inputs!$B$18),"CHECK","OK"))</f>
        <v/>
      </c>
      <c r="AB185" s="4" t="n"/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IF(A186="","",IF(OR(U186&gt;1,AND(X186&lt;&gt;"",X186&lt;Inputs!$B$16),AND(X186&lt;&gt;"",X186&gt;Inputs!$B$17),G186&lt;Inputs!$B$18),"CHECK","OK"))</f>
        <v/>
      </c>
      <c r="AB186" s="4" t="n"/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IF(A187="","",IF(OR(U187&gt;1,AND(X187&lt;&gt;"",X187&lt;Inputs!$B$16),AND(X187&lt;&gt;"",X187&gt;Inputs!$B$17),G187&lt;Inputs!$B$18),"CHECK","OK"))</f>
        <v/>
      </c>
      <c r="AB187" s="4" t="n"/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IF(A188="","",IF(OR(U188&gt;1,AND(X188&lt;&gt;"",X188&lt;Inputs!$B$16),AND(X188&lt;&gt;"",X188&gt;Inputs!$B$17),G188&lt;Inputs!$B$18),"CHECK","OK"))</f>
        <v/>
      </c>
      <c r="AB188" s="4" t="n"/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IF(A189="","",IF(OR(U189&gt;1,AND(X189&lt;&gt;"",X189&lt;Inputs!$B$16),AND(X189&lt;&gt;"",X189&gt;Inputs!$B$17),G189&lt;Inputs!$B$18),"CHECK","OK"))</f>
        <v/>
      </c>
      <c r="AB189" s="4" t="n"/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IF(A190="","",IF(OR(U190&gt;1,AND(X190&lt;&gt;"",X190&lt;Inputs!$B$16),AND(X190&lt;&gt;"",X190&gt;Inputs!$B$17),G190&lt;Inputs!$B$18),"CHECK","OK"))</f>
        <v/>
      </c>
      <c r="AB190" s="4" t="n"/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IF(A191="","",IF(OR(U191&gt;1,AND(X191&lt;&gt;"",X191&lt;Inputs!$B$16),AND(X191&lt;&gt;"",X191&gt;Inputs!$B$17),G191&lt;Inputs!$B$18),"CHECK","OK"))</f>
        <v/>
      </c>
      <c r="AB191" s="4" t="n"/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IF(A192="","",IF(OR(U192&gt;1,AND(X192&lt;&gt;"",X192&lt;Inputs!$B$16),AND(X192&lt;&gt;"",X192&gt;Inputs!$B$17),G192&lt;Inputs!$B$18),"CHECK","OK"))</f>
        <v/>
      </c>
      <c r="AB192" s="4" t="n"/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IF(A193="","",IF(OR(U193&gt;1,AND(X193&lt;&gt;"",X193&lt;Inputs!$B$16),AND(X193&lt;&gt;"",X193&gt;Inputs!$B$17),G193&lt;Inputs!$B$18),"CHECK","OK"))</f>
        <v/>
      </c>
      <c r="AB193" s="4" t="n"/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IF(A194="","",IF(OR(U194&gt;1,AND(X194&lt;&gt;"",X194&lt;Inputs!$B$16),AND(X194&lt;&gt;"",X194&gt;Inputs!$B$17),G194&lt;Inputs!$B$18),"CHECK","OK"))</f>
        <v/>
      </c>
      <c r="AB194" s="4" t="n"/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IF(A195="","",IF(OR(U195&gt;1,AND(X195&lt;&gt;"",X195&lt;Inputs!$B$16),AND(X195&lt;&gt;"",X195&gt;Inputs!$B$17),G195&lt;Inputs!$B$18),"CHECK","OK"))</f>
        <v/>
      </c>
      <c r="AB195" s="4" t="n"/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IF(A196="","",IF(OR(U196&gt;1,AND(X196&lt;&gt;"",X196&lt;Inputs!$B$16),AND(X196&lt;&gt;"",X196&gt;Inputs!$B$17),G196&lt;Inputs!$B$18),"CHECK","OK"))</f>
        <v/>
      </c>
      <c r="AB196" s="4" t="n"/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IF(A197="","",IF(OR(U197&gt;1,AND(X197&lt;&gt;"",X197&lt;Inputs!$B$16),AND(X197&lt;&gt;"",X197&gt;Inputs!$B$17),G197&lt;Inputs!$B$18),"CHECK","OK"))</f>
        <v/>
      </c>
      <c r="AB197" s="4" t="n"/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IF(A198="","",IF(OR(U198&gt;1,AND(X198&lt;&gt;"",X198&lt;Inputs!$B$16),AND(X198&lt;&gt;"",X198&gt;Inputs!$B$17),G198&lt;Inputs!$B$18),"CHECK","OK"))</f>
        <v/>
      </c>
      <c r="AB198" s="4" t="n"/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IF(A199="","",IF(OR(U199&gt;1,AND(X199&lt;&gt;"",X199&lt;Inputs!$B$16),AND(X199&lt;&gt;"",X199&gt;Inputs!$B$17),G199&lt;Inputs!$B$18),"CHECK","OK"))</f>
        <v/>
      </c>
      <c r="AB199" s="4" t="n"/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IF(A200="","",IF(OR(U200&gt;1,AND(X200&lt;&gt;"",X200&lt;Inputs!$B$16),AND(X200&lt;&gt;"",X200&gt;Inputs!$B$17),G200&lt;Inputs!$B$18),"CHECK","OK"))</f>
        <v/>
      </c>
      <c r="AB200" s="4" t="n"/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IF(A201="","",IF(OR(U201&gt;1,AND(X201&lt;&gt;"",X201&lt;Inputs!$B$16),AND(X201&lt;&gt;"",X201&gt;Inputs!$B$17),G201&lt;Inputs!$B$18),"CHECK","OK"))</f>
        <v/>
      </c>
      <c r="AB201" s="4" t="n"/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IF(A202="","",IF(OR(U202&gt;1,AND(X202&lt;&gt;"",X202&lt;Inputs!$B$16),AND(X202&lt;&gt;"",X202&gt;Inputs!$B$17),G202&lt;Inputs!$B$18),"CHECK","OK"))</f>
        <v/>
      </c>
      <c r="AB202" s="4" t="n"/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IF(A203="","",IF(OR(U203&gt;1,AND(X203&lt;&gt;"",X203&lt;Inputs!$B$16),AND(X203&lt;&gt;"",X203&gt;Inputs!$B$17),G203&lt;Inputs!$B$18),"CHECK","OK"))</f>
        <v/>
      </c>
      <c r="AB203" s="4" t="n"/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IF(A204="","",IF(OR(U204&gt;1,AND(X204&lt;&gt;"",X204&lt;Inputs!$B$16),AND(X204&lt;&gt;"",X204&gt;Inputs!$B$17),G204&lt;Inputs!$B$18),"CHECK","OK"))</f>
        <v/>
      </c>
      <c r="AB204" s="4" t="n"/>
    </row>
  </sheetData>
  <mergeCells count="2">
    <mergeCell ref="A2:AB2"/>
    <mergeCell ref="A1:AB1"/>
  </mergeCells>
  <conditionalFormatting sqref="A4:AB204">
    <cfRule type="expression" priority="1" dxfId="0">
      <formula>=$B4="PIPE"</formula>
    </cfRule>
    <cfRule type="expression" priority="2" dxfId="1">
      <formula>=$B4="SWALE"</formula>
    </cfRule>
    <cfRule type="expression" priority="3" dxfId="2">
      <formula>=$B4="TRENCH"</formula>
    </cfRule>
  </conditionalFormatting>
  <conditionalFormatting sqref="AA4:AA204">
    <cfRule type="expression" priority="4" dxfId="3">
      <formula>=$AA4="CHECK"</formula>
    </cfRule>
  </conditionalFormatting>
  <conditionalFormatting sqref="U4:U204">
    <cfRule type="expression" priority="5" dxfId="3">
      <formula>=$U4&gt;1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inlineStr"/>
      <c r="D4" s="7" t="inlineStr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inlineStr"/>
      <c r="D5" s="7" t="inlineStr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inlineStr"/>
      <c r="D6" s="7" t="inlineStr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inlineStr"/>
      <c r="D7" s="7" t="inlineStr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inlineStr"/>
      <c r="D8" s="7" t="inlineStr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inlineStr"/>
      <c r="D9" s="7" t="inlineStr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J-OUEST-AVAL</t>
        </is>
      </c>
      <c r="B10" s="4" t="inlineStr">
        <is>
          <t>CB</t>
        </is>
      </c>
      <c r="C10" s="7" t="inlineStr"/>
      <c r="D10" s="7" t="inlineStr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J-BASSIN-IN</t>
        </is>
      </c>
      <c r="B11" s="4" t="inlineStr">
        <is>
          <t>MH</t>
        </is>
      </c>
      <c r="C11" s="7" t="inlineStr"/>
      <c r="D11" s="7" t="inlineStr"/>
      <c r="E11" s="8">
        <f>IF(OR(C11="",D11=""),"",MAX(0,C11-D11))</f>
        <v/>
      </c>
      <c r="F11" s="7" t="inlineStr">
        <is>
          <t>CIRC</t>
        </is>
      </c>
      <c r="G11" s="7" t="n">
        <v>1.8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BASSIN-RET</t>
        </is>
      </c>
      <c r="B12" s="4" t="inlineStr">
        <is>
          <t>RETENTION</t>
        </is>
      </c>
      <c r="C12" s="7">
        <f>Inputs!$B$37</f>
        <v/>
      </c>
      <c r="D12" s="7">
        <f>Inputs!$B$38</f>
        <v/>
      </c>
      <c r="E12" s="8">
        <f>IF(OR(C12="",D12=""),"",MAX(0,C12-D12))</f>
        <v/>
      </c>
      <c r="F12" s="7" t="inlineStr">
        <is>
          <t>RECT</t>
        </is>
      </c>
      <c r="G12" s="7">
        <f>Inputs!$B$34</f>
        <v/>
      </c>
      <c r="H12" s="7">
        <f>Inputs!$B$35</f>
        <v/>
      </c>
      <c r="I12" s="8">
        <f>IF(A12="","",IF(UPPER(TRIM(F12))="CIRC",PI()*(G12/2)^2*E12,IF(UPPER(TRIM(F12))="RECT",G12*H12*E12,"")))</f>
        <v/>
      </c>
      <c r="J12" s="7" t="n">
        <v>30</v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n"/>
      <c r="B13" s="4" t="n"/>
      <c r="C13" s="7" t="n"/>
      <c r="D13" s="7" t="n"/>
      <c r="E13" s="8">
        <f>IF(OR(C13="",D13=""),"",MAX(0,C13-D13))</f>
        <v/>
      </c>
      <c r="F13" s="7" t="n"/>
      <c r="G13" s="7" t="n"/>
      <c r="H13" s="7" t="n"/>
      <c r="I13" s="8">
        <f>IF(A13="","",IF(UPPER(TRIM(F13))="CIRC",PI()*(G13/2)^2*E13,IF(UPPER(TRIM(F13))="RECT",G13*H13*E13,"")))</f>
        <v/>
      </c>
      <c r="J13" s="7" t="n"/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n"/>
      <c r="B14" s="4" t="n"/>
      <c r="C14" s="7" t="n"/>
      <c r="D14" s="7" t="n"/>
      <c r="E14" s="8">
        <f>IF(OR(C14="",D14=""),"",MAX(0,C14-D14))</f>
        <v/>
      </c>
      <c r="F14" s="7" t="n"/>
      <c r="G14" s="7" t="n"/>
      <c r="H14" s="7" t="n"/>
      <c r="I14" s="8">
        <f>IF(A14="","",IF(UPPER(TRIM(F14))="CIRC",PI()*(G14/2)^2*E14,IF(UPPER(TRIM(F14))="RECT",G14*H14*E14,"")))</f>
        <v/>
      </c>
      <c r="J14" s="7" t="n"/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n"/>
      <c r="B15" s="4" t="n"/>
      <c r="C15" s="7" t="n"/>
      <c r="D15" s="7" t="n"/>
      <c r="E15" s="8">
        <f>IF(OR(C15="",D15=""),"",MAX(0,C15-D15))</f>
        <v/>
      </c>
      <c r="F15" s="7" t="n"/>
      <c r="G15" s="7" t="n"/>
      <c r="H15" s="7" t="n"/>
      <c r="I15" s="8">
        <f>IF(A15="","",IF(UPPER(TRIM(F15))="CIRC",PI()*(G15/2)^2*E15,IF(UPPER(TRIM(F15))="RECT",G15*H15*E15,"")))</f>
        <v/>
      </c>
      <c r="J15" s="7" t="n"/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n"/>
      <c r="B16" s="4" t="n"/>
      <c r="C16" s="7" t="n"/>
      <c r="D16" s="7" t="n"/>
      <c r="E16" s="8">
        <f>IF(OR(C16="",D16=""),"",MAX(0,C16-D16))</f>
        <v/>
      </c>
      <c r="F16" s="7" t="n"/>
      <c r="G16" s="7" t="n"/>
      <c r="H16" s="7" t="n"/>
      <c r="I16" s="8">
        <f>IF(A16="","",IF(UPPER(TRIM(F16))="CIRC",PI()*(G16/2)^2*E16,IF(UPPER(TRIM(F16))="RECT",G16*H16*E16,"")))</f>
        <v/>
      </c>
      <c r="J16" s="7" t="n"/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</t>
        </is>
      </c>
      <c r="B4" s="4" t="inlineStr">
        <is>
          <t>Lateraux multiples</t>
        </is>
      </c>
      <c r="C4" s="4" t="inlineStr">
        <is>
          <t>Privilegier ecoulement de surface (noue peu profonde)</t>
        </is>
      </c>
      <c r="D4" s="4" t="inlineStr">
        <is>
          <t>E05 (SWALE)</t>
        </is>
      </c>
      <c r="E4" s="4" t="inlineStr">
        <is>
          <t>profondeur ~0.20 m</t>
        </is>
      </c>
      <c r="F4" s="4" t="inlineStr">
        <is>
          <t>Limiter fouille profonde dans emprise chargee.</t>
        </is>
      </c>
    </row>
    <row r="5">
      <c r="A5" s="4" t="inlineStr">
        <is>
          <t>Traverse vers bassin</t>
        </is>
      </c>
      <c r="B5" s="4" t="inlineStr">
        <is>
          <t>Croisement inevitable</t>
        </is>
      </c>
      <c r="C5" s="4" t="inlineStr">
        <is>
          <t>Croiser perpendiculaire + gaine + pente mini</t>
        </is>
      </c>
      <c r="D5" s="4" t="inlineStr">
        <is>
          <t>E06 (PIPE)</t>
        </is>
      </c>
      <c r="E5" s="4" t="inlineStr">
        <is>
          <t>slope 0.8%</t>
        </is>
      </c>
      <c r="F5" s="4" t="inlineStr">
        <is>
          <t>Verifier degagement vertical avec as-built.</t>
        </is>
      </c>
    </row>
    <row r="6">
      <c r="A6" s="4" t="inlineStr">
        <is>
          <t>Bande sud 2m</t>
        </is>
      </c>
      <c r="B6" s="4" t="inlineStr">
        <is>
          <t>Emprise contrainte</t>
        </is>
      </c>
      <c r="C6" s="4" t="inlineStr">
        <is>
          <t>Bassin lineaire + noue/tranchee compacte</t>
        </is>
      </c>
      <c r="D6" s="4" t="inlineStr">
        <is>
          <t>E04 + BASSIN-RET</t>
        </is>
      </c>
      <c r="E6" s="4" t="inlineStr">
        <is>
          <t>width 2.0 m</t>
        </is>
      </c>
      <c r="F6" s="4" t="inlineStr">
        <is>
          <t>Stockage distribue + transfert au bassin.</t>
        </is>
      </c>
    </row>
    <row r="7">
      <c r="A7" s="4" t="inlineStr">
        <is>
          <t>Bande est arbres</t>
        </is>
      </c>
      <c r="B7" s="4" t="inlineStr">
        <is>
          <t>Zone racinaire</t>
        </is>
      </c>
      <c r="C7" s="4" t="inlineStr">
        <is>
          <t>Tranchee drainante + underdrain + barriere racinaire</t>
        </is>
      </c>
      <c r="D7" s="4" t="inlineStr">
        <is>
          <t>E01/E02 (TRENCH)</t>
        </is>
      </c>
      <c r="E7" s="4" t="inlineStr">
        <is>
          <t>offset &gt;=1.0 m</t>
        </is>
      </c>
      <c r="F7" s="4" t="inlineStr">
        <is>
          <t>Eviter conduite profonde continue en pied d arbres.</t>
        </is>
      </c>
    </row>
    <row r="9">
      <c r="A9" s="10" t="inlineStr">
        <is>
          <t>Note: Les degagements finaux avec lateraux existants doivent etre confirmes par releves terrain/TQC avant IFC.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1:H1"/>
    <mergeCell ref="A4:H4"/>
    <mergeCell ref="A9:H9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2026-07-03T14:27:56Z</dcterms:modified>
</cp:coreProperties>
</file>