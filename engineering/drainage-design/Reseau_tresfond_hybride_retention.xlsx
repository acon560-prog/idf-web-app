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7423.67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33.5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1.148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7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  <row r="54">
      <c r="A54" s="3" t="inlineStr">
        <is>
          <t>Connection_equal_tolerance_m</t>
        </is>
      </c>
      <c r="B54" s="16" t="n">
        <v>0.01</v>
      </c>
      <c r="C54" s="4" t="inlineStr">
        <is>
          <t>m</t>
        </is>
      </c>
      <c r="D54" s="4" t="inlineStr">
        <is>
          <t>Tolerance pour raccord sans chute (PIPE-&gt;PIPE ou SWALE-&gt;SWALE).</t>
        </is>
      </c>
    </row>
    <row r="55">
      <c r="A55" s="3" t="inlineStr">
        <is>
          <t>Drop_min_swale_trench_to_pipe_m</t>
        </is>
      </c>
      <c r="B55" s="16" t="n">
        <v>0.05</v>
      </c>
      <c r="C55" s="4" t="inlineStr">
        <is>
          <t>m</t>
        </is>
      </c>
      <c r="D55" s="4" t="inlineStr">
        <is>
          <t>Chute minimale recommandee pour SWALE/TRENCH vers PIPE.</t>
        </is>
      </c>
    </row>
    <row r="56">
      <c r="A56" s="3" t="inlineStr">
        <is>
          <t>Drop_max_swale_trench_to_pipe_m</t>
        </is>
      </c>
      <c r="B56" s="16" t="n">
        <v>0.3</v>
      </c>
      <c r="C56" s="4" t="inlineStr">
        <is>
          <t>m</t>
        </is>
      </c>
      <c r="D56" s="4" t="inlineStr">
        <is>
          <t>Chute maximale recommandee avant ouvrage de chute dedie.</t>
        </is>
      </c>
    </row>
    <row r="57">
      <c r="A57" s="3" t="inlineStr">
        <is>
          <t>Basin_inlet_target_drop_m</t>
        </is>
      </c>
      <c r="B57" s="16" t="n">
        <v>0.1</v>
      </c>
      <c r="C57" s="4" t="inlineStr">
        <is>
          <t>m</t>
        </is>
      </c>
      <c r="D57" s="4" t="inlineStr">
        <is>
          <t>Valeur cible pratique pour entree swale/trench vers conduite bassin.</t>
        </is>
      </c>
    </row>
    <row r="58">
      <c r="A58" s="3" t="inlineStr">
        <is>
          <t>C_pavage</t>
        </is>
      </c>
      <c r="B58" s="5" t="n">
        <v>0.85</v>
      </c>
      <c r="C58" s="4" t="inlineStr">
        <is>
          <t>-</t>
        </is>
      </c>
      <c r="D58" s="4" t="inlineStr">
        <is>
          <t>Coefficient ruissellement pour surfaces pavees (pave-uni/pavage).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PAVAGE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Surface pavage (pas tresfond).</t>
        </is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PAVAGE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Surface pavage principal (pave-uni), entre Z05 et Z06.</t>
        </is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</row>
    <row r="13">
      <c r="A13" s="4" t="inlineStr">
        <is>
          <t>Z10</t>
        </is>
      </c>
      <c r="B13" s="4" t="inlineStr">
        <is>
          <t>Sud gris local (pavage)</t>
        </is>
      </c>
      <c r="C13" s="4" t="inlineStr">
        <is>
          <t>PAVAGE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E03</t>
        </is>
      </c>
      <c r="K13" s="4" t="inlineStr">
        <is>
          <t>Surface pavage locale (pas tresfond), routage vers entree EST.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 (pavage)</t>
        </is>
      </c>
      <c r="C15" s="4" t="inlineStr">
        <is>
          <t>PAVAGE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Surface pavage petite zone sud-est (pas tresfond).</t>
        </is>
      </c>
    </row>
    <row r="16">
      <c r="A16" s="4" t="n"/>
      <c r="B16" s="4" t="n"/>
      <c r="C16" s="4" t="n"/>
      <c r="D16" s="7" t="n"/>
      <c r="E16" s="7" t="n"/>
      <c r="F16" s="8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CHECK=red; AH connection status and AL drop check use Inputs!B54:B56 thresholds.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  <c r="AI3" s="6" t="inlineStr">
        <is>
          <t>Downstream_type</t>
        </is>
      </c>
      <c r="AJ3" s="6" t="inlineStr">
        <is>
          <t>Drop_min_req_m</t>
        </is>
      </c>
      <c r="AK3" s="6" t="inlineStr">
        <is>
          <t>Drop_max_req_m</t>
        </is>
      </c>
      <c r="AL3" s="6" t="inlineStr">
        <is>
          <t>Drop_check_status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7">
        <f>IF(A4="","",IF(E4="","",IFERROR(INDEX($B$4:$B$204,MATCH(E4,$A$4:$A$204,0)),"")))</f>
        <v/>
      </c>
      <c r="AJ4" s="17">
        <f>IF(A4="","",IF(OR(AND(UPPER(TRIM(B4))="SWALE",UPPER(TRIM(AI4))="PIPE"),AND(UPPER(TRIM(B4))="TRENCH",UPPER(TRIM(AI4))="PIPE")),Inputs!$B$55,0))</f>
        <v/>
      </c>
      <c r="AK4" s="17">
        <f>IF(A4="","",IF(OR(AND(UPPER(TRIM(B4))="SWALE",UPPER(TRIM(AI4))="PIPE"),AND(UPPER(TRIM(B4))="TRENCH",UPPER(TRIM(AI4))="PIPE")),Inputs!$B$56,Inputs!$B$54))</f>
        <v/>
      </c>
      <c r="AL4" s="4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7">
        <f>IF(A5="","",IF(E5="","",IFERROR(INDEX($B$4:$B$204,MATCH(E5,$A$4:$A$204,0)),"")))</f>
        <v/>
      </c>
      <c r="AJ5" s="17">
        <f>IF(A5="","",IF(OR(AND(UPPER(TRIM(B5))="SWALE",UPPER(TRIM(AI5))="PIPE"),AND(UPPER(TRIM(B5))="TRENCH",UPPER(TRIM(AI5))="PIPE")),Inputs!$B$55,0))</f>
        <v/>
      </c>
      <c r="AK5" s="17">
        <f>IF(A5="","",IF(OR(AND(UPPER(TRIM(B5))="SWALE",UPPER(TRIM(AI5))="PIPE"),AND(UPPER(TRIM(B5))="TRENCH",UPPER(TRIM(AI5))="PIPE")),Inputs!$B$56,Inputs!$B$54))</f>
        <v/>
      </c>
      <c r="AL5" s="4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7">
        <f>IF(A6="","",IF(E6="","",IFERROR(INDEX($B$4:$B$204,MATCH(E6,$A$4:$A$204,0)),"")))</f>
        <v/>
      </c>
      <c r="AJ6" s="17">
        <f>IF(A6="","",IF(OR(AND(UPPER(TRIM(B6))="SWALE",UPPER(TRIM(AI6))="PIPE"),AND(UPPER(TRIM(B6))="TRENCH",UPPER(TRIM(AI6))="PIPE")),Inputs!$B$55,0))</f>
        <v/>
      </c>
      <c r="AK6" s="17">
        <f>IF(A6="","",IF(OR(AND(UPPER(TRIM(B6))="SWALE",UPPER(TRIM(AI6))="PIPE"),AND(UPPER(TRIM(B6))="TRENCH",UPPER(TRIM(AI6))="PIPE")),Inputs!$B$56,Inputs!$B$54))</f>
        <v/>
      </c>
      <c r="AL6" s="4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0.8</v>
      </c>
      <c r="L7" s="7" t="n">
        <v>0.12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Corrige: liaison ouest courte vers entree ouest bassin (4.7 m mesure).</t>
        </is>
      </c>
      <c r="AC7" s="7" t="n"/>
      <c r="AD7" s="8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7">
        <f>IF(A7="","",IF(E7="","",IFERROR(INDEX($B$4:$B$204,MATCH(E7,$A$4:$A$204,0)),"")))</f>
        <v/>
      </c>
      <c r="AJ7" s="17">
        <f>IF(A7="","",IF(OR(AND(UPPER(TRIM(B7))="SWALE",UPPER(TRIM(AI7))="PIPE"),AND(UPPER(TRIM(B7))="TRENCH",UPPER(TRIM(AI7))="PIPE")),Inputs!$B$55,0))</f>
        <v/>
      </c>
      <c r="AK7" s="17">
        <f>IF(A7="","",IF(OR(AND(UPPER(TRIM(B7))="SWALE",UPPER(TRIM(AI7))="PIPE"),AND(UPPER(TRIM(B7))="TRENCH",UPPER(TRIM(AI7))="PIPE")),Inputs!$B$56,Inputs!$B$54))</f>
        <v/>
      </c>
      <c r="AL7" s="4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7">
        <f>IF(A8="","",IF(E8="","",IFERROR(INDEX($B$4:$B$204,MATCH(E8,$A$4:$A$204,0)),"")))</f>
        <v/>
      </c>
      <c r="AJ8" s="17">
        <f>IF(A8="","",IF(OR(AND(UPPER(TRIM(B8))="SWALE",UPPER(TRIM(AI8))="PIPE"),AND(UPPER(TRIM(B8))="TRENCH",UPPER(TRIM(AI8))="PIPE")),Inputs!$B$55,0))</f>
        <v/>
      </c>
      <c r="AK8" s="17">
        <f>IF(A8="","",IF(OR(AND(UPPER(TRIM(B8))="SWALE",UPPER(TRIM(AI8))="PIPE"),AND(UPPER(TRIM(B8))="TRENCH",UPPER(TRIM(AI8))="PIPE")),Inputs!$B$56,Inputs!$B$54))</f>
        <v/>
      </c>
      <c r="AL8" s="4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court via caniveau/grille + conduite (DN250).</t>
        </is>
      </c>
      <c r="AC9" s="7" t="n"/>
      <c r="AD9" s="8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7">
        <f>IF(A9="","",IF(E9="","",IFERROR(INDEX($B$4:$B$204,MATCH(E9,$A$4:$A$204,0)),"")))</f>
        <v/>
      </c>
      <c r="AJ9" s="17">
        <f>IF(A9="","",IF(OR(AND(UPPER(TRIM(B9))="SWALE",UPPER(TRIM(AI9))="PIPE"),AND(UPPER(TRIM(B9))="TRENCH",UPPER(TRIM(AI9))="PIPE")),Inputs!$B$55,0))</f>
        <v/>
      </c>
      <c r="AK9" s="17">
        <f>IF(A9="","",IF(OR(AND(UPPER(TRIM(B9))="SWALE",UPPER(TRIM(AI9))="PIPE"),AND(UPPER(TRIM(B9))="TRENCH",UPPER(TRIM(AI9))="PIPE")),Inputs!$B$56,Inputs!$B$54))</f>
        <v/>
      </c>
      <c r="AL9" s="4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7">
        <f>IF(A10="","",IF(E10="","",IFERROR(INDEX($B$4:$B$204,MATCH(E10,$A$4:$A$204,0)),"")))</f>
        <v/>
      </c>
      <c r="AJ10" s="17">
        <f>IF(A10="","",IF(OR(AND(UPPER(TRIM(B10))="SWALE",UPPER(TRIM(AI10))="PIPE"),AND(UPPER(TRIM(B10))="TRENCH",UPPER(TRIM(AI10))="PIPE")),Inputs!$B$55,0))</f>
        <v/>
      </c>
      <c r="AK10" s="17">
        <f>IF(A10="","",IF(OR(AND(UPPER(TRIM(B10))="SWALE",UPPER(TRIM(AI10))="PIPE"),AND(UPPER(TRIM(B10))="TRENCH",UPPER(TRIM(AI10))="PIPE")),Inputs!$B$56,Inputs!$B$54))</f>
        <v/>
      </c>
      <c r="AL10" s="4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principal via caniveau/grille + conduite (DN300).</t>
        </is>
      </c>
      <c r="AC11" s="7" t="n"/>
      <c r="AD11" s="8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7">
        <f>IF(A11="","",IF(E11="","",IFERROR(INDEX($B$4:$B$204,MATCH(E11,$A$4:$A$204,0)),"")))</f>
        <v/>
      </c>
      <c r="AJ11" s="17">
        <f>IF(A11="","",IF(OR(AND(UPPER(TRIM(B11))="SWALE",UPPER(TRIM(AI11))="PIPE"),AND(UPPER(TRIM(B11))="TRENCH",UPPER(TRIM(AI11))="PIPE")),Inputs!$B$55,0))</f>
        <v/>
      </c>
      <c r="AK11" s="17">
        <f>IF(A11="","",IF(OR(AND(UPPER(TRIM(B11))="SWALE",UPPER(TRIM(AI11))="PIPE"),AND(UPPER(TRIM(B11))="TRENCH",UPPER(TRIM(AI11))="PIPE")),Inputs!$B$56,Inputs!$B$54))</f>
        <v/>
      </c>
      <c r="AL11" s="4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7">
        <f>IF(A12="","",IF(E12="","",IFERROR(INDEX($B$4:$B$204,MATCH(E12,$A$4:$A$204,0)),"")))</f>
        <v/>
      </c>
      <c r="AJ12" s="17">
        <f>IF(A12="","",IF(OR(AND(UPPER(TRIM(B12))="SWALE",UPPER(TRIM(AI12))="PIPE"),AND(UPPER(TRIM(B12))="TRENCH",UPPER(TRIM(AI12))="PIPE")),Inputs!$B$55,0))</f>
        <v/>
      </c>
      <c r="AK12" s="17">
        <f>IF(A12="","",IF(OR(AND(UPPER(TRIM(B12))="SWALE",UPPER(TRIM(AI12))="PIPE"),AND(UPPER(TRIM(B12))="TRENCH",UPPER(TRIM(AI12))="PIPE")),Inputs!$B$56,Inputs!$B$54))</f>
        <v/>
      </c>
      <c r="AL12" s="4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7">
        <f>IF(A13="","",IF(E13="","",IFERROR(INDEX($B$4:$B$204,MATCH(E13,$A$4:$A$204,0)),"")))</f>
        <v/>
      </c>
      <c r="AJ13" s="17">
        <f>IF(A13="","",IF(OR(AND(UPPER(TRIM(B13))="SWALE",UPPER(TRIM(AI13))="PIPE"),AND(UPPER(TRIM(B13))="TRENCH",UPPER(TRIM(AI13))="PIPE")),Inputs!$B$55,0))</f>
        <v/>
      </c>
      <c r="AK13" s="17">
        <f>IF(A13="","",IF(OR(AND(UPPER(TRIM(B13))="SWALE",UPPER(TRIM(AI13))="PIPE"),AND(UPPER(TRIM(B13))="TRENCH",UPPER(TRIM(AI13))="PIPE")),Inputs!$B$56,Inputs!$B$54))</f>
        <v/>
      </c>
      <c r="AL13" s="4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7">
        <f>IF(A14="","",IF(E14="","",IFERROR(INDEX($B$4:$B$204,MATCH(E14,$A$4:$A$204,0)),"")))</f>
        <v/>
      </c>
      <c r="AJ14" s="17">
        <f>IF(A14="","",IF(OR(AND(UPPER(TRIM(B14))="SWALE",UPPER(TRIM(AI14))="PIPE"),AND(UPPER(TRIM(B14))="TRENCH",UPPER(TRIM(AI14))="PIPE")),Inputs!$B$55,0))</f>
        <v/>
      </c>
      <c r="AK14" s="17">
        <f>IF(A14="","",IF(OR(AND(UPPER(TRIM(B14))="SWALE",UPPER(TRIM(AI14))="PIPE"),AND(UPPER(TRIM(B14))="TRENCH",UPPER(TRIM(AI14))="PIPE")),Inputs!$B$56,Inputs!$B$54))</f>
        <v/>
      </c>
      <c r="AL14" s="4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7">
        <f>IF(A15="","",IF(E15="","",IFERROR(INDEX($B$4:$B$204,MATCH(E15,$A$4:$A$204,0)),"")))</f>
        <v/>
      </c>
      <c r="AJ15" s="17">
        <f>IF(A15="","",IF(OR(AND(UPPER(TRIM(B15))="SWALE",UPPER(TRIM(AI15))="PIPE"),AND(UPPER(TRIM(B15))="TRENCH",UPPER(TRIM(AI15))="PIPE")),Inputs!$B$55,0))</f>
        <v/>
      </c>
      <c r="AK15" s="17">
        <f>IF(A15="","",IF(OR(AND(UPPER(TRIM(B15))="SWALE",UPPER(TRIM(AI15))="PIPE"),AND(UPPER(TRIM(B15))="TRENCH",UPPER(TRIM(AI15))="PIPE")),Inputs!$B$56,Inputs!$B$54))</f>
        <v/>
      </c>
      <c r="AL15" s="4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7">
        <f>IF(A16="","",IF(E16="","",IFERROR(INDEX($B$4:$B$204,MATCH(E16,$A$4:$A$204,0)),"")))</f>
        <v/>
      </c>
      <c r="AJ16" s="17">
        <f>IF(A16="","",IF(OR(AND(UPPER(TRIM(B16))="SWALE",UPPER(TRIM(AI16))="PIPE"),AND(UPPER(TRIM(B16))="TRENCH",UPPER(TRIM(AI16))="PIPE")),Inputs!$B$55,0))</f>
        <v/>
      </c>
      <c r="AK16" s="17">
        <f>IF(A16="","",IF(OR(AND(UPPER(TRIM(B16))="SWALE",UPPER(TRIM(AI16))="PIPE"),AND(UPPER(TRIM(B16))="TRENCH",UPPER(TRIM(AI16))="PIPE")),Inputs!$B$56,Inputs!$B$54))</f>
        <v/>
      </c>
      <c r="AL16" s="4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7">
        <f>IF(A17="","",IF(E17="","",IFERROR(INDEX($B$4:$B$204,MATCH(E17,$A$4:$A$204,0)),"")))</f>
        <v/>
      </c>
      <c r="AJ17" s="17">
        <f>IF(A17="","",IF(OR(AND(UPPER(TRIM(B17))="SWALE",UPPER(TRIM(AI17))="PIPE"),AND(UPPER(TRIM(B17))="TRENCH",UPPER(TRIM(AI17))="PIPE")),Inputs!$B$55,0))</f>
        <v/>
      </c>
      <c r="AK17" s="17">
        <f>IF(A17="","",IF(OR(AND(UPPER(TRIM(B17))="SWALE",UPPER(TRIM(AI17))="PIPE"),AND(UPPER(TRIM(B17))="TRENCH",UPPER(TRIM(AI17))="PIPE")),Inputs!$B$56,Inputs!$B$54))</f>
        <v/>
      </c>
      <c r="AL17" s="4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7">
        <f>IF(A18="","",IF(E18="","",IFERROR(INDEX($B$4:$B$204,MATCH(E18,$A$4:$A$204,0)),"")))</f>
        <v/>
      </c>
      <c r="AJ18" s="17">
        <f>IF(A18="","",IF(OR(AND(UPPER(TRIM(B18))="SWALE",UPPER(TRIM(AI18))="PIPE"),AND(UPPER(TRIM(B18))="TRENCH",UPPER(TRIM(AI18))="PIPE")),Inputs!$B$55,0))</f>
        <v/>
      </c>
      <c r="AK18" s="17">
        <f>IF(A18="","",IF(OR(AND(UPPER(TRIM(B18))="SWALE",UPPER(TRIM(AI18))="PIPE"),AND(UPPER(TRIM(B18))="TRENCH",UPPER(TRIM(AI18))="PIPE")),Inputs!$B$56,Inputs!$B$54))</f>
        <v/>
      </c>
      <c r="AL18" s="4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7">
        <f>IF(A19="","",IF(E19="","",IFERROR(INDEX($B$4:$B$204,MATCH(E19,$A$4:$A$204,0)),"")))</f>
        <v/>
      </c>
      <c r="AJ19" s="17">
        <f>IF(A19="","",IF(OR(AND(UPPER(TRIM(B19))="SWALE",UPPER(TRIM(AI19))="PIPE"),AND(UPPER(TRIM(B19))="TRENCH",UPPER(TRIM(AI19))="PIPE")),Inputs!$B$55,0))</f>
        <v/>
      </c>
      <c r="AK19" s="17">
        <f>IF(A19="","",IF(OR(AND(UPPER(TRIM(B19))="SWALE",UPPER(TRIM(AI19))="PIPE"),AND(UPPER(TRIM(B19))="TRENCH",UPPER(TRIM(AI19))="PIPE")),Inputs!$B$56,Inputs!$B$54))</f>
        <v/>
      </c>
      <c r="AL19" s="4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7">
        <f>IF(A20="","",IF(E20="","",IFERROR(INDEX($B$4:$B$204,MATCH(E20,$A$4:$A$204,0)),"")))</f>
        <v/>
      </c>
      <c r="AJ20" s="17">
        <f>IF(A20="","",IF(OR(AND(UPPER(TRIM(B20))="SWALE",UPPER(TRIM(AI20))="PIPE"),AND(UPPER(TRIM(B20))="TRENCH",UPPER(TRIM(AI20))="PIPE")),Inputs!$B$55,0))</f>
        <v/>
      </c>
      <c r="AK20" s="17">
        <f>IF(A20="","",IF(OR(AND(UPPER(TRIM(B20))="SWALE",UPPER(TRIM(AI20))="PIPE"),AND(UPPER(TRIM(B20))="TRENCH",UPPER(TRIM(AI20))="PIPE")),Inputs!$B$56,Inputs!$B$54))</f>
        <v/>
      </c>
      <c r="AL20" s="4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7">
        <f>IF(A21="","",IF(E21="","",IFERROR(INDEX($B$4:$B$204,MATCH(E21,$A$4:$A$204,0)),"")))</f>
        <v/>
      </c>
      <c r="AJ21" s="17">
        <f>IF(A21="","",IF(OR(AND(UPPER(TRIM(B21))="SWALE",UPPER(TRIM(AI21))="PIPE"),AND(UPPER(TRIM(B21))="TRENCH",UPPER(TRIM(AI21))="PIPE")),Inputs!$B$55,0))</f>
        <v/>
      </c>
      <c r="AK21" s="17">
        <f>IF(A21="","",IF(OR(AND(UPPER(TRIM(B21))="SWALE",UPPER(TRIM(AI21))="PIPE"),AND(UPPER(TRIM(B21))="TRENCH",UPPER(TRIM(AI21))="PIPE")),Inputs!$B$56,Inputs!$B$54))</f>
        <v/>
      </c>
      <c r="AL21" s="4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7">
        <f>IF(A22="","",IF(E22="","",IFERROR(INDEX($B$4:$B$204,MATCH(E22,$A$4:$A$204,0)),"")))</f>
        <v/>
      </c>
      <c r="AJ22" s="17">
        <f>IF(A22="","",IF(OR(AND(UPPER(TRIM(B22))="SWALE",UPPER(TRIM(AI22))="PIPE"),AND(UPPER(TRIM(B22))="TRENCH",UPPER(TRIM(AI22))="PIPE")),Inputs!$B$55,0))</f>
        <v/>
      </c>
      <c r="AK22" s="17">
        <f>IF(A22="","",IF(OR(AND(UPPER(TRIM(B22))="SWALE",UPPER(TRIM(AI22))="PIPE"),AND(UPPER(TRIM(B22))="TRENCH",UPPER(TRIM(AI22))="PIPE")),Inputs!$B$56,Inputs!$B$54))</f>
        <v/>
      </c>
      <c r="AL22" s="4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7">
        <f>IF(A23="","",IF(E23="","",IFERROR(INDEX($B$4:$B$204,MATCH(E23,$A$4:$A$204,0)),"")))</f>
        <v/>
      </c>
      <c r="AJ23" s="17">
        <f>IF(A23="","",IF(OR(AND(UPPER(TRIM(B23))="SWALE",UPPER(TRIM(AI23))="PIPE"),AND(UPPER(TRIM(B23))="TRENCH",UPPER(TRIM(AI23))="PIPE")),Inputs!$B$55,0))</f>
        <v/>
      </c>
      <c r="AK23" s="17">
        <f>IF(A23="","",IF(OR(AND(UPPER(TRIM(B23))="SWALE",UPPER(TRIM(AI23))="PIPE"),AND(UPPER(TRIM(B23))="TRENCH",UPPER(TRIM(AI23))="PIPE")),Inputs!$B$56,Inputs!$B$54))</f>
        <v/>
      </c>
      <c r="AL23" s="4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7">
        <f>IF(A24="","",IF(E24="","",IFERROR(INDEX($B$4:$B$204,MATCH(E24,$A$4:$A$204,0)),"")))</f>
        <v/>
      </c>
      <c r="AJ24" s="17">
        <f>IF(A24="","",IF(OR(AND(UPPER(TRIM(B24))="SWALE",UPPER(TRIM(AI24))="PIPE"),AND(UPPER(TRIM(B24))="TRENCH",UPPER(TRIM(AI24))="PIPE")),Inputs!$B$55,0))</f>
        <v/>
      </c>
      <c r="AK24" s="17">
        <f>IF(A24="","",IF(OR(AND(UPPER(TRIM(B24))="SWALE",UPPER(TRIM(AI24))="PIPE"),AND(UPPER(TRIM(B24))="TRENCH",UPPER(TRIM(AI24))="PIPE")),Inputs!$B$56,Inputs!$B$54))</f>
        <v/>
      </c>
      <c r="AL24" s="4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7">
        <f>IF(A25="","",IF(E25="","",IFERROR(INDEX($B$4:$B$204,MATCH(E25,$A$4:$A$204,0)),"")))</f>
        <v/>
      </c>
      <c r="AJ25" s="17">
        <f>IF(A25="","",IF(OR(AND(UPPER(TRIM(B25))="SWALE",UPPER(TRIM(AI25))="PIPE"),AND(UPPER(TRIM(B25))="TRENCH",UPPER(TRIM(AI25))="PIPE")),Inputs!$B$55,0))</f>
        <v/>
      </c>
      <c r="AK25" s="17">
        <f>IF(A25="","",IF(OR(AND(UPPER(TRIM(B25))="SWALE",UPPER(TRIM(AI25))="PIPE"),AND(UPPER(TRIM(B25))="TRENCH",UPPER(TRIM(AI25))="PIPE")),Inputs!$B$56,Inputs!$B$54))</f>
        <v/>
      </c>
      <c r="AL25" s="4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7">
        <f>IF(A26="","",IF(E26="","",IFERROR(INDEX($B$4:$B$204,MATCH(E26,$A$4:$A$204,0)),"")))</f>
        <v/>
      </c>
      <c r="AJ26" s="17">
        <f>IF(A26="","",IF(OR(AND(UPPER(TRIM(B26))="SWALE",UPPER(TRIM(AI26))="PIPE"),AND(UPPER(TRIM(B26))="TRENCH",UPPER(TRIM(AI26))="PIPE")),Inputs!$B$55,0))</f>
        <v/>
      </c>
      <c r="AK26" s="17">
        <f>IF(A26="","",IF(OR(AND(UPPER(TRIM(B26))="SWALE",UPPER(TRIM(AI26))="PIPE"),AND(UPPER(TRIM(B26))="TRENCH",UPPER(TRIM(AI26))="PIPE")),Inputs!$B$56,Inputs!$B$54))</f>
        <v/>
      </c>
      <c r="AL26" s="4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7">
        <f>IF(A27="","",IF(E27="","",IFERROR(INDEX($B$4:$B$204,MATCH(E27,$A$4:$A$204,0)),"")))</f>
        <v/>
      </c>
      <c r="AJ27" s="17">
        <f>IF(A27="","",IF(OR(AND(UPPER(TRIM(B27))="SWALE",UPPER(TRIM(AI27))="PIPE"),AND(UPPER(TRIM(B27))="TRENCH",UPPER(TRIM(AI27))="PIPE")),Inputs!$B$55,0))</f>
        <v/>
      </c>
      <c r="AK27" s="17">
        <f>IF(A27="","",IF(OR(AND(UPPER(TRIM(B27))="SWALE",UPPER(TRIM(AI27))="PIPE"),AND(UPPER(TRIM(B27))="TRENCH",UPPER(TRIM(AI27))="PIPE")),Inputs!$B$56,Inputs!$B$54))</f>
        <v/>
      </c>
      <c r="AL27" s="4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7">
        <f>IF(A28="","",IF(E28="","",IFERROR(INDEX($B$4:$B$204,MATCH(E28,$A$4:$A$204,0)),"")))</f>
        <v/>
      </c>
      <c r="AJ28" s="17">
        <f>IF(A28="","",IF(OR(AND(UPPER(TRIM(B28))="SWALE",UPPER(TRIM(AI28))="PIPE"),AND(UPPER(TRIM(B28))="TRENCH",UPPER(TRIM(AI28))="PIPE")),Inputs!$B$55,0))</f>
        <v/>
      </c>
      <c r="AK28" s="17">
        <f>IF(A28="","",IF(OR(AND(UPPER(TRIM(B28))="SWALE",UPPER(TRIM(AI28))="PIPE"),AND(UPPER(TRIM(B28))="TRENCH",UPPER(TRIM(AI28))="PIPE")),Inputs!$B$56,Inputs!$B$54))</f>
        <v/>
      </c>
      <c r="AL28" s="4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7">
        <f>IF(A29="","",IF(E29="","",IFERROR(INDEX($B$4:$B$204,MATCH(E29,$A$4:$A$204,0)),"")))</f>
        <v/>
      </c>
      <c r="AJ29" s="17">
        <f>IF(A29="","",IF(OR(AND(UPPER(TRIM(B29))="SWALE",UPPER(TRIM(AI29))="PIPE"),AND(UPPER(TRIM(B29))="TRENCH",UPPER(TRIM(AI29))="PIPE")),Inputs!$B$55,0))</f>
        <v/>
      </c>
      <c r="AK29" s="17">
        <f>IF(A29="","",IF(OR(AND(UPPER(TRIM(B29))="SWALE",UPPER(TRIM(AI29))="PIPE"),AND(UPPER(TRIM(B29))="TRENCH",UPPER(TRIM(AI29))="PIPE")),Inputs!$B$56,Inputs!$B$54))</f>
        <v/>
      </c>
      <c r="AL29" s="4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7">
        <f>IF(A30="","",IF(E30="","",IFERROR(INDEX($B$4:$B$204,MATCH(E30,$A$4:$A$204,0)),"")))</f>
        <v/>
      </c>
      <c r="AJ30" s="17">
        <f>IF(A30="","",IF(OR(AND(UPPER(TRIM(B30))="SWALE",UPPER(TRIM(AI30))="PIPE"),AND(UPPER(TRIM(B30))="TRENCH",UPPER(TRIM(AI30))="PIPE")),Inputs!$B$55,0))</f>
        <v/>
      </c>
      <c r="AK30" s="17">
        <f>IF(A30="","",IF(OR(AND(UPPER(TRIM(B30))="SWALE",UPPER(TRIM(AI30))="PIPE"),AND(UPPER(TRIM(B30))="TRENCH",UPPER(TRIM(AI30))="PIPE")),Inputs!$B$56,Inputs!$B$54))</f>
        <v/>
      </c>
      <c r="AL30" s="4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7">
        <f>IF(A31="","",IF(E31="","",IFERROR(INDEX($B$4:$B$204,MATCH(E31,$A$4:$A$204,0)),"")))</f>
        <v/>
      </c>
      <c r="AJ31" s="17">
        <f>IF(A31="","",IF(OR(AND(UPPER(TRIM(B31))="SWALE",UPPER(TRIM(AI31))="PIPE"),AND(UPPER(TRIM(B31))="TRENCH",UPPER(TRIM(AI31))="PIPE")),Inputs!$B$55,0))</f>
        <v/>
      </c>
      <c r="AK31" s="17">
        <f>IF(A31="","",IF(OR(AND(UPPER(TRIM(B31))="SWALE",UPPER(TRIM(AI31))="PIPE"),AND(UPPER(TRIM(B31))="TRENCH",UPPER(TRIM(AI31))="PIPE")),Inputs!$B$56,Inputs!$B$54))</f>
        <v/>
      </c>
      <c r="AL31" s="4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7">
        <f>IF(A32="","",IF(E32="","",IFERROR(INDEX($B$4:$B$204,MATCH(E32,$A$4:$A$204,0)),"")))</f>
        <v/>
      </c>
      <c r="AJ32" s="17">
        <f>IF(A32="","",IF(OR(AND(UPPER(TRIM(B32))="SWALE",UPPER(TRIM(AI32))="PIPE"),AND(UPPER(TRIM(B32))="TRENCH",UPPER(TRIM(AI32))="PIPE")),Inputs!$B$55,0))</f>
        <v/>
      </c>
      <c r="AK32" s="17">
        <f>IF(A32="","",IF(OR(AND(UPPER(TRIM(B32))="SWALE",UPPER(TRIM(AI32))="PIPE"),AND(UPPER(TRIM(B32))="TRENCH",UPPER(TRIM(AI32))="PIPE")),Inputs!$B$56,Inputs!$B$54))</f>
        <v/>
      </c>
      <c r="AL32" s="4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7">
        <f>IF(A33="","",IF(E33="","",IFERROR(INDEX($B$4:$B$204,MATCH(E33,$A$4:$A$204,0)),"")))</f>
        <v/>
      </c>
      <c r="AJ33" s="17">
        <f>IF(A33="","",IF(OR(AND(UPPER(TRIM(B33))="SWALE",UPPER(TRIM(AI33))="PIPE"),AND(UPPER(TRIM(B33))="TRENCH",UPPER(TRIM(AI33))="PIPE")),Inputs!$B$55,0))</f>
        <v/>
      </c>
      <c r="AK33" s="17">
        <f>IF(A33="","",IF(OR(AND(UPPER(TRIM(B33))="SWALE",UPPER(TRIM(AI33))="PIPE"),AND(UPPER(TRIM(B33))="TRENCH",UPPER(TRIM(AI33))="PIPE")),Inputs!$B$56,Inputs!$B$54))</f>
        <v/>
      </c>
      <c r="AL33" s="4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7">
        <f>IF(A34="","",IF(E34="","",IFERROR(INDEX($B$4:$B$204,MATCH(E34,$A$4:$A$204,0)),"")))</f>
        <v/>
      </c>
      <c r="AJ34" s="17">
        <f>IF(A34="","",IF(OR(AND(UPPER(TRIM(B34))="SWALE",UPPER(TRIM(AI34))="PIPE"),AND(UPPER(TRIM(B34))="TRENCH",UPPER(TRIM(AI34))="PIPE")),Inputs!$B$55,0))</f>
        <v/>
      </c>
      <c r="AK34" s="17">
        <f>IF(A34="","",IF(OR(AND(UPPER(TRIM(B34))="SWALE",UPPER(TRIM(AI34))="PIPE"),AND(UPPER(TRIM(B34))="TRENCH",UPPER(TRIM(AI34))="PIPE")),Inputs!$B$56,Inputs!$B$54))</f>
        <v/>
      </c>
      <c r="AL34" s="4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7">
        <f>IF(A35="","",IF(E35="","",IFERROR(INDEX($B$4:$B$204,MATCH(E35,$A$4:$A$204,0)),"")))</f>
        <v/>
      </c>
      <c r="AJ35" s="17">
        <f>IF(A35="","",IF(OR(AND(UPPER(TRIM(B35))="SWALE",UPPER(TRIM(AI35))="PIPE"),AND(UPPER(TRIM(B35))="TRENCH",UPPER(TRIM(AI35))="PIPE")),Inputs!$B$55,0))</f>
        <v/>
      </c>
      <c r="AK35" s="17">
        <f>IF(A35="","",IF(OR(AND(UPPER(TRIM(B35))="SWALE",UPPER(TRIM(AI35))="PIPE"),AND(UPPER(TRIM(B35))="TRENCH",UPPER(TRIM(AI35))="PIPE")),Inputs!$B$56,Inputs!$B$54))</f>
        <v/>
      </c>
      <c r="AL35" s="4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7">
        <f>IF(A36="","",IF(E36="","",IFERROR(INDEX($B$4:$B$204,MATCH(E36,$A$4:$A$204,0)),"")))</f>
        <v/>
      </c>
      <c r="AJ36" s="17">
        <f>IF(A36="","",IF(OR(AND(UPPER(TRIM(B36))="SWALE",UPPER(TRIM(AI36))="PIPE"),AND(UPPER(TRIM(B36))="TRENCH",UPPER(TRIM(AI36))="PIPE")),Inputs!$B$55,0))</f>
        <v/>
      </c>
      <c r="AK36" s="17">
        <f>IF(A36="","",IF(OR(AND(UPPER(TRIM(B36))="SWALE",UPPER(TRIM(AI36))="PIPE"),AND(UPPER(TRIM(B36))="TRENCH",UPPER(TRIM(AI36))="PIPE")),Inputs!$B$56,Inputs!$B$54))</f>
        <v/>
      </c>
      <c r="AL36" s="4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7">
        <f>IF(A37="","",IF(E37="","",IFERROR(INDEX($B$4:$B$204,MATCH(E37,$A$4:$A$204,0)),"")))</f>
        <v/>
      </c>
      <c r="AJ37" s="17">
        <f>IF(A37="","",IF(OR(AND(UPPER(TRIM(B37))="SWALE",UPPER(TRIM(AI37))="PIPE"),AND(UPPER(TRIM(B37))="TRENCH",UPPER(TRIM(AI37))="PIPE")),Inputs!$B$55,0))</f>
        <v/>
      </c>
      <c r="AK37" s="17">
        <f>IF(A37="","",IF(OR(AND(UPPER(TRIM(B37))="SWALE",UPPER(TRIM(AI37))="PIPE"),AND(UPPER(TRIM(B37))="TRENCH",UPPER(TRIM(AI37))="PIPE")),Inputs!$B$56,Inputs!$B$54))</f>
        <v/>
      </c>
      <c r="AL37" s="4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7">
        <f>IF(A38="","",IF(E38="","",IFERROR(INDEX($B$4:$B$204,MATCH(E38,$A$4:$A$204,0)),"")))</f>
        <v/>
      </c>
      <c r="AJ38" s="17">
        <f>IF(A38="","",IF(OR(AND(UPPER(TRIM(B38))="SWALE",UPPER(TRIM(AI38))="PIPE"),AND(UPPER(TRIM(B38))="TRENCH",UPPER(TRIM(AI38))="PIPE")),Inputs!$B$55,0))</f>
        <v/>
      </c>
      <c r="AK38" s="17">
        <f>IF(A38="","",IF(OR(AND(UPPER(TRIM(B38))="SWALE",UPPER(TRIM(AI38))="PIPE"),AND(UPPER(TRIM(B38))="TRENCH",UPPER(TRIM(AI38))="PIPE")),Inputs!$B$56,Inputs!$B$54))</f>
        <v/>
      </c>
      <c r="AL38" s="4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7">
        <f>IF(A39="","",IF(E39="","",IFERROR(INDEX($B$4:$B$204,MATCH(E39,$A$4:$A$204,0)),"")))</f>
        <v/>
      </c>
      <c r="AJ39" s="17">
        <f>IF(A39="","",IF(OR(AND(UPPER(TRIM(B39))="SWALE",UPPER(TRIM(AI39))="PIPE"),AND(UPPER(TRIM(B39))="TRENCH",UPPER(TRIM(AI39))="PIPE")),Inputs!$B$55,0))</f>
        <v/>
      </c>
      <c r="AK39" s="17">
        <f>IF(A39="","",IF(OR(AND(UPPER(TRIM(B39))="SWALE",UPPER(TRIM(AI39))="PIPE"),AND(UPPER(TRIM(B39))="TRENCH",UPPER(TRIM(AI39))="PIPE")),Inputs!$B$56,Inputs!$B$54))</f>
        <v/>
      </c>
      <c r="AL39" s="4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7">
        <f>IF(A40="","",IF(E40="","",IFERROR(INDEX($B$4:$B$204,MATCH(E40,$A$4:$A$204,0)),"")))</f>
        <v/>
      </c>
      <c r="AJ40" s="17">
        <f>IF(A40="","",IF(OR(AND(UPPER(TRIM(B40))="SWALE",UPPER(TRIM(AI40))="PIPE"),AND(UPPER(TRIM(B40))="TRENCH",UPPER(TRIM(AI40))="PIPE")),Inputs!$B$55,0))</f>
        <v/>
      </c>
      <c r="AK40" s="17">
        <f>IF(A40="","",IF(OR(AND(UPPER(TRIM(B40))="SWALE",UPPER(TRIM(AI40))="PIPE"),AND(UPPER(TRIM(B40))="TRENCH",UPPER(TRIM(AI40))="PIPE")),Inputs!$B$56,Inputs!$B$54))</f>
        <v/>
      </c>
      <c r="AL40" s="4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7">
        <f>IF(A41="","",IF(E41="","",IFERROR(INDEX($B$4:$B$204,MATCH(E41,$A$4:$A$204,0)),"")))</f>
        <v/>
      </c>
      <c r="AJ41" s="17">
        <f>IF(A41="","",IF(OR(AND(UPPER(TRIM(B41))="SWALE",UPPER(TRIM(AI41))="PIPE"),AND(UPPER(TRIM(B41))="TRENCH",UPPER(TRIM(AI41))="PIPE")),Inputs!$B$55,0))</f>
        <v/>
      </c>
      <c r="AK41" s="17">
        <f>IF(A41="","",IF(OR(AND(UPPER(TRIM(B41))="SWALE",UPPER(TRIM(AI41))="PIPE"),AND(UPPER(TRIM(B41))="TRENCH",UPPER(TRIM(AI41))="PIPE")),Inputs!$B$56,Inputs!$B$54))</f>
        <v/>
      </c>
      <c r="AL41" s="4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7">
        <f>IF(A42="","",IF(E42="","",IFERROR(INDEX($B$4:$B$204,MATCH(E42,$A$4:$A$204,0)),"")))</f>
        <v/>
      </c>
      <c r="AJ42" s="17">
        <f>IF(A42="","",IF(OR(AND(UPPER(TRIM(B42))="SWALE",UPPER(TRIM(AI42))="PIPE"),AND(UPPER(TRIM(B42))="TRENCH",UPPER(TRIM(AI42))="PIPE")),Inputs!$B$55,0))</f>
        <v/>
      </c>
      <c r="AK42" s="17">
        <f>IF(A42="","",IF(OR(AND(UPPER(TRIM(B42))="SWALE",UPPER(TRIM(AI42))="PIPE"),AND(UPPER(TRIM(B42))="TRENCH",UPPER(TRIM(AI42))="PIPE")),Inputs!$B$56,Inputs!$B$54))</f>
        <v/>
      </c>
      <c r="AL42" s="4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7">
        <f>IF(A43="","",IF(E43="","",IFERROR(INDEX($B$4:$B$204,MATCH(E43,$A$4:$A$204,0)),"")))</f>
        <v/>
      </c>
      <c r="AJ43" s="17">
        <f>IF(A43="","",IF(OR(AND(UPPER(TRIM(B43))="SWALE",UPPER(TRIM(AI43))="PIPE"),AND(UPPER(TRIM(B43))="TRENCH",UPPER(TRIM(AI43))="PIPE")),Inputs!$B$55,0))</f>
        <v/>
      </c>
      <c r="AK43" s="17">
        <f>IF(A43="","",IF(OR(AND(UPPER(TRIM(B43))="SWALE",UPPER(TRIM(AI43))="PIPE"),AND(UPPER(TRIM(B43))="TRENCH",UPPER(TRIM(AI43))="PIPE")),Inputs!$B$56,Inputs!$B$54))</f>
        <v/>
      </c>
      <c r="AL43" s="4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7">
        <f>IF(A44="","",IF(E44="","",IFERROR(INDEX($B$4:$B$204,MATCH(E44,$A$4:$A$204,0)),"")))</f>
        <v/>
      </c>
      <c r="AJ44" s="17">
        <f>IF(A44="","",IF(OR(AND(UPPER(TRIM(B44))="SWALE",UPPER(TRIM(AI44))="PIPE"),AND(UPPER(TRIM(B44))="TRENCH",UPPER(TRIM(AI44))="PIPE")),Inputs!$B$55,0))</f>
        <v/>
      </c>
      <c r="AK44" s="17">
        <f>IF(A44="","",IF(OR(AND(UPPER(TRIM(B44))="SWALE",UPPER(TRIM(AI44))="PIPE"),AND(UPPER(TRIM(B44))="TRENCH",UPPER(TRIM(AI44))="PIPE")),Inputs!$B$56,Inputs!$B$54))</f>
        <v/>
      </c>
      <c r="AL44" s="4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7">
        <f>IF(A45="","",IF(E45="","",IFERROR(INDEX($B$4:$B$204,MATCH(E45,$A$4:$A$204,0)),"")))</f>
        <v/>
      </c>
      <c r="AJ45" s="17">
        <f>IF(A45="","",IF(OR(AND(UPPER(TRIM(B45))="SWALE",UPPER(TRIM(AI45))="PIPE"),AND(UPPER(TRIM(B45))="TRENCH",UPPER(TRIM(AI45))="PIPE")),Inputs!$B$55,0))</f>
        <v/>
      </c>
      <c r="AK45" s="17">
        <f>IF(A45="","",IF(OR(AND(UPPER(TRIM(B45))="SWALE",UPPER(TRIM(AI45))="PIPE"),AND(UPPER(TRIM(B45))="TRENCH",UPPER(TRIM(AI45))="PIPE")),Inputs!$B$56,Inputs!$B$54))</f>
        <v/>
      </c>
      <c r="AL45" s="4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7">
        <f>IF(A46="","",IF(E46="","",IFERROR(INDEX($B$4:$B$204,MATCH(E46,$A$4:$A$204,0)),"")))</f>
        <v/>
      </c>
      <c r="AJ46" s="17">
        <f>IF(A46="","",IF(OR(AND(UPPER(TRIM(B46))="SWALE",UPPER(TRIM(AI46))="PIPE"),AND(UPPER(TRIM(B46))="TRENCH",UPPER(TRIM(AI46))="PIPE")),Inputs!$B$55,0))</f>
        <v/>
      </c>
      <c r="AK46" s="17">
        <f>IF(A46="","",IF(OR(AND(UPPER(TRIM(B46))="SWALE",UPPER(TRIM(AI46))="PIPE"),AND(UPPER(TRIM(B46))="TRENCH",UPPER(TRIM(AI46))="PIPE")),Inputs!$B$56,Inputs!$B$54))</f>
        <v/>
      </c>
      <c r="AL46" s="4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7">
        <f>IF(A47="","",IF(E47="","",IFERROR(INDEX($B$4:$B$204,MATCH(E47,$A$4:$A$204,0)),"")))</f>
        <v/>
      </c>
      <c r="AJ47" s="17">
        <f>IF(A47="","",IF(OR(AND(UPPER(TRIM(B47))="SWALE",UPPER(TRIM(AI47))="PIPE"),AND(UPPER(TRIM(B47))="TRENCH",UPPER(TRIM(AI47))="PIPE")),Inputs!$B$55,0))</f>
        <v/>
      </c>
      <c r="AK47" s="17">
        <f>IF(A47="","",IF(OR(AND(UPPER(TRIM(B47))="SWALE",UPPER(TRIM(AI47))="PIPE"),AND(UPPER(TRIM(B47))="TRENCH",UPPER(TRIM(AI47))="PIPE")),Inputs!$B$56,Inputs!$B$54))</f>
        <v/>
      </c>
      <c r="AL47" s="4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7">
        <f>IF(A48="","",IF(E48="","",IFERROR(INDEX($B$4:$B$204,MATCH(E48,$A$4:$A$204,0)),"")))</f>
        <v/>
      </c>
      <c r="AJ48" s="17">
        <f>IF(A48="","",IF(OR(AND(UPPER(TRIM(B48))="SWALE",UPPER(TRIM(AI48))="PIPE"),AND(UPPER(TRIM(B48))="TRENCH",UPPER(TRIM(AI48))="PIPE")),Inputs!$B$55,0))</f>
        <v/>
      </c>
      <c r="AK48" s="17">
        <f>IF(A48="","",IF(OR(AND(UPPER(TRIM(B48))="SWALE",UPPER(TRIM(AI48))="PIPE"),AND(UPPER(TRIM(B48))="TRENCH",UPPER(TRIM(AI48))="PIPE")),Inputs!$B$56,Inputs!$B$54))</f>
        <v/>
      </c>
      <c r="AL48" s="4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7">
        <f>IF(A49="","",IF(E49="","",IFERROR(INDEX($B$4:$B$204,MATCH(E49,$A$4:$A$204,0)),"")))</f>
        <v/>
      </c>
      <c r="AJ49" s="17">
        <f>IF(A49="","",IF(OR(AND(UPPER(TRIM(B49))="SWALE",UPPER(TRIM(AI49))="PIPE"),AND(UPPER(TRIM(B49))="TRENCH",UPPER(TRIM(AI49))="PIPE")),Inputs!$B$55,0))</f>
        <v/>
      </c>
      <c r="AK49" s="17">
        <f>IF(A49="","",IF(OR(AND(UPPER(TRIM(B49))="SWALE",UPPER(TRIM(AI49))="PIPE"),AND(UPPER(TRIM(B49))="TRENCH",UPPER(TRIM(AI49))="PIPE")),Inputs!$B$56,Inputs!$B$54))</f>
        <v/>
      </c>
      <c r="AL49" s="4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7">
        <f>IF(A50="","",IF(E50="","",IFERROR(INDEX($B$4:$B$204,MATCH(E50,$A$4:$A$204,0)),"")))</f>
        <v/>
      </c>
      <c r="AJ50" s="17">
        <f>IF(A50="","",IF(OR(AND(UPPER(TRIM(B50))="SWALE",UPPER(TRIM(AI50))="PIPE"),AND(UPPER(TRIM(B50))="TRENCH",UPPER(TRIM(AI50))="PIPE")),Inputs!$B$55,0))</f>
        <v/>
      </c>
      <c r="AK50" s="17">
        <f>IF(A50="","",IF(OR(AND(UPPER(TRIM(B50))="SWALE",UPPER(TRIM(AI50))="PIPE"),AND(UPPER(TRIM(B50))="TRENCH",UPPER(TRIM(AI50))="PIPE")),Inputs!$B$56,Inputs!$B$54))</f>
        <v/>
      </c>
      <c r="AL50" s="4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7">
        <f>IF(A51="","",IF(E51="","",IFERROR(INDEX($B$4:$B$204,MATCH(E51,$A$4:$A$204,0)),"")))</f>
        <v/>
      </c>
      <c r="AJ51" s="17">
        <f>IF(A51="","",IF(OR(AND(UPPER(TRIM(B51))="SWALE",UPPER(TRIM(AI51))="PIPE"),AND(UPPER(TRIM(B51))="TRENCH",UPPER(TRIM(AI51))="PIPE")),Inputs!$B$55,0))</f>
        <v/>
      </c>
      <c r="AK51" s="17">
        <f>IF(A51="","",IF(OR(AND(UPPER(TRIM(B51))="SWALE",UPPER(TRIM(AI51))="PIPE"),AND(UPPER(TRIM(B51))="TRENCH",UPPER(TRIM(AI51))="PIPE")),Inputs!$B$56,Inputs!$B$54))</f>
        <v/>
      </c>
      <c r="AL51" s="4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7">
        <f>IF(A52="","",IF(E52="","",IFERROR(INDEX($B$4:$B$204,MATCH(E52,$A$4:$A$204,0)),"")))</f>
        <v/>
      </c>
      <c r="AJ52" s="17">
        <f>IF(A52="","",IF(OR(AND(UPPER(TRIM(B52))="SWALE",UPPER(TRIM(AI52))="PIPE"),AND(UPPER(TRIM(B52))="TRENCH",UPPER(TRIM(AI52))="PIPE")),Inputs!$B$55,0))</f>
        <v/>
      </c>
      <c r="AK52" s="17">
        <f>IF(A52="","",IF(OR(AND(UPPER(TRIM(B52))="SWALE",UPPER(TRIM(AI52))="PIPE"),AND(UPPER(TRIM(B52))="TRENCH",UPPER(TRIM(AI52))="PIPE")),Inputs!$B$56,Inputs!$B$54))</f>
        <v/>
      </c>
      <c r="AL52" s="4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7">
        <f>IF(A53="","",IF(E53="","",IFERROR(INDEX($B$4:$B$204,MATCH(E53,$A$4:$A$204,0)),"")))</f>
        <v/>
      </c>
      <c r="AJ53" s="17">
        <f>IF(A53="","",IF(OR(AND(UPPER(TRIM(B53))="SWALE",UPPER(TRIM(AI53))="PIPE"),AND(UPPER(TRIM(B53))="TRENCH",UPPER(TRIM(AI53))="PIPE")),Inputs!$B$55,0))</f>
        <v/>
      </c>
      <c r="AK53" s="17">
        <f>IF(A53="","",IF(OR(AND(UPPER(TRIM(B53))="SWALE",UPPER(TRIM(AI53))="PIPE"),AND(UPPER(TRIM(B53))="TRENCH",UPPER(TRIM(AI53))="PIPE")),Inputs!$B$56,Inputs!$B$54))</f>
        <v/>
      </c>
      <c r="AL53" s="4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7">
        <f>IF(A54="","",IF(E54="","",IFERROR(INDEX($B$4:$B$204,MATCH(E54,$A$4:$A$204,0)),"")))</f>
        <v/>
      </c>
      <c r="AJ54" s="17">
        <f>IF(A54="","",IF(OR(AND(UPPER(TRIM(B54))="SWALE",UPPER(TRIM(AI54))="PIPE"),AND(UPPER(TRIM(B54))="TRENCH",UPPER(TRIM(AI54))="PIPE")),Inputs!$B$55,0))</f>
        <v/>
      </c>
      <c r="AK54" s="17">
        <f>IF(A54="","",IF(OR(AND(UPPER(TRIM(B54))="SWALE",UPPER(TRIM(AI54))="PIPE"),AND(UPPER(TRIM(B54))="TRENCH",UPPER(TRIM(AI54))="PIPE")),Inputs!$B$56,Inputs!$B$54))</f>
        <v/>
      </c>
      <c r="AL54" s="4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7">
        <f>IF(A55="","",IF(E55="","",IFERROR(INDEX($B$4:$B$204,MATCH(E55,$A$4:$A$204,0)),"")))</f>
        <v/>
      </c>
      <c r="AJ55" s="17">
        <f>IF(A55="","",IF(OR(AND(UPPER(TRIM(B55))="SWALE",UPPER(TRIM(AI55))="PIPE"),AND(UPPER(TRIM(B55))="TRENCH",UPPER(TRIM(AI55))="PIPE")),Inputs!$B$55,0))</f>
        <v/>
      </c>
      <c r="AK55" s="17">
        <f>IF(A55="","",IF(OR(AND(UPPER(TRIM(B55))="SWALE",UPPER(TRIM(AI55))="PIPE"),AND(UPPER(TRIM(B55))="TRENCH",UPPER(TRIM(AI55))="PIPE")),Inputs!$B$56,Inputs!$B$54))</f>
        <v/>
      </c>
      <c r="AL55" s="4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7">
        <f>IF(A56="","",IF(E56="","",IFERROR(INDEX($B$4:$B$204,MATCH(E56,$A$4:$A$204,0)),"")))</f>
        <v/>
      </c>
      <c r="AJ56" s="17">
        <f>IF(A56="","",IF(OR(AND(UPPER(TRIM(B56))="SWALE",UPPER(TRIM(AI56))="PIPE"),AND(UPPER(TRIM(B56))="TRENCH",UPPER(TRIM(AI56))="PIPE")),Inputs!$B$55,0))</f>
        <v/>
      </c>
      <c r="AK56" s="17">
        <f>IF(A56="","",IF(OR(AND(UPPER(TRIM(B56))="SWALE",UPPER(TRIM(AI56))="PIPE"),AND(UPPER(TRIM(B56))="TRENCH",UPPER(TRIM(AI56))="PIPE")),Inputs!$B$56,Inputs!$B$54))</f>
        <v/>
      </c>
      <c r="AL56" s="4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7">
        <f>IF(A57="","",IF(E57="","",IFERROR(INDEX($B$4:$B$204,MATCH(E57,$A$4:$A$204,0)),"")))</f>
        <v/>
      </c>
      <c r="AJ57" s="17">
        <f>IF(A57="","",IF(OR(AND(UPPER(TRIM(B57))="SWALE",UPPER(TRIM(AI57))="PIPE"),AND(UPPER(TRIM(B57))="TRENCH",UPPER(TRIM(AI57))="PIPE")),Inputs!$B$55,0))</f>
        <v/>
      </c>
      <c r="AK57" s="17">
        <f>IF(A57="","",IF(OR(AND(UPPER(TRIM(B57))="SWALE",UPPER(TRIM(AI57))="PIPE"),AND(UPPER(TRIM(B57))="TRENCH",UPPER(TRIM(AI57))="PIPE")),Inputs!$B$56,Inputs!$B$54))</f>
        <v/>
      </c>
      <c r="AL57" s="4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7">
        <f>IF(A58="","",IF(E58="","",IFERROR(INDEX($B$4:$B$204,MATCH(E58,$A$4:$A$204,0)),"")))</f>
        <v/>
      </c>
      <c r="AJ58" s="17">
        <f>IF(A58="","",IF(OR(AND(UPPER(TRIM(B58))="SWALE",UPPER(TRIM(AI58))="PIPE"),AND(UPPER(TRIM(B58))="TRENCH",UPPER(TRIM(AI58))="PIPE")),Inputs!$B$55,0))</f>
        <v/>
      </c>
      <c r="AK58" s="17">
        <f>IF(A58="","",IF(OR(AND(UPPER(TRIM(B58))="SWALE",UPPER(TRIM(AI58))="PIPE"),AND(UPPER(TRIM(B58))="TRENCH",UPPER(TRIM(AI58))="PIPE")),Inputs!$B$56,Inputs!$B$54))</f>
        <v/>
      </c>
      <c r="AL58" s="4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7">
        <f>IF(A59="","",IF(E59="","",IFERROR(INDEX($B$4:$B$204,MATCH(E59,$A$4:$A$204,0)),"")))</f>
        <v/>
      </c>
      <c r="AJ59" s="17">
        <f>IF(A59="","",IF(OR(AND(UPPER(TRIM(B59))="SWALE",UPPER(TRIM(AI59))="PIPE"),AND(UPPER(TRIM(B59))="TRENCH",UPPER(TRIM(AI59))="PIPE")),Inputs!$B$55,0))</f>
        <v/>
      </c>
      <c r="AK59" s="17">
        <f>IF(A59="","",IF(OR(AND(UPPER(TRIM(B59))="SWALE",UPPER(TRIM(AI59))="PIPE"),AND(UPPER(TRIM(B59))="TRENCH",UPPER(TRIM(AI59))="PIPE")),Inputs!$B$56,Inputs!$B$54))</f>
        <v/>
      </c>
      <c r="AL59" s="4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7">
        <f>IF(A60="","",IF(E60="","",IFERROR(INDEX($B$4:$B$204,MATCH(E60,$A$4:$A$204,0)),"")))</f>
        <v/>
      </c>
      <c r="AJ60" s="17">
        <f>IF(A60="","",IF(OR(AND(UPPER(TRIM(B60))="SWALE",UPPER(TRIM(AI60))="PIPE"),AND(UPPER(TRIM(B60))="TRENCH",UPPER(TRIM(AI60))="PIPE")),Inputs!$B$55,0))</f>
        <v/>
      </c>
      <c r="AK60" s="17">
        <f>IF(A60="","",IF(OR(AND(UPPER(TRIM(B60))="SWALE",UPPER(TRIM(AI60))="PIPE"),AND(UPPER(TRIM(B60))="TRENCH",UPPER(TRIM(AI60))="PIPE")),Inputs!$B$56,Inputs!$B$54))</f>
        <v/>
      </c>
      <c r="AL60" s="4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7">
        <f>IF(A61="","",IF(E61="","",IFERROR(INDEX($B$4:$B$204,MATCH(E61,$A$4:$A$204,0)),"")))</f>
        <v/>
      </c>
      <c r="AJ61" s="17">
        <f>IF(A61="","",IF(OR(AND(UPPER(TRIM(B61))="SWALE",UPPER(TRIM(AI61))="PIPE"),AND(UPPER(TRIM(B61))="TRENCH",UPPER(TRIM(AI61))="PIPE")),Inputs!$B$55,0))</f>
        <v/>
      </c>
      <c r="AK61" s="17">
        <f>IF(A61="","",IF(OR(AND(UPPER(TRIM(B61))="SWALE",UPPER(TRIM(AI61))="PIPE"),AND(UPPER(TRIM(B61))="TRENCH",UPPER(TRIM(AI61))="PIPE")),Inputs!$B$56,Inputs!$B$54))</f>
        <v/>
      </c>
      <c r="AL61" s="4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7">
        <f>IF(A62="","",IF(E62="","",IFERROR(INDEX($B$4:$B$204,MATCH(E62,$A$4:$A$204,0)),"")))</f>
        <v/>
      </c>
      <c r="AJ62" s="17">
        <f>IF(A62="","",IF(OR(AND(UPPER(TRIM(B62))="SWALE",UPPER(TRIM(AI62))="PIPE"),AND(UPPER(TRIM(B62))="TRENCH",UPPER(TRIM(AI62))="PIPE")),Inputs!$B$55,0))</f>
        <v/>
      </c>
      <c r="AK62" s="17">
        <f>IF(A62="","",IF(OR(AND(UPPER(TRIM(B62))="SWALE",UPPER(TRIM(AI62))="PIPE"),AND(UPPER(TRIM(B62))="TRENCH",UPPER(TRIM(AI62))="PIPE")),Inputs!$B$56,Inputs!$B$54))</f>
        <v/>
      </c>
      <c r="AL62" s="4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7">
        <f>IF(A63="","",IF(E63="","",IFERROR(INDEX($B$4:$B$204,MATCH(E63,$A$4:$A$204,0)),"")))</f>
        <v/>
      </c>
      <c r="AJ63" s="17">
        <f>IF(A63="","",IF(OR(AND(UPPER(TRIM(B63))="SWALE",UPPER(TRIM(AI63))="PIPE"),AND(UPPER(TRIM(B63))="TRENCH",UPPER(TRIM(AI63))="PIPE")),Inputs!$B$55,0))</f>
        <v/>
      </c>
      <c r="AK63" s="17">
        <f>IF(A63="","",IF(OR(AND(UPPER(TRIM(B63))="SWALE",UPPER(TRIM(AI63))="PIPE"),AND(UPPER(TRIM(B63))="TRENCH",UPPER(TRIM(AI63))="PIPE")),Inputs!$B$56,Inputs!$B$54))</f>
        <v/>
      </c>
      <c r="AL63" s="4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7">
        <f>IF(A64="","",IF(E64="","",IFERROR(INDEX($B$4:$B$204,MATCH(E64,$A$4:$A$204,0)),"")))</f>
        <v/>
      </c>
      <c r="AJ64" s="17">
        <f>IF(A64="","",IF(OR(AND(UPPER(TRIM(B64))="SWALE",UPPER(TRIM(AI64))="PIPE"),AND(UPPER(TRIM(B64))="TRENCH",UPPER(TRIM(AI64))="PIPE")),Inputs!$B$55,0))</f>
        <v/>
      </c>
      <c r="AK64" s="17">
        <f>IF(A64="","",IF(OR(AND(UPPER(TRIM(B64))="SWALE",UPPER(TRIM(AI64))="PIPE"),AND(UPPER(TRIM(B64))="TRENCH",UPPER(TRIM(AI64))="PIPE")),Inputs!$B$56,Inputs!$B$54))</f>
        <v/>
      </c>
      <c r="AL64" s="4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7">
        <f>IF(A65="","",IF(E65="","",IFERROR(INDEX($B$4:$B$204,MATCH(E65,$A$4:$A$204,0)),"")))</f>
        <v/>
      </c>
      <c r="AJ65" s="17">
        <f>IF(A65="","",IF(OR(AND(UPPER(TRIM(B65))="SWALE",UPPER(TRIM(AI65))="PIPE"),AND(UPPER(TRIM(B65))="TRENCH",UPPER(TRIM(AI65))="PIPE")),Inputs!$B$55,0))</f>
        <v/>
      </c>
      <c r="AK65" s="17">
        <f>IF(A65="","",IF(OR(AND(UPPER(TRIM(B65))="SWALE",UPPER(TRIM(AI65))="PIPE"),AND(UPPER(TRIM(B65))="TRENCH",UPPER(TRIM(AI65))="PIPE")),Inputs!$B$56,Inputs!$B$54))</f>
        <v/>
      </c>
      <c r="AL65" s="4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7">
        <f>IF(A66="","",IF(E66="","",IFERROR(INDEX($B$4:$B$204,MATCH(E66,$A$4:$A$204,0)),"")))</f>
        <v/>
      </c>
      <c r="AJ66" s="17">
        <f>IF(A66="","",IF(OR(AND(UPPER(TRIM(B66))="SWALE",UPPER(TRIM(AI66))="PIPE"),AND(UPPER(TRIM(B66))="TRENCH",UPPER(TRIM(AI66))="PIPE")),Inputs!$B$55,0))</f>
        <v/>
      </c>
      <c r="AK66" s="17">
        <f>IF(A66="","",IF(OR(AND(UPPER(TRIM(B66))="SWALE",UPPER(TRIM(AI66))="PIPE"),AND(UPPER(TRIM(B66))="TRENCH",UPPER(TRIM(AI66))="PIPE")),Inputs!$B$56,Inputs!$B$54))</f>
        <v/>
      </c>
      <c r="AL66" s="4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7">
        <f>IF(A67="","",IF(E67="","",IFERROR(INDEX($B$4:$B$204,MATCH(E67,$A$4:$A$204,0)),"")))</f>
        <v/>
      </c>
      <c r="AJ67" s="17">
        <f>IF(A67="","",IF(OR(AND(UPPER(TRIM(B67))="SWALE",UPPER(TRIM(AI67))="PIPE"),AND(UPPER(TRIM(B67))="TRENCH",UPPER(TRIM(AI67))="PIPE")),Inputs!$B$55,0))</f>
        <v/>
      </c>
      <c r="AK67" s="17">
        <f>IF(A67="","",IF(OR(AND(UPPER(TRIM(B67))="SWALE",UPPER(TRIM(AI67))="PIPE"),AND(UPPER(TRIM(B67))="TRENCH",UPPER(TRIM(AI67))="PIPE")),Inputs!$B$56,Inputs!$B$54))</f>
        <v/>
      </c>
      <c r="AL67" s="4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7">
        <f>IF(A68="","",IF(E68="","",IFERROR(INDEX($B$4:$B$204,MATCH(E68,$A$4:$A$204,0)),"")))</f>
        <v/>
      </c>
      <c r="AJ68" s="17">
        <f>IF(A68="","",IF(OR(AND(UPPER(TRIM(B68))="SWALE",UPPER(TRIM(AI68))="PIPE"),AND(UPPER(TRIM(B68))="TRENCH",UPPER(TRIM(AI68))="PIPE")),Inputs!$B$55,0))</f>
        <v/>
      </c>
      <c r="AK68" s="17">
        <f>IF(A68="","",IF(OR(AND(UPPER(TRIM(B68))="SWALE",UPPER(TRIM(AI68))="PIPE"),AND(UPPER(TRIM(B68))="TRENCH",UPPER(TRIM(AI68))="PIPE")),Inputs!$B$56,Inputs!$B$54))</f>
        <v/>
      </c>
      <c r="AL68" s="4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7">
        <f>IF(A69="","",IF(E69="","",IFERROR(INDEX($B$4:$B$204,MATCH(E69,$A$4:$A$204,0)),"")))</f>
        <v/>
      </c>
      <c r="AJ69" s="17">
        <f>IF(A69="","",IF(OR(AND(UPPER(TRIM(B69))="SWALE",UPPER(TRIM(AI69))="PIPE"),AND(UPPER(TRIM(B69))="TRENCH",UPPER(TRIM(AI69))="PIPE")),Inputs!$B$55,0))</f>
        <v/>
      </c>
      <c r="AK69" s="17">
        <f>IF(A69="","",IF(OR(AND(UPPER(TRIM(B69))="SWALE",UPPER(TRIM(AI69))="PIPE"),AND(UPPER(TRIM(B69))="TRENCH",UPPER(TRIM(AI69))="PIPE")),Inputs!$B$56,Inputs!$B$54))</f>
        <v/>
      </c>
      <c r="AL69" s="4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7">
        <f>IF(A70="","",IF(E70="","",IFERROR(INDEX($B$4:$B$204,MATCH(E70,$A$4:$A$204,0)),"")))</f>
        <v/>
      </c>
      <c r="AJ70" s="17">
        <f>IF(A70="","",IF(OR(AND(UPPER(TRIM(B70))="SWALE",UPPER(TRIM(AI70))="PIPE"),AND(UPPER(TRIM(B70))="TRENCH",UPPER(TRIM(AI70))="PIPE")),Inputs!$B$55,0))</f>
        <v/>
      </c>
      <c r="AK70" s="17">
        <f>IF(A70="","",IF(OR(AND(UPPER(TRIM(B70))="SWALE",UPPER(TRIM(AI70))="PIPE"),AND(UPPER(TRIM(B70))="TRENCH",UPPER(TRIM(AI70))="PIPE")),Inputs!$B$56,Inputs!$B$54))</f>
        <v/>
      </c>
      <c r="AL70" s="4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7">
        <f>IF(A71="","",IF(E71="","",IFERROR(INDEX($B$4:$B$204,MATCH(E71,$A$4:$A$204,0)),"")))</f>
        <v/>
      </c>
      <c r="AJ71" s="17">
        <f>IF(A71="","",IF(OR(AND(UPPER(TRIM(B71))="SWALE",UPPER(TRIM(AI71))="PIPE"),AND(UPPER(TRIM(B71))="TRENCH",UPPER(TRIM(AI71))="PIPE")),Inputs!$B$55,0))</f>
        <v/>
      </c>
      <c r="AK71" s="17">
        <f>IF(A71="","",IF(OR(AND(UPPER(TRIM(B71))="SWALE",UPPER(TRIM(AI71))="PIPE"),AND(UPPER(TRIM(B71))="TRENCH",UPPER(TRIM(AI71))="PIPE")),Inputs!$B$56,Inputs!$B$54))</f>
        <v/>
      </c>
      <c r="AL71" s="4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7">
        <f>IF(A72="","",IF(E72="","",IFERROR(INDEX($B$4:$B$204,MATCH(E72,$A$4:$A$204,0)),"")))</f>
        <v/>
      </c>
      <c r="AJ72" s="17">
        <f>IF(A72="","",IF(OR(AND(UPPER(TRIM(B72))="SWALE",UPPER(TRIM(AI72))="PIPE"),AND(UPPER(TRIM(B72))="TRENCH",UPPER(TRIM(AI72))="PIPE")),Inputs!$B$55,0))</f>
        <v/>
      </c>
      <c r="AK72" s="17">
        <f>IF(A72="","",IF(OR(AND(UPPER(TRIM(B72))="SWALE",UPPER(TRIM(AI72))="PIPE"),AND(UPPER(TRIM(B72))="TRENCH",UPPER(TRIM(AI72))="PIPE")),Inputs!$B$56,Inputs!$B$54))</f>
        <v/>
      </c>
      <c r="AL72" s="4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7">
        <f>IF(A73="","",IF(E73="","",IFERROR(INDEX($B$4:$B$204,MATCH(E73,$A$4:$A$204,0)),"")))</f>
        <v/>
      </c>
      <c r="AJ73" s="17">
        <f>IF(A73="","",IF(OR(AND(UPPER(TRIM(B73))="SWALE",UPPER(TRIM(AI73))="PIPE"),AND(UPPER(TRIM(B73))="TRENCH",UPPER(TRIM(AI73))="PIPE")),Inputs!$B$55,0))</f>
        <v/>
      </c>
      <c r="AK73" s="17">
        <f>IF(A73="","",IF(OR(AND(UPPER(TRIM(B73))="SWALE",UPPER(TRIM(AI73))="PIPE"),AND(UPPER(TRIM(B73))="TRENCH",UPPER(TRIM(AI73))="PIPE")),Inputs!$B$56,Inputs!$B$54))</f>
        <v/>
      </c>
      <c r="AL73" s="4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7">
        <f>IF(A74="","",IF(E74="","",IFERROR(INDEX($B$4:$B$204,MATCH(E74,$A$4:$A$204,0)),"")))</f>
        <v/>
      </c>
      <c r="AJ74" s="17">
        <f>IF(A74="","",IF(OR(AND(UPPER(TRIM(B74))="SWALE",UPPER(TRIM(AI74))="PIPE"),AND(UPPER(TRIM(B74))="TRENCH",UPPER(TRIM(AI74))="PIPE")),Inputs!$B$55,0))</f>
        <v/>
      </c>
      <c r="AK74" s="17">
        <f>IF(A74="","",IF(OR(AND(UPPER(TRIM(B74))="SWALE",UPPER(TRIM(AI74))="PIPE"),AND(UPPER(TRIM(B74))="TRENCH",UPPER(TRIM(AI74))="PIPE")),Inputs!$B$56,Inputs!$B$54))</f>
        <v/>
      </c>
      <c r="AL74" s="4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7">
        <f>IF(A75="","",IF(E75="","",IFERROR(INDEX($B$4:$B$204,MATCH(E75,$A$4:$A$204,0)),"")))</f>
        <v/>
      </c>
      <c r="AJ75" s="17">
        <f>IF(A75="","",IF(OR(AND(UPPER(TRIM(B75))="SWALE",UPPER(TRIM(AI75))="PIPE"),AND(UPPER(TRIM(B75))="TRENCH",UPPER(TRIM(AI75))="PIPE")),Inputs!$B$55,0))</f>
        <v/>
      </c>
      <c r="AK75" s="17">
        <f>IF(A75="","",IF(OR(AND(UPPER(TRIM(B75))="SWALE",UPPER(TRIM(AI75))="PIPE"),AND(UPPER(TRIM(B75))="TRENCH",UPPER(TRIM(AI75))="PIPE")),Inputs!$B$56,Inputs!$B$54))</f>
        <v/>
      </c>
      <c r="AL75" s="4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7">
        <f>IF(A76="","",IF(E76="","",IFERROR(INDEX($B$4:$B$204,MATCH(E76,$A$4:$A$204,0)),"")))</f>
        <v/>
      </c>
      <c r="AJ76" s="17">
        <f>IF(A76="","",IF(OR(AND(UPPER(TRIM(B76))="SWALE",UPPER(TRIM(AI76))="PIPE"),AND(UPPER(TRIM(B76))="TRENCH",UPPER(TRIM(AI76))="PIPE")),Inputs!$B$55,0))</f>
        <v/>
      </c>
      <c r="AK76" s="17">
        <f>IF(A76="","",IF(OR(AND(UPPER(TRIM(B76))="SWALE",UPPER(TRIM(AI76))="PIPE"),AND(UPPER(TRIM(B76))="TRENCH",UPPER(TRIM(AI76))="PIPE")),Inputs!$B$56,Inputs!$B$54))</f>
        <v/>
      </c>
      <c r="AL76" s="4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7">
        <f>IF(A77="","",IF(E77="","",IFERROR(INDEX($B$4:$B$204,MATCH(E77,$A$4:$A$204,0)),"")))</f>
        <v/>
      </c>
      <c r="AJ77" s="17">
        <f>IF(A77="","",IF(OR(AND(UPPER(TRIM(B77))="SWALE",UPPER(TRIM(AI77))="PIPE"),AND(UPPER(TRIM(B77))="TRENCH",UPPER(TRIM(AI77))="PIPE")),Inputs!$B$55,0))</f>
        <v/>
      </c>
      <c r="AK77" s="17">
        <f>IF(A77="","",IF(OR(AND(UPPER(TRIM(B77))="SWALE",UPPER(TRIM(AI77))="PIPE"),AND(UPPER(TRIM(B77))="TRENCH",UPPER(TRIM(AI77))="PIPE")),Inputs!$B$56,Inputs!$B$54))</f>
        <v/>
      </c>
      <c r="AL77" s="4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7">
        <f>IF(A78="","",IF(E78="","",IFERROR(INDEX($B$4:$B$204,MATCH(E78,$A$4:$A$204,0)),"")))</f>
        <v/>
      </c>
      <c r="AJ78" s="17">
        <f>IF(A78="","",IF(OR(AND(UPPER(TRIM(B78))="SWALE",UPPER(TRIM(AI78))="PIPE"),AND(UPPER(TRIM(B78))="TRENCH",UPPER(TRIM(AI78))="PIPE")),Inputs!$B$55,0))</f>
        <v/>
      </c>
      <c r="AK78" s="17">
        <f>IF(A78="","",IF(OR(AND(UPPER(TRIM(B78))="SWALE",UPPER(TRIM(AI78))="PIPE"),AND(UPPER(TRIM(B78))="TRENCH",UPPER(TRIM(AI78))="PIPE")),Inputs!$B$56,Inputs!$B$54))</f>
        <v/>
      </c>
      <c r="AL78" s="4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7">
        <f>IF(A79="","",IF(E79="","",IFERROR(INDEX($B$4:$B$204,MATCH(E79,$A$4:$A$204,0)),"")))</f>
        <v/>
      </c>
      <c r="AJ79" s="17">
        <f>IF(A79="","",IF(OR(AND(UPPER(TRIM(B79))="SWALE",UPPER(TRIM(AI79))="PIPE"),AND(UPPER(TRIM(B79))="TRENCH",UPPER(TRIM(AI79))="PIPE")),Inputs!$B$55,0))</f>
        <v/>
      </c>
      <c r="AK79" s="17">
        <f>IF(A79="","",IF(OR(AND(UPPER(TRIM(B79))="SWALE",UPPER(TRIM(AI79))="PIPE"),AND(UPPER(TRIM(B79))="TRENCH",UPPER(TRIM(AI79))="PIPE")),Inputs!$B$56,Inputs!$B$54))</f>
        <v/>
      </c>
      <c r="AL79" s="4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7">
        <f>IF(A80="","",IF(E80="","",IFERROR(INDEX($B$4:$B$204,MATCH(E80,$A$4:$A$204,0)),"")))</f>
        <v/>
      </c>
      <c r="AJ80" s="17">
        <f>IF(A80="","",IF(OR(AND(UPPER(TRIM(B80))="SWALE",UPPER(TRIM(AI80))="PIPE"),AND(UPPER(TRIM(B80))="TRENCH",UPPER(TRIM(AI80))="PIPE")),Inputs!$B$55,0))</f>
        <v/>
      </c>
      <c r="AK80" s="17">
        <f>IF(A80="","",IF(OR(AND(UPPER(TRIM(B80))="SWALE",UPPER(TRIM(AI80))="PIPE"),AND(UPPER(TRIM(B80))="TRENCH",UPPER(TRIM(AI80))="PIPE")),Inputs!$B$56,Inputs!$B$54))</f>
        <v/>
      </c>
      <c r="AL80" s="4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7">
        <f>IF(A81="","",IF(E81="","",IFERROR(INDEX($B$4:$B$204,MATCH(E81,$A$4:$A$204,0)),"")))</f>
        <v/>
      </c>
      <c r="AJ81" s="17">
        <f>IF(A81="","",IF(OR(AND(UPPER(TRIM(B81))="SWALE",UPPER(TRIM(AI81))="PIPE"),AND(UPPER(TRIM(B81))="TRENCH",UPPER(TRIM(AI81))="PIPE")),Inputs!$B$55,0))</f>
        <v/>
      </c>
      <c r="AK81" s="17">
        <f>IF(A81="","",IF(OR(AND(UPPER(TRIM(B81))="SWALE",UPPER(TRIM(AI81))="PIPE"),AND(UPPER(TRIM(B81))="TRENCH",UPPER(TRIM(AI81))="PIPE")),Inputs!$B$56,Inputs!$B$54))</f>
        <v/>
      </c>
      <c r="AL81" s="4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7">
        <f>IF(A82="","",IF(E82="","",IFERROR(INDEX($B$4:$B$204,MATCH(E82,$A$4:$A$204,0)),"")))</f>
        <v/>
      </c>
      <c r="AJ82" s="17">
        <f>IF(A82="","",IF(OR(AND(UPPER(TRIM(B82))="SWALE",UPPER(TRIM(AI82))="PIPE"),AND(UPPER(TRIM(B82))="TRENCH",UPPER(TRIM(AI82))="PIPE")),Inputs!$B$55,0))</f>
        <v/>
      </c>
      <c r="AK82" s="17">
        <f>IF(A82="","",IF(OR(AND(UPPER(TRIM(B82))="SWALE",UPPER(TRIM(AI82))="PIPE"),AND(UPPER(TRIM(B82))="TRENCH",UPPER(TRIM(AI82))="PIPE")),Inputs!$B$56,Inputs!$B$54))</f>
        <v/>
      </c>
      <c r="AL82" s="4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7">
        <f>IF(A83="","",IF(E83="","",IFERROR(INDEX($B$4:$B$204,MATCH(E83,$A$4:$A$204,0)),"")))</f>
        <v/>
      </c>
      <c r="AJ83" s="17">
        <f>IF(A83="","",IF(OR(AND(UPPER(TRIM(B83))="SWALE",UPPER(TRIM(AI83))="PIPE"),AND(UPPER(TRIM(B83))="TRENCH",UPPER(TRIM(AI83))="PIPE")),Inputs!$B$55,0))</f>
        <v/>
      </c>
      <c r="AK83" s="17">
        <f>IF(A83="","",IF(OR(AND(UPPER(TRIM(B83))="SWALE",UPPER(TRIM(AI83))="PIPE"),AND(UPPER(TRIM(B83))="TRENCH",UPPER(TRIM(AI83))="PIPE")),Inputs!$B$56,Inputs!$B$54))</f>
        <v/>
      </c>
      <c r="AL83" s="4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7">
        <f>IF(A84="","",IF(E84="","",IFERROR(INDEX($B$4:$B$204,MATCH(E84,$A$4:$A$204,0)),"")))</f>
        <v/>
      </c>
      <c r="AJ84" s="17">
        <f>IF(A84="","",IF(OR(AND(UPPER(TRIM(B84))="SWALE",UPPER(TRIM(AI84))="PIPE"),AND(UPPER(TRIM(B84))="TRENCH",UPPER(TRIM(AI84))="PIPE")),Inputs!$B$55,0))</f>
        <v/>
      </c>
      <c r="AK84" s="17">
        <f>IF(A84="","",IF(OR(AND(UPPER(TRIM(B84))="SWALE",UPPER(TRIM(AI84))="PIPE"),AND(UPPER(TRIM(B84))="TRENCH",UPPER(TRIM(AI84))="PIPE")),Inputs!$B$56,Inputs!$B$54))</f>
        <v/>
      </c>
      <c r="AL84" s="4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7">
        <f>IF(A85="","",IF(E85="","",IFERROR(INDEX($B$4:$B$204,MATCH(E85,$A$4:$A$204,0)),"")))</f>
        <v/>
      </c>
      <c r="AJ85" s="17">
        <f>IF(A85="","",IF(OR(AND(UPPER(TRIM(B85))="SWALE",UPPER(TRIM(AI85))="PIPE"),AND(UPPER(TRIM(B85))="TRENCH",UPPER(TRIM(AI85))="PIPE")),Inputs!$B$55,0))</f>
        <v/>
      </c>
      <c r="AK85" s="17">
        <f>IF(A85="","",IF(OR(AND(UPPER(TRIM(B85))="SWALE",UPPER(TRIM(AI85))="PIPE"),AND(UPPER(TRIM(B85))="TRENCH",UPPER(TRIM(AI85))="PIPE")),Inputs!$B$56,Inputs!$B$54))</f>
        <v/>
      </c>
      <c r="AL85" s="4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7">
        <f>IF(A86="","",IF(E86="","",IFERROR(INDEX($B$4:$B$204,MATCH(E86,$A$4:$A$204,0)),"")))</f>
        <v/>
      </c>
      <c r="AJ86" s="17">
        <f>IF(A86="","",IF(OR(AND(UPPER(TRIM(B86))="SWALE",UPPER(TRIM(AI86))="PIPE"),AND(UPPER(TRIM(B86))="TRENCH",UPPER(TRIM(AI86))="PIPE")),Inputs!$B$55,0))</f>
        <v/>
      </c>
      <c r="AK86" s="17">
        <f>IF(A86="","",IF(OR(AND(UPPER(TRIM(B86))="SWALE",UPPER(TRIM(AI86))="PIPE"),AND(UPPER(TRIM(B86))="TRENCH",UPPER(TRIM(AI86))="PIPE")),Inputs!$B$56,Inputs!$B$54))</f>
        <v/>
      </c>
      <c r="AL86" s="4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7">
        <f>IF(A87="","",IF(E87="","",IFERROR(INDEX($B$4:$B$204,MATCH(E87,$A$4:$A$204,0)),"")))</f>
        <v/>
      </c>
      <c r="AJ87" s="17">
        <f>IF(A87="","",IF(OR(AND(UPPER(TRIM(B87))="SWALE",UPPER(TRIM(AI87))="PIPE"),AND(UPPER(TRIM(B87))="TRENCH",UPPER(TRIM(AI87))="PIPE")),Inputs!$B$55,0))</f>
        <v/>
      </c>
      <c r="AK87" s="17">
        <f>IF(A87="","",IF(OR(AND(UPPER(TRIM(B87))="SWALE",UPPER(TRIM(AI87))="PIPE"),AND(UPPER(TRIM(B87))="TRENCH",UPPER(TRIM(AI87))="PIPE")),Inputs!$B$56,Inputs!$B$54))</f>
        <v/>
      </c>
      <c r="AL87" s="4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7">
        <f>IF(A88="","",IF(E88="","",IFERROR(INDEX($B$4:$B$204,MATCH(E88,$A$4:$A$204,0)),"")))</f>
        <v/>
      </c>
      <c r="AJ88" s="17">
        <f>IF(A88="","",IF(OR(AND(UPPER(TRIM(B88))="SWALE",UPPER(TRIM(AI88))="PIPE"),AND(UPPER(TRIM(B88))="TRENCH",UPPER(TRIM(AI88))="PIPE")),Inputs!$B$55,0))</f>
        <v/>
      </c>
      <c r="AK88" s="17">
        <f>IF(A88="","",IF(OR(AND(UPPER(TRIM(B88))="SWALE",UPPER(TRIM(AI88))="PIPE"),AND(UPPER(TRIM(B88))="TRENCH",UPPER(TRIM(AI88))="PIPE")),Inputs!$B$56,Inputs!$B$54))</f>
        <v/>
      </c>
      <c r="AL88" s="4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7">
        <f>IF(A89="","",IF(E89="","",IFERROR(INDEX($B$4:$B$204,MATCH(E89,$A$4:$A$204,0)),"")))</f>
        <v/>
      </c>
      <c r="AJ89" s="17">
        <f>IF(A89="","",IF(OR(AND(UPPER(TRIM(B89))="SWALE",UPPER(TRIM(AI89))="PIPE"),AND(UPPER(TRIM(B89))="TRENCH",UPPER(TRIM(AI89))="PIPE")),Inputs!$B$55,0))</f>
        <v/>
      </c>
      <c r="AK89" s="17">
        <f>IF(A89="","",IF(OR(AND(UPPER(TRIM(B89))="SWALE",UPPER(TRIM(AI89))="PIPE"),AND(UPPER(TRIM(B89))="TRENCH",UPPER(TRIM(AI89))="PIPE")),Inputs!$B$56,Inputs!$B$54))</f>
        <v/>
      </c>
      <c r="AL89" s="4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7">
        <f>IF(A90="","",IF(E90="","",IFERROR(INDEX($B$4:$B$204,MATCH(E90,$A$4:$A$204,0)),"")))</f>
        <v/>
      </c>
      <c r="AJ90" s="17">
        <f>IF(A90="","",IF(OR(AND(UPPER(TRIM(B90))="SWALE",UPPER(TRIM(AI90))="PIPE"),AND(UPPER(TRIM(B90))="TRENCH",UPPER(TRIM(AI90))="PIPE")),Inputs!$B$55,0))</f>
        <v/>
      </c>
      <c r="AK90" s="17">
        <f>IF(A90="","",IF(OR(AND(UPPER(TRIM(B90))="SWALE",UPPER(TRIM(AI90))="PIPE"),AND(UPPER(TRIM(B90))="TRENCH",UPPER(TRIM(AI90))="PIPE")),Inputs!$B$56,Inputs!$B$54))</f>
        <v/>
      </c>
      <c r="AL90" s="4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7">
        <f>IF(A91="","",IF(E91="","",IFERROR(INDEX($B$4:$B$204,MATCH(E91,$A$4:$A$204,0)),"")))</f>
        <v/>
      </c>
      <c r="AJ91" s="17">
        <f>IF(A91="","",IF(OR(AND(UPPER(TRIM(B91))="SWALE",UPPER(TRIM(AI91))="PIPE"),AND(UPPER(TRIM(B91))="TRENCH",UPPER(TRIM(AI91))="PIPE")),Inputs!$B$55,0))</f>
        <v/>
      </c>
      <c r="AK91" s="17">
        <f>IF(A91="","",IF(OR(AND(UPPER(TRIM(B91))="SWALE",UPPER(TRIM(AI91))="PIPE"),AND(UPPER(TRIM(B91))="TRENCH",UPPER(TRIM(AI91))="PIPE")),Inputs!$B$56,Inputs!$B$54))</f>
        <v/>
      </c>
      <c r="AL91" s="4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7">
        <f>IF(A92="","",IF(E92="","",IFERROR(INDEX($B$4:$B$204,MATCH(E92,$A$4:$A$204,0)),"")))</f>
        <v/>
      </c>
      <c r="AJ92" s="17">
        <f>IF(A92="","",IF(OR(AND(UPPER(TRIM(B92))="SWALE",UPPER(TRIM(AI92))="PIPE"),AND(UPPER(TRIM(B92))="TRENCH",UPPER(TRIM(AI92))="PIPE")),Inputs!$B$55,0))</f>
        <v/>
      </c>
      <c r="AK92" s="17">
        <f>IF(A92="","",IF(OR(AND(UPPER(TRIM(B92))="SWALE",UPPER(TRIM(AI92))="PIPE"),AND(UPPER(TRIM(B92))="TRENCH",UPPER(TRIM(AI92))="PIPE")),Inputs!$B$56,Inputs!$B$54))</f>
        <v/>
      </c>
      <c r="AL92" s="4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7">
        <f>IF(A93="","",IF(E93="","",IFERROR(INDEX($B$4:$B$204,MATCH(E93,$A$4:$A$204,0)),"")))</f>
        <v/>
      </c>
      <c r="AJ93" s="17">
        <f>IF(A93="","",IF(OR(AND(UPPER(TRIM(B93))="SWALE",UPPER(TRIM(AI93))="PIPE"),AND(UPPER(TRIM(B93))="TRENCH",UPPER(TRIM(AI93))="PIPE")),Inputs!$B$55,0))</f>
        <v/>
      </c>
      <c r="AK93" s="17">
        <f>IF(A93="","",IF(OR(AND(UPPER(TRIM(B93))="SWALE",UPPER(TRIM(AI93))="PIPE"),AND(UPPER(TRIM(B93))="TRENCH",UPPER(TRIM(AI93))="PIPE")),Inputs!$B$56,Inputs!$B$54))</f>
        <v/>
      </c>
      <c r="AL93" s="4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7">
        <f>IF(A94="","",IF(E94="","",IFERROR(INDEX($B$4:$B$204,MATCH(E94,$A$4:$A$204,0)),"")))</f>
        <v/>
      </c>
      <c r="AJ94" s="17">
        <f>IF(A94="","",IF(OR(AND(UPPER(TRIM(B94))="SWALE",UPPER(TRIM(AI94))="PIPE"),AND(UPPER(TRIM(B94))="TRENCH",UPPER(TRIM(AI94))="PIPE")),Inputs!$B$55,0))</f>
        <v/>
      </c>
      <c r="AK94" s="17">
        <f>IF(A94="","",IF(OR(AND(UPPER(TRIM(B94))="SWALE",UPPER(TRIM(AI94))="PIPE"),AND(UPPER(TRIM(B94))="TRENCH",UPPER(TRIM(AI94))="PIPE")),Inputs!$B$56,Inputs!$B$54))</f>
        <v/>
      </c>
      <c r="AL94" s="4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7">
        <f>IF(A95="","",IF(E95="","",IFERROR(INDEX($B$4:$B$204,MATCH(E95,$A$4:$A$204,0)),"")))</f>
        <v/>
      </c>
      <c r="AJ95" s="17">
        <f>IF(A95="","",IF(OR(AND(UPPER(TRIM(B95))="SWALE",UPPER(TRIM(AI95))="PIPE"),AND(UPPER(TRIM(B95))="TRENCH",UPPER(TRIM(AI95))="PIPE")),Inputs!$B$55,0))</f>
        <v/>
      </c>
      <c r="AK95" s="17">
        <f>IF(A95="","",IF(OR(AND(UPPER(TRIM(B95))="SWALE",UPPER(TRIM(AI95))="PIPE"),AND(UPPER(TRIM(B95))="TRENCH",UPPER(TRIM(AI95))="PIPE")),Inputs!$B$56,Inputs!$B$54))</f>
        <v/>
      </c>
      <c r="AL95" s="4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7">
        <f>IF(A96="","",IF(E96="","",IFERROR(INDEX($B$4:$B$204,MATCH(E96,$A$4:$A$204,0)),"")))</f>
        <v/>
      </c>
      <c r="AJ96" s="17">
        <f>IF(A96="","",IF(OR(AND(UPPER(TRIM(B96))="SWALE",UPPER(TRIM(AI96))="PIPE"),AND(UPPER(TRIM(B96))="TRENCH",UPPER(TRIM(AI96))="PIPE")),Inputs!$B$55,0))</f>
        <v/>
      </c>
      <c r="AK96" s="17">
        <f>IF(A96="","",IF(OR(AND(UPPER(TRIM(B96))="SWALE",UPPER(TRIM(AI96))="PIPE"),AND(UPPER(TRIM(B96))="TRENCH",UPPER(TRIM(AI96))="PIPE")),Inputs!$B$56,Inputs!$B$54))</f>
        <v/>
      </c>
      <c r="AL96" s="4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7">
        <f>IF(A97="","",IF(E97="","",IFERROR(INDEX($B$4:$B$204,MATCH(E97,$A$4:$A$204,0)),"")))</f>
        <v/>
      </c>
      <c r="AJ97" s="17">
        <f>IF(A97="","",IF(OR(AND(UPPER(TRIM(B97))="SWALE",UPPER(TRIM(AI97))="PIPE"),AND(UPPER(TRIM(B97))="TRENCH",UPPER(TRIM(AI97))="PIPE")),Inputs!$B$55,0))</f>
        <v/>
      </c>
      <c r="AK97" s="17">
        <f>IF(A97="","",IF(OR(AND(UPPER(TRIM(B97))="SWALE",UPPER(TRIM(AI97))="PIPE"),AND(UPPER(TRIM(B97))="TRENCH",UPPER(TRIM(AI97))="PIPE")),Inputs!$B$56,Inputs!$B$54))</f>
        <v/>
      </c>
      <c r="AL97" s="4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7">
        <f>IF(A98="","",IF(E98="","",IFERROR(INDEX($B$4:$B$204,MATCH(E98,$A$4:$A$204,0)),"")))</f>
        <v/>
      </c>
      <c r="AJ98" s="17">
        <f>IF(A98="","",IF(OR(AND(UPPER(TRIM(B98))="SWALE",UPPER(TRIM(AI98))="PIPE"),AND(UPPER(TRIM(B98))="TRENCH",UPPER(TRIM(AI98))="PIPE")),Inputs!$B$55,0))</f>
        <v/>
      </c>
      <c r="AK98" s="17">
        <f>IF(A98="","",IF(OR(AND(UPPER(TRIM(B98))="SWALE",UPPER(TRIM(AI98))="PIPE"),AND(UPPER(TRIM(B98))="TRENCH",UPPER(TRIM(AI98))="PIPE")),Inputs!$B$56,Inputs!$B$54))</f>
        <v/>
      </c>
      <c r="AL98" s="4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7">
        <f>IF(A99="","",IF(E99="","",IFERROR(INDEX($B$4:$B$204,MATCH(E99,$A$4:$A$204,0)),"")))</f>
        <v/>
      </c>
      <c r="AJ99" s="17">
        <f>IF(A99="","",IF(OR(AND(UPPER(TRIM(B99))="SWALE",UPPER(TRIM(AI99))="PIPE"),AND(UPPER(TRIM(B99))="TRENCH",UPPER(TRIM(AI99))="PIPE")),Inputs!$B$55,0))</f>
        <v/>
      </c>
      <c r="AK99" s="17">
        <f>IF(A99="","",IF(OR(AND(UPPER(TRIM(B99))="SWALE",UPPER(TRIM(AI99))="PIPE"),AND(UPPER(TRIM(B99))="TRENCH",UPPER(TRIM(AI99))="PIPE")),Inputs!$B$56,Inputs!$B$54))</f>
        <v/>
      </c>
      <c r="AL99" s="4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7">
        <f>IF(A100="","",IF(E100="","",IFERROR(INDEX($B$4:$B$204,MATCH(E100,$A$4:$A$204,0)),"")))</f>
        <v/>
      </c>
      <c r="AJ100" s="17">
        <f>IF(A100="","",IF(OR(AND(UPPER(TRIM(B100))="SWALE",UPPER(TRIM(AI100))="PIPE"),AND(UPPER(TRIM(B100))="TRENCH",UPPER(TRIM(AI100))="PIPE")),Inputs!$B$55,0))</f>
        <v/>
      </c>
      <c r="AK100" s="17">
        <f>IF(A100="","",IF(OR(AND(UPPER(TRIM(B100))="SWALE",UPPER(TRIM(AI100))="PIPE"),AND(UPPER(TRIM(B100))="TRENCH",UPPER(TRIM(AI100))="PIPE")),Inputs!$B$56,Inputs!$B$54))</f>
        <v/>
      </c>
      <c r="AL100" s="4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7">
        <f>IF(A101="","",IF(E101="","",IFERROR(INDEX($B$4:$B$204,MATCH(E101,$A$4:$A$204,0)),"")))</f>
        <v/>
      </c>
      <c r="AJ101" s="17">
        <f>IF(A101="","",IF(OR(AND(UPPER(TRIM(B101))="SWALE",UPPER(TRIM(AI101))="PIPE"),AND(UPPER(TRIM(B101))="TRENCH",UPPER(TRIM(AI101))="PIPE")),Inputs!$B$55,0))</f>
        <v/>
      </c>
      <c r="AK101" s="17">
        <f>IF(A101="","",IF(OR(AND(UPPER(TRIM(B101))="SWALE",UPPER(TRIM(AI101))="PIPE"),AND(UPPER(TRIM(B101))="TRENCH",UPPER(TRIM(AI101))="PIPE")),Inputs!$B$56,Inputs!$B$54))</f>
        <v/>
      </c>
      <c r="AL101" s="4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7">
        <f>IF(A102="","",IF(E102="","",IFERROR(INDEX($B$4:$B$204,MATCH(E102,$A$4:$A$204,0)),"")))</f>
        <v/>
      </c>
      <c r="AJ102" s="17">
        <f>IF(A102="","",IF(OR(AND(UPPER(TRIM(B102))="SWALE",UPPER(TRIM(AI102))="PIPE"),AND(UPPER(TRIM(B102))="TRENCH",UPPER(TRIM(AI102))="PIPE")),Inputs!$B$55,0))</f>
        <v/>
      </c>
      <c r="AK102" s="17">
        <f>IF(A102="","",IF(OR(AND(UPPER(TRIM(B102))="SWALE",UPPER(TRIM(AI102))="PIPE"),AND(UPPER(TRIM(B102))="TRENCH",UPPER(TRIM(AI102))="PIPE")),Inputs!$B$56,Inputs!$B$54))</f>
        <v/>
      </c>
      <c r="AL102" s="4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7">
        <f>IF(A103="","",IF(E103="","",IFERROR(INDEX($B$4:$B$204,MATCH(E103,$A$4:$A$204,0)),"")))</f>
        <v/>
      </c>
      <c r="AJ103" s="17">
        <f>IF(A103="","",IF(OR(AND(UPPER(TRIM(B103))="SWALE",UPPER(TRIM(AI103))="PIPE"),AND(UPPER(TRIM(B103))="TRENCH",UPPER(TRIM(AI103))="PIPE")),Inputs!$B$55,0))</f>
        <v/>
      </c>
      <c r="AK103" s="17">
        <f>IF(A103="","",IF(OR(AND(UPPER(TRIM(B103))="SWALE",UPPER(TRIM(AI103))="PIPE"),AND(UPPER(TRIM(B103))="TRENCH",UPPER(TRIM(AI103))="PIPE")),Inputs!$B$56,Inputs!$B$54))</f>
        <v/>
      </c>
      <c r="AL103" s="4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7">
        <f>IF(A104="","",IF(E104="","",IFERROR(INDEX($B$4:$B$204,MATCH(E104,$A$4:$A$204,0)),"")))</f>
        <v/>
      </c>
      <c r="AJ104" s="17">
        <f>IF(A104="","",IF(OR(AND(UPPER(TRIM(B104))="SWALE",UPPER(TRIM(AI104))="PIPE"),AND(UPPER(TRIM(B104))="TRENCH",UPPER(TRIM(AI104))="PIPE")),Inputs!$B$55,0))</f>
        <v/>
      </c>
      <c r="AK104" s="17">
        <f>IF(A104="","",IF(OR(AND(UPPER(TRIM(B104))="SWALE",UPPER(TRIM(AI104))="PIPE"),AND(UPPER(TRIM(B104))="TRENCH",UPPER(TRIM(AI104))="PIPE")),Inputs!$B$56,Inputs!$B$54))</f>
        <v/>
      </c>
      <c r="AL104" s="4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7">
        <f>IF(A105="","",IF(E105="","",IFERROR(INDEX($B$4:$B$204,MATCH(E105,$A$4:$A$204,0)),"")))</f>
        <v/>
      </c>
      <c r="AJ105" s="17">
        <f>IF(A105="","",IF(OR(AND(UPPER(TRIM(B105))="SWALE",UPPER(TRIM(AI105))="PIPE"),AND(UPPER(TRIM(B105))="TRENCH",UPPER(TRIM(AI105))="PIPE")),Inputs!$B$55,0))</f>
        <v/>
      </c>
      <c r="AK105" s="17">
        <f>IF(A105="","",IF(OR(AND(UPPER(TRIM(B105))="SWALE",UPPER(TRIM(AI105))="PIPE"),AND(UPPER(TRIM(B105))="TRENCH",UPPER(TRIM(AI105))="PIPE")),Inputs!$B$56,Inputs!$B$54))</f>
        <v/>
      </c>
      <c r="AL105" s="4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7">
        <f>IF(A106="","",IF(E106="","",IFERROR(INDEX($B$4:$B$204,MATCH(E106,$A$4:$A$204,0)),"")))</f>
        <v/>
      </c>
      <c r="AJ106" s="17">
        <f>IF(A106="","",IF(OR(AND(UPPER(TRIM(B106))="SWALE",UPPER(TRIM(AI106))="PIPE"),AND(UPPER(TRIM(B106))="TRENCH",UPPER(TRIM(AI106))="PIPE")),Inputs!$B$55,0))</f>
        <v/>
      </c>
      <c r="AK106" s="17">
        <f>IF(A106="","",IF(OR(AND(UPPER(TRIM(B106))="SWALE",UPPER(TRIM(AI106))="PIPE"),AND(UPPER(TRIM(B106))="TRENCH",UPPER(TRIM(AI106))="PIPE")),Inputs!$B$56,Inputs!$B$54))</f>
        <v/>
      </c>
      <c r="AL106" s="4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7">
        <f>IF(A107="","",IF(E107="","",IFERROR(INDEX($B$4:$B$204,MATCH(E107,$A$4:$A$204,0)),"")))</f>
        <v/>
      </c>
      <c r="AJ107" s="17">
        <f>IF(A107="","",IF(OR(AND(UPPER(TRIM(B107))="SWALE",UPPER(TRIM(AI107))="PIPE"),AND(UPPER(TRIM(B107))="TRENCH",UPPER(TRIM(AI107))="PIPE")),Inputs!$B$55,0))</f>
        <v/>
      </c>
      <c r="AK107" s="17">
        <f>IF(A107="","",IF(OR(AND(UPPER(TRIM(B107))="SWALE",UPPER(TRIM(AI107))="PIPE"),AND(UPPER(TRIM(B107))="TRENCH",UPPER(TRIM(AI107))="PIPE")),Inputs!$B$56,Inputs!$B$54))</f>
        <v/>
      </c>
      <c r="AL107" s="4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7">
        <f>IF(A108="","",IF(E108="","",IFERROR(INDEX($B$4:$B$204,MATCH(E108,$A$4:$A$204,0)),"")))</f>
        <v/>
      </c>
      <c r="AJ108" s="17">
        <f>IF(A108="","",IF(OR(AND(UPPER(TRIM(B108))="SWALE",UPPER(TRIM(AI108))="PIPE"),AND(UPPER(TRIM(B108))="TRENCH",UPPER(TRIM(AI108))="PIPE")),Inputs!$B$55,0))</f>
        <v/>
      </c>
      <c r="AK108" s="17">
        <f>IF(A108="","",IF(OR(AND(UPPER(TRIM(B108))="SWALE",UPPER(TRIM(AI108))="PIPE"),AND(UPPER(TRIM(B108))="TRENCH",UPPER(TRIM(AI108))="PIPE")),Inputs!$B$56,Inputs!$B$54))</f>
        <v/>
      </c>
      <c r="AL108" s="4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7">
        <f>IF(A109="","",IF(E109="","",IFERROR(INDEX($B$4:$B$204,MATCH(E109,$A$4:$A$204,0)),"")))</f>
        <v/>
      </c>
      <c r="AJ109" s="17">
        <f>IF(A109="","",IF(OR(AND(UPPER(TRIM(B109))="SWALE",UPPER(TRIM(AI109))="PIPE"),AND(UPPER(TRIM(B109))="TRENCH",UPPER(TRIM(AI109))="PIPE")),Inputs!$B$55,0))</f>
        <v/>
      </c>
      <c r="AK109" s="17">
        <f>IF(A109="","",IF(OR(AND(UPPER(TRIM(B109))="SWALE",UPPER(TRIM(AI109))="PIPE"),AND(UPPER(TRIM(B109))="TRENCH",UPPER(TRIM(AI109))="PIPE")),Inputs!$B$56,Inputs!$B$54))</f>
        <v/>
      </c>
      <c r="AL109" s="4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7">
        <f>IF(A110="","",IF(E110="","",IFERROR(INDEX($B$4:$B$204,MATCH(E110,$A$4:$A$204,0)),"")))</f>
        <v/>
      </c>
      <c r="AJ110" s="17">
        <f>IF(A110="","",IF(OR(AND(UPPER(TRIM(B110))="SWALE",UPPER(TRIM(AI110))="PIPE"),AND(UPPER(TRIM(B110))="TRENCH",UPPER(TRIM(AI110))="PIPE")),Inputs!$B$55,0))</f>
        <v/>
      </c>
      <c r="AK110" s="17">
        <f>IF(A110="","",IF(OR(AND(UPPER(TRIM(B110))="SWALE",UPPER(TRIM(AI110))="PIPE"),AND(UPPER(TRIM(B110))="TRENCH",UPPER(TRIM(AI110))="PIPE")),Inputs!$B$56,Inputs!$B$54))</f>
        <v/>
      </c>
      <c r="AL110" s="4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7">
        <f>IF(A111="","",IF(E111="","",IFERROR(INDEX($B$4:$B$204,MATCH(E111,$A$4:$A$204,0)),"")))</f>
        <v/>
      </c>
      <c r="AJ111" s="17">
        <f>IF(A111="","",IF(OR(AND(UPPER(TRIM(B111))="SWALE",UPPER(TRIM(AI111))="PIPE"),AND(UPPER(TRIM(B111))="TRENCH",UPPER(TRIM(AI111))="PIPE")),Inputs!$B$55,0))</f>
        <v/>
      </c>
      <c r="AK111" s="17">
        <f>IF(A111="","",IF(OR(AND(UPPER(TRIM(B111))="SWALE",UPPER(TRIM(AI111))="PIPE"),AND(UPPER(TRIM(B111))="TRENCH",UPPER(TRIM(AI111))="PIPE")),Inputs!$B$56,Inputs!$B$54))</f>
        <v/>
      </c>
      <c r="AL111" s="4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7">
        <f>IF(A112="","",IF(E112="","",IFERROR(INDEX($B$4:$B$204,MATCH(E112,$A$4:$A$204,0)),"")))</f>
        <v/>
      </c>
      <c r="AJ112" s="17">
        <f>IF(A112="","",IF(OR(AND(UPPER(TRIM(B112))="SWALE",UPPER(TRIM(AI112))="PIPE"),AND(UPPER(TRIM(B112))="TRENCH",UPPER(TRIM(AI112))="PIPE")),Inputs!$B$55,0))</f>
        <v/>
      </c>
      <c r="AK112" s="17">
        <f>IF(A112="","",IF(OR(AND(UPPER(TRIM(B112))="SWALE",UPPER(TRIM(AI112))="PIPE"),AND(UPPER(TRIM(B112))="TRENCH",UPPER(TRIM(AI112))="PIPE")),Inputs!$B$56,Inputs!$B$54))</f>
        <v/>
      </c>
      <c r="AL112" s="4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7">
        <f>IF(A113="","",IF(E113="","",IFERROR(INDEX($B$4:$B$204,MATCH(E113,$A$4:$A$204,0)),"")))</f>
        <v/>
      </c>
      <c r="AJ113" s="17">
        <f>IF(A113="","",IF(OR(AND(UPPER(TRIM(B113))="SWALE",UPPER(TRIM(AI113))="PIPE"),AND(UPPER(TRIM(B113))="TRENCH",UPPER(TRIM(AI113))="PIPE")),Inputs!$B$55,0))</f>
        <v/>
      </c>
      <c r="AK113" s="17">
        <f>IF(A113="","",IF(OR(AND(UPPER(TRIM(B113))="SWALE",UPPER(TRIM(AI113))="PIPE"),AND(UPPER(TRIM(B113))="TRENCH",UPPER(TRIM(AI113))="PIPE")),Inputs!$B$56,Inputs!$B$54))</f>
        <v/>
      </c>
      <c r="AL113" s="4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7">
        <f>IF(A114="","",IF(E114="","",IFERROR(INDEX($B$4:$B$204,MATCH(E114,$A$4:$A$204,0)),"")))</f>
        <v/>
      </c>
      <c r="AJ114" s="17">
        <f>IF(A114="","",IF(OR(AND(UPPER(TRIM(B114))="SWALE",UPPER(TRIM(AI114))="PIPE"),AND(UPPER(TRIM(B114))="TRENCH",UPPER(TRIM(AI114))="PIPE")),Inputs!$B$55,0))</f>
        <v/>
      </c>
      <c r="AK114" s="17">
        <f>IF(A114="","",IF(OR(AND(UPPER(TRIM(B114))="SWALE",UPPER(TRIM(AI114))="PIPE"),AND(UPPER(TRIM(B114))="TRENCH",UPPER(TRIM(AI114))="PIPE")),Inputs!$B$56,Inputs!$B$54))</f>
        <v/>
      </c>
      <c r="AL114" s="4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7">
        <f>IF(A115="","",IF(E115="","",IFERROR(INDEX($B$4:$B$204,MATCH(E115,$A$4:$A$204,0)),"")))</f>
        <v/>
      </c>
      <c r="AJ115" s="17">
        <f>IF(A115="","",IF(OR(AND(UPPER(TRIM(B115))="SWALE",UPPER(TRIM(AI115))="PIPE"),AND(UPPER(TRIM(B115))="TRENCH",UPPER(TRIM(AI115))="PIPE")),Inputs!$B$55,0))</f>
        <v/>
      </c>
      <c r="AK115" s="17">
        <f>IF(A115="","",IF(OR(AND(UPPER(TRIM(B115))="SWALE",UPPER(TRIM(AI115))="PIPE"),AND(UPPER(TRIM(B115))="TRENCH",UPPER(TRIM(AI115))="PIPE")),Inputs!$B$56,Inputs!$B$54))</f>
        <v/>
      </c>
      <c r="AL115" s="4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7">
        <f>IF(A116="","",IF(E116="","",IFERROR(INDEX($B$4:$B$204,MATCH(E116,$A$4:$A$204,0)),"")))</f>
        <v/>
      </c>
      <c r="AJ116" s="17">
        <f>IF(A116="","",IF(OR(AND(UPPER(TRIM(B116))="SWALE",UPPER(TRIM(AI116))="PIPE"),AND(UPPER(TRIM(B116))="TRENCH",UPPER(TRIM(AI116))="PIPE")),Inputs!$B$55,0))</f>
        <v/>
      </c>
      <c r="AK116" s="17">
        <f>IF(A116="","",IF(OR(AND(UPPER(TRIM(B116))="SWALE",UPPER(TRIM(AI116))="PIPE"),AND(UPPER(TRIM(B116))="TRENCH",UPPER(TRIM(AI116))="PIPE")),Inputs!$B$56,Inputs!$B$54))</f>
        <v/>
      </c>
      <c r="AL116" s="4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7">
        <f>IF(A117="","",IF(E117="","",IFERROR(INDEX($B$4:$B$204,MATCH(E117,$A$4:$A$204,0)),"")))</f>
        <v/>
      </c>
      <c r="AJ117" s="17">
        <f>IF(A117="","",IF(OR(AND(UPPER(TRIM(B117))="SWALE",UPPER(TRIM(AI117))="PIPE"),AND(UPPER(TRIM(B117))="TRENCH",UPPER(TRIM(AI117))="PIPE")),Inputs!$B$55,0))</f>
        <v/>
      </c>
      <c r="AK117" s="17">
        <f>IF(A117="","",IF(OR(AND(UPPER(TRIM(B117))="SWALE",UPPER(TRIM(AI117))="PIPE"),AND(UPPER(TRIM(B117))="TRENCH",UPPER(TRIM(AI117))="PIPE")),Inputs!$B$56,Inputs!$B$54))</f>
        <v/>
      </c>
      <c r="AL117" s="4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7">
        <f>IF(A118="","",IF(E118="","",IFERROR(INDEX($B$4:$B$204,MATCH(E118,$A$4:$A$204,0)),"")))</f>
        <v/>
      </c>
      <c r="AJ118" s="17">
        <f>IF(A118="","",IF(OR(AND(UPPER(TRIM(B118))="SWALE",UPPER(TRIM(AI118))="PIPE"),AND(UPPER(TRIM(B118))="TRENCH",UPPER(TRIM(AI118))="PIPE")),Inputs!$B$55,0))</f>
        <v/>
      </c>
      <c r="AK118" s="17">
        <f>IF(A118="","",IF(OR(AND(UPPER(TRIM(B118))="SWALE",UPPER(TRIM(AI118))="PIPE"),AND(UPPER(TRIM(B118))="TRENCH",UPPER(TRIM(AI118))="PIPE")),Inputs!$B$56,Inputs!$B$54))</f>
        <v/>
      </c>
      <c r="AL118" s="4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7">
        <f>IF(A119="","",IF(E119="","",IFERROR(INDEX($B$4:$B$204,MATCH(E119,$A$4:$A$204,0)),"")))</f>
        <v/>
      </c>
      <c r="AJ119" s="17">
        <f>IF(A119="","",IF(OR(AND(UPPER(TRIM(B119))="SWALE",UPPER(TRIM(AI119))="PIPE"),AND(UPPER(TRIM(B119))="TRENCH",UPPER(TRIM(AI119))="PIPE")),Inputs!$B$55,0))</f>
        <v/>
      </c>
      <c r="AK119" s="17">
        <f>IF(A119="","",IF(OR(AND(UPPER(TRIM(B119))="SWALE",UPPER(TRIM(AI119))="PIPE"),AND(UPPER(TRIM(B119))="TRENCH",UPPER(TRIM(AI119))="PIPE")),Inputs!$B$56,Inputs!$B$54))</f>
        <v/>
      </c>
      <c r="AL119" s="4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7">
        <f>IF(A120="","",IF(E120="","",IFERROR(INDEX($B$4:$B$204,MATCH(E120,$A$4:$A$204,0)),"")))</f>
        <v/>
      </c>
      <c r="AJ120" s="17">
        <f>IF(A120="","",IF(OR(AND(UPPER(TRIM(B120))="SWALE",UPPER(TRIM(AI120))="PIPE"),AND(UPPER(TRIM(B120))="TRENCH",UPPER(TRIM(AI120))="PIPE")),Inputs!$B$55,0))</f>
        <v/>
      </c>
      <c r="AK120" s="17">
        <f>IF(A120="","",IF(OR(AND(UPPER(TRIM(B120))="SWALE",UPPER(TRIM(AI120))="PIPE"),AND(UPPER(TRIM(B120))="TRENCH",UPPER(TRIM(AI120))="PIPE")),Inputs!$B$56,Inputs!$B$54))</f>
        <v/>
      </c>
      <c r="AL120" s="4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7">
        <f>IF(A121="","",IF(E121="","",IFERROR(INDEX($B$4:$B$204,MATCH(E121,$A$4:$A$204,0)),"")))</f>
        <v/>
      </c>
      <c r="AJ121" s="17">
        <f>IF(A121="","",IF(OR(AND(UPPER(TRIM(B121))="SWALE",UPPER(TRIM(AI121))="PIPE"),AND(UPPER(TRIM(B121))="TRENCH",UPPER(TRIM(AI121))="PIPE")),Inputs!$B$55,0))</f>
        <v/>
      </c>
      <c r="AK121" s="17">
        <f>IF(A121="","",IF(OR(AND(UPPER(TRIM(B121))="SWALE",UPPER(TRIM(AI121))="PIPE"),AND(UPPER(TRIM(B121))="TRENCH",UPPER(TRIM(AI121))="PIPE")),Inputs!$B$56,Inputs!$B$54))</f>
        <v/>
      </c>
      <c r="AL121" s="4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7">
        <f>IF(A122="","",IF(E122="","",IFERROR(INDEX($B$4:$B$204,MATCH(E122,$A$4:$A$204,0)),"")))</f>
        <v/>
      </c>
      <c r="AJ122" s="17">
        <f>IF(A122="","",IF(OR(AND(UPPER(TRIM(B122))="SWALE",UPPER(TRIM(AI122))="PIPE"),AND(UPPER(TRIM(B122))="TRENCH",UPPER(TRIM(AI122))="PIPE")),Inputs!$B$55,0))</f>
        <v/>
      </c>
      <c r="AK122" s="17">
        <f>IF(A122="","",IF(OR(AND(UPPER(TRIM(B122))="SWALE",UPPER(TRIM(AI122))="PIPE"),AND(UPPER(TRIM(B122))="TRENCH",UPPER(TRIM(AI122))="PIPE")),Inputs!$B$56,Inputs!$B$54))</f>
        <v/>
      </c>
      <c r="AL122" s="4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7">
        <f>IF(A123="","",IF(E123="","",IFERROR(INDEX($B$4:$B$204,MATCH(E123,$A$4:$A$204,0)),"")))</f>
        <v/>
      </c>
      <c r="AJ123" s="17">
        <f>IF(A123="","",IF(OR(AND(UPPER(TRIM(B123))="SWALE",UPPER(TRIM(AI123))="PIPE"),AND(UPPER(TRIM(B123))="TRENCH",UPPER(TRIM(AI123))="PIPE")),Inputs!$B$55,0))</f>
        <v/>
      </c>
      <c r="AK123" s="17">
        <f>IF(A123="","",IF(OR(AND(UPPER(TRIM(B123))="SWALE",UPPER(TRIM(AI123))="PIPE"),AND(UPPER(TRIM(B123))="TRENCH",UPPER(TRIM(AI123))="PIPE")),Inputs!$B$56,Inputs!$B$54))</f>
        <v/>
      </c>
      <c r="AL123" s="4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7">
        <f>IF(A124="","",IF(E124="","",IFERROR(INDEX($B$4:$B$204,MATCH(E124,$A$4:$A$204,0)),"")))</f>
        <v/>
      </c>
      <c r="AJ124" s="17">
        <f>IF(A124="","",IF(OR(AND(UPPER(TRIM(B124))="SWALE",UPPER(TRIM(AI124))="PIPE"),AND(UPPER(TRIM(B124))="TRENCH",UPPER(TRIM(AI124))="PIPE")),Inputs!$B$55,0))</f>
        <v/>
      </c>
      <c r="AK124" s="17">
        <f>IF(A124="","",IF(OR(AND(UPPER(TRIM(B124))="SWALE",UPPER(TRIM(AI124))="PIPE"),AND(UPPER(TRIM(B124))="TRENCH",UPPER(TRIM(AI124))="PIPE")),Inputs!$B$56,Inputs!$B$54))</f>
        <v/>
      </c>
      <c r="AL124" s="4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7">
        <f>IF(A125="","",IF(E125="","",IFERROR(INDEX($B$4:$B$204,MATCH(E125,$A$4:$A$204,0)),"")))</f>
        <v/>
      </c>
      <c r="AJ125" s="17">
        <f>IF(A125="","",IF(OR(AND(UPPER(TRIM(B125))="SWALE",UPPER(TRIM(AI125))="PIPE"),AND(UPPER(TRIM(B125))="TRENCH",UPPER(TRIM(AI125))="PIPE")),Inputs!$B$55,0))</f>
        <v/>
      </c>
      <c r="AK125" s="17">
        <f>IF(A125="","",IF(OR(AND(UPPER(TRIM(B125))="SWALE",UPPER(TRIM(AI125))="PIPE"),AND(UPPER(TRIM(B125))="TRENCH",UPPER(TRIM(AI125))="PIPE")),Inputs!$B$56,Inputs!$B$54))</f>
        <v/>
      </c>
      <c r="AL125" s="4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7">
        <f>IF(A126="","",IF(E126="","",IFERROR(INDEX($B$4:$B$204,MATCH(E126,$A$4:$A$204,0)),"")))</f>
        <v/>
      </c>
      <c r="AJ126" s="17">
        <f>IF(A126="","",IF(OR(AND(UPPER(TRIM(B126))="SWALE",UPPER(TRIM(AI126))="PIPE"),AND(UPPER(TRIM(B126))="TRENCH",UPPER(TRIM(AI126))="PIPE")),Inputs!$B$55,0))</f>
        <v/>
      </c>
      <c r="AK126" s="17">
        <f>IF(A126="","",IF(OR(AND(UPPER(TRIM(B126))="SWALE",UPPER(TRIM(AI126))="PIPE"),AND(UPPER(TRIM(B126))="TRENCH",UPPER(TRIM(AI126))="PIPE")),Inputs!$B$56,Inputs!$B$54))</f>
        <v/>
      </c>
      <c r="AL126" s="4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7">
        <f>IF(A127="","",IF(E127="","",IFERROR(INDEX($B$4:$B$204,MATCH(E127,$A$4:$A$204,0)),"")))</f>
        <v/>
      </c>
      <c r="AJ127" s="17">
        <f>IF(A127="","",IF(OR(AND(UPPER(TRIM(B127))="SWALE",UPPER(TRIM(AI127))="PIPE"),AND(UPPER(TRIM(B127))="TRENCH",UPPER(TRIM(AI127))="PIPE")),Inputs!$B$55,0))</f>
        <v/>
      </c>
      <c r="AK127" s="17">
        <f>IF(A127="","",IF(OR(AND(UPPER(TRIM(B127))="SWALE",UPPER(TRIM(AI127))="PIPE"),AND(UPPER(TRIM(B127))="TRENCH",UPPER(TRIM(AI127))="PIPE")),Inputs!$B$56,Inputs!$B$54))</f>
        <v/>
      </c>
      <c r="AL127" s="4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7">
        <f>IF(A128="","",IF(E128="","",IFERROR(INDEX($B$4:$B$204,MATCH(E128,$A$4:$A$204,0)),"")))</f>
        <v/>
      </c>
      <c r="AJ128" s="17">
        <f>IF(A128="","",IF(OR(AND(UPPER(TRIM(B128))="SWALE",UPPER(TRIM(AI128))="PIPE"),AND(UPPER(TRIM(B128))="TRENCH",UPPER(TRIM(AI128))="PIPE")),Inputs!$B$55,0))</f>
        <v/>
      </c>
      <c r="AK128" s="17">
        <f>IF(A128="","",IF(OR(AND(UPPER(TRIM(B128))="SWALE",UPPER(TRIM(AI128))="PIPE"),AND(UPPER(TRIM(B128))="TRENCH",UPPER(TRIM(AI128))="PIPE")),Inputs!$B$56,Inputs!$B$54))</f>
        <v/>
      </c>
      <c r="AL128" s="4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7">
        <f>IF(A129="","",IF(E129="","",IFERROR(INDEX($B$4:$B$204,MATCH(E129,$A$4:$A$204,0)),"")))</f>
        <v/>
      </c>
      <c r="AJ129" s="17">
        <f>IF(A129="","",IF(OR(AND(UPPER(TRIM(B129))="SWALE",UPPER(TRIM(AI129))="PIPE"),AND(UPPER(TRIM(B129))="TRENCH",UPPER(TRIM(AI129))="PIPE")),Inputs!$B$55,0))</f>
        <v/>
      </c>
      <c r="AK129" s="17">
        <f>IF(A129="","",IF(OR(AND(UPPER(TRIM(B129))="SWALE",UPPER(TRIM(AI129))="PIPE"),AND(UPPER(TRIM(B129))="TRENCH",UPPER(TRIM(AI129))="PIPE")),Inputs!$B$56,Inputs!$B$54))</f>
        <v/>
      </c>
      <c r="AL129" s="4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7">
        <f>IF(A130="","",IF(E130="","",IFERROR(INDEX($B$4:$B$204,MATCH(E130,$A$4:$A$204,0)),"")))</f>
        <v/>
      </c>
      <c r="AJ130" s="17">
        <f>IF(A130="","",IF(OR(AND(UPPER(TRIM(B130))="SWALE",UPPER(TRIM(AI130))="PIPE"),AND(UPPER(TRIM(B130))="TRENCH",UPPER(TRIM(AI130))="PIPE")),Inputs!$B$55,0))</f>
        <v/>
      </c>
      <c r="AK130" s="17">
        <f>IF(A130="","",IF(OR(AND(UPPER(TRIM(B130))="SWALE",UPPER(TRIM(AI130))="PIPE"),AND(UPPER(TRIM(B130))="TRENCH",UPPER(TRIM(AI130))="PIPE")),Inputs!$B$56,Inputs!$B$54))</f>
        <v/>
      </c>
      <c r="AL130" s="4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7">
        <f>IF(A131="","",IF(E131="","",IFERROR(INDEX($B$4:$B$204,MATCH(E131,$A$4:$A$204,0)),"")))</f>
        <v/>
      </c>
      <c r="AJ131" s="17">
        <f>IF(A131="","",IF(OR(AND(UPPER(TRIM(B131))="SWALE",UPPER(TRIM(AI131))="PIPE"),AND(UPPER(TRIM(B131))="TRENCH",UPPER(TRIM(AI131))="PIPE")),Inputs!$B$55,0))</f>
        <v/>
      </c>
      <c r="AK131" s="17">
        <f>IF(A131="","",IF(OR(AND(UPPER(TRIM(B131))="SWALE",UPPER(TRIM(AI131))="PIPE"),AND(UPPER(TRIM(B131))="TRENCH",UPPER(TRIM(AI131))="PIPE")),Inputs!$B$56,Inputs!$B$54))</f>
        <v/>
      </c>
      <c r="AL131" s="4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7">
        <f>IF(A132="","",IF(E132="","",IFERROR(INDEX($B$4:$B$204,MATCH(E132,$A$4:$A$204,0)),"")))</f>
        <v/>
      </c>
      <c r="AJ132" s="17">
        <f>IF(A132="","",IF(OR(AND(UPPER(TRIM(B132))="SWALE",UPPER(TRIM(AI132))="PIPE"),AND(UPPER(TRIM(B132))="TRENCH",UPPER(TRIM(AI132))="PIPE")),Inputs!$B$55,0))</f>
        <v/>
      </c>
      <c r="AK132" s="17">
        <f>IF(A132="","",IF(OR(AND(UPPER(TRIM(B132))="SWALE",UPPER(TRIM(AI132))="PIPE"),AND(UPPER(TRIM(B132))="TRENCH",UPPER(TRIM(AI132))="PIPE")),Inputs!$B$56,Inputs!$B$54))</f>
        <v/>
      </c>
      <c r="AL132" s="4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7">
        <f>IF(A133="","",IF(E133="","",IFERROR(INDEX($B$4:$B$204,MATCH(E133,$A$4:$A$204,0)),"")))</f>
        <v/>
      </c>
      <c r="AJ133" s="17">
        <f>IF(A133="","",IF(OR(AND(UPPER(TRIM(B133))="SWALE",UPPER(TRIM(AI133))="PIPE"),AND(UPPER(TRIM(B133))="TRENCH",UPPER(TRIM(AI133))="PIPE")),Inputs!$B$55,0))</f>
        <v/>
      </c>
      <c r="AK133" s="17">
        <f>IF(A133="","",IF(OR(AND(UPPER(TRIM(B133))="SWALE",UPPER(TRIM(AI133))="PIPE"),AND(UPPER(TRIM(B133))="TRENCH",UPPER(TRIM(AI133))="PIPE")),Inputs!$B$56,Inputs!$B$54))</f>
        <v/>
      </c>
      <c r="AL133" s="4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7">
        <f>IF(A134="","",IF(E134="","",IFERROR(INDEX($B$4:$B$204,MATCH(E134,$A$4:$A$204,0)),"")))</f>
        <v/>
      </c>
      <c r="AJ134" s="17">
        <f>IF(A134="","",IF(OR(AND(UPPER(TRIM(B134))="SWALE",UPPER(TRIM(AI134))="PIPE"),AND(UPPER(TRIM(B134))="TRENCH",UPPER(TRIM(AI134))="PIPE")),Inputs!$B$55,0))</f>
        <v/>
      </c>
      <c r="AK134" s="17">
        <f>IF(A134="","",IF(OR(AND(UPPER(TRIM(B134))="SWALE",UPPER(TRIM(AI134))="PIPE"),AND(UPPER(TRIM(B134))="TRENCH",UPPER(TRIM(AI134))="PIPE")),Inputs!$B$56,Inputs!$B$54))</f>
        <v/>
      </c>
      <c r="AL134" s="4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7">
        <f>IF(A135="","",IF(E135="","",IFERROR(INDEX($B$4:$B$204,MATCH(E135,$A$4:$A$204,0)),"")))</f>
        <v/>
      </c>
      <c r="AJ135" s="17">
        <f>IF(A135="","",IF(OR(AND(UPPER(TRIM(B135))="SWALE",UPPER(TRIM(AI135))="PIPE"),AND(UPPER(TRIM(B135))="TRENCH",UPPER(TRIM(AI135))="PIPE")),Inputs!$B$55,0))</f>
        <v/>
      </c>
      <c r="AK135" s="17">
        <f>IF(A135="","",IF(OR(AND(UPPER(TRIM(B135))="SWALE",UPPER(TRIM(AI135))="PIPE"),AND(UPPER(TRIM(B135))="TRENCH",UPPER(TRIM(AI135))="PIPE")),Inputs!$B$56,Inputs!$B$54))</f>
        <v/>
      </c>
      <c r="AL135" s="4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7">
        <f>IF(A136="","",IF(E136="","",IFERROR(INDEX($B$4:$B$204,MATCH(E136,$A$4:$A$204,0)),"")))</f>
        <v/>
      </c>
      <c r="AJ136" s="17">
        <f>IF(A136="","",IF(OR(AND(UPPER(TRIM(B136))="SWALE",UPPER(TRIM(AI136))="PIPE"),AND(UPPER(TRIM(B136))="TRENCH",UPPER(TRIM(AI136))="PIPE")),Inputs!$B$55,0))</f>
        <v/>
      </c>
      <c r="AK136" s="17">
        <f>IF(A136="","",IF(OR(AND(UPPER(TRIM(B136))="SWALE",UPPER(TRIM(AI136))="PIPE"),AND(UPPER(TRIM(B136))="TRENCH",UPPER(TRIM(AI136))="PIPE")),Inputs!$B$56,Inputs!$B$54))</f>
        <v/>
      </c>
      <c r="AL136" s="4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7">
        <f>IF(A137="","",IF(E137="","",IFERROR(INDEX($B$4:$B$204,MATCH(E137,$A$4:$A$204,0)),"")))</f>
        <v/>
      </c>
      <c r="AJ137" s="17">
        <f>IF(A137="","",IF(OR(AND(UPPER(TRIM(B137))="SWALE",UPPER(TRIM(AI137))="PIPE"),AND(UPPER(TRIM(B137))="TRENCH",UPPER(TRIM(AI137))="PIPE")),Inputs!$B$55,0))</f>
        <v/>
      </c>
      <c r="AK137" s="17">
        <f>IF(A137="","",IF(OR(AND(UPPER(TRIM(B137))="SWALE",UPPER(TRIM(AI137))="PIPE"),AND(UPPER(TRIM(B137))="TRENCH",UPPER(TRIM(AI137))="PIPE")),Inputs!$B$56,Inputs!$B$54))</f>
        <v/>
      </c>
      <c r="AL137" s="4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7">
        <f>IF(A138="","",IF(E138="","",IFERROR(INDEX($B$4:$B$204,MATCH(E138,$A$4:$A$204,0)),"")))</f>
        <v/>
      </c>
      <c r="AJ138" s="17">
        <f>IF(A138="","",IF(OR(AND(UPPER(TRIM(B138))="SWALE",UPPER(TRIM(AI138))="PIPE"),AND(UPPER(TRIM(B138))="TRENCH",UPPER(TRIM(AI138))="PIPE")),Inputs!$B$55,0))</f>
        <v/>
      </c>
      <c r="AK138" s="17">
        <f>IF(A138="","",IF(OR(AND(UPPER(TRIM(B138))="SWALE",UPPER(TRIM(AI138))="PIPE"),AND(UPPER(TRIM(B138))="TRENCH",UPPER(TRIM(AI138))="PIPE")),Inputs!$B$56,Inputs!$B$54))</f>
        <v/>
      </c>
      <c r="AL138" s="4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7">
        <f>IF(A139="","",IF(E139="","",IFERROR(INDEX($B$4:$B$204,MATCH(E139,$A$4:$A$204,0)),"")))</f>
        <v/>
      </c>
      <c r="AJ139" s="17">
        <f>IF(A139="","",IF(OR(AND(UPPER(TRIM(B139))="SWALE",UPPER(TRIM(AI139))="PIPE"),AND(UPPER(TRIM(B139))="TRENCH",UPPER(TRIM(AI139))="PIPE")),Inputs!$B$55,0))</f>
        <v/>
      </c>
      <c r="AK139" s="17">
        <f>IF(A139="","",IF(OR(AND(UPPER(TRIM(B139))="SWALE",UPPER(TRIM(AI139))="PIPE"),AND(UPPER(TRIM(B139))="TRENCH",UPPER(TRIM(AI139))="PIPE")),Inputs!$B$56,Inputs!$B$54))</f>
        <v/>
      </c>
      <c r="AL139" s="4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7">
        <f>IF(A140="","",IF(E140="","",IFERROR(INDEX($B$4:$B$204,MATCH(E140,$A$4:$A$204,0)),"")))</f>
        <v/>
      </c>
      <c r="AJ140" s="17">
        <f>IF(A140="","",IF(OR(AND(UPPER(TRIM(B140))="SWALE",UPPER(TRIM(AI140))="PIPE"),AND(UPPER(TRIM(B140))="TRENCH",UPPER(TRIM(AI140))="PIPE")),Inputs!$B$55,0))</f>
        <v/>
      </c>
      <c r="AK140" s="17">
        <f>IF(A140="","",IF(OR(AND(UPPER(TRIM(B140))="SWALE",UPPER(TRIM(AI140))="PIPE"),AND(UPPER(TRIM(B140))="TRENCH",UPPER(TRIM(AI140))="PIPE")),Inputs!$B$56,Inputs!$B$54))</f>
        <v/>
      </c>
      <c r="AL140" s="4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7">
        <f>IF(A141="","",IF(E141="","",IFERROR(INDEX($B$4:$B$204,MATCH(E141,$A$4:$A$204,0)),"")))</f>
        <v/>
      </c>
      <c r="AJ141" s="17">
        <f>IF(A141="","",IF(OR(AND(UPPER(TRIM(B141))="SWALE",UPPER(TRIM(AI141))="PIPE"),AND(UPPER(TRIM(B141))="TRENCH",UPPER(TRIM(AI141))="PIPE")),Inputs!$B$55,0))</f>
        <v/>
      </c>
      <c r="AK141" s="17">
        <f>IF(A141="","",IF(OR(AND(UPPER(TRIM(B141))="SWALE",UPPER(TRIM(AI141))="PIPE"),AND(UPPER(TRIM(B141))="TRENCH",UPPER(TRIM(AI141))="PIPE")),Inputs!$B$56,Inputs!$B$54))</f>
        <v/>
      </c>
      <c r="AL141" s="4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7">
        <f>IF(A142="","",IF(E142="","",IFERROR(INDEX($B$4:$B$204,MATCH(E142,$A$4:$A$204,0)),"")))</f>
        <v/>
      </c>
      <c r="AJ142" s="17">
        <f>IF(A142="","",IF(OR(AND(UPPER(TRIM(B142))="SWALE",UPPER(TRIM(AI142))="PIPE"),AND(UPPER(TRIM(B142))="TRENCH",UPPER(TRIM(AI142))="PIPE")),Inputs!$B$55,0))</f>
        <v/>
      </c>
      <c r="AK142" s="17">
        <f>IF(A142="","",IF(OR(AND(UPPER(TRIM(B142))="SWALE",UPPER(TRIM(AI142))="PIPE"),AND(UPPER(TRIM(B142))="TRENCH",UPPER(TRIM(AI142))="PIPE")),Inputs!$B$56,Inputs!$B$54))</f>
        <v/>
      </c>
      <c r="AL142" s="4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7">
        <f>IF(A143="","",IF(E143="","",IFERROR(INDEX($B$4:$B$204,MATCH(E143,$A$4:$A$204,0)),"")))</f>
        <v/>
      </c>
      <c r="AJ143" s="17">
        <f>IF(A143="","",IF(OR(AND(UPPER(TRIM(B143))="SWALE",UPPER(TRIM(AI143))="PIPE"),AND(UPPER(TRIM(B143))="TRENCH",UPPER(TRIM(AI143))="PIPE")),Inputs!$B$55,0))</f>
        <v/>
      </c>
      <c r="AK143" s="17">
        <f>IF(A143="","",IF(OR(AND(UPPER(TRIM(B143))="SWALE",UPPER(TRIM(AI143))="PIPE"),AND(UPPER(TRIM(B143))="TRENCH",UPPER(TRIM(AI143))="PIPE")),Inputs!$B$56,Inputs!$B$54))</f>
        <v/>
      </c>
      <c r="AL143" s="4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7">
        <f>IF(A144="","",IF(E144="","",IFERROR(INDEX($B$4:$B$204,MATCH(E144,$A$4:$A$204,0)),"")))</f>
        <v/>
      </c>
      <c r="AJ144" s="17">
        <f>IF(A144="","",IF(OR(AND(UPPER(TRIM(B144))="SWALE",UPPER(TRIM(AI144))="PIPE"),AND(UPPER(TRIM(B144))="TRENCH",UPPER(TRIM(AI144))="PIPE")),Inputs!$B$55,0))</f>
        <v/>
      </c>
      <c r="AK144" s="17">
        <f>IF(A144="","",IF(OR(AND(UPPER(TRIM(B144))="SWALE",UPPER(TRIM(AI144))="PIPE"),AND(UPPER(TRIM(B144))="TRENCH",UPPER(TRIM(AI144))="PIPE")),Inputs!$B$56,Inputs!$B$54))</f>
        <v/>
      </c>
      <c r="AL144" s="4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7">
        <f>IF(A145="","",IF(E145="","",IFERROR(INDEX($B$4:$B$204,MATCH(E145,$A$4:$A$204,0)),"")))</f>
        <v/>
      </c>
      <c r="AJ145" s="17">
        <f>IF(A145="","",IF(OR(AND(UPPER(TRIM(B145))="SWALE",UPPER(TRIM(AI145))="PIPE"),AND(UPPER(TRIM(B145))="TRENCH",UPPER(TRIM(AI145))="PIPE")),Inputs!$B$55,0))</f>
        <v/>
      </c>
      <c r="AK145" s="17">
        <f>IF(A145="","",IF(OR(AND(UPPER(TRIM(B145))="SWALE",UPPER(TRIM(AI145))="PIPE"),AND(UPPER(TRIM(B145))="TRENCH",UPPER(TRIM(AI145))="PIPE")),Inputs!$B$56,Inputs!$B$54))</f>
        <v/>
      </c>
      <c r="AL145" s="4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7">
        <f>IF(A146="","",IF(E146="","",IFERROR(INDEX($B$4:$B$204,MATCH(E146,$A$4:$A$204,0)),"")))</f>
        <v/>
      </c>
      <c r="AJ146" s="17">
        <f>IF(A146="","",IF(OR(AND(UPPER(TRIM(B146))="SWALE",UPPER(TRIM(AI146))="PIPE"),AND(UPPER(TRIM(B146))="TRENCH",UPPER(TRIM(AI146))="PIPE")),Inputs!$B$55,0))</f>
        <v/>
      </c>
      <c r="AK146" s="17">
        <f>IF(A146="","",IF(OR(AND(UPPER(TRIM(B146))="SWALE",UPPER(TRIM(AI146))="PIPE"),AND(UPPER(TRIM(B146))="TRENCH",UPPER(TRIM(AI146))="PIPE")),Inputs!$B$56,Inputs!$B$54))</f>
        <v/>
      </c>
      <c r="AL146" s="4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7">
        <f>IF(A147="","",IF(E147="","",IFERROR(INDEX($B$4:$B$204,MATCH(E147,$A$4:$A$204,0)),"")))</f>
        <v/>
      </c>
      <c r="AJ147" s="17">
        <f>IF(A147="","",IF(OR(AND(UPPER(TRIM(B147))="SWALE",UPPER(TRIM(AI147))="PIPE"),AND(UPPER(TRIM(B147))="TRENCH",UPPER(TRIM(AI147))="PIPE")),Inputs!$B$55,0))</f>
        <v/>
      </c>
      <c r="AK147" s="17">
        <f>IF(A147="","",IF(OR(AND(UPPER(TRIM(B147))="SWALE",UPPER(TRIM(AI147))="PIPE"),AND(UPPER(TRIM(B147))="TRENCH",UPPER(TRIM(AI147))="PIPE")),Inputs!$B$56,Inputs!$B$54))</f>
        <v/>
      </c>
      <c r="AL147" s="4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7">
        <f>IF(A148="","",IF(E148="","",IFERROR(INDEX($B$4:$B$204,MATCH(E148,$A$4:$A$204,0)),"")))</f>
        <v/>
      </c>
      <c r="AJ148" s="17">
        <f>IF(A148="","",IF(OR(AND(UPPER(TRIM(B148))="SWALE",UPPER(TRIM(AI148))="PIPE"),AND(UPPER(TRIM(B148))="TRENCH",UPPER(TRIM(AI148))="PIPE")),Inputs!$B$55,0))</f>
        <v/>
      </c>
      <c r="AK148" s="17">
        <f>IF(A148="","",IF(OR(AND(UPPER(TRIM(B148))="SWALE",UPPER(TRIM(AI148))="PIPE"),AND(UPPER(TRIM(B148))="TRENCH",UPPER(TRIM(AI148))="PIPE")),Inputs!$B$56,Inputs!$B$54))</f>
        <v/>
      </c>
      <c r="AL148" s="4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7">
        <f>IF(A149="","",IF(E149="","",IFERROR(INDEX($B$4:$B$204,MATCH(E149,$A$4:$A$204,0)),"")))</f>
        <v/>
      </c>
      <c r="AJ149" s="17">
        <f>IF(A149="","",IF(OR(AND(UPPER(TRIM(B149))="SWALE",UPPER(TRIM(AI149))="PIPE"),AND(UPPER(TRIM(B149))="TRENCH",UPPER(TRIM(AI149))="PIPE")),Inputs!$B$55,0))</f>
        <v/>
      </c>
      <c r="AK149" s="17">
        <f>IF(A149="","",IF(OR(AND(UPPER(TRIM(B149))="SWALE",UPPER(TRIM(AI149))="PIPE"),AND(UPPER(TRIM(B149))="TRENCH",UPPER(TRIM(AI149))="PIPE")),Inputs!$B$56,Inputs!$B$54))</f>
        <v/>
      </c>
      <c r="AL149" s="4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7">
        <f>IF(A150="","",IF(E150="","",IFERROR(INDEX($B$4:$B$204,MATCH(E150,$A$4:$A$204,0)),"")))</f>
        <v/>
      </c>
      <c r="AJ150" s="17">
        <f>IF(A150="","",IF(OR(AND(UPPER(TRIM(B150))="SWALE",UPPER(TRIM(AI150))="PIPE"),AND(UPPER(TRIM(B150))="TRENCH",UPPER(TRIM(AI150))="PIPE")),Inputs!$B$55,0))</f>
        <v/>
      </c>
      <c r="AK150" s="17">
        <f>IF(A150="","",IF(OR(AND(UPPER(TRIM(B150))="SWALE",UPPER(TRIM(AI150))="PIPE"),AND(UPPER(TRIM(B150))="TRENCH",UPPER(TRIM(AI150))="PIPE")),Inputs!$B$56,Inputs!$B$54))</f>
        <v/>
      </c>
      <c r="AL150" s="4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7">
        <f>IF(A151="","",IF(E151="","",IFERROR(INDEX($B$4:$B$204,MATCH(E151,$A$4:$A$204,0)),"")))</f>
        <v/>
      </c>
      <c r="AJ151" s="17">
        <f>IF(A151="","",IF(OR(AND(UPPER(TRIM(B151))="SWALE",UPPER(TRIM(AI151))="PIPE"),AND(UPPER(TRIM(B151))="TRENCH",UPPER(TRIM(AI151))="PIPE")),Inputs!$B$55,0))</f>
        <v/>
      </c>
      <c r="AK151" s="17">
        <f>IF(A151="","",IF(OR(AND(UPPER(TRIM(B151))="SWALE",UPPER(TRIM(AI151))="PIPE"),AND(UPPER(TRIM(B151))="TRENCH",UPPER(TRIM(AI151))="PIPE")),Inputs!$B$56,Inputs!$B$54))</f>
        <v/>
      </c>
      <c r="AL151" s="4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7">
        <f>IF(A152="","",IF(E152="","",IFERROR(INDEX($B$4:$B$204,MATCH(E152,$A$4:$A$204,0)),"")))</f>
        <v/>
      </c>
      <c r="AJ152" s="17">
        <f>IF(A152="","",IF(OR(AND(UPPER(TRIM(B152))="SWALE",UPPER(TRIM(AI152))="PIPE"),AND(UPPER(TRIM(B152))="TRENCH",UPPER(TRIM(AI152))="PIPE")),Inputs!$B$55,0))</f>
        <v/>
      </c>
      <c r="AK152" s="17">
        <f>IF(A152="","",IF(OR(AND(UPPER(TRIM(B152))="SWALE",UPPER(TRIM(AI152))="PIPE"),AND(UPPER(TRIM(B152))="TRENCH",UPPER(TRIM(AI152))="PIPE")),Inputs!$B$56,Inputs!$B$54))</f>
        <v/>
      </c>
      <c r="AL152" s="4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7">
        <f>IF(A153="","",IF(E153="","",IFERROR(INDEX($B$4:$B$204,MATCH(E153,$A$4:$A$204,0)),"")))</f>
        <v/>
      </c>
      <c r="AJ153" s="17">
        <f>IF(A153="","",IF(OR(AND(UPPER(TRIM(B153))="SWALE",UPPER(TRIM(AI153))="PIPE"),AND(UPPER(TRIM(B153))="TRENCH",UPPER(TRIM(AI153))="PIPE")),Inputs!$B$55,0))</f>
        <v/>
      </c>
      <c r="AK153" s="17">
        <f>IF(A153="","",IF(OR(AND(UPPER(TRIM(B153))="SWALE",UPPER(TRIM(AI153))="PIPE"),AND(UPPER(TRIM(B153))="TRENCH",UPPER(TRIM(AI153))="PIPE")),Inputs!$B$56,Inputs!$B$54))</f>
        <v/>
      </c>
      <c r="AL153" s="4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7">
        <f>IF(A154="","",IF(E154="","",IFERROR(INDEX($B$4:$B$204,MATCH(E154,$A$4:$A$204,0)),"")))</f>
        <v/>
      </c>
      <c r="AJ154" s="17">
        <f>IF(A154="","",IF(OR(AND(UPPER(TRIM(B154))="SWALE",UPPER(TRIM(AI154))="PIPE"),AND(UPPER(TRIM(B154))="TRENCH",UPPER(TRIM(AI154))="PIPE")),Inputs!$B$55,0))</f>
        <v/>
      </c>
      <c r="AK154" s="17">
        <f>IF(A154="","",IF(OR(AND(UPPER(TRIM(B154))="SWALE",UPPER(TRIM(AI154))="PIPE"),AND(UPPER(TRIM(B154))="TRENCH",UPPER(TRIM(AI154))="PIPE")),Inputs!$B$56,Inputs!$B$54))</f>
        <v/>
      </c>
      <c r="AL154" s="4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7">
        <f>IF(A155="","",IF(E155="","",IFERROR(INDEX($B$4:$B$204,MATCH(E155,$A$4:$A$204,0)),"")))</f>
        <v/>
      </c>
      <c r="AJ155" s="17">
        <f>IF(A155="","",IF(OR(AND(UPPER(TRIM(B155))="SWALE",UPPER(TRIM(AI155))="PIPE"),AND(UPPER(TRIM(B155))="TRENCH",UPPER(TRIM(AI155))="PIPE")),Inputs!$B$55,0))</f>
        <v/>
      </c>
      <c r="AK155" s="17">
        <f>IF(A155="","",IF(OR(AND(UPPER(TRIM(B155))="SWALE",UPPER(TRIM(AI155))="PIPE"),AND(UPPER(TRIM(B155))="TRENCH",UPPER(TRIM(AI155))="PIPE")),Inputs!$B$56,Inputs!$B$54))</f>
        <v/>
      </c>
      <c r="AL155" s="4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7">
        <f>IF(A156="","",IF(E156="","",IFERROR(INDEX($B$4:$B$204,MATCH(E156,$A$4:$A$204,0)),"")))</f>
        <v/>
      </c>
      <c r="AJ156" s="17">
        <f>IF(A156="","",IF(OR(AND(UPPER(TRIM(B156))="SWALE",UPPER(TRIM(AI156))="PIPE"),AND(UPPER(TRIM(B156))="TRENCH",UPPER(TRIM(AI156))="PIPE")),Inputs!$B$55,0))</f>
        <v/>
      </c>
      <c r="AK156" s="17">
        <f>IF(A156="","",IF(OR(AND(UPPER(TRIM(B156))="SWALE",UPPER(TRIM(AI156))="PIPE"),AND(UPPER(TRIM(B156))="TRENCH",UPPER(TRIM(AI156))="PIPE")),Inputs!$B$56,Inputs!$B$54))</f>
        <v/>
      </c>
      <c r="AL156" s="4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7">
        <f>IF(A157="","",IF(E157="","",IFERROR(INDEX($B$4:$B$204,MATCH(E157,$A$4:$A$204,0)),"")))</f>
        <v/>
      </c>
      <c r="AJ157" s="17">
        <f>IF(A157="","",IF(OR(AND(UPPER(TRIM(B157))="SWALE",UPPER(TRIM(AI157))="PIPE"),AND(UPPER(TRIM(B157))="TRENCH",UPPER(TRIM(AI157))="PIPE")),Inputs!$B$55,0))</f>
        <v/>
      </c>
      <c r="AK157" s="17">
        <f>IF(A157="","",IF(OR(AND(UPPER(TRIM(B157))="SWALE",UPPER(TRIM(AI157))="PIPE"),AND(UPPER(TRIM(B157))="TRENCH",UPPER(TRIM(AI157))="PIPE")),Inputs!$B$56,Inputs!$B$54))</f>
        <v/>
      </c>
      <c r="AL157" s="4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7">
        <f>IF(A158="","",IF(E158="","",IFERROR(INDEX($B$4:$B$204,MATCH(E158,$A$4:$A$204,0)),"")))</f>
        <v/>
      </c>
      <c r="AJ158" s="17">
        <f>IF(A158="","",IF(OR(AND(UPPER(TRIM(B158))="SWALE",UPPER(TRIM(AI158))="PIPE"),AND(UPPER(TRIM(B158))="TRENCH",UPPER(TRIM(AI158))="PIPE")),Inputs!$B$55,0))</f>
        <v/>
      </c>
      <c r="AK158" s="17">
        <f>IF(A158="","",IF(OR(AND(UPPER(TRIM(B158))="SWALE",UPPER(TRIM(AI158))="PIPE"),AND(UPPER(TRIM(B158))="TRENCH",UPPER(TRIM(AI158))="PIPE")),Inputs!$B$56,Inputs!$B$54))</f>
        <v/>
      </c>
      <c r="AL158" s="4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7">
        <f>IF(A159="","",IF(E159="","",IFERROR(INDEX($B$4:$B$204,MATCH(E159,$A$4:$A$204,0)),"")))</f>
        <v/>
      </c>
      <c r="AJ159" s="17">
        <f>IF(A159="","",IF(OR(AND(UPPER(TRIM(B159))="SWALE",UPPER(TRIM(AI159))="PIPE"),AND(UPPER(TRIM(B159))="TRENCH",UPPER(TRIM(AI159))="PIPE")),Inputs!$B$55,0))</f>
        <v/>
      </c>
      <c r="AK159" s="17">
        <f>IF(A159="","",IF(OR(AND(UPPER(TRIM(B159))="SWALE",UPPER(TRIM(AI159))="PIPE"),AND(UPPER(TRIM(B159))="TRENCH",UPPER(TRIM(AI159))="PIPE")),Inputs!$B$56,Inputs!$B$54))</f>
        <v/>
      </c>
      <c r="AL159" s="4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7">
        <f>IF(A160="","",IF(E160="","",IFERROR(INDEX($B$4:$B$204,MATCH(E160,$A$4:$A$204,0)),"")))</f>
        <v/>
      </c>
      <c r="AJ160" s="17">
        <f>IF(A160="","",IF(OR(AND(UPPER(TRIM(B160))="SWALE",UPPER(TRIM(AI160))="PIPE"),AND(UPPER(TRIM(B160))="TRENCH",UPPER(TRIM(AI160))="PIPE")),Inputs!$B$55,0))</f>
        <v/>
      </c>
      <c r="AK160" s="17">
        <f>IF(A160="","",IF(OR(AND(UPPER(TRIM(B160))="SWALE",UPPER(TRIM(AI160))="PIPE"),AND(UPPER(TRIM(B160))="TRENCH",UPPER(TRIM(AI160))="PIPE")),Inputs!$B$56,Inputs!$B$54))</f>
        <v/>
      </c>
      <c r="AL160" s="4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7">
        <f>IF(A161="","",IF(E161="","",IFERROR(INDEX($B$4:$B$204,MATCH(E161,$A$4:$A$204,0)),"")))</f>
        <v/>
      </c>
      <c r="AJ161" s="17">
        <f>IF(A161="","",IF(OR(AND(UPPER(TRIM(B161))="SWALE",UPPER(TRIM(AI161))="PIPE"),AND(UPPER(TRIM(B161))="TRENCH",UPPER(TRIM(AI161))="PIPE")),Inputs!$B$55,0))</f>
        <v/>
      </c>
      <c r="AK161" s="17">
        <f>IF(A161="","",IF(OR(AND(UPPER(TRIM(B161))="SWALE",UPPER(TRIM(AI161))="PIPE"),AND(UPPER(TRIM(B161))="TRENCH",UPPER(TRIM(AI161))="PIPE")),Inputs!$B$56,Inputs!$B$54))</f>
        <v/>
      </c>
      <c r="AL161" s="4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7">
        <f>IF(A162="","",IF(E162="","",IFERROR(INDEX($B$4:$B$204,MATCH(E162,$A$4:$A$204,0)),"")))</f>
        <v/>
      </c>
      <c r="AJ162" s="17">
        <f>IF(A162="","",IF(OR(AND(UPPER(TRIM(B162))="SWALE",UPPER(TRIM(AI162))="PIPE"),AND(UPPER(TRIM(B162))="TRENCH",UPPER(TRIM(AI162))="PIPE")),Inputs!$B$55,0))</f>
        <v/>
      </c>
      <c r="AK162" s="17">
        <f>IF(A162="","",IF(OR(AND(UPPER(TRIM(B162))="SWALE",UPPER(TRIM(AI162))="PIPE"),AND(UPPER(TRIM(B162))="TRENCH",UPPER(TRIM(AI162))="PIPE")),Inputs!$B$56,Inputs!$B$54))</f>
        <v/>
      </c>
      <c r="AL162" s="4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7">
        <f>IF(A163="","",IF(E163="","",IFERROR(INDEX($B$4:$B$204,MATCH(E163,$A$4:$A$204,0)),"")))</f>
        <v/>
      </c>
      <c r="AJ163" s="17">
        <f>IF(A163="","",IF(OR(AND(UPPER(TRIM(B163))="SWALE",UPPER(TRIM(AI163))="PIPE"),AND(UPPER(TRIM(B163))="TRENCH",UPPER(TRIM(AI163))="PIPE")),Inputs!$B$55,0))</f>
        <v/>
      </c>
      <c r="AK163" s="17">
        <f>IF(A163="","",IF(OR(AND(UPPER(TRIM(B163))="SWALE",UPPER(TRIM(AI163))="PIPE"),AND(UPPER(TRIM(B163))="TRENCH",UPPER(TRIM(AI163))="PIPE")),Inputs!$B$56,Inputs!$B$54))</f>
        <v/>
      </c>
      <c r="AL163" s="4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7">
        <f>IF(A164="","",IF(E164="","",IFERROR(INDEX($B$4:$B$204,MATCH(E164,$A$4:$A$204,0)),"")))</f>
        <v/>
      </c>
      <c r="AJ164" s="17">
        <f>IF(A164="","",IF(OR(AND(UPPER(TRIM(B164))="SWALE",UPPER(TRIM(AI164))="PIPE"),AND(UPPER(TRIM(B164))="TRENCH",UPPER(TRIM(AI164))="PIPE")),Inputs!$B$55,0))</f>
        <v/>
      </c>
      <c r="AK164" s="17">
        <f>IF(A164="","",IF(OR(AND(UPPER(TRIM(B164))="SWALE",UPPER(TRIM(AI164))="PIPE"),AND(UPPER(TRIM(B164))="TRENCH",UPPER(TRIM(AI164))="PIPE")),Inputs!$B$56,Inputs!$B$54))</f>
        <v/>
      </c>
      <c r="AL164" s="4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7">
        <f>IF(A165="","",IF(E165="","",IFERROR(INDEX($B$4:$B$204,MATCH(E165,$A$4:$A$204,0)),"")))</f>
        <v/>
      </c>
      <c r="AJ165" s="17">
        <f>IF(A165="","",IF(OR(AND(UPPER(TRIM(B165))="SWALE",UPPER(TRIM(AI165))="PIPE"),AND(UPPER(TRIM(B165))="TRENCH",UPPER(TRIM(AI165))="PIPE")),Inputs!$B$55,0))</f>
        <v/>
      </c>
      <c r="AK165" s="17">
        <f>IF(A165="","",IF(OR(AND(UPPER(TRIM(B165))="SWALE",UPPER(TRIM(AI165))="PIPE"),AND(UPPER(TRIM(B165))="TRENCH",UPPER(TRIM(AI165))="PIPE")),Inputs!$B$56,Inputs!$B$54))</f>
        <v/>
      </c>
      <c r="AL165" s="4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7">
        <f>IF(A166="","",IF(E166="","",IFERROR(INDEX($B$4:$B$204,MATCH(E166,$A$4:$A$204,0)),"")))</f>
        <v/>
      </c>
      <c r="AJ166" s="17">
        <f>IF(A166="","",IF(OR(AND(UPPER(TRIM(B166))="SWALE",UPPER(TRIM(AI166))="PIPE"),AND(UPPER(TRIM(B166))="TRENCH",UPPER(TRIM(AI166))="PIPE")),Inputs!$B$55,0))</f>
        <v/>
      </c>
      <c r="AK166" s="17">
        <f>IF(A166="","",IF(OR(AND(UPPER(TRIM(B166))="SWALE",UPPER(TRIM(AI166))="PIPE"),AND(UPPER(TRIM(B166))="TRENCH",UPPER(TRIM(AI166))="PIPE")),Inputs!$B$56,Inputs!$B$54))</f>
        <v/>
      </c>
      <c r="AL166" s="4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7">
        <f>IF(A167="","",IF(E167="","",IFERROR(INDEX($B$4:$B$204,MATCH(E167,$A$4:$A$204,0)),"")))</f>
        <v/>
      </c>
      <c r="AJ167" s="17">
        <f>IF(A167="","",IF(OR(AND(UPPER(TRIM(B167))="SWALE",UPPER(TRIM(AI167))="PIPE"),AND(UPPER(TRIM(B167))="TRENCH",UPPER(TRIM(AI167))="PIPE")),Inputs!$B$55,0))</f>
        <v/>
      </c>
      <c r="AK167" s="17">
        <f>IF(A167="","",IF(OR(AND(UPPER(TRIM(B167))="SWALE",UPPER(TRIM(AI167))="PIPE"),AND(UPPER(TRIM(B167))="TRENCH",UPPER(TRIM(AI167))="PIPE")),Inputs!$B$56,Inputs!$B$54))</f>
        <v/>
      </c>
      <c r="AL167" s="4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7">
        <f>IF(A168="","",IF(E168="","",IFERROR(INDEX($B$4:$B$204,MATCH(E168,$A$4:$A$204,0)),"")))</f>
        <v/>
      </c>
      <c r="AJ168" s="17">
        <f>IF(A168="","",IF(OR(AND(UPPER(TRIM(B168))="SWALE",UPPER(TRIM(AI168))="PIPE"),AND(UPPER(TRIM(B168))="TRENCH",UPPER(TRIM(AI168))="PIPE")),Inputs!$B$55,0))</f>
        <v/>
      </c>
      <c r="AK168" s="17">
        <f>IF(A168="","",IF(OR(AND(UPPER(TRIM(B168))="SWALE",UPPER(TRIM(AI168))="PIPE"),AND(UPPER(TRIM(B168))="TRENCH",UPPER(TRIM(AI168))="PIPE")),Inputs!$B$56,Inputs!$B$54))</f>
        <v/>
      </c>
      <c r="AL168" s="4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7">
        <f>IF(A169="","",IF(E169="","",IFERROR(INDEX($B$4:$B$204,MATCH(E169,$A$4:$A$204,0)),"")))</f>
        <v/>
      </c>
      <c r="AJ169" s="17">
        <f>IF(A169="","",IF(OR(AND(UPPER(TRIM(B169))="SWALE",UPPER(TRIM(AI169))="PIPE"),AND(UPPER(TRIM(B169))="TRENCH",UPPER(TRIM(AI169))="PIPE")),Inputs!$B$55,0))</f>
        <v/>
      </c>
      <c r="AK169" s="17">
        <f>IF(A169="","",IF(OR(AND(UPPER(TRIM(B169))="SWALE",UPPER(TRIM(AI169))="PIPE"),AND(UPPER(TRIM(B169))="TRENCH",UPPER(TRIM(AI169))="PIPE")),Inputs!$B$56,Inputs!$B$54))</f>
        <v/>
      </c>
      <c r="AL169" s="4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7">
        <f>IF(A170="","",IF(E170="","",IFERROR(INDEX($B$4:$B$204,MATCH(E170,$A$4:$A$204,0)),"")))</f>
        <v/>
      </c>
      <c r="AJ170" s="17">
        <f>IF(A170="","",IF(OR(AND(UPPER(TRIM(B170))="SWALE",UPPER(TRIM(AI170))="PIPE"),AND(UPPER(TRIM(B170))="TRENCH",UPPER(TRIM(AI170))="PIPE")),Inputs!$B$55,0))</f>
        <v/>
      </c>
      <c r="AK170" s="17">
        <f>IF(A170="","",IF(OR(AND(UPPER(TRIM(B170))="SWALE",UPPER(TRIM(AI170))="PIPE"),AND(UPPER(TRIM(B170))="TRENCH",UPPER(TRIM(AI170))="PIPE")),Inputs!$B$56,Inputs!$B$54))</f>
        <v/>
      </c>
      <c r="AL170" s="4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7">
        <f>IF(A171="","",IF(E171="","",IFERROR(INDEX($B$4:$B$204,MATCH(E171,$A$4:$A$204,0)),"")))</f>
        <v/>
      </c>
      <c r="AJ171" s="17">
        <f>IF(A171="","",IF(OR(AND(UPPER(TRIM(B171))="SWALE",UPPER(TRIM(AI171))="PIPE"),AND(UPPER(TRIM(B171))="TRENCH",UPPER(TRIM(AI171))="PIPE")),Inputs!$B$55,0))</f>
        <v/>
      </c>
      <c r="AK171" s="17">
        <f>IF(A171="","",IF(OR(AND(UPPER(TRIM(B171))="SWALE",UPPER(TRIM(AI171))="PIPE"),AND(UPPER(TRIM(B171))="TRENCH",UPPER(TRIM(AI171))="PIPE")),Inputs!$B$56,Inputs!$B$54))</f>
        <v/>
      </c>
      <c r="AL171" s="4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7">
        <f>IF(A172="","",IF(E172="","",IFERROR(INDEX($B$4:$B$204,MATCH(E172,$A$4:$A$204,0)),"")))</f>
        <v/>
      </c>
      <c r="AJ172" s="17">
        <f>IF(A172="","",IF(OR(AND(UPPER(TRIM(B172))="SWALE",UPPER(TRIM(AI172))="PIPE"),AND(UPPER(TRIM(B172))="TRENCH",UPPER(TRIM(AI172))="PIPE")),Inputs!$B$55,0))</f>
        <v/>
      </c>
      <c r="AK172" s="17">
        <f>IF(A172="","",IF(OR(AND(UPPER(TRIM(B172))="SWALE",UPPER(TRIM(AI172))="PIPE"),AND(UPPER(TRIM(B172))="TRENCH",UPPER(TRIM(AI172))="PIPE")),Inputs!$B$56,Inputs!$B$54))</f>
        <v/>
      </c>
      <c r="AL172" s="4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7">
        <f>IF(A173="","",IF(E173="","",IFERROR(INDEX($B$4:$B$204,MATCH(E173,$A$4:$A$204,0)),"")))</f>
        <v/>
      </c>
      <c r="AJ173" s="17">
        <f>IF(A173="","",IF(OR(AND(UPPER(TRIM(B173))="SWALE",UPPER(TRIM(AI173))="PIPE"),AND(UPPER(TRIM(B173))="TRENCH",UPPER(TRIM(AI173))="PIPE")),Inputs!$B$55,0))</f>
        <v/>
      </c>
      <c r="AK173" s="17">
        <f>IF(A173="","",IF(OR(AND(UPPER(TRIM(B173))="SWALE",UPPER(TRIM(AI173))="PIPE"),AND(UPPER(TRIM(B173))="TRENCH",UPPER(TRIM(AI173))="PIPE")),Inputs!$B$56,Inputs!$B$54))</f>
        <v/>
      </c>
      <c r="AL173" s="4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7">
        <f>IF(A174="","",IF(E174="","",IFERROR(INDEX($B$4:$B$204,MATCH(E174,$A$4:$A$204,0)),"")))</f>
        <v/>
      </c>
      <c r="AJ174" s="17">
        <f>IF(A174="","",IF(OR(AND(UPPER(TRIM(B174))="SWALE",UPPER(TRIM(AI174))="PIPE"),AND(UPPER(TRIM(B174))="TRENCH",UPPER(TRIM(AI174))="PIPE")),Inputs!$B$55,0))</f>
        <v/>
      </c>
      <c r="AK174" s="17">
        <f>IF(A174="","",IF(OR(AND(UPPER(TRIM(B174))="SWALE",UPPER(TRIM(AI174))="PIPE"),AND(UPPER(TRIM(B174))="TRENCH",UPPER(TRIM(AI174))="PIPE")),Inputs!$B$56,Inputs!$B$54))</f>
        <v/>
      </c>
      <c r="AL174" s="4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7">
        <f>IF(A175="","",IF(E175="","",IFERROR(INDEX($B$4:$B$204,MATCH(E175,$A$4:$A$204,0)),"")))</f>
        <v/>
      </c>
      <c r="AJ175" s="17">
        <f>IF(A175="","",IF(OR(AND(UPPER(TRIM(B175))="SWALE",UPPER(TRIM(AI175))="PIPE"),AND(UPPER(TRIM(B175))="TRENCH",UPPER(TRIM(AI175))="PIPE")),Inputs!$B$55,0))</f>
        <v/>
      </c>
      <c r="AK175" s="17">
        <f>IF(A175="","",IF(OR(AND(UPPER(TRIM(B175))="SWALE",UPPER(TRIM(AI175))="PIPE"),AND(UPPER(TRIM(B175))="TRENCH",UPPER(TRIM(AI175))="PIPE")),Inputs!$B$56,Inputs!$B$54))</f>
        <v/>
      </c>
      <c r="AL175" s="4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7">
        <f>IF(A176="","",IF(E176="","",IFERROR(INDEX($B$4:$B$204,MATCH(E176,$A$4:$A$204,0)),"")))</f>
        <v/>
      </c>
      <c r="AJ176" s="17">
        <f>IF(A176="","",IF(OR(AND(UPPER(TRIM(B176))="SWALE",UPPER(TRIM(AI176))="PIPE"),AND(UPPER(TRIM(B176))="TRENCH",UPPER(TRIM(AI176))="PIPE")),Inputs!$B$55,0))</f>
        <v/>
      </c>
      <c r="AK176" s="17">
        <f>IF(A176="","",IF(OR(AND(UPPER(TRIM(B176))="SWALE",UPPER(TRIM(AI176))="PIPE"),AND(UPPER(TRIM(B176))="TRENCH",UPPER(TRIM(AI176))="PIPE")),Inputs!$B$56,Inputs!$B$54))</f>
        <v/>
      </c>
      <c r="AL176" s="4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7">
        <f>IF(A177="","",IF(E177="","",IFERROR(INDEX($B$4:$B$204,MATCH(E177,$A$4:$A$204,0)),"")))</f>
        <v/>
      </c>
      <c r="AJ177" s="17">
        <f>IF(A177="","",IF(OR(AND(UPPER(TRIM(B177))="SWALE",UPPER(TRIM(AI177))="PIPE"),AND(UPPER(TRIM(B177))="TRENCH",UPPER(TRIM(AI177))="PIPE")),Inputs!$B$55,0))</f>
        <v/>
      </c>
      <c r="AK177" s="17">
        <f>IF(A177="","",IF(OR(AND(UPPER(TRIM(B177))="SWALE",UPPER(TRIM(AI177))="PIPE"),AND(UPPER(TRIM(B177))="TRENCH",UPPER(TRIM(AI177))="PIPE")),Inputs!$B$56,Inputs!$B$54))</f>
        <v/>
      </c>
      <c r="AL177" s="4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7">
        <f>IF(A178="","",IF(E178="","",IFERROR(INDEX($B$4:$B$204,MATCH(E178,$A$4:$A$204,0)),"")))</f>
        <v/>
      </c>
      <c r="AJ178" s="17">
        <f>IF(A178="","",IF(OR(AND(UPPER(TRIM(B178))="SWALE",UPPER(TRIM(AI178))="PIPE"),AND(UPPER(TRIM(B178))="TRENCH",UPPER(TRIM(AI178))="PIPE")),Inputs!$B$55,0))</f>
        <v/>
      </c>
      <c r="AK178" s="17">
        <f>IF(A178="","",IF(OR(AND(UPPER(TRIM(B178))="SWALE",UPPER(TRIM(AI178))="PIPE"),AND(UPPER(TRIM(B178))="TRENCH",UPPER(TRIM(AI178))="PIPE")),Inputs!$B$56,Inputs!$B$54))</f>
        <v/>
      </c>
      <c r="AL178" s="4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7">
        <f>IF(A179="","",IF(E179="","",IFERROR(INDEX($B$4:$B$204,MATCH(E179,$A$4:$A$204,0)),"")))</f>
        <v/>
      </c>
      <c r="AJ179" s="17">
        <f>IF(A179="","",IF(OR(AND(UPPER(TRIM(B179))="SWALE",UPPER(TRIM(AI179))="PIPE"),AND(UPPER(TRIM(B179))="TRENCH",UPPER(TRIM(AI179))="PIPE")),Inputs!$B$55,0))</f>
        <v/>
      </c>
      <c r="AK179" s="17">
        <f>IF(A179="","",IF(OR(AND(UPPER(TRIM(B179))="SWALE",UPPER(TRIM(AI179))="PIPE"),AND(UPPER(TRIM(B179))="TRENCH",UPPER(TRIM(AI179))="PIPE")),Inputs!$B$56,Inputs!$B$54))</f>
        <v/>
      </c>
      <c r="AL179" s="4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7">
        <f>IF(A180="","",IF(E180="","",IFERROR(INDEX($B$4:$B$204,MATCH(E180,$A$4:$A$204,0)),"")))</f>
        <v/>
      </c>
      <c r="AJ180" s="17">
        <f>IF(A180="","",IF(OR(AND(UPPER(TRIM(B180))="SWALE",UPPER(TRIM(AI180))="PIPE"),AND(UPPER(TRIM(B180))="TRENCH",UPPER(TRIM(AI180))="PIPE")),Inputs!$B$55,0))</f>
        <v/>
      </c>
      <c r="AK180" s="17">
        <f>IF(A180="","",IF(OR(AND(UPPER(TRIM(B180))="SWALE",UPPER(TRIM(AI180))="PIPE"),AND(UPPER(TRIM(B180))="TRENCH",UPPER(TRIM(AI180))="PIPE")),Inputs!$B$56,Inputs!$B$54))</f>
        <v/>
      </c>
      <c r="AL180" s="4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7">
        <f>IF(A181="","",IF(E181="","",IFERROR(INDEX($B$4:$B$204,MATCH(E181,$A$4:$A$204,0)),"")))</f>
        <v/>
      </c>
      <c r="AJ181" s="17">
        <f>IF(A181="","",IF(OR(AND(UPPER(TRIM(B181))="SWALE",UPPER(TRIM(AI181))="PIPE"),AND(UPPER(TRIM(B181))="TRENCH",UPPER(TRIM(AI181))="PIPE")),Inputs!$B$55,0))</f>
        <v/>
      </c>
      <c r="AK181" s="17">
        <f>IF(A181="","",IF(OR(AND(UPPER(TRIM(B181))="SWALE",UPPER(TRIM(AI181))="PIPE"),AND(UPPER(TRIM(B181))="TRENCH",UPPER(TRIM(AI181))="PIPE")),Inputs!$B$56,Inputs!$B$54))</f>
        <v/>
      </c>
      <c r="AL181" s="4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7">
        <f>IF(A182="","",IF(E182="","",IFERROR(INDEX($B$4:$B$204,MATCH(E182,$A$4:$A$204,0)),"")))</f>
        <v/>
      </c>
      <c r="AJ182" s="17">
        <f>IF(A182="","",IF(OR(AND(UPPER(TRIM(B182))="SWALE",UPPER(TRIM(AI182))="PIPE"),AND(UPPER(TRIM(B182))="TRENCH",UPPER(TRIM(AI182))="PIPE")),Inputs!$B$55,0))</f>
        <v/>
      </c>
      <c r="AK182" s="17">
        <f>IF(A182="","",IF(OR(AND(UPPER(TRIM(B182))="SWALE",UPPER(TRIM(AI182))="PIPE"),AND(UPPER(TRIM(B182))="TRENCH",UPPER(TRIM(AI182))="PIPE")),Inputs!$B$56,Inputs!$B$54))</f>
        <v/>
      </c>
      <c r="AL182" s="4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7">
        <f>IF(A183="","",IF(E183="","",IFERROR(INDEX($B$4:$B$204,MATCH(E183,$A$4:$A$204,0)),"")))</f>
        <v/>
      </c>
      <c r="AJ183" s="17">
        <f>IF(A183="","",IF(OR(AND(UPPER(TRIM(B183))="SWALE",UPPER(TRIM(AI183))="PIPE"),AND(UPPER(TRIM(B183))="TRENCH",UPPER(TRIM(AI183))="PIPE")),Inputs!$B$55,0))</f>
        <v/>
      </c>
      <c r="AK183" s="17">
        <f>IF(A183="","",IF(OR(AND(UPPER(TRIM(B183))="SWALE",UPPER(TRIM(AI183))="PIPE"),AND(UPPER(TRIM(B183))="TRENCH",UPPER(TRIM(AI183))="PIPE")),Inputs!$B$56,Inputs!$B$54))</f>
        <v/>
      </c>
      <c r="AL183" s="4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7">
        <f>IF(A184="","",IF(E184="","",IFERROR(INDEX($B$4:$B$204,MATCH(E184,$A$4:$A$204,0)),"")))</f>
        <v/>
      </c>
      <c r="AJ184" s="17">
        <f>IF(A184="","",IF(OR(AND(UPPER(TRIM(B184))="SWALE",UPPER(TRIM(AI184))="PIPE"),AND(UPPER(TRIM(B184))="TRENCH",UPPER(TRIM(AI184))="PIPE")),Inputs!$B$55,0))</f>
        <v/>
      </c>
      <c r="AK184" s="17">
        <f>IF(A184="","",IF(OR(AND(UPPER(TRIM(B184))="SWALE",UPPER(TRIM(AI184))="PIPE"),AND(UPPER(TRIM(B184))="TRENCH",UPPER(TRIM(AI184))="PIPE")),Inputs!$B$56,Inputs!$B$54))</f>
        <v/>
      </c>
      <c r="AL184" s="4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7">
        <f>IF(A185="","",IF(E185="","",IFERROR(INDEX($B$4:$B$204,MATCH(E185,$A$4:$A$204,0)),"")))</f>
        <v/>
      </c>
      <c r="AJ185" s="17">
        <f>IF(A185="","",IF(OR(AND(UPPER(TRIM(B185))="SWALE",UPPER(TRIM(AI185))="PIPE"),AND(UPPER(TRIM(B185))="TRENCH",UPPER(TRIM(AI185))="PIPE")),Inputs!$B$55,0))</f>
        <v/>
      </c>
      <c r="AK185" s="17">
        <f>IF(A185="","",IF(OR(AND(UPPER(TRIM(B185))="SWALE",UPPER(TRIM(AI185))="PIPE"),AND(UPPER(TRIM(B185))="TRENCH",UPPER(TRIM(AI185))="PIPE")),Inputs!$B$56,Inputs!$B$54))</f>
        <v/>
      </c>
      <c r="AL185" s="4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7">
        <f>IF(A186="","",IF(E186="","",IFERROR(INDEX($B$4:$B$204,MATCH(E186,$A$4:$A$204,0)),"")))</f>
        <v/>
      </c>
      <c r="AJ186" s="17">
        <f>IF(A186="","",IF(OR(AND(UPPER(TRIM(B186))="SWALE",UPPER(TRIM(AI186))="PIPE"),AND(UPPER(TRIM(B186))="TRENCH",UPPER(TRIM(AI186))="PIPE")),Inputs!$B$55,0))</f>
        <v/>
      </c>
      <c r="AK186" s="17">
        <f>IF(A186="","",IF(OR(AND(UPPER(TRIM(B186))="SWALE",UPPER(TRIM(AI186))="PIPE"),AND(UPPER(TRIM(B186))="TRENCH",UPPER(TRIM(AI186))="PIPE")),Inputs!$B$56,Inputs!$B$54))</f>
        <v/>
      </c>
      <c r="AL186" s="4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7">
        <f>IF(A187="","",IF(E187="","",IFERROR(INDEX($B$4:$B$204,MATCH(E187,$A$4:$A$204,0)),"")))</f>
        <v/>
      </c>
      <c r="AJ187" s="17">
        <f>IF(A187="","",IF(OR(AND(UPPER(TRIM(B187))="SWALE",UPPER(TRIM(AI187))="PIPE"),AND(UPPER(TRIM(B187))="TRENCH",UPPER(TRIM(AI187))="PIPE")),Inputs!$B$55,0))</f>
        <v/>
      </c>
      <c r="AK187" s="17">
        <f>IF(A187="","",IF(OR(AND(UPPER(TRIM(B187))="SWALE",UPPER(TRIM(AI187))="PIPE"),AND(UPPER(TRIM(B187))="TRENCH",UPPER(TRIM(AI187))="PIPE")),Inputs!$B$56,Inputs!$B$54))</f>
        <v/>
      </c>
      <c r="AL187" s="4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7">
        <f>IF(A188="","",IF(E188="","",IFERROR(INDEX($B$4:$B$204,MATCH(E188,$A$4:$A$204,0)),"")))</f>
        <v/>
      </c>
      <c r="AJ188" s="17">
        <f>IF(A188="","",IF(OR(AND(UPPER(TRIM(B188))="SWALE",UPPER(TRIM(AI188))="PIPE"),AND(UPPER(TRIM(B188))="TRENCH",UPPER(TRIM(AI188))="PIPE")),Inputs!$B$55,0))</f>
        <v/>
      </c>
      <c r="AK188" s="17">
        <f>IF(A188="","",IF(OR(AND(UPPER(TRIM(B188))="SWALE",UPPER(TRIM(AI188))="PIPE"),AND(UPPER(TRIM(B188))="TRENCH",UPPER(TRIM(AI188))="PIPE")),Inputs!$B$56,Inputs!$B$54))</f>
        <v/>
      </c>
      <c r="AL188" s="4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7">
        <f>IF(A189="","",IF(E189="","",IFERROR(INDEX($B$4:$B$204,MATCH(E189,$A$4:$A$204,0)),"")))</f>
        <v/>
      </c>
      <c r="AJ189" s="17">
        <f>IF(A189="","",IF(OR(AND(UPPER(TRIM(B189))="SWALE",UPPER(TRIM(AI189))="PIPE"),AND(UPPER(TRIM(B189))="TRENCH",UPPER(TRIM(AI189))="PIPE")),Inputs!$B$55,0))</f>
        <v/>
      </c>
      <c r="AK189" s="17">
        <f>IF(A189="","",IF(OR(AND(UPPER(TRIM(B189))="SWALE",UPPER(TRIM(AI189))="PIPE"),AND(UPPER(TRIM(B189))="TRENCH",UPPER(TRIM(AI189))="PIPE")),Inputs!$B$56,Inputs!$B$54))</f>
        <v/>
      </c>
      <c r="AL189" s="4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7">
        <f>IF(A190="","",IF(E190="","",IFERROR(INDEX($B$4:$B$204,MATCH(E190,$A$4:$A$204,0)),"")))</f>
        <v/>
      </c>
      <c r="AJ190" s="17">
        <f>IF(A190="","",IF(OR(AND(UPPER(TRIM(B190))="SWALE",UPPER(TRIM(AI190))="PIPE"),AND(UPPER(TRIM(B190))="TRENCH",UPPER(TRIM(AI190))="PIPE")),Inputs!$B$55,0))</f>
        <v/>
      </c>
      <c r="AK190" s="17">
        <f>IF(A190="","",IF(OR(AND(UPPER(TRIM(B190))="SWALE",UPPER(TRIM(AI190))="PIPE"),AND(UPPER(TRIM(B190))="TRENCH",UPPER(TRIM(AI190))="PIPE")),Inputs!$B$56,Inputs!$B$54))</f>
        <v/>
      </c>
      <c r="AL190" s="4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7">
        <f>IF(A191="","",IF(E191="","",IFERROR(INDEX($B$4:$B$204,MATCH(E191,$A$4:$A$204,0)),"")))</f>
        <v/>
      </c>
      <c r="AJ191" s="17">
        <f>IF(A191="","",IF(OR(AND(UPPER(TRIM(B191))="SWALE",UPPER(TRIM(AI191))="PIPE"),AND(UPPER(TRIM(B191))="TRENCH",UPPER(TRIM(AI191))="PIPE")),Inputs!$B$55,0))</f>
        <v/>
      </c>
      <c r="AK191" s="17">
        <f>IF(A191="","",IF(OR(AND(UPPER(TRIM(B191))="SWALE",UPPER(TRIM(AI191))="PIPE"),AND(UPPER(TRIM(B191))="TRENCH",UPPER(TRIM(AI191))="PIPE")),Inputs!$B$56,Inputs!$B$54))</f>
        <v/>
      </c>
      <c r="AL191" s="4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7">
        <f>IF(A192="","",IF(E192="","",IFERROR(INDEX($B$4:$B$204,MATCH(E192,$A$4:$A$204,0)),"")))</f>
        <v/>
      </c>
      <c r="AJ192" s="17">
        <f>IF(A192="","",IF(OR(AND(UPPER(TRIM(B192))="SWALE",UPPER(TRIM(AI192))="PIPE"),AND(UPPER(TRIM(B192))="TRENCH",UPPER(TRIM(AI192))="PIPE")),Inputs!$B$55,0))</f>
        <v/>
      </c>
      <c r="AK192" s="17">
        <f>IF(A192="","",IF(OR(AND(UPPER(TRIM(B192))="SWALE",UPPER(TRIM(AI192))="PIPE"),AND(UPPER(TRIM(B192))="TRENCH",UPPER(TRIM(AI192))="PIPE")),Inputs!$B$56,Inputs!$B$54))</f>
        <v/>
      </c>
      <c r="AL192" s="4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7">
        <f>IF(A193="","",IF(E193="","",IFERROR(INDEX($B$4:$B$204,MATCH(E193,$A$4:$A$204,0)),"")))</f>
        <v/>
      </c>
      <c r="AJ193" s="17">
        <f>IF(A193="","",IF(OR(AND(UPPER(TRIM(B193))="SWALE",UPPER(TRIM(AI193))="PIPE"),AND(UPPER(TRIM(B193))="TRENCH",UPPER(TRIM(AI193))="PIPE")),Inputs!$B$55,0))</f>
        <v/>
      </c>
      <c r="AK193" s="17">
        <f>IF(A193="","",IF(OR(AND(UPPER(TRIM(B193))="SWALE",UPPER(TRIM(AI193))="PIPE"),AND(UPPER(TRIM(B193))="TRENCH",UPPER(TRIM(AI193))="PIPE")),Inputs!$B$56,Inputs!$B$54))</f>
        <v/>
      </c>
      <c r="AL193" s="4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7">
        <f>IF(A194="","",IF(E194="","",IFERROR(INDEX($B$4:$B$204,MATCH(E194,$A$4:$A$204,0)),"")))</f>
        <v/>
      </c>
      <c r="AJ194" s="17">
        <f>IF(A194="","",IF(OR(AND(UPPER(TRIM(B194))="SWALE",UPPER(TRIM(AI194))="PIPE"),AND(UPPER(TRIM(B194))="TRENCH",UPPER(TRIM(AI194))="PIPE")),Inputs!$B$55,0))</f>
        <v/>
      </c>
      <c r="AK194" s="17">
        <f>IF(A194="","",IF(OR(AND(UPPER(TRIM(B194))="SWALE",UPPER(TRIM(AI194))="PIPE"),AND(UPPER(TRIM(B194))="TRENCH",UPPER(TRIM(AI194))="PIPE")),Inputs!$B$56,Inputs!$B$54))</f>
        <v/>
      </c>
      <c r="AL194" s="4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7">
        <f>IF(A195="","",IF(E195="","",IFERROR(INDEX($B$4:$B$204,MATCH(E195,$A$4:$A$204,0)),"")))</f>
        <v/>
      </c>
      <c r="AJ195" s="17">
        <f>IF(A195="","",IF(OR(AND(UPPER(TRIM(B195))="SWALE",UPPER(TRIM(AI195))="PIPE"),AND(UPPER(TRIM(B195))="TRENCH",UPPER(TRIM(AI195))="PIPE")),Inputs!$B$55,0))</f>
        <v/>
      </c>
      <c r="AK195" s="17">
        <f>IF(A195="","",IF(OR(AND(UPPER(TRIM(B195))="SWALE",UPPER(TRIM(AI195))="PIPE"),AND(UPPER(TRIM(B195))="TRENCH",UPPER(TRIM(AI195))="PIPE")),Inputs!$B$56,Inputs!$B$54))</f>
        <v/>
      </c>
      <c r="AL195" s="4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7">
        <f>IF(A196="","",IF(E196="","",IFERROR(INDEX($B$4:$B$204,MATCH(E196,$A$4:$A$204,0)),"")))</f>
        <v/>
      </c>
      <c r="AJ196" s="17">
        <f>IF(A196="","",IF(OR(AND(UPPER(TRIM(B196))="SWALE",UPPER(TRIM(AI196))="PIPE"),AND(UPPER(TRIM(B196))="TRENCH",UPPER(TRIM(AI196))="PIPE")),Inputs!$B$55,0))</f>
        <v/>
      </c>
      <c r="AK196" s="17">
        <f>IF(A196="","",IF(OR(AND(UPPER(TRIM(B196))="SWALE",UPPER(TRIM(AI196))="PIPE"),AND(UPPER(TRIM(B196))="TRENCH",UPPER(TRIM(AI196))="PIPE")),Inputs!$B$56,Inputs!$B$54))</f>
        <v/>
      </c>
      <c r="AL196" s="4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7">
        <f>IF(A197="","",IF(E197="","",IFERROR(INDEX($B$4:$B$204,MATCH(E197,$A$4:$A$204,0)),"")))</f>
        <v/>
      </c>
      <c r="AJ197" s="17">
        <f>IF(A197="","",IF(OR(AND(UPPER(TRIM(B197))="SWALE",UPPER(TRIM(AI197))="PIPE"),AND(UPPER(TRIM(B197))="TRENCH",UPPER(TRIM(AI197))="PIPE")),Inputs!$B$55,0))</f>
        <v/>
      </c>
      <c r="AK197" s="17">
        <f>IF(A197="","",IF(OR(AND(UPPER(TRIM(B197))="SWALE",UPPER(TRIM(AI197))="PIPE"),AND(UPPER(TRIM(B197))="TRENCH",UPPER(TRIM(AI197))="PIPE")),Inputs!$B$56,Inputs!$B$54))</f>
        <v/>
      </c>
      <c r="AL197" s="4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7">
        <f>IF(A198="","",IF(E198="","",IFERROR(INDEX($B$4:$B$204,MATCH(E198,$A$4:$A$204,0)),"")))</f>
        <v/>
      </c>
      <c r="AJ198" s="17">
        <f>IF(A198="","",IF(OR(AND(UPPER(TRIM(B198))="SWALE",UPPER(TRIM(AI198))="PIPE"),AND(UPPER(TRIM(B198))="TRENCH",UPPER(TRIM(AI198))="PIPE")),Inputs!$B$55,0))</f>
        <v/>
      </c>
      <c r="AK198" s="17">
        <f>IF(A198="","",IF(OR(AND(UPPER(TRIM(B198))="SWALE",UPPER(TRIM(AI198))="PIPE"),AND(UPPER(TRIM(B198))="TRENCH",UPPER(TRIM(AI198))="PIPE")),Inputs!$B$56,Inputs!$B$54))</f>
        <v/>
      </c>
      <c r="AL198" s="4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7">
        <f>IF(A199="","",IF(E199="","",IFERROR(INDEX($B$4:$B$204,MATCH(E199,$A$4:$A$204,0)),"")))</f>
        <v/>
      </c>
      <c r="AJ199" s="17">
        <f>IF(A199="","",IF(OR(AND(UPPER(TRIM(B199))="SWALE",UPPER(TRIM(AI199))="PIPE"),AND(UPPER(TRIM(B199))="TRENCH",UPPER(TRIM(AI199))="PIPE")),Inputs!$B$55,0))</f>
        <v/>
      </c>
      <c r="AK199" s="17">
        <f>IF(A199="","",IF(OR(AND(UPPER(TRIM(B199))="SWALE",UPPER(TRIM(AI199))="PIPE"),AND(UPPER(TRIM(B199))="TRENCH",UPPER(TRIM(AI199))="PIPE")),Inputs!$B$56,Inputs!$B$54))</f>
        <v/>
      </c>
      <c r="AL199" s="4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7">
        <f>IF(A200="","",IF(E200="","",IFERROR(INDEX($B$4:$B$204,MATCH(E200,$A$4:$A$204,0)),"")))</f>
        <v/>
      </c>
      <c r="AJ200" s="17">
        <f>IF(A200="","",IF(OR(AND(UPPER(TRIM(B200))="SWALE",UPPER(TRIM(AI200))="PIPE"),AND(UPPER(TRIM(B200))="TRENCH",UPPER(TRIM(AI200))="PIPE")),Inputs!$B$55,0))</f>
        <v/>
      </c>
      <c r="AK200" s="17">
        <f>IF(A200="","",IF(OR(AND(UPPER(TRIM(B200))="SWALE",UPPER(TRIM(AI200))="PIPE"),AND(UPPER(TRIM(B200))="TRENCH",UPPER(TRIM(AI200))="PIPE")),Inputs!$B$56,Inputs!$B$54))</f>
        <v/>
      </c>
      <c r="AL200" s="4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7">
        <f>IF(A201="","",IF(E201="","",IFERROR(INDEX($B$4:$B$204,MATCH(E201,$A$4:$A$204,0)),"")))</f>
        <v/>
      </c>
      <c r="AJ201" s="17">
        <f>IF(A201="","",IF(OR(AND(UPPER(TRIM(B201))="SWALE",UPPER(TRIM(AI201))="PIPE"),AND(UPPER(TRIM(B201))="TRENCH",UPPER(TRIM(AI201))="PIPE")),Inputs!$B$55,0))</f>
        <v/>
      </c>
      <c r="AK201" s="17">
        <f>IF(A201="","",IF(OR(AND(UPPER(TRIM(B201))="SWALE",UPPER(TRIM(AI201))="PIPE"),AND(UPPER(TRIM(B201))="TRENCH",UPPER(TRIM(AI201))="PIPE")),Inputs!$B$56,Inputs!$B$54))</f>
        <v/>
      </c>
      <c r="AL201" s="4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7">
        <f>IF(A202="","",IF(E202="","",IFERROR(INDEX($B$4:$B$204,MATCH(E202,$A$4:$A$204,0)),"")))</f>
        <v/>
      </c>
      <c r="AJ202" s="17">
        <f>IF(A202="","",IF(OR(AND(UPPER(TRIM(B202))="SWALE",UPPER(TRIM(AI202))="PIPE"),AND(UPPER(TRIM(B202))="TRENCH",UPPER(TRIM(AI202))="PIPE")),Inputs!$B$55,0))</f>
        <v/>
      </c>
      <c r="AK202" s="17">
        <f>IF(A202="","",IF(OR(AND(UPPER(TRIM(B202))="SWALE",UPPER(TRIM(AI202))="PIPE"),AND(UPPER(TRIM(B202))="TRENCH",UPPER(TRIM(AI202))="PIPE")),Inputs!$B$56,Inputs!$B$54))</f>
        <v/>
      </c>
      <c r="AL202" s="4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7">
        <f>IF(A203="","",IF(E203="","",IFERROR(INDEX($B$4:$B$204,MATCH(E203,$A$4:$A$204,0)),"")))</f>
        <v/>
      </c>
      <c r="AJ203" s="17">
        <f>IF(A203="","",IF(OR(AND(UPPER(TRIM(B203))="SWALE",UPPER(TRIM(AI203))="PIPE"),AND(UPPER(TRIM(B203))="TRENCH",UPPER(TRIM(AI203))="PIPE")),Inputs!$B$55,0))</f>
        <v/>
      </c>
      <c r="AK203" s="17">
        <f>IF(A203="","",IF(OR(AND(UPPER(TRIM(B203))="SWALE",UPPER(TRIM(AI203))="PIPE"),AND(UPPER(TRIM(B203))="TRENCH",UPPER(TRIM(AI203))="PIPE")),Inputs!$B$56,Inputs!$B$54))</f>
        <v/>
      </c>
      <c r="AL203" s="4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7">
        <f>IF(A204="","",IF(E204="","",IFERROR(INDEX($B$4:$B$204,MATCH(E204,$A$4:$A$204,0)),"")))</f>
        <v/>
      </c>
      <c r="AJ204" s="17">
        <f>IF(A204="","",IF(OR(AND(UPPER(TRIM(B204))="SWALE",UPPER(TRIM(AI204))="PIPE"),AND(UPPER(TRIM(B204))="TRENCH",UPPER(TRIM(AI204))="PIPE")),Inputs!$B$55,0))</f>
        <v/>
      </c>
      <c r="AK204" s="17">
        <f>IF(A204="","",IF(OR(AND(UPPER(TRIM(B204))="SWALE",UPPER(TRIM(AI204))="PIPE"),AND(UPPER(TRIM(B204))="TRENCH",UPPER(TRIM(AI204))="PIPE")),Inputs!$B$56,Inputs!$B$54))</f>
        <v/>
      </c>
      <c r="AL204" s="4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conditionalFormatting sqref="AL4:AL204">
    <cfRule type="expression" priority="6" dxfId="3">
      <formula>=$AL4="CHECK"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Deux entrees au bassin: EST (J-BASSIN-IN) et OUEST (J-BASSIN-OUEST) vers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West connector to basin inlet (m)</t>
        </is>
      </c>
      <c r="B14" s="9">
        <f>Inputs!B53</f>
        <v/>
      </c>
      <c r="C14" s="4" t="inlineStr">
        <is>
          <t>Measured corner link J-OUEST-AVAL -&gt; J-BASSIN-OUEST</t>
        </is>
      </c>
      <c r="D14" s="4" t="n"/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Retention basin corridor width x length (m)</t>
        </is>
      </c>
      <c r="B15" s="9">
        <f>Inputs!B34&amp;" x "&amp;Inputs!B35</f>
        <v/>
      </c>
      <c r="C15" s="4" t="inlineStr">
        <is>
          <t>Storage geometry at node BASSIN-RET (not an E04 reach).</t>
        </is>
      </c>
      <c r="D15" s="4" t="n"/>
      <c r="E15" s="4" t="inlineStr"/>
      <c r="F15" s="18" t="inlineStr">
        <is>
          <t>BASSIN-RET (node)</t>
        </is>
      </c>
      <c r="G15" s="13" t="inlineStr"/>
      <c r="H15" s="4" t="inlineStr">
        <is>
          <t>N/A</t>
        </is>
      </c>
    </row>
    <row r="16">
      <c r="A16" s="4" t="inlineStr">
        <is>
          <t>East inlet pipe length to basin (m)</t>
        </is>
      </c>
      <c r="B16" s="9">
        <f>IFERROR(INDEX(Elements_hybrides!$F$4:$F$204,MATCH("E07",Elements_hybrides!$A$4:$A$204,0)),"")</f>
        <v/>
      </c>
      <c r="C16" s="4" t="inlineStr">
        <is>
          <t>J-BASSIN-IN -&gt; BASSIN-RET</t>
        </is>
      </c>
      <c r="D16" s="4" t="n"/>
      <c r="E16" s="4" t="inlineStr">
        <is>
          <t>E07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A17" s="4" t="inlineStr">
        <is>
          <t>West inlet pipe length to basin (m)</t>
        </is>
      </c>
      <c r="B17" s="4">
        <f>IFERROR(INDEX(Elements_hybrides!$F$4:$F$204,MATCH("E08",Elements_hybrides!$A$4:$A$204,0)),"")</f>
        <v/>
      </c>
      <c r="C17" s="4" t="inlineStr">
        <is>
          <t>J-BASSIN-OUEST -&gt; BASSIN-RET</t>
        </is>
      </c>
      <c r="D17" s="4" t="n"/>
      <c r="E17" s="4" t="inlineStr">
        <is>
          <t>E08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2026-07-05T11:41:40Z</dcterms:modified>
</cp:coreProperties>
</file>