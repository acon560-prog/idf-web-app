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nputs" sheetId="2" state="visible" r:id="rId2"/>
    <sheet name="Zones_tributaires" sheetId="3" state="visible" r:id="rId3"/>
    <sheet name="Elements_hybrides" sheetId="4" state="visible" r:id="rId4"/>
    <sheet name="Noeuds_stockage" sheetId="5" state="visible" r:id="rId5"/>
    <sheet name="Resume_checks" sheetId="6" state="visible" r:id="rId6"/>
    <sheet name="Template_est_2p5m" sheetId="7" state="visible" r:id="rId7"/>
    <sheet name="Convention_labels" sheetId="8" state="visible" r:id="rId8"/>
    <sheet name="Contraintes_ouest_utilites" sheetId="9" state="visible" r:id="rId9"/>
    <sheet name="Dimensionnement_est" sheetId="10" state="visible" r:id="rId10"/>
    <sheet name="Decision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lt;1]0.000;0.00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wrapText="1"/>
    </xf>
    <xf numFmtId="164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2" fillId="6" borderId="0" pivotButton="0" quotePrefix="0" xfId="0"/>
    <xf numFmtId="164" fontId="0" fillId="6" borderId="1" pivotButton="0" quotePrefix="0" xfId="0"/>
    <xf numFmtId="0" fontId="2" fillId="3" borderId="0" pivotButton="0" quotePrefix="0" xfId="0"/>
    <xf numFmtId="164" fontId="0" fillId="0" borderId="1" pivotButton="0" quotePrefix="0" xfId="0"/>
    <xf numFmtId="0" fontId="2" fillId="7" borderId="0" pivotButton="0" quotePrefix="0" xfId="0"/>
    <xf numFmtId="2" fontId="0" fillId="4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DEBF7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DRAINAGE HYBRIDE - TOIT + TRESFOND VERS BASSIN DE RETENTION</t>
        </is>
      </c>
    </row>
    <row r="3">
      <c r="A3" t="inlineStr">
        <is>
          <t>Contrainte cle: pas de conduite/fosse dans le tresfond. Le ruissellement du tresfond est dirige par pente vers les bandes vertes.</t>
        </is>
      </c>
    </row>
    <row r="4">
      <c r="A4" t="inlineStr">
        <is>
          <t>Solution recommandee: systeme hybride (noues/swales + tranchees drainantes localisees + conduites perimetriques hors tresfond).</t>
        </is>
      </c>
    </row>
    <row r="5">
      <c r="A5" t="inlineStr">
        <is>
          <t>2) Bande sud (2.0 m): conduite/collecte vers volume de retention dans le corridor contraint.</t>
        </is>
      </c>
    </row>
    <row r="6">
      <c r="A6" t="inlineStr">
        <is>
          <t>3) Ouest: strategie revisee en conduites (pas de noues) vers E04 puis E08 et bassin.</t>
        </is>
      </c>
    </row>
    <row r="7">
      <c r="A7" t="inlineStr">
        <is>
          <t>Flux de calcul: Zones_tributaires -&gt; Elements_hybrides -&gt; Noeuds_stockage -&gt; verifications capacite/vitesse/volume tampon.</t>
        </is>
      </c>
    </row>
    <row r="8">
      <c r="A8" t="inlineStr">
        <is>
          <t>Les longueurs, pentes, sections et cotes sont pre-remplies comme base; ajuster selon releve topo et contraintes de chantier.</t>
        </is>
      </c>
    </row>
    <row r="9">
      <c r="A9" t="inlineStr">
        <is>
          <t>Types d'element supports: PIPE, SWALE, TRENCH.</t>
        </is>
      </c>
    </row>
    <row r="10">
      <c r="A10" t="inlineStr">
        <is>
          <t>Vitesse controlee selon Inputs!B15: DESIGN (Q/A), MANNING, ou MAX.</t>
        </is>
      </c>
    </row>
    <row r="11">
      <c r="A11" t="inlineStr">
        <is>
          <t>Ce classeur est separe de Reseau_pluvial_reference_method.xlsx (aucun ecrasement).</t>
        </is>
      </c>
    </row>
    <row r="14">
      <c r="A14" s="2" t="inlineStr">
        <is>
          <t>Recommandation d amenagement (optimal):</t>
        </is>
      </c>
    </row>
    <row r="15">
      <c r="A15" t="inlineStr">
        <is>
          <t>1) Collecte toiture vers noue sud (hors tresfond), 2) pente tresfond vers noue est, 3) collecteur final vers BASIN_RET.</t>
        </is>
      </c>
    </row>
    <row r="16">
      <c r="A16" t="inlineStr">
        <is>
          <t>4) Prevoir trop-plein de securite en surface vers bassin pour evenement majeur.</t>
        </is>
      </c>
    </row>
    <row r="17">
      <c r="A17" t="inlineStr">
        <is>
          <t>Mise a jour: bande est 2.5 m avec arbres modelisee en mode tranchee drainante + underdrain (E01/E02).</t>
        </is>
      </c>
    </row>
    <row r="18">
      <c r="A18" t="inlineStr">
        <is>
          <t>Le gabarit de section est dans Template_est_2p5m; micro-noue de surface + underdrain en emprise contrainte.</t>
        </is>
      </c>
    </row>
    <row r="19">
      <c r="A19" t="inlineStr">
        <is>
          <t>Labels harmonises: placeholders remplaces par P-01/P-02/P-03 et jonctions explicites (voir Convention_labels).</t>
        </is>
      </c>
    </row>
    <row r="20">
      <c r="A20" t="inlineStr">
        <is>
          <t>Implantation mise a jour: bassin lineaire dans bande sud 2m + guidance conflits utilites ouest.</t>
        </is>
      </c>
    </row>
    <row r="21">
      <c r="A21" t="inlineStr">
        <is>
          <t>Voir Dimensionnement_est et Contraintes_ouest_utilites pour dimensionnement et implantation recommandee.</t>
        </is>
      </c>
    </row>
    <row r="22">
      <c r="A22" t="inlineStr">
        <is>
          <t>Presentation pass added: row color coding in Elements_hybrides and one-page Decision_Summary tab.</t>
        </is>
      </c>
    </row>
    <row r="23">
      <c r="A23" t="inlineStr">
        <is>
          <t>Mise a jour ouest: sequence grass/pave-uni/grass/pave-uni/grass modelee en E05A..E05E.</t>
        </is>
      </c>
    </row>
    <row r="24">
      <c r="A24" t="inlineStr">
        <is>
          <t>Connexion entre types d elements implementee via AC:AH (controle continuité d invert).</t>
        </is>
      </c>
    </row>
    <row r="25">
      <c r="A25" t="inlineStr">
        <is>
          <t>Geometrie J-OUEST pilotee par cotes plan dans Inputs!B40:B50 (23.58 m total; 11.1 m amont; 2.3 m pave1; 5.1 m pave2).</t>
        </is>
      </c>
    </row>
    <row r="26">
      <c r="A26" t="inlineStr">
        <is>
          <t>E05A/E05C sont repartis proportionnellement aux aires (12.5 vs 27.2 m2); E05E est le solde vers le coin sud-ouest (21.9 m2).</t>
        </is>
      </c>
    </row>
    <row r="27">
      <c r="A27" t="inlineStr">
        <is>
          <t>Clarification labels image: Z08 = pave-uni principal 37.5 m2 (entre Z05 et Z06).</t>
        </is>
      </c>
    </row>
    <row r="28">
      <c r="A28" t="inlineStr">
        <is>
          <t>Zone ajoutee: Z13 = tresfond haut central (aire via Inputs!B51, route E01).</t>
        </is>
      </c>
    </row>
    <row r="29">
      <c r="A29" t="inlineStr">
        <is>
          <t>Correction topologie: E03 (P-03-&gt;J-BASSIN-IN) = 16.1 m; E04 = 20 m (J-OUEST-AVAL-&gt;J-BASSIN-IN).</t>
        </is>
      </c>
    </row>
    <row r="30">
      <c r="A30" t="inlineStr">
        <is>
          <t>E04 ne superpose plus E03; E06 desactive pour eviter double chemin parallelle.</t>
        </is>
      </c>
    </row>
    <row r="31">
      <c r="A31" t="inlineStr">
        <is>
          <t>Z09 est defini BASIN (empreinte bassin), non contributif par defaut (Inputs!B52=NO).</t>
        </is>
      </c>
    </row>
    <row r="32">
      <c r="A32" t="inlineStr">
        <is>
          <t>Bassin retention longueur mise a 20 m (Inputs!B35) selon releve plan.</t>
        </is>
      </c>
    </row>
    <row r="33">
      <c r="A33" t="inlineStr">
        <is>
          <t>Deux entrees bassin implementees: EST via E03-&gt;E07 et OUEST via E04-&gt;E08.</t>
        </is>
      </c>
    </row>
    <row r="34">
      <c r="A34" t="inlineStr">
        <is>
          <t>E04 corrige a 4.7 m (J-OUEST-AVAL -&gt; J-BASSIN-OUEST), sans superposition avec E03.</t>
        </is>
      </c>
    </row>
    <row r="35">
      <c r="A35" t="inlineStr">
        <is>
          <t>Traverses pave-uni ouest conservees en caniveau + conduite (E05B, E05D).</t>
        </is>
      </c>
    </row>
    <row r="36">
      <c r="A36" t="inlineStr">
        <is>
          <t>Principe invert: fond swale a l'entree doit rester au-dessus de l'invert du tuyau d'entree + chute locale (drop).</t>
        </is>
      </c>
    </row>
    <row r="37">
      <c r="A37" t="inlineStr">
        <is>
          <t>Nouveau controle de chute: Inputs!B54:B56 definissent tolerance et plage de drop SWALE/TRENCH -&gt; PIPE.</t>
        </is>
      </c>
    </row>
    <row r="38">
      <c r="A38" t="inlineStr">
        <is>
          <t>Elements_hybrides: AI (type aval), AJ/AK (plage de drop), AL (Drop_check_status).</t>
        </is>
      </c>
    </row>
    <row r="39">
      <c r="A39" t="inlineStr">
        <is>
          <t>Pour une entree bassin depuis noue/tranchee, viser AG autour de Inputs!B57 (ex. 0.10 m).</t>
        </is>
      </c>
    </row>
    <row r="40">
      <c r="A40" t="inlineStr">
        <is>
          <t>Si AL=CHECK: ajuster invert aval/amont (AC override ou pente/longueur) ou ajouter ouvrage de chute.</t>
        </is>
      </c>
    </row>
    <row r="41">
      <c r="A41" t="inlineStr">
        <is>
          <t>Types de surface mis a jour: PAVAGE ajoute explicitement (Inputs!B58) et applique a Z07/Z08/Z10/Z12.</t>
        </is>
      </c>
    </row>
    <row r="42">
      <c r="A42" t="inlineStr">
        <is>
          <t>Z13 supprime de la configuration active (ligne vide).</t>
        </is>
      </c>
    </row>
    <row r="43">
      <c r="A43" t="inlineStr">
        <is>
          <t>Raccord SWALE/TRENCH -&gt; PIPE: AD applique automatiquement une chute cible Inputs!B57 (si pas d'override AC).</t>
        </is>
      </c>
    </row>
    <row r="44">
      <c r="A44" t="inlineStr">
        <is>
          <t>Cela represente un raccord via regard/caniveau: fond noue plus haut que l'invert de conduite aval.</t>
        </is>
      </c>
    </row>
    <row r="45">
      <c r="A45" t="inlineStr">
        <is>
          <t>Tc automatise dans Zones_tributaires: Tc_used = (Tc base override L ou Default_tc_min) + temps transit element route.</t>
        </is>
      </c>
    </row>
    <row r="46">
      <c r="A46" t="inlineStr">
        <is>
          <t>Temps transit = Longueur element route / (Inputs!B59 * 60).</t>
        </is>
      </c>
    </row>
    <row r="47">
      <c r="A47" t="inlineStr">
        <is>
          <t>Inputs!B59 est une vitesse adoptee (pas la vitesse calculee hydraulique) pour eviter references circulaires.</t>
        </is>
      </c>
    </row>
    <row r="48">
      <c r="A48" t="inlineStr">
        <is>
          <t>Important: un ecoulement gravitaire ne peut pas remonter de la conduite vers une noue plus haute sans pompage.</t>
        </is>
      </c>
    </row>
    <row r="49">
      <c r="A49" t="inlineStr">
        <is>
          <t>Condition pratique PIPE-&gt;SWALE: radier sortie conduite &gt;= fond noue aval (ou tres legerement au-dessus), sinon CHECK.</t>
        </is>
      </c>
    </row>
    <row r="50">
      <c r="A50" t="inlineStr">
        <is>
          <t>Le regard/ouvrage de sortie sert a dissiper/organiser la transition, pas a "lever" l eau par gravite.</t>
        </is>
      </c>
    </row>
    <row r="51">
      <c r="A51" t="inlineStr">
        <is>
          <t>Strategie ouest revisee: traverses pave-uni traitees en caniveaux de surface (E05B, E05D), pas en conduites enterrees.</t>
        </is>
      </c>
    </row>
    <row r="52">
      <c r="A52" t="inlineStr">
        <is>
          <t>Objectif: eviter cas pipe profond -&gt; noue aval plus haute, et garder un profil gravitaire lisible.</t>
        </is>
      </c>
    </row>
    <row r="53">
      <c r="A53" t="inlineStr">
        <is>
          <t>Changement concept: zone grise est (tresfond) drainee vers puisards et reseau interne mecanique jusqu'a sortie sud pres bassin (E09).</t>
        </is>
      </c>
    </row>
    <row r="54">
      <c r="A54" t="inlineStr">
        <is>
          <t>Resume surfaces disponibles dans Decision_Summary (A34:B37) et Resume_checks (B10:B12).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70" customWidth="1" min="4" max="4"/>
    <col width="20" customWidth="1" min="5" max="5"/>
    <col width="20" customWidth="1" min="6" max="6"/>
  </cols>
  <sheetData>
    <row r="1">
      <c r="A1" s="1" t="inlineStr">
        <is>
          <t>INPUTS - PARAMETRES HYDRAULIQUES</t>
        </is>
      </c>
    </row>
    <row r="2">
      <c r="A2" s="3" t="inlineStr">
        <is>
          <t>Parametre</t>
        </is>
      </c>
      <c r="B2" s="3" t="inlineStr">
        <is>
          <t>Valeur</t>
        </is>
      </c>
      <c r="C2" s="3" t="inlineStr">
        <is>
          <t>Unite</t>
        </is>
      </c>
      <c r="D2" s="3" t="inlineStr">
        <is>
          <t>Note</t>
        </is>
      </c>
    </row>
    <row r="3">
      <c r="A3" s="4" t="inlineStr">
        <is>
          <t>IDF_a</t>
        </is>
      </c>
      <c r="B3" s="5" t="n">
        <v>7423.67</v>
      </c>
      <c r="C3" s="4" t="inlineStr">
        <is>
          <t>-</t>
        </is>
      </c>
      <c r="D3" s="4" t="inlineStr">
        <is>
          <t>i = a/(tc+b)^c</t>
        </is>
      </c>
    </row>
    <row r="4">
      <c r="A4" s="4" t="inlineStr">
        <is>
          <t>IDF_b</t>
        </is>
      </c>
      <c r="B4" s="5" t="n">
        <v>33.5</v>
      </c>
      <c r="C4" s="4" t="inlineStr">
        <is>
          <t>min</t>
        </is>
      </c>
      <c r="D4" s="4" t="inlineStr">
        <is>
          <t>Parametre IDF b</t>
        </is>
      </c>
    </row>
    <row r="5">
      <c r="A5" s="4" t="inlineStr">
        <is>
          <t>IDF_c</t>
        </is>
      </c>
      <c r="B5" s="5" t="n">
        <v>1.148</v>
      </c>
      <c r="C5" s="4" t="inlineStr">
        <is>
          <t>-</t>
        </is>
      </c>
      <c r="D5" s="4" t="inlineStr">
        <is>
          <t>Parametre IDF c</t>
        </is>
      </c>
    </row>
    <row r="6">
      <c r="A6" s="4" t="inlineStr">
        <is>
          <t>Flow_safety_factor</t>
        </is>
      </c>
      <c r="B6" s="5" t="n">
        <v>1.1</v>
      </c>
      <c r="C6" s="4" t="inlineStr">
        <is>
          <t>-</t>
        </is>
      </c>
      <c r="D6" s="4" t="inlineStr">
        <is>
          <t>Facteur de securite sur debit element</t>
        </is>
      </c>
    </row>
    <row r="7">
      <c r="A7" s="4" t="inlineStr">
        <is>
          <t>n_pipe_default</t>
        </is>
      </c>
      <c r="B7" s="5" t="n">
        <v>0.013</v>
      </c>
      <c r="C7" s="4" t="inlineStr">
        <is>
          <t>-</t>
        </is>
      </c>
      <c r="D7" s="4" t="inlineStr">
        <is>
          <t>Manning conduite</t>
        </is>
      </c>
    </row>
    <row r="8">
      <c r="A8" s="4" t="inlineStr">
        <is>
          <t>n_swale_default</t>
        </is>
      </c>
      <c r="B8" s="5" t="n">
        <v>0.03</v>
      </c>
      <c r="C8" s="4" t="inlineStr">
        <is>
          <t>-</t>
        </is>
      </c>
      <c r="D8" s="4" t="inlineStr">
        <is>
          <t>Manning noue vegetee</t>
        </is>
      </c>
    </row>
    <row r="9">
      <c r="A9" s="4" t="inlineStr">
        <is>
          <t>n_trench_default</t>
        </is>
      </c>
      <c r="B9" s="5" t="n">
        <v>0.028</v>
      </c>
      <c r="C9" s="4" t="inlineStr">
        <is>
          <t>-</t>
        </is>
      </c>
      <c r="D9" s="4" t="inlineStr">
        <is>
          <t>Manning tranchee drainante ouverte</t>
        </is>
      </c>
    </row>
    <row r="10">
      <c r="A10" s="4" t="inlineStr">
        <is>
          <t>C_roof</t>
        </is>
      </c>
      <c r="B10" s="5" t="n">
        <v>0.95</v>
      </c>
      <c r="C10" s="4" t="inlineStr">
        <is>
          <t>-</t>
        </is>
      </c>
      <c r="D10" s="4" t="inlineStr">
        <is>
          <t>Coef ruissellement toiture</t>
        </is>
      </c>
    </row>
    <row r="11">
      <c r="A11" s="4" t="inlineStr">
        <is>
          <t>C_tresfond</t>
        </is>
      </c>
      <c r="B11" s="5" t="n">
        <v>0.85</v>
      </c>
      <c r="C11" s="4" t="inlineStr">
        <is>
          <t>-</t>
        </is>
      </c>
      <c r="D11" s="4" t="inlineStr">
        <is>
          <t>Coef ruissellement surface impermeable tresfond</t>
        </is>
      </c>
    </row>
    <row r="12">
      <c r="A12" s="4" t="inlineStr">
        <is>
          <t>C_grass</t>
        </is>
      </c>
      <c r="B12" s="5" t="n">
        <v>0.25</v>
      </c>
      <c r="C12" s="4" t="inlineStr">
        <is>
          <t>-</t>
        </is>
      </c>
      <c r="D12" s="4" t="inlineStr">
        <is>
          <t>Coef ruissellement gazon</t>
        </is>
      </c>
    </row>
    <row r="13">
      <c r="A13" s="4" t="inlineStr">
        <is>
          <t>C_other</t>
        </is>
      </c>
      <c r="B13" s="5" t="n">
        <v>0.6</v>
      </c>
      <c r="C13" s="4" t="inlineStr">
        <is>
          <t>-</t>
        </is>
      </c>
      <c r="D13" s="4" t="inlineStr">
        <is>
          <t>Coef autre surface</t>
        </is>
      </c>
    </row>
    <row r="14">
      <c r="A14" s="4" t="inlineStr">
        <is>
          <t>Default_tc_min</t>
        </is>
      </c>
      <c r="B14" s="5" t="n">
        <v>7</v>
      </c>
      <c r="C14" s="4" t="inlineStr">
        <is>
          <t>min</t>
        </is>
      </c>
      <c r="D14" s="4" t="inlineStr">
        <is>
          <t>Tc si non saisi zone</t>
        </is>
      </c>
    </row>
    <row r="15">
      <c r="A15" s="4" t="inlineStr">
        <is>
          <t>Velocity_check_method (DESIGN/MANNING/MAX)</t>
        </is>
      </c>
      <c r="B15" s="5" t="inlineStr">
        <is>
          <t>MAX</t>
        </is>
      </c>
      <c r="C15" s="4" t="inlineStr">
        <is>
          <t>-</t>
        </is>
      </c>
      <c r="D15" s="4" t="inlineStr">
        <is>
          <t>Critere vitesse pour CHECK</t>
        </is>
      </c>
    </row>
    <row r="16">
      <c r="A16" s="4" t="inlineStr">
        <is>
          <t>Min_velocity_mps</t>
        </is>
      </c>
      <c r="B16" s="5" t="n">
        <v>0.75</v>
      </c>
      <c r="C16" s="4" t="inlineStr">
        <is>
          <t>m/s</t>
        </is>
      </c>
      <c r="D16" s="4" t="inlineStr">
        <is>
          <t>Seuil auto-curage</t>
        </is>
      </c>
    </row>
    <row r="17">
      <c r="A17" s="4" t="inlineStr">
        <is>
          <t>Max_velocity_mps</t>
        </is>
      </c>
      <c r="B17" s="5" t="n">
        <v>3</v>
      </c>
      <c r="C17" s="4" t="inlineStr">
        <is>
          <t>m/s</t>
        </is>
      </c>
      <c r="D17" s="4" t="inlineStr">
        <is>
          <t>Seuil erosion</t>
        </is>
      </c>
    </row>
    <row r="18">
      <c r="A18" s="4" t="inlineStr">
        <is>
          <t>Min_slope_m_per_m</t>
        </is>
      </c>
      <c r="B18" s="5" t="n">
        <v>0.003</v>
      </c>
      <c r="C18" s="4" t="inlineStr">
        <is>
          <t>m/m</t>
        </is>
      </c>
      <c r="D18" s="4" t="inlineStr">
        <is>
          <t>Pente min de controle</t>
        </is>
      </c>
    </row>
    <row r="19">
      <c r="A19" s="4" t="inlineStr">
        <is>
          <t>Fill_ratio_limit</t>
        </is>
      </c>
      <c r="B19" s="5" t="n">
        <v>0.8</v>
      </c>
      <c r="C19" s="4" t="inlineStr">
        <is>
          <t>-</t>
        </is>
      </c>
      <c r="D19" s="4" t="inlineStr">
        <is>
          <t>Q_design/Q_capacity max</t>
        </is>
      </c>
    </row>
    <row r="20">
      <c r="A20" s="4" t="inlineStr">
        <is>
          <t>Default_side_slope_zH1V</t>
        </is>
      </c>
      <c r="B20" s="5" t="n">
        <v>3</v>
      </c>
      <c r="C20" s="4" t="inlineStr">
        <is>
          <t>-</t>
        </is>
      </c>
      <c r="D20" s="4" t="inlineStr">
        <is>
          <t>Noue/tranchee trapezoidale</t>
        </is>
      </c>
    </row>
    <row r="21">
      <c r="A21" s="4" t="inlineStr">
        <is>
          <t>Default_flow_depth_m</t>
        </is>
      </c>
      <c r="B21" s="5" t="n">
        <v>0.3</v>
      </c>
      <c r="C21" s="4" t="inlineStr">
        <is>
          <t>m</t>
        </is>
      </c>
      <c r="D21" s="4" t="inlineStr">
        <is>
          <t>Profondeur ecoulement initiale</t>
        </is>
      </c>
    </row>
    <row r="22">
      <c r="A22" s="4" t="inlineStr">
        <is>
          <t>Trench_porosity_default</t>
        </is>
      </c>
      <c r="B22" s="5" t="n">
        <v>0.35</v>
      </c>
      <c r="C22" s="4" t="inlineStr">
        <is>
          <t>-</t>
        </is>
      </c>
      <c r="D22" s="4" t="inlineStr">
        <is>
          <t>Porosite utile stockage</t>
        </is>
      </c>
    </row>
    <row r="23">
      <c r="A23" s="4" t="inlineStr">
        <is>
          <t>Node_buffer_time_min</t>
        </is>
      </c>
      <c r="B23" s="5" t="n">
        <v>15</v>
      </c>
      <c r="C23" s="4" t="inlineStr">
        <is>
          <t>min</t>
        </is>
      </c>
      <c r="D23" s="4" t="inlineStr">
        <is>
          <t>Volume tampon noeud = Qin*temps</t>
        </is>
      </c>
    </row>
    <row r="24">
      <c r="A24" s="4" t="inlineStr">
        <is>
          <t>East_strip_total_width_m</t>
        </is>
      </c>
      <c r="B24" s="5" t="n">
        <v>2.5</v>
      </c>
      <c r="C24" s="4" t="inlineStr">
        <is>
          <t>m</t>
        </is>
      </c>
      <c r="D24" s="4" t="inlineStr">
        <is>
          <t>Largeur bande verte est disponible.</t>
        </is>
      </c>
    </row>
    <row r="25">
      <c r="A25" s="4" t="inlineStr">
        <is>
          <t>East_surface_depression_width_m</t>
        </is>
      </c>
      <c r="B25" s="5" t="n">
        <v>0.6</v>
      </c>
      <c r="C25" s="4" t="inlineStr">
        <is>
          <t>m</t>
        </is>
      </c>
      <c r="D25" s="4" t="inlineStr">
        <is>
          <t>Largeur depression superficielle.</t>
        </is>
      </c>
    </row>
    <row r="26">
      <c r="A26" s="4" t="inlineStr">
        <is>
          <t>East_surface_depression_depth_m</t>
        </is>
      </c>
      <c r="B26" s="5" t="n">
        <v>0.1</v>
      </c>
      <c r="C26" s="4" t="inlineStr">
        <is>
          <t>m</t>
        </is>
      </c>
      <c r="D26" s="4" t="inlineStr">
        <is>
          <t>Profondeur depression de surface.</t>
        </is>
      </c>
    </row>
    <row r="27">
      <c r="A27" s="4" t="inlineStr">
        <is>
          <t>East_tree_soil_zone_width_m</t>
        </is>
      </c>
      <c r="B27" s="5" t="n">
        <v>1.1</v>
      </c>
      <c r="C27" s="4" t="inlineStr">
        <is>
          <t>m</t>
        </is>
      </c>
      <c r="D27" s="4" t="inlineStr">
        <is>
          <t>Zone sol vegetal / arbres.</t>
        </is>
      </c>
    </row>
    <row r="28">
      <c r="A28" s="4" t="inlineStr">
        <is>
          <t>East_underdrain_trench_width_m</t>
        </is>
      </c>
      <c r="B28" s="5" t="n">
        <v>0.35</v>
      </c>
      <c r="C28" s="4" t="inlineStr">
        <is>
          <t>m</t>
        </is>
      </c>
      <c r="D28" s="4" t="inlineStr">
        <is>
          <t>Largeur tranchee drainante.</t>
        </is>
      </c>
    </row>
    <row r="29">
      <c r="A29" s="4" t="inlineStr">
        <is>
          <t>East_underdrain_trench_depth_m</t>
        </is>
      </c>
      <c r="B29" s="5" t="n">
        <v>0.7</v>
      </c>
      <c r="C29" s="4" t="inlineStr">
        <is>
          <t>m</t>
        </is>
      </c>
      <c r="D29" s="4" t="inlineStr">
        <is>
          <t>Profondeur tranchee drainante.</t>
        </is>
      </c>
    </row>
    <row r="30">
      <c r="A30" s="4" t="inlineStr">
        <is>
          <t>East_underdrain_pipe_diameter_mm</t>
        </is>
      </c>
      <c r="B30" s="5" t="n">
        <v>200</v>
      </c>
      <c r="C30" s="4" t="inlineStr">
        <is>
          <t>mm</t>
        </is>
      </c>
      <c r="D30" s="4" t="inlineStr">
        <is>
          <t>Diametre perforé recommandé.</t>
        </is>
      </c>
    </row>
    <row r="31">
      <c r="A31" s="4" t="inlineStr">
        <is>
          <t>East_root_barrier_offset_m</t>
        </is>
      </c>
      <c r="B31" s="5" t="n">
        <v>1</v>
      </c>
      <c r="C31" s="4" t="inlineStr">
        <is>
          <t>m</t>
        </is>
      </c>
      <c r="D31" s="4" t="inlineStr">
        <is>
          <t>Distance cible entre conduite et tronc.</t>
        </is>
      </c>
    </row>
    <row r="32">
      <c r="A32" s="4" t="inlineStr">
        <is>
          <t>East_cleanout_spacing_m</t>
        </is>
      </c>
      <c r="B32" s="5" t="n">
        <v>25</v>
      </c>
      <c r="C32" s="4" t="inlineStr">
        <is>
          <t>m</t>
        </is>
      </c>
      <c r="D32" s="4" t="inlineStr">
        <is>
          <t>Espacement regards/cleanouts.</t>
        </is>
      </c>
    </row>
    <row r="33">
      <c r="A33" s="4" t="inlineStr">
        <is>
          <t>East_underdrain_slope_m_per_m</t>
        </is>
      </c>
      <c r="B33" s="5" t="n">
        <v>0.008</v>
      </c>
      <c r="C33" s="4" t="inlineStr">
        <is>
          <t>m/m</t>
        </is>
      </c>
      <c r="D33" s="4" t="inlineStr">
        <is>
          <t>Pente longitudinale de l underdrain.</t>
        </is>
      </c>
    </row>
    <row r="34">
      <c r="A34" s="4" t="inlineStr">
        <is>
          <t>Basin_corridor_width_m</t>
        </is>
      </c>
      <c r="B34" s="5" t="n">
        <v>2</v>
      </c>
      <c r="C34" s="4" t="inlineStr">
        <is>
          <t>m</t>
        </is>
      </c>
      <c r="D34" s="4" t="inlineStr">
        <is>
          <t>Largeur disponible entre batiment et cheminement pieton sud.</t>
        </is>
      </c>
    </row>
    <row r="35">
      <c r="A35" s="4" t="inlineStr">
        <is>
          <t>Basin_corridor_length_m</t>
        </is>
      </c>
      <c r="B35" s="5" t="n">
        <v>20</v>
      </c>
      <c r="C35" s="4" t="inlineStr">
        <is>
          <t>m</t>
        </is>
      </c>
      <c r="D35" s="4" t="inlineStr">
        <is>
          <t>Longueur bassin retention (plan utilisateur) - remplace valeur preliminaire 29.4 m.</t>
        </is>
      </c>
    </row>
    <row r="36">
      <c r="A36" s="4" t="inlineStr">
        <is>
          <t>Basin_target_depth_m</t>
        </is>
      </c>
      <c r="B36" s="5" t="n">
        <v>0.8</v>
      </c>
      <c r="C36" s="4" t="inlineStr">
        <is>
          <t>m</t>
        </is>
      </c>
      <c r="D36" s="4" t="inlineStr">
        <is>
          <t>Profondeur cible bassin de retention lineaire.</t>
        </is>
      </c>
    </row>
    <row r="37">
      <c r="A37" s="4" t="inlineStr">
        <is>
          <t>Basin_ret_top_level_m</t>
        </is>
      </c>
      <c r="B37" s="5" t="n">
        <v>102</v>
      </c>
      <c r="C37" s="4" t="inlineStr">
        <is>
          <t>m</t>
        </is>
      </c>
      <c r="D37" s="4" t="inlineStr">
        <is>
          <t>Niveau de reference du bassin (a ajuster avec topographie).</t>
        </is>
      </c>
    </row>
    <row r="38">
      <c r="A38" s="4" t="inlineStr">
        <is>
          <t>Basin_ret_invert_m</t>
        </is>
      </c>
      <c r="B38" s="5">
        <f>B37-B36</f>
        <v/>
      </c>
      <c r="C38" s="4" t="inlineStr">
        <is>
          <t>m</t>
        </is>
      </c>
      <c r="D38" s="4" t="inlineStr">
        <is>
          <t>Radier bassin lineaire (derive).</t>
        </is>
      </c>
    </row>
    <row r="39">
      <c r="A39" s="4" t="inlineStr">
        <is>
          <t>Max_cover_near_utilities_m</t>
        </is>
      </c>
      <c r="B39" s="5" t="n">
        <v>1.2</v>
      </c>
      <c r="C39" s="4" t="inlineStr">
        <is>
          <t>m</t>
        </is>
      </c>
      <c r="D39" s="4" t="inlineStr">
        <is>
          <t>Profondeur max recommandee dans zone lateraux ouest (approche conservatrice).</t>
        </is>
      </c>
    </row>
    <row r="40">
      <c r="A40" s="3" t="inlineStr">
        <is>
          <t>West_chain_total_m</t>
        </is>
      </c>
      <c r="B40" s="5" t="n">
        <v>23.58</v>
      </c>
      <c r="C40" s="4" t="inlineStr">
        <is>
          <t>m</t>
        </is>
      </c>
      <c r="D40" s="4" t="inlineStr">
        <is>
          <t>Somme E05A..E05E (chaine J-OUEST).</t>
        </is>
      </c>
    </row>
    <row r="41">
      <c r="A41" s="3" t="inlineStr">
        <is>
          <t>West_amont_to_PU2_chain_m</t>
        </is>
      </c>
      <c r="B41" s="5" t="n">
        <v>11.1</v>
      </c>
      <c r="C41" s="4" t="inlineStr">
        <is>
          <t>m</t>
        </is>
      </c>
      <c r="D41" s="4" t="inlineStr">
        <is>
          <t>Cote plan visible (J-OUEST-AMONT jusqu'a fin zone amont avant troncon pave inferieur).</t>
        </is>
      </c>
    </row>
    <row r="42">
      <c r="A42" s="3" t="inlineStr">
        <is>
          <t>West_pave1_short_span_m</t>
        </is>
      </c>
      <c r="B42" s="5" t="n">
        <v>2.3</v>
      </c>
      <c r="C42" s="4" t="inlineStr">
        <is>
          <t>m</t>
        </is>
      </c>
      <c r="D42" s="4" t="inlineStr">
        <is>
          <t>Traverse pave-uni courte (amont).</t>
        </is>
      </c>
    </row>
    <row r="43">
      <c r="A43" s="3" t="inlineStr">
        <is>
          <t>West_pave2_span_m</t>
        </is>
      </c>
      <c r="B43" s="5" t="n">
        <v>5.1</v>
      </c>
      <c r="C43" s="4" t="inlineStr">
        <is>
          <t>m</t>
        </is>
      </c>
      <c r="D43" s="4" t="inlineStr">
        <is>
          <t>Traverse pave-uni inferieure (cote plan visible).</t>
        </is>
      </c>
    </row>
    <row r="44">
      <c r="A44" s="3" t="inlineStr">
        <is>
          <t>West_grass1_area_m2</t>
        </is>
      </c>
      <c r="B44" s="5" t="n">
        <v>12.5</v>
      </c>
      <c r="C44" s="4" t="inlineStr">
        <is>
          <t>m2</t>
        </is>
      </c>
      <c r="D44" s="4" t="inlineStr">
        <is>
          <t>Aire zone gazon 1 (image).</t>
        </is>
      </c>
    </row>
    <row r="45">
      <c r="A45" s="3" t="inlineStr">
        <is>
          <t>West_grass2_area_m2</t>
        </is>
      </c>
      <c r="B45" s="5" t="n">
        <v>27.2</v>
      </c>
      <c r="C45" s="4" t="inlineStr">
        <is>
          <t>m2</t>
        </is>
      </c>
      <c r="D45" s="4" t="inlineStr">
        <is>
          <t>Aire zone gazon 2 (image).</t>
        </is>
      </c>
    </row>
    <row r="46">
      <c r="A46" s="3" t="inlineStr">
        <is>
          <t>West_grass3_area_m2</t>
        </is>
      </c>
      <c r="B46" s="5" t="n">
        <v>21.9</v>
      </c>
      <c r="C46" s="4" t="inlineStr">
        <is>
          <t>m2</t>
        </is>
      </c>
      <c r="D46" s="4" t="inlineStr">
        <is>
          <t>Aire zone gazon 3 (image).</t>
        </is>
      </c>
    </row>
    <row r="47">
      <c r="A47" s="3" t="inlineStr">
        <is>
          <t>West_grass12_total_m</t>
        </is>
      </c>
      <c r="B47" s="9">
        <f>B41-B42</f>
        <v/>
      </c>
      <c r="C47" s="4" t="inlineStr">
        <is>
          <t>m</t>
        </is>
      </c>
      <c r="D47" s="4" t="inlineStr">
        <is>
          <t>Longueur gazon amont+milieu (derivee).</t>
        </is>
      </c>
    </row>
    <row r="48">
      <c r="A48" s="3" t="inlineStr">
        <is>
          <t>West_grass1_len_m</t>
        </is>
      </c>
      <c r="B48" s="9">
        <f>IFERROR(B47*B44/(B44+B45),"")</f>
        <v/>
      </c>
      <c r="C48" s="4" t="inlineStr">
        <is>
          <t>m</t>
        </is>
      </c>
      <c r="D48" s="4" t="inlineStr">
        <is>
          <t>Longueur E05A (repartition proportionnelle).</t>
        </is>
      </c>
    </row>
    <row r="49">
      <c r="A49" s="3" t="inlineStr">
        <is>
          <t>West_grass2_len_m</t>
        </is>
      </c>
      <c r="B49" s="9">
        <f>IFERROR(B47*B45/(B44+B45),"")</f>
        <v/>
      </c>
      <c r="C49" s="4" t="inlineStr">
        <is>
          <t>m</t>
        </is>
      </c>
      <c r="D49" s="4" t="inlineStr">
        <is>
          <t>Longueur E05C (repartition proportionnelle).</t>
        </is>
      </c>
    </row>
    <row r="50">
      <c r="A50" s="3" t="inlineStr">
        <is>
          <t>West_grass3_len_m</t>
        </is>
      </c>
      <c r="B50" s="9">
        <f>B40-B41-B43</f>
        <v/>
      </c>
      <c r="C50" s="4" t="inlineStr">
        <is>
          <t>m</t>
        </is>
      </c>
      <c r="D50" s="4" t="inlineStr">
        <is>
          <t>Longueur E05E (solde vers coin sud-ouest).</t>
        </is>
      </c>
    </row>
    <row r="51">
      <c r="A51" s="3" t="inlineStr">
        <is>
          <t>Top_central_tresfond_area_m2</t>
        </is>
      </c>
      <c r="B51" s="5" t="n">
        <v>0</v>
      </c>
      <c r="C51" s="4" t="inlineStr">
        <is>
          <t>m2</t>
        </is>
      </c>
      <c r="D51" s="4" t="inlineStr">
        <is>
          <t>A renseigner depuis plan releve. Zone tresfond bande haute centrale.</t>
        </is>
      </c>
    </row>
    <row r="52">
      <c r="A52" s="3" t="inlineStr">
        <is>
          <t>Include_basin_footprint_runoff (YES/NO)</t>
        </is>
      </c>
      <c r="B52" s="5" t="inlineStr">
        <is>
          <t>NO</t>
        </is>
      </c>
      <c r="C52" s="4" t="inlineStr">
        <is>
          <t>-</t>
        </is>
      </c>
      <c r="D52" s="4" t="inlineStr">
        <is>
          <t>NO recommande: empreinte bassin n'est pas contributive au bassin lui-meme.</t>
        </is>
      </c>
    </row>
    <row r="53">
      <c r="A53" s="3" t="inlineStr">
        <is>
          <t>West_swale_to_basin_inlet_m</t>
        </is>
      </c>
      <c r="B53" s="5" t="n">
        <v>4.7</v>
      </c>
      <c r="C53" s="4" t="inlineStr">
        <is>
          <t>m</t>
        </is>
      </c>
      <c r="D53" s="4" t="inlineStr">
        <is>
          <t>Distance mesuree J-OUEST-AVAL -&gt; entree ouest bassin (image utilisateur).</t>
        </is>
      </c>
    </row>
    <row r="54">
      <c r="A54" s="3" t="inlineStr">
        <is>
          <t>Connection_equal_tolerance_m</t>
        </is>
      </c>
      <c r="B54" s="16" t="n">
        <v>0.01</v>
      </c>
      <c r="C54" s="4" t="inlineStr">
        <is>
          <t>m</t>
        </is>
      </c>
      <c r="D54" s="4" t="inlineStr">
        <is>
          <t>Tolerance pour raccord sans chute (PIPE-&gt;PIPE ou SWALE-&gt;SWALE).</t>
        </is>
      </c>
    </row>
    <row r="55">
      <c r="A55" s="3" t="inlineStr">
        <is>
          <t>Drop_min_swale_trench_to_pipe_m</t>
        </is>
      </c>
      <c r="B55" s="16" t="n">
        <v>0.05</v>
      </c>
      <c r="C55" s="4" t="inlineStr">
        <is>
          <t>m</t>
        </is>
      </c>
      <c r="D55" s="4" t="inlineStr">
        <is>
          <t>Chute minimale recommandee pour SWALE/TRENCH vers PIPE.</t>
        </is>
      </c>
    </row>
    <row r="56">
      <c r="A56" s="3" t="inlineStr">
        <is>
          <t>Drop_max_swale_trench_to_pipe_m</t>
        </is>
      </c>
      <c r="B56" s="16" t="n">
        <v>0.3</v>
      </c>
      <c r="C56" s="4" t="inlineStr">
        <is>
          <t>m</t>
        </is>
      </c>
      <c r="D56" s="4" t="inlineStr">
        <is>
          <t>Chute maximale recommandee avant ouvrage de chute dedie.</t>
        </is>
      </c>
    </row>
    <row r="57">
      <c r="A57" s="3" t="inlineStr">
        <is>
          <t>Basin_inlet_target_drop_m</t>
        </is>
      </c>
      <c r="B57" s="16" t="n">
        <v>0.1</v>
      </c>
      <c r="C57" s="4" t="inlineStr">
        <is>
          <t>m</t>
        </is>
      </c>
      <c r="D57" s="4" t="inlineStr">
        <is>
          <t>Valeur cible pratique pour entree swale/trench vers conduite bassin.</t>
        </is>
      </c>
    </row>
    <row r="58">
      <c r="A58" s="3" t="inlineStr">
        <is>
          <t>C_pavage</t>
        </is>
      </c>
      <c r="B58" s="5" t="n">
        <v>0.85</v>
      </c>
      <c r="C58" s="4" t="inlineStr">
        <is>
          <t>-</t>
        </is>
      </c>
      <c r="D58" s="4" t="inlineStr">
        <is>
          <t>Coefficient ruissellement pour surfaces pavees (pave-uni/pavage).</t>
        </is>
      </c>
    </row>
    <row r="59">
      <c r="A59" s="3" t="inlineStr">
        <is>
          <t>Tc_travel_velocity_mps</t>
        </is>
      </c>
      <c r="B59" s="5" t="n">
        <v>1</v>
      </c>
      <c r="C59" s="4" t="inlineStr">
        <is>
          <t>m/s</t>
        </is>
      </c>
      <c r="D59" s="4" t="inlineStr">
        <is>
          <t>Vitesse adoptee pour calcul temps de transit dans element route (evite references circulaires).</t>
        </is>
      </c>
    </row>
    <row r="60">
      <c r="A60" s="3" t="inlineStr">
        <is>
          <t>Mech_internal_outlet_length_m</t>
        </is>
      </c>
      <c r="B60" s="5" t="n">
        <v>12</v>
      </c>
      <c r="C60" s="4" t="inlineStr">
        <is>
          <t>m</t>
        </is>
      </c>
      <c r="D60" s="4" t="inlineStr">
        <is>
          <t>Longueur approximative conduite interne mecanique (puisards est -&gt; sortie sud pres bassin).</t>
        </is>
      </c>
    </row>
    <row r="61">
      <c r="A61" s="3" t="inlineStr">
        <is>
          <t>Mech_internal_outlet_diameter_mm</t>
        </is>
      </c>
      <c r="B61" s="5" t="n">
        <v>300</v>
      </c>
      <c r="C61" s="4" t="inlineStr">
        <is>
          <t>mm</t>
        </is>
      </c>
      <c r="D61" s="4" t="inlineStr">
        <is>
          <t>Diametre indicatif conduite mecanique interne (a confirmer par equipe mecanique).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8" customWidth="1" min="10" max="10"/>
    <col width="30" customWidth="1" min="11" max="11"/>
    <col width="18" customWidth="1" min="12" max="12"/>
    <col width="24" customWidth="1" min="13" max="13"/>
    <col width="17" customWidth="1" min="14" max="14"/>
  </cols>
  <sheetData>
    <row r="1">
      <c r="A1" s="1" t="inlineStr">
        <is>
          <t>ZONES TRIBUTAIRES - TOIT / TRESFOND / VERT</t>
        </is>
      </c>
    </row>
    <row r="2">
      <c r="K2" t="inlineStr">
        <is>
          <t>Routing des zones se fait via Element_ID (colonne J), independamment du renommage des noeuds.</t>
        </is>
      </c>
    </row>
    <row r="3">
      <c r="A3" s="6" t="inlineStr">
        <is>
          <t>Zone_ID</t>
        </is>
      </c>
      <c r="B3" s="6" t="inlineStr">
        <is>
          <t>Description</t>
        </is>
      </c>
      <c r="C3" s="6" t="inlineStr">
        <is>
          <t>Surface_type</t>
        </is>
      </c>
      <c r="D3" s="6" t="inlineStr">
        <is>
          <t>Area_m2</t>
        </is>
      </c>
      <c r="E3" s="6" t="inlineStr">
        <is>
          <t>C_override</t>
        </is>
      </c>
      <c r="F3" s="6" t="inlineStr">
        <is>
          <t>C_used</t>
        </is>
      </c>
      <c r="G3" s="6" t="inlineStr">
        <is>
          <t>Tc_min</t>
        </is>
      </c>
      <c r="H3" s="6" t="inlineStr">
        <is>
          <t>Intensity_mmh</t>
        </is>
      </c>
      <c r="I3" s="6" t="inlineStr">
        <is>
          <t>Q_peak_m3s</t>
        </is>
      </c>
      <c r="J3" s="6" t="inlineStr">
        <is>
          <t>Routed_to_Element_ID</t>
        </is>
      </c>
      <c r="K3" s="6" t="inlineStr">
        <is>
          <t>Notes</t>
        </is>
      </c>
      <c r="L3" s="6" t="inlineStr">
        <is>
          <t>Tc_base_override_min</t>
        </is>
      </c>
      <c r="M3" s="6" t="inlineStr">
        <is>
          <t>Travel_time_routed_element_min</t>
        </is>
      </c>
      <c r="N3" s="6" t="inlineStr">
        <is>
          <t>Tc_auto_used_min</t>
        </is>
      </c>
    </row>
    <row r="4">
      <c r="A4" s="4" t="inlineStr">
        <is>
          <t>Z01</t>
        </is>
      </c>
      <c r="B4" s="4" t="inlineStr">
        <is>
          <t>Toiture principale (bloc jaune)</t>
        </is>
      </c>
      <c r="C4" s="4" t="inlineStr">
        <is>
          <t>ROOF</t>
        </is>
      </c>
      <c r="D4" s="7" t="n">
        <v>1013.8</v>
      </c>
      <c r="E4" s="7" t="inlineStr"/>
      <c r="F4" s="8">
        <f>IF(E4&lt;&gt;"",E4,IF(UPPER(TRIM(C4))="BASIN",IF(UPPER(TRIM(Inputs!$B$52))="YES",Inputs!$B$12,0),IF(UPPER(TRIM(C4))="ROOF",Inputs!$B$10,IF(UPPER(TRIM(C4))="PAVAGE",Inputs!$B$58,IF(UPPER(TRIM(C4))="TRESFOND",Inputs!$B$11,IF(UPPER(TRIM(C4))="GRASS",Inputs!$B$12,Inputs!$B$13))))))</f>
        <v/>
      </c>
      <c r="G4" s="8">
        <f>IF(A4="","",N4)</f>
        <v/>
      </c>
      <c r="H4" s="8">
        <f>IF(A4="","",Inputs!$B$3/((IF(G4="",Inputs!$B$14,G4)+Inputs!$B$4)^Inputs!$B$5))</f>
        <v/>
      </c>
      <c r="I4" s="8">
        <f>IF(A4="","",2.78E-7*F4*D4*H4)</f>
        <v/>
      </c>
      <c r="J4" s="4" t="inlineStr">
        <is>
          <t>E03</t>
        </is>
      </c>
      <c r="K4" s="4" t="inlineStr">
        <is>
          <t>Routage provisoire vers entree EST; scinder est/ouest plus tard si detail aval disponible.</t>
        </is>
      </c>
      <c r="L4" s="5" t="n">
        <v>12</v>
      </c>
      <c r="M4" s="9">
        <f>IF(A4="","",IF(OR(J4="",Inputs!$B$59=""),0,IFERROR(INDEX(Elements_hybrides!$F$4:$F$204,MATCH(J4,Elements_hybrides!$A$4:$A$204,0))/(Inputs!$B$59*60),0)))</f>
        <v/>
      </c>
      <c r="N4" s="9">
        <f>IF(A4="","",IF(L4="",Inputs!$B$14,L4)+M4)</f>
        <v/>
      </c>
    </row>
    <row r="5">
      <c r="A5" s="4" t="inlineStr">
        <is>
          <t>Z02</t>
        </is>
      </c>
      <c r="B5" s="4" t="inlineStr">
        <is>
          <t>Tresfond est (gris)</t>
        </is>
      </c>
      <c r="C5" s="4" t="inlineStr">
        <is>
          <t>TRESFOND</t>
        </is>
      </c>
      <c r="D5" s="7" t="n">
        <v>351</v>
      </c>
      <c r="E5" s="7" t="inlineStr"/>
      <c r="F5" s="8">
        <f>IF(E5&lt;&gt;"",E5,IF(UPPER(TRIM(C5))="BASIN",IF(UPPER(TRIM(Inputs!$B$52))="YES",Inputs!$B$12,0),IF(UPPER(TRIM(C5))="ROOF",Inputs!$B$10,IF(UPPER(TRIM(C5))="PAVAGE",Inputs!$B$58,IF(UPPER(TRIM(C5))="TRESFOND",Inputs!$B$11,IF(UPPER(TRIM(C5))="GRASS",Inputs!$B$12,Inputs!$B$13))))))</f>
        <v/>
      </c>
      <c r="G5" s="8">
        <f>IF(A5="","",N5)</f>
        <v/>
      </c>
      <c r="H5" s="8">
        <f>IF(A5="","",Inputs!$B$3/((IF(G5="",Inputs!$B$14,G5)+Inputs!$B$4)^Inputs!$B$5))</f>
        <v/>
      </c>
      <c r="I5" s="8">
        <f>IF(A5="","",2.78E-7*F5*D5*H5)</f>
        <v/>
      </c>
      <c r="J5" s="4" t="inlineStr">
        <is>
          <t>E09</t>
        </is>
      </c>
      <c r="K5" s="4" t="inlineStr">
        <is>
          <t>Puisards zone grise est -&gt; reseau interne mecanique -&gt; sortie sud pres bassin (pas vers bande est).</t>
        </is>
      </c>
      <c r="L5" s="5" t="n">
        <v>8</v>
      </c>
      <c r="M5" s="9">
        <f>IF(A5="","",IF(OR(J5="",Inputs!$B$59=""),0,IFERROR(INDEX(Elements_hybrides!$F$4:$F$204,MATCH(J5,Elements_hybrides!$A$4:$A$204,0))/(Inputs!$B$59*60),0)))</f>
        <v/>
      </c>
      <c r="N5" s="9">
        <f>IF(A5="","",IF(L5="",Inputs!$B$14,L5)+M5)</f>
        <v/>
      </c>
    </row>
    <row r="6">
      <c r="A6" s="4" t="inlineStr">
        <is>
          <t>Z03</t>
        </is>
      </c>
      <c r="B6" s="4" t="inlineStr">
        <is>
          <t>Bande verte est (arbres)</t>
        </is>
      </c>
      <c r="C6" s="4" t="inlineStr">
        <is>
          <t>GRASS</t>
        </is>
      </c>
      <c r="D6" s="7" t="n">
        <v>205.5</v>
      </c>
      <c r="E6" s="7" t="inlineStr"/>
      <c r="F6" s="8">
        <f>IF(E6&lt;&gt;"",E6,IF(UPPER(TRIM(C6))="BASIN",IF(UPPER(TRIM(Inputs!$B$52))="YES",Inputs!$B$12,0),IF(UPPER(TRIM(C6))="ROOF",Inputs!$B$10,IF(UPPER(TRIM(C6))="PAVAGE",Inputs!$B$58,IF(UPPER(TRIM(C6))="TRESFOND",Inputs!$B$11,IF(UPPER(TRIM(C6))="GRASS",Inputs!$B$12,Inputs!$B$13))))))</f>
        <v/>
      </c>
      <c r="G6" s="8">
        <f>IF(A6="","",N6)</f>
        <v/>
      </c>
      <c r="H6" s="8">
        <f>IF(A6="","",Inputs!$B$3/((IF(G6="",Inputs!$B$14,G6)+Inputs!$B$4)^Inputs!$B$5))</f>
        <v/>
      </c>
      <c r="I6" s="8">
        <f>IF(A6="","",2.78E-7*F6*D6*H6)</f>
        <v/>
      </c>
      <c r="J6" s="4" t="inlineStr">
        <is>
          <t>E01</t>
        </is>
      </c>
      <c r="K6" s="4" t="inlineStr">
        <is>
          <t>Vers underdrain est</t>
        </is>
      </c>
      <c r="L6" s="5" t="n">
        <v>10</v>
      </c>
      <c r="M6" s="9">
        <f>IF(A6="","",IF(OR(J6="",Inputs!$B$59=""),0,IFERROR(INDEX(Elements_hybrides!$F$4:$F$204,MATCH(J6,Elements_hybrides!$A$4:$A$204,0))/(Inputs!$B$59*60),0)))</f>
        <v/>
      </c>
      <c r="N6" s="9">
        <f>IF(A6="","",IF(L6="",Inputs!$B$14,L6)+M6)</f>
        <v/>
      </c>
    </row>
    <row r="7">
      <c r="A7" s="4" t="inlineStr">
        <is>
          <t>Z04</t>
        </is>
      </c>
      <c r="B7" s="4" t="inlineStr">
        <is>
          <t>Ouest gazon amont (12.5 m2)</t>
        </is>
      </c>
      <c r="C7" s="4" t="inlineStr">
        <is>
          <t>GRASS</t>
        </is>
      </c>
      <c r="D7" s="7" t="n">
        <v>12.5</v>
      </c>
      <c r="E7" s="7" t="inlineStr"/>
      <c r="F7" s="8">
        <f>IF(E7&lt;&gt;"",E7,IF(UPPER(TRIM(C7))="BASIN",IF(UPPER(TRIM(Inputs!$B$52))="YES",Inputs!$B$12,0),IF(UPPER(TRIM(C7))="ROOF",Inputs!$B$10,IF(UPPER(TRIM(C7))="PAVAGE",Inputs!$B$58,IF(UPPER(TRIM(C7))="TRESFOND",Inputs!$B$11,IF(UPPER(TRIM(C7))="GRASS",Inputs!$B$12,Inputs!$B$13))))))</f>
        <v/>
      </c>
      <c r="G7" s="8">
        <f>IF(A7="","",N7)</f>
        <v/>
      </c>
      <c r="H7" s="8">
        <f>IF(A7="","",Inputs!$B$3/((IF(G7="",Inputs!$B$14,G7)+Inputs!$B$4)^Inputs!$B$5))</f>
        <v/>
      </c>
      <c r="I7" s="8">
        <f>IF(A7="","",2.78E-7*F7*D7*H7)</f>
        <v/>
      </c>
      <c r="J7" s="4" t="inlineStr">
        <is>
          <t>E05A</t>
        </is>
      </c>
      <c r="K7" s="4" t="inlineStr">
        <is>
          <t>Image: zone verte amont gauche.</t>
        </is>
      </c>
      <c r="L7" s="5" t="n">
        <v>10</v>
      </c>
      <c r="M7" s="9">
        <f>IF(A7="","",IF(OR(J7="",Inputs!$B$59=""),0,IFERROR(INDEX(Elements_hybrides!$F$4:$F$204,MATCH(J7,Elements_hybrides!$A$4:$A$204,0))/(Inputs!$B$59*60),0)))</f>
        <v/>
      </c>
      <c r="N7" s="9">
        <f>IF(A7="","",IF(L7="",Inputs!$B$14,L7)+M7)</f>
        <v/>
      </c>
    </row>
    <row r="8">
      <c r="A8" s="4" t="inlineStr">
        <is>
          <t>Z07</t>
        </is>
      </c>
      <c r="B8" s="4" t="inlineStr">
        <is>
          <t>Ouest pave-uni court (6.7 m2)</t>
        </is>
      </c>
      <c r="C8" s="4" t="inlineStr">
        <is>
          <t>PAVAGE</t>
        </is>
      </c>
      <c r="D8" s="7" t="n">
        <v>6.7</v>
      </c>
      <c r="E8" s="7" t="inlineStr"/>
      <c r="F8" s="8">
        <f>IF(E8&lt;&gt;"",E8,IF(UPPER(TRIM(C8))="BASIN",IF(UPPER(TRIM(Inputs!$B$52))="YES",Inputs!$B$12,0),IF(UPPER(TRIM(C8))="ROOF",Inputs!$B$10,IF(UPPER(TRIM(C8))="PAVAGE",Inputs!$B$58,IF(UPPER(TRIM(C8))="TRESFOND",Inputs!$B$11,IF(UPPER(TRIM(C8))="GRASS",Inputs!$B$12,Inputs!$B$13))))))</f>
        <v/>
      </c>
      <c r="G8" s="8">
        <f>IF(A8="","",N8)</f>
        <v/>
      </c>
      <c r="H8" s="8">
        <f>IF(A8="","",Inputs!$B$3/((IF(G8="",Inputs!$B$14,G8)+Inputs!$B$4)^Inputs!$B$5))</f>
        <v/>
      </c>
      <c r="I8" s="8">
        <f>IF(A8="","",2.78E-7*F8*D8*H8)</f>
        <v/>
      </c>
      <c r="J8" s="4" t="inlineStr">
        <is>
          <t>E05B</t>
        </is>
      </c>
      <c r="K8" s="4" t="inlineStr">
        <is>
          <t>Surface pavage (pas tresfond).</t>
        </is>
      </c>
      <c r="L8" s="5" t="n">
        <v>10</v>
      </c>
      <c r="M8" s="9">
        <f>IF(A8="","",IF(OR(J8="",Inputs!$B$59=""),0,IFERROR(INDEX(Elements_hybrides!$F$4:$F$204,MATCH(J8,Elements_hybrides!$A$4:$A$204,0))/(Inputs!$B$59*60),0)))</f>
        <v/>
      </c>
      <c r="N8" s="9">
        <f>IF(A8="","",IF(L8="",Inputs!$B$14,L8)+M8)</f>
        <v/>
      </c>
    </row>
    <row r="9">
      <c r="A9" s="4" t="inlineStr">
        <is>
          <t>Z05</t>
        </is>
      </c>
      <c r="B9" s="4" t="inlineStr">
        <is>
          <t>Ouest gazon milieu (27.2 m2)</t>
        </is>
      </c>
      <c r="C9" s="4" t="inlineStr">
        <is>
          <t>GRASS</t>
        </is>
      </c>
      <c r="D9" s="7" t="n">
        <v>27.2</v>
      </c>
      <c r="E9" s="7" t="inlineStr"/>
      <c r="F9" s="8">
        <f>IF(E9&lt;&gt;"",E9,IF(UPPER(TRIM(C9))="BASIN",IF(UPPER(TRIM(Inputs!$B$52))="YES",Inputs!$B$12,0),IF(UPPER(TRIM(C9))="ROOF",Inputs!$B$10,IF(UPPER(TRIM(C9))="PAVAGE",Inputs!$B$58,IF(UPPER(TRIM(C9))="TRESFOND",Inputs!$B$11,IF(UPPER(TRIM(C9))="GRASS",Inputs!$B$12,Inputs!$B$13))))))</f>
        <v/>
      </c>
      <c r="G9" s="8">
        <f>IF(A9="","",N9)</f>
        <v/>
      </c>
      <c r="H9" s="8">
        <f>IF(A9="","",Inputs!$B$3/((IF(G9="",Inputs!$B$14,G9)+Inputs!$B$4)^Inputs!$B$5))</f>
        <v/>
      </c>
      <c r="I9" s="8">
        <f>IF(A9="","",2.78E-7*F9*D9*H9)</f>
        <v/>
      </c>
      <c r="J9" s="4" t="inlineStr">
        <is>
          <t>E05C</t>
        </is>
      </c>
      <c r="K9" s="4" t="inlineStr">
        <is>
          <t>Image: bande verte milieu ouest.</t>
        </is>
      </c>
      <c r="L9" s="5" t="n">
        <v>10</v>
      </c>
      <c r="M9" s="9">
        <f>IF(A9="","",IF(OR(J9="",Inputs!$B$59=""),0,IFERROR(INDEX(Elements_hybrides!$F$4:$F$204,MATCH(J9,Elements_hybrides!$A$4:$A$204,0))/(Inputs!$B$59*60),0)))</f>
        <v/>
      </c>
      <c r="N9" s="9">
        <f>IF(A9="","",IF(L9="",Inputs!$B$14,L9)+M9)</f>
        <v/>
      </c>
    </row>
    <row r="10">
      <c r="A10" s="4" t="inlineStr">
        <is>
          <t>Z08</t>
        </is>
      </c>
      <c r="B10" s="4" t="inlineStr">
        <is>
          <t>Ouest pave-uni principal (37.5 m2)</t>
        </is>
      </c>
      <c r="C10" s="4" t="inlineStr">
        <is>
          <t>PAVAGE</t>
        </is>
      </c>
      <c r="D10" s="7" t="n">
        <v>37.5</v>
      </c>
      <c r="E10" s="7" t="inlineStr"/>
      <c r="F10" s="8">
        <f>IF(E10&lt;&gt;"",E10,IF(UPPER(TRIM(C10))="BASIN",IF(UPPER(TRIM(Inputs!$B$52))="YES",Inputs!$B$12,0),IF(UPPER(TRIM(C10))="ROOF",Inputs!$B$10,IF(UPPER(TRIM(C10))="PAVAGE",Inputs!$B$58,IF(UPPER(TRIM(C10))="TRESFOND",Inputs!$B$11,IF(UPPER(TRIM(C10))="GRASS",Inputs!$B$12,Inputs!$B$13))))))</f>
        <v/>
      </c>
      <c r="G10" s="8">
        <f>IF(A10="","",N10)</f>
        <v/>
      </c>
      <c r="H10" s="8">
        <f>IF(A10="","",Inputs!$B$3/((IF(G10="",Inputs!$B$14,G10)+Inputs!$B$4)^Inputs!$B$5))</f>
        <v/>
      </c>
      <c r="I10" s="8">
        <f>IF(A10="","",2.78E-7*F10*D10*H10)</f>
        <v/>
      </c>
      <c r="J10" s="4" t="inlineStr">
        <is>
          <t>E05D</t>
        </is>
      </c>
      <c r="K10" s="4" t="inlineStr">
        <is>
          <t>Surface pavage principal (pave-uni), entre Z05 et Z06.</t>
        </is>
      </c>
      <c r="L10" s="5" t="n">
        <v>9</v>
      </c>
      <c r="M10" s="9">
        <f>IF(A10="","",IF(OR(J10="",Inputs!$B$59=""),0,IFERROR(INDEX(Elements_hybrides!$F$4:$F$204,MATCH(J10,Elements_hybrides!$A$4:$A$204,0))/(Inputs!$B$59*60),0)))</f>
        <v/>
      </c>
      <c r="N10" s="9">
        <f>IF(A10="","",IF(L10="",Inputs!$B$14,L10)+M10)</f>
        <v/>
      </c>
    </row>
    <row r="11">
      <c r="A11" s="4" t="inlineStr">
        <is>
          <t>Z06</t>
        </is>
      </c>
      <c r="B11" s="4" t="inlineStr">
        <is>
          <t>Ouest gazon aval coin sud-ouest (21.9 m2)</t>
        </is>
      </c>
      <c r="C11" s="4" t="inlineStr">
        <is>
          <t>GRASS</t>
        </is>
      </c>
      <c r="D11" s="7" t="n">
        <v>21.9</v>
      </c>
      <c r="E11" s="7" t="inlineStr"/>
      <c r="F11" s="8">
        <f>IF(E11&lt;&gt;"",E11,IF(UPPER(TRIM(C11))="BASIN",IF(UPPER(TRIM(Inputs!$B$52))="YES",Inputs!$B$12,0),IF(UPPER(TRIM(C11))="ROOF",Inputs!$B$10,IF(UPPER(TRIM(C11))="PAVAGE",Inputs!$B$58,IF(UPPER(TRIM(C11))="TRESFOND",Inputs!$B$11,IF(UPPER(TRIM(C11))="GRASS",Inputs!$B$12,Inputs!$B$13))))))</f>
        <v/>
      </c>
      <c r="G11" s="8">
        <f>IF(A11="","",N11)</f>
        <v/>
      </c>
      <c r="H11" s="8">
        <f>IF(A11="","",Inputs!$B$3/((IF(G11="",Inputs!$B$14,G11)+Inputs!$B$4)^Inputs!$B$5))</f>
        <v/>
      </c>
      <c r="I11" s="8">
        <f>IF(A11="","",2.78E-7*F11*D11*H11)</f>
        <v/>
      </c>
      <c r="J11" s="4" t="inlineStr">
        <is>
          <t>E05E</t>
        </is>
      </c>
      <c r="K11" s="4" t="inlineStr">
        <is>
          <t>Image: zone verte pres J-OUEST-AVAL.</t>
        </is>
      </c>
      <c r="L11" s="5" t="n">
        <v>10</v>
      </c>
      <c r="M11" s="9">
        <f>IF(A11="","",IF(OR(J11="",Inputs!$B$59=""),0,IFERROR(INDEX(Elements_hybrides!$F$4:$F$204,MATCH(J11,Elements_hybrides!$A$4:$A$204,0))/(Inputs!$B$59*60),0)))</f>
        <v/>
      </c>
      <c r="N11" s="9">
        <f>IF(A11="","",IF(L11="",Inputs!$B$14,L11)+M11)</f>
        <v/>
      </c>
    </row>
    <row r="12">
      <c r="A12" s="4" t="inlineStr">
        <is>
          <t>Z09</t>
        </is>
      </c>
      <c r="B12" s="4" t="inlineStr">
        <is>
          <t>Empreinte bassin retention (zone de stockage)</t>
        </is>
      </c>
      <c r="C12" s="4" t="inlineStr">
        <is>
          <t>BASIN</t>
        </is>
      </c>
      <c r="D12" s="7" t="n">
        <v>109.7</v>
      </c>
      <c r="E12" s="7" t="inlineStr"/>
      <c r="F12" s="8">
        <f>IF(E12&lt;&gt;"",E12,IF(UPPER(TRIM(C12))="BASIN",IF(UPPER(TRIM(Inputs!$B$52))="YES",Inputs!$B$12,0),IF(UPPER(TRIM(C12))="ROOF",Inputs!$B$10,IF(UPPER(TRIM(C12))="PAVAGE",Inputs!$B$58,IF(UPPER(TRIM(C12))="TRESFOND",Inputs!$B$11,IF(UPPER(TRIM(C12))="GRASS",Inputs!$B$12,Inputs!$B$13))))))</f>
        <v/>
      </c>
      <c r="G12" s="8">
        <f>IF(A12="","",N12)</f>
        <v/>
      </c>
      <c r="H12" s="8">
        <f>IF(A12="","",Inputs!$B$3/((IF(G12="",Inputs!$B$14,G12)+Inputs!$B$4)^Inputs!$B$5))</f>
        <v/>
      </c>
      <c r="I12" s="8">
        <f>IF(A12="","",2.78E-7*F12*D12*H12)</f>
        <v/>
      </c>
      <c r="J12" s="4" t="inlineStr"/>
      <c r="K12" s="4" t="inlineStr">
        <is>
          <t>Non contributive par defaut (Inputs!B52=NO). Mettre YES pour sensibilité si requis.</t>
        </is>
      </c>
      <c r="L12" s="5" t="n">
        <v>10</v>
      </c>
      <c r="M12" s="9">
        <f>IF(A12="","",IF(OR(J12="",Inputs!$B$59=""),0,IFERROR(INDEX(Elements_hybrides!$F$4:$F$204,MATCH(J12,Elements_hybrides!$A$4:$A$204,0))/(Inputs!$B$59*60),0)))</f>
        <v/>
      </c>
      <c r="N12" s="9">
        <f>IF(A12="","",IF(L12="",Inputs!$B$14,L12)+M12)</f>
        <v/>
      </c>
    </row>
    <row r="13">
      <c r="A13" s="4" t="inlineStr">
        <is>
          <t>Z10</t>
        </is>
      </c>
      <c r="B13" s="4" t="inlineStr">
        <is>
          <t>Sud gris local (pavage)</t>
        </is>
      </c>
      <c r="C13" s="4" t="inlineStr">
        <is>
          <t>PAVAGE</t>
        </is>
      </c>
      <c r="D13" s="7" t="n">
        <v>44.3</v>
      </c>
      <c r="E13" s="7" t="inlineStr"/>
      <c r="F13" s="8">
        <f>IF(E13&lt;&gt;"",E13,IF(UPPER(TRIM(C13))="BASIN",IF(UPPER(TRIM(Inputs!$B$52))="YES",Inputs!$B$12,0),IF(UPPER(TRIM(C13))="ROOF",Inputs!$B$10,IF(UPPER(TRIM(C13))="PAVAGE",Inputs!$B$58,IF(UPPER(TRIM(C13))="TRESFOND",Inputs!$B$11,IF(UPPER(TRIM(C13))="GRASS",Inputs!$B$12,Inputs!$B$13))))))</f>
        <v/>
      </c>
      <c r="G13" s="8">
        <f>IF(A13="","",N13)</f>
        <v/>
      </c>
      <c r="H13" s="8">
        <f>IF(A13="","",Inputs!$B$3/((IF(G13="",Inputs!$B$14,G13)+Inputs!$B$4)^Inputs!$B$5))</f>
        <v/>
      </c>
      <c r="I13" s="8">
        <f>IF(A13="","",2.78E-7*F13*D13*H13)</f>
        <v/>
      </c>
      <c r="J13" s="4" t="inlineStr">
        <is>
          <t>E03</t>
        </is>
      </c>
      <c r="K13" s="4" t="inlineStr">
        <is>
          <t>Surface pavage locale (pas tresfond), routage vers entree EST.</t>
        </is>
      </c>
      <c r="L13" s="5" t="n">
        <v>8</v>
      </c>
      <c r="M13" s="9">
        <f>IF(A13="","",IF(OR(J13="",Inputs!$B$59=""),0,IFERROR(INDEX(Elements_hybrides!$F$4:$F$204,MATCH(J13,Elements_hybrides!$A$4:$A$204,0))/(Inputs!$B$59*60),0)))</f>
        <v/>
      </c>
      <c r="N13" s="9">
        <f>IF(A13="","",IF(L13="",Inputs!$B$14,L13)+M13)</f>
        <v/>
      </c>
    </row>
    <row r="14">
      <c r="A14" s="4" t="inlineStr">
        <is>
          <t>Z11</t>
        </is>
      </c>
      <c r="B14" s="4" t="inlineStr">
        <is>
          <t>Sud est vert</t>
        </is>
      </c>
      <c r="C14" s="4" t="inlineStr">
        <is>
          <t>GRASS</t>
        </is>
      </c>
      <c r="D14" s="7" t="n">
        <v>20.5</v>
      </c>
      <c r="E14" s="7" t="inlineStr"/>
      <c r="F14" s="8">
        <f>IF(E14&lt;&gt;"",E14,IF(UPPER(TRIM(C14))="BASIN",IF(UPPER(TRIM(Inputs!$B$52))="YES",Inputs!$B$12,0),IF(UPPER(TRIM(C14))="ROOF",Inputs!$B$10,IF(UPPER(TRIM(C14))="PAVAGE",Inputs!$B$58,IF(UPPER(TRIM(C14))="TRESFOND",Inputs!$B$11,IF(UPPER(TRIM(C14))="GRASS",Inputs!$B$12,Inputs!$B$13))))))</f>
        <v/>
      </c>
      <c r="G14" s="8">
        <f>IF(A14="","",N14)</f>
        <v/>
      </c>
      <c r="H14" s="8">
        <f>IF(A14="","",Inputs!$B$3/((IF(G14="",Inputs!$B$14,G14)+Inputs!$B$4)^Inputs!$B$5))</f>
        <v/>
      </c>
      <c r="I14" s="8">
        <f>IF(A14="","",2.78E-7*F14*D14*H14)</f>
        <v/>
      </c>
      <c r="J14" s="4" t="inlineStr">
        <is>
          <t>E03</t>
        </is>
      </c>
      <c r="K14" s="4" t="inlineStr">
        <is>
          <t>Vers noue sud</t>
        </is>
      </c>
      <c r="L14" s="5" t="n">
        <v>10</v>
      </c>
      <c r="M14" s="9">
        <f>IF(A14="","",IF(OR(J14="",Inputs!$B$59=""),0,IFERROR(INDEX(Elements_hybrides!$F$4:$F$204,MATCH(J14,Elements_hybrides!$A$4:$A$204,0))/(Inputs!$B$59*60),0)))</f>
        <v/>
      </c>
      <c r="N14" s="9">
        <f>IF(A14="","",IF(L14="",Inputs!$B$14,L14)+M14)</f>
        <v/>
      </c>
    </row>
    <row r="15">
      <c r="A15" s="4" t="inlineStr">
        <is>
          <t>Z12</t>
        </is>
      </c>
      <c r="B15" s="4" t="inlineStr">
        <is>
          <t>Sud est gris petit (pavage)</t>
        </is>
      </c>
      <c r="C15" s="4" t="inlineStr">
        <is>
          <t>PAVAGE</t>
        </is>
      </c>
      <c r="D15" s="7" t="n">
        <v>5.8</v>
      </c>
      <c r="E15" s="7" t="inlineStr"/>
      <c r="F15" s="8">
        <f>IF(E15&lt;&gt;"",E15,IF(UPPER(TRIM(C15))="BASIN",IF(UPPER(TRIM(Inputs!$B$52))="YES",Inputs!$B$12,0),IF(UPPER(TRIM(C15))="ROOF",Inputs!$B$10,IF(UPPER(TRIM(C15))="PAVAGE",Inputs!$B$58,IF(UPPER(TRIM(C15))="TRESFOND",Inputs!$B$11,IF(UPPER(TRIM(C15))="GRASS",Inputs!$B$12,Inputs!$B$13))))))</f>
        <v/>
      </c>
      <c r="G15" s="8">
        <f>IF(A15="","",N15)</f>
        <v/>
      </c>
      <c r="H15" s="8">
        <f>IF(A15="","",Inputs!$B$3/((IF(G15="",Inputs!$B$14,G15)+Inputs!$B$4)^Inputs!$B$5))</f>
        <v/>
      </c>
      <c r="I15" s="8">
        <f>IF(A15="","",2.78E-7*F15*D15*H15)</f>
        <v/>
      </c>
      <c r="J15" s="4" t="inlineStr">
        <is>
          <t>E03</t>
        </is>
      </c>
      <c r="K15" s="4" t="inlineStr">
        <is>
          <t>Surface pavage petite zone sud-est (pas tresfond).</t>
        </is>
      </c>
      <c r="L15" s="5" t="n">
        <v>8</v>
      </c>
      <c r="M15" s="9">
        <f>IF(A15="","",IF(OR(J15="",Inputs!$B$59=""),0,IFERROR(INDEX(Elements_hybrides!$F$4:$F$204,MATCH(J15,Elements_hybrides!$A$4:$A$204,0))/(Inputs!$B$59*60),0)))</f>
        <v/>
      </c>
      <c r="N15" s="9">
        <f>IF(A15="","",IF(L15="",Inputs!$B$14,L15)+M15)</f>
        <v/>
      </c>
    </row>
    <row r="16">
      <c r="A16" s="4" t="n"/>
      <c r="B16" s="4" t="n"/>
      <c r="C16" s="4" t="n"/>
      <c r="D16" s="7" t="n"/>
      <c r="E16" s="7" t="n"/>
      <c r="F16" s="8">
        <f>IF(E16&lt;&gt;"",E16,IF(UPPER(TRIM(C16))="BASIN",IF(UPPER(TRIM(Inputs!$B$52))="YES",Inputs!$B$12,0),IF(UPPER(TRIM(C16))="ROOF",Inputs!$B$10,IF(UPPER(TRIM(C16))="PAVAGE",Inputs!$B$58,IF(UPPER(TRIM(C16))="TRESFOND",Inputs!$B$11,IF(UPPER(TRIM(C16))="GRASS",Inputs!$B$12,Inputs!$B$13))))))</f>
        <v/>
      </c>
      <c r="G16" s="8">
        <f>IF(A16="","",N16)</f>
        <v/>
      </c>
      <c r="H16" s="8">
        <f>IF(A16="","",Inputs!$B$3/((IF(G16="",Inputs!$B$14,G16)+Inputs!$B$4)^Inputs!$B$5))</f>
        <v/>
      </c>
      <c r="I16" s="8">
        <f>IF(A16="","",2.78E-7*F16*D16*H16)</f>
        <v/>
      </c>
      <c r="J16" s="4" t="n"/>
      <c r="K16" s="4" t="n"/>
      <c r="L16" s="5" t="n"/>
      <c r="M16" s="9">
        <f>IF(A16="","",IF(OR(J16="",Inputs!$B$59=""),0,IFERROR(INDEX(Elements_hybrides!$F$4:$F$204,MATCH(J16,Elements_hybrides!$A$4:$A$204,0))/(Inputs!$B$59*60),0)))</f>
        <v/>
      </c>
      <c r="N16" s="9">
        <f>IF(A16="","",IF(L16="",Inputs!$B$14,L16)+M16)</f>
        <v/>
      </c>
    </row>
    <row r="17">
      <c r="A17" s="4" t="n"/>
      <c r="B17" s="4" t="n"/>
      <c r="C17" s="4" t="n"/>
      <c r="D17" s="7" t="n"/>
      <c r="E17" s="7" t="n"/>
      <c r="F17" s="8">
        <f>IF(E17&lt;&gt;"",E17,IF(UPPER(TRIM(C17))="BASIN",IF(UPPER(TRIM(Inputs!$B$52))="YES",Inputs!$B$12,0),IF(UPPER(TRIM(C17))="ROOF",Inputs!$B$10,IF(UPPER(TRIM(C17))="PAVAGE",Inputs!$B$58,IF(UPPER(TRIM(C17))="TRESFOND",Inputs!$B$11,IF(UPPER(TRIM(C17))="GRASS",Inputs!$B$12,Inputs!$B$13))))))</f>
        <v/>
      </c>
      <c r="G17" s="8">
        <f>IF(A17="","",N17)</f>
        <v/>
      </c>
      <c r="H17" s="8">
        <f>IF(A17="","",Inputs!$B$3/((IF(G17="",Inputs!$B$14,G17)+Inputs!$B$4)^Inputs!$B$5))</f>
        <v/>
      </c>
      <c r="I17" s="8">
        <f>IF(A17="","",2.78E-7*F17*D17*H17)</f>
        <v/>
      </c>
      <c r="J17" s="4" t="n"/>
      <c r="K17" s="4" t="n"/>
      <c r="L17" s="5" t="n"/>
      <c r="M17" s="9">
        <f>IF(A17="","",IF(OR(J17="",Inputs!$B$59=""),0,IFERROR(INDEX(Elements_hybrides!$F$4:$F$204,MATCH(J17,Elements_hybrides!$A$4:$A$204,0))/(Inputs!$B$59*60),0)))</f>
        <v/>
      </c>
      <c r="N17" s="9">
        <f>IF(A17="","",IF(L17="",Inputs!$B$14,L17)+M17)</f>
        <v/>
      </c>
    </row>
    <row r="18">
      <c r="A18" s="4" t="n"/>
      <c r="B18" s="4" t="n"/>
      <c r="C18" s="4" t="n"/>
      <c r="D18" s="7" t="n"/>
      <c r="E18" s="7" t="n"/>
      <c r="F18" s="8">
        <f>IF(E18&lt;&gt;"",E18,IF(UPPER(TRIM(C18))="BASIN",IF(UPPER(TRIM(Inputs!$B$52))="YES",Inputs!$B$12,0),IF(UPPER(TRIM(C18))="ROOF",Inputs!$B$10,IF(UPPER(TRIM(C18))="PAVAGE",Inputs!$B$58,IF(UPPER(TRIM(C18))="TRESFOND",Inputs!$B$11,IF(UPPER(TRIM(C18))="GRASS",Inputs!$B$12,Inputs!$B$13))))))</f>
        <v/>
      </c>
      <c r="G18" s="8">
        <f>IF(A18="","",N18)</f>
        <v/>
      </c>
      <c r="H18" s="8">
        <f>IF(A18="","",Inputs!$B$3/((IF(G18="",Inputs!$B$14,G18)+Inputs!$B$4)^Inputs!$B$5))</f>
        <v/>
      </c>
      <c r="I18" s="8">
        <f>IF(A18="","",2.78E-7*F18*D18*H18)</f>
        <v/>
      </c>
      <c r="J18" s="4" t="n"/>
      <c r="K18" s="4" t="n"/>
      <c r="L18" s="5" t="n"/>
      <c r="M18" s="9">
        <f>IF(A18="","",IF(OR(J18="",Inputs!$B$59=""),0,IFERROR(INDEX(Elements_hybrides!$F$4:$F$204,MATCH(J18,Elements_hybrides!$A$4:$A$204,0))/(Inputs!$B$59*60),0)))</f>
        <v/>
      </c>
      <c r="N18" s="9">
        <f>IF(A18="","",IF(L18="",Inputs!$B$14,L18)+M18)</f>
        <v/>
      </c>
    </row>
    <row r="19">
      <c r="A19" s="4" t="n"/>
      <c r="B19" s="4" t="n"/>
      <c r="C19" s="4" t="n"/>
      <c r="D19" s="7" t="n"/>
      <c r="E19" s="7" t="n"/>
      <c r="F19" s="8">
        <f>IF(E19&lt;&gt;"",E19,IF(UPPER(TRIM(C19))="BASIN",IF(UPPER(TRIM(Inputs!$B$52))="YES",Inputs!$B$12,0),IF(UPPER(TRIM(C19))="ROOF",Inputs!$B$10,IF(UPPER(TRIM(C19))="PAVAGE",Inputs!$B$58,IF(UPPER(TRIM(C19))="TRESFOND",Inputs!$B$11,IF(UPPER(TRIM(C19))="GRASS",Inputs!$B$12,Inputs!$B$13))))))</f>
        <v/>
      </c>
      <c r="G19" s="8">
        <f>IF(A19="","",N19)</f>
        <v/>
      </c>
      <c r="H19" s="8">
        <f>IF(A19="","",Inputs!$B$3/((IF(G19="",Inputs!$B$14,G19)+Inputs!$B$4)^Inputs!$B$5))</f>
        <v/>
      </c>
      <c r="I19" s="8">
        <f>IF(A19="","",2.78E-7*F19*D19*H19)</f>
        <v/>
      </c>
      <c r="J19" s="4" t="n"/>
      <c r="K19" s="4" t="n"/>
      <c r="L19" s="5" t="n"/>
      <c r="M19" s="9">
        <f>IF(A19="","",IF(OR(J19="",Inputs!$B$59=""),0,IFERROR(INDEX(Elements_hybrides!$F$4:$F$204,MATCH(J19,Elements_hybrides!$A$4:$A$204,0))/(Inputs!$B$59*60),0)))</f>
        <v/>
      </c>
      <c r="N19" s="9">
        <f>IF(A19="","",IF(L19="",Inputs!$B$14,L19)+M19)</f>
        <v/>
      </c>
    </row>
    <row r="20">
      <c r="A20" s="4" t="n"/>
      <c r="B20" s="4" t="n"/>
      <c r="C20" s="4" t="n"/>
      <c r="D20" s="7" t="n"/>
      <c r="E20" s="7" t="n"/>
      <c r="F20" s="8">
        <f>IF(E20&lt;&gt;"",E20,IF(UPPER(TRIM(C20))="BASIN",IF(UPPER(TRIM(Inputs!$B$52))="YES",Inputs!$B$12,0),IF(UPPER(TRIM(C20))="ROOF",Inputs!$B$10,IF(UPPER(TRIM(C20))="PAVAGE",Inputs!$B$58,IF(UPPER(TRIM(C20))="TRESFOND",Inputs!$B$11,IF(UPPER(TRIM(C20))="GRASS",Inputs!$B$12,Inputs!$B$13))))))</f>
        <v/>
      </c>
      <c r="G20" s="8">
        <f>IF(A20="","",N20)</f>
        <v/>
      </c>
      <c r="H20" s="8">
        <f>IF(A20="","",Inputs!$B$3/((IF(G20="",Inputs!$B$14,G20)+Inputs!$B$4)^Inputs!$B$5))</f>
        <v/>
      </c>
      <c r="I20" s="8">
        <f>IF(A20="","",2.78E-7*F20*D20*H20)</f>
        <v/>
      </c>
      <c r="J20" s="4" t="n"/>
      <c r="K20" s="4" t="n"/>
      <c r="L20" s="5" t="n"/>
      <c r="M20" s="9">
        <f>IF(A20="","",IF(OR(J20="",Inputs!$B$59=""),0,IFERROR(INDEX(Elements_hybrides!$F$4:$F$204,MATCH(J20,Elements_hybrides!$A$4:$A$204,0))/(Inputs!$B$59*60),0)))</f>
        <v/>
      </c>
      <c r="N20" s="9">
        <f>IF(A20="","",IF(L20="",Inputs!$B$14,L20)+M20)</f>
        <v/>
      </c>
    </row>
    <row r="21">
      <c r="A21" s="4" t="n"/>
      <c r="B21" s="4" t="n"/>
      <c r="C21" s="4" t="n"/>
      <c r="D21" s="7" t="n"/>
      <c r="E21" s="7" t="n"/>
      <c r="F21" s="8">
        <f>IF(E21&lt;&gt;"",E21,IF(UPPER(TRIM(C21))="BASIN",IF(UPPER(TRIM(Inputs!$B$52))="YES",Inputs!$B$12,0),IF(UPPER(TRIM(C21))="ROOF",Inputs!$B$10,IF(UPPER(TRIM(C21))="PAVAGE",Inputs!$B$58,IF(UPPER(TRIM(C21))="TRESFOND",Inputs!$B$11,IF(UPPER(TRIM(C21))="GRASS",Inputs!$B$12,Inputs!$B$13))))))</f>
        <v/>
      </c>
      <c r="G21" s="8">
        <f>IF(A21="","",N21)</f>
        <v/>
      </c>
      <c r="H21" s="8">
        <f>IF(A21="","",Inputs!$B$3/((IF(G21="",Inputs!$B$14,G21)+Inputs!$B$4)^Inputs!$B$5))</f>
        <v/>
      </c>
      <c r="I21" s="8">
        <f>IF(A21="","",2.78E-7*F21*D21*H21)</f>
        <v/>
      </c>
      <c r="J21" s="4" t="n"/>
      <c r="K21" s="4" t="n"/>
      <c r="L21" s="5" t="n"/>
      <c r="M21" s="9">
        <f>IF(A21="","",IF(OR(J21="",Inputs!$B$59=""),0,IFERROR(INDEX(Elements_hybrides!$F$4:$F$204,MATCH(J21,Elements_hybrides!$A$4:$A$204,0))/(Inputs!$B$59*60),0)))</f>
        <v/>
      </c>
      <c r="N21" s="9">
        <f>IF(A21="","",IF(L21="",Inputs!$B$14,L21)+M21)</f>
        <v/>
      </c>
    </row>
    <row r="22">
      <c r="A22" s="4" t="n"/>
      <c r="B22" s="4" t="n"/>
      <c r="C22" s="4" t="n"/>
      <c r="D22" s="7" t="n"/>
      <c r="E22" s="7" t="n"/>
      <c r="F22" s="8">
        <f>IF(E22&lt;&gt;"",E22,IF(UPPER(TRIM(C22))="BASIN",IF(UPPER(TRIM(Inputs!$B$52))="YES",Inputs!$B$12,0),IF(UPPER(TRIM(C22))="ROOF",Inputs!$B$10,IF(UPPER(TRIM(C22))="PAVAGE",Inputs!$B$58,IF(UPPER(TRIM(C22))="TRESFOND",Inputs!$B$11,IF(UPPER(TRIM(C22))="GRASS",Inputs!$B$12,Inputs!$B$13))))))</f>
        <v/>
      </c>
      <c r="G22" s="8">
        <f>IF(A22="","",N22)</f>
        <v/>
      </c>
      <c r="H22" s="8">
        <f>IF(A22="","",Inputs!$B$3/((IF(G22="",Inputs!$B$14,G22)+Inputs!$B$4)^Inputs!$B$5))</f>
        <v/>
      </c>
      <c r="I22" s="8">
        <f>IF(A22="","",2.78E-7*F22*D22*H22)</f>
        <v/>
      </c>
      <c r="J22" s="4" t="n"/>
      <c r="K22" s="4" t="n"/>
      <c r="L22" s="5" t="n"/>
      <c r="M22" s="9">
        <f>IF(A22="","",IF(OR(J22="",Inputs!$B$59=""),0,IFERROR(INDEX(Elements_hybrides!$F$4:$F$204,MATCH(J22,Elements_hybrides!$A$4:$A$204,0))/(Inputs!$B$59*60),0)))</f>
        <v/>
      </c>
      <c r="N22" s="9">
        <f>IF(A22="","",IF(L22="",Inputs!$B$14,L22)+M22)</f>
        <v/>
      </c>
    </row>
    <row r="23">
      <c r="A23" s="4" t="n"/>
      <c r="B23" s="4" t="n"/>
      <c r="C23" s="4" t="n"/>
      <c r="D23" s="7" t="n"/>
      <c r="E23" s="7" t="n"/>
      <c r="F23" s="8">
        <f>IF(E23&lt;&gt;"",E23,IF(UPPER(TRIM(C23))="BASIN",IF(UPPER(TRIM(Inputs!$B$52))="YES",Inputs!$B$12,0),IF(UPPER(TRIM(C23))="ROOF",Inputs!$B$10,IF(UPPER(TRIM(C23))="PAVAGE",Inputs!$B$58,IF(UPPER(TRIM(C23))="TRESFOND",Inputs!$B$11,IF(UPPER(TRIM(C23))="GRASS",Inputs!$B$12,Inputs!$B$13))))))</f>
        <v/>
      </c>
      <c r="G23" s="8">
        <f>IF(A23="","",N23)</f>
        <v/>
      </c>
      <c r="H23" s="8">
        <f>IF(A23="","",Inputs!$B$3/((IF(G23="",Inputs!$B$14,G23)+Inputs!$B$4)^Inputs!$B$5))</f>
        <v/>
      </c>
      <c r="I23" s="8">
        <f>IF(A23="","",2.78E-7*F23*D23*H23)</f>
        <v/>
      </c>
      <c r="J23" s="4" t="n"/>
      <c r="K23" s="4" t="n"/>
      <c r="L23" s="5" t="n"/>
      <c r="M23" s="9">
        <f>IF(A23="","",IF(OR(J23="",Inputs!$B$59=""),0,IFERROR(INDEX(Elements_hybrides!$F$4:$F$204,MATCH(J23,Elements_hybrides!$A$4:$A$204,0))/(Inputs!$B$59*60),0)))</f>
        <v/>
      </c>
      <c r="N23" s="9">
        <f>IF(A23="","",IF(L23="",Inputs!$B$14,L23)+M23)</f>
        <v/>
      </c>
    </row>
    <row r="24">
      <c r="A24" s="4" t="n"/>
      <c r="B24" s="4" t="n"/>
      <c r="C24" s="4" t="n"/>
      <c r="D24" s="7" t="n"/>
      <c r="E24" s="7" t="n"/>
      <c r="F24" s="8">
        <f>IF(E24&lt;&gt;"",E24,IF(UPPER(TRIM(C24))="BASIN",IF(UPPER(TRIM(Inputs!$B$52))="YES",Inputs!$B$12,0),IF(UPPER(TRIM(C24))="ROOF",Inputs!$B$10,IF(UPPER(TRIM(C24))="PAVAGE",Inputs!$B$58,IF(UPPER(TRIM(C24))="TRESFOND",Inputs!$B$11,IF(UPPER(TRIM(C24))="GRASS",Inputs!$B$12,Inputs!$B$13))))))</f>
        <v/>
      </c>
      <c r="G24" s="8">
        <f>IF(A24="","",N24)</f>
        <v/>
      </c>
      <c r="H24" s="8">
        <f>IF(A24="","",Inputs!$B$3/((IF(G24="",Inputs!$B$14,G24)+Inputs!$B$4)^Inputs!$B$5))</f>
        <v/>
      </c>
      <c r="I24" s="8">
        <f>IF(A24="","",2.78E-7*F24*D24*H24)</f>
        <v/>
      </c>
      <c r="J24" s="4" t="n"/>
      <c r="K24" s="4" t="n"/>
      <c r="L24" s="5" t="n"/>
      <c r="M24" s="9">
        <f>IF(A24="","",IF(OR(J24="",Inputs!$B$59=""),0,IFERROR(INDEX(Elements_hybrides!$F$4:$F$204,MATCH(J24,Elements_hybrides!$A$4:$A$204,0))/(Inputs!$B$59*60),0)))</f>
        <v/>
      </c>
      <c r="N24" s="9">
        <f>IF(A24="","",IF(L24="",Inputs!$B$14,L24)+M24)</f>
        <v/>
      </c>
    </row>
    <row r="25">
      <c r="A25" s="4" t="n"/>
      <c r="B25" s="4" t="n"/>
      <c r="C25" s="4" t="n"/>
      <c r="D25" s="7" t="n"/>
      <c r="E25" s="7" t="n"/>
      <c r="F25" s="8">
        <f>IF(E25&lt;&gt;"",E25,IF(UPPER(TRIM(C25))="BASIN",IF(UPPER(TRIM(Inputs!$B$52))="YES",Inputs!$B$12,0),IF(UPPER(TRIM(C25))="ROOF",Inputs!$B$10,IF(UPPER(TRIM(C25))="PAVAGE",Inputs!$B$58,IF(UPPER(TRIM(C25))="TRESFOND",Inputs!$B$11,IF(UPPER(TRIM(C25))="GRASS",Inputs!$B$12,Inputs!$B$13))))))</f>
        <v/>
      </c>
      <c r="G25" s="8">
        <f>IF(A25="","",N25)</f>
        <v/>
      </c>
      <c r="H25" s="8">
        <f>IF(A25="","",Inputs!$B$3/((IF(G25="",Inputs!$B$14,G25)+Inputs!$B$4)^Inputs!$B$5))</f>
        <v/>
      </c>
      <c r="I25" s="8">
        <f>IF(A25="","",2.78E-7*F25*D25*H25)</f>
        <v/>
      </c>
      <c r="J25" s="4" t="n"/>
      <c r="K25" s="4" t="n"/>
      <c r="L25" s="5" t="n"/>
      <c r="M25" s="9">
        <f>IF(A25="","",IF(OR(J25="",Inputs!$B$59=""),0,IFERROR(INDEX(Elements_hybrides!$F$4:$F$204,MATCH(J25,Elements_hybrides!$A$4:$A$204,0))/(Inputs!$B$59*60),0)))</f>
        <v/>
      </c>
      <c r="N25" s="9">
        <f>IF(A25="","",IF(L25="",Inputs!$B$14,L25)+M25)</f>
        <v/>
      </c>
    </row>
    <row r="26">
      <c r="A26" s="4" t="n"/>
      <c r="B26" s="4" t="n"/>
      <c r="C26" s="4" t="n"/>
      <c r="D26" s="7" t="n"/>
      <c r="E26" s="7" t="n"/>
      <c r="F26" s="8">
        <f>IF(E26&lt;&gt;"",E26,IF(UPPER(TRIM(C26))="BASIN",IF(UPPER(TRIM(Inputs!$B$52))="YES",Inputs!$B$12,0),IF(UPPER(TRIM(C26))="ROOF",Inputs!$B$10,IF(UPPER(TRIM(C26))="PAVAGE",Inputs!$B$58,IF(UPPER(TRIM(C26))="TRESFOND",Inputs!$B$11,IF(UPPER(TRIM(C26))="GRASS",Inputs!$B$12,Inputs!$B$13))))))</f>
        <v/>
      </c>
      <c r="G26" s="8">
        <f>IF(A26="","",N26)</f>
        <v/>
      </c>
      <c r="H26" s="8">
        <f>IF(A26="","",Inputs!$B$3/((IF(G26="",Inputs!$B$14,G26)+Inputs!$B$4)^Inputs!$B$5))</f>
        <v/>
      </c>
      <c r="I26" s="8">
        <f>IF(A26="","",2.78E-7*F26*D26*H26)</f>
        <v/>
      </c>
      <c r="J26" s="4" t="n"/>
      <c r="K26" s="4" t="n"/>
      <c r="L26" s="5" t="n"/>
      <c r="M26" s="9">
        <f>IF(A26="","",IF(OR(J26="",Inputs!$B$59=""),0,IFERROR(INDEX(Elements_hybrides!$F$4:$F$204,MATCH(J26,Elements_hybrides!$A$4:$A$204,0))/(Inputs!$B$59*60),0)))</f>
        <v/>
      </c>
      <c r="N26" s="9">
        <f>IF(A26="","",IF(L26="",Inputs!$B$14,L26)+M26)</f>
        <v/>
      </c>
    </row>
    <row r="27">
      <c r="A27" s="4" t="n"/>
      <c r="B27" s="4" t="n"/>
      <c r="C27" s="4" t="n"/>
      <c r="D27" s="7" t="n"/>
      <c r="E27" s="7" t="n"/>
      <c r="F27" s="8">
        <f>IF(E27&lt;&gt;"",E27,IF(UPPER(TRIM(C27))="BASIN",IF(UPPER(TRIM(Inputs!$B$52))="YES",Inputs!$B$12,0),IF(UPPER(TRIM(C27))="ROOF",Inputs!$B$10,IF(UPPER(TRIM(C27))="PAVAGE",Inputs!$B$58,IF(UPPER(TRIM(C27))="TRESFOND",Inputs!$B$11,IF(UPPER(TRIM(C27))="GRASS",Inputs!$B$12,Inputs!$B$13))))))</f>
        <v/>
      </c>
      <c r="G27" s="8">
        <f>IF(A27="","",N27)</f>
        <v/>
      </c>
      <c r="H27" s="8">
        <f>IF(A27="","",Inputs!$B$3/((IF(G27="",Inputs!$B$14,G27)+Inputs!$B$4)^Inputs!$B$5))</f>
        <v/>
      </c>
      <c r="I27" s="8">
        <f>IF(A27="","",2.78E-7*F27*D27*H27)</f>
        <v/>
      </c>
      <c r="J27" s="4" t="n"/>
      <c r="K27" s="4" t="n"/>
      <c r="L27" s="5" t="n"/>
      <c r="M27" s="9">
        <f>IF(A27="","",IF(OR(J27="",Inputs!$B$59=""),0,IFERROR(INDEX(Elements_hybrides!$F$4:$F$204,MATCH(J27,Elements_hybrides!$A$4:$A$204,0))/(Inputs!$B$59*60),0)))</f>
        <v/>
      </c>
      <c r="N27" s="9">
        <f>IF(A27="","",IF(L27="",Inputs!$B$14,L27)+M27)</f>
        <v/>
      </c>
    </row>
    <row r="28">
      <c r="A28" s="4" t="n"/>
      <c r="B28" s="4" t="n"/>
      <c r="C28" s="4" t="n"/>
      <c r="D28" s="7" t="n"/>
      <c r="E28" s="7" t="n"/>
      <c r="F28" s="8">
        <f>IF(E28&lt;&gt;"",E28,IF(UPPER(TRIM(C28))="BASIN",IF(UPPER(TRIM(Inputs!$B$52))="YES",Inputs!$B$12,0),IF(UPPER(TRIM(C28))="ROOF",Inputs!$B$10,IF(UPPER(TRIM(C28))="PAVAGE",Inputs!$B$58,IF(UPPER(TRIM(C28))="TRESFOND",Inputs!$B$11,IF(UPPER(TRIM(C28))="GRASS",Inputs!$B$12,Inputs!$B$13))))))</f>
        <v/>
      </c>
      <c r="G28" s="8">
        <f>IF(A28="","",N28)</f>
        <v/>
      </c>
      <c r="H28" s="8">
        <f>IF(A28="","",Inputs!$B$3/((IF(G28="",Inputs!$B$14,G28)+Inputs!$B$4)^Inputs!$B$5))</f>
        <v/>
      </c>
      <c r="I28" s="8">
        <f>IF(A28="","",2.78E-7*F28*D28*H28)</f>
        <v/>
      </c>
      <c r="J28" s="4" t="n"/>
      <c r="K28" s="4" t="n"/>
      <c r="L28" s="5" t="n"/>
      <c r="M28" s="9">
        <f>IF(A28="","",IF(OR(J28="",Inputs!$B$59=""),0,IFERROR(INDEX(Elements_hybrides!$F$4:$F$204,MATCH(J28,Elements_hybrides!$A$4:$A$204,0))/(Inputs!$B$59*60),0)))</f>
        <v/>
      </c>
      <c r="N28" s="9">
        <f>IF(A28="","",IF(L28="",Inputs!$B$14,L28)+M28)</f>
        <v/>
      </c>
    </row>
    <row r="29">
      <c r="A29" s="4" t="n"/>
      <c r="B29" s="4" t="n"/>
      <c r="C29" s="4" t="n"/>
      <c r="D29" s="7" t="n"/>
      <c r="E29" s="7" t="n"/>
      <c r="F29" s="8">
        <f>IF(E29&lt;&gt;"",E29,IF(UPPER(TRIM(C29))="BASIN",IF(UPPER(TRIM(Inputs!$B$52))="YES",Inputs!$B$12,0),IF(UPPER(TRIM(C29))="ROOF",Inputs!$B$10,IF(UPPER(TRIM(C29))="PAVAGE",Inputs!$B$58,IF(UPPER(TRIM(C29))="TRESFOND",Inputs!$B$11,IF(UPPER(TRIM(C29))="GRASS",Inputs!$B$12,Inputs!$B$13))))))</f>
        <v/>
      </c>
      <c r="G29" s="8">
        <f>IF(A29="","",N29)</f>
        <v/>
      </c>
      <c r="H29" s="8">
        <f>IF(A29="","",Inputs!$B$3/((IF(G29="",Inputs!$B$14,G29)+Inputs!$B$4)^Inputs!$B$5))</f>
        <v/>
      </c>
      <c r="I29" s="8">
        <f>IF(A29="","",2.78E-7*F29*D29*H29)</f>
        <v/>
      </c>
      <c r="J29" s="4" t="n"/>
      <c r="K29" s="4" t="n"/>
      <c r="L29" s="5" t="n"/>
      <c r="M29" s="9">
        <f>IF(A29="","",IF(OR(J29="",Inputs!$B$59=""),0,IFERROR(INDEX(Elements_hybrides!$F$4:$F$204,MATCH(J29,Elements_hybrides!$A$4:$A$204,0))/(Inputs!$B$59*60),0)))</f>
        <v/>
      </c>
      <c r="N29" s="9">
        <f>IF(A29="","",IF(L29="",Inputs!$B$14,L29)+M29)</f>
        <v/>
      </c>
    </row>
    <row r="30">
      <c r="A30" s="4" t="n"/>
      <c r="B30" s="4" t="n"/>
      <c r="C30" s="4" t="n"/>
      <c r="D30" s="7" t="n"/>
      <c r="E30" s="7" t="n"/>
      <c r="F30" s="8">
        <f>IF(E30&lt;&gt;"",E30,IF(UPPER(TRIM(C30))="BASIN",IF(UPPER(TRIM(Inputs!$B$52))="YES",Inputs!$B$12,0),IF(UPPER(TRIM(C30))="ROOF",Inputs!$B$10,IF(UPPER(TRIM(C30))="PAVAGE",Inputs!$B$58,IF(UPPER(TRIM(C30))="TRESFOND",Inputs!$B$11,IF(UPPER(TRIM(C30))="GRASS",Inputs!$B$12,Inputs!$B$13))))))</f>
        <v/>
      </c>
      <c r="G30" s="8">
        <f>IF(A30="","",N30)</f>
        <v/>
      </c>
      <c r="H30" s="8">
        <f>IF(A30="","",Inputs!$B$3/((IF(G30="",Inputs!$B$14,G30)+Inputs!$B$4)^Inputs!$B$5))</f>
        <v/>
      </c>
      <c r="I30" s="8">
        <f>IF(A30="","",2.78E-7*F30*D30*H30)</f>
        <v/>
      </c>
      <c r="J30" s="4" t="n"/>
      <c r="K30" s="4" t="n"/>
      <c r="L30" s="5" t="n"/>
      <c r="M30" s="9">
        <f>IF(A30="","",IF(OR(J30="",Inputs!$B$59=""),0,IFERROR(INDEX(Elements_hybrides!$F$4:$F$204,MATCH(J30,Elements_hybrides!$A$4:$A$204,0))/(Inputs!$B$59*60),0)))</f>
        <v/>
      </c>
      <c r="N30" s="9">
        <f>IF(A30="","",IF(L30="",Inputs!$B$14,L30)+M30)</f>
        <v/>
      </c>
    </row>
    <row r="31">
      <c r="A31" s="4" t="n"/>
      <c r="B31" s="4" t="n"/>
      <c r="C31" s="4" t="n"/>
      <c r="D31" s="7" t="n"/>
      <c r="E31" s="7" t="n"/>
      <c r="F31" s="8">
        <f>IF(E31&lt;&gt;"",E31,IF(UPPER(TRIM(C31))="BASIN",IF(UPPER(TRIM(Inputs!$B$52))="YES",Inputs!$B$12,0),IF(UPPER(TRIM(C31))="ROOF",Inputs!$B$10,IF(UPPER(TRIM(C31))="PAVAGE",Inputs!$B$58,IF(UPPER(TRIM(C31))="TRESFOND",Inputs!$B$11,IF(UPPER(TRIM(C31))="GRASS",Inputs!$B$12,Inputs!$B$13))))))</f>
        <v/>
      </c>
      <c r="G31" s="8">
        <f>IF(A31="","",N31)</f>
        <v/>
      </c>
      <c r="H31" s="8">
        <f>IF(A31="","",Inputs!$B$3/((IF(G31="",Inputs!$B$14,G31)+Inputs!$B$4)^Inputs!$B$5))</f>
        <v/>
      </c>
      <c r="I31" s="8">
        <f>IF(A31="","",2.78E-7*F31*D31*H31)</f>
        <v/>
      </c>
      <c r="J31" s="4" t="n"/>
      <c r="K31" s="4" t="n"/>
      <c r="L31" s="5" t="n"/>
      <c r="M31" s="9">
        <f>IF(A31="","",IF(OR(J31="",Inputs!$B$59=""),0,IFERROR(INDEX(Elements_hybrides!$F$4:$F$204,MATCH(J31,Elements_hybrides!$A$4:$A$204,0))/(Inputs!$B$59*60),0)))</f>
        <v/>
      </c>
      <c r="N31" s="9">
        <f>IF(A31="","",IF(L31="",Inputs!$B$14,L31)+M31)</f>
        <v/>
      </c>
    </row>
    <row r="32">
      <c r="A32" s="4" t="n"/>
      <c r="B32" s="4" t="n"/>
      <c r="C32" s="4" t="n"/>
      <c r="D32" s="7" t="n"/>
      <c r="E32" s="7" t="n"/>
      <c r="F32" s="8">
        <f>IF(E32&lt;&gt;"",E32,IF(UPPER(TRIM(C32))="BASIN",IF(UPPER(TRIM(Inputs!$B$52))="YES",Inputs!$B$12,0),IF(UPPER(TRIM(C32))="ROOF",Inputs!$B$10,IF(UPPER(TRIM(C32))="PAVAGE",Inputs!$B$58,IF(UPPER(TRIM(C32))="TRESFOND",Inputs!$B$11,IF(UPPER(TRIM(C32))="GRASS",Inputs!$B$12,Inputs!$B$13))))))</f>
        <v/>
      </c>
      <c r="G32" s="8">
        <f>IF(A32="","",N32)</f>
        <v/>
      </c>
      <c r="H32" s="8">
        <f>IF(A32="","",Inputs!$B$3/((IF(G32="",Inputs!$B$14,G32)+Inputs!$B$4)^Inputs!$B$5))</f>
        <v/>
      </c>
      <c r="I32" s="8">
        <f>IF(A32="","",2.78E-7*F32*D32*H32)</f>
        <v/>
      </c>
      <c r="J32" s="4" t="n"/>
      <c r="K32" s="4" t="n"/>
      <c r="L32" s="5" t="n"/>
      <c r="M32" s="9">
        <f>IF(A32="","",IF(OR(J32="",Inputs!$B$59=""),0,IFERROR(INDEX(Elements_hybrides!$F$4:$F$204,MATCH(J32,Elements_hybrides!$A$4:$A$204,0))/(Inputs!$B$59*60),0)))</f>
        <v/>
      </c>
      <c r="N32" s="9">
        <f>IF(A32="","",IF(L32="",Inputs!$B$14,L32)+M32)</f>
        <v/>
      </c>
    </row>
    <row r="33">
      <c r="A33" s="4" t="n"/>
      <c r="B33" s="4" t="n"/>
      <c r="C33" s="4" t="n"/>
      <c r="D33" s="7" t="n"/>
      <c r="E33" s="7" t="n"/>
      <c r="F33" s="8">
        <f>IF(E33&lt;&gt;"",E33,IF(UPPER(TRIM(C33))="BASIN",IF(UPPER(TRIM(Inputs!$B$52))="YES",Inputs!$B$12,0),IF(UPPER(TRIM(C33))="ROOF",Inputs!$B$10,IF(UPPER(TRIM(C33))="PAVAGE",Inputs!$B$58,IF(UPPER(TRIM(C33))="TRESFOND",Inputs!$B$11,IF(UPPER(TRIM(C33))="GRASS",Inputs!$B$12,Inputs!$B$13))))))</f>
        <v/>
      </c>
      <c r="G33" s="8">
        <f>IF(A33="","",N33)</f>
        <v/>
      </c>
      <c r="H33" s="8">
        <f>IF(A33="","",Inputs!$B$3/((IF(G33="",Inputs!$B$14,G33)+Inputs!$B$4)^Inputs!$B$5))</f>
        <v/>
      </c>
      <c r="I33" s="8">
        <f>IF(A33="","",2.78E-7*F33*D33*H33)</f>
        <v/>
      </c>
      <c r="J33" s="4" t="n"/>
      <c r="K33" s="4" t="n"/>
      <c r="L33" s="5" t="n"/>
      <c r="M33" s="9">
        <f>IF(A33="","",IF(OR(J33="",Inputs!$B$59=""),0,IFERROR(INDEX(Elements_hybrides!$F$4:$F$204,MATCH(J33,Elements_hybrides!$A$4:$A$204,0))/(Inputs!$B$59*60),0)))</f>
        <v/>
      </c>
      <c r="N33" s="9">
        <f>IF(A33="","",IF(L33="",Inputs!$B$14,L33)+M33)</f>
        <v/>
      </c>
    </row>
    <row r="34">
      <c r="A34" s="4" t="n"/>
      <c r="B34" s="4" t="n"/>
      <c r="C34" s="4" t="n"/>
      <c r="D34" s="7" t="n"/>
      <c r="E34" s="7" t="n"/>
      <c r="F34" s="8">
        <f>IF(E34&lt;&gt;"",E34,IF(UPPER(TRIM(C34))="BASIN",IF(UPPER(TRIM(Inputs!$B$52))="YES",Inputs!$B$12,0),IF(UPPER(TRIM(C34))="ROOF",Inputs!$B$10,IF(UPPER(TRIM(C34))="PAVAGE",Inputs!$B$58,IF(UPPER(TRIM(C34))="TRESFOND",Inputs!$B$11,IF(UPPER(TRIM(C34))="GRASS",Inputs!$B$12,Inputs!$B$13))))))</f>
        <v/>
      </c>
      <c r="G34" s="8">
        <f>IF(A34="","",N34)</f>
        <v/>
      </c>
      <c r="H34" s="8">
        <f>IF(A34="","",Inputs!$B$3/((IF(G34="",Inputs!$B$14,G34)+Inputs!$B$4)^Inputs!$B$5))</f>
        <v/>
      </c>
      <c r="I34" s="8">
        <f>IF(A34="","",2.78E-7*F34*D34*H34)</f>
        <v/>
      </c>
      <c r="J34" s="4" t="n"/>
      <c r="K34" s="4" t="n"/>
      <c r="L34" s="5" t="n"/>
      <c r="M34" s="9">
        <f>IF(A34="","",IF(OR(J34="",Inputs!$B$59=""),0,IFERROR(INDEX(Elements_hybrides!$F$4:$F$204,MATCH(J34,Elements_hybrides!$A$4:$A$204,0))/(Inputs!$B$59*60),0)))</f>
        <v/>
      </c>
      <c r="N34" s="9">
        <f>IF(A34="","",IF(L34="",Inputs!$B$14,L34)+M34)</f>
        <v/>
      </c>
    </row>
    <row r="35">
      <c r="A35" s="4" t="n"/>
      <c r="B35" s="4" t="n"/>
      <c r="C35" s="4" t="n"/>
      <c r="D35" s="7" t="n"/>
      <c r="E35" s="7" t="n"/>
      <c r="F35" s="8">
        <f>IF(E35&lt;&gt;"",E35,IF(UPPER(TRIM(C35))="BASIN",IF(UPPER(TRIM(Inputs!$B$52))="YES",Inputs!$B$12,0),IF(UPPER(TRIM(C35))="ROOF",Inputs!$B$10,IF(UPPER(TRIM(C35))="PAVAGE",Inputs!$B$58,IF(UPPER(TRIM(C35))="TRESFOND",Inputs!$B$11,IF(UPPER(TRIM(C35))="GRASS",Inputs!$B$12,Inputs!$B$13))))))</f>
        <v/>
      </c>
      <c r="G35" s="8">
        <f>IF(A35="","",N35)</f>
        <v/>
      </c>
      <c r="H35" s="8">
        <f>IF(A35="","",Inputs!$B$3/((IF(G35="",Inputs!$B$14,G35)+Inputs!$B$4)^Inputs!$B$5))</f>
        <v/>
      </c>
      <c r="I35" s="8">
        <f>IF(A35="","",2.78E-7*F35*D35*H35)</f>
        <v/>
      </c>
      <c r="J35" s="4" t="n"/>
      <c r="K35" s="4" t="n"/>
      <c r="L35" s="5" t="n"/>
      <c r="M35" s="9">
        <f>IF(A35="","",IF(OR(J35="",Inputs!$B$59=""),0,IFERROR(INDEX(Elements_hybrides!$F$4:$F$204,MATCH(J35,Elements_hybrides!$A$4:$A$204,0))/(Inputs!$B$59*60),0)))</f>
        <v/>
      </c>
      <c r="N35" s="9">
        <f>IF(A35="","",IF(L35="",Inputs!$B$14,L35)+M35)</f>
        <v/>
      </c>
    </row>
    <row r="36">
      <c r="A36" s="4" t="n"/>
      <c r="B36" s="4" t="n"/>
      <c r="C36" s="4" t="n"/>
      <c r="D36" s="7" t="n"/>
      <c r="E36" s="7" t="n"/>
      <c r="F36" s="8">
        <f>IF(E36&lt;&gt;"",E36,IF(UPPER(TRIM(C36))="BASIN",IF(UPPER(TRIM(Inputs!$B$52))="YES",Inputs!$B$12,0),IF(UPPER(TRIM(C36))="ROOF",Inputs!$B$10,IF(UPPER(TRIM(C36))="PAVAGE",Inputs!$B$58,IF(UPPER(TRIM(C36))="TRESFOND",Inputs!$B$11,IF(UPPER(TRIM(C36))="GRASS",Inputs!$B$12,Inputs!$B$13))))))</f>
        <v/>
      </c>
      <c r="G36" s="8">
        <f>IF(A36="","",N36)</f>
        <v/>
      </c>
      <c r="H36" s="8">
        <f>IF(A36="","",Inputs!$B$3/((IF(G36="",Inputs!$B$14,G36)+Inputs!$B$4)^Inputs!$B$5))</f>
        <v/>
      </c>
      <c r="I36" s="8">
        <f>IF(A36="","",2.78E-7*F36*D36*H36)</f>
        <v/>
      </c>
      <c r="J36" s="4" t="n"/>
      <c r="K36" s="4" t="n"/>
      <c r="L36" s="5" t="n"/>
      <c r="M36" s="9">
        <f>IF(A36="","",IF(OR(J36="",Inputs!$B$59=""),0,IFERROR(INDEX(Elements_hybrides!$F$4:$F$204,MATCH(J36,Elements_hybrides!$A$4:$A$204,0))/(Inputs!$B$59*60),0)))</f>
        <v/>
      </c>
      <c r="N36" s="9">
        <f>IF(A36="","",IF(L36="",Inputs!$B$14,L36)+M36)</f>
        <v/>
      </c>
    </row>
    <row r="37">
      <c r="A37" s="4" t="n"/>
      <c r="B37" s="4" t="n"/>
      <c r="C37" s="4" t="n"/>
      <c r="D37" s="7" t="n"/>
      <c r="E37" s="7" t="n"/>
      <c r="F37" s="8">
        <f>IF(E37&lt;&gt;"",E37,IF(UPPER(TRIM(C37))="BASIN",IF(UPPER(TRIM(Inputs!$B$52))="YES",Inputs!$B$12,0),IF(UPPER(TRIM(C37))="ROOF",Inputs!$B$10,IF(UPPER(TRIM(C37))="PAVAGE",Inputs!$B$58,IF(UPPER(TRIM(C37))="TRESFOND",Inputs!$B$11,IF(UPPER(TRIM(C37))="GRASS",Inputs!$B$12,Inputs!$B$13))))))</f>
        <v/>
      </c>
      <c r="G37" s="8">
        <f>IF(A37="","",N37)</f>
        <v/>
      </c>
      <c r="H37" s="8">
        <f>IF(A37="","",Inputs!$B$3/((IF(G37="",Inputs!$B$14,G37)+Inputs!$B$4)^Inputs!$B$5))</f>
        <v/>
      </c>
      <c r="I37" s="8">
        <f>IF(A37="","",2.78E-7*F37*D37*H37)</f>
        <v/>
      </c>
      <c r="J37" s="4" t="n"/>
      <c r="K37" s="4" t="n"/>
      <c r="L37" s="5" t="n"/>
      <c r="M37" s="9">
        <f>IF(A37="","",IF(OR(J37="",Inputs!$B$59=""),0,IFERROR(INDEX(Elements_hybrides!$F$4:$F$204,MATCH(J37,Elements_hybrides!$A$4:$A$204,0))/(Inputs!$B$59*60),0)))</f>
        <v/>
      </c>
      <c r="N37" s="9">
        <f>IF(A37="","",IF(L37="",Inputs!$B$14,L37)+M37)</f>
        <v/>
      </c>
    </row>
    <row r="38">
      <c r="A38" s="4" t="n"/>
      <c r="B38" s="4" t="n"/>
      <c r="C38" s="4" t="n"/>
      <c r="D38" s="7" t="n"/>
      <c r="E38" s="7" t="n"/>
      <c r="F38" s="8">
        <f>IF(E38&lt;&gt;"",E38,IF(UPPER(TRIM(C38))="BASIN",IF(UPPER(TRIM(Inputs!$B$52))="YES",Inputs!$B$12,0),IF(UPPER(TRIM(C38))="ROOF",Inputs!$B$10,IF(UPPER(TRIM(C38))="PAVAGE",Inputs!$B$58,IF(UPPER(TRIM(C38))="TRESFOND",Inputs!$B$11,IF(UPPER(TRIM(C38))="GRASS",Inputs!$B$12,Inputs!$B$13))))))</f>
        <v/>
      </c>
      <c r="G38" s="8">
        <f>IF(A38="","",N38)</f>
        <v/>
      </c>
      <c r="H38" s="8">
        <f>IF(A38="","",Inputs!$B$3/((IF(G38="",Inputs!$B$14,G38)+Inputs!$B$4)^Inputs!$B$5))</f>
        <v/>
      </c>
      <c r="I38" s="8">
        <f>IF(A38="","",2.78E-7*F38*D38*H38)</f>
        <v/>
      </c>
      <c r="J38" s="4" t="n"/>
      <c r="K38" s="4" t="n"/>
      <c r="L38" s="5" t="n"/>
      <c r="M38" s="9">
        <f>IF(A38="","",IF(OR(J38="",Inputs!$B$59=""),0,IFERROR(INDEX(Elements_hybrides!$F$4:$F$204,MATCH(J38,Elements_hybrides!$A$4:$A$204,0))/(Inputs!$B$59*60),0)))</f>
        <v/>
      </c>
      <c r="N38" s="9">
        <f>IF(A38="","",IF(L38="",Inputs!$B$14,L38)+M38)</f>
        <v/>
      </c>
    </row>
    <row r="39">
      <c r="A39" s="4" t="n"/>
      <c r="B39" s="4" t="n"/>
      <c r="C39" s="4" t="n"/>
      <c r="D39" s="7" t="n"/>
      <c r="E39" s="7" t="n"/>
      <c r="F39" s="8">
        <f>IF(E39&lt;&gt;"",E39,IF(UPPER(TRIM(C39))="BASIN",IF(UPPER(TRIM(Inputs!$B$52))="YES",Inputs!$B$12,0),IF(UPPER(TRIM(C39))="ROOF",Inputs!$B$10,IF(UPPER(TRIM(C39))="PAVAGE",Inputs!$B$58,IF(UPPER(TRIM(C39))="TRESFOND",Inputs!$B$11,IF(UPPER(TRIM(C39))="GRASS",Inputs!$B$12,Inputs!$B$13))))))</f>
        <v/>
      </c>
      <c r="G39" s="8">
        <f>IF(A39="","",N39)</f>
        <v/>
      </c>
      <c r="H39" s="8">
        <f>IF(A39="","",Inputs!$B$3/((IF(G39="",Inputs!$B$14,G39)+Inputs!$B$4)^Inputs!$B$5))</f>
        <v/>
      </c>
      <c r="I39" s="8">
        <f>IF(A39="","",2.78E-7*F39*D39*H39)</f>
        <v/>
      </c>
      <c r="J39" s="4" t="n"/>
      <c r="K39" s="4" t="n"/>
      <c r="L39" s="5" t="n"/>
      <c r="M39" s="9">
        <f>IF(A39="","",IF(OR(J39="",Inputs!$B$59=""),0,IFERROR(INDEX(Elements_hybrides!$F$4:$F$204,MATCH(J39,Elements_hybrides!$A$4:$A$204,0))/(Inputs!$B$59*60),0)))</f>
        <v/>
      </c>
      <c r="N39" s="9">
        <f>IF(A39="","",IF(L39="",Inputs!$B$14,L39)+M39)</f>
        <v/>
      </c>
    </row>
    <row r="40">
      <c r="A40" s="4" t="n"/>
      <c r="B40" s="4" t="n"/>
      <c r="C40" s="4" t="n"/>
      <c r="D40" s="7" t="n"/>
      <c r="E40" s="7" t="n"/>
      <c r="F40" s="8">
        <f>IF(E40&lt;&gt;"",E40,IF(UPPER(TRIM(C40))="BASIN",IF(UPPER(TRIM(Inputs!$B$52))="YES",Inputs!$B$12,0),IF(UPPER(TRIM(C40))="ROOF",Inputs!$B$10,IF(UPPER(TRIM(C40))="PAVAGE",Inputs!$B$58,IF(UPPER(TRIM(C40))="TRESFOND",Inputs!$B$11,IF(UPPER(TRIM(C40))="GRASS",Inputs!$B$12,Inputs!$B$13))))))</f>
        <v/>
      </c>
      <c r="G40" s="8">
        <f>IF(A40="","",N40)</f>
        <v/>
      </c>
      <c r="H40" s="8">
        <f>IF(A40="","",Inputs!$B$3/((IF(G40="",Inputs!$B$14,G40)+Inputs!$B$4)^Inputs!$B$5))</f>
        <v/>
      </c>
      <c r="I40" s="8">
        <f>IF(A40="","",2.78E-7*F40*D40*H40)</f>
        <v/>
      </c>
      <c r="J40" s="4" t="n"/>
      <c r="K40" s="4" t="n"/>
      <c r="L40" s="5" t="n"/>
      <c r="M40" s="9">
        <f>IF(A40="","",IF(OR(J40="",Inputs!$B$59=""),0,IFERROR(INDEX(Elements_hybrides!$F$4:$F$204,MATCH(J40,Elements_hybrides!$A$4:$A$204,0))/(Inputs!$B$59*60),0)))</f>
        <v/>
      </c>
      <c r="N40" s="9">
        <f>IF(A40="","",IF(L40="",Inputs!$B$14,L40)+M40)</f>
        <v/>
      </c>
    </row>
    <row r="41">
      <c r="A41" s="4" t="n"/>
      <c r="B41" s="4" t="n"/>
      <c r="C41" s="4" t="n"/>
      <c r="D41" s="7" t="n"/>
      <c r="E41" s="7" t="n"/>
      <c r="F41" s="8">
        <f>IF(E41&lt;&gt;"",E41,IF(UPPER(TRIM(C41))="BASIN",IF(UPPER(TRIM(Inputs!$B$52))="YES",Inputs!$B$12,0),IF(UPPER(TRIM(C41))="ROOF",Inputs!$B$10,IF(UPPER(TRIM(C41))="PAVAGE",Inputs!$B$58,IF(UPPER(TRIM(C41))="TRESFOND",Inputs!$B$11,IF(UPPER(TRIM(C41))="GRASS",Inputs!$B$12,Inputs!$B$13))))))</f>
        <v/>
      </c>
      <c r="G41" s="8">
        <f>IF(A41="","",N41)</f>
        <v/>
      </c>
      <c r="H41" s="8">
        <f>IF(A41="","",Inputs!$B$3/((IF(G41="",Inputs!$B$14,G41)+Inputs!$B$4)^Inputs!$B$5))</f>
        <v/>
      </c>
      <c r="I41" s="8">
        <f>IF(A41="","",2.78E-7*F41*D41*H41)</f>
        <v/>
      </c>
      <c r="J41" s="4" t="n"/>
      <c r="K41" s="4" t="n"/>
      <c r="L41" s="5" t="n"/>
      <c r="M41" s="9">
        <f>IF(A41="","",IF(OR(J41="",Inputs!$B$59=""),0,IFERROR(INDEX(Elements_hybrides!$F$4:$F$204,MATCH(J41,Elements_hybrides!$A$4:$A$204,0))/(Inputs!$B$59*60),0)))</f>
        <v/>
      </c>
      <c r="N41" s="9">
        <f>IF(A41="","",IF(L41="",Inputs!$B$14,L41)+M41)</f>
        <v/>
      </c>
    </row>
    <row r="42">
      <c r="A42" s="4" t="n"/>
      <c r="B42" s="4" t="n"/>
      <c r="C42" s="4" t="n"/>
      <c r="D42" s="7" t="n"/>
      <c r="E42" s="7" t="n"/>
      <c r="F42" s="8">
        <f>IF(E42&lt;&gt;"",E42,IF(UPPER(TRIM(C42))="BASIN",IF(UPPER(TRIM(Inputs!$B$52))="YES",Inputs!$B$12,0),IF(UPPER(TRIM(C42))="ROOF",Inputs!$B$10,IF(UPPER(TRIM(C42))="PAVAGE",Inputs!$B$58,IF(UPPER(TRIM(C42))="TRESFOND",Inputs!$B$11,IF(UPPER(TRIM(C42))="GRASS",Inputs!$B$12,Inputs!$B$13))))))</f>
        <v/>
      </c>
      <c r="G42" s="8">
        <f>IF(A42="","",N42)</f>
        <v/>
      </c>
      <c r="H42" s="8">
        <f>IF(A42="","",Inputs!$B$3/((IF(G42="",Inputs!$B$14,G42)+Inputs!$B$4)^Inputs!$B$5))</f>
        <v/>
      </c>
      <c r="I42" s="8">
        <f>IF(A42="","",2.78E-7*F42*D42*H42)</f>
        <v/>
      </c>
      <c r="J42" s="4" t="n"/>
      <c r="K42" s="4" t="n"/>
      <c r="L42" s="5" t="n"/>
      <c r="M42" s="9">
        <f>IF(A42="","",IF(OR(J42="",Inputs!$B$59=""),0,IFERROR(INDEX(Elements_hybrides!$F$4:$F$204,MATCH(J42,Elements_hybrides!$A$4:$A$204,0))/(Inputs!$B$59*60),0)))</f>
        <v/>
      </c>
      <c r="N42" s="9">
        <f>IF(A42="","",IF(L42="",Inputs!$B$14,L42)+M42)</f>
        <v/>
      </c>
    </row>
    <row r="43">
      <c r="A43" s="4" t="n"/>
      <c r="B43" s="4" t="n"/>
      <c r="C43" s="4" t="n"/>
      <c r="D43" s="7" t="n"/>
      <c r="E43" s="7" t="n"/>
      <c r="F43" s="8">
        <f>IF(E43&lt;&gt;"",E43,IF(UPPER(TRIM(C43))="BASIN",IF(UPPER(TRIM(Inputs!$B$52))="YES",Inputs!$B$12,0),IF(UPPER(TRIM(C43))="ROOF",Inputs!$B$10,IF(UPPER(TRIM(C43))="PAVAGE",Inputs!$B$58,IF(UPPER(TRIM(C43))="TRESFOND",Inputs!$B$11,IF(UPPER(TRIM(C43))="GRASS",Inputs!$B$12,Inputs!$B$13))))))</f>
        <v/>
      </c>
      <c r="G43" s="8">
        <f>IF(A43="","",N43)</f>
        <v/>
      </c>
      <c r="H43" s="8">
        <f>IF(A43="","",Inputs!$B$3/((IF(G43="",Inputs!$B$14,G43)+Inputs!$B$4)^Inputs!$B$5))</f>
        <v/>
      </c>
      <c r="I43" s="8">
        <f>IF(A43="","",2.78E-7*F43*D43*H43)</f>
        <v/>
      </c>
      <c r="J43" s="4" t="n"/>
      <c r="K43" s="4" t="n"/>
      <c r="L43" s="5" t="n"/>
      <c r="M43" s="9">
        <f>IF(A43="","",IF(OR(J43="",Inputs!$B$59=""),0,IFERROR(INDEX(Elements_hybrides!$F$4:$F$204,MATCH(J43,Elements_hybrides!$A$4:$A$204,0))/(Inputs!$B$59*60),0)))</f>
        <v/>
      </c>
      <c r="N43" s="9">
        <f>IF(A43="","",IF(L43="",Inputs!$B$14,L43)+M43)</f>
        <v/>
      </c>
    </row>
    <row r="44">
      <c r="A44" s="4" t="n"/>
      <c r="B44" s="4" t="n"/>
      <c r="C44" s="4" t="n"/>
      <c r="D44" s="7" t="n"/>
      <c r="E44" s="7" t="n"/>
      <c r="F44" s="8">
        <f>IF(E44&lt;&gt;"",E44,IF(UPPER(TRIM(C44))="BASIN",IF(UPPER(TRIM(Inputs!$B$52))="YES",Inputs!$B$12,0),IF(UPPER(TRIM(C44))="ROOF",Inputs!$B$10,IF(UPPER(TRIM(C44))="PAVAGE",Inputs!$B$58,IF(UPPER(TRIM(C44))="TRESFOND",Inputs!$B$11,IF(UPPER(TRIM(C44))="GRASS",Inputs!$B$12,Inputs!$B$13))))))</f>
        <v/>
      </c>
      <c r="G44" s="8">
        <f>IF(A44="","",N44)</f>
        <v/>
      </c>
      <c r="H44" s="8">
        <f>IF(A44="","",Inputs!$B$3/((IF(G44="",Inputs!$B$14,G44)+Inputs!$B$4)^Inputs!$B$5))</f>
        <v/>
      </c>
      <c r="I44" s="8">
        <f>IF(A44="","",2.78E-7*F44*D44*H44)</f>
        <v/>
      </c>
      <c r="J44" s="4" t="n"/>
      <c r="K44" s="4" t="n"/>
      <c r="L44" s="5" t="n"/>
      <c r="M44" s="9">
        <f>IF(A44="","",IF(OR(J44="",Inputs!$B$59=""),0,IFERROR(INDEX(Elements_hybrides!$F$4:$F$204,MATCH(J44,Elements_hybrides!$A$4:$A$204,0))/(Inputs!$B$59*60),0)))</f>
        <v/>
      </c>
      <c r="N44" s="9">
        <f>IF(A44="","",IF(L44="",Inputs!$B$14,L44)+M44)</f>
        <v/>
      </c>
    </row>
    <row r="45">
      <c r="A45" s="4" t="n"/>
      <c r="B45" s="4" t="n"/>
      <c r="C45" s="4" t="n"/>
      <c r="D45" s="7" t="n"/>
      <c r="E45" s="7" t="n"/>
      <c r="F45" s="8">
        <f>IF(E45&lt;&gt;"",E45,IF(UPPER(TRIM(C45))="BASIN",IF(UPPER(TRIM(Inputs!$B$52))="YES",Inputs!$B$12,0),IF(UPPER(TRIM(C45))="ROOF",Inputs!$B$10,IF(UPPER(TRIM(C45))="PAVAGE",Inputs!$B$58,IF(UPPER(TRIM(C45))="TRESFOND",Inputs!$B$11,IF(UPPER(TRIM(C45))="GRASS",Inputs!$B$12,Inputs!$B$13))))))</f>
        <v/>
      </c>
      <c r="G45" s="8">
        <f>IF(A45="","",N45)</f>
        <v/>
      </c>
      <c r="H45" s="8">
        <f>IF(A45="","",Inputs!$B$3/((IF(G45="",Inputs!$B$14,G45)+Inputs!$B$4)^Inputs!$B$5))</f>
        <v/>
      </c>
      <c r="I45" s="8">
        <f>IF(A45="","",2.78E-7*F45*D45*H45)</f>
        <v/>
      </c>
      <c r="J45" s="4" t="n"/>
      <c r="K45" s="4" t="n"/>
      <c r="L45" s="5" t="n"/>
      <c r="M45" s="9">
        <f>IF(A45="","",IF(OR(J45="",Inputs!$B$59=""),0,IFERROR(INDEX(Elements_hybrides!$F$4:$F$204,MATCH(J45,Elements_hybrides!$A$4:$A$204,0))/(Inputs!$B$59*60),0)))</f>
        <v/>
      </c>
      <c r="N45" s="9">
        <f>IF(A45="","",IF(L45="",Inputs!$B$14,L45)+M45)</f>
        <v/>
      </c>
    </row>
    <row r="46">
      <c r="A46" s="4" t="n"/>
      <c r="B46" s="4" t="n"/>
      <c r="C46" s="4" t="n"/>
      <c r="D46" s="7" t="n"/>
      <c r="E46" s="7" t="n"/>
      <c r="F46" s="8">
        <f>IF(E46&lt;&gt;"",E46,IF(UPPER(TRIM(C46))="BASIN",IF(UPPER(TRIM(Inputs!$B$52))="YES",Inputs!$B$12,0),IF(UPPER(TRIM(C46))="ROOF",Inputs!$B$10,IF(UPPER(TRIM(C46))="PAVAGE",Inputs!$B$58,IF(UPPER(TRIM(C46))="TRESFOND",Inputs!$B$11,IF(UPPER(TRIM(C46))="GRASS",Inputs!$B$12,Inputs!$B$13))))))</f>
        <v/>
      </c>
      <c r="G46" s="8">
        <f>IF(A46="","",N46)</f>
        <v/>
      </c>
      <c r="H46" s="8">
        <f>IF(A46="","",Inputs!$B$3/((IF(G46="",Inputs!$B$14,G46)+Inputs!$B$4)^Inputs!$B$5))</f>
        <v/>
      </c>
      <c r="I46" s="8">
        <f>IF(A46="","",2.78E-7*F46*D46*H46)</f>
        <v/>
      </c>
      <c r="J46" s="4" t="n"/>
      <c r="K46" s="4" t="n"/>
      <c r="L46" s="5" t="n"/>
      <c r="M46" s="9">
        <f>IF(A46="","",IF(OR(J46="",Inputs!$B$59=""),0,IFERROR(INDEX(Elements_hybrides!$F$4:$F$204,MATCH(J46,Elements_hybrides!$A$4:$A$204,0))/(Inputs!$B$59*60),0)))</f>
        <v/>
      </c>
      <c r="N46" s="9">
        <f>IF(A46="","",IF(L46="",Inputs!$B$14,L46)+M46)</f>
        <v/>
      </c>
    </row>
    <row r="47">
      <c r="A47" s="4" t="n"/>
      <c r="B47" s="4" t="n"/>
      <c r="C47" s="4" t="n"/>
      <c r="D47" s="7" t="n"/>
      <c r="E47" s="7" t="n"/>
      <c r="F47" s="8">
        <f>IF(E47&lt;&gt;"",E47,IF(UPPER(TRIM(C47))="BASIN",IF(UPPER(TRIM(Inputs!$B$52))="YES",Inputs!$B$12,0),IF(UPPER(TRIM(C47))="ROOF",Inputs!$B$10,IF(UPPER(TRIM(C47))="PAVAGE",Inputs!$B$58,IF(UPPER(TRIM(C47))="TRESFOND",Inputs!$B$11,IF(UPPER(TRIM(C47))="GRASS",Inputs!$B$12,Inputs!$B$13))))))</f>
        <v/>
      </c>
      <c r="G47" s="8">
        <f>IF(A47="","",N47)</f>
        <v/>
      </c>
      <c r="H47" s="8">
        <f>IF(A47="","",Inputs!$B$3/((IF(G47="",Inputs!$B$14,G47)+Inputs!$B$4)^Inputs!$B$5))</f>
        <v/>
      </c>
      <c r="I47" s="8">
        <f>IF(A47="","",2.78E-7*F47*D47*H47)</f>
        <v/>
      </c>
      <c r="J47" s="4" t="n"/>
      <c r="K47" s="4" t="n"/>
      <c r="L47" s="5" t="n"/>
      <c r="M47" s="9">
        <f>IF(A47="","",IF(OR(J47="",Inputs!$B$59=""),0,IFERROR(INDEX(Elements_hybrides!$F$4:$F$204,MATCH(J47,Elements_hybrides!$A$4:$A$204,0))/(Inputs!$B$59*60),0)))</f>
        <v/>
      </c>
      <c r="N47" s="9">
        <f>IF(A47="","",IF(L47="",Inputs!$B$14,L47)+M47)</f>
        <v/>
      </c>
    </row>
    <row r="48">
      <c r="A48" s="4" t="n"/>
      <c r="B48" s="4" t="n"/>
      <c r="C48" s="4" t="n"/>
      <c r="D48" s="7" t="n"/>
      <c r="E48" s="7" t="n"/>
      <c r="F48" s="8">
        <f>IF(E48&lt;&gt;"",E48,IF(UPPER(TRIM(C48))="BASIN",IF(UPPER(TRIM(Inputs!$B$52))="YES",Inputs!$B$12,0),IF(UPPER(TRIM(C48))="ROOF",Inputs!$B$10,IF(UPPER(TRIM(C48))="PAVAGE",Inputs!$B$58,IF(UPPER(TRIM(C48))="TRESFOND",Inputs!$B$11,IF(UPPER(TRIM(C48))="GRASS",Inputs!$B$12,Inputs!$B$13))))))</f>
        <v/>
      </c>
      <c r="G48" s="8">
        <f>IF(A48="","",N48)</f>
        <v/>
      </c>
      <c r="H48" s="8">
        <f>IF(A48="","",Inputs!$B$3/((IF(G48="",Inputs!$B$14,G48)+Inputs!$B$4)^Inputs!$B$5))</f>
        <v/>
      </c>
      <c r="I48" s="8">
        <f>IF(A48="","",2.78E-7*F48*D48*H48)</f>
        <v/>
      </c>
      <c r="J48" s="4" t="n"/>
      <c r="K48" s="4" t="n"/>
      <c r="L48" s="5" t="n"/>
      <c r="M48" s="9">
        <f>IF(A48="","",IF(OR(J48="",Inputs!$B$59=""),0,IFERROR(INDEX(Elements_hybrides!$F$4:$F$204,MATCH(J48,Elements_hybrides!$A$4:$A$204,0))/(Inputs!$B$59*60),0)))</f>
        <v/>
      </c>
      <c r="N48" s="9">
        <f>IF(A48="","",IF(L48="",Inputs!$B$14,L48)+M48)</f>
        <v/>
      </c>
    </row>
    <row r="49">
      <c r="A49" s="4" t="n"/>
      <c r="B49" s="4" t="n"/>
      <c r="C49" s="4" t="n"/>
      <c r="D49" s="7" t="n"/>
      <c r="E49" s="7" t="n"/>
      <c r="F49" s="8">
        <f>IF(E49&lt;&gt;"",E49,IF(UPPER(TRIM(C49))="BASIN",IF(UPPER(TRIM(Inputs!$B$52))="YES",Inputs!$B$12,0),IF(UPPER(TRIM(C49))="ROOF",Inputs!$B$10,IF(UPPER(TRIM(C49))="PAVAGE",Inputs!$B$58,IF(UPPER(TRIM(C49))="TRESFOND",Inputs!$B$11,IF(UPPER(TRIM(C49))="GRASS",Inputs!$B$12,Inputs!$B$13))))))</f>
        <v/>
      </c>
      <c r="G49" s="8">
        <f>IF(A49="","",N49)</f>
        <v/>
      </c>
      <c r="H49" s="8">
        <f>IF(A49="","",Inputs!$B$3/((IF(G49="",Inputs!$B$14,G49)+Inputs!$B$4)^Inputs!$B$5))</f>
        <v/>
      </c>
      <c r="I49" s="8">
        <f>IF(A49="","",2.78E-7*F49*D49*H49)</f>
        <v/>
      </c>
      <c r="J49" s="4" t="n"/>
      <c r="K49" s="4" t="n"/>
      <c r="L49" s="5" t="n"/>
      <c r="M49" s="9">
        <f>IF(A49="","",IF(OR(J49="",Inputs!$B$59=""),0,IFERROR(INDEX(Elements_hybrides!$F$4:$F$204,MATCH(J49,Elements_hybrides!$A$4:$A$204,0))/(Inputs!$B$59*60),0)))</f>
        <v/>
      </c>
      <c r="N49" s="9">
        <f>IF(A49="","",IF(L49="",Inputs!$B$14,L49)+M49)</f>
        <v/>
      </c>
    </row>
    <row r="50">
      <c r="A50" s="4" t="n"/>
      <c r="B50" s="4" t="n"/>
      <c r="C50" s="4" t="n"/>
      <c r="D50" s="7" t="n"/>
      <c r="E50" s="7" t="n"/>
      <c r="F50" s="8">
        <f>IF(E50&lt;&gt;"",E50,IF(UPPER(TRIM(C50))="BASIN",IF(UPPER(TRIM(Inputs!$B$52))="YES",Inputs!$B$12,0),IF(UPPER(TRIM(C50))="ROOF",Inputs!$B$10,IF(UPPER(TRIM(C50))="PAVAGE",Inputs!$B$58,IF(UPPER(TRIM(C50))="TRESFOND",Inputs!$B$11,IF(UPPER(TRIM(C50))="GRASS",Inputs!$B$12,Inputs!$B$13))))))</f>
        <v/>
      </c>
      <c r="G50" s="8">
        <f>IF(A50="","",N50)</f>
        <v/>
      </c>
      <c r="H50" s="8">
        <f>IF(A50="","",Inputs!$B$3/((IF(G50="",Inputs!$B$14,G50)+Inputs!$B$4)^Inputs!$B$5))</f>
        <v/>
      </c>
      <c r="I50" s="8">
        <f>IF(A50="","",2.78E-7*F50*D50*H50)</f>
        <v/>
      </c>
      <c r="J50" s="4" t="n"/>
      <c r="K50" s="4" t="n"/>
      <c r="L50" s="5" t="n"/>
      <c r="M50" s="9">
        <f>IF(A50="","",IF(OR(J50="",Inputs!$B$59=""),0,IFERROR(INDEX(Elements_hybrides!$F$4:$F$204,MATCH(J50,Elements_hybrides!$A$4:$A$204,0))/(Inputs!$B$59*60),0)))</f>
        <v/>
      </c>
      <c r="N50" s="9">
        <f>IF(A50="","",IF(L50="",Inputs!$B$14,L50)+M50)</f>
        <v/>
      </c>
    </row>
    <row r="51">
      <c r="A51" s="4" t="n"/>
      <c r="B51" s="4" t="n"/>
      <c r="C51" s="4" t="n"/>
      <c r="D51" s="7" t="n"/>
      <c r="E51" s="7" t="n"/>
      <c r="F51" s="8">
        <f>IF(E51&lt;&gt;"",E51,IF(UPPER(TRIM(C51))="BASIN",IF(UPPER(TRIM(Inputs!$B$52))="YES",Inputs!$B$12,0),IF(UPPER(TRIM(C51))="ROOF",Inputs!$B$10,IF(UPPER(TRIM(C51))="PAVAGE",Inputs!$B$58,IF(UPPER(TRIM(C51))="TRESFOND",Inputs!$B$11,IF(UPPER(TRIM(C51))="GRASS",Inputs!$B$12,Inputs!$B$13))))))</f>
        <v/>
      </c>
      <c r="G51" s="8">
        <f>IF(A51="","",N51)</f>
        <v/>
      </c>
      <c r="H51" s="8">
        <f>IF(A51="","",Inputs!$B$3/((IF(G51="",Inputs!$B$14,G51)+Inputs!$B$4)^Inputs!$B$5))</f>
        <v/>
      </c>
      <c r="I51" s="8">
        <f>IF(A51="","",2.78E-7*F51*D51*H51)</f>
        <v/>
      </c>
      <c r="J51" s="4" t="n"/>
      <c r="K51" s="4" t="n"/>
      <c r="L51" s="5" t="n"/>
      <c r="M51" s="9">
        <f>IF(A51="","",IF(OR(J51="",Inputs!$B$59=""),0,IFERROR(INDEX(Elements_hybrides!$F$4:$F$204,MATCH(J51,Elements_hybrides!$A$4:$A$204,0))/(Inputs!$B$59*60),0)))</f>
        <v/>
      </c>
      <c r="N51" s="9">
        <f>IF(A51="","",IF(L51="",Inputs!$B$14,L51)+M51)</f>
        <v/>
      </c>
    </row>
    <row r="52">
      <c r="A52" s="4" t="n"/>
      <c r="B52" s="4" t="n"/>
      <c r="C52" s="4" t="n"/>
      <c r="D52" s="7" t="n"/>
      <c r="E52" s="7" t="n"/>
      <c r="F52" s="8">
        <f>IF(E52&lt;&gt;"",E52,IF(UPPER(TRIM(C52))="BASIN",IF(UPPER(TRIM(Inputs!$B$52))="YES",Inputs!$B$12,0),IF(UPPER(TRIM(C52))="ROOF",Inputs!$B$10,IF(UPPER(TRIM(C52))="PAVAGE",Inputs!$B$58,IF(UPPER(TRIM(C52))="TRESFOND",Inputs!$B$11,IF(UPPER(TRIM(C52))="GRASS",Inputs!$B$12,Inputs!$B$13))))))</f>
        <v/>
      </c>
      <c r="G52" s="8">
        <f>IF(A52="","",N52)</f>
        <v/>
      </c>
      <c r="H52" s="8">
        <f>IF(A52="","",Inputs!$B$3/((IF(G52="",Inputs!$B$14,G52)+Inputs!$B$4)^Inputs!$B$5))</f>
        <v/>
      </c>
      <c r="I52" s="8">
        <f>IF(A52="","",2.78E-7*F52*D52*H52)</f>
        <v/>
      </c>
      <c r="J52" s="4" t="n"/>
      <c r="K52" s="4" t="n"/>
      <c r="L52" s="5" t="n"/>
      <c r="M52" s="9">
        <f>IF(A52="","",IF(OR(J52="",Inputs!$B$59=""),0,IFERROR(INDEX(Elements_hybrides!$F$4:$F$204,MATCH(J52,Elements_hybrides!$A$4:$A$204,0))/(Inputs!$B$59*60),0)))</f>
        <v/>
      </c>
      <c r="N52" s="9">
        <f>IF(A52="","",IF(L52="",Inputs!$B$14,L52)+M52)</f>
        <v/>
      </c>
    </row>
    <row r="53">
      <c r="A53" s="4" t="n"/>
      <c r="B53" s="4" t="n"/>
      <c r="C53" s="4" t="n"/>
      <c r="D53" s="7" t="n"/>
      <c r="E53" s="7" t="n"/>
      <c r="F53" s="8">
        <f>IF(E53&lt;&gt;"",E53,IF(UPPER(TRIM(C53))="BASIN",IF(UPPER(TRIM(Inputs!$B$52))="YES",Inputs!$B$12,0),IF(UPPER(TRIM(C53))="ROOF",Inputs!$B$10,IF(UPPER(TRIM(C53))="PAVAGE",Inputs!$B$58,IF(UPPER(TRIM(C53))="TRESFOND",Inputs!$B$11,IF(UPPER(TRIM(C53))="GRASS",Inputs!$B$12,Inputs!$B$13))))))</f>
        <v/>
      </c>
      <c r="G53" s="8">
        <f>IF(A53="","",N53)</f>
        <v/>
      </c>
      <c r="H53" s="8">
        <f>IF(A53="","",Inputs!$B$3/((IF(G53="",Inputs!$B$14,G53)+Inputs!$B$4)^Inputs!$B$5))</f>
        <v/>
      </c>
      <c r="I53" s="8">
        <f>IF(A53="","",2.78E-7*F53*D53*H53)</f>
        <v/>
      </c>
      <c r="J53" s="4" t="n"/>
      <c r="K53" s="4" t="n"/>
      <c r="L53" s="5" t="n"/>
      <c r="M53" s="9">
        <f>IF(A53="","",IF(OR(J53="",Inputs!$B$59=""),0,IFERROR(INDEX(Elements_hybrides!$F$4:$F$204,MATCH(J53,Elements_hybrides!$A$4:$A$204,0))/(Inputs!$B$59*60),0)))</f>
        <v/>
      </c>
      <c r="N53" s="9">
        <f>IF(A53="","",IF(L53="",Inputs!$B$14,L53)+M53)</f>
        <v/>
      </c>
    </row>
    <row r="54">
      <c r="A54" s="4" t="n"/>
      <c r="B54" s="4" t="n"/>
      <c r="C54" s="4" t="n"/>
      <c r="D54" s="7" t="n"/>
      <c r="E54" s="7" t="n"/>
      <c r="F54" s="8">
        <f>IF(E54&lt;&gt;"",E54,IF(UPPER(TRIM(C54))="BASIN",IF(UPPER(TRIM(Inputs!$B$52))="YES",Inputs!$B$12,0),IF(UPPER(TRIM(C54))="ROOF",Inputs!$B$10,IF(UPPER(TRIM(C54))="PAVAGE",Inputs!$B$58,IF(UPPER(TRIM(C54))="TRESFOND",Inputs!$B$11,IF(UPPER(TRIM(C54))="GRASS",Inputs!$B$12,Inputs!$B$13))))))</f>
        <v/>
      </c>
      <c r="G54" s="8">
        <f>IF(A54="","",N54)</f>
        <v/>
      </c>
      <c r="H54" s="8">
        <f>IF(A54="","",Inputs!$B$3/((IF(G54="",Inputs!$B$14,G54)+Inputs!$B$4)^Inputs!$B$5))</f>
        <v/>
      </c>
      <c r="I54" s="8">
        <f>IF(A54="","",2.78E-7*F54*D54*H54)</f>
        <v/>
      </c>
      <c r="J54" s="4" t="n"/>
      <c r="K54" s="4" t="n"/>
      <c r="L54" s="5" t="n"/>
      <c r="M54" s="9">
        <f>IF(A54="","",IF(OR(J54="",Inputs!$B$59=""),0,IFERROR(INDEX(Elements_hybrides!$F$4:$F$204,MATCH(J54,Elements_hybrides!$A$4:$A$204,0))/(Inputs!$B$59*60),0)))</f>
        <v/>
      </c>
      <c r="N54" s="9">
        <f>IF(A54="","",IF(L54="",Inputs!$B$14,L54)+M54)</f>
        <v/>
      </c>
    </row>
    <row r="55">
      <c r="A55" s="4" t="n"/>
      <c r="B55" s="4" t="n"/>
      <c r="C55" s="4" t="n"/>
      <c r="D55" s="7" t="n"/>
      <c r="E55" s="7" t="n"/>
      <c r="F55" s="8">
        <f>IF(E55&lt;&gt;"",E55,IF(UPPER(TRIM(C55))="BASIN",IF(UPPER(TRIM(Inputs!$B$52))="YES",Inputs!$B$12,0),IF(UPPER(TRIM(C55))="ROOF",Inputs!$B$10,IF(UPPER(TRIM(C55))="PAVAGE",Inputs!$B$58,IF(UPPER(TRIM(C55))="TRESFOND",Inputs!$B$11,IF(UPPER(TRIM(C55))="GRASS",Inputs!$B$12,Inputs!$B$13))))))</f>
        <v/>
      </c>
      <c r="G55" s="8">
        <f>IF(A55="","",N55)</f>
        <v/>
      </c>
      <c r="H55" s="8">
        <f>IF(A55="","",Inputs!$B$3/((IF(G55="",Inputs!$B$14,G55)+Inputs!$B$4)^Inputs!$B$5))</f>
        <v/>
      </c>
      <c r="I55" s="8">
        <f>IF(A55="","",2.78E-7*F55*D55*H55)</f>
        <v/>
      </c>
      <c r="J55" s="4" t="n"/>
      <c r="K55" s="4" t="n"/>
      <c r="L55" s="5" t="n"/>
      <c r="M55" s="9">
        <f>IF(A55="","",IF(OR(J55="",Inputs!$B$59=""),0,IFERROR(INDEX(Elements_hybrides!$F$4:$F$204,MATCH(J55,Elements_hybrides!$A$4:$A$204,0))/(Inputs!$B$59*60),0)))</f>
        <v/>
      </c>
      <c r="N55" s="9">
        <f>IF(A55="","",IF(L55="",Inputs!$B$14,L55)+M55)</f>
        <v/>
      </c>
    </row>
    <row r="56">
      <c r="A56" s="4" t="n"/>
      <c r="B56" s="4" t="n"/>
      <c r="C56" s="4" t="n"/>
      <c r="D56" s="7" t="n"/>
      <c r="E56" s="7" t="n"/>
      <c r="F56" s="8">
        <f>IF(E56&lt;&gt;"",E56,IF(UPPER(TRIM(C56))="BASIN",IF(UPPER(TRIM(Inputs!$B$52))="YES",Inputs!$B$12,0),IF(UPPER(TRIM(C56))="ROOF",Inputs!$B$10,IF(UPPER(TRIM(C56))="PAVAGE",Inputs!$B$58,IF(UPPER(TRIM(C56))="TRESFOND",Inputs!$B$11,IF(UPPER(TRIM(C56))="GRASS",Inputs!$B$12,Inputs!$B$13))))))</f>
        <v/>
      </c>
      <c r="G56" s="8">
        <f>IF(A56="","",N56)</f>
        <v/>
      </c>
      <c r="H56" s="8">
        <f>IF(A56="","",Inputs!$B$3/((IF(G56="",Inputs!$B$14,G56)+Inputs!$B$4)^Inputs!$B$5))</f>
        <v/>
      </c>
      <c r="I56" s="8">
        <f>IF(A56="","",2.78E-7*F56*D56*H56)</f>
        <v/>
      </c>
      <c r="J56" s="4" t="n"/>
      <c r="K56" s="4" t="n"/>
      <c r="L56" s="5" t="n"/>
      <c r="M56" s="9">
        <f>IF(A56="","",IF(OR(J56="",Inputs!$B$59=""),0,IFERROR(INDEX(Elements_hybrides!$F$4:$F$204,MATCH(J56,Elements_hybrides!$A$4:$A$204,0))/(Inputs!$B$59*60),0)))</f>
        <v/>
      </c>
      <c r="N56" s="9">
        <f>IF(A56="","",IF(L56="",Inputs!$B$14,L56)+M56)</f>
        <v/>
      </c>
    </row>
    <row r="57">
      <c r="A57" s="4" t="n"/>
      <c r="B57" s="4" t="n"/>
      <c r="C57" s="4" t="n"/>
      <c r="D57" s="7" t="n"/>
      <c r="E57" s="7" t="n"/>
      <c r="F57" s="8">
        <f>IF(E57&lt;&gt;"",E57,IF(UPPER(TRIM(C57))="BASIN",IF(UPPER(TRIM(Inputs!$B$52))="YES",Inputs!$B$12,0),IF(UPPER(TRIM(C57))="ROOF",Inputs!$B$10,IF(UPPER(TRIM(C57))="PAVAGE",Inputs!$B$58,IF(UPPER(TRIM(C57))="TRESFOND",Inputs!$B$11,IF(UPPER(TRIM(C57))="GRASS",Inputs!$B$12,Inputs!$B$13))))))</f>
        <v/>
      </c>
      <c r="G57" s="8">
        <f>IF(A57="","",N57)</f>
        <v/>
      </c>
      <c r="H57" s="8">
        <f>IF(A57="","",Inputs!$B$3/((IF(G57="",Inputs!$B$14,G57)+Inputs!$B$4)^Inputs!$B$5))</f>
        <v/>
      </c>
      <c r="I57" s="8">
        <f>IF(A57="","",2.78E-7*F57*D57*H57)</f>
        <v/>
      </c>
      <c r="J57" s="4" t="n"/>
      <c r="K57" s="4" t="n"/>
      <c r="L57" s="5" t="n"/>
      <c r="M57" s="9">
        <f>IF(A57="","",IF(OR(J57="",Inputs!$B$59=""),0,IFERROR(INDEX(Elements_hybrides!$F$4:$F$204,MATCH(J57,Elements_hybrides!$A$4:$A$204,0))/(Inputs!$B$59*60),0)))</f>
        <v/>
      </c>
      <c r="N57" s="9">
        <f>IF(A57="","",IF(L57="",Inputs!$B$14,L57)+M57)</f>
        <v/>
      </c>
    </row>
    <row r="58">
      <c r="A58" s="4" t="n"/>
      <c r="B58" s="4" t="n"/>
      <c r="C58" s="4" t="n"/>
      <c r="D58" s="7" t="n"/>
      <c r="E58" s="7" t="n"/>
      <c r="F58" s="8">
        <f>IF(E58&lt;&gt;"",E58,IF(UPPER(TRIM(C58))="BASIN",IF(UPPER(TRIM(Inputs!$B$52))="YES",Inputs!$B$12,0),IF(UPPER(TRIM(C58))="ROOF",Inputs!$B$10,IF(UPPER(TRIM(C58))="PAVAGE",Inputs!$B$58,IF(UPPER(TRIM(C58))="TRESFOND",Inputs!$B$11,IF(UPPER(TRIM(C58))="GRASS",Inputs!$B$12,Inputs!$B$13))))))</f>
        <v/>
      </c>
      <c r="G58" s="8">
        <f>IF(A58="","",N58)</f>
        <v/>
      </c>
      <c r="H58" s="8">
        <f>IF(A58="","",Inputs!$B$3/((IF(G58="",Inputs!$B$14,G58)+Inputs!$B$4)^Inputs!$B$5))</f>
        <v/>
      </c>
      <c r="I58" s="8">
        <f>IF(A58="","",2.78E-7*F58*D58*H58)</f>
        <v/>
      </c>
      <c r="J58" s="4" t="n"/>
      <c r="K58" s="4" t="n"/>
      <c r="L58" s="5" t="n"/>
      <c r="M58" s="9">
        <f>IF(A58="","",IF(OR(J58="",Inputs!$B$59=""),0,IFERROR(INDEX(Elements_hybrides!$F$4:$F$204,MATCH(J58,Elements_hybrides!$A$4:$A$204,0))/(Inputs!$B$59*60),0)))</f>
        <v/>
      </c>
      <c r="N58" s="9">
        <f>IF(A58="","",IF(L58="",Inputs!$B$14,L58)+M58)</f>
        <v/>
      </c>
    </row>
    <row r="59">
      <c r="A59" s="4" t="n"/>
      <c r="B59" s="4" t="n"/>
      <c r="C59" s="4" t="n"/>
      <c r="D59" s="7" t="n"/>
      <c r="E59" s="7" t="n"/>
      <c r="F59" s="8">
        <f>IF(E59&lt;&gt;"",E59,IF(UPPER(TRIM(C59))="BASIN",IF(UPPER(TRIM(Inputs!$B$52))="YES",Inputs!$B$12,0),IF(UPPER(TRIM(C59))="ROOF",Inputs!$B$10,IF(UPPER(TRIM(C59))="PAVAGE",Inputs!$B$58,IF(UPPER(TRIM(C59))="TRESFOND",Inputs!$B$11,IF(UPPER(TRIM(C59))="GRASS",Inputs!$B$12,Inputs!$B$13))))))</f>
        <v/>
      </c>
      <c r="G59" s="8">
        <f>IF(A59="","",N59)</f>
        <v/>
      </c>
      <c r="H59" s="8">
        <f>IF(A59="","",Inputs!$B$3/((IF(G59="",Inputs!$B$14,G59)+Inputs!$B$4)^Inputs!$B$5))</f>
        <v/>
      </c>
      <c r="I59" s="8">
        <f>IF(A59="","",2.78E-7*F59*D59*H59)</f>
        <v/>
      </c>
      <c r="J59" s="4" t="n"/>
      <c r="K59" s="4" t="n"/>
      <c r="L59" s="5" t="n"/>
      <c r="M59" s="9">
        <f>IF(A59="","",IF(OR(J59="",Inputs!$B$59=""),0,IFERROR(INDEX(Elements_hybrides!$F$4:$F$204,MATCH(J59,Elements_hybrides!$A$4:$A$204,0))/(Inputs!$B$59*60),0)))</f>
        <v/>
      </c>
      <c r="N59" s="9">
        <f>IF(A59="","",IF(L59="",Inputs!$B$14,L59)+M59)</f>
        <v/>
      </c>
    </row>
    <row r="60">
      <c r="A60" s="4" t="n"/>
      <c r="B60" s="4" t="n"/>
      <c r="C60" s="4" t="n"/>
      <c r="D60" s="7" t="n"/>
      <c r="E60" s="7" t="n"/>
      <c r="F60" s="8">
        <f>IF(E60&lt;&gt;"",E60,IF(UPPER(TRIM(C60))="BASIN",IF(UPPER(TRIM(Inputs!$B$52))="YES",Inputs!$B$12,0),IF(UPPER(TRIM(C60))="ROOF",Inputs!$B$10,IF(UPPER(TRIM(C60))="PAVAGE",Inputs!$B$58,IF(UPPER(TRIM(C60))="TRESFOND",Inputs!$B$11,IF(UPPER(TRIM(C60))="GRASS",Inputs!$B$12,Inputs!$B$13))))))</f>
        <v/>
      </c>
      <c r="G60" s="8">
        <f>IF(A60="","",N60)</f>
        <v/>
      </c>
      <c r="H60" s="8">
        <f>IF(A60="","",Inputs!$B$3/((IF(G60="",Inputs!$B$14,G60)+Inputs!$B$4)^Inputs!$B$5))</f>
        <v/>
      </c>
      <c r="I60" s="8">
        <f>IF(A60="","",2.78E-7*F60*D60*H60)</f>
        <v/>
      </c>
      <c r="J60" s="4" t="n"/>
      <c r="K60" s="4" t="n"/>
      <c r="L60" s="5" t="n"/>
      <c r="M60" s="9">
        <f>IF(A60="","",IF(OR(J60="",Inputs!$B$59=""),0,IFERROR(INDEX(Elements_hybrides!$F$4:$F$204,MATCH(J60,Elements_hybrides!$A$4:$A$204,0))/(Inputs!$B$59*60),0)))</f>
        <v/>
      </c>
      <c r="N60" s="9">
        <f>IF(A60="","",IF(L60="",Inputs!$B$14,L60)+M60)</f>
        <v/>
      </c>
    </row>
    <row r="61">
      <c r="A61" s="4" t="n"/>
      <c r="B61" s="4" t="n"/>
      <c r="C61" s="4" t="n"/>
      <c r="D61" s="7" t="n"/>
      <c r="E61" s="7" t="n"/>
      <c r="F61" s="8">
        <f>IF(E61&lt;&gt;"",E61,IF(UPPER(TRIM(C61))="BASIN",IF(UPPER(TRIM(Inputs!$B$52))="YES",Inputs!$B$12,0),IF(UPPER(TRIM(C61))="ROOF",Inputs!$B$10,IF(UPPER(TRIM(C61))="PAVAGE",Inputs!$B$58,IF(UPPER(TRIM(C61))="TRESFOND",Inputs!$B$11,IF(UPPER(TRIM(C61))="GRASS",Inputs!$B$12,Inputs!$B$13))))))</f>
        <v/>
      </c>
      <c r="G61" s="8">
        <f>IF(A61="","",N61)</f>
        <v/>
      </c>
      <c r="H61" s="8">
        <f>IF(A61="","",Inputs!$B$3/((IF(G61="",Inputs!$B$14,G61)+Inputs!$B$4)^Inputs!$B$5))</f>
        <v/>
      </c>
      <c r="I61" s="8">
        <f>IF(A61="","",2.78E-7*F61*D61*H61)</f>
        <v/>
      </c>
      <c r="J61" s="4" t="n"/>
      <c r="K61" s="4" t="n"/>
      <c r="L61" s="5" t="n"/>
      <c r="M61" s="9">
        <f>IF(A61="","",IF(OR(J61="",Inputs!$B$59=""),0,IFERROR(INDEX(Elements_hybrides!$F$4:$F$204,MATCH(J61,Elements_hybrides!$A$4:$A$204,0))/(Inputs!$B$59*60),0)))</f>
        <v/>
      </c>
      <c r="N61" s="9">
        <f>IF(A61="","",IF(L61="",Inputs!$B$14,L61)+M61)</f>
        <v/>
      </c>
    </row>
    <row r="62">
      <c r="A62" s="4" t="n"/>
      <c r="B62" s="4" t="n"/>
      <c r="C62" s="4" t="n"/>
      <c r="D62" s="7" t="n"/>
      <c r="E62" s="7" t="n"/>
      <c r="F62" s="8">
        <f>IF(E62&lt;&gt;"",E62,IF(UPPER(TRIM(C62))="BASIN",IF(UPPER(TRIM(Inputs!$B$52))="YES",Inputs!$B$12,0),IF(UPPER(TRIM(C62))="ROOF",Inputs!$B$10,IF(UPPER(TRIM(C62))="PAVAGE",Inputs!$B$58,IF(UPPER(TRIM(C62))="TRESFOND",Inputs!$B$11,IF(UPPER(TRIM(C62))="GRASS",Inputs!$B$12,Inputs!$B$13))))))</f>
        <v/>
      </c>
      <c r="G62" s="8">
        <f>IF(A62="","",N62)</f>
        <v/>
      </c>
      <c r="H62" s="8">
        <f>IF(A62="","",Inputs!$B$3/((IF(G62="",Inputs!$B$14,G62)+Inputs!$B$4)^Inputs!$B$5))</f>
        <v/>
      </c>
      <c r="I62" s="8">
        <f>IF(A62="","",2.78E-7*F62*D62*H62)</f>
        <v/>
      </c>
      <c r="J62" s="4" t="n"/>
      <c r="K62" s="4" t="n"/>
      <c r="L62" s="5" t="n"/>
      <c r="M62" s="9">
        <f>IF(A62="","",IF(OR(J62="",Inputs!$B$59=""),0,IFERROR(INDEX(Elements_hybrides!$F$4:$F$204,MATCH(J62,Elements_hybrides!$A$4:$A$204,0))/(Inputs!$B$59*60),0)))</f>
        <v/>
      </c>
      <c r="N62" s="9">
        <f>IF(A62="","",IF(L62="",Inputs!$B$14,L62)+M62)</f>
        <v/>
      </c>
    </row>
    <row r="63">
      <c r="A63" s="4" t="n"/>
      <c r="B63" s="4" t="n"/>
      <c r="C63" s="4" t="n"/>
      <c r="D63" s="7" t="n"/>
      <c r="E63" s="7" t="n"/>
      <c r="F63" s="8">
        <f>IF(E63&lt;&gt;"",E63,IF(UPPER(TRIM(C63))="BASIN",IF(UPPER(TRIM(Inputs!$B$52))="YES",Inputs!$B$12,0),IF(UPPER(TRIM(C63))="ROOF",Inputs!$B$10,IF(UPPER(TRIM(C63))="PAVAGE",Inputs!$B$58,IF(UPPER(TRIM(C63))="TRESFOND",Inputs!$B$11,IF(UPPER(TRIM(C63))="GRASS",Inputs!$B$12,Inputs!$B$13))))))</f>
        <v/>
      </c>
      <c r="G63" s="8">
        <f>IF(A63="","",N63)</f>
        <v/>
      </c>
      <c r="H63" s="8">
        <f>IF(A63="","",Inputs!$B$3/((IF(G63="",Inputs!$B$14,G63)+Inputs!$B$4)^Inputs!$B$5))</f>
        <v/>
      </c>
      <c r="I63" s="8">
        <f>IF(A63="","",2.78E-7*F63*D63*H63)</f>
        <v/>
      </c>
      <c r="J63" s="4" t="n"/>
      <c r="K63" s="4" t="n"/>
      <c r="L63" s="5" t="n"/>
      <c r="M63" s="9">
        <f>IF(A63="","",IF(OR(J63="",Inputs!$B$59=""),0,IFERROR(INDEX(Elements_hybrides!$F$4:$F$204,MATCH(J63,Elements_hybrides!$A$4:$A$204,0))/(Inputs!$B$59*60),0)))</f>
        <v/>
      </c>
      <c r="N63" s="9">
        <f>IF(A63="","",IF(L63="",Inputs!$B$14,L63)+M63)</f>
        <v/>
      </c>
    </row>
    <row r="64">
      <c r="A64" s="4" t="n"/>
      <c r="B64" s="4" t="n"/>
      <c r="C64" s="4" t="n"/>
      <c r="D64" s="7" t="n"/>
      <c r="E64" s="7" t="n"/>
      <c r="F64" s="8">
        <f>IF(E64&lt;&gt;"",E64,IF(UPPER(TRIM(C64))="BASIN",IF(UPPER(TRIM(Inputs!$B$52))="YES",Inputs!$B$12,0),IF(UPPER(TRIM(C64))="ROOF",Inputs!$B$10,IF(UPPER(TRIM(C64))="PAVAGE",Inputs!$B$58,IF(UPPER(TRIM(C64))="TRESFOND",Inputs!$B$11,IF(UPPER(TRIM(C64))="GRASS",Inputs!$B$12,Inputs!$B$13))))))</f>
        <v/>
      </c>
      <c r="G64" s="8">
        <f>IF(A64="","",N64)</f>
        <v/>
      </c>
      <c r="H64" s="8">
        <f>IF(A64="","",Inputs!$B$3/((IF(G64="",Inputs!$B$14,G64)+Inputs!$B$4)^Inputs!$B$5))</f>
        <v/>
      </c>
      <c r="I64" s="8">
        <f>IF(A64="","",2.78E-7*F64*D64*H64)</f>
        <v/>
      </c>
      <c r="J64" s="4" t="n"/>
      <c r="K64" s="4" t="n"/>
      <c r="L64" s="5" t="n"/>
      <c r="M64" s="9">
        <f>IF(A64="","",IF(OR(J64="",Inputs!$B$59=""),0,IFERROR(INDEX(Elements_hybrides!$F$4:$F$204,MATCH(J64,Elements_hybrides!$A$4:$A$204,0))/(Inputs!$B$59*60),0)))</f>
        <v/>
      </c>
      <c r="N64" s="9">
        <f>IF(A64="","",IF(L64="",Inputs!$B$14,L64)+M64)</f>
        <v/>
      </c>
    </row>
    <row r="65">
      <c r="A65" s="4" t="n"/>
      <c r="B65" s="4" t="n"/>
      <c r="C65" s="4" t="n"/>
      <c r="D65" s="7" t="n"/>
      <c r="E65" s="7" t="n"/>
      <c r="F65" s="8">
        <f>IF(E65&lt;&gt;"",E65,IF(UPPER(TRIM(C65))="BASIN",IF(UPPER(TRIM(Inputs!$B$52))="YES",Inputs!$B$12,0),IF(UPPER(TRIM(C65))="ROOF",Inputs!$B$10,IF(UPPER(TRIM(C65))="PAVAGE",Inputs!$B$58,IF(UPPER(TRIM(C65))="TRESFOND",Inputs!$B$11,IF(UPPER(TRIM(C65))="GRASS",Inputs!$B$12,Inputs!$B$13))))))</f>
        <v/>
      </c>
      <c r="G65" s="8">
        <f>IF(A65="","",N65)</f>
        <v/>
      </c>
      <c r="H65" s="8">
        <f>IF(A65="","",Inputs!$B$3/((IF(G65="",Inputs!$B$14,G65)+Inputs!$B$4)^Inputs!$B$5))</f>
        <v/>
      </c>
      <c r="I65" s="8">
        <f>IF(A65="","",2.78E-7*F65*D65*H65)</f>
        <v/>
      </c>
      <c r="J65" s="4" t="n"/>
      <c r="K65" s="4" t="n"/>
      <c r="L65" s="5" t="n"/>
      <c r="M65" s="9">
        <f>IF(A65="","",IF(OR(J65="",Inputs!$B$59=""),0,IFERROR(INDEX(Elements_hybrides!$F$4:$F$204,MATCH(J65,Elements_hybrides!$A$4:$A$204,0))/(Inputs!$B$59*60),0)))</f>
        <v/>
      </c>
      <c r="N65" s="9">
        <f>IF(A65="","",IF(L65="",Inputs!$B$14,L65)+M65)</f>
        <v/>
      </c>
    </row>
    <row r="66">
      <c r="A66" s="4" t="n"/>
      <c r="B66" s="4" t="n"/>
      <c r="C66" s="4" t="n"/>
      <c r="D66" s="7" t="n"/>
      <c r="E66" s="7" t="n"/>
      <c r="F66" s="8">
        <f>IF(E66&lt;&gt;"",E66,IF(UPPER(TRIM(C66))="BASIN",IF(UPPER(TRIM(Inputs!$B$52))="YES",Inputs!$B$12,0),IF(UPPER(TRIM(C66))="ROOF",Inputs!$B$10,IF(UPPER(TRIM(C66))="PAVAGE",Inputs!$B$58,IF(UPPER(TRIM(C66))="TRESFOND",Inputs!$B$11,IF(UPPER(TRIM(C66))="GRASS",Inputs!$B$12,Inputs!$B$13))))))</f>
        <v/>
      </c>
      <c r="G66" s="8">
        <f>IF(A66="","",N66)</f>
        <v/>
      </c>
      <c r="H66" s="8">
        <f>IF(A66="","",Inputs!$B$3/((IF(G66="",Inputs!$B$14,G66)+Inputs!$B$4)^Inputs!$B$5))</f>
        <v/>
      </c>
      <c r="I66" s="8">
        <f>IF(A66="","",2.78E-7*F66*D66*H66)</f>
        <v/>
      </c>
      <c r="J66" s="4" t="n"/>
      <c r="K66" s="4" t="n"/>
      <c r="L66" s="5" t="n"/>
      <c r="M66" s="9">
        <f>IF(A66="","",IF(OR(J66="",Inputs!$B$59=""),0,IFERROR(INDEX(Elements_hybrides!$F$4:$F$204,MATCH(J66,Elements_hybrides!$A$4:$A$204,0))/(Inputs!$B$59*60),0)))</f>
        <v/>
      </c>
      <c r="N66" s="9">
        <f>IF(A66="","",IF(L66="",Inputs!$B$14,L66)+M66)</f>
        <v/>
      </c>
    </row>
    <row r="67">
      <c r="A67" s="4" t="n"/>
      <c r="B67" s="4" t="n"/>
      <c r="C67" s="4" t="n"/>
      <c r="D67" s="7" t="n"/>
      <c r="E67" s="7" t="n"/>
      <c r="F67" s="8">
        <f>IF(E67&lt;&gt;"",E67,IF(UPPER(TRIM(C67))="BASIN",IF(UPPER(TRIM(Inputs!$B$52))="YES",Inputs!$B$12,0),IF(UPPER(TRIM(C67))="ROOF",Inputs!$B$10,IF(UPPER(TRIM(C67))="PAVAGE",Inputs!$B$58,IF(UPPER(TRIM(C67))="TRESFOND",Inputs!$B$11,IF(UPPER(TRIM(C67))="GRASS",Inputs!$B$12,Inputs!$B$13))))))</f>
        <v/>
      </c>
      <c r="G67" s="8">
        <f>IF(A67="","",N67)</f>
        <v/>
      </c>
      <c r="H67" s="8">
        <f>IF(A67="","",Inputs!$B$3/((IF(G67="",Inputs!$B$14,G67)+Inputs!$B$4)^Inputs!$B$5))</f>
        <v/>
      </c>
      <c r="I67" s="8">
        <f>IF(A67="","",2.78E-7*F67*D67*H67)</f>
        <v/>
      </c>
      <c r="J67" s="4" t="n"/>
      <c r="K67" s="4" t="n"/>
      <c r="L67" s="5" t="n"/>
      <c r="M67" s="9">
        <f>IF(A67="","",IF(OR(J67="",Inputs!$B$59=""),0,IFERROR(INDEX(Elements_hybrides!$F$4:$F$204,MATCH(J67,Elements_hybrides!$A$4:$A$204,0))/(Inputs!$B$59*60),0)))</f>
        <v/>
      </c>
      <c r="N67" s="9">
        <f>IF(A67="","",IF(L67="",Inputs!$B$14,L67)+M67)</f>
        <v/>
      </c>
    </row>
    <row r="68">
      <c r="A68" s="4" t="n"/>
      <c r="B68" s="4" t="n"/>
      <c r="C68" s="4" t="n"/>
      <c r="D68" s="7" t="n"/>
      <c r="E68" s="7" t="n"/>
      <c r="F68" s="8">
        <f>IF(E68&lt;&gt;"",E68,IF(UPPER(TRIM(C68))="BASIN",IF(UPPER(TRIM(Inputs!$B$52))="YES",Inputs!$B$12,0),IF(UPPER(TRIM(C68))="ROOF",Inputs!$B$10,IF(UPPER(TRIM(C68))="PAVAGE",Inputs!$B$58,IF(UPPER(TRIM(C68))="TRESFOND",Inputs!$B$11,IF(UPPER(TRIM(C68))="GRASS",Inputs!$B$12,Inputs!$B$13))))))</f>
        <v/>
      </c>
      <c r="G68" s="8">
        <f>IF(A68="","",N68)</f>
        <v/>
      </c>
      <c r="H68" s="8">
        <f>IF(A68="","",Inputs!$B$3/((IF(G68="",Inputs!$B$14,G68)+Inputs!$B$4)^Inputs!$B$5))</f>
        <v/>
      </c>
      <c r="I68" s="8">
        <f>IF(A68="","",2.78E-7*F68*D68*H68)</f>
        <v/>
      </c>
      <c r="J68" s="4" t="n"/>
      <c r="K68" s="4" t="n"/>
      <c r="L68" s="5" t="n"/>
      <c r="M68" s="9">
        <f>IF(A68="","",IF(OR(J68="",Inputs!$B$59=""),0,IFERROR(INDEX(Elements_hybrides!$F$4:$F$204,MATCH(J68,Elements_hybrides!$A$4:$A$204,0))/(Inputs!$B$59*60),0)))</f>
        <v/>
      </c>
      <c r="N68" s="9">
        <f>IF(A68="","",IF(L68="",Inputs!$B$14,L68)+M68)</f>
        <v/>
      </c>
    </row>
    <row r="69">
      <c r="A69" s="4" t="n"/>
      <c r="B69" s="4" t="n"/>
      <c r="C69" s="4" t="n"/>
      <c r="D69" s="7" t="n"/>
      <c r="E69" s="7" t="n"/>
      <c r="F69" s="8">
        <f>IF(E69&lt;&gt;"",E69,IF(UPPER(TRIM(C69))="BASIN",IF(UPPER(TRIM(Inputs!$B$52))="YES",Inputs!$B$12,0),IF(UPPER(TRIM(C69))="ROOF",Inputs!$B$10,IF(UPPER(TRIM(C69))="PAVAGE",Inputs!$B$58,IF(UPPER(TRIM(C69))="TRESFOND",Inputs!$B$11,IF(UPPER(TRIM(C69))="GRASS",Inputs!$B$12,Inputs!$B$13))))))</f>
        <v/>
      </c>
      <c r="G69" s="8">
        <f>IF(A69="","",N69)</f>
        <v/>
      </c>
      <c r="H69" s="8">
        <f>IF(A69="","",Inputs!$B$3/((IF(G69="",Inputs!$B$14,G69)+Inputs!$B$4)^Inputs!$B$5))</f>
        <v/>
      </c>
      <c r="I69" s="8">
        <f>IF(A69="","",2.78E-7*F69*D69*H69)</f>
        <v/>
      </c>
      <c r="J69" s="4" t="n"/>
      <c r="K69" s="4" t="n"/>
      <c r="L69" s="5" t="n"/>
      <c r="M69" s="9">
        <f>IF(A69="","",IF(OR(J69="",Inputs!$B$59=""),0,IFERROR(INDEX(Elements_hybrides!$F$4:$F$204,MATCH(J69,Elements_hybrides!$A$4:$A$204,0))/(Inputs!$B$59*60),0)))</f>
        <v/>
      </c>
      <c r="N69" s="9">
        <f>IF(A69="","",IF(L69="",Inputs!$B$14,L69)+M69)</f>
        <v/>
      </c>
    </row>
    <row r="70">
      <c r="A70" s="4" t="n"/>
      <c r="B70" s="4" t="n"/>
      <c r="C70" s="4" t="n"/>
      <c r="D70" s="7" t="n"/>
      <c r="E70" s="7" t="n"/>
      <c r="F70" s="8">
        <f>IF(E70&lt;&gt;"",E70,IF(UPPER(TRIM(C70))="BASIN",IF(UPPER(TRIM(Inputs!$B$52))="YES",Inputs!$B$12,0),IF(UPPER(TRIM(C70))="ROOF",Inputs!$B$10,IF(UPPER(TRIM(C70))="PAVAGE",Inputs!$B$58,IF(UPPER(TRIM(C70))="TRESFOND",Inputs!$B$11,IF(UPPER(TRIM(C70))="GRASS",Inputs!$B$12,Inputs!$B$13))))))</f>
        <v/>
      </c>
      <c r="G70" s="8">
        <f>IF(A70="","",N70)</f>
        <v/>
      </c>
      <c r="H70" s="8">
        <f>IF(A70="","",Inputs!$B$3/((IF(G70="",Inputs!$B$14,G70)+Inputs!$B$4)^Inputs!$B$5))</f>
        <v/>
      </c>
      <c r="I70" s="8">
        <f>IF(A70="","",2.78E-7*F70*D70*H70)</f>
        <v/>
      </c>
      <c r="J70" s="4" t="n"/>
      <c r="K70" s="4" t="n"/>
      <c r="L70" s="5" t="n"/>
      <c r="M70" s="9">
        <f>IF(A70="","",IF(OR(J70="",Inputs!$B$59=""),0,IFERROR(INDEX(Elements_hybrides!$F$4:$F$204,MATCH(J70,Elements_hybrides!$A$4:$A$204,0))/(Inputs!$B$59*60),0)))</f>
        <v/>
      </c>
      <c r="N70" s="9">
        <f>IF(A70="","",IF(L70="",Inputs!$B$14,L70)+M70)</f>
        <v/>
      </c>
    </row>
    <row r="71">
      <c r="A71" s="4" t="n"/>
      <c r="B71" s="4" t="n"/>
      <c r="C71" s="4" t="n"/>
      <c r="D71" s="7" t="n"/>
      <c r="E71" s="7" t="n"/>
      <c r="F71" s="8">
        <f>IF(E71&lt;&gt;"",E71,IF(UPPER(TRIM(C71))="BASIN",IF(UPPER(TRIM(Inputs!$B$52))="YES",Inputs!$B$12,0),IF(UPPER(TRIM(C71))="ROOF",Inputs!$B$10,IF(UPPER(TRIM(C71))="PAVAGE",Inputs!$B$58,IF(UPPER(TRIM(C71))="TRESFOND",Inputs!$B$11,IF(UPPER(TRIM(C71))="GRASS",Inputs!$B$12,Inputs!$B$13))))))</f>
        <v/>
      </c>
      <c r="G71" s="8">
        <f>IF(A71="","",N71)</f>
        <v/>
      </c>
      <c r="H71" s="8">
        <f>IF(A71="","",Inputs!$B$3/((IF(G71="",Inputs!$B$14,G71)+Inputs!$B$4)^Inputs!$B$5))</f>
        <v/>
      </c>
      <c r="I71" s="8">
        <f>IF(A71="","",2.78E-7*F71*D71*H71)</f>
        <v/>
      </c>
      <c r="J71" s="4" t="n"/>
      <c r="K71" s="4" t="n"/>
      <c r="L71" s="5" t="n"/>
      <c r="M71" s="9">
        <f>IF(A71="","",IF(OR(J71="",Inputs!$B$59=""),0,IFERROR(INDEX(Elements_hybrides!$F$4:$F$204,MATCH(J71,Elements_hybrides!$A$4:$A$204,0))/(Inputs!$B$59*60),0)))</f>
        <v/>
      </c>
      <c r="N71" s="9">
        <f>IF(A71="","",IF(L71="",Inputs!$B$14,L71)+M71)</f>
        <v/>
      </c>
    </row>
    <row r="72">
      <c r="A72" s="4" t="n"/>
      <c r="B72" s="4" t="n"/>
      <c r="C72" s="4" t="n"/>
      <c r="D72" s="7" t="n"/>
      <c r="E72" s="7" t="n"/>
      <c r="F72" s="8">
        <f>IF(E72&lt;&gt;"",E72,IF(UPPER(TRIM(C72))="BASIN",IF(UPPER(TRIM(Inputs!$B$52))="YES",Inputs!$B$12,0),IF(UPPER(TRIM(C72))="ROOF",Inputs!$B$10,IF(UPPER(TRIM(C72))="PAVAGE",Inputs!$B$58,IF(UPPER(TRIM(C72))="TRESFOND",Inputs!$B$11,IF(UPPER(TRIM(C72))="GRASS",Inputs!$B$12,Inputs!$B$13))))))</f>
        <v/>
      </c>
      <c r="G72" s="8">
        <f>IF(A72="","",N72)</f>
        <v/>
      </c>
      <c r="H72" s="8">
        <f>IF(A72="","",Inputs!$B$3/((IF(G72="",Inputs!$B$14,G72)+Inputs!$B$4)^Inputs!$B$5))</f>
        <v/>
      </c>
      <c r="I72" s="8">
        <f>IF(A72="","",2.78E-7*F72*D72*H72)</f>
        <v/>
      </c>
      <c r="J72" s="4" t="n"/>
      <c r="K72" s="4" t="n"/>
      <c r="L72" s="5" t="n"/>
      <c r="M72" s="9">
        <f>IF(A72="","",IF(OR(J72="",Inputs!$B$59=""),0,IFERROR(INDEX(Elements_hybrides!$F$4:$F$204,MATCH(J72,Elements_hybrides!$A$4:$A$204,0))/(Inputs!$B$59*60),0)))</f>
        <v/>
      </c>
      <c r="N72" s="9">
        <f>IF(A72="","",IF(L72="",Inputs!$B$14,L72)+M72)</f>
        <v/>
      </c>
    </row>
    <row r="73">
      <c r="A73" s="4" t="n"/>
      <c r="B73" s="4" t="n"/>
      <c r="C73" s="4" t="n"/>
      <c r="D73" s="7" t="n"/>
      <c r="E73" s="7" t="n"/>
      <c r="F73" s="8">
        <f>IF(E73&lt;&gt;"",E73,IF(UPPER(TRIM(C73))="BASIN",IF(UPPER(TRIM(Inputs!$B$52))="YES",Inputs!$B$12,0),IF(UPPER(TRIM(C73))="ROOF",Inputs!$B$10,IF(UPPER(TRIM(C73))="PAVAGE",Inputs!$B$58,IF(UPPER(TRIM(C73))="TRESFOND",Inputs!$B$11,IF(UPPER(TRIM(C73))="GRASS",Inputs!$B$12,Inputs!$B$13))))))</f>
        <v/>
      </c>
      <c r="G73" s="8">
        <f>IF(A73="","",N73)</f>
        <v/>
      </c>
      <c r="H73" s="8">
        <f>IF(A73="","",Inputs!$B$3/((IF(G73="",Inputs!$B$14,G73)+Inputs!$B$4)^Inputs!$B$5))</f>
        <v/>
      </c>
      <c r="I73" s="8">
        <f>IF(A73="","",2.78E-7*F73*D73*H73)</f>
        <v/>
      </c>
      <c r="J73" s="4" t="n"/>
      <c r="K73" s="4" t="n"/>
      <c r="L73" s="5" t="n"/>
      <c r="M73" s="9">
        <f>IF(A73="","",IF(OR(J73="",Inputs!$B$59=""),0,IFERROR(INDEX(Elements_hybrides!$F$4:$F$204,MATCH(J73,Elements_hybrides!$A$4:$A$204,0))/(Inputs!$B$59*60),0)))</f>
        <v/>
      </c>
      <c r="N73" s="9">
        <f>IF(A73="","",IF(L73="",Inputs!$B$14,L73)+M73)</f>
        <v/>
      </c>
    </row>
    <row r="74">
      <c r="A74" s="4" t="n"/>
      <c r="B74" s="4" t="n"/>
      <c r="C74" s="4" t="n"/>
      <c r="D74" s="7" t="n"/>
      <c r="E74" s="7" t="n"/>
      <c r="F74" s="8">
        <f>IF(E74&lt;&gt;"",E74,IF(UPPER(TRIM(C74))="BASIN",IF(UPPER(TRIM(Inputs!$B$52))="YES",Inputs!$B$12,0),IF(UPPER(TRIM(C74))="ROOF",Inputs!$B$10,IF(UPPER(TRIM(C74))="PAVAGE",Inputs!$B$58,IF(UPPER(TRIM(C74))="TRESFOND",Inputs!$B$11,IF(UPPER(TRIM(C74))="GRASS",Inputs!$B$12,Inputs!$B$13))))))</f>
        <v/>
      </c>
      <c r="G74" s="8">
        <f>IF(A74="","",N74)</f>
        <v/>
      </c>
      <c r="H74" s="8">
        <f>IF(A74="","",Inputs!$B$3/((IF(G74="",Inputs!$B$14,G74)+Inputs!$B$4)^Inputs!$B$5))</f>
        <v/>
      </c>
      <c r="I74" s="8">
        <f>IF(A74="","",2.78E-7*F74*D74*H74)</f>
        <v/>
      </c>
      <c r="J74" s="4" t="n"/>
      <c r="K74" s="4" t="n"/>
      <c r="L74" s="5" t="n"/>
      <c r="M74" s="9">
        <f>IF(A74="","",IF(OR(J74="",Inputs!$B$59=""),0,IFERROR(INDEX(Elements_hybrides!$F$4:$F$204,MATCH(J74,Elements_hybrides!$A$4:$A$204,0))/(Inputs!$B$59*60),0)))</f>
        <v/>
      </c>
      <c r="N74" s="9">
        <f>IF(A74="","",IF(L74="",Inputs!$B$14,L74)+M74)</f>
        <v/>
      </c>
    </row>
    <row r="75">
      <c r="A75" s="4" t="n"/>
      <c r="B75" s="4" t="n"/>
      <c r="C75" s="4" t="n"/>
      <c r="D75" s="7" t="n"/>
      <c r="E75" s="7" t="n"/>
      <c r="F75" s="8">
        <f>IF(E75&lt;&gt;"",E75,IF(UPPER(TRIM(C75))="BASIN",IF(UPPER(TRIM(Inputs!$B$52))="YES",Inputs!$B$12,0),IF(UPPER(TRIM(C75))="ROOF",Inputs!$B$10,IF(UPPER(TRIM(C75))="PAVAGE",Inputs!$B$58,IF(UPPER(TRIM(C75))="TRESFOND",Inputs!$B$11,IF(UPPER(TRIM(C75))="GRASS",Inputs!$B$12,Inputs!$B$13))))))</f>
        <v/>
      </c>
      <c r="G75" s="8">
        <f>IF(A75="","",N75)</f>
        <v/>
      </c>
      <c r="H75" s="8">
        <f>IF(A75="","",Inputs!$B$3/((IF(G75="",Inputs!$B$14,G75)+Inputs!$B$4)^Inputs!$B$5))</f>
        <v/>
      </c>
      <c r="I75" s="8">
        <f>IF(A75="","",2.78E-7*F75*D75*H75)</f>
        <v/>
      </c>
      <c r="J75" s="4" t="n"/>
      <c r="K75" s="4" t="n"/>
      <c r="L75" s="5" t="n"/>
      <c r="M75" s="9">
        <f>IF(A75="","",IF(OR(J75="",Inputs!$B$59=""),0,IFERROR(INDEX(Elements_hybrides!$F$4:$F$204,MATCH(J75,Elements_hybrides!$A$4:$A$204,0))/(Inputs!$B$59*60),0)))</f>
        <v/>
      </c>
      <c r="N75" s="9">
        <f>IF(A75="","",IF(L75="",Inputs!$B$14,L75)+M75)</f>
        <v/>
      </c>
    </row>
    <row r="76">
      <c r="A76" s="4" t="n"/>
      <c r="B76" s="4" t="n"/>
      <c r="C76" s="4" t="n"/>
      <c r="D76" s="7" t="n"/>
      <c r="E76" s="7" t="n"/>
      <c r="F76" s="8">
        <f>IF(E76&lt;&gt;"",E76,IF(UPPER(TRIM(C76))="BASIN",IF(UPPER(TRIM(Inputs!$B$52))="YES",Inputs!$B$12,0),IF(UPPER(TRIM(C76))="ROOF",Inputs!$B$10,IF(UPPER(TRIM(C76))="PAVAGE",Inputs!$B$58,IF(UPPER(TRIM(C76))="TRESFOND",Inputs!$B$11,IF(UPPER(TRIM(C76))="GRASS",Inputs!$B$12,Inputs!$B$13))))))</f>
        <v/>
      </c>
      <c r="G76" s="8">
        <f>IF(A76="","",N76)</f>
        <v/>
      </c>
      <c r="H76" s="8">
        <f>IF(A76="","",Inputs!$B$3/((IF(G76="",Inputs!$B$14,G76)+Inputs!$B$4)^Inputs!$B$5))</f>
        <v/>
      </c>
      <c r="I76" s="8">
        <f>IF(A76="","",2.78E-7*F76*D76*H76)</f>
        <v/>
      </c>
      <c r="J76" s="4" t="n"/>
      <c r="K76" s="4" t="n"/>
      <c r="L76" s="5" t="n"/>
      <c r="M76" s="9">
        <f>IF(A76="","",IF(OR(J76="",Inputs!$B$59=""),0,IFERROR(INDEX(Elements_hybrides!$F$4:$F$204,MATCH(J76,Elements_hybrides!$A$4:$A$204,0))/(Inputs!$B$59*60),0)))</f>
        <v/>
      </c>
      <c r="N76" s="9">
        <f>IF(A76="","",IF(L76="",Inputs!$B$14,L76)+M76)</f>
        <v/>
      </c>
    </row>
    <row r="77">
      <c r="A77" s="4" t="n"/>
      <c r="B77" s="4" t="n"/>
      <c r="C77" s="4" t="n"/>
      <c r="D77" s="7" t="n"/>
      <c r="E77" s="7" t="n"/>
      <c r="F77" s="8">
        <f>IF(E77&lt;&gt;"",E77,IF(UPPER(TRIM(C77))="BASIN",IF(UPPER(TRIM(Inputs!$B$52))="YES",Inputs!$B$12,0),IF(UPPER(TRIM(C77))="ROOF",Inputs!$B$10,IF(UPPER(TRIM(C77))="PAVAGE",Inputs!$B$58,IF(UPPER(TRIM(C77))="TRESFOND",Inputs!$B$11,IF(UPPER(TRIM(C77))="GRASS",Inputs!$B$12,Inputs!$B$13))))))</f>
        <v/>
      </c>
      <c r="G77" s="8">
        <f>IF(A77="","",N77)</f>
        <v/>
      </c>
      <c r="H77" s="8">
        <f>IF(A77="","",Inputs!$B$3/((IF(G77="",Inputs!$B$14,G77)+Inputs!$B$4)^Inputs!$B$5))</f>
        <v/>
      </c>
      <c r="I77" s="8">
        <f>IF(A77="","",2.78E-7*F77*D77*H77)</f>
        <v/>
      </c>
      <c r="J77" s="4" t="n"/>
      <c r="K77" s="4" t="n"/>
      <c r="L77" s="5" t="n"/>
      <c r="M77" s="9">
        <f>IF(A77="","",IF(OR(J77="",Inputs!$B$59=""),0,IFERROR(INDEX(Elements_hybrides!$F$4:$F$204,MATCH(J77,Elements_hybrides!$A$4:$A$204,0))/(Inputs!$B$59*60),0)))</f>
        <v/>
      </c>
      <c r="N77" s="9">
        <f>IF(A77="","",IF(L77="",Inputs!$B$14,L77)+M77)</f>
        <v/>
      </c>
    </row>
    <row r="78">
      <c r="A78" s="4" t="n"/>
      <c r="B78" s="4" t="n"/>
      <c r="C78" s="4" t="n"/>
      <c r="D78" s="7" t="n"/>
      <c r="E78" s="7" t="n"/>
      <c r="F78" s="8">
        <f>IF(E78&lt;&gt;"",E78,IF(UPPER(TRIM(C78))="BASIN",IF(UPPER(TRIM(Inputs!$B$52))="YES",Inputs!$B$12,0),IF(UPPER(TRIM(C78))="ROOF",Inputs!$B$10,IF(UPPER(TRIM(C78))="PAVAGE",Inputs!$B$58,IF(UPPER(TRIM(C78))="TRESFOND",Inputs!$B$11,IF(UPPER(TRIM(C78))="GRASS",Inputs!$B$12,Inputs!$B$13))))))</f>
        <v/>
      </c>
      <c r="G78" s="8">
        <f>IF(A78="","",N78)</f>
        <v/>
      </c>
      <c r="H78" s="8">
        <f>IF(A78="","",Inputs!$B$3/((IF(G78="",Inputs!$B$14,G78)+Inputs!$B$4)^Inputs!$B$5))</f>
        <v/>
      </c>
      <c r="I78" s="8">
        <f>IF(A78="","",2.78E-7*F78*D78*H78)</f>
        <v/>
      </c>
      <c r="J78" s="4" t="n"/>
      <c r="K78" s="4" t="n"/>
      <c r="L78" s="5" t="n"/>
      <c r="M78" s="9">
        <f>IF(A78="","",IF(OR(J78="",Inputs!$B$59=""),0,IFERROR(INDEX(Elements_hybrides!$F$4:$F$204,MATCH(J78,Elements_hybrides!$A$4:$A$204,0))/(Inputs!$B$59*60),0)))</f>
        <v/>
      </c>
      <c r="N78" s="9">
        <f>IF(A78="","",IF(L78="",Inputs!$B$14,L78)+M78)</f>
        <v/>
      </c>
    </row>
    <row r="79">
      <c r="A79" s="4" t="n"/>
      <c r="B79" s="4" t="n"/>
      <c r="C79" s="4" t="n"/>
      <c r="D79" s="7" t="n"/>
      <c r="E79" s="7" t="n"/>
      <c r="F79" s="8">
        <f>IF(E79&lt;&gt;"",E79,IF(UPPER(TRIM(C79))="BASIN",IF(UPPER(TRIM(Inputs!$B$52))="YES",Inputs!$B$12,0),IF(UPPER(TRIM(C79))="ROOF",Inputs!$B$10,IF(UPPER(TRIM(C79))="PAVAGE",Inputs!$B$58,IF(UPPER(TRIM(C79))="TRESFOND",Inputs!$B$11,IF(UPPER(TRIM(C79))="GRASS",Inputs!$B$12,Inputs!$B$13))))))</f>
        <v/>
      </c>
      <c r="G79" s="8">
        <f>IF(A79="","",N79)</f>
        <v/>
      </c>
      <c r="H79" s="8">
        <f>IF(A79="","",Inputs!$B$3/((IF(G79="",Inputs!$B$14,G79)+Inputs!$B$4)^Inputs!$B$5))</f>
        <v/>
      </c>
      <c r="I79" s="8">
        <f>IF(A79="","",2.78E-7*F79*D79*H79)</f>
        <v/>
      </c>
      <c r="J79" s="4" t="n"/>
      <c r="K79" s="4" t="n"/>
      <c r="L79" s="5" t="n"/>
      <c r="M79" s="9">
        <f>IF(A79="","",IF(OR(J79="",Inputs!$B$59=""),0,IFERROR(INDEX(Elements_hybrides!$F$4:$F$204,MATCH(J79,Elements_hybrides!$A$4:$A$204,0))/(Inputs!$B$59*60),0)))</f>
        <v/>
      </c>
      <c r="N79" s="9">
        <f>IF(A79="","",IF(L79="",Inputs!$B$14,L79)+M79)</f>
        <v/>
      </c>
    </row>
    <row r="80">
      <c r="A80" s="4" t="n"/>
      <c r="B80" s="4" t="n"/>
      <c r="C80" s="4" t="n"/>
      <c r="D80" s="7" t="n"/>
      <c r="E80" s="7" t="n"/>
      <c r="F80" s="8">
        <f>IF(E80&lt;&gt;"",E80,IF(UPPER(TRIM(C80))="BASIN",IF(UPPER(TRIM(Inputs!$B$52))="YES",Inputs!$B$12,0),IF(UPPER(TRIM(C80))="ROOF",Inputs!$B$10,IF(UPPER(TRIM(C80))="PAVAGE",Inputs!$B$58,IF(UPPER(TRIM(C80))="TRESFOND",Inputs!$B$11,IF(UPPER(TRIM(C80))="GRASS",Inputs!$B$12,Inputs!$B$13))))))</f>
        <v/>
      </c>
      <c r="G80" s="8">
        <f>IF(A80="","",N80)</f>
        <v/>
      </c>
      <c r="H80" s="8">
        <f>IF(A80="","",Inputs!$B$3/((IF(G80="",Inputs!$B$14,G80)+Inputs!$B$4)^Inputs!$B$5))</f>
        <v/>
      </c>
      <c r="I80" s="8">
        <f>IF(A80="","",2.78E-7*F80*D80*H80)</f>
        <v/>
      </c>
      <c r="J80" s="4" t="n"/>
      <c r="K80" s="4" t="n"/>
      <c r="L80" s="5" t="n"/>
      <c r="M80" s="9">
        <f>IF(A80="","",IF(OR(J80="",Inputs!$B$59=""),0,IFERROR(INDEX(Elements_hybrides!$F$4:$F$204,MATCH(J80,Elements_hybrides!$A$4:$A$204,0))/(Inputs!$B$59*60),0)))</f>
        <v/>
      </c>
      <c r="N80" s="9">
        <f>IF(A80="","",IF(L80="",Inputs!$B$14,L80)+M80)</f>
        <v/>
      </c>
    </row>
    <row r="81">
      <c r="A81" s="4" t="n"/>
      <c r="B81" s="4" t="n"/>
      <c r="C81" s="4" t="n"/>
      <c r="D81" s="7" t="n"/>
      <c r="E81" s="7" t="n"/>
      <c r="F81" s="8">
        <f>IF(E81&lt;&gt;"",E81,IF(UPPER(TRIM(C81))="BASIN",IF(UPPER(TRIM(Inputs!$B$52))="YES",Inputs!$B$12,0),IF(UPPER(TRIM(C81))="ROOF",Inputs!$B$10,IF(UPPER(TRIM(C81))="PAVAGE",Inputs!$B$58,IF(UPPER(TRIM(C81))="TRESFOND",Inputs!$B$11,IF(UPPER(TRIM(C81))="GRASS",Inputs!$B$12,Inputs!$B$13))))))</f>
        <v/>
      </c>
      <c r="G81" s="8">
        <f>IF(A81="","",N81)</f>
        <v/>
      </c>
      <c r="H81" s="8">
        <f>IF(A81="","",Inputs!$B$3/((IF(G81="",Inputs!$B$14,G81)+Inputs!$B$4)^Inputs!$B$5))</f>
        <v/>
      </c>
      <c r="I81" s="8">
        <f>IF(A81="","",2.78E-7*F81*D81*H81)</f>
        <v/>
      </c>
      <c r="J81" s="4" t="n"/>
      <c r="K81" s="4" t="n"/>
      <c r="L81" s="5" t="n"/>
      <c r="M81" s="9">
        <f>IF(A81="","",IF(OR(J81="",Inputs!$B$59=""),0,IFERROR(INDEX(Elements_hybrides!$F$4:$F$204,MATCH(J81,Elements_hybrides!$A$4:$A$204,0))/(Inputs!$B$59*60),0)))</f>
        <v/>
      </c>
      <c r="N81" s="9">
        <f>IF(A81="","",IF(L81="",Inputs!$B$14,L81)+M81)</f>
        <v/>
      </c>
    </row>
    <row r="82">
      <c r="A82" s="4" t="n"/>
      <c r="B82" s="4" t="n"/>
      <c r="C82" s="4" t="n"/>
      <c r="D82" s="7" t="n"/>
      <c r="E82" s="7" t="n"/>
      <c r="F82" s="8">
        <f>IF(E82&lt;&gt;"",E82,IF(UPPER(TRIM(C82))="BASIN",IF(UPPER(TRIM(Inputs!$B$52))="YES",Inputs!$B$12,0),IF(UPPER(TRIM(C82))="ROOF",Inputs!$B$10,IF(UPPER(TRIM(C82))="PAVAGE",Inputs!$B$58,IF(UPPER(TRIM(C82))="TRESFOND",Inputs!$B$11,IF(UPPER(TRIM(C82))="GRASS",Inputs!$B$12,Inputs!$B$13))))))</f>
        <v/>
      </c>
      <c r="G82" s="8">
        <f>IF(A82="","",N82)</f>
        <v/>
      </c>
      <c r="H82" s="8">
        <f>IF(A82="","",Inputs!$B$3/((IF(G82="",Inputs!$B$14,G82)+Inputs!$B$4)^Inputs!$B$5))</f>
        <v/>
      </c>
      <c r="I82" s="8">
        <f>IF(A82="","",2.78E-7*F82*D82*H82)</f>
        <v/>
      </c>
      <c r="J82" s="4" t="n"/>
      <c r="K82" s="4" t="n"/>
      <c r="L82" s="5" t="n"/>
      <c r="M82" s="9">
        <f>IF(A82="","",IF(OR(J82="",Inputs!$B$59=""),0,IFERROR(INDEX(Elements_hybrides!$F$4:$F$204,MATCH(J82,Elements_hybrides!$A$4:$A$204,0))/(Inputs!$B$59*60),0)))</f>
        <v/>
      </c>
      <c r="N82" s="9">
        <f>IF(A82="","",IF(L82="",Inputs!$B$14,L82)+M82)</f>
        <v/>
      </c>
    </row>
    <row r="83">
      <c r="A83" s="4" t="n"/>
      <c r="B83" s="4" t="n"/>
      <c r="C83" s="4" t="n"/>
      <c r="D83" s="7" t="n"/>
      <c r="E83" s="7" t="n"/>
      <c r="F83" s="8">
        <f>IF(E83&lt;&gt;"",E83,IF(UPPER(TRIM(C83))="BASIN",IF(UPPER(TRIM(Inputs!$B$52))="YES",Inputs!$B$12,0),IF(UPPER(TRIM(C83))="ROOF",Inputs!$B$10,IF(UPPER(TRIM(C83))="PAVAGE",Inputs!$B$58,IF(UPPER(TRIM(C83))="TRESFOND",Inputs!$B$11,IF(UPPER(TRIM(C83))="GRASS",Inputs!$B$12,Inputs!$B$13))))))</f>
        <v/>
      </c>
      <c r="G83" s="8">
        <f>IF(A83="","",N83)</f>
        <v/>
      </c>
      <c r="H83" s="8">
        <f>IF(A83="","",Inputs!$B$3/((IF(G83="",Inputs!$B$14,G83)+Inputs!$B$4)^Inputs!$B$5))</f>
        <v/>
      </c>
      <c r="I83" s="8">
        <f>IF(A83="","",2.78E-7*F83*D83*H83)</f>
        <v/>
      </c>
      <c r="J83" s="4" t="n"/>
      <c r="K83" s="4" t="n"/>
      <c r="L83" s="5" t="n"/>
      <c r="M83" s="9">
        <f>IF(A83="","",IF(OR(J83="",Inputs!$B$59=""),0,IFERROR(INDEX(Elements_hybrides!$F$4:$F$204,MATCH(J83,Elements_hybrides!$A$4:$A$204,0))/(Inputs!$B$59*60),0)))</f>
        <v/>
      </c>
      <c r="N83" s="9">
        <f>IF(A83="","",IF(L83="",Inputs!$B$14,L83)+M83)</f>
        <v/>
      </c>
    </row>
    <row r="84">
      <c r="A84" s="4" t="n"/>
      <c r="B84" s="4" t="n"/>
      <c r="C84" s="4" t="n"/>
      <c r="D84" s="7" t="n"/>
      <c r="E84" s="7" t="n"/>
      <c r="F84" s="8">
        <f>IF(E84&lt;&gt;"",E84,IF(UPPER(TRIM(C84))="BASIN",IF(UPPER(TRIM(Inputs!$B$52))="YES",Inputs!$B$12,0),IF(UPPER(TRIM(C84))="ROOF",Inputs!$B$10,IF(UPPER(TRIM(C84))="PAVAGE",Inputs!$B$58,IF(UPPER(TRIM(C84))="TRESFOND",Inputs!$B$11,IF(UPPER(TRIM(C84))="GRASS",Inputs!$B$12,Inputs!$B$13))))))</f>
        <v/>
      </c>
      <c r="G84" s="8">
        <f>IF(A84="","",N84)</f>
        <v/>
      </c>
      <c r="H84" s="8">
        <f>IF(A84="","",Inputs!$B$3/((IF(G84="",Inputs!$B$14,G84)+Inputs!$B$4)^Inputs!$B$5))</f>
        <v/>
      </c>
      <c r="I84" s="8">
        <f>IF(A84="","",2.78E-7*F84*D84*H84)</f>
        <v/>
      </c>
      <c r="J84" s="4" t="n"/>
      <c r="K84" s="4" t="n"/>
      <c r="L84" s="5" t="n"/>
      <c r="M84" s="9">
        <f>IF(A84="","",IF(OR(J84="",Inputs!$B$59=""),0,IFERROR(INDEX(Elements_hybrides!$F$4:$F$204,MATCH(J84,Elements_hybrides!$A$4:$A$204,0))/(Inputs!$B$59*60),0)))</f>
        <v/>
      </c>
      <c r="N84" s="9">
        <f>IF(A84="","",IF(L84="",Inputs!$B$14,L84)+M84)</f>
        <v/>
      </c>
    </row>
    <row r="85">
      <c r="A85" s="4" t="n"/>
      <c r="B85" s="4" t="n"/>
      <c r="C85" s="4" t="n"/>
      <c r="D85" s="7" t="n"/>
      <c r="E85" s="7" t="n"/>
      <c r="F85" s="8">
        <f>IF(E85&lt;&gt;"",E85,IF(UPPER(TRIM(C85))="BASIN",IF(UPPER(TRIM(Inputs!$B$52))="YES",Inputs!$B$12,0),IF(UPPER(TRIM(C85))="ROOF",Inputs!$B$10,IF(UPPER(TRIM(C85))="PAVAGE",Inputs!$B$58,IF(UPPER(TRIM(C85))="TRESFOND",Inputs!$B$11,IF(UPPER(TRIM(C85))="GRASS",Inputs!$B$12,Inputs!$B$13))))))</f>
        <v/>
      </c>
      <c r="G85" s="8">
        <f>IF(A85="","",N85)</f>
        <v/>
      </c>
      <c r="H85" s="8">
        <f>IF(A85="","",Inputs!$B$3/((IF(G85="",Inputs!$B$14,G85)+Inputs!$B$4)^Inputs!$B$5))</f>
        <v/>
      </c>
      <c r="I85" s="8">
        <f>IF(A85="","",2.78E-7*F85*D85*H85)</f>
        <v/>
      </c>
      <c r="J85" s="4" t="n"/>
      <c r="K85" s="4" t="n"/>
      <c r="L85" s="5" t="n"/>
      <c r="M85" s="9">
        <f>IF(A85="","",IF(OR(J85="",Inputs!$B$59=""),0,IFERROR(INDEX(Elements_hybrides!$F$4:$F$204,MATCH(J85,Elements_hybrides!$A$4:$A$204,0))/(Inputs!$B$59*60),0)))</f>
        <v/>
      </c>
      <c r="N85" s="9">
        <f>IF(A85="","",IF(L85="",Inputs!$B$14,L85)+M85)</f>
        <v/>
      </c>
    </row>
    <row r="86">
      <c r="A86" s="4" t="n"/>
      <c r="B86" s="4" t="n"/>
      <c r="C86" s="4" t="n"/>
      <c r="D86" s="7" t="n"/>
      <c r="E86" s="7" t="n"/>
      <c r="F86" s="8">
        <f>IF(E86&lt;&gt;"",E86,IF(UPPER(TRIM(C86))="BASIN",IF(UPPER(TRIM(Inputs!$B$52))="YES",Inputs!$B$12,0),IF(UPPER(TRIM(C86))="ROOF",Inputs!$B$10,IF(UPPER(TRIM(C86))="PAVAGE",Inputs!$B$58,IF(UPPER(TRIM(C86))="TRESFOND",Inputs!$B$11,IF(UPPER(TRIM(C86))="GRASS",Inputs!$B$12,Inputs!$B$13))))))</f>
        <v/>
      </c>
      <c r="G86" s="8">
        <f>IF(A86="","",N86)</f>
        <v/>
      </c>
      <c r="H86" s="8">
        <f>IF(A86="","",Inputs!$B$3/((IF(G86="",Inputs!$B$14,G86)+Inputs!$B$4)^Inputs!$B$5))</f>
        <v/>
      </c>
      <c r="I86" s="8">
        <f>IF(A86="","",2.78E-7*F86*D86*H86)</f>
        <v/>
      </c>
      <c r="J86" s="4" t="n"/>
      <c r="K86" s="4" t="n"/>
      <c r="L86" s="5" t="n"/>
      <c r="M86" s="9">
        <f>IF(A86="","",IF(OR(J86="",Inputs!$B$59=""),0,IFERROR(INDEX(Elements_hybrides!$F$4:$F$204,MATCH(J86,Elements_hybrides!$A$4:$A$204,0))/(Inputs!$B$59*60),0)))</f>
        <v/>
      </c>
      <c r="N86" s="9">
        <f>IF(A86="","",IF(L86="",Inputs!$B$14,L86)+M86)</f>
        <v/>
      </c>
    </row>
    <row r="87">
      <c r="A87" s="4" t="n"/>
      <c r="B87" s="4" t="n"/>
      <c r="C87" s="4" t="n"/>
      <c r="D87" s="7" t="n"/>
      <c r="E87" s="7" t="n"/>
      <c r="F87" s="8">
        <f>IF(E87&lt;&gt;"",E87,IF(UPPER(TRIM(C87))="BASIN",IF(UPPER(TRIM(Inputs!$B$52))="YES",Inputs!$B$12,0),IF(UPPER(TRIM(C87))="ROOF",Inputs!$B$10,IF(UPPER(TRIM(C87))="PAVAGE",Inputs!$B$58,IF(UPPER(TRIM(C87))="TRESFOND",Inputs!$B$11,IF(UPPER(TRIM(C87))="GRASS",Inputs!$B$12,Inputs!$B$13))))))</f>
        <v/>
      </c>
      <c r="G87" s="8">
        <f>IF(A87="","",N87)</f>
        <v/>
      </c>
      <c r="H87" s="8">
        <f>IF(A87="","",Inputs!$B$3/((IF(G87="",Inputs!$B$14,G87)+Inputs!$B$4)^Inputs!$B$5))</f>
        <v/>
      </c>
      <c r="I87" s="8">
        <f>IF(A87="","",2.78E-7*F87*D87*H87)</f>
        <v/>
      </c>
      <c r="J87" s="4" t="n"/>
      <c r="K87" s="4" t="n"/>
      <c r="L87" s="5" t="n"/>
      <c r="M87" s="9">
        <f>IF(A87="","",IF(OR(J87="",Inputs!$B$59=""),0,IFERROR(INDEX(Elements_hybrides!$F$4:$F$204,MATCH(J87,Elements_hybrides!$A$4:$A$204,0))/(Inputs!$B$59*60),0)))</f>
        <v/>
      </c>
      <c r="N87" s="9">
        <f>IF(A87="","",IF(L87="",Inputs!$B$14,L87)+M87)</f>
        <v/>
      </c>
    </row>
    <row r="88">
      <c r="A88" s="4" t="n"/>
      <c r="B88" s="4" t="n"/>
      <c r="C88" s="4" t="n"/>
      <c r="D88" s="7" t="n"/>
      <c r="E88" s="7" t="n"/>
      <c r="F88" s="8">
        <f>IF(E88&lt;&gt;"",E88,IF(UPPER(TRIM(C88))="BASIN",IF(UPPER(TRIM(Inputs!$B$52))="YES",Inputs!$B$12,0),IF(UPPER(TRIM(C88))="ROOF",Inputs!$B$10,IF(UPPER(TRIM(C88))="PAVAGE",Inputs!$B$58,IF(UPPER(TRIM(C88))="TRESFOND",Inputs!$B$11,IF(UPPER(TRIM(C88))="GRASS",Inputs!$B$12,Inputs!$B$13))))))</f>
        <v/>
      </c>
      <c r="G88" s="8">
        <f>IF(A88="","",N88)</f>
        <v/>
      </c>
      <c r="H88" s="8">
        <f>IF(A88="","",Inputs!$B$3/((IF(G88="",Inputs!$B$14,G88)+Inputs!$B$4)^Inputs!$B$5))</f>
        <v/>
      </c>
      <c r="I88" s="8">
        <f>IF(A88="","",2.78E-7*F88*D88*H88)</f>
        <v/>
      </c>
      <c r="J88" s="4" t="n"/>
      <c r="K88" s="4" t="n"/>
      <c r="L88" s="5" t="n"/>
      <c r="M88" s="9">
        <f>IF(A88="","",IF(OR(J88="",Inputs!$B$59=""),0,IFERROR(INDEX(Elements_hybrides!$F$4:$F$204,MATCH(J88,Elements_hybrides!$A$4:$A$204,0))/(Inputs!$B$59*60),0)))</f>
        <v/>
      </c>
      <c r="N88" s="9">
        <f>IF(A88="","",IF(L88="",Inputs!$B$14,L88)+M88)</f>
        <v/>
      </c>
    </row>
    <row r="89">
      <c r="A89" s="4" t="n"/>
      <c r="B89" s="4" t="n"/>
      <c r="C89" s="4" t="n"/>
      <c r="D89" s="7" t="n"/>
      <c r="E89" s="7" t="n"/>
      <c r="F89" s="8">
        <f>IF(E89&lt;&gt;"",E89,IF(UPPER(TRIM(C89))="BASIN",IF(UPPER(TRIM(Inputs!$B$52))="YES",Inputs!$B$12,0),IF(UPPER(TRIM(C89))="ROOF",Inputs!$B$10,IF(UPPER(TRIM(C89))="PAVAGE",Inputs!$B$58,IF(UPPER(TRIM(C89))="TRESFOND",Inputs!$B$11,IF(UPPER(TRIM(C89))="GRASS",Inputs!$B$12,Inputs!$B$13))))))</f>
        <v/>
      </c>
      <c r="G89" s="8">
        <f>IF(A89="","",N89)</f>
        <v/>
      </c>
      <c r="H89" s="8">
        <f>IF(A89="","",Inputs!$B$3/((IF(G89="",Inputs!$B$14,G89)+Inputs!$B$4)^Inputs!$B$5))</f>
        <v/>
      </c>
      <c r="I89" s="8">
        <f>IF(A89="","",2.78E-7*F89*D89*H89)</f>
        <v/>
      </c>
      <c r="J89" s="4" t="n"/>
      <c r="K89" s="4" t="n"/>
      <c r="L89" s="5" t="n"/>
      <c r="M89" s="9">
        <f>IF(A89="","",IF(OR(J89="",Inputs!$B$59=""),0,IFERROR(INDEX(Elements_hybrides!$F$4:$F$204,MATCH(J89,Elements_hybrides!$A$4:$A$204,0))/(Inputs!$B$59*60),0)))</f>
        <v/>
      </c>
      <c r="N89" s="9">
        <f>IF(A89="","",IF(L89="",Inputs!$B$14,L89)+M89)</f>
        <v/>
      </c>
    </row>
    <row r="90">
      <c r="A90" s="4" t="n"/>
      <c r="B90" s="4" t="n"/>
      <c r="C90" s="4" t="n"/>
      <c r="D90" s="7" t="n"/>
      <c r="E90" s="7" t="n"/>
      <c r="F90" s="8">
        <f>IF(E90&lt;&gt;"",E90,IF(UPPER(TRIM(C90))="BASIN",IF(UPPER(TRIM(Inputs!$B$52))="YES",Inputs!$B$12,0),IF(UPPER(TRIM(C90))="ROOF",Inputs!$B$10,IF(UPPER(TRIM(C90))="PAVAGE",Inputs!$B$58,IF(UPPER(TRIM(C90))="TRESFOND",Inputs!$B$11,IF(UPPER(TRIM(C90))="GRASS",Inputs!$B$12,Inputs!$B$13))))))</f>
        <v/>
      </c>
      <c r="G90" s="8">
        <f>IF(A90="","",N90)</f>
        <v/>
      </c>
      <c r="H90" s="8">
        <f>IF(A90="","",Inputs!$B$3/((IF(G90="",Inputs!$B$14,G90)+Inputs!$B$4)^Inputs!$B$5))</f>
        <v/>
      </c>
      <c r="I90" s="8">
        <f>IF(A90="","",2.78E-7*F90*D90*H90)</f>
        <v/>
      </c>
      <c r="J90" s="4" t="n"/>
      <c r="K90" s="4" t="n"/>
      <c r="L90" s="5" t="n"/>
      <c r="M90" s="9">
        <f>IF(A90="","",IF(OR(J90="",Inputs!$B$59=""),0,IFERROR(INDEX(Elements_hybrides!$F$4:$F$204,MATCH(J90,Elements_hybrides!$A$4:$A$204,0))/(Inputs!$B$59*60),0)))</f>
        <v/>
      </c>
      <c r="N90" s="9">
        <f>IF(A90="","",IF(L90="",Inputs!$B$14,L90)+M90)</f>
        <v/>
      </c>
    </row>
    <row r="91">
      <c r="A91" s="4" t="n"/>
      <c r="B91" s="4" t="n"/>
      <c r="C91" s="4" t="n"/>
      <c r="D91" s="7" t="n"/>
      <c r="E91" s="7" t="n"/>
      <c r="F91" s="8">
        <f>IF(E91&lt;&gt;"",E91,IF(UPPER(TRIM(C91))="BASIN",IF(UPPER(TRIM(Inputs!$B$52))="YES",Inputs!$B$12,0),IF(UPPER(TRIM(C91))="ROOF",Inputs!$B$10,IF(UPPER(TRIM(C91))="PAVAGE",Inputs!$B$58,IF(UPPER(TRIM(C91))="TRESFOND",Inputs!$B$11,IF(UPPER(TRIM(C91))="GRASS",Inputs!$B$12,Inputs!$B$13))))))</f>
        <v/>
      </c>
      <c r="G91" s="8">
        <f>IF(A91="","",N91)</f>
        <v/>
      </c>
      <c r="H91" s="8">
        <f>IF(A91="","",Inputs!$B$3/((IF(G91="",Inputs!$B$14,G91)+Inputs!$B$4)^Inputs!$B$5))</f>
        <v/>
      </c>
      <c r="I91" s="8">
        <f>IF(A91="","",2.78E-7*F91*D91*H91)</f>
        <v/>
      </c>
      <c r="J91" s="4" t="n"/>
      <c r="K91" s="4" t="n"/>
      <c r="L91" s="5" t="n"/>
      <c r="M91" s="9">
        <f>IF(A91="","",IF(OR(J91="",Inputs!$B$59=""),0,IFERROR(INDEX(Elements_hybrides!$F$4:$F$204,MATCH(J91,Elements_hybrides!$A$4:$A$204,0))/(Inputs!$B$59*60),0)))</f>
        <v/>
      </c>
      <c r="N91" s="9">
        <f>IF(A91="","",IF(L91="",Inputs!$B$14,L91)+M91)</f>
        <v/>
      </c>
    </row>
    <row r="92">
      <c r="A92" s="4" t="n"/>
      <c r="B92" s="4" t="n"/>
      <c r="C92" s="4" t="n"/>
      <c r="D92" s="7" t="n"/>
      <c r="E92" s="7" t="n"/>
      <c r="F92" s="8">
        <f>IF(E92&lt;&gt;"",E92,IF(UPPER(TRIM(C92))="BASIN",IF(UPPER(TRIM(Inputs!$B$52))="YES",Inputs!$B$12,0),IF(UPPER(TRIM(C92))="ROOF",Inputs!$B$10,IF(UPPER(TRIM(C92))="PAVAGE",Inputs!$B$58,IF(UPPER(TRIM(C92))="TRESFOND",Inputs!$B$11,IF(UPPER(TRIM(C92))="GRASS",Inputs!$B$12,Inputs!$B$13))))))</f>
        <v/>
      </c>
      <c r="G92" s="8">
        <f>IF(A92="","",N92)</f>
        <v/>
      </c>
      <c r="H92" s="8">
        <f>IF(A92="","",Inputs!$B$3/((IF(G92="",Inputs!$B$14,G92)+Inputs!$B$4)^Inputs!$B$5))</f>
        <v/>
      </c>
      <c r="I92" s="8">
        <f>IF(A92="","",2.78E-7*F92*D92*H92)</f>
        <v/>
      </c>
      <c r="J92" s="4" t="n"/>
      <c r="K92" s="4" t="n"/>
      <c r="L92" s="5" t="n"/>
      <c r="M92" s="9">
        <f>IF(A92="","",IF(OR(J92="",Inputs!$B$59=""),0,IFERROR(INDEX(Elements_hybrides!$F$4:$F$204,MATCH(J92,Elements_hybrides!$A$4:$A$204,0))/(Inputs!$B$59*60),0)))</f>
        <v/>
      </c>
      <c r="N92" s="9">
        <f>IF(A92="","",IF(L92="",Inputs!$B$14,L92)+M92)</f>
        <v/>
      </c>
    </row>
    <row r="93">
      <c r="A93" s="4" t="n"/>
      <c r="B93" s="4" t="n"/>
      <c r="C93" s="4" t="n"/>
      <c r="D93" s="7" t="n"/>
      <c r="E93" s="7" t="n"/>
      <c r="F93" s="8">
        <f>IF(E93&lt;&gt;"",E93,IF(UPPER(TRIM(C93))="BASIN",IF(UPPER(TRIM(Inputs!$B$52))="YES",Inputs!$B$12,0),IF(UPPER(TRIM(C93))="ROOF",Inputs!$B$10,IF(UPPER(TRIM(C93))="PAVAGE",Inputs!$B$58,IF(UPPER(TRIM(C93))="TRESFOND",Inputs!$B$11,IF(UPPER(TRIM(C93))="GRASS",Inputs!$B$12,Inputs!$B$13))))))</f>
        <v/>
      </c>
      <c r="G93" s="8">
        <f>IF(A93="","",N93)</f>
        <v/>
      </c>
      <c r="H93" s="8">
        <f>IF(A93="","",Inputs!$B$3/((IF(G93="",Inputs!$B$14,G93)+Inputs!$B$4)^Inputs!$B$5))</f>
        <v/>
      </c>
      <c r="I93" s="8">
        <f>IF(A93="","",2.78E-7*F93*D93*H93)</f>
        <v/>
      </c>
      <c r="J93" s="4" t="n"/>
      <c r="K93" s="4" t="n"/>
      <c r="L93" s="5" t="n"/>
      <c r="M93" s="9">
        <f>IF(A93="","",IF(OR(J93="",Inputs!$B$59=""),0,IFERROR(INDEX(Elements_hybrides!$F$4:$F$204,MATCH(J93,Elements_hybrides!$A$4:$A$204,0))/(Inputs!$B$59*60),0)))</f>
        <v/>
      </c>
      <c r="N93" s="9">
        <f>IF(A93="","",IF(L93="",Inputs!$B$14,L93)+M93)</f>
        <v/>
      </c>
    </row>
    <row r="94">
      <c r="A94" s="4" t="n"/>
      <c r="B94" s="4" t="n"/>
      <c r="C94" s="4" t="n"/>
      <c r="D94" s="7" t="n"/>
      <c r="E94" s="7" t="n"/>
      <c r="F94" s="8">
        <f>IF(E94&lt;&gt;"",E94,IF(UPPER(TRIM(C94))="BASIN",IF(UPPER(TRIM(Inputs!$B$52))="YES",Inputs!$B$12,0),IF(UPPER(TRIM(C94))="ROOF",Inputs!$B$10,IF(UPPER(TRIM(C94))="PAVAGE",Inputs!$B$58,IF(UPPER(TRIM(C94))="TRESFOND",Inputs!$B$11,IF(UPPER(TRIM(C94))="GRASS",Inputs!$B$12,Inputs!$B$13))))))</f>
        <v/>
      </c>
      <c r="G94" s="8">
        <f>IF(A94="","",N94)</f>
        <v/>
      </c>
      <c r="H94" s="8">
        <f>IF(A94="","",Inputs!$B$3/((IF(G94="",Inputs!$B$14,G94)+Inputs!$B$4)^Inputs!$B$5))</f>
        <v/>
      </c>
      <c r="I94" s="8">
        <f>IF(A94="","",2.78E-7*F94*D94*H94)</f>
        <v/>
      </c>
      <c r="J94" s="4" t="n"/>
      <c r="K94" s="4" t="n"/>
      <c r="L94" s="5" t="n"/>
      <c r="M94" s="9">
        <f>IF(A94="","",IF(OR(J94="",Inputs!$B$59=""),0,IFERROR(INDEX(Elements_hybrides!$F$4:$F$204,MATCH(J94,Elements_hybrides!$A$4:$A$204,0))/(Inputs!$B$59*60),0)))</f>
        <v/>
      </c>
      <c r="N94" s="9">
        <f>IF(A94="","",IF(L94="",Inputs!$B$14,L94)+M94)</f>
        <v/>
      </c>
    </row>
    <row r="95">
      <c r="A95" s="4" t="n"/>
      <c r="B95" s="4" t="n"/>
      <c r="C95" s="4" t="n"/>
      <c r="D95" s="7" t="n"/>
      <c r="E95" s="7" t="n"/>
      <c r="F95" s="8">
        <f>IF(E95&lt;&gt;"",E95,IF(UPPER(TRIM(C95))="BASIN",IF(UPPER(TRIM(Inputs!$B$52))="YES",Inputs!$B$12,0),IF(UPPER(TRIM(C95))="ROOF",Inputs!$B$10,IF(UPPER(TRIM(C95))="PAVAGE",Inputs!$B$58,IF(UPPER(TRIM(C95))="TRESFOND",Inputs!$B$11,IF(UPPER(TRIM(C95))="GRASS",Inputs!$B$12,Inputs!$B$13))))))</f>
        <v/>
      </c>
      <c r="G95" s="8">
        <f>IF(A95="","",N95)</f>
        <v/>
      </c>
      <c r="H95" s="8">
        <f>IF(A95="","",Inputs!$B$3/((IF(G95="",Inputs!$B$14,G95)+Inputs!$B$4)^Inputs!$B$5))</f>
        <v/>
      </c>
      <c r="I95" s="8">
        <f>IF(A95="","",2.78E-7*F95*D95*H95)</f>
        <v/>
      </c>
      <c r="J95" s="4" t="n"/>
      <c r="K95" s="4" t="n"/>
      <c r="L95" s="5" t="n"/>
      <c r="M95" s="9">
        <f>IF(A95="","",IF(OR(J95="",Inputs!$B$59=""),0,IFERROR(INDEX(Elements_hybrides!$F$4:$F$204,MATCH(J95,Elements_hybrides!$A$4:$A$204,0))/(Inputs!$B$59*60),0)))</f>
        <v/>
      </c>
      <c r="N95" s="9">
        <f>IF(A95="","",IF(L95="",Inputs!$B$14,L95)+M95)</f>
        <v/>
      </c>
    </row>
    <row r="96">
      <c r="A96" s="4" t="n"/>
      <c r="B96" s="4" t="n"/>
      <c r="C96" s="4" t="n"/>
      <c r="D96" s="7" t="n"/>
      <c r="E96" s="7" t="n"/>
      <c r="F96" s="8">
        <f>IF(E96&lt;&gt;"",E96,IF(UPPER(TRIM(C96))="BASIN",IF(UPPER(TRIM(Inputs!$B$52))="YES",Inputs!$B$12,0),IF(UPPER(TRIM(C96))="ROOF",Inputs!$B$10,IF(UPPER(TRIM(C96))="PAVAGE",Inputs!$B$58,IF(UPPER(TRIM(C96))="TRESFOND",Inputs!$B$11,IF(UPPER(TRIM(C96))="GRASS",Inputs!$B$12,Inputs!$B$13))))))</f>
        <v/>
      </c>
      <c r="G96" s="8">
        <f>IF(A96="","",N96)</f>
        <v/>
      </c>
      <c r="H96" s="8">
        <f>IF(A96="","",Inputs!$B$3/((IF(G96="",Inputs!$B$14,G96)+Inputs!$B$4)^Inputs!$B$5))</f>
        <v/>
      </c>
      <c r="I96" s="8">
        <f>IF(A96="","",2.78E-7*F96*D96*H96)</f>
        <v/>
      </c>
      <c r="J96" s="4" t="n"/>
      <c r="K96" s="4" t="n"/>
      <c r="L96" s="5" t="n"/>
      <c r="M96" s="9">
        <f>IF(A96="","",IF(OR(J96="",Inputs!$B$59=""),0,IFERROR(INDEX(Elements_hybrides!$F$4:$F$204,MATCH(J96,Elements_hybrides!$A$4:$A$204,0))/(Inputs!$B$59*60),0)))</f>
        <v/>
      </c>
      <c r="N96" s="9">
        <f>IF(A96="","",IF(L96="",Inputs!$B$14,L96)+M96)</f>
        <v/>
      </c>
    </row>
    <row r="97">
      <c r="A97" s="4" t="n"/>
      <c r="B97" s="4" t="n"/>
      <c r="C97" s="4" t="n"/>
      <c r="D97" s="7" t="n"/>
      <c r="E97" s="7" t="n"/>
      <c r="F97" s="8">
        <f>IF(E97&lt;&gt;"",E97,IF(UPPER(TRIM(C97))="BASIN",IF(UPPER(TRIM(Inputs!$B$52))="YES",Inputs!$B$12,0),IF(UPPER(TRIM(C97))="ROOF",Inputs!$B$10,IF(UPPER(TRIM(C97))="PAVAGE",Inputs!$B$58,IF(UPPER(TRIM(C97))="TRESFOND",Inputs!$B$11,IF(UPPER(TRIM(C97))="GRASS",Inputs!$B$12,Inputs!$B$13))))))</f>
        <v/>
      </c>
      <c r="G97" s="8">
        <f>IF(A97="","",N97)</f>
        <v/>
      </c>
      <c r="H97" s="8">
        <f>IF(A97="","",Inputs!$B$3/((IF(G97="",Inputs!$B$14,G97)+Inputs!$B$4)^Inputs!$B$5))</f>
        <v/>
      </c>
      <c r="I97" s="8">
        <f>IF(A97="","",2.78E-7*F97*D97*H97)</f>
        <v/>
      </c>
      <c r="J97" s="4" t="n"/>
      <c r="K97" s="4" t="n"/>
      <c r="L97" s="5" t="n"/>
      <c r="M97" s="9">
        <f>IF(A97="","",IF(OR(J97="",Inputs!$B$59=""),0,IFERROR(INDEX(Elements_hybrides!$F$4:$F$204,MATCH(J97,Elements_hybrides!$A$4:$A$204,0))/(Inputs!$B$59*60),0)))</f>
        <v/>
      </c>
      <c r="N97" s="9">
        <f>IF(A97="","",IF(L97="",Inputs!$B$14,L97)+M97)</f>
        <v/>
      </c>
    </row>
    <row r="98">
      <c r="A98" s="4" t="n"/>
      <c r="B98" s="4" t="n"/>
      <c r="C98" s="4" t="n"/>
      <c r="D98" s="7" t="n"/>
      <c r="E98" s="7" t="n"/>
      <c r="F98" s="8">
        <f>IF(E98&lt;&gt;"",E98,IF(UPPER(TRIM(C98))="BASIN",IF(UPPER(TRIM(Inputs!$B$52))="YES",Inputs!$B$12,0),IF(UPPER(TRIM(C98))="ROOF",Inputs!$B$10,IF(UPPER(TRIM(C98))="PAVAGE",Inputs!$B$58,IF(UPPER(TRIM(C98))="TRESFOND",Inputs!$B$11,IF(UPPER(TRIM(C98))="GRASS",Inputs!$B$12,Inputs!$B$13))))))</f>
        <v/>
      </c>
      <c r="G98" s="8">
        <f>IF(A98="","",N98)</f>
        <v/>
      </c>
      <c r="H98" s="8">
        <f>IF(A98="","",Inputs!$B$3/((IF(G98="",Inputs!$B$14,G98)+Inputs!$B$4)^Inputs!$B$5))</f>
        <v/>
      </c>
      <c r="I98" s="8">
        <f>IF(A98="","",2.78E-7*F98*D98*H98)</f>
        <v/>
      </c>
      <c r="J98" s="4" t="n"/>
      <c r="K98" s="4" t="n"/>
      <c r="L98" s="5" t="n"/>
      <c r="M98" s="9">
        <f>IF(A98="","",IF(OR(J98="",Inputs!$B$59=""),0,IFERROR(INDEX(Elements_hybrides!$F$4:$F$204,MATCH(J98,Elements_hybrides!$A$4:$A$204,0))/(Inputs!$B$59*60),0)))</f>
        <v/>
      </c>
      <c r="N98" s="9">
        <f>IF(A98="","",IF(L98="",Inputs!$B$14,L98)+M98)</f>
        <v/>
      </c>
    </row>
    <row r="99">
      <c r="A99" s="4" t="n"/>
      <c r="B99" s="4" t="n"/>
      <c r="C99" s="4" t="n"/>
      <c r="D99" s="7" t="n"/>
      <c r="E99" s="7" t="n"/>
      <c r="F99" s="8">
        <f>IF(E99&lt;&gt;"",E99,IF(UPPER(TRIM(C99))="BASIN",IF(UPPER(TRIM(Inputs!$B$52))="YES",Inputs!$B$12,0),IF(UPPER(TRIM(C99))="ROOF",Inputs!$B$10,IF(UPPER(TRIM(C99))="PAVAGE",Inputs!$B$58,IF(UPPER(TRIM(C99))="TRESFOND",Inputs!$B$11,IF(UPPER(TRIM(C99))="GRASS",Inputs!$B$12,Inputs!$B$13))))))</f>
        <v/>
      </c>
      <c r="G99" s="8">
        <f>IF(A99="","",N99)</f>
        <v/>
      </c>
      <c r="H99" s="8">
        <f>IF(A99="","",Inputs!$B$3/((IF(G99="",Inputs!$B$14,G99)+Inputs!$B$4)^Inputs!$B$5))</f>
        <v/>
      </c>
      <c r="I99" s="8">
        <f>IF(A99="","",2.78E-7*F99*D99*H99)</f>
        <v/>
      </c>
      <c r="J99" s="4" t="n"/>
      <c r="K99" s="4" t="n"/>
      <c r="L99" s="5" t="n"/>
      <c r="M99" s="9">
        <f>IF(A99="","",IF(OR(J99="",Inputs!$B$59=""),0,IFERROR(INDEX(Elements_hybrides!$F$4:$F$204,MATCH(J99,Elements_hybrides!$A$4:$A$204,0))/(Inputs!$B$59*60),0)))</f>
        <v/>
      </c>
      <c r="N99" s="9">
        <f>IF(A99="","",IF(L99="",Inputs!$B$14,L99)+M99)</f>
        <v/>
      </c>
    </row>
    <row r="100">
      <c r="A100" s="4" t="n"/>
      <c r="B100" s="4" t="n"/>
      <c r="C100" s="4" t="n"/>
      <c r="D100" s="7" t="n"/>
      <c r="E100" s="7" t="n"/>
      <c r="F100" s="8">
        <f>IF(E100&lt;&gt;"",E100,IF(UPPER(TRIM(C100))="BASIN",IF(UPPER(TRIM(Inputs!$B$52))="YES",Inputs!$B$12,0),IF(UPPER(TRIM(C100))="ROOF",Inputs!$B$10,IF(UPPER(TRIM(C100))="PAVAGE",Inputs!$B$58,IF(UPPER(TRIM(C100))="TRESFOND",Inputs!$B$11,IF(UPPER(TRIM(C100))="GRASS",Inputs!$B$12,Inputs!$B$13))))))</f>
        <v/>
      </c>
      <c r="G100" s="8">
        <f>IF(A100="","",N100)</f>
        <v/>
      </c>
      <c r="H100" s="8">
        <f>IF(A100="","",Inputs!$B$3/((IF(G100="",Inputs!$B$14,G100)+Inputs!$B$4)^Inputs!$B$5))</f>
        <v/>
      </c>
      <c r="I100" s="8">
        <f>IF(A100="","",2.78E-7*F100*D100*H100)</f>
        <v/>
      </c>
      <c r="J100" s="4" t="n"/>
      <c r="K100" s="4" t="n"/>
      <c r="L100" s="5" t="n"/>
      <c r="M100" s="9">
        <f>IF(A100="","",IF(OR(J100="",Inputs!$B$59=""),0,IFERROR(INDEX(Elements_hybrides!$F$4:$F$204,MATCH(J100,Elements_hybrides!$A$4:$A$204,0))/(Inputs!$B$59*60),0)))</f>
        <v/>
      </c>
      <c r="N100" s="9">
        <f>IF(A100="","",IF(L100="",Inputs!$B$14,L100)+M100)</f>
        <v/>
      </c>
    </row>
    <row r="101">
      <c r="A101" s="4" t="n"/>
      <c r="B101" s="4" t="n"/>
      <c r="C101" s="4" t="n"/>
      <c r="D101" s="7" t="n"/>
      <c r="E101" s="7" t="n"/>
      <c r="F101" s="8">
        <f>IF(E101&lt;&gt;"",E101,IF(UPPER(TRIM(C101))="BASIN",IF(UPPER(TRIM(Inputs!$B$52))="YES",Inputs!$B$12,0),IF(UPPER(TRIM(C101))="ROOF",Inputs!$B$10,IF(UPPER(TRIM(C101))="PAVAGE",Inputs!$B$58,IF(UPPER(TRIM(C101))="TRESFOND",Inputs!$B$11,IF(UPPER(TRIM(C101))="GRASS",Inputs!$B$12,Inputs!$B$13))))))</f>
        <v/>
      </c>
      <c r="G101" s="8">
        <f>IF(A101="","",N101)</f>
        <v/>
      </c>
      <c r="H101" s="8">
        <f>IF(A101="","",Inputs!$B$3/((IF(G101="",Inputs!$B$14,G101)+Inputs!$B$4)^Inputs!$B$5))</f>
        <v/>
      </c>
      <c r="I101" s="8">
        <f>IF(A101="","",2.78E-7*F101*D101*H101)</f>
        <v/>
      </c>
      <c r="J101" s="4" t="n"/>
      <c r="K101" s="4" t="n"/>
      <c r="L101" s="5" t="n"/>
      <c r="M101" s="9">
        <f>IF(A101="","",IF(OR(J101="",Inputs!$B$59=""),0,IFERROR(INDEX(Elements_hybrides!$F$4:$F$204,MATCH(J101,Elements_hybrides!$A$4:$A$204,0))/(Inputs!$B$59*60),0)))</f>
        <v/>
      </c>
      <c r="N101" s="9">
        <f>IF(A101="","",IF(L101="",Inputs!$B$14,L101)+M101)</f>
        <v/>
      </c>
    </row>
    <row r="102">
      <c r="A102" s="4" t="n"/>
      <c r="B102" s="4" t="n"/>
      <c r="C102" s="4" t="n"/>
      <c r="D102" s="7" t="n"/>
      <c r="E102" s="7" t="n"/>
      <c r="F102" s="8">
        <f>IF(E102&lt;&gt;"",E102,IF(UPPER(TRIM(C102))="BASIN",IF(UPPER(TRIM(Inputs!$B$52))="YES",Inputs!$B$12,0),IF(UPPER(TRIM(C102))="ROOF",Inputs!$B$10,IF(UPPER(TRIM(C102))="PAVAGE",Inputs!$B$58,IF(UPPER(TRIM(C102))="TRESFOND",Inputs!$B$11,IF(UPPER(TRIM(C102))="GRASS",Inputs!$B$12,Inputs!$B$13))))))</f>
        <v/>
      </c>
      <c r="G102" s="8">
        <f>IF(A102="","",N102)</f>
        <v/>
      </c>
      <c r="H102" s="8">
        <f>IF(A102="","",Inputs!$B$3/((IF(G102="",Inputs!$B$14,G102)+Inputs!$B$4)^Inputs!$B$5))</f>
        <v/>
      </c>
      <c r="I102" s="8">
        <f>IF(A102="","",2.78E-7*F102*D102*H102)</f>
        <v/>
      </c>
      <c r="J102" s="4" t="n"/>
      <c r="K102" s="4" t="n"/>
      <c r="L102" s="5" t="n"/>
      <c r="M102" s="9">
        <f>IF(A102="","",IF(OR(J102="",Inputs!$B$59=""),0,IFERROR(INDEX(Elements_hybrides!$F$4:$F$204,MATCH(J102,Elements_hybrides!$A$4:$A$204,0))/(Inputs!$B$59*60),0)))</f>
        <v/>
      </c>
      <c r="N102" s="9">
        <f>IF(A102="","",IF(L102="",Inputs!$B$14,L102)+M102)</f>
        <v/>
      </c>
    </row>
    <row r="103">
      <c r="A103" s="4" t="n"/>
      <c r="B103" s="4" t="n"/>
      <c r="C103" s="4" t="n"/>
      <c r="D103" s="7" t="n"/>
      <c r="E103" s="7" t="n"/>
      <c r="F103" s="8">
        <f>IF(E103&lt;&gt;"",E103,IF(UPPER(TRIM(C103))="BASIN",IF(UPPER(TRIM(Inputs!$B$52))="YES",Inputs!$B$12,0),IF(UPPER(TRIM(C103))="ROOF",Inputs!$B$10,IF(UPPER(TRIM(C103))="PAVAGE",Inputs!$B$58,IF(UPPER(TRIM(C103))="TRESFOND",Inputs!$B$11,IF(UPPER(TRIM(C103))="GRASS",Inputs!$B$12,Inputs!$B$13))))))</f>
        <v/>
      </c>
      <c r="G103" s="8">
        <f>IF(A103="","",N103)</f>
        <v/>
      </c>
      <c r="H103" s="8">
        <f>IF(A103="","",Inputs!$B$3/((IF(G103="",Inputs!$B$14,G103)+Inputs!$B$4)^Inputs!$B$5))</f>
        <v/>
      </c>
      <c r="I103" s="8">
        <f>IF(A103="","",2.78E-7*F103*D103*H103)</f>
        <v/>
      </c>
      <c r="J103" s="4" t="n"/>
      <c r="K103" s="4" t="n"/>
      <c r="L103" s="5" t="n"/>
      <c r="M103" s="9">
        <f>IF(A103="","",IF(OR(J103="",Inputs!$B$59=""),0,IFERROR(INDEX(Elements_hybrides!$F$4:$F$204,MATCH(J103,Elements_hybrides!$A$4:$A$204,0))/(Inputs!$B$59*60),0)))</f>
        <v/>
      </c>
      <c r="N103" s="9">
        <f>IF(A103="","",IF(L103="",Inputs!$B$14,L103)+M103)</f>
        <v/>
      </c>
    </row>
    <row r="104">
      <c r="A104" s="4" t="n"/>
      <c r="B104" s="4" t="n"/>
      <c r="C104" s="4" t="n"/>
      <c r="D104" s="7" t="n"/>
      <c r="E104" s="7" t="n"/>
      <c r="F104" s="8">
        <f>IF(E104&lt;&gt;"",E104,IF(UPPER(TRIM(C104))="BASIN",IF(UPPER(TRIM(Inputs!$B$52))="YES",Inputs!$B$12,0),IF(UPPER(TRIM(C104))="ROOF",Inputs!$B$10,IF(UPPER(TRIM(C104))="PAVAGE",Inputs!$B$58,IF(UPPER(TRIM(C104))="TRESFOND",Inputs!$B$11,IF(UPPER(TRIM(C104))="GRASS",Inputs!$B$12,Inputs!$B$13))))))</f>
        <v/>
      </c>
      <c r="G104" s="8">
        <f>IF(A104="","",N104)</f>
        <v/>
      </c>
      <c r="H104" s="8">
        <f>IF(A104="","",Inputs!$B$3/((IF(G104="",Inputs!$B$14,G104)+Inputs!$B$4)^Inputs!$B$5))</f>
        <v/>
      </c>
      <c r="I104" s="8">
        <f>IF(A104="","",2.78E-7*F104*D104*H104)</f>
        <v/>
      </c>
      <c r="J104" s="4" t="n"/>
      <c r="K104" s="4" t="n"/>
      <c r="L104" s="5" t="n"/>
      <c r="M104" s="9">
        <f>IF(A104="","",IF(OR(J104="",Inputs!$B$59=""),0,IFERROR(INDEX(Elements_hybrides!$F$4:$F$204,MATCH(J104,Elements_hybrides!$A$4:$A$204,0))/(Inputs!$B$59*60),0)))</f>
        <v/>
      </c>
      <c r="N104" s="9">
        <f>IF(A104="","",IF(L104="",Inputs!$B$14,L104)+M104)</f>
        <v/>
      </c>
    </row>
    <row r="105">
      <c r="A105" s="4" t="n"/>
      <c r="B105" s="4" t="n"/>
      <c r="C105" s="4" t="n"/>
      <c r="D105" s="7" t="n"/>
      <c r="E105" s="7" t="n"/>
      <c r="F105" s="8">
        <f>IF(E105&lt;&gt;"",E105,IF(UPPER(TRIM(C105))="BASIN",IF(UPPER(TRIM(Inputs!$B$52))="YES",Inputs!$B$12,0),IF(UPPER(TRIM(C105))="ROOF",Inputs!$B$10,IF(UPPER(TRIM(C105))="PAVAGE",Inputs!$B$58,IF(UPPER(TRIM(C105))="TRESFOND",Inputs!$B$11,IF(UPPER(TRIM(C105))="GRASS",Inputs!$B$12,Inputs!$B$13))))))</f>
        <v/>
      </c>
      <c r="G105" s="8">
        <f>IF(A105="","",N105)</f>
        <v/>
      </c>
      <c r="H105" s="8">
        <f>IF(A105="","",Inputs!$B$3/((IF(G105="",Inputs!$B$14,G105)+Inputs!$B$4)^Inputs!$B$5))</f>
        <v/>
      </c>
      <c r="I105" s="8">
        <f>IF(A105="","",2.78E-7*F105*D105*H105)</f>
        <v/>
      </c>
      <c r="J105" s="4" t="n"/>
      <c r="K105" s="4" t="n"/>
      <c r="L105" s="5" t="n"/>
      <c r="M105" s="9">
        <f>IF(A105="","",IF(OR(J105="",Inputs!$B$59=""),0,IFERROR(INDEX(Elements_hybrides!$F$4:$F$204,MATCH(J105,Elements_hybrides!$A$4:$A$204,0))/(Inputs!$B$59*60),0)))</f>
        <v/>
      </c>
      <c r="N105" s="9">
        <f>IF(A105="","",IF(L105="",Inputs!$B$14,L105)+M105)</f>
        <v/>
      </c>
    </row>
    <row r="106">
      <c r="A106" s="4" t="n"/>
      <c r="B106" s="4" t="n"/>
      <c r="C106" s="4" t="n"/>
      <c r="D106" s="7" t="n"/>
      <c r="E106" s="7" t="n"/>
      <c r="F106" s="8">
        <f>IF(E106&lt;&gt;"",E106,IF(UPPER(TRIM(C106))="BASIN",IF(UPPER(TRIM(Inputs!$B$52))="YES",Inputs!$B$12,0),IF(UPPER(TRIM(C106))="ROOF",Inputs!$B$10,IF(UPPER(TRIM(C106))="PAVAGE",Inputs!$B$58,IF(UPPER(TRIM(C106))="TRESFOND",Inputs!$B$11,IF(UPPER(TRIM(C106))="GRASS",Inputs!$B$12,Inputs!$B$13))))))</f>
        <v/>
      </c>
      <c r="G106" s="8">
        <f>IF(A106="","",N106)</f>
        <v/>
      </c>
      <c r="H106" s="8">
        <f>IF(A106="","",Inputs!$B$3/((IF(G106="",Inputs!$B$14,G106)+Inputs!$B$4)^Inputs!$B$5))</f>
        <v/>
      </c>
      <c r="I106" s="8">
        <f>IF(A106="","",2.78E-7*F106*D106*H106)</f>
        <v/>
      </c>
      <c r="J106" s="4" t="n"/>
      <c r="K106" s="4" t="n"/>
      <c r="L106" s="5" t="n"/>
      <c r="M106" s="9">
        <f>IF(A106="","",IF(OR(J106="",Inputs!$B$59=""),0,IFERROR(INDEX(Elements_hybrides!$F$4:$F$204,MATCH(J106,Elements_hybrides!$A$4:$A$204,0))/(Inputs!$B$59*60),0)))</f>
        <v/>
      </c>
      <c r="N106" s="9">
        <f>IF(A106="","",IF(L106="",Inputs!$B$14,L106)+M106)</f>
        <v/>
      </c>
    </row>
    <row r="107">
      <c r="A107" s="4" t="n"/>
      <c r="B107" s="4" t="n"/>
      <c r="C107" s="4" t="n"/>
      <c r="D107" s="7" t="n"/>
      <c r="E107" s="7" t="n"/>
      <c r="F107" s="8">
        <f>IF(E107&lt;&gt;"",E107,IF(UPPER(TRIM(C107))="BASIN",IF(UPPER(TRIM(Inputs!$B$52))="YES",Inputs!$B$12,0),IF(UPPER(TRIM(C107))="ROOF",Inputs!$B$10,IF(UPPER(TRIM(C107))="PAVAGE",Inputs!$B$58,IF(UPPER(TRIM(C107))="TRESFOND",Inputs!$B$11,IF(UPPER(TRIM(C107))="GRASS",Inputs!$B$12,Inputs!$B$13))))))</f>
        <v/>
      </c>
      <c r="G107" s="8">
        <f>IF(A107="","",N107)</f>
        <v/>
      </c>
      <c r="H107" s="8">
        <f>IF(A107="","",Inputs!$B$3/((IF(G107="",Inputs!$B$14,G107)+Inputs!$B$4)^Inputs!$B$5))</f>
        <v/>
      </c>
      <c r="I107" s="8">
        <f>IF(A107="","",2.78E-7*F107*D107*H107)</f>
        <v/>
      </c>
      <c r="J107" s="4" t="n"/>
      <c r="K107" s="4" t="n"/>
      <c r="L107" s="5" t="n"/>
      <c r="M107" s="9">
        <f>IF(A107="","",IF(OR(J107="",Inputs!$B$59=""),0,IFERROR(INDEX(Elements_hybrides!$F$4:$F$204,MATCH(J107,Elements_hybrides!$A$4:$A$204,0))/(Inputs!$B$59*60),0)))</f>
        <v/>
      </c>
      <c r="N107" s="9">
        <f>IF(A107="","",IF(L107="",Inputs!$B$14,L107)+M107)</f>
        <v/>
      </c>
    </row>
    <row r="108">
      <c r="A108" s="4" t="n"/>
      <c r="B108" s="4" t="n"/>
      <c r="C108" s="4" t="n"/>
      <c r="D108" s="7" t="n"/>
      <c r="E108" s="7" t="n"/>
      <c r="F108" s="8">
        <f>IF(E108&lt;&gt;"",E108,IF(UPPER(TRIM(C108))="BASIN",IF(UPPER(TRIM(Inputs!$B$52))="YES",Inputs!$B$12,0),IF(UPPER(TRIM(C108))="ROOF",Inputs!$B$10,IF(UPPER(TRIM(C108))="PAVAGE",Inputs!$B$58,IF(UPPER(TRIM(C108))="TRESFOND",Inputs!$B$11,IF(UPPER(TRIM(C108))="GRASS",Inputs!$B$12,Inputs!$B$13))))))</f>
        <v/>
      </c>
      <c r="G108" s="8">
        <f>IF(A108="","",N108)</f>
        <v/>
      </c>
      <c r="H108" s="8">
        <f>IF(A108="","",Inputs!$B$3/((IF(G108="",Inputs!$B$14,G108)+Inputs!$B$4)^Inputs!$B$5))</f>
        <v/>
      </c>
      <c r="I108" s="8">
        <f>IF(A108="","",2.78E-7*F108*D108*H108)</f>
        <v/>
      </c>
      <c r="J108" s="4" t="n"/>
      <c r="K108" s="4" t="n"/>
      <c r="L108" s="5" t="n"/>
      <c r="M108" s="9">
        <f>IF(A108="","",IF(OR(J108="",Inputs!$B$59=""),0,IFERROR(INDEX(Elements_hybrides!$F$4:$F$204,MATCH(J108,Elements_hybrides!$A$4:$A$204,0))/(Inputs!$B$59*60),0)))</f>
        <v/>
      </c>
      <c r="N108" s="9">
        <f>IF(A108="","",IF(L108="",Inputs!$B$14,L108)+M108)</f>
        <v/>
      </c>
    </row>
    <row r="109">
      <c r="A109" s="4" t="n"/>
      <c r="B109" s="4" t="n"/>
      <c r="C109" s="4" t="n"/>
      <c r="D109" s="7" t="n"/>
      <c r="E109" s="7" t="n"/>
      <c r="F109" s="8">
        <f>IF(E109&lt;&gt;"",E109,IF(UPPER(TRIM(C109))="BASIN",IF(UPPER(TRIM(Inputs!$B$52))="YES",Inputs!$B$12,0),IF(UPPER(TRIM(C109))="ROOF",Inputs!$B$10,IF(UPPER(TRIM(C109))="PAVAGE",Inputs!$B$58,IF(UPPER(TRIM(C109))="TRESFOND",Inputs!$B$11,IF(UPPER(TRIM(C109))="GRASS",Inputs!$B$12,Inputs!$B$13))))))</f>
        <v/>
      </c>
      <c r="G109" s="8">
        <f>IF(A109="","",N109)</f>
        <v/>
      </c>
      <c r="H109" s="8">
        <f>IF(A109="","",Inputs!$B$3/((IF(G109="",Inputs!$B$14,G109)+Inputs!$B$4)^Inputs!$B$5))</f>
        <v/>
      </c>
      <c r="I109" s="8">
        <f>IF(A109="","",2.78E-7*F109*D109*H109)</f>
        <v/>
      </c>
      <c r="J109" s="4" t="n"/>
      <c r="K109" s="4" t="n"/>
      <c r="L109" s="5" t="n"/>
      <c r="M109" s="9">
        <f>IF(A109="","",IF(OR(J109="",Inputs!$B$59=""),0,IFERROR(INDEX(Elements_hybrides!$F$4:$F$204,MATCH(J109,Elements_hybrides!$A$4:$A$204,0))/(Inputs!$B$59*60),0)))</f>
        <v/>
      </c>
      <c r="N109" s="9">
        <f>IF(A109="","",IF(L109="",Inputs!$B$14,L109)+M109)</f>
        <v/>
      </c>
    </row>
    <row r="110">
      <c r="A110" s="4" t="n"/>
      <c r="B110" s="4" t="n"/>
      <c r="C110" s="4" t="n"/>
      <c r="D110" s="7" t="n"/>
      <c r="E110" s="7" t="n"/>
      <c r="F110" s="8">
        <f>IF(E110&lt;&gt;"",E110,IF(UPPER(TRIM(C110))="BASIN",IF(UPPER(TRIM(Inputs!$B$52))="YES",Inputs!$B$12,0),IF(UPPER(TRIM(C110))="ROOF",Inputs!$B$10,IF(UPPER(TRIM(C110))="PAVAGE",Inputs!$B$58,IF(UPPER(TRIM(C110))="TRESFOND",Inputs!$B$11,IF(UPPER(TRIM(C110))="GRASS",Inputs!$B$12,Inputs!$B$13))))))</f>
        <v/>
      </c>
      <c r="G110" s="8">
        <f>IF(A110="","",N110)</f>
        <v/>
      </c>
      <c r="H110" s="8">
        <f>IF(A110="","",Inputs!$B$3/((IF(G110="",Inputs!$B$14,G110)+Inputs!$B$4)^Inputs!$B$5))</f>
        <v/>
      </c>
      <c r="I110" s="8">
        <f>IF(A110="","",2.78E-7*F110*D110*H110)</f>
        <v/>
      </c>
      <c r="J110" s="4" t="n"/>
      <c r="K110" s="4" t="n"/>
      <c r="L110" s="5" t="n"/>
      <c r="M110" s="9">
        <f>IF(A110="","",IF(OR(J110="",Inputs!$B$59=""),0,IFERROR(INDEX(Elements_hybrides!$F$4:$F$204,MATCH(J110,Elements_hybrides!$A$4:$A$204,0))/(Inputs!$B$59*60),0)))</f>
        <v/>
      </c>
      <c r="N110" s="9">
        <f>IF(A110="","",IF(L110="",Inputs!$B$14,L110)+M110)</f>
        <v/>
      </c>
    </row>
    <row r="111">
      <c r="A111" s="4" t="n"/>
      <c r="B111" s="4" t="n"/>
      <c r="C111" s="4" t="n"/>
      <c r="D111" s="7" t="n"/>
      <c r="E111" s="7" t="n"/>
      <c r="F111" s="8">
        <f>IF(E111&lt;&gt;"",E111,IF(UPPER(TRIM(C111))="BASIN",IF(UPPER(TRIM(Inputs!$B$52))="YES",Inputs!$B$12,0),IF(UPPER(TRIM(C111))="ROOF",Inputs!$B$10,IF(UPPER(TRIM(C111))="PAVAGE",Inputs!$B$58,IF(UPPER(TRIM(C111))="TRESFOND",Inputs!$B$11,IF(UPPER(TRIM(C111))="GRASS",Inputs!$B$12,Inputs!$B$13))))))</f>
        <v/>
      </c>
      <c r="G111" s="8">
        <f>IF(A111="","",N111)</f>
        <v/>
      </c>
      <c r="H111" s="8">
        <f>IF(A111="","",Inputs!$B$3/((IF(G111="",Inputs!$B$14,G111)+Inputs!$B$4)^Inputs!$B$5))</f>
        <v/>
      </c>
      <c r="I111" s="8">
        <f>IF(A111="","",2.78E-7*F111*D111*H111)</f>
        <v/>
      </c>
      <c r="J111" s="4" t="n"/>
      <c r="K111" s="4" t="n"/>
      <c r="L111" s="5" t="n"/>
      <c r="M111" s="9">
        <f>IF(A111="","",IF(OR(J111="",Inputs!$B$59=""),0,IFERROR(INDEX(Elements_hybrides!$F$4:$F$204,MATCH(J111,Elements_hybrides!$A$4:$A$204,0))/(Inputs!$B$59*60),0)))</f>
        <v/>
      </c>
      <c r="N111" s="9">
        <f>IF(A111="","",IF(L111="",Inputs!$B$14,L111)+M111)</f>
        <v/>
      </c>
    </row>
    <row r="112">
      <c r="A112" s="4" t="n"/>
      <c r="B112" s="4" t="n"/>
      <c r="C112" s="4" t="n"/>
      <c r="D112" s="7" t="n"/>
      <c r="E112" s="7" t="n"/>
      <c r="F112" s="8">
        <f>IF(E112&lt;&gt;"",E112,IF(UPPER(TRIM(C112))="BASIN",IF(UPPER(TRIM(Inputs!$B$52))="YES",Inputs!$B$12,0),IF(UPPER(TRIM(C112))="ROOF",Inputs!$B$10,IF(UPPER(TRIM(C112))="PAVAGE",Inputs!$B$58,IF(UPPER(TRIM(C112))="TRESFOND",Inputs!$B$11,IF(UPPER(TRIM(C112))="GRASS",Inputs!$B$12,Inputs!$B$13))))))</f>
        <v/>
      </c>
      <c r="G112" s="8">
        <f>IF(A112="","",N112)</f>
        <v/>
      </c>
      <c r="H112" s="8">
        <f>IF(A112="","",Inputs!$B$3/((IF(G112="",Inputs!$B$14,G112)+Inputs!$B$4)^Inputs!$B$5))</f>
        <v/>
      </c>
      <c r="I112" s="8">
        <f>IF(A112="","",2.78E-7*F112*D112*H112)</f>
        <v/>
      </c>
      <c r="J112" s="4" t="n"/>
      <c r="K112" s="4" t="n"/>
      <c r="L112" s="5" t="n"/>
      <c r="M112" s="9">
        <f>IF(A112="","",IF(OR(J112="",Inputs!$B$59=""),0,IFERROR(INDEX(Elements_hybrides!$F$4:$F$204,MATCH(J112,Elements_hybrides!$A$4:$A$204,0))/(Inputs!$B$59*60),0)))</f>
        <v/>
      </c>
      <c r="N112" s="9">
        <f>IF(A112="","",IF(L112="",Inputs!$B$14,L112)+M112)</f>
        <v/>
      </c>
    </row>
    <row r="113">
      <c r="A113" s="4" t="n"/>
      <c r="B113" s="4" t="n"/>
      <c r="C113" s="4" t="n"/>
      <c r="D113" s="7" t="n"/>
      <c r="E113" s="7" t="n"/>
      <c r="F113" s="8">
        <f>IF(E113&lt;&gt;"",E113,IF(UPPER(TRIM(C113))="BASIN",IF(UPPER(TRIM(Inputs!$B$52))="YES",Inputs!$B$12,0),IF(UPPER(TRIM(C113))="ROOF",Inputs!$B$10,IF(UPPER(TRIM(C113))="PAVAGE",Inputs!$B$58,IF(UPPER(TRIM(C113))="TRESFOND",Inputs!$B$11,IF(UPPER(TRIM(C113))="GRASS",Inputs!$B$12,Inputs!$B$13))))))</f>
        <v/>
      </c>
      <c r="G113" s="8">
        <f>IF(A113="","",N113)</f>
        <v/>
      </c>
      <c r="H113" s="8">
        <f>IF(A113="","",Inputs!$B$3/((IF(G113="",Inputs!$B$14,G113)+Inputs!$B$4)^Inputs!$B$5))</f>
        <v/>
      </c>
      <c r="I113" s="8">
        <f>IF(A113="","",2.78E-7*F113*D113*H113)</f>
        <v/>
      </c>
      <c r="J113" s="4" t="n"/>
      <c r="K113" s="4" t="n"/>
      <c r="L113" s="5" t="n"/>
      <c r="M113" s="9">
        <f>IF(A113="","",IF(OR(J113="",Inputs!$B$59=""),0,IFERROR(INDEX(Elements_hybrides!$F$4:$F$204,MATCH(J113,Elements_hybrides!$A$4:$A$204,0))/(Inputs!$B$59*60),0)))</f>
        <v/>
      </c>
      <c r="N113" s="9">
        <f>IF(A113="","",IF(L113="",Inputs!$B$14,L113)+M113)</f>
        <v/>
      </c>
    </row>
    <row r="114">
      <c r="A114" s="4" t="n"/>
      <c r="B114" s="4" t="n"/>
      <c r="C114" s="4" t="n"/>
      <c r="D114" s="7" t="n"/>
      <c r="E114" s="7" t="n"/>
      <c r="F114" s="8">
        <f>IF(E114&lt;&gt;"",E114,IF(UPPER(TRIM(C114))="BASIN",IF(UPPER(TRIM(Inputs!$B$52))="YES",Inputs!$B$12,0),IF(UPPER(TRIM(C114))="ROOF",Inputs!$B$10,IF(UPPER(TRIM(C114))="PAVAGE",Inputs!$B$58,IF(UPPER(TRIM(C114))="TRESFOND",Inputs!$B$11,IF(UPPER(TRIM(C114))="GRASS",Inputs!$B$12,Inputs!$B$13))))))</f>
        <v/>
      </c>
      <c r="G114" s="8">
        <f>IF(A114="","",N114)</f>
        <v/>
      </c>
      <c r="H114" s="8">
        <f>IF(A114="","",Inputs!$B$3/((IF(G114="",Inputs!$B$14,G114)+Inputs!$B$4)^Inputs!$B$5))</f>
        <v/>
      </c>
      <c r="I114" s="8">
        <f>IF(A114="","",2.78E-7*F114*D114*H114)</f>
        <v/>
      </c>
      <c r="J114" s="4" t="n"/>
      <c r="K114" s="4" t="n"/>
      <c r="L114" s="5" t="n"/>
      <c r="M114" s="9">
        <f>IF(A114="","",IF(OR(J114="",Inputs!$B$59=""),0,IFERROR(INDEX(Elements_hybrides!$F$4:$F$204,MATCH(J114,Elements_hybrides!$A$4:$A$204,0))/(Inputs!$B$59*60),0)))</f>
        <v/>
      </c>
      <c r="N114" s="9">
        <f>IF(A114="","",IF(L114="",Inputs!$B$14,L114)+M114)</f>
        <v/>
      </c>
    </row>
    <row r="115">
      <c r="A115" s="4" t="n"/>
      <c r="B115" s="4" t="n"/>
      <c r="C115" s="4" t="n"/>
      <c r="D115" s="7" t="n"/>
      <c r="E115" s="7" t="n"/>
      <c r="F115" s="8">
        <f>IF(E115&lt;&gt;"",E115,IF(UPPER(TRIM(C115))="BASIN",IF(UPPER(TRIM(Inputs!$B$52))="YES",Inputs!$B$12,0),IF(UPPER(TRIM(C115))="ROOF",Inputs!$B$10,IF(UPPER(TRIM(C115))="PAVAGE",Inputs!$B$58,IF(UPPER(TRIM(C115))="TRESFOND",Inputs!$B$11,IF(UPPER(TRIM(C115))="GRASS",Inputs!$B$12,Inputs!$B$13))))))</f>
        <v/>
      </c>
      <c r="G115" s="8">
        <f>IF(A115="","",N115)</f>
        <v/>
      </c>
      <c r="H115" s="8">
        <f>IF(A115="","",Inputs!$B$3/((IF(G115="",Inputs!$B$14,G115)+Inputs!$B$4)^Inputs!$B$5))</f>
        <v/>
      </c>
      <c r="I115" s="8">
        <f>IF(A115="","",2.78E-7*F115*D115*H115)</f>
        <v/>
      </c>
      <c r="J115" s="4" t="n"/>
      <c r="K115" s="4" t="n"/>
      <c r="L115" s="5" t="n"/>
      <c r="M115" s="9">
        <f>IF(A115="","",IF(OR(J115="",Inputs!$B$59=""),0,IFERROR(INDEX(Elements_hybrides!$F$4:$F$204,MATCH(J115,Elements_hybrides!$A$4:$A$204,0))/(Inputs!$B$59*60),0)))</f>
        <v/>
      </c>
      <c r="N115" s="9">
        <f>IF(A115="","",IF(L115="",Inputs!$B$14,L115)+M115)</f>
        <v/>
      </c>
    </row>
    <row r="116">
      <c r="A116" s="4" t="n"/>
      <c r="B116" s="4" t="n"/>
      <c r="C116" s="4" t="n"/>
      <c r="D116" s="7" t="n"/>
      <c r="E116" s="7" t="n"/>
      <c r="F116" s="8">
        <f>IF(E116&lt;&gt;"",E116,IF(UPPER(TRIM(C116))="BASIN",IF(UPPER(TRIM(Inputs!$B$52))="YES",Inputs!$B$12,0),IF(UPPER(TRIM(C116))="ROOF",Inputs!$B$10,IF(UPPER(TRIM(C116))="PAVAGE",Inputs!$B$58,IF(UPPER(TRIM(C116))="TRESFOND",Inputs!$B$11,IF(UPPER(TRIM(C116))="GRASS",Inputs!$B$12,Inputs!$B$13))))))</f>
        <v/>
      </c>
      <c r="G116" s="8">
        <f>IF(A116="","",N116)</f>
        <v/>
      </c>
      <c r="H116" s="8">
        <f>IF(A116="","",Inputs!$B$3/((IF(G116="",Inputs!$B$14,G116)+Inputs!$B$4)^Inputs!$B$5))</f>
        <v/>
      </c>
      <c r="I116" s="8">
        <f>IF(A116="","",2.78E-7*F116*D116*H116)</f>
        <v/>
      </c>
      <c r="J116" s="4" t="n"/>
      <c r="K116" s="4" t="n"/>
      <c r="L116" s="5" t="n"/>
      <c r="M116" s="9">
        <f>IF(A116="","",IF(OR(J116="",Inputs!$B$59=""),0,IFERROR(INDEX(Elements_hybrides!$F$4:$F$204,MATCH(J116,Elements_hybrides!$A$4:$A$204,0))/(Inputs!$B$59*60),0)))</f>
        <v/>
      </c>
      <c r="N116" s="9">
        <f>IF(A116="","",IF(L116="",Inputs!$B$14,L116)+M116)</f>
        <v/>
      </c>
    </row>
    <row r="117">
      <c r="A117" s="4" t="n"/>
      <c r="B117" s="4" t="n"/>
      <c r="C117" s="4" t="n"/>
      <c r="D117" s="7" t="n"/>
      <c r="E117" s="7" t="n"/>
      <c r="F117" s="8">
        <f>IF(E117&lt;&gt;"",E117,IF(UPPER(TRIM(C117))="BASIN",IF(UPPER(TRIM(Inputs!$B$52))="YES",Inputs!$B$12,0),IF(UPPER(TRIM(C117))="ROOF",Inputs!$B$10,IF(UPPER(TRIM(C117))="PAVAGE",Inputs!$B$58,IF(UPPER(TRIM(C117))="TRESFOND",Inputs!$B$11,IF(UPPER(TRIM(C117))="GRASS",Inputs!$B$12,Inputs!$B$13))))))</f>
        <v/>
      </c>
      <c r="G117" s="8">
        <f>IF(A117="","",N117)</f>
        <v/>
      </c>
      <c r="H117" s="8">
        <f>IF(A117="","",Inputs!$B$3/((IF(G117="",Inputs!$B$14,G117)+Inputs!$B$4)^Inputs!$B$5))</f>
        <v/>
      </c>
      <c r="I117" s="8">
        <f>IF(A117="","",2.78E-7*F117*D117*H117)</f>
        <v/>
      </c>
      <c r="J117" s="4" t="n"/>
      <c r="K117" s="4" t="n"/>
      <c r="L117" s="5" t="n"/>
      <c r="M117" s="9">
        <f>IF(A117="","",IF(OR(J117="",Inputs!$B$59=""),0,IFERROR(INDEX(Elements_hybrides!$F$4:$F$204,MATCH(J117,Elements_hybrides!$A$4:$A$204,0))/(Inputs!$B$59*60),0)))</f>
        <v/>
      </c>
      <c r="N117" s="9">
        <f>IF(A117="","",IF(L117="",Inputs!$B$14,L117)+M117)</f>
        <v/>
      </c>
    </row>
    <row r="118">
      <c r="A118" s="4" t="n"/>
      <c r="B118" s="4" t="n"/>
      <c r="C118" s="4" t="n"/>
      <c r="D118" s="7" t="n"/>
      <c r="E118" s="7" t="n"/>
      <c r="F118" s="8">
        <f>IF(E118&lt;&gt;"",E118,IF(UPPER(TRIM(C118))="BASIN",IF(UPPER(TRIM(Inputs!$B$52))="YES",Inputs!$B$12,0),IF(UPPER(TRIM(C118))="ROOF",Inputs!$B$10,IF(UPPER(TRIM(C118))="PAVAGE",Inputs!$B$58,IF(UPPER(TRIM(C118))="TRESFOND",Inputs!$B$11,IF(UPPER(TRIM(C118))="GRASS",Inputs!$B$12,Inputs!$B$13))))))</f>
        <v/>
      </c>
      <c r="G118" s="8">
        <f>IF(A118="","",N118)</f>
        <v/>
      </c>
      <c r="H118" s="8">
        <f>IF(A118="","",Inputs!$B$3/((IF(G118="",Inputs!$B$14,G118)+Inputs!$B$4)^Inputs!$B$5))</f>
        <v/>
      </c>
      <c r="I118" s="8">
        <f>IF(A118="","",2.78E-7*F118*D118*H118)</f>
        <v/>
      </c>
      <c r="J118" s="4" t="n"/>
      <c r="K118" s="4" t="n"/>
      <c r="L118" s="5" t="n"/>
      <c r="M118" s="9">
        <f>IF(A118="","",IF(OR(J118="",Inputs!$B$59=""),0,IFERROR(INDEX(Elements_hybrides!$F$4:$F$204,MATCH(J118,Elements_hybrides!$A$4:$A$204,0))/(Inputs!$B$59*60),0)))</f>
        <v/>
      </c>
      <c r="N118" s="9">
        <f>IF(A118="","",IF(L118="",Inputs!$B$14,L118)+M118)</f>
        <v/>
      </c>
    </row>
    <row r="119">
      <c r="A119" s="4" t="n"/>
      <c r="B119" s="4" t="n"/>
      <c r="C119" s="4" t="n"/>
      <c r="D119" s="7" t="n"/>
      <c r="E119" s="7" t="n"/>
      <c r="F119" s="8">
        <f>IF(E119&lt;&gt;"",E119,IF(UPPER(TRIM(C119))="BASIN",IF(UPPER(TRIM(Inputs!$B$52))="YES",Inputs!$B$12,0),IF(UPPER(TRIM(C119))="ROOF",Inputs!$B$10,IF(UPPER(TRIM(C119))="PAVAGE",Inputs!$B$58,IF(UPPER(TRIM(C119))="TRESFOND",Inputs!$B$11,IF(UPPER(TRIM(C119))="GRASS",Inputs!$B$12,Inputs!$B$13))))))</f>
        <v/>
      </c>
      <c r="G119" s="8">
        <f>IF(A119="","",N119)</f>
        <v/>
      </c>
      <c r="H119" s="8">
        <f>IF(A119="","",Inputs!$B$3/((IF(G119="",Inputs!$B$14,G119)+Inputs!$B$4)^Inputs!$B$5))</f>
        <v/>
      </c>
      <c r="I119" s="8">
        <f>IF(A119="","",2.78E-7*F119*D119*H119)</f>
        <v/>
      </c>
      <c r="J119" s="4" t="n"/>
      <c r="K119" s="4" t="n"/>
      <c r="L119" s="5" t="n"/>
      <c r="M119" s="9">
        <f>IF(A119="","",IF(OR(J119="",Inputs!$B$59=""),0,IFERROR(INDEX(Elements_hybrides!$F$4:$F$204,MATCH(J119,Elements_hybrides!$A$4:$A$204,0))/(Inputs!$B$59*60),0)))</f>
        <v/>
      </c>
      <c r="N119" s="9">
        <f>IF(A119="","",IF(L119="",Inputs!$B$14,L119)+M119)</f>
        <v/>
      </c>
    </row>
    <row r="120">
      <c r="A120" s="4" t="n"/>
      <c r="B120" s="4" t="n"/>
      <c r="C120" s="4" t="n"/>
      <c r="D120" s="7" t="n"/>
      <c r="E120" s="7" t="n"/>
      <c r="F120" s="8">
        <f>IF(E120&lt;&gt;"",E120,IF(UPPER(TRIM(C120))="BASIN",IF(UPPER(TRIM(Inputs!$B$52))="YES",Inputs!$B$12,0),IF(UPPER(TRIM(C120))="ROOF",Inputs!$B$10,IF(UPPER(TRIM(C120))="PAVAGE",Inputs!$B$58,IF(UPPER(TRIM(C120))="TRESFOND",Inputs!$B$11,IF(UPPER(TRIM(C120))="GRASS",Inputs!$B$12,Inputs!$B$13))))))</f>
        <v/>
      </c>
      <c r="G120" s="8">
        <f>IF(A120="","",N120)</f>
        <v/>
      </c>
      <c r="H120" s="8">
        <f>IF(A120="","",Inputs!$B$3/((IF(G120="",Inputs!$B$14,G120)+Inputs!$B$4)^Inputs!$B$5))</f>
        <v/>
      </c>
      <c r="I120" s="8">
        <f>IF(A120="","",2.78E-7*F120*D120*H120)</f>
        <v/>
      </c>
      <c r="J120" s="4" t="n"/>
      <c r="K120" s="4" t="n"/>
      <c r="L120" s="5" t="n"/>
      <c r="M120" s="9">
        <f>IF(A120="","",IF(OR(J120="",Inputs!$B$59=""),0,IFERROR(INDEX(Elements_hybrides!$F$4:$F$204,MATCH(J120,Elements_hybrides!$A$4:$A$204,0))/(Inputs!$B$59*60),0)))</f>
        <v/>
      </c>
      <c r="N120" s="9">
        <f>IF(A120="","",IF(L120="",Inputs!$B$14,L120)+M120)</f>
        <v/>
      </c>
    </row>
    <row r="121">
      <c r="A121" s="4" t="n"/>
      <c r="B121" s="4" t="n"/>
      <c r="C121" s="4" t="n"/>
      <c r="D121" s="7" t="n"/>
      <c r="E121" s="7" t="n"/>
      <c r="F121" s="8">
        <f>IF(E121&lt;&gt;"",E121,IF(UPPER(TRIM(C121))="BASIN",IF(UPPER(TRIM(Inputs!$B$52))="YES",Inputs!$B$12,0),IF(UPPER(TRIM(C121))="ROOF",Inputs!$B$10,IF(UPPER(TRIM(C121))="PAVAGE",Inputs!$B$58,IF(UPPER(TRIM(C121))="TRESFOND",Inputs!$B$11,IF(UPPER(TRIM(C121))="GRASS",Inputs!$B$12,Inputs!$B$13))))))</f>
        <v/>
      </c>
      <c r="G121" s="8">
        <f>IF(A121="","",N121)</f>
        <v/>
      </c>
      <c r="H121" s="8">
        <f>IF(A121="","",Inputs!$B$3/((IF(G121="",Inputs!$B$14,G121)+Inputs!$B$4)^Inputs!$B$5))</f>
        <v/>
      </c>
      <c r="I121" s="8">
        <f>IF(A121="","",2.78E-7*F121*D121*H121)</f>
        <v/>
      </c>
      <c r="J121" s="4" t="n"/>
      <c r="K121" s="4" t="n"/>
      <c r="L121" s="5" t="n"/>
      <c r="M121" s="9">
        <f>IF(A121="","",IF(OR(J121="",Inputs!$B$59=""),0,IFERROR(INDEX(Elements_hybrides!$F$4:$F$204,MATCH(J121,Elements_hybrides!$A$4:$A$204,0))/(Inputs!$B$59*60),0)))</f>
        <v/>
      </c>
      <c r="N121" s="9">
        <f>IF(A121="","",IF(L121="",Inputs!$B$14,L121)+M121)</f>
        <v/>
      </c>
    </row>
    <row r="122">
      <c r="A122" s="4" t="n"/>
      <c r="B122" s="4" t="n"/>
      <c r="C122" s="4" t="n"/>
      <c r="D122" s="7" t="n"/>
      <c r="E122" s="7" t="n"/>
      <c r="F122" s="8">
        <f>IF(E122&lt;&gt;"",E122,IF(UPPER(TRIM(C122))="BASIN",IF(UPPER(TRIM(Inputs!$B$52))="YES",Inputs!$B$12,0),IF(UPPER(TRIM(C122))="ROOF",Inputs!$B$10,IF(UPPER(TRIM(C122))="PAVAGE",Inputs!$B$58,IF(UPPER(TRIM(C122))="TRESFOND",Inputs!$B$11,IF(UPPER(TRIM(C122))="GRASS",Inputs!$B$12,Inputs!$B$13))))))</f>
        <v/>
      </c>
      <c r="G122" s="8">
        <f>IF(A122="","",N122)</f>
        <v/>
      </c>
      <c r="H122" s="8">
        <f>IF(A122="","",Inputs!$B$3/((IF(G122="",Inputs!$B$14,G122)+Inputs!$B$4)^Inputs!$B$5))</f>
        <v/>
      </c>
      <c r="I122" s="8">
        <f>IF(A122="","",2.78E-7*F122*D122*H122)</f>
        <v/>
      </c>
      <c r="J122" s="4" t="n"/>
      <c r="K122" s="4" t="n"/>
      <c r="L122" s="5" t="n"/>
      <c r="M122" s="9">
        <f>IF(A122="","",IF(OR(J122="",Inputs!$B$59=""),0,IFERROR(INDEX(Elements_hybrides!$F$4:$F$204,MATCH(J122,Elements_hybrides!$A$4:$A$204,0))/(Inputs!$B$59*60),0)))</f>
        <v/>
      </c>
      <c r="N122" s="9">
        <f>IF(A122="","",IF(L122="",Inputs!$B$14,L122)+M122)</f>
        <v/>
      </c>
    </row>
    <row r="123">
      <c r="A123" s="4" t="n"/>
      <c r="B123" s="4" t="n"/>
      <c r="C123" s="4" t="n"/>
      <c r="D123" s="7" t="n"/>
      <c r="E123" s="7" t="n"/>
      <c r="F123" s="8">
        <f>IF(E123&lt;&gt;"",E123,IF(UPPER(TRIM(C123))="BASIN",IF(UPPER(TRIM(Inputs!$B$52))="YES",Inputs!$B$12,0),IF(UPPER(TRIM(C123))="ROOF",Inputs!$B$10,IF(UPPER(TRIM(C123))="PAVAGE",Inputs!$B$58,IF(UPPER(TRIM(C123))="TRESFOND",Inputs!$B$11,IF(UPPER(TRIM(C123))="GRASS",Inputs!$B$12,Inputs!$B$13))))))</f>
        <v/>
      </c>
      <c r="G123" s="8">
        <f>IF(A123="","",N123)</f>
        <v/>
      </c>
      <c r="H123" s="8">
        <f>IF(A123="","",Inputs!$B$3/((IF(G123="",Inputs!$B$14,G123)+Inputs!$B$4)^Inputs!$B$5))</f>
        <v/>
      </c>
      <c r="I123" s="8">
        <f>IF(A123="","",2.78E-7*F123*D123*H123)</f>
        <v/>
      </c>
      <c r="J123" s="4" t="n"/>
      <c r="K123" s="4" t="n"/>
      <c r="L123" s="5" t="n"/>
      <c r="M123" s="9">
        <f>IF(A123="","",IF(OR(J123="",Inputs!$B$59=""),0,IFERROR(INDEX(Elements_hybrides!$F$4:$F$204,MATCH(J123,Elements_hybrides!$A$4:$A$204,0))/(Inputs!$B$59*60),0)))</f>
        <v/>
      </c>
      <c r="N123" s="9">
        <f>IF(A123="","",IF(L123="",Inputs!$B$14,L123)+M123)</f>
        <v/>
      </c>
    </row>
    <row r="124">
      <c r="A124" s="4" t="n"/>
      <c r="B124" s="4" t="n"/>
      <c r="C124" s="4" t="n"/>
      <c r="D124" s="7" t="n"/>
      <c r="E124" s="7" t="n"/>
      <c r="F124" s="8">
        <f>IF(E124&lt;&gt;"",E124,IF(UPPER(TRIM(C124))="BASIN",IF(UPPER(TRIM(Inputs!$B$52))="YES",Inputs!$B$12,0),IF(UPPER(TRIM(C124))="ROOF",Inputs!$B$10,IF(UPPER(TRIM(C124))="PAVAGE",Inputs!$B$58,IF(UPPER(TRIM(C124))="TRESFOND",Inputs!$B$11,IF(UPPER(TRIM(C124))="GRASS",Inputs!$B$12,Inputs!$B$13))))))</f>
        <v/>
      </c>
      <c r="G124" s="8">
        <f>IF(A124="","",N124)</f>
        <v/>
      </c>
      <c r="H124" s="8">
        <f>IF(A124="","",Inputs!$B$3/((IF(G124="",Inputs!$B$14,G124)+Inputs!$B$4)^Inputs!$B$5))</f>
        <v/>
      </c>
      <c r="I124" s="8">
        <f>IF(A124="","",2.78E-7*F124*D124*H124)</f>
        <v/>
      </c>
      <c r="J124" s="4" t="n"/>
      <c r="K124" s="4" t="n"/>
      <c r="L124" s="5" t="n"/>
      <c r="M124" s="9">
        <f>IF(A124="","",IF(OR(J124="",Inputs!$B$59=""),0,IFERROR(INDEX(Elements_hybrides!$F$4:$F$204,MATCH(J124,Elements_hybrides!$A$4:$A$204,0))/(Inputs!$B$59*60),0)))</f>
        <v/>
      </c>
      <c r="N124" s="9">
        <f>IF(A124="","",IF(L124="",Inputs!$B$14,L124)+M124)</f>
        <v/>
      </c>
    </row>
    <row r="125">
      <c r="A125" s="4" t="n"/>
      <c r="B125" s="4" t="n"/>
      <c r="C125" s="4" t="n"/>
      <c r="D125" s="7" t="n"/>
      <c r="E125" s="7" t="n"/>
      <c r="F125" s="8">
        <f>IF(E125&lt;&gt;"",E125,IF(UPPER(TRIM(C125))="BASIN",IF(UPPER(TRIM(Inputs!$B$52))="YES",Inputs!$B$12,0),IF(UPPER(TRIM(C125))="ROOF",Inputs!$B$10,IF(UPPER(TRIM(C125))="PAVAGE",Inputs!$B$58,IF(UPPER(TRIM(C125))="TRESFOND",Inputs!$B$11,IF(UPPER(TRIM(C125))="GRASS",Inputs!$B$12,Inputs!$B$13))))))</f>
        <v/>
      </c>
      <c r="G125" s="8">
        <f>IF(A125="","",N125)</f>
        <v/>
      </c>
      <c r="H125" s="8">
        <f>IF(A125="","",Inputs!$B$3/((IF(G125="",Inputs!$B$14,G125)+Inputs!$B$4)^Inputs!$B$5))</f>
        <v/>
      </c>
      <c r="I125" s="8">
        <f>IF(A125="","",2.78E-7*F125*D125*H125)</f>
        <v/>
      </c>
      <c r="J125" s="4" t="n"/>
      <c r="K125" s="4" t="n"/>
      <c r="L125" s="5" t="n"/>
      <c r="M125" s="9">
        <f>IF(A125="","",IF(OR(J125="",Inputs!$B$59=""),0,IFERROR(INDEX(Elements_hybrides!$F$4:$F$204,MATCH(J125,Elements_hybrides!$A$4:$A$204,0))/(Inputs!$B$59*60),0)))</f>
        <v/>
      </c>
      <c r="N125" s="9">
        <f>IF(A125="","",IF(L125="",Inputs!$B$14,L125)+M125)</f>
        <v/>
      </c>
    </row>
    <row r="126">
      <c r="A126" s="4" t="n"/>
      <c r="B126" s="4" t="n"/>
      <c r="C126" s="4" t="n"/>
      <c r="D126" s="7" t="n"/>
      <c r="E126" s="7" t="n"/>
      <c r="F126" s="8">
        <f>IF(E126&lt;&gt;"",E126,IF(UPPER(TRIM(C126))="BASIN",IF(UPPER(TRIM(Inputs!$B$52))="YES",Inputs!$B$12,0),IF(UPPER(TRIM(C126))="ROOF",Inputs!$B$10,IF(UPPER(TRIM(C126))="PAVAGE",Inputs!$B$58,IF(UPPER(TRIM(C126))="TRESFOND",Inputs!$B$11,IF(UPPER(TRIM(C126))="GRASS",Inputs!$B$12,Inputs!$B$13))))))</f>
        <v/>
      </c>
      <c r="G126" s="8">
        <f>IF(A126="","",N126)</f>
        <v/>
      </c>
      <c r="H126" s="8">
        <f>IF(A126="","",Inputs!$B$3/((IF(G126="",Inputs!$B$14,G126)+Inputs!$B$4)^Inputs!$B$5))</f>
        <v/>
      </c>
      <c r="I126" s="8">
        <f>IF(A126="","",2.78E-7*F126*D126*H126)</f>
        <v/>
      </c>
      <c r="J126" s="4" t="n"/>
      <c r="K126" s="4" t="n"/>
      <c r="L126" s="5" t="n"/>
      <c r="M126" s="9">
        <f>IF(A126="","",IF(OR(J126="",Inputs!$B$59=""),0,IFERROR(INDEX(Elements_hybrides!$F$4:$F$204,MATCH(J126,Elements_hybrides!$A$4:$A$204,0))/(Inputs!$B$59*60),0)))</f>
        <v/>
      </c>
      <c r="N126" s="9">
        <f>IF(A126="","",IF(L126="",Inputs!$B$14,L126)+M126)</f>
        <v/>
      </c>
    </row>
    <row r="127">
      <c r="A127" s="4" t="n"/>
      <c r="B127" s="4" t="n"/>
      <c r="C127" s="4" t="n"/>
      <c r="D127" s="7" t="n"/>
      <c r="E127" s="7" t="n"/>
      <c r="F127" s="8">
        <f>IF(E127&lt;&gt;"",E127,IF(UPPER(TRIM(C127))="BASIN",IF(UPPER(TRIM(Inputs!$B$52))="YES",Inputs!$B$12,0),IF(UPPER(TRIM(C127))="ROOF",Inputs!$B$10,IF(UPPER(TRIM(C127))="PAVAGE",Inputs!$B$58,IF(UPPER(TRIM(C127))="TRESFOND",Inputs!$B$11,IF(UPPER(TRIM(C127))="GRASS",Inputs!$B$12,Inputs!$B$13))))))</f>
        <v/>
      </c>
      <c r="G127" s="8">
        <f>IF(A127="","",N127)</f>
        <v/>
      </c>
      <c r="H127" s="8">
        <f>IF(A127="","",Inputs!$B$3/((IF(G127="",Inputs!$B$14,G127)+Inputs!$B$4)^Inputs!$B$5))</f>
        <v/>
      </c>
      <c r="I127" s="8">
        <f>IF(A127="","",2.78E-7*F127*D127*H127)</f>
        <v/>
      </c>
      <c r="J127" s="4" t="n"/>
      <c r="K127" s="4" t="n"/>
      <c r="L127" s="5" t="n"/>
      <c r="M127" s="9">
        <f>IF(A127="","",IF(OR(J127="",Inputs!$B$59=""),0,IFERROR(INDEX(Elements_hybrides!$F$4:$F$204,MATCH(J127,Elements_hybrides!$A$4:$A$204,0))/(Inputs!$B$59*60),0)))</f>
        <v/>
      </c>
      <c r="N127" s="9">
        <f>IF(A127="","",IF(L127="",Inputs!$B$14,L127)+M127)</f>
        <v/>
      </c>
    </row>
    <row r="128">
      <c r="A128" s="4" t="n"/>
      <c r="B128" s="4" t="n"/>
      <c r="C128" s="4" t="n"/>
      <c r="D128" s="7" t="n"/>
      <c r="E128" s="7" t="n"/>
      <c r="F128" s="8">
        <f>IF(E128&lt;&gt;"",E128,IF(UPPER(TRIM(C128))="BASIN",IF(UPPER(TRIM(Inputs!$B$52))="YES",Inputs!$B$12,0),IF(UPPER(TRIM(C128))="ROOF",Inputs!$B$10,IF(UPPER(TRIM(C128))="PAVAGE",Inputs!$B$58,IF(UPPER(TRIM(C128))="TRESFOND",Inputs!$B$11,IF(UPPER(TRIM(C128))="GRASS",Inputs!$B$12,Inputs!$B$13))))))</f>
        <v/>
      </c>
      <c r="G128" s="8">
        <f>IF(A128="","",N128)</f>
        <v/>
      </c>
      <c r="H128" s="8">
        <f>IF(A128="","",Inputs!$B$3/((IF(G128="",Inputs!$B$14,G128)+Inputs!$B$4)^Inputs!$B$5))</f>
        <v/>
      </c>
      <c r="I128" s="8">
        <f>IF(A128="","",2.78E-7*F128*D128*H128)</f>
        <v/>
      </c>
      <c r="J128" s="4" t="n"/>
      <c r="K128" s="4" t="n"/>
      <c r="L128" s="5" t="n"/>
      <c r="M128" s="9">
        <f>IF(A128="","",IF(OR(J128="",Inputs!$B$59=""),0,IFERROR(INDEX(Elements_hybrides!$F$4:$F$204,MATCH(J128,Elements_hybrides!$A$4:$A$204,0))/(Inputs!$B$59*60),0)))</f>
        <v/>
      </c>
      <c r="N128" s="9">
        <f>IF(A128="","",IF(L128="",Inputs!$B$14,L128)+M128)</f>
        <v/>
      </c>
    </row>
    <row r="129">
      <c r="A129" s="4" t="n"/>
      <c r="B129" s="4" t="n"/>
      <c r="C129" s="4" t="n"/>
      <c r="D129" s="7" t="n"/>
      <c r="E129" s="7" t="n"/>
      <c r="F129" s="8">
        <f>IF(E129&lt;&gt;"",E129,IF(UPPER(TRIM(C129))="BASIN",IF(UPPER(TRIM(Inputs!$B$52))="YES",Inputs!$B$12,0),IF(UPPER(TRIM(C129))="ROOF",Inputs!$B$10,IF(UPPER(TRIM(C129))="PAVAGE",Inputs!$B$58,IF(UPPER(TRIM(C129))="TRESFOND",Inputs!$B$11,IF(UPPER(TRIM(C129))="GRASS",Inputs!$B$12,Inputs!$B$13))))))</f>
        <v/>
      </c>
      <c r="G129" s="8">
        <f>IF(A129="","",N129)</f>
        <v/>
      </c>
      <c r="H129" s="8">
        <f>IF(A129="","",Inputs!$B$3/((IF(G129="",Inputs!$B$14,G129)+Inputs!$B$4)^Inputs!$B$5))</f>
        <v/>
      </c>
      <c r="I129" s="8">
        <f>IF(A129="","",2.78E-7*F129*D129*H129)</f>
        <v/>
      </c>
      <c r="J129" s="4" t="n"/>
      <c r="K129" s="4" t="n"/>
      <c r="L129" s="5" t="n"/>
      <c r="M129" s="9">
        <f>IF(A129="","",IF(OR(J129="",Inputs!$B$59=""),0,IFERROR(INDEX(Elements_hybrides!$F$4:$F$204,MATCH(J129,Elements_hybrides!$A$4:$A$204,0))/(Inputs!$B$59*60),0)))</f>
        <v/>
      </c>
      <c r="N129" s="9">
        <f>IF(A129="","",IF(L129="",Inputs!$B$14,L129)+M129)</f>
        <v/>
      </c>
    </row>
    <row r="130">
      <c r="A130" s="4" t="n"/>
      <c r="B130" s="4" t="n"/>
      <c r="C130" s="4" t="n"/>
      <c r="D130" s="7" t="n"/>
      <c r="E130" s="7" t="n"/>
      <c r="F130" s="8">
        <f>IF(E130&lt;&gt;"",E130,IF(UPPER(TRIM(C130))="BASIN",IF(UPPER(TRIM(Inputs!$B$52))="YES",Inputs!$B$12,0),IF(UPPER(TRIM(C130))="ROOF",Inputs!$B$10,IF(UPPER(TRIM(C130))="PAVAGE",Inputs!$B$58,IF(UPPER(TRIM(C130))="TRESFOND",Inputs!$B$11,IF(UPPER(TRIM(C130))="GRASS",Inputs!$B$12,Inputs!$B$13))))))</f>
        <v/>
      </c>
      <c r="G130" s="8">
        <f>IF(A130="","",N130)</f>
        <v/>
      </c>
      <c r="H130" s="8">
        <f>IF(A130="","",Inputs!$B$3/((IF(G130="",Inputs!$B$14,G130)+Inputs!$B$4)^Inputs!$B$5))</f>
        <v/>
      </c>
      <c r="I130" s="8">
        <f>IF(A130="","",2.78E-7*F130*D130*H130)</f>
        <v/>
      </c>
      <c r="J130" s="4" t="n"/>
      <c r="K130" s="4" t="n"/>
      <c r="L130" s="5" t="n"/>
      <c r="M130" s="9">
        <f>IF(A130="","",IF(OR(J130="",Inputs!$B$59=""),0,IFERROR(INDEX(Elements_hybrides!$F$4:$F$204,MATCH(J130,Elements_hybrides!$A$4:$A$204,0))/(Inputs!$B$59*60),0)))</f>
        <v/>
      </c>
      <c r="N130" s="9">
        <f>IF(A130="","",IF(L130="",Inputs!$B$14,L130)+M130)</f>
        <v/>
      </c>
    </row>
    <row r="131">
      <c r="A131" s="4" t="n"/>
      <c r="B131" s="4" t="n"/>
      <c r="C131" s="4" t="n"/>
      <c r="D131" s="7" t="n"/>
      <c r="E131" s="7" t="n"/>
      <c r="F131" s="8">
        <f>IF(E131&lt;&gt;"",E131,IF(UPPER(TRIM(C131))="BASIN",IF(UPPER(TRIM(Inputs!$B$52))="YES",Inputs!$B$12,0),IF(UPPER(TRIM(C131))="ROOF",Inputs!$B$10,IF(UPPER(TRIM(C131))="PAVAGE",Inputs!$B$58,IF(UPPER(TRIM(C131))="TRESFOND",Inputs!$B$11,IF(UPPER(TRIM(C131))="GRASS",Inputs!$B$12,Inputs!$B$13))))))</f>
        <v/>
      </c>
      <c r="G131" s="8">
        <f>IF(A131="","",N131)</f>
        <v/>
      </c>
      <c r="H131" s="8">
        <f>IF(A131="","",Inputs!$B$3/((IF(G131="",Inputs!$B$14,G131)+Inputs!$B$4)^Inputs!$B$5))</f>
        <v/>
      </c>
      <c r="I131" s="8">
        <f>IF(A131="","",2.78E-7*F131*D131*H131)</f>
        <v/>
      </c>
      <c r="J131" s="4" t="n"/>
      <c r="K131" s="4" t="n"/>
      <c r="L131" s="5" t="n"/>
      <c r="M131" s="9">
        <f>IF(A131="","",IF(OR(J131="",Inputs!$B$59=""),0,IFERROR(INDEX(Elements_hybrides!$F$4:$F$204,MATCH(J131,Elements_hybrides!$A$4:$A$204,0))/(Inputs!$B$59*60),0)))</f>
        <v/>
      </c>
      <c r="N131" s="9">
        <f>IF(A131="","",IF(L131="",Inputs!$B$14,L131)+M131)</f>
        <v/>
      </c>
    </row>
    <row r="132">
      <c r="A132" s="4" t="n"/>
      <c r="B132" s="4" t="n"/>
      <c r="C132" s="4" t="n"/>
      <c r="D132" s="7" t="n"/>
      <c r="E132" s="7" t="n"/>
      <c r="F132" s="8">
        <f>IF(E132&lt;&gt;"",E132,IF(UPPER(TRIM(C132))="BASIN",IF(UPPER(TRIM(Inputs!$B$52))="YES",Inputs!$B$12,0),IF(UPPER(TRIM(C132))="ROOF",Inputs!$B$10,IF(UPPER(TRIM(C132))="PAVAGE",Inputs!$B$58,IF(UPPER(TRIM(C132))="TRESFOND",Inputs!$B$11,IF(UPPER(TRIM(C132))="GRASS",Inputs!$B$12,Inputs!$B$13))))))</f>
        <v/>
      </c>
      <c r="G132" s="8">
        <f>IF(A132="","",N132)</f>
        <v/>
      </c>
      <c r="H132" s="8">
        <f>IF(A132="","",Inputs!$B$3/((IF(G132="",Inputs!$B$14,G132)+Inputs!$B$4)^Inputs!$B$5))</f>
        <v/>
      </c>
      <c r="I132" s="8">
        <f>IF(A132="","",2.78E-7*F132*D132*H132)</f>
        <v/>
      </c>
      <c r="J132" s="4" t="n"/>
      <c r="K132" s="4" t="n"/>
      <c r="L132" s="5" t="n"/>
      <c r="M132" s="9">
        <f>IF(A132="","",IF(OR(J132="",Inputs!$B$59=""),0,IFERROR(INDEX(Elements_hybrides!$F$4:$F$204,MATCH(J132,Elements_hybrides!$A$4:$A$204,0))/(Inputs!$B$59*60),0)))</f>
        <v/>
      </c>
      <c r="N132" s="9">
        <f>IF(A132="","",IF(L132="",Inputs!$B$14,L132)+M132)</f>
        <v/>
      </c>
    </row>
    <row r="133">
      <c r="A133" s="4" t="n"/>
      <c r="B133" s="4" t="n"/>
      <c r="C133" s="4" t="n"/>
      <c r="D133" s="7" t="n"/>
      <c r="E133" s="7" t="n"/>
      <c r="F133" s="8">
        <f>IF(E133&lt;&gt;"",E133,IF(UPPER(TRIM(C133))="BASIN",IF(UPPER(TRIM(Inputs!$B$52))="YES",Inputs!$B$12,0),IF(UPPER(TRIM(C133))="ROOF",Inputs!$B$10,IF(UPPER(TRIM(C133))="PAVAGE",Inputs!$B$58,IF(UPPER(TRIM(C133))="TRESFOND",Inputs!$B$11,IF(UPPER(TRIM(C133))="GRASS",Inputs!$B$12,Inputs!$B$13))))))</f>
        <v/>
      </c>
      <c r="G133" s="8">
        <f>IF(A133="","",N133)</f>
        <v/>
      </c>
      <c r="H133" s="8">
        <f>IF(A133="","",Inputs!$B$3/((IF(G133="",Inputs!$B$14,G133)+Inputs!$B$4)^Inputs!$B$5))</f>
        <v/>
      </c>
      <c r="I133" s="8">
        <f>IF(A133="","",2.78E-7*F133*D133*H133)</f>
        <v/>
      </c>
      <c r="J133" s="4" t="n"/>
      <c r="K133" s="4" t="n"/>
      <c r="L133" s="5" t="n"/>
      <c r="M133" s="9">
        <f>IF(A133="","",IF(OR(J133="",Inputs!$B$59=""),0,IFERROR(INDEX(Elements_hybrides!$F$4:$F$204,MATCH(J133,Elements_hybrides!$A$4:$A$204,0))/(Inputs!$B$59*60),0)))</f>
        <v/>
      </c>
      <c r="N133" s="9">
        <f>IF(A133="","",IF(L133="",Inputs!$B$14,L133)+M133)</f>
        <v/>
      </c>
    </row>
    <row r="134">
      <c r="A134" s="4" t="n"/>
      <c r="B134" s="4" t="n"/>
      <c r="C134" s="4" t="n"/>
      <c r="D134" s="7" t="n"/>
      <c r="E134" s="7" t="n"/>
      <c r="F134" s="8">
        <f>IF(E134&lt;&gt;"",E134,IF(UPPER(TRIM(C134))="BASIN",IF(UPPER(TRIM(Inputs!$B$52))="YES",Inputs!$B$12,0),IF(UPPER(TRIM(C134))="ROOF",Inputs!$B$10,IF(UPPER(TRIM(C134))="PAVAGE",Inputs!$B$58,IF(UPPER(TRIM(C134))="TRESFOND",Inputs!$B$11,IF(UPPER(TRIM(C134))="GRASS",Inputs!$B$12,Inputs!$B$13))))))</f>
        <v/>
      </c>
      <c r="G134" s="8">
        <f>IF(A134="","",N134)</f>
        <v/>
      </c>
      <c r="H134" s="8">
        <f>IF(A134="","",Inputs!$B$3/((IF(G134="",Inputs!$B$14,G134)+Inputs!$B$4)^Inputs!$B$5))</f>
        <v/>
      </c>
      <c r="I134" s="8">
        <f>IF(A134="","",2.78E-7*F134*D134*H134)</f>
        <v/>
      </c>
      <c r="J134" s="4" t="n"/>
      <c r="K134" s="4" t="n"/>
      <c r="L134" s="5" t="n"/>
      <c r="M134" s="9">
        <f>IF(A134="","",IF(OR(J134="",Inputs!$B$59=""),0,IFERROR(INDEX(Elements_hybrides!$F$4:$F$204,MATCH(J134,Elements_hybrides!$A$4:$A$204,0))/(Inputs!$B$59*60),0)))</f>
        <v/>
      </c>
      <c r="N134" s="9">
        <f>IF(A134="","",IF(L134="",Inputs!$B$14,L134)+M134)</f>
        <v/>
      </c>
    </row>
    <row r="135">
      <c r="A135" s="4" t="n"/>
      <c r="B135" s="4" t="n"/>
      <c r="C135" s="4" t="n"/>
      <c r="D135" s="7" t="n"/>
      <c r="E135" s="7" t="n"/>
      <c r="F135" s="8">
        <f>IF(E135&lt;&gt;"",E135,IF(UPPER(TRIM(C135))="BASIN",IF(UPPER(TRIM(Inputs!$B$52))="YES",Inputs!$B$12,0),IF(UPPER(TRIM(C135))="ROOF",Inputs!$B$10,IF(UPPER(TRIM(C135))="PAVAGE",Inputs!$B$58,IF(UPPER(TRIM(C135))="TRESFOND",Inputs!$B$11,IF(UPPER(TRIM(C135))="GRASS",Inputs!$B$12,Inputs!$B$13))))))</f>
        <v/>
      </c>
      <c r="G135" s="8">
        <f>IF(A135="","",N135)</f>
        <v/>
      </c>
      <c r="H135" s="8">
        <f>IF(A135="","",Inputs!$B$3/((IF(G135="",Inputs!$B$14,G135)+Inputs!$B$4)^Inputs!$B$5))</f>
        <v/>
      </c>
      <c r="I135" s="8">
        <f>IF(A135="","",2.78E-7*F135*D135*H135)</f>
        <v/>
      </c>
      <c r="J135" s="4" t="n"/>
      <c r="K135" s="4" t="n"/>
      <c r="L135" s="5" t="n"/>
      <c r="M135" s="9">
        <f>IF(A135="","",IF(OR(J135="",Inputs!$B$59=""),0,IFERROR(INDEX(Elements_hybrides!$F$4:$F$204,MATCH(J135,Elements_hybrides!$A$4:$A$204,0))/(Inputs!$B$59*60),0)))</f>
        <v/>
      </c>
      <c r="N135" s="9">
        <f>IF(A135="","",IF(L135="",Inputs!$B$14,L135)+M135)</f>
        <v/>
      </c>
    </row>
    <row r="136">
      <c r="A136" s="4" t="n"/>
      <c r="B136" s="4" t="n"/>
      <c r="C136" s="4" t="n"/>
      <c r="D136" s="7" t="n"/>
      <c r="E136" s="7" t="n"/>
      <c r="F136" s="8">
        <f>IF(E136&lt;&gt;"",E136,IF(UPPER(TRIM(C136))="BASIN",IF(UPPER(TRIM(Inputs!$B$52))="YES",Inputs!$B$12,0),IF(UPPER(TRIM(C136))="ROOF",Inputs!$B$10,IF(UPPER(TRIM(C136))="PAVAGE",Inputs!$B$58,IF(UPPER(TRIM(C136))="TRESFOND",Inputs!$B$11,IF(UPPER(TRIM(C136))="GRASS",Inputs!$B$12,Inputs!$B$13))))))</f>
        <v/>
      </c>
      <c r="G136" s="8">
        <f>IF(A136="","",N136)</f>
        <v/>
      </c>
      <c r="H136" s="8">
        <f>IF(A136="","",Inputs!$B$3/((IF(G136="",Inputs!$B$14,G136)+Inputs!$B$4)^Inputs!$B$5))</f>
        <v/>
      </c>
      <c r="I136" s="8">
        <f>IF(A136="","",2.78E-7*F136*D136*H136)</f>
        <v/>
      </c>
      <c r="J136" s="4" t="n"/>
      <c r="K136" s="4" t="n"/>
      <c r="L136" s="5" t="n"/>
      <c r="M136" s="9">
        <f>IF(A136="","",IF(OR(J136="",Inputs!$B$59=""),0,IFERROR(INDEX(Elements_hybrides!$F$4:$F$204,MATCH(J136,Elements_hybrides!$A$4:$A$204,0))/(Inputs!$B$59*60),0)))</f>
        <v/>
      </c>
      <c r="N136" s="9">
        <f>IF(A136="","",IF(L136="",Inputs!$B$14,L136)+M136)</f>
        <v/>
      </c>
    </row>
    <row r="137">
      <c r="A137" s="4" t="n"/>
      <c r="B137" s="4" t="n"/>
      <c r="C137" s="4" t="n"/>
      <c r="D137" s="7" t="n"/>
      <c r="E137" s="7" t="n"/>
      <c r="F137" s="8">
        <f>IF(E137&lt;&gt;"",E137,IF(UPPER(TRIM(C137))="BASIN",IF(UPPER(TRIM(Inputs!$B$52))="YES",Inputs!$B$12,0),IF(UPPER(TRIM(C137))="ROOF",Inputs!$B$10,IF(UPPER(TRIM(C137))="PAVAGE",Inputs!$B$58,IF(UPPER(TRIM(C137))="TRESFOND",Inputs!$B$11,IF(UPPER(TRIM(C137))="GRASS",Inputs!$B$12,Inputs!$B$13))))))</f>
        <v/>
      </c>
      <c r="G137" s="8">
        <f>IF(A137="","",N137)</f>
        <v/>
      </c>
      <c r="H137" s="8">
        <f>IF(A137="","",Inputs!$B$3/((IF(G137="",Inputs!$B$14,G137)+Inputs!$B$4)^Inputs!$B$5))</f>
        <v/>
      </c>
      <c r="I137" s="8">
        <f>IF(A137="","",2.78E-7*F137*D137*H137)</f>
        <v/>
      </c>
      <c r="J137" s="4" t="n"/>
      <c r="K137" s="4" t="n"/>
      <c r="L137" s="5" t="n"/>
      <c r="M137" s="9">
        <f>IF(A137="","",IF(OR(J137="",Inputs!$B$59=""),0,IFERROR(INDEX(Elements_hybrides!$F$4:$F$204,MATCH(J137,Elements_hybrides!$A$4:$A$204,0))/(Inputs!$B$59*60),0)))</f>
        <v/>
      </c>
      <c r="N137" s="9">
        <f>IF(A137="","",IF(L137="",Inputs!$B$14,L137)+M137)</f>
        <v/>
      </c>
    </row>
    <row r="138">
      <c r="A138" s="4" t="n"/>
      <c r="B138" s="4" t="n"/>
      <c r="C138" s="4" t="n"/>
      <c r="D138" s="7" t="n"/>
      <c r="E138" s="7" t="n"/>
      <c r="F138" s="8">
        <f>IF(E138&lt;&gt;"",E138,IF(UPPER(TRIM(C138))="BASIN",IF(UPPER(TRIM(Inputs!$B$52))="YES",Inputs!$B$12,0),IF(UPPER(TRIM(C138))="ROOF",Inputs!$B$10,IF(UPPER(TRIM(C138))="PAVAGE",Inputs!$B$58,IF(UPPER(TRIM(C138))="TRESFOND",Inputs!$B$11,IF(UPPER(TRIM(C138))="GRASS",Inputs!$B$12,Inputs!$B$13))))))</f>
        <v/>
      </c>
      <c r="G138" s="8">
        <f>IF(A138="","",N138)</f>
        <v/>
      </c>
      <c r="H138" s="8">
        <f>IF(A138="","",Inputs!$B$3/((IF(G138="",Inputs!$B$14,G138)+Inputs!$B$4)^Inputs!$B$5))</f>
        <v/>
      </c>
      <c r="I138" s="8">
        <f>IF(A138="","",2.78E-7*F138*D138*H138)</f>
        <v/>
      </c>
      <c r="J138" s="4" t="n"/>
      <c r="K138" s="4" t="n"/>
      <c r="L138" s="5" t="n"/>
      <c r="M138" s="9">
        <f>IF(A138="","",IF(OR(J138="",Inputs!$B$59=""),0,IFERROR(INDEX(Elements_hybrides!$F$4:$F$204,MATCH(J138,Elements_hybrides!$A$4:$A$204,0))/(Inputs!$B$59*60),0)))</f>
        <v/>
      </c>
      <c r="N138" s="9">
        <f>IF(A138="","",IF(L138="",Inputs!$B$14,L138)+M138)</f>
        <v/>
      </c>
    </row>
    <row r="139">
      <c r="A139" s="4" t="n"/>
      <c r="B139" s="4" t="n"/>
      <c r="C139" s="4" t="n"/>
      <c r="D139" s="7" t="n"/>
      <c r="E139" s="7" t="n"/>
      <c r="F139" s="8">
        <f>IF(E139&lt;&gt;"",E139,IF(UPPER(TRIM(C139))="BASIN",IF(UPPER(TRIM(Inputs!$B$52))="YES",Inputs!$B$12,0),IF(UPPER(TRIM(C139))="ROOF",Inputs!$B$10,IF(UPPER(TRIM(C139))="PAVAGE",Inputs!$B$58,IF(UPPER(TRIM(C139))="TRESFOND",Inputs!$B$11,IF(UPPER(TRIM(C139))="GRASS",Inputs!$B$12,Inputs!$B$13))))))</f>
        <v/>
      </c>
      <c r="G139" s="8">
        <f>IF(A139="","",N139)</f>
        <v/>
      </c>
      <c r="H139" s="8">
        <f>IF(A139="","",Inputs!$B$3/((IF(G139="",Inputs!$B$14,G139)+Inputs!$B$4)^Inputs!$B$5))</f>
        <v/>
      </c>
      <c r="I139" s="8">
        <f>IF(A139="","",2.78E-7*F139*D139*H139)</f>
        <v/>
      </c>
      <c r="J139" s="4" t="n"/>
      <c r="K139" s="4" t="n"/>
      <c r="L139" s="5" t="n"/>
      <c r="M139" s="9">
        <f>IF(A139="","",IF(OR(J139="",Inputs!$B$59=""),0,IFERROR(INDEX(Elements_hybrides!$F$4:$F$204,MATCH(J139,Elements_hybrides!$A$4:$A$204,0))/(Inputs!$B$59*60),0)))</f>
        <v/>
      </c>
      <c r="N139" s="9">
        <f>IF(A139="","",IF(L139="",Inputs!$B$14,L139)+M139)</f>
        <v/>
      </c>
    </row>
    <row r="140">
      <c r="A140" s="4" t="n"/>
      <c r="B140" s="4" t="n"/>
      <c r="C140" s="4" t="n"/>
      <c r="D140" s="7" t="n"/>
      <c r="E140" s="7" t="n"/>
      <c r="F140" s="8">
        <f>IF(E140&lt;&gt;"",E140,IF(UPPER(TRIM(C140))="BASIN",IF(UPPER(TRIM(Inputs!$B$52))="YES",Inputs!$B$12,0),IF(UPPER(TRIM(C140))="ROOF",Inputs!$B$10,IF(UPPER(TRIM(C140))="PAVAGE",Inputs!$B$58,IF(UPPER(TRIM(C140))="TRESFOND",Inputs!$B$11,IF(UPPER(TRIM(C140))="GRASS",Inputs!$B$12,Inputs!$B$13))))))</f>
        <v/>
      </c>
      <c r="G140" s="8">
        <f>IF(A140="","",N140)</f>
        <v/>
      </c>
      <c r="H140" s="8">
        <f>IF(A140="","",Inputs!$B$3/((IF(G140="",Inputs!$B$14,G140)+Inputs!$B$4)^Inputs!$B$5))</f>
        <v/>
      </c>
      <c r="I140" s="8">
        <f>IF(A140="","",2.78E-7*F140*D140*H140)</f>
        <v/>
      </c>
      <c r="J140" s="4" t="n"/>
      <c r="K140" s="4" t="n"/>
      <c r="L140" s="5" t="n"/>
      <c r="M140" s="9">
        <f>IF(A140="","",IF(OR(J140="",Inputs!$B$59=""),0,IFERROR(INDEX(Elements_hybrides!$F$4:$F$204,MATCH(J140,Elements_hybrides!$A$4:$A$204,0))/(Inputs!$B$59*60),0)))</f>
        <v/>
      </c>
      <c r="N140" s="9">
        <f>IF(A140="","",IF(L140="",Inputs!$B$14,L140)+M140)</f>
        <v/>
      </c>
    </row>
    <row r="141">
      <c r="A141" s="4" t="n"/>
      <c r="B141" s="4" t="n"/>
      <c r="C141" s="4" t="n"/>
      <c r="D141" s="7" t="n"/>
      <c r="E141" s="7" t="n"/>
      <c r="F141" s="8">
        <f>IF(E141&lt;&gt;"",E141,IF(UPPER(TRIM(C141))="BASIN",IF(UPPER(TRIM(Inputs!$B$52))="YES",Inputs!$B$12,0),IF(UPPER(TRIM(C141))="ROOF",Inputs!$B$10,IF(UPPER(TRIM(C141))="PAVAGE",Inputs!$B$58,IF(UPPER(TRIM(C141))="TRESFOND",Inputs!$B$11,IF(UPPER(TRIM(C141))="GRASS",Inputs!$B$12,Inputs!$B$13))))))</f>
        <v/>
      </c>
      <c r="G141" s="8">
        <f>IF(A141="","",N141)</f>
        <v/>
      </c>
      <c r="H141" s="8">
        <f>IF(A141="","",Inputs!$B$3/((IF(G141="",Inputs!$B$14,G141)+Inputs!$B$4)^Inputs!$B$5))</f>
        <v/>
      </c>
      <c r="I141" s="8">
        <f>IF(A141="","",2.78E-7*F141*D141*H141)</f>
        <v/>
      </c>
      <c r="J141" s="4" t="n"/>
      <c r="K141" s="4" t="n"/>
      <c r="L141" s="5" t="n"/>
      <c r="M141" s="9">
        <f>IF(A141="","",IF(OR(J141="",Inputs!$B$59=""),0,IFERROR(INDEX(Elements_hybrides!$F$4:$F$204,MATCH(J141,Elements_hybrides!$A$4:$A$204,0))/(Inputs!$B$59*60),0)))</f>
        <v/>
      </c>
      <c r="N141" s="9">
        <f>IF(A141="","",IF(L141="",Inputs!$B$14,L141)+M141)</f>
        <v/>
      </c>
    </row>
    <row r="142">
      <c r="A142" s="4" t="n"/>
      <c r="B142" s="4" t="n"/>
      <c r="C142" s="4" t="n"/>
      <c r="D142" s="7" t="n"/>
      <c r="E142" s="7" t="n"/>
      <c r="F142" s="8">
        <f>IF(E142&lt;&gt;"",E142,IF(UPPER(TRIM(C142))="BASIN",IF(UPPER(TRIM(Inputs!$B$52))="YES",Inputs!$B$12,0),IF(UPPER(TRIM(C142))="ROOF",Inputs!$B$10,IF(UPPER(TRIM(C142))="PAVAGE",Inputs!$B$58,IF(UPPER(TRIM(C142))="TRESFOND",Inputs!$B$11,IF(UPPER(TRIM(C142))="GRASS",Inputs!$B$12,Inputs!$B$13))))))</f>
        <v/>
      </c>
      <c r="G142" s="8">
        <f>IF(A142="","",N142)</f>
        <v/>
      </c>
      <c r="H142" s="8">
        <f>IF(A142="","",Inputs!$B$3/((IF(G142="",Inputs!$B$14,G142)+Inputs!$B$4)^Inputs!$B$5))</f>
        <v/>
      </c>
      <c r="I142" s="8">
        <f>IF(A142="","",2.78E-7*F142*D142*H142)</f>
        <v/>
      </c>
      <c r="J142" s="4" t="n"/>
      <c r="K142" s="4" t="n"/>
      <c r="L142" s="5" t="n"/>
      <c r="M142" s="9">
        <f>IF(A142="","",IF(OR(J142="",Inputs!$B$59=""),0,IFERROR(INDEX(Elements_hybrides!$F$4:$F$204,MATCH(J142,Elements_hybrides!$A$4:$A$204,0))/(Inputs!$B$59*60),0)))</f>
        <v/>
      </c>
      <c r="N142" s="9">
        <f>IF(A142="","",IF(L142="",Inputs!$B$14,L142)+M142)</f>
        <v/>
      </c>
    </row>
    <row r="143">
      <c r="A143" s="4" t="n"/>
      <c r="B143" s="4" t="n"/>
      <c r="C143" s="4" t="n"/>
      <c r="D143" s="7" t="n"/>
      <c r="E143" s="7" t="n"/>
      <c r="F143" s="8">
        <f>IF(E143&lt;&gt;"",E143,IF(UPPER(TRIM(C143))="BASIN",IF(UPPER(TRIM(Inputs!$B$52))="YES",Inputs!$B$12,0),IF(UPPER(TRIM(C143))="ROOF",Inputs!$B$10,IF(UPPER(TRIM(C143))="PAVAGE",Inputs!$B$58,IF(UPPER(TRIM(C143))="TRESFOND",Inputs!$B$11,IF(UPPER(TRIM(C143))="GRASS",Inputs!$B$12,Inputs!$B$13))))))</f>
        <v/>
      </c>
      <c r="G143" s="8">
        <f>IF(A143="","",N143)</f>
        <v/>
      </c>
      <c r="H143" s="8">
        <f>IF(A143="","",Inputs!$B$3/((IF(G143="",Inputs!$B$14,G143)+Inputs!$B$4)^Inputs!$B$5))</f>
        <v/>
      </c>
      <c r="I143" s="8">
        <f>IF(A143="","",2.78E-7*F143*D143*H143)</f>
        <v/>
      </c>
      <c r="J143" s="4" t="n"/>
      <c r="K143" s="4" t="n"/>
      <c r="L143" s="5" t="n"/>
      <c r="M143" s="9">
        <f>IF(A143="","",IF(OR(J143="",Inputs!$B$59=""),0,IFERROR(INDEX(Elements_hybrides!$F$4:$F$204,MATCH(J143,Elements_hybrides!$A$4:$A$204,0))/(Inputs!$B$59*60),0)))</f>
        <v/>
      </c>
      <c r="N143" s="9">
        <f>IF(A143="","",IF(L143="",Inputs!$B$14,L143)+M143)</f>
        <v/>
      </c>
    </row>
    <row r="144">
      <c r="A144" s="4" t="n"/>
      <c r="B144" s="4" t="n"/>
      <c r="C144" s="4" t="n"/>
      <c r="D144" s="7" t="n"/>
      <c r="E144" s="7" t="n"/>
      <c r="F144" s="8">
        <f>IF(E144&lt;&gt;"",E144,IF(UPPER(TRIM(C144))="BASIN",IF(UPPER(TRIM(Inputs!$B$52))="YES",Inputs!$B$12,0),IF(UPPER(TRIM(C144))="ROOF",Inputs!$B$10,IF(UPPER(TRIM(C144))="PAVAGE",Inputs!$B$58,IF(UPPER(TRIM(C144))="TRESFOND",Inputs!$B$11,IF(UPPER(TRIM(C144))="GRASS",Inputs!$B$12,Inputs!$B$13))))))</f>
        <v/>
      </c>
      <c r="G144" s="8">
        <f>IF(A144="","",N144)</f>
        <v/>
      </c>
      <c r="H144" s="8">
        <f>IF(A144="","",Inputs!$B$3/((IF(G144="",Inputs!$B$14,G144)+Inputs!$B$4)^Inputs!$B$5))</f>
        <v/>
      </c>
      <c r="I144" s="8">
        <f>IF(A144="","",2.78E-7*F144*D144*H144)</f>
        <v/>
      </c>
      <c r="J144" s="4" t="n"/>
      <c r="K144" s="4" t="n"/>
      <c r="L144" s="5" t="n"/>
      <c r="M144" s="9">
        <f>IF(A144="","",IF(OR(J144="",Inputs!$B$59=""),0,IFERROR(INDEX(Elements_hybrides!$F$4:$F$204,MATCH(J144,Elements_hybrides!$A$4:$A$204,0))/(Inputs!$B$59*60),0)))</f>
        <v/>
      </c>
      <c r="N144" s="9">
        <f>IF(A144="","",IF(L144="",Inputs!$B$14,L144)+M144)</f>
        <v/>
      </c>
    </row>
    <row r="145">
      <c r="A145" s="4" t="n"/>
      <c r="B145" s="4" t="n"/>
      <c r="C145" s="4" t="n"/>
      <c r="D145" s="7" t="n"/>
      <c r="E145" s="7" t="n"/>
      <c r="F145" s="8">
        <f>IF(E145&lt;&gt;"",E145,IF(UPPER(TRIM(C145))="BASIN",IF(UPPER(TRIM(Inputs!$B$52))="YES",Inputs!$B$12,0),IF(UPPER(TRIM(C145))="ROOF",Inputs!$B$10,IF(UPPER(TRIM(C145))="PAVAGE",Inputs!$B$58,IF(UPPER(TRIM(C145))="TRESFOND",Inputs!$B$11,IF(UPPER(TRIM(C145))="GRASS",Inputs!$B$12,Inputs!$B$13))))))</f>
        <v/>
      </c>
      <c r="G145" s="8">
        <f>IF(A145="","",N145)</f>
        <v/>
      </c>
      <c r="H145" s="8">
        <f>IF(A145="","",Inputs!$B$3/((IF(G145="",Inputs!$B$14,G145)+Inputs!$B$4)^Inputs!$B$5))</f>
        <v/>
      </c>
      <c r="I145" s="8">
        <f>IF(A145="","",2.78E-7*F145*D145*H145)</f>
        <v/>
      </c>
      <c r="J145" s="4" t="n"/>
      <c r="K145" s="4" t="n"/>
      <c r="L145" s="5" t="n"/>
      <c r="M145" s="9">
        <f>IF(A145="","",IF(OR(J145="",Inputs!$B$59=""),0,IFERROR(INDEX(Elements_hybrides!$F$4:$F$204,MATCH(J145,Elements_hybrides!$A$4:$A$204,0))/(Inputs!$B$59*60),0)))</f>
        <v/>
      </c>
      <c r="N145" s="9">
        <f>IF(A145="","",IF(L145="",Inputs!$B$14,L145)+M145)</f>
        <v/>
      </c>
    </row>
    <row r="146">
      <c r="A146" s="4" t="n"/>
      <c r="B146" s="4" t="n"/>
      <c r="C146" s="4" t="n"/>
      <c r="D146" s="7" t="n"/>
      <c r="E146" s="7" t="n"/>
      <c r="F146" s="8">
        <f>IF(E146&lt;&gt;"",E146,IF(UPPER(TRIM(C146))="BASIN",IF(UPPER(TRIM(Inputs!$B$52))="YES",Inputs!$B$12,0),IF(UPPER(TRIM(C146))="ROOF",Inputs!$B$10,IF(UPPER(TRIM(C146))="PAVAGE",Inputs!$B$58,IF(UPPER(TRIM(C146))="TRESFOND",Inputs!$B$11,IF(UPPER(TRIM(C146))="GRASS",Inputs!$B$12,Inputs!$B$13))))))</f>
        <v/>
      </c>
      <c r="G146" s="8">
        <f>IF(A146="","",N146)</f>
        <v/>
      </c>
      <c r="H146" s="8">
        <f>IF(A146="","",Inputs!$B$3/((IF(G146="",Inputs!$B$14,G146)+Inputs!$B$4)^Inputs!$B$5))</f>
        <v/>
      </c>
      <c r="I146" s="8">
        <f>IF(A146="","",2.78E-7*F146*D146*H146)</f>
        <v/>
      </c>
      <c r="J146" s="4" t="n"/>
      <c r="K146" s="4" t="n"/>
      <c r="L146" s="5" t="n"/>
      <c r="M146" s="9">
        <f>IF(A146="","",IF(OR(J146="",Inputs!$B$59=""),0,IFERROR(INDEX(Elements_hybrides!$F$4:$F$204,MATCH(J146,Elements_hybrides!$A$4:$A$204,0))/(Inputs!$B$59*60),0)))</f>
        <v/>
      </c>
      <c r="N146" s="9">
        <f>IF(A146="","",IF(L146="",Inputs!$B$14,L146)+M146)</f>
        <v/>
      </c>
    </row>
    <row r="147">
      <c r="A147" s="4" t="n"/>
      <c r="B147" s="4" t="n"/>
      <c r="C147" s="4" t="n"/>
      <c r="D147" s="7" t="n"/>
      <c r="E147" s="7" t="n"/>
      <c r="F147" s="8">
        <f>IF(E147&lt;&gt;"",E147,IF(UPPER(TRIM(C147))="BASIN",IF(UPPER(TRIM(Inputs!$B$52))="YES",Inputs!$B$12,0),IF(UPPER(TRIM(C147))="ROOF",Inputs!$B$10,IF(UPPER(TRIM(C147))="PAVAGE",Inputs!$B$58,IF(UPPER(TRIM(C147))="TRESFOND",Inputs!$B$11,IF(UPPER(TRIM(C147))="GRASS",Inputs!$B$12,Inputs!$B$13))))))</f>
        <v/>
      </c>
      <c r="G147" s="8">
        <f>IF(A147="","",N147)</f>
        <v/>
      </c>
      <c r="H147" s="8">
        <f>IF(A147="","",Inputs!$B$3/((IF(G147="",Inputs!$B$14,G147)+Inputs!$B$4)^Inputs!$B$5))</f>
        <v/>
      </c>
      <c r="I147" s="8">
        <f>IF(A147="","",2.78E-7*F147*D147*H147)</f>
        <v/>
      </c>
      <c r="J147" s="4" t="n"/>
      <c r="K147" s="4" t="n"/>
      <c r="L147" s="5" t="n"/>
      <c r="M147" s="9">
        <f>IF(A147="","",IF(OR(J147="",Inputs!$B$59=""),0,IFERROR(INDEX(Elements_hybrides!$F$4:$F$204,MATCH(J147,Elements_hybrides!$A$4:$A$204,0))/(Inputs!$B$59*60),0)))</f>
        <v/>
      </c>
      <c r="N147" s="9">
        <f>IF(A147="","",IF(L147="",Inputs!$B$14,L147)+M147)</f>
        <v/>
      </c>
    </row>
    <row r="148">
      <c r="A148" s="4" t="n"/>
      <c r="B148" s="4" t="n"/>
      <c r="C148" s="4" t="n"/>
      <c r="D148" s="7" t="n"/>
      <c r="E148" s="7" t="n"/>
      <c r="F148" s="8">
        <f>IF(E148&lt;&gt;"",E148,IF(UPPER(TRIM(C148))="BASIN",IF(UPPER(TRIM(Inputs!$B$52))="YES",Inputs!$B$12,0),IF(UPPER(TRIM(C148))="ROOF",Inputs!$B$10,IF(UPPER(TRIM(C148))="PAVAGE",Inputs!$B$58,IF(UPPER(TRIM(C148))="TRESFOND",Inputs!$B$11,IF(UPPER(TRIM(C148))="GRASS",Inputs!$B$12,Inputs!$B$13))))))</f>
        <v/>
      </c>
      <c r="G148" s="8">
        <f>IF(A148="","",N148)</f>
        <v/>
      </c>
      <c r="H148" s="8">
        <f>IF(A148="","",Inputs!$B$3/((IF(G148="",Inputs!$B$14,G148)+Inputs!$B$4)^Inputs!$B$5))</f>
        <v/>
      </c>
      <c r="I148" s="8">
        <f>IF(A148="","",2.78E-7*F148*D148*H148)</f>
        <v/>
      </c>
      <c r="J148" s="4" t="n"/>
      <c r="K148" s="4" t="n"/>
      <c r="L148" s="5" t="n"/>
      <c r="M148" s="9">
        <f>IF(A148="","",IF(OR(J148="",Inputs!$B$59=""),0,IFERROR(INDEX(Elements_hybrides!$F$4:$F$204,MATCH(J148,Elements_hybrides!$A$4:$A$204,0))/(Inputs!$B$59*60),0)))</f>
        <v/>
      </c>
      <c r="N148" s="9">
        <f>IF(A148="","",IF(L148="",Inputs!$B$14,L148)+M148)</f>
        <v/>
      </c>
    </row>
    <row r="149">
      <c r="A149" s="4" t="n"/>
      <c r="B149" s="4" t="n"/>
      <c r="C149" s="4" t="n"/>
      <c r="D149" s="7" t="n"/>
      <c r="E149" s="7" t="n"/>
      <c r="F149" s="8">
        <f>IF(E149&lt;&gt;"",E149,IF(UPPER(TRIM(C149))="BASIN",IF(UPPER(TRIM(Inputs!$B$52))="YES",Inputs!$B$12,0),IF(UPPER(TRIM(C149))="ROOF",Inputs!$B$10,IF(UPPER(TRIM(C149))="PAVAGE",Inputs!$B$58,IF(UPPER(TRIM(C149))="TRESFOND",Inputs!$B$11,IF(UPPER(TRIM(C149))="GRASS",Inputs!$B$12,Inputs!$B$13))))))</f>
        <v/>
      </c>
      <c r="G149" s="8">
        <f>IF(A149="","",N149)</f>
        <v/>
      </c>
      <c r="H149" s="8">
        <f>IF(A149="","",Inputs!$B$3/((IF(G149="",Inputs!$B$14,G149)+Inputs!$B$4)^Inputs!$B$5))</f>
        <v/>
      </c>
      <c r="I149" s="8">
        <f>IF(A149="","",2.78E-7*F149*D149*H149)</f>
        <v/>
      </c>
      <c r="J149" s="4" t="n"/>
      <c r="K149" s="4" t="n"/>
      <c r="L149" s="5" t="n"/>
      <c r="M149" s="9">
        <f>IF(A149="","",IF(OR(J149="",Inputs!$B$59=""),0,IFERROR(INDEX(Elements_hybrides!$F$4:$F$204,MATCH(J149,Elements_hybrides!$A$4:$A$204,0))/(Inputs!$B$59*60),0)))</f>
        <v/>
      </c>
      <c r="N149" s="9">
        <f>IF(A149="","",IF(L149="",Inputs!$B$14,L149)+M149)</f>
        <v/>
      </c>
    </row>
    <row r="150">
      <c r="A150" s="4" t="n"/>
      <c r="B150" s="4" t="n"/>
      <c r="C150" s="4" t="n"/>
      <c r="D150" s="7" t="n"/>
      <c r="E150" s="7" t="n"/>
      <c r="F150" s="8">
        <f>IF(E150&lt;&gt;"",E150,IF(UPPER(TRIM(C150))="BASIN",IF(UPPER(TRIM(Inputs!$B$52))="YES",Inputs!$B$12,0),IF(UPPER(TRIM(C150))="ROOF",Inputs!$B$10,IF(UPPER(TRIM(C150))="PAVAGE",Inputs!$B$58,IF(UPPER(TRIM(C150))="TRESFOND",Inputs!$B$11,IF(UPPER(TRIM(C150))="GRASS",Inputs!$B$12,Inputs!$B$13))))))</f>
        <v/>
      </c>
      <c r="G150" s="8">
        <f>IF(A150="","",N150)</f>
        <v/>
      </c>
      <c r="H150" s="8">
        <f>IF(A150="","",Inputs!$B$3/((IF(G150="",Inputs!$B$14,G150)+Inputs!$B$4)^Inputs!$B$5))</f>
        <v/>
      </c>
      <c r="I150" s="8">
        <f>IF(A150="","",2.78E-7*F150*D150*H150)</f>
        <v/>
      </c>
      <c r="J150" s="4" t="n"/>
      <c r="K150" s="4" t="n"/>
      <c r="L150" s="5" t="n"/>
      <c r="M150" s="9">
        <f>IF(A150="","",IF(OR(J150="",Inputs!$B$59=""),0,IFERROR(INDEX(Elements_hybrides!$F$4:$F$204,MATCH(J150,Elements_hybrides!$A$4:$A$204,0))/(Inputs!$B$59*60),0)))</f>
        <v/>
      </c>
      <c r="N150" s="9">
        <f>IF(A150="","",IF(L150="",Inputs!$B$14,L150)+M150)</f>
        <v/>
      </c>
    </row>
    <row r="151">
      <c r="A151" s="4" t="n"/>
      <c r="B151" s="4" t="n"/>
      <c r="C151" s="4" t="n"/>
      <c r="D151" s="7" t="n"/>
      <c r="E151" s="7" t="n"/>
      <c r="F151" s="8">
        <f>IF(E151&lt;&gt;"",E151,IF(UPPER(TRIM(C151))="BASIN",IF(UPPER(TRIM(Inputs!$B$52))="YES",Inputs!$B$12,0),IF(UPPER(TRIM(C151))="ROOF",Inputs!$B$10,IF(UPPER(TRIM(C151))="PAVAGE",Inputs!$B$58,IF(UPPER(TRIM(C151))="TRESFOND",Inputs!$B$11,IF(UPPER(TRIM(C151))="GRASS",Inputs!$B$12,Inputs!$B$13))))))</f>
        <v/>
      </c>
      <c r="G151" s="8">
        <f>IF(A151="","",N151)</f>
        <v/>
      </c>
      <c r="H151" s="8">
        <f>IF(A151="","",Inputs!$B$3/((IF(G151="",Inputs!$B$14,G151)+Inputs!$B$4)^Inputs!$B$5))</f>
        <v/>
      </c>
      <c r="I151" s="8">
        <f>IF(A151="","",2.78E-7*F151*D151*H151)</f>
        <v/>
      </c>
      <c r="J151" s="4" t="n"/>
      <c r="K151" s="4" t="n"/>
      <c r="L151" s="5" t="n"/>
      <c r="M151" s="9">
        <f>IF(A151="","",IF(OR(J151="",Inputs!$B$59=""),0,IFERROR(INDEX(Elements_hybrides!$F$4:$F$204,MATCH(J151,Elements_hybrides!$A$4:$A$204,0))/(Inputs!$B$59*60),0)))</f>
        <v/>
      </c>
      <c r="N151" s="9">
        <f>IF(A151="","",IF(L151="",Inputs!$B$14,L151)+M151)</f>
        <v/>
      </c>
    </row>
    <row r="152">
      <c r="A152" s="4" t="n"/>
      <c r="B152" s="4" t="n"/>
      <c r="C152" s="4" t="n"/>
      <c r="D152" s="7" t="n"/>
      <c r="E152" s="7" t="n"/>
      <c r="F152" s="8">
        <f>IF(E152&lt;&gt;"",E152,IF(UPPER(TRIM(C152))="BASIN",IF(UPPER(TRIM(Inputs!$B$52))="YES",Inputs!$B$12,0),IF(UPPER(TRIM(C152))="ROOF",Inputs!$B$10,IF(UPPER(TRIM(C152))="PAVAGE",Inputs!$B$58,IF(UPPER(TRIM(C152))="TRESFOND",Inputs!$B$11,IF(UPPER(TRIM(C152))="GRASS",Inputs!$B$12,Inputs!$B$13))))))</f>
        <v/>
      </c>
      <c r="G152" s="8">
        <f>IF(A152="","",N152)</f>
        <v/>
      </c>
      <c r="H152" s="8">
        <f>IF(A152="","",Inputs!$B$3/((IF(G152="",Inputs!$B$14,G152)+Inputs!$B$4)^Inputs!$B$5))</f>
        <v/>
      </c>
      <c r="I152" s="8">
        <f>IF(A152="","",2.78E-7*F152*D152*H152)</f>
        <v/>
      </c>
      <c r="J152" s="4" t="n"/>
      <c r="K152" s="4" t="n"/>
      <c r="L152" s="5" t="n"/>
      <c r="M152" s="9">
        <f>IF(A152="","",IF(OR(J152="",Inputs!$B$59=""),0,IFERROR(INDEX(Elements_hybrides!$F$4:$F$204,MATCH(J152,Elements_hybrides!$A$4:$A$204,0))/(Inputs!$B$59*60),0)))</f>
        <v/>
      </c>
      <c r="N152" s="9">
        <f>IF(A152="","",IF(L152="",Inputs!$B$14,L152)+M152)</f>
        <v/>
      </c>
    </row>
    <row r="153">
      <c r="A153" s="4" t="n"/>
      <c r="B153" s="4" t="n"/>
      <c r="C153" s="4" t="n"/>
      <c r="D153" s="7" t="n"/>
      <c r="E153" s="7" t="n"/>
      <c r="F153" s="8">
        <f>IF(E153&lt;&gt;"",E153,IF(UPPER(TRIM(C153))="BASIN",IF(UPPER(TRIM(Inputs!$B$52))="YES",Inputs!$B$12,0),IF(UPPER(TRIM(C153))="ROOF",Inputs!$B$10,IF(UPPER(TRIM(C153))="PAVAGE",Inputs!$B$58,IF(UPPER(TRIM(C153))="TRESFOND",Inputs!$B$11,IF(UPPER(TRIM(C153))="GRASS",Inputs!$B$12,Inputs!$B$13))))))</f>
        <v/>
      </c>
      <c r="G153" s="8">
        <f>IF(A153="","",N153)</f>
        <v/>
      </c>
      <c r="H153" s="8">
        <f>IF(A153="","",Inputs!$B$3/((IF(G153="",Inputs!$B$14,G153)+Inputs!$B$4)^Inputs!$B$5))</f>
        <v/>
      </c>
      <c r="I153" s="8">
        <f>IF(A153="","",2.78E-7*F153*D153*H153)</f>
        <v/>
      </c>
      <c r="J153" s="4" t="n"/>
      <c r="K153" s="4" t="n"/>
      <c r="L153" s="5" t="n"/>
      <c r="M153" s="9">
        <f>IF(A153="","",IF(OR(J153="",Inputs!$B$59=""),0,IFERROR(INDEX(Elements_hybrides!$F$4:$F$204,MATCH(J153,Elements_hybrides!$A$4:$A$204,0))/(Inputs!$B$59*60),0)))</f>
        <v/>
      </c>
      <c r="N153" s="9">
        <f>IF(A153="","",IF(L153="",Inputs!$B$14,L153)+M153)</f>
        <v/>
      </c>
    </row>
    <row r="154">
      <c r="A154" s="4" t="n"/>
      <c r="B154" s="4" t="n"/>
      <c r="C154" s="4" t="n"/>
      <c r="D154" s="7" t="n"/>
      <c r="E154" s="7" t="n"/>
      <c r="F154" s="8">
        <f>IF(E154&lt;&gt;"",E154,IF(UPPER(TRIM(C154))="BASIN",IF(UPPER(TRIM(Inputs!$B$52))="YES",Inputs!$B$12,0),IF(UPPER(TRIM(C154))="ROOF",Inputs!$B$10,IF(UPPER(TRIM(C154))="PAVAGE",Inputs!$B$58,IF(UPPER(TRIM(C154))="TRESFOND",Inputs!$B$11,IF(UPPER(TRIM(C154))="GRASS",Inputs!$B$12,Inputs!$B$13))))))</f>
        <v/>
      </c>
      <c r="G154" s="8">
        <f>IF(A154="","",N154)</f>
        <v/>
      </c>
      <c r="H154" s="8">
        <f>IF(A154="","",Inputs!$B$3/((IF(G154="",Inputs!$B$14,G154)+Inputs!$B$4)^Inputs!$B$5))</f>
        <v/>
      </c>
      <c r="I154" s="8">
        <f>IF(A154="","",2.78E-7*F154*D154*H154)</f>
        <v/>
      </c>
      <c r="J154" s="4" t="n"/>
      <c r="K154" s="4" t="n"/>
      <c r="L154" s="5" t="n"/>
      <c r="M154" s="9">
        <f>IF(A154="","",IF(OR(J154="",Inputs!$B$59=""),0,IFERROR(INDEX(Elements_hybrides!$F$4:$F$204,MATCH(J154,Elements_hybrides!$A$4:$A$204,0))/(Inputs!$B$59*60),0)))</f>
        <v/>
      </c>
      <c r="N154" s="9">
        <f>IF(A154="","",IF(L154="",Inputs!$B$14,L154)+M154)</f>
        <v/>
      </c>
    </row>
    <row r="155">
      <c r="A155" s="4" t="n"/>
      <c r="B155" s="4" t="n"/>
      <c r="C155" s="4" t="n"/>
      <c r="D155" s="7" t="n"/>
      <c r="E155" s="7" t="n"/>
      <c r="F155" s="8">
        <f>IF(E155&lt;&gt;"",E155,IF(UPPER(TRIM(C155))="BASIN",IF(UPPER(TRIM(Inputs!$B$52))="YES",Inputs!$B$12,0),IF(UPPER(TRIM(C155))="ROOF",Inputs!$B$10,IF(UPPER(TRIM(C155))="PAVAGE",Inputs!$B$58,IF(UPPER(TRIM(C155))="TRESFOND",Inputs!$B$11,IF(UPPER(TRIM(C155))="GRASS",Inputs!$B$12,Inputs!$B$13))))))</f>
        <v/>
      </c>
      <c r="G155" s="8">
        <f>IF(A155="","",N155)</f>
        <v/>
      </c>
      <c r="H155" s="8">
        <f>IF(A155="","",Inputs!$B$3/((IF(G155="",Inputs!$B$14,G155)+Inputs!$B$4)^Inputs!$B$5))</f>
        <v/>
      </c>
      <c r="I155" s="8">
        <f>IF(A155="","",2.78E-7*F155*D155*H155)</f>
        <v/>
      </c>
      <c r="J155" s="4" t="n"/>
      <c r="K155" s="4" t="n"/>
      <c r="L155" s="5" t="n"/>
      <c r="M155" s="9">
        <f>IF(A155="","",IF(OR(J155="",Inputs!$B$59=""),0,IFERROR(INDEX(Elements_hybrides!$F$4:$F$204,MATCH(J155,Elements_hybrides!$A$4:$A$204,0))/(Inputs!$B$59*60),0)))</f>
        <v/>
      </c>
      <c r="N155" s="9">
        <f>IF(A155="","",IF(L155="",Inputs!$B$14,L155)+M155)</f>
        <v/>
      </c>
    </row>
    <row r="156">
      <c r="A156" s="4" t="n"/>
      <c r="B156" s="4" t="n"/>
      <c r="C156" s="4" t="n"/>
      <c r="D156" s="7" t="n"/>
      <c r="E156" s="7" t="n"/>
      <c r="F156" s="8">
        <f>IF(E156&lt;&gt;"",E156,IF(UPPER(TRIM(C156))="BASIN",IF(UPPER(TRIM(Inputs!$B$52))="YES",Inputs!$B$12,0),IF(UPPER(TRIM(C156))="ROOF",Inputs!$B$10,IF(UPPER(TRIM(C156))="PAVAGE",Inputs!$B$58,IF(UPPER(TRIM(C156))="TRESFOND",Inputs!$B$11,IF(UPPER(TRIM(C156))="GRASS",Inputs!$B$12,Inputs!$B$13))))))</f>
        <v/>
      </c>
      <c r="G156" s="8">
        <f>IF(A156="","",N156)</f>
        <v/>
      </c>
      <c r="H156" s="8">
        <f>IF(A156="","",Inputs!$B$3/((IF(G156="",Inputs!$B$14,G156)+Inputs!$B$4)^Inputs!$B$5))</f>
        <v/>
      </c>
      <c r="I156" s="8">
        <f>IF(A156="","",2.78E-7*F156*D156*H156)</f>
        <v/>
      </c>
      <c r="J156" s="4" t="n"/>
      <c r="K156" s="4" t="n"/>
      <c r="L156" s="5" t="n"/>
      <c r="M156" s="9">
        <f>IF(A156="","",IF(OR(J156="",Inputs!$B$59=""),0,IFERROR(INDEX(Elements_hybrides!$F$4:$F$204,MATCH(J156,Elements_hybrides!$A$4:$A$204,0))/(Inputs!$B$59*60),0)))</f>
        <v/>
      </c>
      <c r="N156" s="9">
        <f>IF(A156="","",IF(L156="",Inputs!$B$14,L156)+M156)</f>
        <v/>
      </c>
    </row>
    <row r="157">
      <c r="A157" s="4" t="n"/>
      <c r="B157" s="4" t="n"/>
      <c r="C157" s="4" t="n"/>
      <c r="D157" s="7" t="n"/>
      <c r="E157" s="7" t="n"/>
      <c r="F157" s="8">
        <f>IF(E157&lt;&gt;"",E157,IF(UPPER(TRIM(C157))="BASIN",IF(UPPER(TRIM(Inputs!$B$52))="YES",Inputs!$B$12,0),IF(UPPER(TRIM(C157))="ROOF",Inputs!$B$10,IF(UPPER(TRIM(C157))="PAVAGE",Inputs!$B$58,IF(UPPER(TRIM(C157))="TRESFOND",Inputs!$B$11,IF(UPPER(TRIM(C157))="GRASS",Inputs!$B$12,Inputs!$B$13))))))</f>
        <v/>
      </c>
      <c r="G157" s="8">
        <f>IF(A157="","",N157)</f>
        <v/>
      </c>
      <c r="H157" s="8">
        <f>IF(A157="","",Inputs!$B$3/((IF(G157="",Inputs!$B$14,G157)+Inputs!$B$4)^Inputs!$B$5))</f>
        <v/>
      </c>
      <c r="I157" s="8">
        <f>IF(A157="","",2.78E-7*F157*D157*H157)</f>
        <v/>
      </c>
      <c r="J157" s="4" t="n"/>
      <c r="K157" s="4" t="n"/>
      <c r="L157" s="5" t="n"/>
      <c r="M157" s="9">
        <f>IF(A157="","",IF(OR(J157="",Inputs!$B$59=""),0,IFERROR(INDEX(Elements_hybrides!$F$4:$F$204,MATCH(J157,Elements_hybrides!$A$4:$A$204,0))/(Inputs!$B$59*60),0)))</f>
        <v/>
      </c>
      <c r="N157" s="9">
        <f>IF(A157="","",IF(L157="",Inputs!$B$14,L157)+M157)</f>
        <v/>
      </c>
    </row>
    <row r="158">
      <c r="A158" s="4" t="n"/>
      <c r="B158" s="4" t="n"/>
      <c r="C158" s="4" t="n"/>
      <c r="D158" s="7" t="n"/>
      <c r="E158" s="7" t="n"/>
      <c r="F158" s="8">
        <f>IF(E158&lt;&gt;"",E158,IF(UPPER(TRIM(C158))="BASIN",IF(UPPER(TRIM(Inputs!$B$52))="YES",Inputs!$B$12,0),IF(UPPER(TRIM(C158))="ROOF",Inputs!$B$10,IF(UPPER(TRIM(C158))="PAVAGE",Inputs!$B$58,IF(UPPER(TRIM(C158))="TRESFOND",Inputs!$B$11,IF(UPPER(TRIM(C158))="GRASS",Inputs!$B$12,Inputs!$B$13))))))</f>
        <v/>
      </c>
      <c r="G158" s="8">
        <f>IF(A158="","",N158)</f>
        <v/>
      </c>
      <c r="H158" s="8">
        <f>IF(A158="","",Inputs!$B$3/((IF(G158="",Inputs!$B$14,G158)+Inputs!$B$4)^Inputs!$B$5))</f>
        <v/>
      </c>
      <c r="I158" s="8">
        <f>IF(A158="","",2.78E-7*F158*D158*H158)</f>
        <v/>
      </c>
      <c r="J158" s="4" t="n"/>
      <c r="K158" s="4" t="n"/>
      <c r="L158" s="5" t="n"/>
      <c r="M158" s="9">
        <f>IF(A158="","",IF(OR(J158="",Inputs!$B$59=""),0,IFERROR(INDEX(Elements_hybrides!$F$4:$F$204,MATCH(J158,Elements_hybrides!$A$4:$A$204,0))/(Inputs!$B$59*60),0)))</f>
        <v/>
      </c>
      <c r="N158" s="9">
        <f>IF(A158="","",IF(L158="",Inputs!$B$14,L158)+M158)</f>
        <v/>
      </c>
    </row>
    <row r="159">
      <c r="A159" s="4" t="n"/>
      <c r="B159" s="4" t="n"/>
      <c r="C159" s="4" t="n"/>
      <c r="D159" s="7" t="n"/>
      <c r="E159" s="7" t="n"/>
      <c r="F159" s="8">
        <f>IF(E159&lt;&gt;"",E159,IF(UPPER(TRIM(C159))="BASIN",IF(UPPER(TRIM(Inputs!$B$52))="YES",Inputs!$B$12,0),IF(UPPER(TRIM(C159))="ROOF",Inputs!$B$10,IF(UPPER(TRIM(C159))="PAVAGE",Inputs!$B$58,IF(UPPER(TRIM(C159))="TRESFOND",Inputs!$B$11,IF(UPPER(TRIM(C159))="GRASS",Inputs!$B$12,Inputs!$B$13))))))</f>
        <v/>
      </c>
      <c r="G159" s="8">
        <f>IF(A159="","",N159)</f>
        <v/>
      </c>
      <c r="H159" s="8">
        <f>IF(A159="","",Inputs!$B$3/((IF(G159="",Inputs!$B$14,G159)+Inputs!$B$4)^Inputs!$B$5))</f>
        <v/>
      </c>
      <c r="I159" s="8">
        <f>IF(A159="","",2.78E-7*F159*D159*H159)</f>
        <v/>
      </c>
      <c r="J159" s="4" t="n"/>
      <c r="K159" s="4" t="n"/>
      <c r="L159" s="5" t="n"/>
      <c r="M159" s="9">
        <f>IF(A159="","",IF(OR(J159="",Inputs!$B$59=""),0,IFERROR(INDEX(Elements_hybrides!$F$4:$F$204,MATCH(J159,Elements_hybrides!$A$4:$A$204,0))/(Inputs!$B$59*60),0)))</f>
        <v/>
      </c>
      <c r="N159" s="9">
        <f>IF(A159="","",IF(L159="",Inputs!$B$14,L159)+M159)</f>
        <v/>
      </c>
    </row>
    <row r="160">
      <c r="A160" s="4" t="n"/>
      <c r="B160" s="4" t="n"/>
      <c r="C160" s="4" t="n"/>
      <c r="D160" s="7" t="n"/>
      <c r="E160" s="7" t="n"/>
      <c r="F160" s="8">
        <f>IF(E160&lt;&gt;"",E160,IF(UPPER(TRIM(C160))="BASIN",IF(UPPER(TRIM(Inputs!$B$52))="YES",Inputs!$B$12,0),IF(UPPER(TRIM(C160))="ROOF",Inputs!$B$10,IF(UPPER(TRIM(C160))="PAVAGE",Inputs!$B$58,IF(UPPER(TRIM(C160))="TRESFOND",Inputs!$B$11,IF(UPPER(TRIM(C160))="GRASS",Inputs!$B$12,Inputs!$B$13))))))</f>
        <v/>
      </c>
      <c r="G160" s="8">
        <f>IF(A160="","",N160)</f>
        <v/>
      </c>
      <c r="H160" s="8">
        <f>IF(A160="","",Inputs!$B$3/((IF(G160="",Inputs!$B$14,G160)+Inputs!$B$4)^Inputs!$B$5))</f>
        <v/>
      </c>
      <c r="I160" s="8">
        <f>IF(A160="","",2.78E-7*F160*D160*H160)</f>
        <v/>
      </c>
      <c r="J160" s="4" t="n"/>
      <c r="K160" s="4" t="n"/>
      <c r="L160" s="5" t="n"/>
      <c r="M160" s="9">
        <f>IF(A160="","",IF(OR(J160="",Inputs!$B$59=""),0,IFERROR(INDEX(Elements_hybrides!$F$4:$F$204,MATCH(J160,Elements_hybrides!$A$4:$A$204,0))/(Inputs!$B$59*60),0)))</f>
        <v/>
      </c>
      <c r="N160" s="9">
        <f>IF(A160="","",IF(L160="",Inputs!$B$14,L160)+M160)</f>
        <v/>
      </c>
    </row>
    <row r="161">
      <c r="A161" s="4" t="n"/>
      <c r="B161" s="4" t="n"/>
      <c r="C161" s="4" t="n"/>
      <c r="D161" s="7" t="n"/>
      <c r="E161" s="7" t="n"/>
      <c r="F161" s="8">
        <f>IF(E161&lt;&gt;"",E161,IF(UPPER(TRIM(C161))="BASIN",IF(UPPER(TRIM(Inputs!$B$52))="YES",Inputs!$B$12,0),IF(UPPER(TRIM(C161))="ROOF",Inputs!$B$10,IF(UPPER(TRIM(C161))="PAVAGE",Inputs!$B$58,IF(UPPER(TRIM(C161))="TRESFOND",Inputs!$B$11,IF(UPPER(TRIM(C161))="GRASS",Inputs!$B$12,Inputs!$B$13))))))</f>
        <v/>
      </c>
      <c r="G161" s="8">
        <f>IF(A161="","",N161)</f>
        <v/>
      </c>
      <c r="H161" s="8">
        <f>IF(A161="","",Inputs!$B$3/((IF(G161="",Inputs!$B$14,G161)+Inputs!$B$4)^Inputs!$B$5))</f>
        <v/>
      </c>
      <c r="I161" s="8">
        <f>IF(A161="","",2.78E-7*F161*D161*H161)</f>
        <v/>
      </c>
      <c r="J161" s="4" t="n"/>
      <c r="K161" s="4" t="n"/>
      <c r="L161" s="5" t="n"/>
      <c r="M161" s="9">
        <f>IF(A161="","",IF(OR(J161="",Inputs!$B$59=""),0,IFERROR(INDEX(Elements_hybrides!$F$4:$F$204,MATCH(J161,Elements_hybrides!$A$4:$A$204,0))/(Inputs!$B$59*60),0)))</f>
        <v/>
      </c>
      <c r="N161" s="9">
        <f>IF(A161="","",IF(L161="",Inputs!$B$14,L161)+M161)</f>
        <v/>
      </c>
    </row>
    <row r="162">
      <c r="A162" s="4" t="n"/>
      <c r="B162" s="4" t="n"/>
      <c r="C162" s="4" t="n"/>
      <c r="D162" s="7" t="n"/>
      <c r="E162" s="7" t="n"/>
      <c r="F162" s="8">
        <f>IF(E162&lt;&gt;"",E162,IF(UPPER(TRIM(C162))="BASIN",IF(UPPER(TRIM(Inputs!$B$52))="YES",Inputs!$B$12,0),IF(UPPER(TRIM(C162))="ROOF",Inputs!$B$10,IF(UPPER(TRIM(C162))="PAVAGE",Inputs!$B$58,IF(UPPER(TRIM(C162))="TRESFOND",Inputs!$B$11,IF(UPPER(TRIM(C162))="GRASS",Inputs!$B$12,Inputs!$B$13))))))</f>
        <v/>
      </c>
      <c r="G162" s="8">
        <f>IF(A162="","",N162)</f>
        <v/>
      </c>
      <c r="H162" s="8">
        <f>IF(A162="","",Inputs!$B$3/((IF(G162="",Inputs!$B$14,G162)+Inputs!$B$4)^Inputs!$B$5))</f>
        <v/>
      </c>
      <c r="I162" s="8">
        <f>IF(A162="","",2.78E-7*F162*D162*H162)</f>
        <v/>
      </c>
      <c r="J162" s="4" t="n"/>
      <c r="K162" s="4" t="n"/>
      <c r="L162" s="5" t="n"/>
      <c r="M162" s="9">
        <f>IF(A162="","",IF(OR(J162="",Inputs!$B$59=""),0,IFERROR(INDEX(Elements_hybrides!$F$4:$F$204,MATCH(J162,Elements_hybrides!$A$4:$A$204,0))/(Inputs!$B$59*60),0)))</f>
        <v/>
      </c>
      <c r="N162" s="9">
        <f>IF(A162="","",IF(L162="",Inputs!$B$14,L162)+M162)</f>
        <v/>
      </c>
    </row>
    <row r="163">
      <c r="A163" s="4" t="n"/>
      <c r="B163" s="4" t="n"/>
      <c r="C163" s="4" t="n"/>
      <c r="D163" s="7" t="n"/>
      <c r="E163" s="7" t="n"/>
      <c r="F163" s="8">
        <f>IF(E163&lt;&gt;"",E163,IF(UPPER(TRIM(C163))="BASIN",IF(UPPER(TRIM(Inputs!$B$52))="YES",Inputs!$B$12,0),IF(UPPER(TRIM(C163))="ROOF",Inputs!$B$10,IF(UPPER(TRIM(C163))="PAVAGE",Inputs!$B$58,IF(UPPER(TRIM(C163))="TRESFOND",Inputs!$B$11,IF(UPPER(TRIM(C163))="GRASS",Inputs!$B$12,Inputs!$B$13))))))</f>
        <v/>
      </c>
      <c r="G163" s="8">
        <f>IF(A163="","",N163)</f>
        <v/>
      </c>
      <c r="H163" s="8">
        <f>IF(A163="","",Inputs!$B$3/((IF(G163="",Inputs!$B$14,G163)+Inputs!$B$4)^Inputs!$B$5))</f>
        <v/>
      </c>
      <c r="I163" s="8">
        <f>IF(A163="","",2.78E-7*F163*D163*H163)</f>
        <v/>
      </c>
      <c r="J163" s="4" t="n"/>
      <c r="K163" s="4" t="n"/>
      <c r="L163" s="5" t="n"/>
      <c r="M163" s="9">
        <f>IF(A163="","",IF(OR(J163="",Inputs!$B$59=""),0,IFERROR(INDEX(Elements_hybrides!$F$4:$F$204,MATCH(J163,Elements_hybrides!$A$4:$A$204,0))/(Inputs!$B$59*60),0)))</f>
        <v/>
      </c>
      <c r="N163" s="9">
        <f>IF(A163="","",IF(L163="",Inputs!$B$14,L163)+M163)</f>
        <v/>
      </c>
    </row>
    <row r="164">
      <c r="A164" s="4" t="n"/>
      <c r="B164" s="4" t="n"/>
      <c r="C164" s="4" t="n"/>
      <c r="D164" s="7" t="n"/>
      <c r="E164" s="7" t="n"/>
      <c r="F164" s="8">
        <f>IF(E164&lt;&gt;"",E164,IF(UPPER(TRIM(C164))="BASIN",IF(UPPER(TRIM(Inputs!$B$52))="YES",Inputs!$B$12,0),IF(UPPER(TRIM(C164))="ROOF",Inputs!$B$10,IF(UPPER(TRIM(C164))="PAVAGE",Inputs!$B$58,IF(UPPER(TRIM(C164))="TRESFOND",Inputs!$B$11,IF(UPPER(TRIM(C164))="GRASS",Inputs!$B$12,Inputs!$B$13))))))</f>
        <v/>
      </c>
      <c r="G164" s="8">
        <f>IF(A164="","",N164)</f>
        <v/>
      </c>
      <c r="H164" s="8">
        <f>IF(A164="","",Inputs!$B$3/((IF(G164="",Inputs!$B$14,G164)+Inputs!$B$4)^Inputs!$B$5))</f>
        <v/>
      </c>
      <c r="I164" s="8">
        <f>IF(A164="","",2.78E-7*F164*D164*H164)</f>
        <v/>
      </c>
      <c r="J164" s="4" t="n"/>
      <c r="K164" s="4" t="n"/>
      <c r="L164" s="5" t="n"/>
      <c r="M164" s="9">
        <f>IF(A164="","",IF(OR(J164="",Inputs!$B$59=""),0,IFERROR(INDEX(Elements_hybrides!$F$4:$F$204,MATCH(J164,Elements_hybrides!$A$4:$A$204,0))/(Inputs!$B$59*60),0)))</f>
        <v/>
      </c>
      <c r="N164" s="9">
        <f>IF(A164="","",IF(L164="",Inputs!$B$14,L164)+M164)</f>
        <v/>
      </c>
    </row>
    <row r="165">
      <c r="A165" s="4" t="n"/>
      <c r="B165" s="4" t="n"/>
      <c r="C165" s="4" t="n"/>
      <c r="D165" s="7" t="n"/>
      <c r="E165" s="7" t="n"/>
      <c r="F165" s="8">
        <f>IF(E165&lt;&gt;"",E165,IF(UPPER(TRIM(C165))="BASIN",IF(UPPER(TRIM(Inputs!$B$52))="YES",Inputs!$B$12,0),IF(UPPER(TRIM(C165))="ROOF",Inputs!$B$10,IF(UPPER(TRIM(C165))="PAVAGE",Inputs!$B$58,IF(UPPER(TRIM(C165))="TRESFOND",Inputs!$B$11,IF(UPPER(TRIM(C165))="GRASS",Inputs!$B$12,Inputs!$B$13))))))</f>
        <v/>
      </c>
      <c r="G165" s="8">
        <f>IF(A165="","",N165)</f>
        <v/>
      </c>
      <c r="H165" s="8">
        <f>IF(A165="","",Inputs!$B$3/((IF(G165="",Inputs!$B$14,G165)+Inputs!$B$4)^Inputs!$B$5))</f>
        <v/>
      </c>
      <c r="I165" s="8">
        <f>IF(A165="","",2.78E-7*F165*D165*H165)</f>
        <v/>
      </c>
      <c r="J165" s="4" t="n"/>
      <c r="K165" s="4" t="n"/>
      <c r="L165" s="5" t="n"/>
      <c r="M165" s="9">
        <f>IF(A165="","",IF(OR(J165="",Inputs!$B$59=""),0,IFERROR(INDEX(Elements_hybrides!$F$4:$F$204,MATCH(J165,Elements_hybrides!$A$4:$A$204,0))/(Inputs!$B$59*60),0)))</f>
        <v/>
      </c>
      <c r="N165" s="9">
        <f>IF(A165="","",IF(L165="",Inputs!$B$14,L165)+M165)</f>
        <v/>
      </c>
    </row>
    <row r="166">
      <c r="A166" s="4" t="n"/>
      <c r="B166" s="4" t="n"/>
      <c r="C166" s="4" t="n"/>
      <c r="D166" s="7" t="n"/>
      <c r="E166" s="7" t="n"/>
      <c r="F166" s="8">
        <f>IF(E166&lt;&gt;"",E166,IF(UPPER(TRIM(C166))="BASIN",IF(UPPER(TRIM(Inputs!$B$52))="YES",Inputs!$B$12,0),IF(UPPER(TRIM(C166))="ROOF",Inputs!$B$10,IF(UPPER(TRIM(C166))="PAVAGE",Inputs!$B$58,IF(UPPER(TRIM(C166))="TRESFOND",Inputs!$B$11,IF(UPPER(TRIM(C166))="GRASS",Inputs!$B$12,Inputs!$B$13))))))</f>
        <v/>
      </c>
      <c r="G166" s="8">
        <f>IF(A166="","",N166)</f>
        <v/>
      </c>
      <c r="H166" s="8">
        <f>IF(A166="","",Inputs!$B$3/((IF(G166="",Inputs!$B$14,G166)+Inputs!$B$4)^Inputs!$B$5))</f>
        <v/>
      </c>
      <c r="I166" s="8">
        <f>IF(A166="","",2.78E-7*F166*D166*H166)</f>
        <v/>
      </c>
      <c r="J166" s="4" t="n"/>
      <c r="K166" s="4" t="n"/>
      <c r="L166" s="5" t="n"/>
      <c r="M166" s="9">
        <f>IF(A166="","",IF(OR(J166="",Inputs!$B$59=""),0,IFERROR(INDEX(Elements_hybrides!$F$4:$F$204,MATCH(J166,Elements_hybrides!$A$4:$A$204,0))/(Inputs!$B$59*60),0)))</f>
        <v/>
      </c>
      <c r="N166" s="9">
        <f>IF(A166="","",IF(L166="",Inputs!$B$14,L166)+M166)</f>
        <v/>
      </c>
    </row>
    <row r="167">
      <c r="A167" s="4" t="n"/>
      <c r="B167" s="4" t="n"/>
      <c r="C167" s="4" t="n"/>
      <c r="D167" s="7" t="n"/>
      <c r="E167" s="7" t="n"/>
      <c r="F167" s="8">
        <f>IF(E167&lt;&gt;"",E167,IF(UPPER(TRIM(C167))="BASIN",IF(UPPER(TRIM(Inputs!$B$52))="YES",Inputs!$B$12,0),IF(UPPER(TRIM(C167))="ROOF",Inputs!$B$10,IF(UPPER(TRIM(C167))="PAVAGE",Inputs!$B$58,IF(UPPER(TRIM(C167))="TRESFOND",Inputs!$B$11,IF(UPPER(TRIM(C167))="GRASS",Inputs!$B$12,Inputs!$B$13))))))</f>
        <v/>
      </c>
      <c r="G167" s="8">
        <f>IF(A167="","",N167)</f>
        <v/>
      </c>
      <c r="H167" s="8">
        <f>IF(A167="","",Inputs!$B$3/((IF(G167="",Inputs!$B$14,G167)+Inputs!$B$4)^Inputs!$B$5))</f>
        <v/>
      </c>
      <c r="I167" s="8">
        <f>IF(A167="","",2.78E-7*F167*D167*H167)</f>
        <v/>
      </c>
      <c r="J167" s="4" t="n"/>
      <c r="K167" s="4" t="n"/>
      <c r="L167" s="5" t="n"/>
      <c r="M167" s="9">
        <f>IF(A167="","",IF(OR(J167="",Inputs!$B$59=""),0,IFERROR(INDEX(Elements_hybrides!$F$4:$F$204,MATCH(J167,Elements_hybrides!$A$4:$A$204,0))/(Inputs!$B$59*60),0)))</f>
        <v/>
      </c>
      <c r="N167" s="9">
        <f>IF(A167="","",IF(L167="",Inputs!$B$14,L167)+M167)</f>
        <v/>
      </c>
    </row>
    <row r="168">
      <c r="A168" s="4" t="n"/>
      <c r="B168" s="4" t="n"/>
      <c r="C168" s="4" t="n"/>
      <c r="D168" s="7" t="n"/>
      <c r="E168" s="7" t="n"/>
      <c r="F168" s="8">
        <f>IF(E168&lt;&gt;"",E168,IF(UPPER(TRIM(C168))="BASIN",IF(UPPER(TRIM(Inputs!$B$52))="YES",Inputs!$B$12,0),IF(UPPER(TRIM(C168))="ROOF",Inputs!$B$10,IF(UPPER(TRIM(C168))="PAVAGE",Inputs!$B$58,IF(UPPER(TRIM(C168))="TRESFOND",Inputs!$B$11,IF(UPPER(TRIM(C168))="GRASS",Inputs!$B$12,Inputs!$B$13))))))</f>
        <v/>
      </c>
      <c r="G168" s="8">
        <f>IF(A168="","",N168)</f>
        <v/>
      </c>
      <c r="H168" s="8">
        <f>IF(A168="","",Inputs!$B$3/((IF(G168="",Inputs!$B$14,G168)+Inputs!$B$4)^Inputs!$B$5))</f>
        <v/>
      </c>
      <c r="I168" s="8">
        <f>IF(A168="","",2.78E-7*F168*D168*H168)</f>
        <v/>
      </c>
      <c r="J168" s="4" t="n"/>
      <c r="K168" s="4" t="n"/>
      <c r="L168" s="5" t="n"/>
      <c r="M168" s="9">
        <f>IF(A168="","",IF(OR(J168="",Inputs!$B$59=""),0,IFERROR(INDEX(Elements_hybrides!$F$4:$F$204,MATCH(J168,Elements_hybrides!$A$4:$A$204,0))/(Inputs!$B$59*60),0)))</f>
        <v/>
      </c>
      <c r="N168" s="9">
        <f>IF(A168="","",IF(L168="",Inputs!$B$14,L168)+M168)</f>
        <v/>
      </c>
    </row>
    <row r="169">
      <c r="A169" s="4" t="n"/>
      <c r="B169" s="4" t="n"/>
      <c r="C169" s="4" t="n"/>
      <c r="D169" s="7" t="n"/>
      <c r="E169" s="7" t="n"/>
      <c r="F169" s="8">
        <f>IF(E169&lt;&gt;"",E169,IF(UPPER(TRIM(C169))="BASIN",IF(UPPER(TRIM(Inputs!$B$52))="YES",Inputs!$B$12,0),IF(UPPER(TRIM(C169))="ROOF",Inputs!$B$10,IF(UPPER(TRIM(C169))="PAVAGE",Inputs!$B$58,IF(UPPER(TRIM(C169))="TRESFOND",Inputs!$B$11,IF(UPPER(TRIM(C169))="GRASS",Inputs!$B$12,Inputs!$B$13))))))</f>
        <v/>
      </c>
      <c r="G169" s="8">
        <f>IF(A169="","",N169)</f>
        <v/>
      </c>
      <c r="H169" s="8">
        <f>IF(A169="","",Inputs!$B$3/((IF(G169="",Inputs!$B$14,G169)+Inputs!$B$4)^Inputs!$B$5))</f>
        <v/>
      </c>
      <c r="I169" s="8">
        <f>IF(A169="","",2.78E-7*F169*D169*H169)</f>
        <v/>
      </c>
      <c r="J169" s="4" t="n"/>
      <c r="K169" s="4" t="n"/>
      <c r="L169" s="5" t="n"/>
      <c r="M169" s="9">
        <f>IF(A169="","",IF(OR(J169="",Inputs!$B$59=""),0,IFERROR(INDEX(Elements_hybrides!$F$4:$F$204,MATCH(J169,Elements_hybrides!$A$4:$A$204,0))/(Inputs!$B$59*60),0)))</f>
        <v/>
      </c>
      <c r="N169" s="9">
        <f>IF(A169="","",IF(L169="",Inputs!$B$14,L169)+M169)</f>
        <v/>
      </c>
    </row>
    <row r="170">
      <c r="A170" s="4" t="n"/>
      <c r="B170" s="4" t="n"/>
      <c r="C170" s="4" t="n"/>
      <c r="D170" s="7" t="n"/>
      <c r="E170" s="7" t="n"/>
      <c r="F170" s="8">
        <f>IF(E170&lt;&gt;"",E170,IF(UPPER(TRIM(C170))="BASIN",IF(UPPER(TRIM(Inputs!$B$52))="YES",Inputs!$B$12,0),IF(UPPER(TRIM(C170))="ROOF",Inputs!$B$10,IF(UPPER(TRIM(C170))="PAVAGE",Inputs!$B$58,IF(UPPER(TRIM(C170))="TRESFOND",Inputs!$B$11,IF(UPPER(TRIM(C170))="GRASS",Inputs!$B$12,Inputs!$B$13))))))</f>
        <v/>
      </c>
      <c r="G170" s="8">
        <f>IF(A170="","",N170)</f>
        <v/>
      </c>
      <c r="H170" s="8">
        <f>IF(A170="","",Inputs!$B$3/((IF(G170="",Inputs!$B$14,G170)+Inputs!$B$4)^Inputs!$B$5))</f>
        <v/>
      </c>
      <c r="I170" s="8">
        <f>IF(A170="","",2.78E-7*F170*D170*H170)</f>
        <v/>
      </c>
      <c r="J170" s="4" t="n"/>
      <c r="K170" s="4" t="n"/>
      <c r="L170" s="5" t="n"/>
      <c r="M170" s="9">
        <f>IF(A170="","",IF(OR(J170="",Inputs!$B$59=""),0,IFERROR(INDEX(Elements_hybrides!$F$4:$F$204,MATCH(J170,Elements_hybrides!$A$4:$A$204,0))/(Inputs!$B$59*60),0)))</f>
        <v/>
      </c>
      <c r="N170" s="9">
        <f>IF(A170="","",IF(L170="",Inputs!$B$14,L170)+M170)</f>
        <v/>
      </c>
    </row>
    <row r="171">
      <c r="A171" s="4" t="n"/>
      <c r="B171" s="4" t="n"/>
      <c r="C171" s="4" t="n"/>
      <c r="D171" s="7" t="n"/>
      <c r="E171" s="7" t="n"/>
      <c r="F171" s="8">
        <f>IF(E171&lt;&gt;"",E171,IF(UPPER(TRIM(C171))="BASIN",IF(UPPER(TRIM(Inputs!$B$52))="YES",Inputs!$B$12,0),IF(UPPER(TRIM(C171))="ROOF",Inputs!$B$10,IF(UPPER(TRIM(C171))="PAVAGE",Inputs!$B$58,IF(UPPER(TRIM(C171))="TRESFOND",Inputs!$B$11,IF(UPPER(TRIM(C171))="GRASS",Inputs!$B$12,Inputs!$B$13))))))</f>
        <v/>
      </c>
      <c r="G171" s="8">
        <f>IF(A171="","",N171)</f>
        <v/>
      </c>
      <c r="H171" s="8">
        <f>IF(A171="","",Inputs!$B$3/((IF(G171="",Inputs!$B$14,G171)+Inputs!$B$4)^Inputs!$B$5))</f>
        <v/>
      </c>
      <c r="I171" s="8">
        <f>IF(A171="","",2.78E-7*F171*D171*H171)</f>
        <v/>
      </c>
      <c r="J171" s="4" t="n"/>
      <c r="K171" s="4" t="n"/>
      <c r="L171" s="5" t="n"/>
      <c r="M171" s="9">
        <f>IF(A171="","",IF(OR(J171="",Inputs!$B$59=""),0,IFERROR(INDEX(Elements_hybrides!$F$4:$F$204,MATCH(J171,Elements_hybrides!$A$4:$A$204,0))/(Inputs!$B$59*60),0)))</f>
        <v/>
      </c>
      <c r="N171" s="9">
        <f>IF(A171="","",IF(L171="",Inputs!$B$14,L171)+M171)</f>
        <v/>
      </c>
    </row>
    <row r="172">
      <c r="A172" s="4" t="n"/>
      <c r="B172" s="4" t="n"/>
      <c r="C172" s="4" t="n"/>
      <c r="D172" s="7" t="n"/>
      <c r="E172" s="7" t="n"/>
      <c r="F172" s="8">
        <f>IF(E172&lt;&gt;"",E172,IF(UPPER(TRIM(C172))="BASIN",IF(UPPER(TRIM(Inputs!$B$52))="YES",Inputs!$B$12,0),IF(UPPER(TRIM(C172))="ROOF",Inputs!$B$10,IF(UPPER(TRIM(C172))="PAVAGE",Inputs!$B$58,IF(UPPER(TRIM(C172))="TRESFOND",Inputs!$B$11,IF(UPPER(TRIM(C172))="GRASS",Inputs!$B$12,Inputs!$B$13))))))</f>
        <v/>
      </c>
      <c r="G172" s="8">
        <f>IF(A172="","",N172)</f>
        <v/>
      </c>
      <c r="H172" s="8">
        <f>IF(A172="","",Inputs!$B$3/((IF(G172="",Inputs!$B$14,G172)+Inputs!$B$4)^Inputs!$B$5))</f>
        <v/>
      </c>
      <c r="I172" s="8">
        <f>IF(A172="","",2.78E-7*F172*D172*H172)</f>
        <v/>
      </c>
      <c r="J172" s="4" t="n"/>
      <c r="K172" s="4" t="n"/>
      <c r="L172" s="5" t="n"/>
      <c r="M172" s="9">
        <f>IF(A172="","",IF(OR(J172="",Inputs!$B$59=""),0,IFERROR(INDEX(Elements_hybrides!$F$4:$F$204,MATCH(J172,Elements_hybrides!$A$4:$A$204,0))/(Inputs!$B$59*60),0)))</f>
        <v/>
      </c>
      <c r="N172" s="9">
        <f>IF(A172="","",IF(L172="",Inputs!$B$14,L172)+M172)</f>
        <v/>
      </c>
    </row>
    <row r="173">
      <c r="A173" s="4" t="n"/>
      <c r="B173" s="4" t="n"/>
      <c r="C173" s="4" t="n"/>
      <c r="D173" s="7" t="n"/>
      <c r="E173" s="7" t="n"/>
      <c r="F173" s="8">
        <f>IF(E173&lt;&gt;"",E173,IF(UPPER(TRIM(C173))="BASIN",IF(UPPER(TRIM(Inputs!$B$52))="YES",Inputs!$B$12,0),IF(UPPER(TRIM(C173))="ROOF",Inputs!$B$10,IF(UPPER(TRIM(C173))="PAVAGE",Inputs!$B$58,IF(UPPER(TRIM(C173))="TRESFOND",Inputs!$B$11,IF(UPPER(TRIM(C173))="GRASS",Inputs!$B$12,Inputs!$B$13))))))</f>
        <v/>
      </c>
      <c r="G173" s="8">
        <f>IF(A173="","",N173)</f>
        <v/>
      </c>
      <c r="H173" s="8">
        <f>IF(A173="","",Inputs!$B$3/((IF(G173="",Inputs!$B$14,G173)+Inputs!$B$4)^Inputs!$B$5))</f>
        <v/>
      </c>
      <c r="I173" s="8">
        <f>IF(A173="","",2.78E-7*F173*D173*H173)</f>
        <v/>
      </c>
      <c r="J173" s="4" t="n"/>
      <c r="K173" s="4" t="n"/>
      <c r="L173" s="5" t="n"/>
      <c r="M173" s="9">
        <f>IF(A173="","",IF(OR(J173="",Inputs!$B$59=""),0,IFERROR(INDEX(Elements_hybrides!$F$4:$F$204,MATCH(J173,Elements_hybrides!$A$4:$A$204,0))/(Inputs!$B$59*60),0)))</f>
        <v/>
      </c>
      <c r="N173" s="9">
        <f>IF(A173="","",IF(L173="",Inputs!$B$14,L173)+M173)</f>
        <v/>
      </c>
    </row>
    <row r="174">
      <c r="A174" s="4" t="n"/>
      <c r="B174" s="4" t="n"/>
      <c r="C174" s="4" t="n"/>
      <c r="D174" s="7" t="n"/>
      <c r="E174" s="7" t="n"/>
      <c r="F174" s="8">
        <f>IF(E174&lt;&gt;"",E174,IF(UPPER(TRIM(C174))="BASIN",IF(UPPER(TRIM(Inputs!$B$52))="YES",Inputs!$B$12,0),IF(UPPER(TRIM(C174))="ROOF",Inputs!$B$10,IF(UPPER(TRIM(C174))="PAVAGE",Inputs!$B$58,IF(UPPER(TRIM(C174))="TRESFOND",Inputs!$B$11,IF(UPPER(TRIM(C174))="GRASS",Inputs!$B$12,Inputs!$B$13))))))</f>
        <v/>
      </c>
      <c r="G174" s="8">
        <f>IF(A174="","",N174)</f>
        <v/>
      </c>
      <c r="H174" s="8">
        <f>IF(A174="","",Inputs!$B$3/((IF(G174="",Inputs!$B$14,G174)+Inputs!$B$4)^Inputs!$B$5))</f>
        <v/>
      </c>
      <c r="I174" s="8">
        <f>IF(A174="","",2.78E-7*F174*D174*H174)</f>
        <v/>
      </c>
      <c r="J174" s="4" t="n"/>
      <c r="K174" s="4" t="n"/>
      <c r="L174" s="5" t="n"/>
      <c r="M174" s="9">
        <f>IF(A174="","",IF(OR(J174="",Inputs!$B$59=""),0,IFERROR(INDEX(Elements_hybrides!$F$4:$F$204,MATCH(J174,Elements_hybrides!$A$4:$A$204,0))/(Inputs!$B$59*60),0)))</f>
        <v/>
      </c>
      <c r="N174" s="9">
        <f>IF(A174="","",IF(L174="",Inputs!$B$14,L174)+M174)</f>
        <v/>
      </c>
    </row>
    <row r="175">
      <c r="A175" s="4" t="n"/>
      <c r="B175" s="4" t="n"/>
      <c r="C175" s="4" t="n"/>
      <c r="D175" s="7" t="n"/>
      <c r="E175" s="7" t="n"/>
      <c r="F175" s="8">
        <f>IF(E175&lt;&gt;"",E175,IF(UPPER(TRIM(C175))="BASIN",IF(UPPER(TRIM(Inputs!$B$52))="YES",Inputs!$B$12,0),IF(UPPER(TRIM(C175))="ROOF",Inputs!$B$10,IF(UPPER(TRIM(C175))="PAVAGE",Inputs!$B$58,IF(UPPER(TRIM(C175))="TRESFOND",Inputs!$B$11,IF(UPPER(TRIM(C175))="GRASS",Inputs!$B$12,Inputs!$B$13))))))</f>
        <v/>
      </c>
      <c r="G175" s="8">
        <f>IF(A175="","",N175)</f>
        <v/>
      </c>
      <c r="H175" s="8">
        <f>IF(A175="","",Inputs!$B$3/((IF(G175="",Inputs!$B$14,G175)+Inputs!$B$4)^Inputs!$B$5))</f>
        <v/>
      </c>
      <c r="I175" s="8">
        <f>IF(A175="","",2.78E-7*F175*D175*H175)</f>
        <v/>
      </c>
      <c r="J175" s="4" t="n"/>
      <c r="K175" s="4" t="n"/>
      <c r="L175" s="5" t="n"/>
      <c r="M175" s="9">
        <f>IF(A175="","",IF(OR(J175="",Inputs!$B$59=""),0,IFERROR(INDEX(Elements_hybrides!$F$4:$F$204,MATCH(J175,Elements_hybrides!$A$4:$A$204,0))/(Inputs!$B$59*60),0)))</f>
        <v/>
      </c>
      <c r="N175" s="9">
        <f>IF(A175="","",IF(L175="",Inputs!$B$14,L175)+M175)</f>
        <v/>
      </c>
    </row>
    <row r="176">
      <c r="A176" s="4" t="n"/>
      <c r="B176" s="4" t="n"/>
      <c r="C176" s="4" t="n"/>
      <c r="D176" s="7" t="n"/>
      <c r="E176" s="7" t="n"/>
      <c r="F176" s="8">
        <f>IF(E176&lt;&gt;"",E176,IF(UPPER(TRIM(C176))="BASIN",IF(UPPER(TRIM(Inputs!$B$52))="YES",Inputs!$B$12,0),IF(UPPER(TRIM(C176))="ROOF",Inputs!$B$10,IF(UPPER(TRIM(C176))="PAVAGE",Inputs!$B$58,IF(UPPER(TRIM(C176))="TRESFOND",Inputs!$B$11,IF(UPPER(TRIM(C176))="GRASS",Inputs!$B$12,Inputs!$B$13))))))</f>
        <v/>
      </c>
      <c r="G176" s="8">
        <f>IF(A176="","",N176)</f>
        <v/>
      </c>
      <c r="H176" s="8">
        <f>IF(A176="","",Inputs!$B$3/((IF(G176="",Inputs!$B$14,G176)+Inputs!$B$4)^Inputs!$B$5))</f>
        <v/>
      </c>
      <c r="I176" s="8">
        <f>IF(A176="","",2.78E-7*F176*D176*H176)</f>
        <v/>
      </c>
      <c r="J176" s="4" t="n"/>
      <c r="K176" s="4" t="n"/>
      <c r="L176" s="5" t="n"/>
      <c r="M176" s="9">
        <f>IF(A176="","",IF(OR(J176="",Inputs!$B$59=""),0,IFERROR(INDEX(Elements_hybrides!$F$4:$F$204,MATCH(J176,Elements_hybrides!$A$4:$A$204,0))/(Inputs!$B$59*60),0)))</f>
        <v/>
      </c>
      <c r="N176" s="9">
        <f>IF(A176="","",IF(L176="",Inputs!$B$14,L176)+M176)</f>
        <v/>
      </c>
    </row>
    <row r="177">
      <c r="A177" s="4" t="n"/>
      <c r="B177" s="4" t="n"/>
      <c r="C177" s="4" t="n"/>
      <c r="D177" s="7" t="n"/>
      <c r="E177" s="7" t="n"/>
      <c r="F177" s="8">
        <f>IF(E177&lt;&gt;"",E177,IF(UPPER(TRIM(C177))="BASIN",IF(UPPER(TRIM(Inputs!$B$52))="YES",Inputs!$B$12,0),IF(UPPER(TRIM(C177))="ROOF",Inputs!$B$10,IF(UPPER(TRIM(C177))="PAVAGE",Inputs!$B$58,IF(UPPER(TRIM(C177))="TRESFOND",Inputs!$B$11,IF(UPPER(TRIM(C177))="GRASS",Inputs!$B$12,Inputs!$B$13))))))</f>
        <v/>
      </c>
      <c r="G177" s="8">
        <f>IF(A177="","",N177)</f>
        <v/>
      </c>
      <c r="H177" s="8">
        <f>IF(A177="","",Inputs!$B$3/((IF(G177="",Inputs!$B$14,G177)+Inputs!$B$4)^Inputs!$B$5))</f>
        <v/>
      </c>
      <c r="I177" s="8">
        <f>IF(A177="","",2.78E-7*F177*D177*H177)</f>
        <v/>
      </c>
      <c r="J177" s="4" t="n"/>
      <c r="K177" s="4" t="n"/>
      <c r="L177" s="5" t="n"/>
      <c r="M177" s="9">
        <f>IF(A177="","",IF(OR(J177="",Inputs!$B$59=""),0,IFERROR(INDEX(Elements_hybrides!$F$4:$F$204,MATCH(J177,Elements_hybrides!$A$4:$A$204,0))/(Inputs!$B$59*60),0)))</f>
        <v/>
      </c>
      <c r="N177" s="9">
        <f>IF(A177="","",IF(L177="",Inputs!$B$14,L177)+M177)</f>
        <v/>
      </c>
    </row>
    <row r="178">
      <c r="A178" s="4" t="n"/>
      <c r="B178" s="4" t="n"/>
      <c r="C178" s="4" t="n"/>
      <c r="D178" s="7" t="n"/>
      <c r="E178" s="7" t="n"/>
      <c r="F178" s="8">
        <f>IF(E178&lt;&gt;"",E178,IF(UPPER(TRIM(C178))="BASIN",IF(UPPER(TRIM(Inputs!$B$52))="YES",Inputs!$B$12,0),IF(UPPER(TRIM(C178))="ROOF",Inputs!$B$10,IF(UPPER(TRIM(C178))="PAVAGE",Inputs!$B$58,IF(UPPER(TRIM(C178))="TRESFOND",Inputs!$B$11,IF(UPPER(TRIM(C178))="GRASS",Inputs!$B$12,Inputs!$B$13))))))</f>
        <v/>
      </c>
      <c r="G178" s="8">
        <f>IF(A178="","",N178)</f>
        <v/>
      </c>
      <c r="H178" s="8">
        <f>IF(A178="","",Inputs!$B$3/((IF(G178="",Inputs!$B$14,G178)+Inputs!$B$4)^Inputs!$B$5))</f>
        <v/>
      </c>
      <c r="I178" s="8">
        <f>IF(A178="","",2.78E-7*F178*D178*H178)</f>
        <v/>
      </c>
      <c r="J178" s="4" t="n"/>
      <c r="K178" s="4" t="n"/>
      <c r="L178" s="5" t="n"/>
      <c r="M178" s="9">
        <f>IF(A178="","",IF(OR(J178="",Inputs!$B$59=""),0,IFERROR(INDEX(Elements_hybrides!$F$4:$F$204,MATCH(J178,Elements_hybrides!$A$4:$A$204,0))/(Inputs!$B$59*60),0)))</f>
        <v/>
      </c>
      <c r="N178" s="9">
        <f>IF(A178="","",IF(L178="",Inputs!$B$14,L178)+M178)</f>
        <v/>
      </c>
    </row>
    <row r="179">
      <c r="A179" s="4" t="n"/>
      <c r="B179" s="4" t="n"/>
      <c r="C179" s="4" t="n"/>
      <c r="D179" s="7" t="n"/>
      <c r="E179" s="7" t="n"/>
      <c r="F179" s="8">
        <f>IF(E179&lt;&gt;"",E179,IF(UPPER(TRIM(C179))="BASIN",IF(UPPER(TRIM(Inputs!$B$52))="YES",Inputs!$B$12,0),IF(UPPER(TRIM(C179))="ROOF",Inputs!$B$10,IF(UPPER(TRIM(C179))="PAVAGE",Inputs!$B$58,IF(UPPER(TRIM(C179))="TRESFOND",Inputs!$B$11,IF(UPPER(TRIM(C179))="GRASS",Inputs!$B$12,Inputs!$B$13))))))</f>
        <v/>
      </c>
      <c r="G179" s="8">
        <f>IF(A179="","",N179)</f>
        <v/>
      </c>
      <c r="H179" s="8">
        <f>IF(A179="","",Inputs!$B$3/((IF(G179="",Inputs!$B$14,G179)+Inputs!$B$4)^Inputs!$B$5))</f>
        <v/>
      </c>
      <c r="I179" s="8">
        <f>IF(A179="","",2.78E-7*F179*D179*H179)</f>
        <v/>
      </c>
      <c r="J179" s="4" t="n"/>
      <c r="K179" s="4" t="n"/>
      <c r="L179" s="5" t="n"/>
      <c r="M179" s="9">
        <f>IF(A179="","",IF(OR(J179="",Inputs!$B$59=""),0,IFERROR(INDEX(Elements_hybrides!$F$4:$F$204,MATCH(J179,Elements_hybrides!$A$4:$A$204,0))/(Inputs!$B$59*60),0)))</f>
        <v/>
      </c>
      <c r="N179" s="9">
        <f>IF(A179="","",IF(L179="",Inputs!$B$14,L179)+M179)</f>
        <v/>
      </c>
    </row>
    <row r="180">
      <c r="A180" s="4" t="n"/>
      <c r="B180" s="4" t="n"/>
      <c r="C180" s="4" t="n"/>
      <c r="D180" s="7" t="n"/>
      <c r="E180" s="7" t="n"/>
      <c r="F180" s="8">
        <f>IF(E180&lt;&gt;"",E180,IF(UPPER(TRIM(C180))="BASIN",IF(UPPER(TRIM(Inputs!$B$52))="YES",Inputs!$B$12,0),IF(UPPER(TRIM(C180))="ROOF",Inputs!$B$10,IF(UPPER(TRIM(C180))="PAVAGE",Inputs!$B$58,IF(UPPER(TRIM(C180))="TRESFOND",Inputs!$B$11,IF(UPPER(TRIM(C180))="GRASS",Inputs!$B$12,Inputs!$B$13))))))</f>
        <v/>
      </c>
      <c r="G180" s="8">
        <f>IF(A180="","",N180)</f>
        <v/>
      </c>
      <c r="H180" s="8">
        <f>IF(A180="","",Inputs!$B$3/((IF(G180="",Inputs!$B$14,G180)+Inputs!$B$4)^Inputs!$B$5))</f>
        <v/>
      </c>
      <c r="I180" s="8">
        <f>IF(A180="","",2.78E-7*F180*D180*H180)</f>
        <v/>
      </c>
      <c r="J180" s="4" t="n"/>
      <c r="K180" s="4" t="n"/>
      <c r="L180" s="5" t="n"/>
      <c r="M180" s="9">
        <f>IF(A180="","",IF(OR(J180="",Inputs!$B$59=""),0,IFERROR(INDEX(Elements_hybrides!$F$4:$F$204,MATCH(J180,Elements_hybrides!$A$4:$A$204,0))/(Inputs!$B$59*60),0)))</f>
        <v/>
      </c>
      <c r="N180" s="9">
        <f>IF(A180="","",IF(L180="",Inputs!$B$14,L180)+M180)</f>
        <v/>
      </c>
    </row>
    <row r="181">
      <c r="A181" s="4" t="n"/>
      <c r="B181" s="4" t="n"/>
      <c r="C181" s="4" t="n"/>
      <c r="D181" s="7" t="n"/>
      <c r="E181" s="7" t="n"/>
      <c r="F181" s="8">
        <f>IF(E181&lt;&gt;"",E181,IF(UPPER(TRIM(C181))="BASIN",IF(UPPER(TRIM(Inputs!$B$52))="YES",Inputs!$B$12,0),IF(UPPER(TRIM(C181))="ROOF",Inputs!$B$10,IF(UPPER(TRIM(C181))="PAVAGE",Inputs!$B$58,IF(UPPER(TRIM(C181))="TRESFOND",Inputs!$B$11,IF(UPPER(TRIM(C181))="GRASS",Inputs!$B$12,Inputs!$B$13))))))</f>
        <v/>
      </c>
      <c r="G181" s="8">
        <f>IF(A181="","",N181)</f>
        <v/>
      </c>
      <c r="H181" s="8">
        <f>IF(A181="","",Inputs!$B$3/((IF(G181="",Inputs!$B$14,G181)+Inputs!$B$4)^Inputs!$B$5))</f>
        <v/>
      </c>
      <c r="I181" s="8">
        <f>IF(A181="","",2.78E-7*F181*D181*H181)</f>
        <v/>
      </c>
      <c r="J181" s="4" t="n"/>
      <c r="K181" s="4" t="n"/>
      <c r="L181" s="5" t="n"/>
      <c r="M181" s="9">
        <f>IF(A181="","",IF(OR(J181="",Inputs!$B$59=""),0,IFERROR(INDEX(Elements_hybrides!$F$4:$F$204,MATCH(J181,Elements_hybrides!$A$4:$A$204,0))/(Inputs!$B$59*60),0)))</f>
        <v/>
      </c>
      <c r="N181" s="9">
        <f>IF(A181="","",IF(L181="",Inputs!$B$14,L181)+M181)</f>
        <v/>
      </c>
    </row>
    <row r="182">
      <c r="A182" s="4" t="n"/>
      <c r="B182" s="4" t="n"/>
      <c r="C182" s="4" t="n"/>
      <c r="D182" s="7" t="n"/>
      <c r="E182" s="7" t="n"/>
      <c r="F182" s="8">
        <f>IF(E182&lt;&gt;"",E182,IF(UPPER(TRIM(C182))="BASIN",IF(UPPER(TRIM(Inputs!$B$52))="YES",Inputs!$B$12,0),IF(UPPER(TRIM(C182))="ROOF",Inputs!$B$10,IF(UPPER(TRIM(C182))="PAVAGE",Inputs!$B$58,IF(UPPER(TRIM(C182))="TRESFOND",Inputs!$B$11,IF(UPPER(TRIM(C182))="GRASS",Inputs!$B$12,Inputs!$B$13))))))</f>
        <v/>
      </c>
      <c r="G182" s="8">
        <f>IF(A182="","",N182)</f>
        <v/>
      </c>
      <c r="H182" s="8">
        <f>IF(A182="","",Inputs!$B$3/((IF(G182="",Inputs!$B$14,G182)+Inputs!$B$4)^Inputs!$B$5))</f>
        <v/>
      </c>
      <c r="I182" s="8">
        <f>IF(A182="","",2.78E-7*F182*D182*H182)</f>
        <v/>
      </c>
      <c r="J182" s="4" t="n"/>
      <c r="K182" s="4" t="n"/>
      <c r="L182" s="5" t="n"/>
      <c r="M182" s="9">
        <f>IF(A182="","",IF(OR(J182="",Inputs!$B$59=""),0,IFERROR(INDEX(Elements_hybrides!$F$4:$F$204,MATCH(J182,Elements_hybrides!$A$4:$A$204,0))/(Inputs!$B$59*60),0)))</f>
        <v/>
      </c>
      <c r="N182" s="9">
        <f>IF(A182="","",IF(L182="",Inputs!$B$14,L182)+M182)</f>
        <v/>
      </c>
    </row>
    <row r="183">
      <c r="A183" s="4" t="n"/>
      <c r="B183" s="4" t="n"/>
      <c r="C183" s="4" t="n"/>
      <c r="D183" s="7" t="n"/>
      <c r="E183" s="7" t="n"/>
      <c r="F183" s="8">
        <f>IF(E183&lt;&gt;"",E183,IF(UPPER(TRIM(C183))="BASIN",IF(UPPER(TRIM(Inputs!$B$52))="YES",Inputs!$B$12,0),IF(UPPER(TRIM(C183))="ROOF",Inputs!$B$10,IF(UPPER(TRIM(C183))="PAVAGE",Inputs!$B$58,IF(UPPER(TRIM(C183))="TRESFOND",Inputs!$B$11,IF(UPPER(TRIM(C183))="GRASS",Inputs!$B$12,Inputs!$B$13))))))</f>
        <v/>
      </c>
      <c r="G183" s="8">
        <f>IF(A183="","",N183)</f>
        <v/>
      </c>
      <c r="H183" s="8">
        <f>IF(A183="","",Inputs!$B$3/((IF(G183="",Inputs!$B$14,G183)+Inputs!$B$4)^Inputs!$B$5))</f>
        <v/>
      </c>
      <c r="I183" s="8">
        <f>IF(A183="","",2.78E-7*F183*D183*H183)</f>
        <v/>
      </c>
      <c r="J183" s="4" t="n"/>
      <c r="K183" s="4" t="n"/>
      <c r="L183" s="5" t="n"/>
      <c r="M183" s="9">
        <f>IF(A183="","",IF(OR(J183="",Inputs!$B$59=""),0,IFERROR(INDEX(Elements_hybrides!$F$4:$F$204,MATCH(J183,Elements_hybrides!$A$4:$A$204,0))/(Inputs!$B$59*60),0)))</f>
        <v/>
      </c>
      <c r="N183" s="9">
        <f>IF(A183="","",IF(L183="",Inputs!$B$14,L183)+M183)</f>
        <v/>
      </c>
    </row>
    <row r="184">
      <c r="A184" s="4" t="n"/>
      <c r="B184" s="4" t="n"/>
      <c r="C184" s="4" t="n"/>
      <c r="D184" s="7" t="n"/>
      <c r="E184" s="7" t="n"/>
      <c r="F184" s="8">
        <f>IF(E184&lt;&gt;"",E184,IF(UPPER(TRIM(C184))="BASIN",IF(UPPER(TRIM(Inputs!$B$52))="YES",Inputs!$B$12,0),IF(UPPER(TRIM(C184))="ROOF",Inputs!$B$10,IF(UPPER(TRIM(C184))="PAVAGE",Inputs!$B$58,IF(UPPER(TRIM(C184))="TRESFOND",Inputs!$B$11,IF(UPPER(TRIM(C184))="GRASS",Inputs!$B$12,Inputs!$B$13))))))</f>
        <v/>
      </c>
      <c r="G184" s="8">
        <f>IF(A184="","",N184)</f>
        <v/>
      </c>
      <c r="H184" s="8">
        <f>IF(A184="","",Inputs!$B$3/((IF(G184="",Inputs!$B$14,G184)+Inputs!$B$4)^Inputs!$B$5))</f>
        <v/>
      </c>
      <c r="I184" s="8">
        <f>IF(A184="","",2.78E-7*F184*D184*H184)</f>
        <v/>
      </c>
      <c r="J184" s="4" t="n"/>
      <c r="K184" s="4" t="n"/>
      <c r="L184" s="5" t="n"/>
      <c r="M184" s="9">
        <f>IF(A184="","",IF(OR(J184="",Inputs!$B$59=""),0,IFERROR(INDEX(Elements_hybrides!$F$4:$F$204,MATCH(J184,Elements_hybrides!$A$4:$A$204,0))/(Inputs!$B$59*60),0)))</f>
        <v/>
      </c>
      <c r="N184" s="9">
        <f>IF(A184="","",IF(L184="",Inputs!$B$14,L184)+M184)</f>
        <v/>
      </c>
    </row>
    <row r="185">
      <c r="A185" s="4" t="n"/>
      <c r="B185" s="4" t="n"/>
      <c r="C185" s="4" t="n"/>
      <c r="D185" s="7" t="n"/>
      <c r="E185" s="7" t="n"/>
      <c r="F185" s="8">
        <f>IF(E185&lt;&gt;"",E185,IF(UPPER(TRIM(C185))="BASIN",IF(UPPER(TRIM(Inputs!$B$52))="YES",Inputs!$B$12,0),IF(UPPER(TRIM(C185))="ROOF",Inputs!$B$10,IF(UPPER(TRIM(C185))="PAVAGE",Inputs!$B$58,IF(UPPER(TRIM(C185))="TRESFOND",Inputs!$B$11,IF(UPPER(TRIM(C185))="GRASS",Inputs!$B$12,Inputs!$B$13))))))</f>
        <v/>
      </c>
      <c r="G185" s="8">
        <f>IF(A185="","",N185)</f>
        <v/>
      </c>
      <c r="H185" s="8">
        <f>IF(A185="","",Inputs!$B$3/((IF(G185="",Inputs!$B$14,G185)+Inputs!$B$4)^Inputs!$B$5))</f>
        <v/>
      </c>
      <c r="I185" s="8">
        <f>IF(A185="","",2.78E-7*F185*D185*H185)</f>
        <v/>
      </c>
      <c r="J185" s="4" t="n"/>
      <c r="K185" s="4" t="n"/>
      <c r="L185" s="5" t="n"/>
      <c r="M185" s="9">
        <f>IF(A185="","",IF(OR(J185="",Inputs!$B$59=""),0,IFERROR(INDEX(Elements_hybrides!$F$4:$F$204,MATCH(J185,Elements_hybrides!$A$4:$A$204,0))/(Inputs!$B$59*60),0)))</f>
        <v/>
      </c>
      <c r="N185" s="9">
        <f>IF(A185="","",IF(L185="",Inputs!$B$14,L185)+M185)</f>
        <v/>
      </c>
    </row>
    <row r="186">
      <c r="A186" s="4" t="n"/>
      <c r="B186" s="4" t="n"/>
      <c r="C186" s="4" t="n"/>
      <c r="D186" s="7" t="n"/>
      <c r="E186" s="7" t="n"/>
      <c r="F186" s="8">
        <f>IF(E186&lt;&gt;"",E186,IF(UPPER(TRIM(C186))="BASIN",IF(UPPER(TRIM(Inputs!$B$52))="YES",Inputs!$B$12,0),IF(UPPER(TRIM(C186))="ROOF",Inputs!$B$10,IF(UPPER(TRIM(C186))="PAVAGE",Inputs!$B$58,IF(UPPER(TRIM(C186))="TRESFOND",Inputs!$B$11,IF(UPPER(TRIM(C186))="GRASS",Inputs!$B$12,Inputs!$B$13))))))</f>
        <v/>
      </c>
      <c r="G186" s="8">
        <f>IF(A186="","",N186)</f>
        <v/>
      </c>
      <c r="H186" s="8">
        <f>IF(A186="","",Inputs!$B$3/((IF(G186="",Inputs!$B$14,G186)+Inputs!$B$4)^Inputs!$B$5))</f>
        <v/>
      </c>
      <c r="I186" s="8">
        <f>IF(A186="","",2.78E-7*F186*D186*H186)</f>
        <v/>
      </c>
      <c r="J186" s="4" t="n"/>
      <c r="K186" s="4" t="n"/>
      <c r="L186" s="5" t="n"/>
      <c r="M186" s="9">
        <f>IF(A186="","",IF(OR(J186="",Inputs!$B$59=""),0,IFERROR(INDEX(Elements_hybrides!$F$4:$F$204,MATCH(J186,Elements_hybrides!$A$4:$A$204,0))/(Inputs!$B$59*60),0)))</f>
        <v/>
      </c>
      <c r="N186" s="9">
        <f>IF(A186="","",IF(L186="",Inputs!$B$14,L186)+M186)</f>
        <v/>
      </c>
    </row>
    <row r="187">
      <c r="A187" s="4" t="n"/>
      <c r="B187" s="4" t="n"/>
      <c r="C187" s="4" t="n"/>
      <c r="D187" s="7" t="n"/>
      <c r="E187" s="7" t="n"/>
      <c r="F187" s="8">
        <f>IF(E187&lt;&gt;"",E187,IF(UPPER(TRIM(C187))="BASIN",IF(UPPER(TRIM(Inputs!$B$52))="YES",Inputs!$B$12,0),IF(UPPER(TRIM(C187))="ROOF",Inputs!$B$10,IF(UPPER(TRIM(C187))="PAVAGE",Inputs!$B$58,IF(UPPER(TRIM(C187))="TRESFOND",Inputs!$B$11,IF(UPPER(TRIM(C187))="GRASS",Inputs!$B$12,Inputs!$B$13))))))</f>
        <v/>
      </c>
      <c r="G187" s="8">
        <f>IF(A187="","",N187)</f>
        <v/>
      </c>
      <c r="H187" s="8">
        <f>IF(A187="","",Inputs!$B$3/((IF(G187="",Inputs!$B$14,G187)+Inputs!$B$4)^Inputs!$B$5))</f>
        <v/>
      </c>
      <c r="I187" s="8">
        <f>IF(A187="","",2.78E-7*F187*D187*H187)</f>
        <v/>
      </c>
      <c r="J187" s="4" t="n"/>
      <c r="K187" s="4" t="n"/>
      <c r="L187" s="5" t="n"/>
      <c r="M187" s="9">
        <f>IF(A187="","",IF(OR(J187="",Inputs!$B$59=""),0,IFERROR(INDEX(Elements_hybrides!$F$4:$F$204,MATCH(J187,Elements_hybrides!$A$4:$A$204,0))/(Inputs!$B$59*60),0)))</f>
        <v/>
      </c>
      <c r="N187" s="9">
        <f>IF(A187="","",IF(L187="",Inputs!$B$14,L187)+M187)</f>
        <v/>
      </c>
    </row>
    <row r="188">
      <c r="A188" s="4" t="n"/>
      <c r="B188" s="4" t="n"/>
      <c r="C188" s="4" t="n"/>
      <c r="D188" s="7" t="n"/>
      <c r="E188" s="7" t="n"/>
      <c r="F188" s="8">
        <f>IF(E188&lt;&gt;"",E188,IF(UPPER(TRIM(C188))="BASIN",IF(UPPER(TRIM(Inputs!$B$52))="YES",Inputs!$B$12,0),IF(UPPER(TRIM(C188))="ROOF",Inputs!$B$10,IF(UPPER(TRIM(C188))="PAVAGE",Inputs!$B$58,IF(UPPER(TRIM(C188))="TRESFOND",Inputs!$B$11,IF(UPPER(TRIM(C188))="GRASS",Inputs!$B$12,Inputs!$B$13))))))</f>
        <v/>
      </c>
      <c r="G188" s="8">
        <f>IF(A188="","",N188)</f>
        <v/>
      </c>
      <c r="H188" s="8">
        <f>IF(A188="","",Inputs!$B$3/((IF(G188="",Inputs!$B$14,G188)+Inputs!$B$4)^Inputs!$B$5))</f>
        <v/>
      </c>
      <c r="I188" s="8">
        <f>IF(A188="","",2.78E-7*F188*D188*H188)</f>
        <v/>
      </c>
      <c r="J188" s="4" t="n"/>
      <c r="K188" s="4" t="n"/>
      <c r="L188" s="5" t="n"/>
      <c r="M188" s="9">
        <f>IF(A188="","",IF(OR(J188="",Inputs!$B$59=""),0,IFERROR(INDEX(Elements_hybrides!$F$4:$F$204,MATCH(J188,Elements_hybrides!$A$4:$A$204,0))/(Inputs!$B$59*60),0)))</f>
        <v/>
      </c>
      <c r="N188" s="9">
        <f>IF(A188="","",IF(L188="",Inputs!$B$14,L188)+M188)</f>
        <v/>
      </c>
    </row>
    <row r="189">
      <c r="A189" s="4" t="n"/>
      <c r="B189" s="4" t="n"/>
      <c r="C189" s="4" t="n"/>
      <c r="D189" s="7" t="n"/>
      <c r="E189" s="7" t="n"/>
      <c r="F189" s="8">
        <f>IF(E189&lt;&gt;"",E189,IF(UPPER(TRIM(C189))="BASIN",IF(UPPER(TRIM(Inputs!$B$52))="YES",Inputs!$B$12,0),IF(UPPER(TRIM(C189))="ROOF",Inputs!$B$10,IF(UPPER(TRIM(C189))="PAVAGE",Inputs!$B$58,IF(UPPER(TRIM(C189))="TRESFOND",Inputs!$B$11,IF(UPPER(TRIM(C189))="GRASS",Inputs!$B$12,Inputs!$B$13))))))</f>
        <v/>
      </c>
      <c r="G189" s="8">
        <f>IF(A189="","",N189)</f>
        <v/>
      </c>
      <c r="H189" s="8">
        <f>IF(A189="","",Inputs!$B$3/((IF(G189="",Inputs!$B$14,G189)+Inputs!$B$4)^Inputs!$B$5))</f>
        <v/>
      </c>
      <c r="I189" s="8">
        <f>IF(A189="","",2.78E-7*F189*D189*H189)</f>
        <v/>
      </c>
      <c r="J189" s="4" t="n"/>
      <c r="K189" s="4" t="n"/>
      <c r="L189" s="5" t="n"/>
      <c r="M189" s="9">
        <f>IF(A189="","",IF(OR(J189="",Inputs!$B$59=""),0,IFERROR(INDEX(Elements_hybrides!$F$4:$F$204,MATCH(J189,Elements_hybrides!$A$4:$A$204,0))/(Inputs!$B$59*60),0)))</f>
        <v/>
      </c>
      <c r="N189" s="9">
        <f>IF(A189="","",IF(L189="",Inputs!$B$14,L189)+M189)</f>
        <v/>
      </c>
    </row>
    <row r="190">
      <c r="A190" s="4" t="n"/>
      <c r="B190" s="4" t="n"/>
      <c r="C190" s="4" t="n"/>
      <c r="D190" s="7" t="n"/>
      <c r="E190" s="7" t="n"/>
      <c r="F190" s="8">
        <f>IF(E190&lt;&gt;"",E190,IF(UPPER(TRIM(C190))="BASIN",IF(UPPER(TRIM(Inputs!$B$52))="YES",Inputs!$B$12,0),IF(UPPER(TRIM(C190))="ROOF",Inputs!$B$10,IF(UPPER(TRIM(C190))="PAVAGE",Inputs!$B$58,IF(UPPER(TRIM(C190))="TRESFOND",Inputs!$B$11,IF(UPPER(TRIM(C190))="GRASS",Inputs!$B$12,Inputs!$B$13))))))</f>
        <v/>
      </c>
      <c r="G190" s="8">
        <f>IF(A190="","",N190)</f>
        <v/>
      </c>
      <c r="H190" s="8">
        <f>IF(A190="","",Inputs!$B$3/((IF(G190="",Inputs!$B$14,G190)+Inputs!$B$4)^Inputs!$B$5))</f>
        <v/>
      </c>
      <c r="I190" s="8">
        <f>IF(A190="","",2.78E-7*F190*D190*H190)</f>
        <v/>
      </c>
      <c r="J190" s="4" t="n"/>
      <c r="K190" s="4" t="n"/>
      <c r="L190" s="5" t="n"/>
      <c r="M190" s="9">
        <f>IF(A190="","",IF(OR(J190="",Inputs!$B$59=""),0,IFERROR(INDEX(Elements_hybrides!$F$4:$F$204,MATCH(J190,Elements_hybrides!$A$4:$A$204,0))/(Inputs!$B$59*60),0)))</f>
        <v/>
      </c>
      <c r="N190" s="9">
        <f>IF(A190="","",IF(L190="",Inputs!$B$14,L190)+M190)</f>
        <v/>
      </c>
    </row>
    <row r="191">
      <c r="A191" s="4" t="n"/>
      <c r="B191" s="4" t="n"/>
      <c r="C191" s="4" t="n"/>
      <c r="D191" s="7" t="n"/>
      <c r="E191" s="7" t="n"/>
      <c r="F191" s="8">
        <f>IF(E191&lt;&gt;"",E191,IF(UPPER(TRIM(C191))="BASIN",IF(UPPER(TRIM(Inputs!$B$52))="YES",Inputs!$B$12,0),IF(UPPER(TRIM(C191))="ROOF",Inputs!$B$10,IF(UPPER(TRIM(C191))="PAVAGE",Inputs!$B$58,IF(UPPER(TRIM(C191))="TRESFOND",Inputs!$B$11,IF(UPPER(TRIM(C191))="GRASS",Inputs!$B$12,Inputs!$B$13))))))</f>
        <v/>
      </c>
      <c r="G191" s="8">
        <f>IF(A191="","",N191)</f>
        <v/>
      </c>
      <c r="H191" s="8">
        <f>IF(A191="","",Inputs!$B$3/((IF(G191="",Inputs!$B$14,G191)+Inputs!$B$4)^Inputs!$B$5))</f>
        <v/>
      </c>
      <c r="I191" s="8">
        <f>IF(A191="","",2.78E-7*F191*D191*H191)</f>
        <v/>
      </c>
      <c r="J191" s="4" t="n"/>
      <c r="K191" s="4" t="n"/>
      <c r="L191" s="5" t="n"/>
      <c r="M191" s="9">
        <f>IF(A191="","",IF(OR(J191="",Inputs!$B$59=""),0,IFERROR(INDEX(Elements_hybrides!$F$4:$F$204,MATCH(J191,Elements_hybrides!$A$4:$A$204,0))/(Inputs!$B$59*60),0)))</f>
        <v/>
      </c>
      <c r="N191" s="9">
        <f>IF(A191="","",IF(L191="",Inputs!$B$14,L191)+M191)</f>
        <v/>
      </c>
    </row>
    <row r="192">
      <c r="A192" s="4" t="n"/>
      <c r="B192" s="4" t="n"/>
      <c r="C192" s="4" t="n"/>
      <c r="D192" s="7" t="n"/>
      <c r="E192" s="7" t="n"/>
      <c r="F192" s="8">
        <f>IF(E192&lt;&gt;"",E192,IF(UPPER(TRIM(C192))="BASIN",IF(UPPER(TRIM(Inputs!$B$52))="YES",Inputs!$B$12,0),IF(UPPER(TRIM(C192))="ROOF",Inputs!$B$10,IF(UPPER(TRIM(C192))="PAVAGE",Inputs!$B$58,IF(UPPER(TRIM(C192))="TRESFOND",Inputs!$B$11,IF(UPPER(TRIM(C192))="GRASS",Inputs!$B$12,Inputs!$B$13))))))</f>
        <v/>
      </c>
      <c r="G192" s="8">
        <f>IF(A192="","",N192)</f>
        <v/>
      </c>
      <c r="H192" s="8">
        <f>IF(A192="","",Inputs!$B$3/((IF(G192="",Inputs!$B$14,G192)+Inputs!$B$4)^Inputs!$B$5))</f>
        <v/>
      </c>
      <c r="I192" s="8">
        <f>IF(A192="","",2.78E-7*F192*D192*H192)</f>
        <v/>
      </c>
      <c r="J192" s="4" t="n"/>
      <c r="K192" s="4" t="n"/>
      <c r="L192" s="5" t="n"/>
      <c r="M192" s="9">
        <f>IF(A192="","",IF(OR(J192="",Inputs!$B$59=""),0,IFERROR(INDEX(Elements_hybrides!$F$4:$F$204,MATCH(J192,Elements_hybrides!$A$4:$A$204,0))/(Inputs!$B$59*60),0)))</f>
        <v/>
      </c>
      <c r="N192" s="9">
        <f>IF(A192="","",IF(L192="",Inputs!$B$14,L192)+M192)</f>
        <v/>
      </c>
    </row>
    <row r="193">
      <c r="A193" s="4" t="n"/>
      <c r="B193" s="4" t="n"/>
      <c r="C193" s="4" t="n"/>
      <c r="D193" s="7" t="n"/>
      <c r="E193" s="7" t="n"/>
      <c r="F193" s="8">
        <f>IF(E193&lt;&gt;"",E193,IF(UPPER(TRIM(C193))="BASIN",IF(UPPER(TRIM(Inputs!$B$52))="YES",Inputs!$B$12,0),IF(UPPER(TRIM(C193))="ROOF",Inputs!$B$10,IF(UPPER(TRIM(C193))="PAVAGE",Inputs!$B$58,IF(UPPER(TRIM(C193))="TRESFOND",Inputs!$B$11,IF(UPPER(TRIM(C193))="GRASS",Inputs!$B$12,Inputs!$B$13))))))</f>
        <v/>
      </c>
      <c r="G193" s="8">
        <f>IF(A193="","",N193)</f>
        <v/>
      </c>
      <c r="H193" s="8">
        <f>IF(A193="","",Inputs!$B$3/((IF(G193="",Inputs!$B$14,G193)+Inputs!$B$4)^Inputs!$B$5))</f>
        <v/>
      </c>
      <c r="I193" s="8">
        <f>IF(A193="","",2.78E-7*F193*D193*H193)</f>
        <v/>
      </c>
      <c r="J193" s="4" t="n"/>
      <c r="K193" s="4" t="n"/>
      <c r="L193" s="5" t="n"/>
      <c r="M193" s="9">
        <f>IF(A193="","",IF(OR(J193="",Inputs!$B$59=""),0,IFERROR(INDEX(Elements_hybrides!$F$4:$F$204,MATCH(J193,Elements_hybrides!$A$4:$A$204,0))/(Inputs!$B$59*60),0)))</f>
        <v/>
      </c>
      <c r="N193" s="9">
        <f>IF(A193="","",IF(L193="",Inputs!$B$14,L193)+M193)</f>
        <v/>
      </c>
    </row>
    <row r="194">
      <c r="A194" s="4" t="n"/>
      <c r="B194" s="4" t="n"/>
      <c r="C194" s="4" t="n"/>
      <c r="D194" s="7" t="n"/>
      <c r="E194" s="7" t="n"/>
      <c r="F194" s="8">
        <f>IF(E194&lt;&gt;"",E194,IF(UPPER(TRIM(C194))="BASIN",IF(UPPER(TRIM(Inputs!$B$52))="YES",Inputs!$B$12,0),IF(UPPER(TRIM(C194))="ROOF",Inputs!$B$10,IF(UPPER(TRIM(C194))="PAVAGE",Inputs!$B$58,IF(UPPER(TRIM(C194))="TRESFOND",Inputs!$B$11,IF(UPPER(TRIM(C194))="GRASS",Inputs!$B$12,Inputs!$B$13))))))</f>
        <v/>
      </c>
      <c r="G194" s="8">
        <f>IF(A194="","",N194)</f>
        <v/>
      </c>
      <c r="H194" s="8">
        <f>IF(A194="","",Inputs!$B$3/((IF(G194="",Inputs!$B$14,G194)+Inputs!$B$4)^Inputs!$B$5))</f>
        <v/>
      </c>
      <c r="I194" s="8">
        <f>IF(A194="","",2.78E-7*F194*D194*H194)</f>
        <v/>
      </c>
      <c r="J194" s="4" t="n"/>
      <c r="K194" s="4" t="n"/>
      <c r="L194" s="5" t="n"/>
      <c r="M194" s="9">
        <f>IF(A194="","",IF(OR(J194="",Inputs!$B$59=""),0,IFERROR(INDEX(Elements_hybrides!$F$4:$F$204,MATCH(J194,Elements_hybrides!$A$4:$A$204,0))/(Inputs!$B$59*60),0)))</f>
        <v/>
      </c>
      <c r="N194" s="9">
        <f>IF(A194="","",IF(L194="",Inputs!$B$14,L194)+M194)</f>
        <v/>
      </c>
    </row>
    <row r="195">
      <c r="A195" s="4" t="n"/>
      <c r="B195" s="4" t="n"/>
      <c r="C195" s="4" t="n"/>
      <c r="D195" s="7" t="n"/>
      <c r="E195" s="7" t="n"/>
      <c r="F195" s="8">
        <f>IF(E195&lt;&gt;"",E195,IF(UPPER(TRIM(C195))="BASIN",IF(UPPER(TRIM(Inputs!$B$52))="YES",Inputs!$B$12,0),IF(UPPER(TRIM(C195))="ROOF",Inputs!$B$10,IF(UPPER(TRIM(C195))="PAVAGE",Inputs!$B$58,IF(UPPER(TRIM(C195))="TRESFOND",Inputs!$B$11,IF(UPPER(TRIM(C195))="GRASS",Inputs!$B$12,Inputs!$B$13))))))</f>
        <v/>
      </c>
      <c r="G195" s="8">
        <f>IF(A195="","",N195)</f>
        <v/>
      </c>
      <c r="H195" s="8">
        <f>IF(A195="","",Inputs!$B$3/((IF(G195="",Inputs!$B$14,G195)+Inputs!$B$4)^Inputs!$B$5))</f>
        <v/>
      </c>
      <c r="I195" s="8">
        <f>IF(A195="","",2.78E-7*F195*D195*H195)</f>
        <v/>
      </c>
      <c r="J195" s="4" t="n"/>
      <c r="K195" s="4" t="n"/>
      <c r="L195" s="5" t="n"/>
      <c r="M195" s="9">
        <f>IF(A195="","",IF(OR(J195="",Inputs!$B$59=""),0,IFERROR(INDEX(Elements_hybrides!$F$4:$F$204,MATCH(J195,Elements_hybrides!$A$4:$A$204,0))/(Inputs!$B$59*60),0)))</f>
        <v/>
      </c>
      <c r="N195" s="9">
        <f>IF(A195="","",IF(L195="",Inputs!$B$14,L195)+M195)</f>
        <v/>
      </c>
    </row>
    <row r="196">
      <c r="A196" s="4" t="n"/>
      <c r="B196" s="4" t="n"/>
      <c r="C196" s="4" t="n"/>
      <c r="D196" s="7" t="n"/>
      <c r="E196" s="7" t="n"/>
      <c r="F196" s="8">
        <f>IF(E196&lt;&gt;"",E196,IF(UPPER(TRIM(C196))="BASIN",IF(UPPER(TRIM(Inputs!$B$52))="YES",Inputs!$B$12,0),IF(UPPER(TRIM(C196))="ROOF",Inputs!$B$10,IF(UPPER(TRIM(C196))="PAVAGE",Inputs!$B$58,IF(UPPER(TRIM(C196))="TRESFOND",Inputs!$B$11,IF(UPPER(TRIM(C196))="GRASS",Inputs!$B$12,Inputs!$B$13))))))</f>
        <v/>
      </c>
      <c r="G196" s="8">
        <f>IF(A196="","",N196)</f>
        <v/>
      </c>
      <c r="H196" s="8">
        <f>IF(A196="","",Inputs!$B$3/((IF(G196="",Inputs!$B$14,G196)+Inputs!$B$4)^Inputs!$B$5))</f>
        <v/>
      </c>
      <c r="I196" s="8">
        <f>IF(A196="","",2.78E-7*F196*D196*H196)</f>
        <v/>
      </c>
      <c r="J196" s="4" t="n"/>
      <c r="K196" s="4" t="n"/>
      <c r="L196" s="5" t="n"/>
      <c r="M196" s="9">
        <f>IF(A196="","",IF(OR(J196="",Inputs!$B$59=""),0,IFERROR(INDEX(Elements_hybrides!$F$4:$F$204,MATCH(J196,Elements_hybrides!$A$4:$A$204,0))/(Inputs!$B$59*60),0)))</f>
        <v/>
      </c>
      <c r="N196" s="9">
        <f>IF(A196="","",IF(L196="",Inputs!$B$14,L196)+M196)</f>
        <v/>
      </c>
    </row>
    <row r="197">
      <c r="A197" s="4" t="n"/>
      <c r="B197" s="4" t="n"/>
      <c r="C197" s="4" t="n"/>
      <c r="D197" s="7" t="n"/>
      <c r="E197" s="7" t="n"/>
      <c r="F197" s="8">
        <f>IF(E197&lt;&gt;"",E197,IF(UPPER(TRIM(C197))="BASIN",IF(UPPER(TRIM(Inputs!$B$52))="YES",Inputs!$B$12,0),IF(UPPER(TRIM(C197))="ROOF",Inputs!$B$10,IF(UPPER(TRIM(C197))="PAVAGE",Inputs!$B$58,IF(UPPER(TRIM(C197))="TRESFOND",Inputs!$B$11,IF(UPPER(TRIM(C197))="GRASS",Inputs!$B$12,Inputs!$B$13))))))</f>
        <v/>
      </c>
      <c r="G197" s="8">
        <f>IF(A197="","",N197)</f>
        <v/>
      </c>
      <c r="H197" s="8">
        <f>IF(A197="","",Inputs!$B$3/((IF(G197="",Inputs!$B$14,G197)+Inputs!$B$4)^Inputs!$B$5))</f>
        <v/>
      </c>
      <c r="I197" s="8">
        <f>IF(A197="","",2.78E-7*F197*D197*H197)</f>
        <v/>
      </c>
      <c r="J197" s="4" t="n"/>
      <c r="K197" s="4" t="n"/>
      <c r="L197" s="5" t="n"/>
      <c r="M197" s="9">
        <f>IF(A197="","",IF(OR(J197="",Inputs!$B$59=""),0,IFERROR(INDEX(Elements_hybrides!$F$4:$F$204,MATCH(J197,Elements_hybrides!$A$4:$A$204,0))/(Inputs!$B$59*60),0)))</f>
        <v/>
      </c>
      <c r="N197" s="9">
        <f>IF(A197="","",IF(L197="",Inputs!$B$14,L197)+M197)</f>
        <v/>
      </c>
    </row>
    <row r="198">
      <c r="A198" s="4" t="n"/>
      <c r="B198" s="4" t="n"/>
      <c r="C198" s="4" t="n"/>
      <c r="D198" s="7" t="n"/>
      <c r="E198" s="7" t="n"/>
      <c r="F198" s="8">
        <f>IF(E198&lt;&gt;"",E198,IF(UPPER(TRIM(C198))="BASIN",IF(UPPER(TRIM(Inputs!$B$52))="YES",Inputs!$B$12,0),IF(UPPER(TRIM(C198))="ROOF",Inputs!$B$10,IF(UPPER(TRIM(C198))="PAVAGE",Inputs!$B$58,IF(UPPER(TRIM(C198))="TRESFOND",Inputs!$B$11,IF(UPPER(TRIM(C198))="GRASS",Inputs!$B$12,Inputs!$B$13))))))</f>
        <v/>
      </c>
      <c r="G198" s="8">
        <f>IF(A198="","",N198)</f>
        <v/>
      </c>
      <c r="H198" s="8">
        <f>IF(A198="","",Inputs!$B$3/((IF(G198="",Inputs!$B$14,G198)+Inputs!$B$4)^Inputs!$B$5))</f>
        <v/>
      </c>
      <c r="I198" s="8">
        <f>IF(A198="","",2.78E-7*F198*D198*H198)</f>
        <v/>
      </c>
      <c r="J198" s="4" t="n"/>
      <c r="K198" s="4" t="n"/>
      <c r="L198" s="5" t="n"/>
      <c r="M198" s="9">
        <f>IF(A198="","",IF(OR(J198="",Inputs!$B$59=""),0,IFERROR(INDEX(Elements_hybrides!$F$4:$F$204,MATCH(J198,Elements_hybrides!$A$4:$A$204,0))/(Inputs!$B$59*60),0)))</f>
        <v/>
      </c>
      <c r="N198" s="9">
        <f>IF(A198="","",IF(L198="",Inputs!$B$14,L198)+M198)</f>
        <v/>
      </c>
    </row>
    <row r="199">
      <c r="A199" s="4" t="n"/>
      <c r="B199" s="4" t="n"/>
      <c r="C199" s="4" t="n"/>
      <c r="D199" s="7" t="n"/>
      <c r="E199" s="7" t="n"/>
      <c r="F199" s="8">
        <f>IF(E199&lt;&gt;"",E199,IF(UPPER(TRIM(C199))="BASIN",IF(UPPER(TRIM(Inputs!$B$52))="YES",Inputs!$B$12,0),IF(UPPER(TRIM(C199))="ROOF",Inputs!$B$10,IF(UPPER(TRIM(C199))="PAVAGE",Inputs!$B$58,IF(UPPER(TRIM(C199))="TRESFOND",Inputs!$B$11,IF(UPPER(TRIM(C199))="GRASS",Inputs!$B$12,Inputs!$B$13))))))</f>
        <v/>
      </c>
      <c r="G199" s="8">
        <f>IF(A199="","",N199)</f>
        <v/>
      </c>
      <c r="H199" s="8">
        <f>IF(A199="","",Inputs!$B$3/((IF(G199="",Inputs!$B$14,G199)+Inputs!$B$4)^Inputs!$B$5))</f>
        <v/>
      </c>
      <c r="I199" s="8">
        <f>IF(A199="","",2.78E-7*F199*D199*H199)</f>
        <v/>
      </c>
      <c r="J199" s="4" t="n"/>
      <c r="K199" s="4" t="n"/>
      <c r="L199" s="5" t="n"/>
      <c r="M199" s="9">
        <f>IF(A199="","",IF(OR(J199="",Inputs!$B$59=""),0,IFERROR(INDEX(Elements_hybrides!$F$4:$F$204,MATCH(J199,Elements_hybrides!$A$4:$A$204,0))/(Inputs!$B$59*60),0)))</f>
        <v/>
      </c>
      <c r="N199" s="9">
        <f>IF(A199="","",IF(L199="",Inputs!$B$14,L199)+M199)</f>
        <v/>
      </c>
    </row>
    <row r="200">
      <c r="A200" s="4" t="n"/>
      <c r="B200" s="4" t="n"/>
      <c r="C200" s="4" t="n"/>
      <c r="D200" s="7" t="n"/>
      <c r="E200" s="7" t="n"/>
      <c r="F200" s="8">
        <f>IF(E200&lt;&gt;"",E200,IF(UPPER(TRIM(C200))="BASIN",IF(UPPER(TRIM(Inputs!$B$52))="YES",Inputs!$B$12,0),IF(UPPER(TRIM(C200))="ROOF",Inputs!$B$10,IF(UPPER(TRIM(C200))="PAVAGE",Inputs!$B$58,IF(UPPER(TRIM(C200))="TRESFOND",Inputs!$B$11,IF(UPPER(TRIM(C200))="GRASS",Inputs!$B$12,Inputs!$B$13))))))</f>
        <v/>
      </c>
      <c r="G200" s="8">
        <f>IF(A200="","",N200)</f>
        <v/>
      </c>
      <c r="H200" s="8">
        <f>IF(A200="","",Inputs!$B$3/((IF(G200="",Inputs!$B$14,G200)+Inputs!$B$4)^Inputs!$B$5))</f>
        <v/>
      </c>
      <c r="I200" s="8">
        <f>IF(A200="","",2.78E-7*F200*D200*H200)</f>
        <v/>
      </c>
      <c r="J200" s="4" t="n"/>
      <c r="K200" s="4" t="n"/>
      <c r="L200" s="5" t="n"/>
      <c r="M200" s="9">
        <f>IF(A200="","",IF(OR(J200="",Inputs!$B$59=""),0,IFERROR(INDEX(Elements_hybrides!$F$4:$F$204,MATCH(J200,Elements_hybrides!$A$4:$A$204,0))/(Inputs!$B$59*60),0)))</f>
        <v/>
      </c>
      <c r="N200" s="9">
        <f>IF(A200="","",IF(L200="",Inputs!$B$14,L200)+M200)</f>
        <v/>
      </c>
    </row>
    <row r="201">
      <c r="A201" s="4" t="n"/>
      <c r="B201" s="4" t="n"/>
      <c r="C201" s="4" t="n"/>
      <c r="D201" s="7" t="n"/>
      <c r="E201" s="7" t="n"/>
      <c r="F201" s="8">
        <f>IF(E201&lt;&gt;"",E201,IF(UPPER(TRIM(C201))="BASIN",IF(UPPER(TRIM(Inputs!$B$52))="YES",Inputs!$B$12,0),IF(UPPER(TRIM(C201))="ROOF",Inputs!$B$10,IF(UPPER(TRIM(C201))="PAVAGE",Inputs!$B$58,IF(UPPER(TRIM(C201))="TRESFOND",Inputs!$B$11,IF(UPPER(TRIM(C201))="GRASS",Inputs!$B$12,Inputs!$B$13))))))</f>
        <v/>
      </c>
      <c r="G201" s="8">
        <f>IF(A201="","",N201)</f>
        <v/>
      </c>
      <c r="H201" s="8">
        <f>IF(A201="","",Inputs!$B$3/((IF(G201="",Inputs!$B$14,G201)+Inputs!$B$4)^Inputs!$B$5))</f>
        <v/>
      </c>
      <c r="I201" s="8">
        <f>IF(A201="","",2.78E-7*F201*D201*H201)</f>
        <v/>
      </c>
      <c r="J201" s="4" t="n"/>
      <c r="K201" s="4" t="n"/>
      <c r="L201" s="5" t="n"/>
      <c r="M201" s="9">
        <f>IF(A201="","",IF(OR(J201="",Inputs!$B$59=""),0,IFERROR(INDEX(Elements_hybrides!$F$4:$F$204,MATCH(J201,Elements_hybrides!$A$4:$A$204,0))/(Inputs!$B$59*60),0)))</f>
        <v/>
      </c>
      <c r="N201" s="9">
        <f>IF(A201="","",IF(L201="",Inputs!$B$14,L201)+M201)</f>
        <v/>
      </c>
    </row>
    <row r="202">
      <c r="A202" s="4" t="n"/>
      <c r="B202" s="4" t="n"/>
      <c r="C202" s="4" t="n"/>
      <c r="D202" s="7" t="n"/>
      <c r="E202" s="7" t="n"/>
      <c r="F202" s="8">
        <f>IF(E202&lt;&gt;"",E202,IF(UPPER(TRIM(C202))="BASIN",IF(UPPER(TRIM(Inputs!$B$52))="YES",Inputs!$B$12,0),IF(UPPER(TRIM(C202))="ROOF",Inputs!$B$10,IF(UPPER(TRIM(C202))="PAVAGE",Inputs!$B$58,IF(UPPER(TRIM(C202))="TRESFOND",Inputs!$B$11,IF(UPPER(TRIM(C202))="GRASS",Inputs!$B$12,Inputs!$B$13))))))</f>
        <v/>
      </c>
      <c r="G202" s="8">
        <f>IF(A202="","",N202)</f>
        <v/>
      </c>
      <c r="H202" s="8">
        <f>IF(A202="","",Inputs!$B$3/((IF(G202="",Inputs!$B$14,G202)+Inputs!$B$4)^Inputs!$B$5))</f>
        <v/>
      </c>
      <c r="I202" s="8">
        <f>IF(A202="","",2.78E-7*F202*D202*H202)</f>
        <v/>
      </c>
      <c r="J202" s="4" t="n"/>
      <c r="K202" s="4" t="n"/>
      <c r="L202" s="5" t="n"/>
      <c r="M202" s="9">
        <f>IF(A202="","",IF(OR(J202="",Inputs!$B$59=""),0,IFERROR(INDEX(Elements_hybrides!$F$4:$F$204,MATCH(J202,Elements_hybrides!$A$4:$A$204,0))/(Inputs!$B$59*60),0)))</f>
        <v/>
      </c>
      <c r="N202" s="9">
        <f>IF(A202="","",IF(L202="",Inputs!$B$14,L202)+M202)</f>
        <v/>
      </c>
    </row>
    <row r="203">
      <c r="A203" s="4" t="n"/>
      <c r="B203" s="4" t="n"/>
      <c r="C203" s="4" t="n"/>
      <c r="D203" s="7" t="n"/>
      <c r="E203" s="7" t="n"/>
      <c r="F203" s="8">
        <f>IF(E203&lt;&gt;"",E203,IF(UPPER(TRIM(C203))="BASIN",IF(UPPER(TRIM(Inputs!$B$52))="YES",Inputs!$B$12,0),IF(UPPER(TRIM(C203))="ROOF",Inputs!$B$10,IF(UPPER(TRIM(C203))="PAVAGE",Inputs!$B$58,IF(UPPER(TRIM(C203))="TRESFOND",Inputs!$B$11,IF(UPPER(TRIM(C203))="GRASS",Inputs!$B$12,Inputs!$B$13))))))</f>
        <v/>
      </c>
      <c r="G203" s="8">
        <f>IF(A203="","",N203)</f>
        <v/>
      </c>
      <c r="H203" s="8">
        <f>IF(A203="","",Inputs!$B$3/((IF(G203="",Inputs!$B$14,G203)+Inputs!$B$4)^Inputs!$B$5))</f>
        <v/>
      </c>
      <c r="I203" s="8">
        <f>IF(A203="","",2.78E-7*F203*D203*H203)</f>
        <v/>
      </c>
      <c r="J203" s="4" t="n"/>
      <c r="K203" s="4" t="n"/>
      <c r="L203" s="5" t="n"/>
      <c r="M203" s="9">
        <f>IF(A203="","",IF(OR(J203="",Inputs!$B$59=""),0,IFERROR(INDEX(Elements_hybrides!$F$4:$F$204,MATCH(J203,Elements_hybrides!$A$4:$A$204,0))/(Inputs!$B$59*60),0)))</f>
        <v/>
      </c>
      <c r="N203" s="9">
        <f>IF(A203="","",IF(L203="",Inputs!$B$14,L203)+M203)</f>
        <v/>
      </c>
    </row>
    <row r="204">
      <c r="A204" s="4" t="n"/>
      <c r="B204" s="4" t="n"/>
      <c r="C204" s="4" t="n"/>
      <c r="D204" s="7" t="n"/>
      <c r="E204" s="7" t="n"/>
      <c r="F204" s="8">
        <f>IF(E204&lt;&gt;"",E204,IF(UPPER(TRIM(C204))="BASIN",IF(UPPER(TRIM(Inputs!$B$52))="YES",Inputs!$B$12,0),IF(UPPER(TRIM(C204))="ROOF",Inputs!$B$10,IF(UPPER(TRIM(C204))="PAVAGE",Inputs!$B$58,IF(UPPER(TRIM(C204))="TRESFOND",Inputs!$B$11,IF(UPPER(TRIM(C204))="GRASS",Inputs!$B$12,Inputs!$B$13))))))</f>
        <v/>
      </c>
      <c r="G204" s="8">
        <f>IF(A204="","",N204)</f>
        <v/>
      </c>
      <c r="H204" s="8">
        <f>IF(A204="","",Inputs!$B$3/((IF(G204="",Inputs!$B$14,G204)+Inputs!$B$4)^Inputs!$B$5))</f>
        <v/>
      </c>
      <c r="I204" s="8">
        <f>IF(A204="","",2.78E-7*F204*D204*H204)</f>
        <v/>
      </c>
      <c r="J204" s="4" t="n"/>
      <c r="K204" s="4" t="n"/>
      <c r="L204" s="5" t="n"/>
      <c r="M204" s="9">
        <f>IF(A204="","",IF(OR(J204="",Inputs!$B$59=""),0,IFERROR(INDEX(Elements_hybrides!$F$4:$F$204,MATCH(J204,Elements_hybrides!$A$4:$A$204,0))/(Inputs!$B$59*60),0)))</f>
        <v/>
      </c>
      <c r="N204" s="9">
        <f>IF(A204="","",IF(L204="",Inputs!$B$14,L204)+M204)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9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2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11" customWidth="1" min="26" max="26"/>
    <col width="9" customWidth="1" min="27" max="27"/>
    <col width="34" customWidth="1" min="28" max="28"/>
    <col width="15" customWidth="1" min="29" max="29"/>
    <col width="13" customWidth="1" min="30" max="30"/>
    <col width="11" customWidth="1" min="31" max="31"/>
    <col width="14" customWidth="1" min="32" max="32"/>
    <col width="12" customWidth="1" min="33" max="33"/>
    <col width="12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" t="inlineStr">
        <is>
          <t>DIMENSIONNEMENT ELEMENTS HYBRIDES (PIPE / SWALE / TRENCH)</t>
        </is>
      </c>
    </row>
    <row r="2">
      <c r="A2" s="2" t="inlineStr">
        <is>
          <t>Legend: PIPE=blue, SWALE=green, TRENCH=orange, CHECK=red; AH connection status and AL drop check use Inputs!B54:B56 thresholds.</t>
        </is>
      </c>
    </row>
    <row r="3">
      <c r="A3" s="6" t="inlineStr">
        <is>
          <t>Element_ID</t>
        </is>
      </c>
      <c r="B3" s="6" t="inlineStr">
        <is>
          <t>Type</t>
        </is>
      </c>
      <c r="C3" s="6" t="inlineStr">
        <is>
          <t>From_Node</t>
        </is>
      </c>
      <c r="D3" s="6" t="inlineStr">
        <is>
          <t>To_Node</t>
        </is>
      </c>
      <c r="E3" s="6" t="inlineStr">
        <is>
          <t>Receives_into_Element_ID</t>
        </is>
      </c>
      <c r="F3" s="6" t="inlineStr">
        <is>
          <t>Length_m</t>
        </is>
      </c>
      <c r="G3" s="6" t="inlineStr">
        <is>
          <t>Slope_m/m</t>
        </is>
      </c>
      <c r="H3" s="6" t="inlineStr">
        <is>
          <t>n_override</t>
        </is>
      </c>
      <c r="I3" s="6" t="inlineStr">
        <is>
          <t>n_used</t>
        </is>
      </c>
      <c r="J3" s="6" t="inlineStr">
        <is>
          <t>Dia_pipe_mm</t>
        </is>
      </c>
      <c r="K3" s="6" t="inlineStr">
        <is>
          <t>Base_width_m</t>
        </is>
      </c>
      <c r="L3" s="6" t="inlineStr">
        <is>
          <t>Flow_depth_m</t>
        </is>
      </c>
      <c r="M3" s="6" t="inlineStr">
        <is>
          <t>Side_slope_z</t>
        </is>
      </c>
      <c r="N3" s="6" t="inlineStr">
        <is>
          <t>Porosity_trench</t>
        </is>
      </c>
      <c r="O3" s="6" t="inlineStr">
        <is>
          <t>Q_local_from_zones_m3s</t>
        </is>
      </c>
      <c r="P3" s="6" t="inlineStr">
        <is>
          <t>Q_upstream_m3s</t>
        </is>
      </c>
      <c r="Q3" s="6" t="inlineStr">
        <is>
          <t>Q_design_m3s</t>
        </is>
      </c>
      <c r="R3" s="6" t="inlineStr">
        <is>
          <t>Area_flow_m2</t>
        </is>
      </c>
      <c r="S3" s="6" t="inlineStr">
        <is>
          <t>Hydraulic_radius_m</t>
        </is>
      </c>
      <c r="T3" s="6" t="inlineStr">
        <is>
          <t>Capacity_m3s</t>
        </is>
      </c>
      <c r="U3" s="6" t="inlineStr">
        <is>
          <t>Q_over_capacity_ratio</t>
        </is>
      </c>
      <c r="V3" s="6" t="inlineStr">
        <is>
          <t>Velocity_design_QA_mps</t>
        </is>
      </c>
      <c r="W3" s="6" t="inlineStr">
        <is>
          <t>Velocity_manning_mps</t>
        </is>
      </c>
      <c r="X3" s="6" t="inlineStr">
        <is>
          <t>Velocity_used_mps</t>
        </is>
      </c>
      <c r="Y3" s="6" t="inlineStr">
        <is>
          <t>Storage_per_m_m3</t>
        </is>
      </c>
      <c r="Z3" s="6" t="inlineStr">
        <is>
          <t>Storage_total_m3</t>
        </is>
      </c>
      <c r="AA3" s="6" t="inlineStr">
        <is>
          <t>Check</t>
        </is>
      </c>
      <c r="AB3" s="6" t="inlineStr">
        <is>
          <t>Notes</t>
        </is>
      </c>
      <c r="AC3" s="6" t="inlineStr">
        <is>
          <t>Invert_down_override_m</t>
        </is>
      </c>
      <c r="AD3" s="6" t="inlineStr">
        <is>
          <t>Invert_down_used_m</t>
        </is>
      </c>
      <c r="AE3" s="6" t="inlineStr">
        <is>
          <t>Invert_up_m</t>
        </is>
      </c>
      <c r="AF3" s="6" t="inlineStr">
        <is>
          <t>Downstream_invert_up_m</t>
        </is>
      </c>
      <c r="AG3" s="6" t="inlineStr">
        <is>
          <t>Connection_delta_m</t>
        </is>
      </c>
      <c r="AH3" s="6" t="inlineStr">
        <is>
          <t>Connection_status</t>
        </is>
      </c>
      <c r="AI3" s="6" t="inlineStr">
        <is>
          <t>Downstream_type</t>
        </is>
      </c>
      <c r="AJ3" s="6" t="inlineStr">
        <is>
          <t>Drop_min_req_m</t>
        </is>
      </c>
      <c r="AK3" s="6" t="inlineStr">
        <is>
          <t>Drop_max_req_m</t>
        </is>
      </c>
      <c r="AL3" s="6" t="inlineStr">
        <is>
          <t>Drop_check_status</t>
        </is>
      </c>
    </row>
    <row r="4">
      <c r="A4" s="4" t="inlineStr">
        <is>
          <t>E01</t>
        </is>
      </c>
      <c r="B4" s="4" t="inlineStr">
        <is>
          <t>TRENCH</t>
        </is>
      </c>
      <c r="C4" s="4" t="inlineStr">
        <is>
          <t>P-01</t>
        </is>
      </c>
      <c r="D4" s="4" t="inlineStr">
        <is>
          <t>P-02</t>
        </is>
      </c>
      <c r="E4" s="4" t="inlineStr">
        <is>
          <t>E02</t>
        </is>
      </c>
      <c r="F4" s="7" t="n">
        <v>9.6</v>
      </c>
      <c r="G4" s="7">
        <f>Inputs!$B$33</f>
        <v/>
      </c>
      <c r="H4" s="7" t="inlineStr"/>
      <c r="I4" s="8">
        <f>IF(A4="","",IF(H4&lt;&gt;"",H4,IF(UPPER(TRIM(B4))="PIPE",Inputs!$B$7,IF(UPPER(TRIM(B4))="SWALE",Inputs!$B$8,Inputs!$B$9))))</f>
        <v/>
      </c>
      <c r="J4" s="7">
        <f>Inputs!$B$30</f>
        <v/>
      </c>
      <c r="K4" s="7">
        <f>Inputs!$B$28</f>
        <v/>
      </c>
      <c r="L4" s="7">
        <f>Inputs!$B$29</f>
        <v/>
      </c>
      <c r="M4" s="7" t="n">
        <v>0</v>
      </c>
      <c r="N4" s="7">
        <f>Inputs!$B$22</f>
        <v/>
      </c>
      <c r="O4" s="8">
        <f>IF(A4="","",SUMIFS(Zones_tributaires!$I:$I,Zones_tributaires!$J:$J,$A4))</f>
        <v/>
      </c>
      <c r="P4" s="8">
        <f>IF(A4="","",SUMIFS($Q$4:$Q$204,$E$4:$E$204,$A4))</f>
        <v/>
      </c>
      <c r="Q4" s="8">
        <f>IF(A4="","",(O4+P4)*Inputs!$B$6)</f>
        <v/>
      </c>
      <c r="R4" s="8">
        <f>IF(A4="","",IF(UPPER(TRIM(B4))="PIPE",PI()*(J4/1000)^2/4,IF(OR(K4="",L4=""),"",L4*(K4+M4*L4))))</f>
        <v/>
      </c>
      <c r="S4" s="8">
        <f>IF(A4="","",IF(UPPER(TRIM(B4))="PIPE",(J4/1000)/4,IF(OR(R4="",K4="",L4=""),"",R4/(K4+2*L4*SQRT(1+M4^2)))))</f>
        <v/>
      </c>
      <c r="T4" s="8">
        <f>IF(A4="","",IF(OR(I4="",R4="",S4="",G4=""),"",(1/I4)*R4*(S4^(2/3))*SQRT(G4)))</f>
        <v/>
      </c>
      <c r="U4" s="8">
        <f>IF(OR(T4="",Q4=""),"",Q4/(T4*Inputs!$B$19))</f>
        <v/>
      </c>
      <c r="V4" s="8">
        <f>IF(OR(R4="",Q4=""),"",Q4/R4)</f>
        <v/>
      </c>
      <c r="W4" s="8">
        <f>IF(OR(R4="",T4=""),"",T4/R4)</f>
        <v/>
      </c>
      <c r="X4" s="8">
        <f>IF(A4="","",IF(OR(UPPER(TRIM(Inputs!$B$15))="MANNING",UPPER(TRIM(Inputs!$B$15))="M"),W4,IF(OR(UPPER(TRIM(Inputs!$B$15))="MAX",UPPER(TRIM(Inputs!$B$15))="X"),MAX(V4,W4),V4)))</f>
        <v/>
      </c>
      <c r="Y4" s="8">
        <f>IF(A4="","",IF(UPPER(TRIM(B4))="TRENCH",K4*L4*N4,IF(UPPER(TRIM(B4))="SWALE",K4*L4,0)))</f>
        <v/>
      </c>
      <c r="Z4" s="8">
        <f>IF(OR(Y4="",F4=""),"",Y4*F4)</f>
        <v/>
      </c>
      <c r="AA4" s="4">
        <f>IF(A4="","",IF(OR(U4&gt;1,AND(X4&lt;&gt;"",X4&lt;Inputs!$B$16),AND(X4&lt;&gt;"",X4&gt;Inputs!$B$17),G4&lt;Inputs!$B$18,AH4="CHECK"),"CHECK","OK"))</f>
        <v/>
      </c>
      <c r="AB4" s="4" t="inlineStr">
        <is>
          <t>Longueur corrigee selon plan: P-01 -&gt; P-02 = 9.6 m.</t>
        </is>
      </c>
      <c r="AC4" s="7" t="n"/>
      <c r="AD4" s="8">
        <f>IF(A4="","",IF(AC4&lt;&gt;"",AC4,IF(E4="",Inputs!$B$38,IFERROR(INDEX($AE$4:$AE$204,MATCH(E4,$A$4:$A$204,0))+IF(OR(AND(UPPER(TRIM(B4))="SWALE",UPPER(TRIM(AI4))="PIPE"),AND(UPPER(TRIM(B4))="TRENCH",UPPER(TRIM(AI4))="PIPE")),Inputs!$B$57,0),""))))</f>
        <v/>
      </c>
      <c r="AE4" s="8">
        <f>IF(OR(AD4="",F4="",G4=""),"",AD4+F4*G4)</f>
        <v/>
      </c>
      <c r="AF4" s="8">
        <f>IF(OR(E4="",A4=""),"",IFERROR(INDEX($AE$4:$AE$204,MATCH(E4,$A$4:$A$204,0)),""))</f>
        <v/>
      </c>
      <c r="AG4" s="8">
        <f>IF(OR(AD4="",AF4=""),"",AD4-AF4)</f>
        <v/>
      </c>
      <c r="AH4" s="4">
        <f>IF(A4="","",IF(E4="","TERMINAL",IF(OR(AND(UPPER(TRIM(B4))="SWALE",UPPER(TRIM(AI4))="PIPE"),AND(UPPER(TRIM(B4))="TRENCH",UPPER(TRIM(AI4))="PIPE")),IF(OR(AG4="",AJ4="",AK4=""),"INFO",IF(AND(AG4&gt;=AJ4,AG4&lt;=AK4),"OK","CHECK")),IF(AG4="","INFO",IF(ABS(AG4)&lt;=Inputs!$B$54,"OK","CHECK")))))</f>
        <v/>
      </c>
      <c r="AI4" s="17">
        <f>IF(A4="","",IF(E4="","",IFERROR(INDEX($B$4:$B$204,MATCH(E4,$A$4:$A$204,0)),"")))</f>
        <v/>
      </c>
      <c r="AJ4" s="17">
        <f>IF(A4="","",IF(OR(AND(UPPER(TRIM(B4))="SWALE",UPPER(TRIM(AI4))="PIPE"),AND(UPPER(TRIM(B4))="TRENCH",UPPER(TRIM(AI4))="PIPE")),Inputs!$B$55,0))</f>
        <v/>
      </c>
      <c r="AK4" s="17">
        <f>IF(A4="","",IF(OR(AND(UPPER(TRIM(B4))="SWALE",UPPER(TRIM(AI4))="PIPE"),AND(UPPER(TRIM(B4))="TRENCH",UPPER(TRIM(AI4))="PIPE")),Inputs!$B$56,Inputs!$B$54))</f>
        <v/>
      </c>
      <c r="AL4" s="4">
        <f>IF(A4="","",IF(E4="","TERMINAL",IF(OR(AND(UPPER(TRIM(B4))="SWALE",UPPER(TRIM(AI4))="PIPE"),AND(UPPER(TRIM(B4))="TRENCH",UPPER(TRIM(AI4))="PIPE")),IF(OR(AG4="",AJ4="",AK4=""),"INFO",IF(AND(AG4&gt;=AJ4,AG4&lt;=AK4),"OK","CHECK")),"N/A")))</f>
        <v/>
      </c>
    </row>
    <row r="5">
      <c r="A5" s="4" t="inlineStr">
        <is>
          <t>E02</t>
        </is>
      </c>
      <c r="B5" s="4" t="inlineStr">
        <is>
          <t>TRENCH</t>
        </is>
      </c>
      <c r="C5" s="4" t="inlineStr">
        <is>
          <t>P-02</t>
        </is>
      </c>
      <c r="D5" s="4" t="inlineStr">
        <is>
          <t>P-03</t>
        </is>
      </c>
      <c r="E5" s="4" t="inlineStr">
        <is>
          <t>E03</t>
        </is>
      </c>
      <c r="F5" s="7" t="n">
        <v>8.699999999999999</v>
      </c>
      <c r="G5" s="7">
        <f>Inputs!$B$33</f>
        <v/>
      </c>
      <c r="H5" s="7" t="inlineStr"/>
      <c r="I5" s="8">
        <f>IF(A5="","",IF(H5&lt;&gt;"",H5,IF(UPPER(TRIM(B5))="PIPE",Inputs!$B$7,IF(UPPER(TRIM(B5))="SWALE",Inputs!$B$8,Inputs!$B$9))))</f>
        <v/>
      </c>
      <c r="J5" s="7">
        <f>Inputs!$B$30</f>
        <v/>
      </c>
      <c r="K5" s="7">
        <f>Inputs!$B$28</f>
        <v/>
      </c>
      <c r="L5" s="7">
        <f>Inputs!$B$29</f>
        <v/>
      </c>
      <c r="M5" s="7" t="n">
        <v>0</v>
      </c>
      <c r="N5" s="7">
        <f>Inputs!$B$22</f>
        <v/>
      </c>
      <c r="O5" s="8">
        <f>IF(A5="","",SUMIFS(Zones_tributaires!$I:$I,Zones_tributaires!$J:$J,$A5))</f>
        <v/>
      </c>
      <c r="P5" s="8">
        <f>IF(A5="","",SUMIFS($Q$4:$Q$204,$E$4:$E$204,$A5))</f>
        <v/>
      </c>
      <c r="Q5" s="8">
        <f>IF(A5="","",(O5+P5)*Inputs!$B$6)</f>
        <v/>
      </c>
      <c r="R5" s="8">
        <f>IF(A5="","",IF(UPPER(TRIM(B5))="PIPE",PI()*(J5/1000)^2/4,IF(OR(K5="",L5=""),"",L5*(K5+M5*L5))))</f>
        <v/>
      </c>
      <c r="S5" s="8">
        <f>IF(A5="","",IF(UPPER(TRIM(B5))="PIPE",(J5/1000)/4,IF(OR(R5="",K5="",L5=""),"",R5/(K5+2*L5*SQRT(1+M5^2)))))</f>
        <v/>
      </c>
      <c r="T5" s="8">
        <f>IF(A5="","",IF(OR(I5="",R5="",S5="",G5=""),"",(1/I5)*R5*(S5^(2/3))*SQRT(G5)))</f>
        <v/>
      </c>
      <c r="U5" s="8">
        <f>IF(OR(T5="",Q5=""),"",Q5/(T5*Inputs!$B$19))</f>
        <v/>
      </c>
      <c r="V5" s="8">
        <f>IF(OR(R5="",Q5=""),"",Q5/R5)</f>
        <v/>
      </c>
      <c r="W5" s="8">
        <f>IF(OR(R5="",T5=""),"",T5/R5)</f>
        <v/>
      </c>
      <c r="X5" s="8">
        <f>IF(A5="","",IF(OR(UPPER(TRIM(Inputs!$B$15))="MANNING",UPPER(TRIM(Inputs!$B$15))="M"),W5,IF(OR(UPPER(TRIM(Inputs!$B$15))="MAX",UPPER(TRIM(Inputs!$B$15))="X"),MAX(V5,W5),V5)))</f>
        <v/>
      </c>
      <c r="Y5" s="8">
        <f>IF(A5="","",IF(UPPER(TRIM(B5))="TRENCH",K5*L5*N5,IF(UPPER(TRIM(B5))="SWALE",K5*L5,0)))</f>
        <v/>
      </c>
      <c r="Z5" s="8">
        <f>IF(OR(Y5="",F5=""),"",Y5*F5)</f>
        <v/>
      </c>
      <c r="AA5" s="4">
        <f>IF(A5="","",IF(OR(U5&gt;1,AND(X5&lt;&gt;"",X5&lt;Inputs!$B$16),AND(X5&lt;&gt;"",X5&gt;Inputs!$B$17),G5&lt;Inputs!$B$18,AH5="CHECK"),"CHECK","OK"))</f>
        <v/>
      </c>
      <c r="AB5" s="4" t="inlineStr">
        <is>
          <t>Longueur corrigee selon plan: P-02 -&gt; P-03 = 8.7 m.</t>
        </is>
      </c>
      <c r="AC5" s="7" t="n"/>
      <c r="AD5" s="8">
        <f>IF(A5="","",IF(AC5&lt;&gt;"",AC5,IF(E5="",Inputs!$B$38,IFERROR(INDEX($AE$4:$AE$204,MATCH(E5,$A$4:$A$204,0))+IF(OR(AND(UPPER(TRIM(B5))="SWALE",UPPER(TRIM(AI5))="PIPE"),AND(UPPER(TRIM(B5))="TRENCH",UPPER(TRIM(AI5))="PIPE")),Inputs!$B$57,0),""))))</f>
        <v/>
      </c>
      <c r="AE5" s="8">
        <f>IF(OR(AD5="",F5="",G5=""),"",AD5+F5*G5)</f>
        <v/>
      </c>
      <c r="AF5" s="8">
        <f>IF(OR(E5="",A5=""),"",IFERROR(INDEX($AE$4:$AE$204,MATCH(E5,$A$4:$A$204,0)),""))</f>
        <v/>
      </c>
      <c r="AG5" s="8">
        <f>IF(OR(AD5="",AF5=""),"",AD5-AF5)</f>
        <v/>
      </c>
      <c r="AH5" s="4">
        <f>IF(A5="","",IF(E5="","TERMINAL",IF(OR(AND(UPPER(TRIM(B5))="SWALE",UPPER(TRIM(AI5))="PIPE"),AND(UPPER(TRIM(B5))="TRENCH",UPPER(TRIM(AI5))="PIPE")),IF(OR(AG5="",AJ5="",AK5=""),"INFO",IF(AND(AG5&gt;=AJ5,AG5&lt;=AK5),"OK","CHECK")),IF(AG5="","INFO",IF(ABS(AG5)&lt;=Inputs!$B$54,"OK","CHECK")))))</f>
        <v/>
      </c>
      <c r="AI5" s="17">
        <f>IF(A5="","",IF(E5="","",IFERROR(INDEX($B$4:$B$204,MATCH(E5,$A$4:$A$204,0)),"")))</f>
        <v/>
      </c>
      <c r="AJ5" s="17">
        <f>IF(A5="","",IF(OR(AND(UPPER(TRIM(B5))="SWALE",UPPER(TRIM(AI5))="PIPE"),AND(UPPER(TRIM(B5))="TRENCH",UPPER(TRIM(AI5))="PIPE")),Inputs!$B$55,0))</f>
        <v/>
      </c>
      <c r="AK5" s="17">
        <f>IF(A5="","",IF(OR(AND(UPPER(TRIM(B5))="SWALE",UPPER(TRIM(AI5))="PIPE"),AND(UPPER(TRIM(B5))="TRENCH",UPPER(TRIM(AI5))="PIPE")),Inputs!$B$56,Inputs!$B$54))</f>
        <v/>
      </c>
      <c r="AL5" s="4">
        <f>IF(A5="","",IF(E5="","TERMINAL",IF(OR(AND(UPPER(TRIM(B5))="SWALE",UPPER(TRIM(AI5))="PIPE"),AND(UPPER(TRIM(B5))="TRENCH",UPPER(TRIM(AI5))="PIPE")),IF(OR(AG5="",AJ5="",AK5=""),"INFO",IF(AND(AG5&gt;=AJ5,AG5&lt;=AK5),"OK","CHECK")),"N/A")))</f>
        <v/>
      </c>
    </row>
    <row r="6">
      <c r="A6" s="4" t="inlineStr">
        <is>
          <t>E03</t>
        </is>
      </c>
      <c r="B6" s="4" t="inlineStr">
        <is>
          <t>PIPE</t>
        </is>
      </c>
      <c r="C6" s="4" t="inlineStr">
        <is>
          <t>P-03</t>
        </is>
      </c>
      <c r="D6" s="4" t="inlineStr">
        <is>
          <t>J-BASSIN-IN</t>
        </is>
      </c>
      <c r="E6" s="4" t="inlineStr">
        <is>
          <t>E07</t>
        </is>
      </c>
      <c r="F6" s="7" t="n">
        <v>16.1</v>
      </c>
      <c r="G6" s="7" t="n">
        <v>0.006</v>
      </c>
      <c r="H6" s="7" t="inlineStr"/>
      <c r="I6" s="8">
        <f>IF(A6="","",IF(H6&lt;&gt;"",H6,IF(UPPER(TRIM(B6))="PIPE",Inputs!$B$7,IF(UPPER(TRIM(B6))="SWALE",Inputs!$B$8,Inputs!$B$9))))</f>
        <v/>
      </c>
      <c r="J6" s="7" t="n">
        <v>450</v>
      </c>
      <c r="K6" s="7" t="inlineStr"/>
      <c r="L6" s="7" t="inlineStr"/>
      <c r="M6" s="7" t="inlineStr"/>
      <c r="N6" s="7" t="n">
        <v>0</v>
      </c>
      <c r="O6" s="8">
        <f>IF(A6="","",SUMIFS(Zones_tributaires!$I:$I,Zones_tributaires!$J:$J,$A6))</f>
        <v/>
      </c>
      <c r="P6" s="8">
        <f>IF(A6="","",SUMIFS($Q$4:$Q$204,$E$4:$E$204,$A6))</f>
        <v/>
      </c>
      <c r="Q6" s="8">
        <f>IF(A6="","",(O6+P6)*Inputs!$B$6)</f>
        <v/>
      </c>
      <c r="R6" s="8">
        <f>IF(A6="","",IF(UPPER(TRIM(B6))="PIPE",PI()*(J6/1000)^2/4,IF(OR(K6="",L6=""),"",L6*(K6+M6*L6))))</f>
        <v/>
      </c>
      <c r="S6" s="8">
        <f>IF(A6="","",IF(UPPER(TRIM(B6))="PIPE",(J6/1000)/4,IF(OR(R6="",K6="",L6=""),"",R6/(K6+2*L6*SQRT(1+M6^2)))))</f>
        <v/>
      </c>
      <c r="T6" s="8">
        <f>IF(A6="","",IF(OR(I6="",R6="",S6="",G6=""),"",(1/I6)*R6*(S6^(2/3))*SQRT(G6)))</f>
        <v/>
      </c>
      <c r="U6" s="8">
        <f>IF(OR(T6="",Q6=""),"",Q6/(T6*Inputs!$B$19))</f>
        <v/>
      </c>
      <c r="V6" s="8">
        <f>IF(OR(R6="",Q6=""),"",Q6/R6)</f>
        <v/>
      </c>
      <c r="W6" s="8">
        <f>IF(OR(R6="",T6=""),"",T6/R6)</f>
        <v/>
      </c>
      <c r="X6" s="8">
        <f>IF(A6="","",IF(OR(UPPER(TRIM(Inputs!$B$15))="MANNING",UPPER(TRIM(Inputs!$B$15))="M"),W6,IF(OR(UPPER(TRIM(Inputs!$B$15))="MAX",UPPER(TRIM(Inputs!$B$15))="X"),MAX(V6,W6),V6)))</f>
        <v/>
      </c>
      <c r="Y6" s="8">
        <f>IF(A6="","",IF(UPPER(TRIM(B6))="TRENCH",K6*L6*N6,IF(UPPER(TRIM(B6))="SWALE",K6*L6,0)))</f>
        <v/>
      </c>
      <c r="Z6" s="8">
        <f>IF(OR(Y6="",F6=""),"",Y6*F6)</f>
        <v/>
      </c>
      <c r="AA6" s="4">
        <f>IF(A6="","",IF(OR(U6&gt;1,AND(X6&lt;&gt;"",X6&lt;Inputs!$B$16),AND(X6&lt;&gt;"",X6&gt;Inputs!$B$17),G6&lt;Inputs!$B$18,AH6="CHECK"),"CHECK","OK"))</f>
        <v/>
      </c>
      <c r="AB6" s="4" t="inlineStr">
        <is>
          <t>Entree EST: P-03 -&gt; J-BASSIN-IN (16.1 m).</t>
        </is>
      </c>
      <c r="AC6" s="7" t="n"/>
      <c r="AD6" s="8">
        <f>IF(A6="","",IF(AC6&lt;&gt;"",AC6,IF(E6="",Inputs!$B$38,IFERROR(INDEX($AE$4:$AE$204,MATCH(E6,$A$4:$A$204,0))+IF(OR(AND(UPPER(TRIM(B6))="SWALE",UPPER(TRIM(AI6))="PIPE"),AND(UPPER(TRIM(B6))="TRENCH",UPPER(TRIM(AI6))="PIPE")),Inputs!$B$57,0),""))))</f>
        <v/>
      </c>
      <c r="AE6" s="8">
        <f>IF(OR(AD6="",F6="",G6=""),"",AD6+F6*G6)</f>
        <v/>
      </c>
      <c r="AF6" s="8">
        <f>IF(OR(E6="",A6=""),"",IFERROR(INDEX($AE$4:$AE$204,MATCH(E6,$A$4:$A$204,0)),""))</f>
        <v/>
      </c>
      <c r="AG6" s="8">
        <f>IF(OR(AD6="",AF6=""),"",AD6-AF6)</f>
        <v/>
      </c>
      <c r="AH6" s="4">
        <f>IF(A6="","",IF(E6="","TERMINAL",IF(OR(AND(UPPER(TRIM(B6))="SWALE",UPPER(TRIM(AI6))="PIPE"),AND(UPPER(TRIM(B6))="TRENCH",UPPER(TRIM(AI6))="PIPE")),IF(OR(AG6="",AJ6="",AK6=""),"INFO",IF(AND(AG6&gt;=AJ6,AG6&lt;=AK6),"OK","CHECK")),IF(AG6="","INFO",IF(ABS(AG6)&lt;=Inputs!$B$54,"OK","CHECK")))))</f>
        <v/>
      </c>
      <c r="AI6" s="17">
        <f>IF(A6="","",IF(E6="","",IFERROR(INDEX($B$4:$B$204,MATCH(E6,$A$4:$A$204,0)),"")))</f>
        <v/>
      </c>
      <c r="AJ6" s="17">
        <f>IF(A6="","",IF(OR(AND(UPPER(TRIM(B6))="SWALE",UPPER(TRIM(AI6))="PIPE"),AND(UPPER(TRIM(B6))="TRENCH",UPPER(TRIM(AI6))="PIPE")),Inputs!$B$55,0))</f>
        <v/>
      </c>
      <c r="AK6" s="17">
        <f>IF(A6="","",IF(OR(AND(UPPER(TRIM(B6))="SWALE",UPPER(TRIM(AI6))="PIPE"),AND(UPPER(TRIM(B6))="TRENCH",UPPER(TRIM(AI6))="PIPE")),Inputs!$B$56,Inputs!$B$54))</f>
        <v/>
      </c>
      <c r="AL6" s="4">
        <f>IF(A6="","",IF(E6="","TERMINAL",IF(OR(AND(UPPER(TRIM(B6))="SWALE",UPPER(TRIM(AI6))="PIPE"),AND(UPPER(TRIM(B6))="TRENCH",UPPER(TRIM(AI6))="PIPE")),IF(OR(AG6="",AJ6="",AK6=""),"INFO",IF(AND(AG6&gt;=AJ6,AG6&lt;=AK6),"OK","CHECK")),"N/A")))</f>
        <v/>
      </c>
    </row>
    <row r="7">
      <c r="A7" s="4" t="inlineStr">
        <is>
          <t>E04</t>
        </is>
      </c>
      <c r="B7" s="4" t="inlineStr">
        <is>
          <t>PIPE</t>
        </is>
      </c>
      <c r="C7" s="4" t="inlineStr">
        <is>
          <t>J-OUEST-AVAL</t>
        </is>
      </c>
      <c r="D7" s="4" t="inlineStr">
        <is>
          <t>J-BASSIN-OUEST</t>
        </is>
      </c>
      <c r="E7" s="4" t="inlineStr">
        <is>
          <t>E08</t>
        </is>
      </c>
      <c r="F7" s="7">
        <f>Inputs!$B$53</f>
        <v/>
      </c>
      <c r="G7" s="7" t="n">
        <v>0.004</v>
      </c>
      <c r="H7" s="7" t="inlineStr"/>
      <c r="I7" s="8">
        <f>IF(A7="","",IF(H7&lt;&gt;"",H7,IF(UPPER(TRIM(B7))="PIPE",Inputs!$B$7,IF(UPPER(TRIM(B7))="SWALE",Inputs!$B$8,Inputs!$B$9))))</f>
        <v/>
      </c>
      <c r="J7" s="7" t="n">
        <v>375</v>
      </c>
      <c r="K7" s="7" t="inlineStr"/>
      <c r="L7" s="7" t="inlineStr"/>
      <c r="M7" s="7" t="inlineStr"/>
      <c r="N7" s="7" t="n">
        <v>0</v>
      </c>
      <c r="O7" s="8">
        <f>IF(A7="","",SUMIFS(Zones_tributaires!$I:$I,Zones_tributaires!$J:$J,$A7))</f>
        <v/>
      </c>
      <c r="P7" s="8">
        <f>IF(A7="","",SUMIFS($Q$4:$Q$204,$E$4:$E$204,$A7))</f>
        <v/>
      </c>
      <c r="Q7" s="8">
        <f>IF(A7="","",(O7+P7)*Inputs!$B$6)</f>
        <v/>
      </c>
      <c r="R7" s="8">
        <f>IF(A7="","",IF(UPPER(TRIM(B7))="PIPE",PI()*(J7/1000)^2/4,IF(OR(K7="",L7=""),"",L7*(K7+M7*L7))))</f>
        <v/>
      </c>
      <c r="S7" s="8">
        <f>IF(A7="","",IF(UPPER(TRIM(B7))="PIPE",(J7/1000)/4,IF(OR(R7="",K7="",L7=""),"",R7/(K7+2*L7*SQRT(1+M7^2)))))</f>
        <v/>
      </c>
      <c r="T7" s="8">
        <f>IF(A7="","",IF(OR(I7="",R7="",S7="",G7=""),"",(1/I7)*R7*(S7^(2/3))*SQRT(G7)))</f>
        <v/>
      </c>
      <c r="U7" s="8">
        <f>IF(OR(T7="",Q7=""),"",Q7/(T7*Inputs!$B$19))</f>
        <v/>
      </c>
      <c r="V7" s="8">
        <f>IF(OR(R7="",Q7=""),"",Q7/R7)</f>
        <v/>
      </c>
      <c r="W7" s="8">
        <f>IF(OR(R7="",T7=""),"",T7/R7)</f>
        <v/>
      </c>
      <c r="X7" s="8">
        <f>IF(A7="","",IF(OR(UPPER(TRIM(Inputs!$B$15))="MANNING",UPPER(TRIM(Inputs!$B$15))="M"),W7,IF(OR(UPPER(TRIM(Inputs!$B$15))="MAX",UPPER(TRIM(Inputs!$B$15))="X"),MAX(V7,W7),V7)))</f>
        <v/>
      </c>
      <c r="Y7" s="8">
        <f>IF(A7="","",IF(UPPER(TRIM(B7))="TRENCH",K7*L7*N7,IF(UPPER(TRIM(B7))="SWALE",K7*L7,0)))</f>
        <v/>
      </c>
      <c r="Z7" s="8">
        <f>IF(OR(Y7="",F7=""),"",Y7*F7)</f>
        <v/>
      </c>
      <c r="AA7" s="4">
        <f>IF(A7="","",IF(OR(U7&gt;1,AND(X7&lt;&gt;"",X7&lt;Inputs!$B$16),AND(X7&lt;&gt;"",X7&gt;Inputs!$B$17),G7&lt;Inputs!$B$18,AH7="CHECK"),"CHECK","OK"))</f>
        <v/>
      </c>
      <c r="AB7" s="4" t="inlineStr">
        <is>
          <t>Collecteur ouest final en conduite (4.7 m) vers entree ouest bassin.</t>
        </is>
      </c>
      <c r="AC7" s="7" t="n"/>
      <c r="AD7" s="8">
        <f>IF(A7="","",IF(AC7&lt;&gt;"",AC7,IF(E7="",Inputs!$B$38,IFERROR(INDEX($AE$4:$AE$204,MATCH(E7,$A$4:$A$204,0))+IF(OR(AND(UPPER(TRIM(B7))="SWALE",UPPER(TRIM(AI7))="PIPE"),AND(UPPER(TRIM(B7))="TRENCH",UPPER(TRIM(AI7))="PIPE")),Inputs!$B$57,0),""))))</f>
        <v/>
      </c>
      <c r="AE7" s="8">
        <f>IF(OR(AD7="",F7="",G7=""),"",AD7+F7*G7)</f>
        <v/>
      </c>
      <c r="AF7" s="8">
        <f>IF(OR(E7="",A7=""),"",IFERROR(INDEX($AE$4:$AE$204,MATCH(E7,$A$4:$A$204,0)),""))</f>
        <v/>
      </c>
      <c r="AG7" s="8">
        <f>IF(OR(AD7="",AF7=""),"",AD7-AF7)</f>
        <v/>
      </c>
      <c r="AH7" s="4">
        <f>IF(A7="","",IF(E7="","TERMINAL",IF(OR(AND(UPPER(TRIM(B7))="SWALE",UPPER(TRIM(AI7))="PIPE"),AND(UPPER(TRIM(B7))="TRENCH",UPPER(TRIM(AI7))="PIPE")),IF(OR(AG7="",AJ7="",AK7=""),"INFO",IF(AND(AG7&gt;=AJ7,AG7&lt;=AK7),"OK","CHECK")),IF(AG7="","INFO",IF(ABS(AG7)&lt;=Inputs!$B$54,"OK","CHECK")))))</f>
        <v/>
      </c>
      <c r="AI7" s="17">
        <f>IF(A7="","",IF(E7="","",IFERROR(INDEX($B$4:$B$204,MATCH(E7,$A$4:$A$204,0)),"")))</f>
        <v/>
      </c>
      <c r="AJ7" s="17">
        <f>IF(A7="","",IF(OR(AND(UPPER(TRIM(B7))="SWALE",UPPER(TRIM(AI7))="PIPE"),AND(UPPER(TRIM(B7))="TRENCH",UPPER(TRIM(AI7))="PIPE")),Inputs!$B$55,0))</f>
        <v/>
      </c>
      <c r="AK7" s="17">
        <f>IF(A7="","",IF(OR(AND(UPPER(TRIM(B7))="SWALE",UPPER(TRIM(AI7))="PIPE"),AND(UPPER(TRIM(B7))="TRENCH",UPPER(TRIM(AI7))="PIPE")),Inputs!$B$56,Inputs!$B$54))</f>
        <v/>
      </c>
      <c r="AL7" s="4">
        <f>IF(A7="","",IF(E7="","TERMINAL",IF(OR(AND(UPPER(TRIM(B7))="SWALE",UPPER(TRIM(AI7))="PIPE"),AND(UPPER(TRIM(B7))="TRENCH",UPPER(TRIM(AI7))="PIPE")),IF(OR(AG7="",AJ7="",AK7=""),"INFO",IF(AND(AG7&gt;=AJ7,AG7&lt;=AK7),"OK","CHECK")),"N/A")))</f>
        <v/>
      </c>
    </row>
    <row r="8">
      <c r="A8" s="4" t="inlineStr">
        <is>
          <t>E05A</t>
        </is>
      </c>
      <c r="B8" s="4" t="inlineStr">
        <is>
          <t>PIPE</t>
        </is>
      </c>
      <c r="C8" s="4" t="inlineStr">
        <is>
          <t>J-OUEST-AMONT</t>
        </is>
      </c>
      <c r="D8" s="4" t="inlineStr">
        <is>
          <t>J-OUEST-PU1</t>
        </is>
      </c>
      <c r="E8" s="4" t="inlineStr">
        <is>
          <t>E05B</t>
        </is>
      </c>
      <c r="F8" s="15">
        <f>Inputs!$B$48</f>
        <v/>
      </c>
      <c r="G8" s="7" t="n">
        <v>0.01</v>
      </c>
      <c r="H8" s="7" t="inlineStr"/>
      <c r="I8" s="8">
        <f>IF(A8="","",IF(H8&lt;&gt;"",H8,IF(UPPER(TRIM(B8))="PIPE",Inputs!$B$7,IF(UPPER(TRIM(B8))="SWALE",Inputs!$B$8,Inputs!$B$9))))</f>
        <v/>
      </c>
      <c r="J8" s="7" t="n">
        <v>250</v>
      </c>
      <c r="K8" s="7" t="inlineStr"/>
      <c r="L8" s="7" t="inlineStr"/>
      <c r="M8" s="7" t="inlineStr"/>
      <c r="N8" s="7" t="n">
        <v>0</v>
      </c>
      <c r="O8" s="8">
        <f>IF(A8="","",SUMIFS(Zones_tributaires!$I:$I,Zones_tributaires!$J:$J,$A8))</f>
        <v/>
      </c>
      <c r="P8" s="8">
        <f>IF(A8="","",SUMIFS($Q$4:$Q$204,$E$4:$E$204,$A8))</f>
        <v/>
      </c>
      <c r="Q8" s="8">
        <f>IF(A8="","",(O8+P8)*Inputs!$B$6)</f>
        <v/>
      </c>
      <c r="R8" s="8">
        <f>IF(A8="","",IF(UPPER(TRIM(B8))="PIPE",PI()*(J8/1000)^2/4,IF(OR(K8="",L8=""),"",L8*(K8+M8*L8))))</f>
        <v/>
      </c>
      <c r="S8" s="8">
        <f>IF(A8="","",IF(UPPER(TRIM(B8))="PIPE",(J8/1000)/4,IF(OR(R8="",K8="",L8=""),"",R8/(K8+2*L8*SQRT(1+M8^2)))))</f>
        <v/>
      </c>
      <c r="T8" s="8">
        <f>IF(A8="","",IF(OR(I8="",R8="",S8="",G8=""),"",(1/I8)*R8*(S8^(2/3))*SQRT(G8)))</f>
        <v/>
      </c>
      <c r="U8" s="8">
        <f>IF(OR(T8="",Q8=""),"",Q8/(T8*Inputs!$B$19))</f>
        <v/>
      </c>
      <c r="V8" s="8">
        <f>IF(OR(R8="",Q8=""),"",Q8/R8)</f>
        <v/>
      </c>
      <c r="W8" s="8">
        <f>IF(OR(R8="",T8=""),"",T8/R8)</f>
        <v/>
      </c>
      <c r="X8" s="8">
        <f>IF(A8="","",IF(OR(UPPER(TRIM(Inputs!$B$15))="MANNING",UPPER(TRIM(Inputs!$B$15))="M"),W8,IF(OR(UPPER(TRIM(Inputs!$B$15))="MAX",UPPER(TRIM(Inputs!$B$15))="X"),MAX(V8,W8),V8)))</f>
        <v/>
      </c>
      <c r="Y8" s="8">
        <f>IF(A8="","",IF(UPPER(TRIM(B8))="TRENCH",K8*L8*N8,IF(UPPER(TRIM(B8))="SWALE",K8*L8,0)))</f>
        <v/>
      </c>
      <c r="Z8" s="8">
        <f>IF(OR(Y8="",F8=""),"",Y8*F8)</f>
        <v/>
      </c>
      <c r="AA8" s="4">
        <f>IF(A8="","",IF(OR(U8&gt;1,AND(X8&lt;&gt;"",X8&lt;Inputs!$B$16),AND(X8&lt;&gt;"",X8&gt;Inputs!$B$17),G8&lt;Inputs!$B$18,AH8="CHECK"),"CHECK","OK"))</f>
        <v/>
      </c>
      <c r="AB8" s="4" t="inlineStr">
        <is>
          <t>Ouest segment amont en conduite DN250 vers E05B.</t>
        </is>
      </c>
      <c r="AC8" s="7" t="n"/>
      <c r="AD8" s="8">
        <f>IF(A8="","",IF(AC8&lt;&gt;"",AC8,IF(E8="",Inputs!$B$38,IFERROR(INDEX($AE$4:$AE$204,MATCH(E8,$A$4:$A$204,0))+IF(OR(AND(UPPER(TRIM(B8))="SWALE",UPPER(TRIM(AI8))="PIPE"),AND(UPPER(TRIM(B8))="TRENCH",UPPER(TRIM(AI8))="PIPE")),Inputs!$B$57,0),""))))</f>
        <v/>
      </c>
      <c r="AE8" s="8">
        <f>IF(OR(AD8="",F8="",G8=""),"",AD8+F8*G8)</f>
        <v/>
      </c>
      <c r="AF8" s="8">
        <f>IF(OR(E8="",A8=""),"",IFERROR(INDEX($AE$4:$AE$204,MATCH(E8,$A$4:$A$204,0)),""))</f>
        <v/>
      </c>
      <c r="AG8" s="8">
        <f>IF(OR(AD8="",AF8=""),"",AD8-AF8)</f>
        <v/>
      </c>
      <c r="AH8" s="4">
        <f>IF(A8="","",IF(E8="","TERMINAL",IF(OR(AND(UPPER(TRIM(B8))="SWALE",UPPER(TRIM(AI8))="PIPE"),AND(UPPER(TRIM(B8))="TRENCH",UPPER(TRIM(AI8))="PIPE")),IF(OR(AG8="",AJ8="",AK8=""),"INFO",IF(AND(AG8&gt;=AJ8,AG8&lt;=AK8),"OK","CHECK")),IF(AG8="","INFO",IF(ABS(AG8)&lt;=Inputs!$B$54,"OK","CHECK")))))</f>
        <v/>
      </c>
      <c r="AI8" s="17">
        <f>IF(A8="","",IF(E8="","",IFERROR(INDEX($B$4:$B$204,MATCH(E8,$A$4:$A$204,0)),"")))</f>
        <v/>
      </c>
      <c r="AJ8" s="17">
        <f>IF(A8="","",IF(OR(AND(UPPER(TRIM(B8))="SWALE",UPPER(TRIM(AI8))="PIPE"),AND(UPPER(TRIM(B8))="TRENCH",UPPER(TRIM(AI8))="PIPE")),Inputs!$B$55,0))</f>
        <v/>
      </c>
      <c r="AK8" s="17">
        <f>IF(A8="","",IF(OR(AND(UPPER(TRIM(B8))="SWALE",UPPER(TRIM(AI8))="PIPE"),AND(UPPER(TRIM(B8))="TRENCH",UPPER(TRIM(AI8))="PIPE")),Inputs!$B$56,Inputs!$B$54))</f>
        <v/>
      </c>
      <c r="AL8" s="4">
        <f>IF(A8="","",IF(E8="","TERMINAL",IF(OR(AND(UPPER(TRIM(B8))="SWALE",UPPER(TRIM(AI8))="PIPE"),AND(UPPER(TRIM(B8))="TRENCH",UPPER(TRIM(AI8))="PIPE")),IF(OR(AG8="",AJ8="",AK8=""),"INFO",IF(AND(AG8&gt;=AJ8,AG8&lt;=AK8),"OK","CHECK")),"N/A")))</f>
        <v/>
      </c>
    </row>
    <row r="9">
      <c r="A9" s="4" t="inlineStr">
        <is>
          <t>E05B</t>
        </is>
      </c>
      <c r="B9" s="4" t="inlineStr">
        <is>
          <t>PIPE</t>
        </is>
      </c>
      <c r="C9" s="4" t="inlineStr">
        <is>
          <t>J-OUEST-PU1</t>
        </is>
      </c>
      <c r="D9" s="4" t="inlineStr">
        <is>
          <t>J-OUEST-PU2</t>
        </is>
      </c>
      <c r="E9" s="4" t="inlineStr">
        <is>
          <t>E05C</t>
        </is>
      </c>
      <c r="F9" s="15">
        <f>Inputs!$B$42</f>
        <v/>
      </c>
      <c r="G9" s="7" t="n">
        <v>0.01</v>
      </c>
      <c r="H9" s="7" t="inlineStr"/>
      <c r="I9" s="8">
        <f>IF(A9="","",IF(H9&lt;&gt;"",H9,IF(UPPER(TRIM(B9))="PIPE",Inputs!$B$7,IF(UPPER(TRIM(B9))="SWALE",Inputs!$B$8,Inputs!$B$9))))</f>
        <v/>
      </c>
      <c r="J9" s="7" t="n">
        <v>250</v>
      </c>
      <c r="K9" s="7" t="inlineStr"/>
      <c r="L9" s="7" t="inlineStr"/>
      <c r="M9" s="7" t="inlineStr"/>
      <c r="N9" s="7" t="n">
        <v>0</v>
      </c>
      <c r="O9" s="8">
        <f>IF(A9="","",SUMIFS(Zones_tributaires!$I:$I,Zones_tributaires!$J:$J,$A9))</f>
        <v/>
      </c>
      <c r="P9" s="8">
        <f>IF(A9="","",SUMIFS($Q$4:$Q$204,$E$4:$E$204,$A9))</f>
        <v/>
      </c>
      <c r="Q9" s="8">
        <f>IF(A9="","",(O9+P9)*Inputs!$B$6)</f>
        <v/>
      </c>
      <c r="R9" s="8">
        <f>IF(A9="","",IF(UPPER(TRIM(B9))="PIPE",PI()*(J9/1000)^2/4,IF(OR(K9="",L9=""),"",L9*(K9+M9*L9))))</f>
        <v/>
      </c>
      <c r="S9" s="8">
        <f>IF(A9="","",IF(UPPER(TRIM(B9))="PIPE",(J9/1000)/4,IF(OR(R9="",K9="",L9=""),"",R9/(K9+2*L9*SQRT(1+M9^2)))))</f>
        <v/>
      </c>
      <c r="T9" s="8">
        <f>IF(A9="","",IF(OR(I9="",R9="",S9="",G9=""),"",(1/I9)*R9*(S9^(2/3))*SQRT(G9)))</f>
        <v/>
      </c>
      <c r="U9" s="8">
        <f>IF(OR(T9="",Q9=""),"",Q9/(T9*Inputs!$B$19))</f>
        <v/>
      </c>
      <c r="V9" s="8">
        <f>IF(OR(R9="",Q9=""),"",Q9/R9)</f>
        <v/>
      </c>
      <c r="W9" s="8">
        <f>IF(OR(R9="",T9=""),"",T9/R9)</f>
        <v/>
      </c>
      <c r="X9" s="8">
        <f>IF(A9="","",IF(OR(UPPER(TRIM(Inputs!$B$15))="MANNING",UPPER(TRIM(Inputs!$B$15))="M"),W9,IF(OR(UPPER(TRIM(Inputs!$B$15))="MAX",UPPER(TRIM(Inputs!$B$15))="X"),MAX(V9,W9),V9)))</f>
        <v/>
      </c>
      <c r="Y9" s="8">
        <f>IF(A9="","",IF(UPPER(TRIM(B9))="TRENCH",K9*L9*N9,IF(UPPER(TRIM(B9))="SWALE",K9*L9,0)))</f>
        <v/>
      </c>
      <c r="Z9" s="8">
        <f>IF(OR(Y9="",F9=""),"",Y9*F9)</f>
        <v/>
      </c>
      <c r="AA9" s="4">
        <f>IF(A9="","",IF(OR(U9&gt;1,AND(X9&lt;&gt;"",X9&lt;Inputs!$B$16),AND(X9&lt;&gt;"",X9&gt;Inputs!$B$17),G9&lt;Inputs!$B$18,AH9="CHECK"),"CHECK","OK"))</f>
        <v/>
      </c>
      <c r="AB9" s="4" t="inlineStr">
        <is>
          <t>Traverse pave-uni court en conduite DN250 (strategy ouest tout-pipe).</t>
        </is>
      </c>
      <c r="AC9" s="7" t="n"/>
      <c r="AD9" s="8">
        <f>IF(A9="","",IF(AC9&lt;&gt;"",AC9,IF(E9="",Inputs!$B$38,IFERROR(INDEX($AE$4:$AE$204,MATCH(E9,$A$4:$A$204,0))+IF(OR(AND(UPPER(TRIM(B9))="SWALE",UPPER(TRIM(AI9))="PIPE"),AND(UPPER(TRIM(B9))="TRENCH",UPPER(TRIM(AI9))="PIPE")),Inputs!$B$57,0),""))))</f>
        <v/>
      </c>
      <c r="AE9" s="8">
        <f>IF(OR(AD9="",F9="",G9=""),"",AD9+F9*G9)</f>
        <v/>
      </c>
      <c r="AF9" s="8">
        <f>IF(OR(E9="",A9=""),"",IFERROR(INDEX($AE$4:$AE$204,MATCH(E9,$A$4:$A$204,0)),""))</f>
        <v/>
      </c>
      <c r="AG9" s="8">
        <f>IF(OR(AD9="",AF9=""),"",AD9-AF9)</f>
        <v/>
      </c>
      <c r="AH9" s="4">
        <f>IF(A9="","",IF(E9="","TERMINAL",IF(OR(AND(UPPER(TRIM(B9))="SWALE",UPPER(TRIM(AI9))="PIPE"),AND(UPPER(TRIM(B9))="TRENCH",UPPER(TRIM(AI9))="PIPE")),IF(OR(AG9="",AJ9="",AK9=""),"INFO",IF(AND(AG9&gt;=AJ9,AG9&lt;=AK9),"OK","CHECK")),IF(AG9="","INFO",IF(ABS(AG9)&lt;=Inputs!$B$54,"OK","CHECK")))))</f>
        <v/>
      </c>
      <c r="AI9" s="17">
        <f>IF(A9="","",IF(E9="","",IFERROR(INDEX($B$4:$B$204,MATCH(E9,$A$4:$A$204,0)),"")))</f>
        <v/>
      </c>
      <c r="AJ9" s="17">
        <f>IF(A9="","",IF(OR(AND(UPPER(TRIM(B9))="SWALE",UPPER(TRIM(AI9))="PIPE"),AND(UPPER(TRIM(B9))="TRENCH",UPPER(TRIM(AI9))="PIPE")),Inputs!$B$55,0))</f>
        <v/>
      </c>
      <c r="AK9" s="17">
        <f>IF(A9="","",IF(OR(AND(UPPER(TRIM(B9))="SWALE",UPPER(TRIM(AI9))="PIPE"),AND(UPPER(TRIM(B9))="TRENCH",UPPER(TRIM(AI9))="PIPE")),Inputs!$B$56,Inputs!$B$54))</f>
        <v/>
      </c>
      <c r="AL9" s="4">
        <f>IF(A9="","",IF(E9="","TERMINAL",IF(OR(AND(UPPER(TRIM(B9))="SWALE",UPPER(TRIM(AI9))="PIPE"),AND(UPPER(TRIM(B9))="TRENCH",UPPER(TRIM(AI9))="PIPE")),IF(OR(AG9="",AJ9="",AK9=""),"INFO",IF(AND(AG9&gt;=AJ9,AG9&lt;=AK9),"OK","CHECK")),"N/A")))</f>
        <v/>
      </c>
    </row>
    <row r="10">
      <c r="A10" s="4" t="inlineStr">
        <is>
          <t>E05C</t>
        </is>
      </c>
      <c r="B10" s="4" t="inlineStr">
        <is>
          <t>PIPE</t>
        </is>
      </c>
      <c r="C10" s="4" t="inlineStr">
        <is>
          <t>J-OUEST-PU2</t>
        </is>
      </c>
      <c r="D10" s="4" t="inlineStr">
        <is>
          <t>J-OUEST-PU3</t>
        </is>
      </c>
      <c r="E10" s="4" t="inlineStr">
        <is>
          <t>E05D</t>
        </is>
      </c>
      <c r="F10" s="15">
        <f>Inputs!$B$49</f>
        <v/>
      </c>
      <c r="G10" s="7" t="n">
        <v>0.008999999999999999</v>
      </c>
      <c r="H10" s="7" t="inlineStr"/>
      <c r="I10" s="8">
        <f>IF(A10="","",IF(H10&lt;&gt;"",H10,IF(UPPER(TRIM(B10))="PIPE",Inputs!$B$7,IF(UPPER(TRIM(B10))="SWALE",Inputs!$B$8,Inputs!$B$9))))</f>
        <v/>
      </c>
      <c r="J10" s="7" t="n">
        <v>300</v>
      </c>
      <c r="K10" s="7" t="inlineStr"/>
      <c r="L10" s="7" t="inlineStr"/>
      <c r="M10" s="7" t="inlineStr"/>
      <c r="N10" s="7" t="n">
        <v>0</v>
      </c>
      <c r="O10" s="8">
        <f>IF(A10="","",SUMIFS(Zones_tributaires!$I:$I,Zones_tributaires!$J:$J,$A10))</f>
        <v/>
      </c>
      <c r="P10" s="8">
        <f>IF(A10="","",SUMIFS($Q$4:$Q$204,$E$4:$E$204,$A10))</f>
        <v/>
      </c>
      <c r="Q10" s="8">
        <f>IF(A10="","",(O10+P10)*Inputs!$B$6)</f>
        <v/>
      </c>
      <c r="R10" s="8">
        <f>IF(A10="","",IF(UPPER(TRIM(B10))="PIPE",PI()*(J10/1000)^2/4,IF(OR(K10="",L10=""),"",L10*(K10+M10*L10))))</f>
        <v/>
      </c>
      <c r="S10" s="8">
        <f>IF(A10="","",IF(UPPER(TRIM(B10))="PIPE",(J10/1000)/4,IF(OR(R10="",K10="",L10=""),"",R10/(K10+2*L10*SQRT(1+M10^2)))))</f>
        <v/>
      </c>
      <c r="T10" s="8">
        <f>IF(A10="","",IF(OR(I10="",R10="",S10="",G10=""),"",(1/I10)*R10*(S10^(2/3))*SQRT(G10)))</f>
        <v/>
      </c>
      <c r="U10" s="8">
        <f>IF(OR(T10="",Q10=""),"",Q10/(T10*Inputs!$B$19))</f>
        <v/>
      </c>
      <c r="V10" s="8">
        <f>IF(OR(R10="",Q10=""),"",Q10/R10)</f>
        <v/>
      </c>
      <c r="W10" s="8">
        <f>IF(OR(R10="",T10=""),"",T10/R10)</f>
        <v/>
      </c>
      <c r="X10" s="8">
        <f>IF(A10="","",IF(OR(UPPER(TRIM(Inputs!$B$15))="MANNING",UPPER(TRIM(Inputs!$B$15))="M"),W10,IF(OR(UPPER(TRIM(Inputs!$B$15))="MAX",UPPER(TRIM(Inputs!$B$15))="X"),MAX(V10,W10),V10)))</f>
        <v/>
      </c>
      <c r="Y10" s="8">
        <f>IF(A10="","",IF(UPPER(TRIM(B10))="TRENCH",K10*L10*N10,IF(UPPER(TRIM(B10))="SWALE",K10*L10,0)))</f>
        <v/>
      </c>
      <c r="Z10" s="8">
        <f>IF(OR(Y10="",F10=""),"",Y10*F10)</f>
        <v/>
      </c>
      <c r="AA10" s="4">
        <f>IF(A10="","",IF(OR(U10&gt;1,AND(X10&lt;&gt;"",X10&lt;Inputs!$B$16),AND(X10&lt;&gt;"",X10&gt;Inputs!$B$17),G10&lt;Inputs!$B$18,AH10="CHECK"),"CHECK","OK"))</f>
        <v/>
      </c>
      <c r="AB10" s="4" t="inlineStr">
        <is>
          <t>Ouest segment milieu en conduite DN300 vers E05D.</t>
        </is>
      </c>
      <c r="AC10" s="7" t="n"/>
      <c r="AD10" s="8">
        <f>IF(A10="","",IF(AC10&lt;&gt;"",AC10,IF(E10="",Inputs!$B$38,IFERROR(INDEX($AE$4:$AE$204,MATCH(E10,$A$4:$A$204,0))+IF(OR(AND(UPPER(TRIM(B10))="SWALE",UPPER(TRIM(AI10))="PIPE"),AND(UPPER(TRIM(B10))="TRENCH",UPPER(TRIM(AI10))="PIPE")),Inputs!$B$57,0),""))))</f>
        <v/>
      </c>
      <c r="AE10" s="8">
        <f>IF(OR(AD10="",F10="",G10=""),"",AD10+F10*G10)</f>
        <v/>
      </c>
      <c r="AF10" s="8">
        <f>IF(OR(E10="",A10=""),"",IFERROR(INDEX($AE$4:$AE$204,MATCH(E10,$A$4:$A$204,0)),""))</f>
        <v/>
      </c>
      <c r="AG10" s="8">
        <f>IF(OR(AD10="",AF10=""),"",AD10-AF10)</f>
        <v/>
      </c>
      <c r="AH10" s="4">
        <f>IF(A10="","",IF(E10="","TERMINAL",IF(OR(AND(UPPER(TRIM(B10))="SWALE",UPPER(TRIM(AI10))="PIPE"),AND(UPPER(TRIM(B10))="TRENCH",UPPER(TRIM(AI10))="PIPE")),IF(OR(AG10="",AJ10="",AK10=""),"INFO",IF(AND(AG10&gt;=AJ10,AG10&lt;=AK10),"OK","CHECK")),IF(AG10="","INFO",IF(ABS(AG10)&lt;=Inputs!$B$54,"OK","CHECK")))))</f>
        <v/>
      </c>
      <c r="AI10" s="17">
        <f>IF(A10="","",IF(E10="","",IFERROR(INDEX($B$4:$B$204,MATCH(E10,$A$4:$A$204,0)),"")))</f>
        <v/>
      </c>
      <c r="AJ10" s="17">
        <f>IF(A10="","",IF(OR(AND(UPPER(TRIM(B10))="SWALE",UPPER(TRIM(AI10))="PIPE"),AND(UPPER(TRIM(B10))="TRENCH",UPPER(TRIM(AI10))="PIPE")),Inputs!$B$55,0))</f>
        <v/>
      </c>
      <c r="AK10" s="17">
        <f>IF(A10="","",IF(OR(AND(UPPER(TRIM(B10))="SWALE",UPPER(TRIM(AI10))="PIPE"),AND(UPPER(TRIM(B10))="TRENCH",UPPER(TRIM(AI10))="PIPE")),Inputs!$B$56,Inputs!$B$54))</f>
        <v/>
      </c>
      <c r="AL10" s="4">
        <f>IF(A10="","",IF(E10="","TERMINAL",IF(OR(AND(UPPER(TRIM(B10))="SWALE",UPPER(TRIM(AI10))="PIPE"),AND(UPPER(TRIM(B10))="TRENCH",UPPER(TRIM(AI10))="PIPE")),IF(OR(AG10="",AJ10="",AK10=""),"INFO",IF(AND(AG10&gt;=AJ10,AG10&lt;=AK10),"OK","CHECK")),"N/A")))</f>
        <v/>
      </c>
    </row>
    <row r="11">
      <c r="A11" s="4" t="inlineStr">
        <is>
          <t>E05D</t>
        </is>
      </c>
      <c r="B11" s="4" t="inlineStr">
        <is>
          <t>PIPE</t>
        </is>
      </c>
      <c r="C11" s="4" t="inlineStr">
        <is>
          <t>J-OUEST-PU3</t>
        </is>
      </c>
      <c r="D11" s="4" t="inlineStr">
        <is>
          <t>J-OUEST-PU4</t>
        </is>
      </c>
      <c r="E11" s="4" t="inlineStr">
        <is>
          <t>E05E</t>
        </is>
      </c>
      <c r="F11" s="15">
        <f>Inputs!$B$43</f>
        <v/>
      </c>
      <c r="G11" s="7" t="n">
        <v>0.008999999999999999</v>
      </c>
      <c r="H11" s="7" t="inlineStr"/>
      <c r="I11" s="8">
        <f>IF(A11="","",IF(H11&lt;&gt;"",H11,IF(UPPER(TRIM(B11))="PIPE",Inputs!$B$7,IF(UPPER(TRIM(B11))="SWALE",Inputs!$B$8,Inputs!$B$9))))</f>
        <v/>
      </c>
      <c r="J11" s="7" t="n">
        <v>300</v>
      </c>
      <c r="K11" s="7" t="inlineStr"/>
      <c r="L11" s="7" t="inlineStr"/>
      <c r="M11" s="7" t="inlineStr"/>
      <c r="N11" s="7" t="n">
        <v>0</v>
      </c>
      <c r="O11" s="8">
        <f>IF(A11="","",SUMIFS(Zones_tributaires!$I:$I,Zones_tributaires!$J:$J,$A11))</f>
        <v/>
      </c>
      <c r="P11" s="8">
        <f>IF(A11="","",SUMIFS($Q$4:$Q$204,$E$4:$E$204,$A11))</f>
        <v/>
      </c>
      <c r="Q11" s="8">
        <f>IF(A11="","",(O11+P11)*Inputs!$B$6)</f>
        <v/>
      </c>
      <c r="R11" s="8">
        <f>IF(A11="","",IF(UPPER(TRIM(B11))="PIPE",PI()*(J11/1000)^2/4,IF(OR(K11="",L11=""),"",L11*(K11+M11*L11))))</f>
        <v/>
      </c>
      <c r="S11" s="8">
        <f>IF(A11="","",IF(UPPER(TRIM(B11))="PIPE",(J11/1000)/4,IF(OR(R11="",K11="",L11=""),"",R11/(K11+2*L11*SQRT(1+M11^2)))))</f>
        <v/>
      </c>
      <c r="T11" s="8">
        <f>IF(A11="","",IF(OR(I11="",R11="",S11="",G11=""),"",(1/I11)*R11*(S11^(2/3))*SQRT(G11)))</f>
        <v/>
      </c>
      <c r="U11" s="8">
        <f>IF(OR(T11="",Q11=""),"",Q11/(T11*Inputs!$B$19))</f>
        <v/>
      </c>
      <c r="V11" s="8">
        <f>IF(OR(R11="",Q11=""),"",Q11/R11)</f>
        <v/>
      </c>
      <c r="W11" s="8">
        <f>IF(OR(R11="",T11=""),"",T11/R11)</f>
        <v/>
      </c>
      <c r="X11" s="8">
        <f>IF(A11="","",IF(OR(UPPER(TRIM(Inputs!$B$15))="MANNING",UPPER(TRIM(Inputs!$B$15))="M"),W11,IF(OR(UPPER(TRIM(Inputs!$B$15))="MAX",UPPER(TRIM(Inputs!$B$15))="X"),MAX(V11,W11),V11)))</f>
        <v/>
      </c>
      <c r="Y11" s="8">
        <f>IF(A11="","",IF(UPPER(TRIM(B11))="TRENCH",K11*L11*N11,IF(UPPER(TRIM(B11))="SWALE",K11*L11,0)))</f>
        <v/>
      </c>
      <c r="Z11" s="8">
        <f>IF(OR(Y11="",F11=""),"",Y11*F11)</f>
        <v/>
      </c>
      <c r="AA11" s="4">
        <f>IF(A11="","",IF(OR(U11&gt;1,AND(X11&lt;&gt;"",X11&lt;Inputs!$B$16),AND(X11&lt;&gt;"",X11&gt;Inputs!$B$17),G11&lt;Inputs!$B$18,AH11="CHECK"),"CHECK","OK"))</f>
        <v/>
      </c>
      <c r="AB11" s="4" t="inlineStr">
        <is>
          <t>Traverse pave-uni principal en conduite DN300.</t>
        </is>
      </c>
      <c r="AC11" s="7" t="n"/>
      <c r="AD11" s="8">
        <f>IF(A11="","",IF(AC11&lt;&gt;"",AC11,IF(E11="",Inputs!$B$38,IFERROR(INDEX($AE$4:$AE$204,MATCH(E11,$A$4:$A$204,0))+IF(OR(AND(UPPER(TRIM(B11))="SWALE",UPPER(TRIM(AI11))="PIPE"),AND(UPPER(TRIM(B11))="TRENCH",UPPER(TRIM(AI11))="PIPE")),Inputs!$B$57,0),""))))</f>
        <v/>
      </c>
      <c r="AE11" s="8">
        <f>IF(OR(AD11="",F11="",G11=""),"",AD11+F11*G11)</f>
        <v/>
      </c>
      <c r="AF11" s="8">
        <f>IF(OR(E11="",A11=""),"",IFERROR(INDEX($AE$4:$AE$204,MATCH(E11,$A$4:$A$204,0)),""))</f>
        <v/>
      </c>
      <c r="AG11" s="8">
        <f>IF(OR(AD11="",AF11=""),"",AD11-AF11)</f>
        <v/>
      </c>
      <c r="AH11" s="4">
        <f>IF(A11="","",IF(E11="","TERMINAL",IF(OR(AND(UPPER(TRIM(B11))="SWALE",UPPER(TRIM(AI11))="PIPE"),AND(UPPER(TRIM(B11))="TRENCH",UPPER(TRIM(AI11))="PIPE")),IF(OR(AG11="",AJ11="",AK11=""),"INFO",IF(AND(AG11&gt;=AJ11,AG11&lt;=AK11),"OK","CHECK")),IF(AG11="","INFO",IF(ABS(AG11)&lt;=Inputs!$B$54,"OK","CHECK")))))</f>
        <v/>
      </c>
      <c r="AI11" s="17">
        <f>IF(A11="","",IF(E11="","",IFERROR(INDEX($B$4:$B$204,MATCH(E11,$A$4:$A$204,0)),"")))</f>
        <v/>
      </c>
      <c r="AJ11" s="17">
        <f>IF(A11="","",IF(OR(AND(UPPER(TRIM(B11))="SWALE",UPPER(TRIM(AI11))="PIPE"),AND(UPPER(TRIM(B11))="TRENCH",UPPER(TRIM(AI11))="PIPE")),Inputs!$B$55,0))</f>
        <v/>
      </c>
      <c r="AK11" s="17">
        <f>IF(A11="","",IF(OR(AND(UPPER(TRIM(B11))="SWALE",UPPER(TRIM(AI11))="PIPE"),AND(UPPER(TRIM(B11))="TRENCH",UPPER(TRIM(AI11))="PIPE")),Inputs!$B$56,Inputs!$B$54))</f>
        <v/>
      </c>
      <c r="AL11" s="4">
        <f>IF(A11="","",IF(E11="","TERMINAL",IF(OR(AND(UPPER(TRIM(B11))="SWALE",UPPER(TRIM(AI11))="PIPE"),AND(UPPER(TRIM(B11))="TRENCH",UPPER(TRIM(AI11))="PIPE")),IF(OR(AG11="",AJ11="",AK11=""),"INFO",IF(AND(AG11&gt;=AJ11,AG11&lt;=AK11),"OK","CHECK")),"N/A")))</f>
        <v/>
      </c>
    </row>
    <row r="12">
      <c r="A12" s="4" t="inlineStr">
        <is>
          <t>E05E</t>
        </is>
      </c>
      <c r="B12" s="4" t="inlineStr">
        <is>
          <t>PIPE</t>
        </is>
      </c>
      <c r="C12" s="4" t="inlineStr">
        <is>
          <t>J-OUEST-PU4</t>
        </is>
      </c>
      <c r="D12" s="4" t="inlineStr">
        <is>
          <t>J-OUEST-AVAL</t>
        </is>
      </c>
      <c r="E12" s="4" t="inlineStr">
        <is>
          <t>E04</t>
        </is>
      </c>
      <c r="F12" s="15">
        <f>Inputs!$B$50</f>
        <v/>
      </c>
      <c r="G12" s="7" t="n">
        <v>0.008</v>
      </c>
      <c r="H12" s="7" t="inlineStr"/>
      <c r="I12" s="8">
        <f>IF(A12="","",IF(H12&lt;&gt;"",H12,IF(UPPER(TRIM(B12))="PIPE",Inputs!$B$7,IF(UPPER(TRIM(B12))="SWALE",Inputs!$B$8,Inputs!$B$9))))</f>
        <v/>
      </c>
      <c r="J12" s="7" t="n">
        <v>300</v>
      </c>
      <c r="K12" s="7" t="inlineStr"/>
      <c r="L12" s="7" t="inlineStr"/>
      <c r="M12" s="7" t="inlineStr"/>
      <c r="N12" s="7" t="n">
        <v>0</v>
      </c>
      <c r="O12" s="8">
        <f>IF(A12="","",SUMIFS(Zones_tributaires!$I:$I,Zones_tributaires!$J:$J,$A12))</f>
        <v/>
      </c>
      <c r="P12" s="8">
        <f>IF(A12="","",SUMIFS($Q$4:$Q$204,$E$4:$E$204,$A12))</f>
        <v/>
      </c>
      <c r="Q12" s="8">
        <f>IF(A12="","",(O12+P12)*Inputs!$B$6)</f>
        <v/>
      </c>
      <c r="R12" s="8">
        <f>IF(A12="","",IF(UPPER(TRIM(B12))="PIPE",PI()*(J12/1000)^2/4,IF(OR(K12="",L12=""),"",L12*(K12+M12*L12))))</f>
        <v/>
      </c>
      <c r="S12" s="8">
        <f>IF(A12="","",IF(UPPER(TRIM(B12))="PIPE",(J12/1000)/4,IF(OR(R12="",K12="",L12=""),"",R12/(K12+2*L12*SQRT(1+M12^2)))))</f>
        <v/>
      </c>
      <c r="T12" s="8">
        <f>IF(A12="","",IF(OR(I12="",R12="",S12="",G12=""),"",(1/I12)*R12*(S12^(2/3))*SQRT(G12)))</f>
        <v/>
      </c>
      <c r="U12" s="8">
        <f>IF(OR(T12="",Q12=""),"",Q12/(T12*Inputs!$B$19))</f>
        <v/>
      </c>
      <c r="V12" s="8">
        <f>IF(OR(R12="",Q12=""),"",Q12/R12)</f>
        <v/>
      </c>
      <c r="W12" s="8">
        <f>IF(OR(R12="",T12=""),"",T12/R12)</f>
        <v/>
      </c>
      <c r="X12" s="8">
        <f>IF(A12="","",IF(OR(UPPER(TRIM(Inputs!$B$15))="MANNING",UPPER(TRIM(Inputs!$B$15))="M"),W12,IF(OR(UPPER(TRIM(Inputs!$B$15))="MAX",UPPER(TRIM(Inputs!$B$15))="X"),MAX(V12,W12),V12)))</f>
        <v/>
      </c>
      <c r="Y12" s="8">
        <f>IF(A12="","",IF(UPPER(TRIM(B12))="TRENCH",K12*L12*N12,IF(UPPER(TRIM(B12))="SWALE",K12*L12,0)))</f>
        <v/>
      </c>
      <c r="Z12" s="8">
        <f>IF(OR(Y12="",F12=""),"",Y12*F12)</f>
        <v/>
      </c>
      <c r="AA12" s="4">
        <f>IF(A12="","",IF(OR(U12&gt;1,AND(X12&lt;&gt;"",X12&lt;Inputs!$B$16),AND(X12&lt;&gt;"",X12&gt;Inputs!$B$17),G12&lt;Inputs!$B$18,AH12="CHECK"),"CHECK","OK"))</f>
        <v/>
      </c>
      <c r="AB12" s="4" t="inlineStr">
        <is>
          <t>Ouest segment aval en conduite DN300 vers E04.</t>
        </is>
      </c>
      <c r="AC12" s="7" t="n"/>
      <c r="AD12" s="8">
        <f>IF(A12="","",IF(AC12&lt;&gt;"",AC12,IF(E12="",Inputs!$B$38,IFERROR(INDEX($AE$4:$AE$204,MATCH(E12,$A$4:$A$204,0))+IF(OR(AND(UPPER(TRIM(B12))="SWALE",UPPER(TRIM(AI12))="PIPE"),AND(UPPER(TRIM(B12))="TRENCH",UPPER(TRIM(AI12))="PIPE")),Inputs!$B$57,0),""))))</f>
        <v/>
      </c>
      <c r="AE12" s="8">
        <f>IF(OR(AD12="",F12="",G12=""),"",AD12+F12*G12)</f>
        <v/>
      </c>
      <c r="AF12" s="8">
        <f>IF(OR(E12="",A12=""),"",IFERROR(INDEX($AE$4:$AE$204,MATCH(E12,$A$4:$A$204,0)),""))</f>
        <v/>
      </c>
      <c r="AG12" s="8">
        <f>IF(OR(AD12="",AF12=""),"",AD12-AF12)</f>
        <v/>
      </c>
      <c r="AH12" s="4">
        <f>IF(A12="","",IF(E12="","TERMINAL",IF(OR(AND(UPPER(TRIM(B12))="SWALE",UPPER(TRIM(AI12))="PIPE"),AND(UPPER(TRIM(B12))="TRENCH",UPPER(TRIM(AI12))="PIPE")),IF(OR(AG12="",AJ12="",AK12=""),"INFO",IF(AND(AG12&gt;=AJ12,AG12&lt;=AK12),"OK","CHECK")),IF(AG12="","INFO",IF(ABS(AG12)&lt;=Inputs!$B$54,"OK","CHECK")))))</f>
        <v/>
      </c>
      <c r="AI12" s="17">
        <f>IF(A12="","",IF(E12="","",IFERROR(INDEX($B$4:$B$204,MATCH(E12,$A$4:$A$204,0)),"")))</f>
        <v/>
      </c>
      <c r="AJ12" s="17">
        <f>IF(A12="","",IF(OR(AND(UPPER(TRIM(B12))="SWALE",UPPER(TRIM(AI12))="PIPE"),AND(UPPER(TRIM(B12))="TRENCH",UPPER(TRIM(AI12))="PIPE")),Inputs!$B$55,0))</f>
        <v/>
      </c>
      <c r="AK12" s="17">
        <f>IF(A12="","",IF(OR(AND(UPPER(TRIM(B12))="SWALE",UPPER(TRIM(AI12))="PIPE"),AND(UPPER(TRIM(B12))="TRENCH",UPPER(TRIM(AI12))="PIPE")),Inputs!$B$56,Inputs!$B$54))</f>
        <v/>
      </c>
      <c r="AL12" s="4">
        <f>IF(A12="","",IF(E12="","TERMINAL",IF(OR(AND(UPPER(TRIM(B12))="SWALE",UPPER(TRIM(AI12))="PIPE"),AND(UPPER(TRIM(B12))="TRENCH",UPPER(TRIM(AI12))="PIPE")),IF(OR(AG12="",AJ12="",AK12=""),"INFO",IF(AND(AG12&gt;=AJ12,AG12&lt;=AK12),"OK","CHECK")),"N/A")))</f>
        <v/>
      </c>
    </row>
    <row r="13">
      <c r="A13" s="4" t="n"/>
      <c r="B13" s="4" t="n"/>
      <c r="C13" s="4" t="n"/>
      <c r="D13" s="4" t="n"/>
      <c r="E13" s="4" t="n"/>
      <c r="F13" s="7" t="n"/>
      <c r="G13" s="7" t="n"/>
      <c r="H13" s="7" t="n"/>
      <c r="I13" s="8">
        <f>IF(A13="","",IF(H13&lt;&gt;"",H13,IF(UPPER(TRIM(B13))="PIPE",Inputs!$B$7,IF(UPPER(TRIM(B13))="SWALE",Inputs!$B$8,Inputs!$B$9))))</f>
        <v/>
      </c>
      <c r="J13" s="7" t="n"/>
      <c r="K13" s="7" t="n"/>
      <c r="L13" s="7" t="n"/>
      <c r="M13" s="7" t="n"/>
      <c r="N13" s="7" t="n"/>
      <c r="O13" s="8">
        <f>IF(A13="","",SUMIFS(Zones_tributaires!$I:$I,Zones_tributaires!$J:$J,$A13))</f>
        <v/>
      </c>
      <c r="P13" s="8">
        <f>IF(A13="","",SUMIFS($Q$4:$Q$204,$E$4:$E$204,$A13))</f>
        <v/>
      </c>
      <c r="Q13" s="8">
        <f>IF(A13="","",(O13+P13)*Inputs!$B$6)</f>
        <v/>
      </c>
      <c r="R13" s="8">
        <f>IF(A13="","",IF(UPPER(TRIM(B13))="PIPE",PI()*(J13/1000)^2/4,IF(OR(K13="",L13=""),"",L13*(K13+M13*L13))))</f>
        <v/>
      </c>
      <c r="S13" s="8">
        <f>IF(A13="","",IF(UPPER(TRIM(B13))="PIPE",(J13/1000)/4,IF(OR(R13="",K13="",L13=""),"",R13/(K13+2*L13*SQRT(1+M13^2)))))</f>
        <v/>
      </c>
      <c r="T13" s="8">
        <f>IF(A13="","",IF(OR(I13="",R13="",S13="",G13=""),"",(1/I13)*R13*(S13^(2/3))*SQRT(G13)))</f>
        <v/>
      </c>
      <c r="U13" s="8">
        <f>IF(OR(T13="",Q13=""),"",Q13/(T13*Inputs!$B$19))</f>
        <v/>
      </c>
      <c r="V13" s="8">
        <f>IF(OR(R13="",Q13=""),"",Q13/R13)</f>
        <v/>
      </c>
      <c r="W13" s="8">
        <f>IF(OR(R13="",T13=""),"",T13/R13)</f>
        <v/>
      </c>
      <c r="X13" s="8">
        <f>IF(A13="","",IF(OR(UPPER(TRIM(Inputs!$B$15))="MANNING",UPPER(TRIM(Inputs!$B$15))="M"),W13,IF(OR(UPPER(TRIM(Inputs!$B$15))="MAX",UPPER(TRIM(Inputs!$B$15))="X"),MAX(V13,W13),V13)))</f>
        <v/>
      </c>
      <c r="Y13" s="8">
        <f>IF(A13="","",IF(UPPER(TRIM(B13))="TRENCH",K13*L13*N13,IF(UPPER(TRIM(B13))="SWALE",K13*L13,0)))</f>
        <v/>
      </c>
      <c r="Z13" s="8">
        <f>IF(OR(Y13="",F13=""),"",Y13*F13)</f>
        <v/>
      </c>
      <c r="AA13" s="4">
        <f>IF(A13="","",IF(OR(U13&gt;1,AND(X13&lt;&gt;"",X13&lt;Inputs!$B$16),AND(X13&lt;&gt;"",X13&gt;Inputs!$B$17),G13&lt;Inputs!$B$18,AH13="CHECK"),"CHECK","OK"))</f>
        <v/>
      </c>
      <c r="AB13" s="4" t="n"/>
      <c r="AC13" s="7" t="n"/>
      <c r="AD13" s="8">
        <f>IF(A13="","",IF(AC13&lt;&gt;"",AC13,IF(E13="",Inputs!$B$38,IFERROR(INDEX($AE$4:$AE$204,MATCH(E13,$A$4:$A$204,0))+IF(OR(AND(UPPER(TRIM(B13))="SWALE",UPPER(TRIM(AI13))="PIPE"),AND(UPPER(TRIM(B13))="TRENCH",UPPER(TRIM(AI13))="PIPE")),Inputs!$B$57,0),""))))</f>
        <v/>
      </c>
      <c r="AE13" s="8">
        <f>IF(OR(AD13="",F13="",G13=""),"",AD13+F13*G13)</f>
        <v/>
      </c>
      <c r="AF13" s="8">
        <f>IF(OR(E13="",A13=""),"",IFERROR(INDEX($AE$4:$AE$204,MATCH(E13,$A$4:$A$204,0)),""))</f>
        <v/>
      </c>
      <c r="AG13" s="8">
        <f>IF(OR(AD13="",AF13=""),"",AD13-AF13)</f>
        <v/>
      </c>
      <c r="AH13" s="4">
        <f>IF(A13="","",IF(E13="","TERMINAL",IF(OR(AND(UPPER(TRIM(B13))="SWALE",UPPER(TRIM(AI13))="PIPE"),AND(UPPER(TRIM(B13))="TRENCH",UPPER(TRIM(AI13))="PIPE")),IF(OR(AG13="",AJ13="",AK13=""),"INFO",IF(AND(AG13&gt;=AJ13,AG13&lt;=AK13),"OK","CHECK")),IF(AG13="","INFO",IF(ABS(AG13)&lt;=Inputs!$B$54,"OK","CHECK")))))</f>
        <v/>
      </c>
      <c r="AI13" s="17">
        <f>IF(A13="","",IF(E13="","",IFERROR(INDEX($B$4:$B$204,MATCH(E13,$A$4:$A$204,0)),"")))</f>
        <v/>
      </c>
      <c r="AJ13" s="17">
        <f>IF(A13="","",IF(OR(AND(UPPER(TRIM(B13))="SWALE",UPPER(TRIM(AI13))="PIPE"),AND(UPPER(TRIM(B13))="TRENCH",UPPER(TRIM(AI13))="PIPE")),Inputs!$B$55,0))</f>
        <v/>
      </c>
      <c r="AK13" s="17">
        <f>IF(A13="","",IF(OR(AND(UPPER(TRIM(B13))="SWALE",UPPER(TRIM(AI13))="PIPE"),AND(UPPER(TRIM(B13))="TRENCH",UPPER(TRIM(AI13))="PIPE")),Inputs!$B$56,Inputs!$B$54))</f>
        <v/>
      </c>
      <c r="AL13" s="4">
        <f>IF(A13="","",IF(E13="","TERMINAL",IF(OR(AND(UPPER(TRIM(B13))="SWALE",UPPER(TRIM(AI13))="PIPE"),AND(UPPER(TRIM(B13))="TRENCH",UPPER(TRIM(AI13))="PIPE")),IF(OR(AG13="",AJ13="",AK13=""),"INFO",IF(AND(AG13&gt;=AJ13,AG13&lt;=AK13),"OK","CHECK")),"N/A")))</f>
        <v/>
      </c>
    </row>
    <row r="14">
      <c r="A14" s="4" t="inlineStr">
        <is>
          <t>E07</t>
        </is>
      </c>
      <c r="B14" s="4" t="inlineStr">
        <is>
          <t>PIPE</t>
        </is>
      </c>
      <c r="C14" s="4" t="inlineStr">
        <is>
          <t>J-BASSIN-IN</t>
        </is>
      </c>
      <c r="D14" s="4" t="inlineStr">
        <is>
          <t>BASSIN-RET</t>
        </is>
      </c>
      <c r="E14" s="4" t="inlineStr"/>
      <c r="F14" s="7" t="n">
        <v>1</v>
      </c>
      <c r="G14" s="7" t="n">
        <v>0.005</v>
      </c>
      <c r="H14" s="7" t="inlineStr"/>
      <c r="I14" s="8">
        <f>IF(A14="","",IF(H14&lt;&gt;"",H14,IF(UPPER(TRIM(B14))="PIPE",Inputs!$B$7,IF(UPPER(TRIM(B14))="SWALE",Inputs!$B$8,Inputs!$B$9))))</f>
        <v/>
      </c>
      <c r="J14" s="7" t="n">
        <v>450</v>
      </c>
      <c r="K14" s="7" t="inlineStr"/>
      <c r="L14" s="7" t="inlineStr"/>
      <c r="M14" s="7" t="inlineStr"/>
      <c r="N14" s="7" t="n">
        <v>0</v>
      </c>
      <c r="O14" s="8">
        <f>IF(A14="","",SUMIFS(Zones_tributaires!$I:$I,Zones_tributaires!$J:$J,$A14))</f>
        <v/>
      </c>
      <c r="P14" s="8">
        <f>IF(A14="","",SUMIFS($Q$4:$Q$204,$E$4:$E$204,$A14))</f>
        <v/>
      </c>
      <c r="Q14" s="8">
        <f>IF(A14="","",(O14+P14)*Inputs!$B$6)</f>
        <v/>
      </c>
      <c r="R14" s="8">
        <f>IF(A14="","",IF(UPPER(TRIM(B14))="PIPE",PI()*(J14/1000)^2/4,IF(OR(K14="",L14=""),"",L14*(K14+M14*L14))))</f>
        <v/>
      </c>
      <c r="S14" s="8">
        <f>IF(A14="","",IF(UPPER(TRIM(B14))="PIPE",(J14/1000)/4,IF(OR(R14="",K14="",L14=""),"",R14/(K14+2*L14*SQRT(1+M14^2)))))</f>
        <v/>
      </c>
      <c r="T14" s="8">
        <f>IF(A14="","",IF(OR(I14="",R14="",S14="",G14=""),"",(1/I14)*R14*(S14^(2/3))*SQRT(G14)))</f>
        <v/>
      </c>
      <c r="U14" s="8">
        <f>IF(OR(T14="",Q14=""),"",Q14/(T14*Inputs!$B$19))</f>
        <v/>
      </c>
      <c r="V14" s="8">
        <f>IF(OR(R14="",Q14=""),"",Q14/R14)</f>
        <v/>
      </c>
      <c r="W14" s="8">
        <f>IF(OR(R14="",T14=""),"",T14/R14)</f>
        <v/>
      </c>
      <c r="X14" s="8">
        <f>IF(A14="","",IF(OR(UPPER(TRIM(Inputs!$B$15))="MANNING",UPPER(TRIM(Inputs!$B$15))="M"),W14,IF(OR(UPPER(TRIM(Inputs!$B$15))="MAX",UPPER(TRIM(Inputs!$B$15))="X"),MAX(V14,W14),V14)))</f>
        <v/>
      </c>
      <c r="Y14" s="8">
        <f>IF(A14="","",IF(UPPER(TRIM(B14))="TRENCH",K14*L14*N14,IF(UPPER(TRIM(B14))="SWALE",K14*L14,0)))</f>
        <v/>
      </c>
      <c r="Z14" s="8">
        <f>IF(OR(Y14="",F14=""),"",Y14*F14)</f>
        <v/>
      </c>
      <c r="AA14" s="4">
        <f>IF(A14="","",IF(OR(U14&gt;1,AND(X14&lt;&gt;"",X14&lt;Inputs!$B$16),AND(X14&lt;&gt;"",X14&gt;Inputs!$B$17),G14&lt;Inputs!$B$18,AH14="CHECK"),"CHECK","OK"))</f>
        <v/>
      </c>
      <c r="AB14" s="4" t="inlineStr">
        <is>
          <t>Courte liaison d'entree/ouvrage de regulation vers noeud de stockage BASSIN-RET.</t>
        </is>
      </c>
      <c r="AC14" s="7" t="n"/>
      <c r="AD14" s="8">
        <f>IF(A14="","",IF(AC14&lt;&gt;"",AC14,IF(E14="",Inputs!$B$38,IFERROR(INDEX($AE$4:$AE$204,MATCH(E14,$A$4:$A$204,0))+IF(OR(AND(UPPER(TRIM(B14))="SWALE",UPPER(TRIM(AI14))="PIPE"),AND(UPPER(TRIM(B14))="TRENCH",UPPER(TRIM(AI14))="PIPE")),Inputs!$B$57,0),""))))</f>
        <v/>
      </c>
      <c r="AE14" s="8">
        <f>IF(OR(AD14="",F14="",G14=""),"",AD14+F14*G14)</f>
        <v/>
      </c>
      <c r="AF14" s="8">
        <f>IF(OR(E14="",A14=""),"",IFERROR(INDEX($AE$4:$AE$204,MATCH(E14,$A$4:$A$204,0)),""))</f>
        <v/>
      </c>
      <c r="AG14" s="8">
        <f>IF(OR(AD14="",AF14=""),"",AD14-AF14)</f>
        <v/>
      </c>
      <c r="AH14" s="4">
        <f>IF(A14="","",IF(E14="","TERMINAL",IF(OR(AND(UPPER(TRIM(B14))="SWALE",UPPER(TRIM(AI14))="PIPE"),AND(UPPER(TRIM(B14))="TRENCH",UPPER(TRIM(AI14))="PIPE")),IF(OR(AG14="",AJ14="",AK14=""),"INFO",IF(AND(AG14&gt;=AJ14,AG14&lt;=AK14),"OK","CHECK")),IF(AG14="","INFO",IF(ABS(AG14)&lt;=Inputs!$B$54,"OK","CHECK")))))</f>
        <v/>
      </c>
      <c r="AI14" s="17">
        <f>IF(A14="","",IF(E14="","",IFERROR(INDEX($B$4:$B$204,MATCH(E14,$A$4:$A$204,0)),"")))</f>
        <v/>
      </c>
      <c r="AJ14" s="17">
        <f>IF(A14="","",IF(OR(AND(UPPER(TRIM(B14))="SWALE",UPPER(TRIM(AI14))="PIPE"),AND(UPPER(TRIM(B14))="TRENCH",UPPER(TRIM(AI14))="PIPE")),Inputs!$B$55,0))</f>
        <v/>
      </c>
      <c r="AK14" s="17">
        <f>IF(A14="","",IF(OR(AND(UPPER(TRIM(B14))="SWALE",UPPER(TRIM(AI14))="PIPE"),AND(UPPER(TRIM(B14))="TRENCH",UPPER(TRIM(AI14))="PIPE")),Inputs!$B$56,Inputs!$B$54))</f>
        <v/>
      </c>
      <c r="AL14" s="4">
        <f>IF(A14="","",IF(E14="","TERMINAL",IF(OR(AND(UPPER(TRIM(B14))="SWALE",UPPER(TRIM(AI14))="PIPE"),AND(UPPER(TRIM(B14))="TRENCH",UPPER(TRIM(AI14))="PIPE")),IF(OR(AG14="",AJ14="",AK14=""),"INFO",IF(AND(AG14&gt;=AJ14,AG14&lt;=AK14),"OK","CHECK")),"N/A")))</f>
        <v/>
      </c>
    </row>
    <row r="15">
      <c r="A15" s="4" t="inlineStr">
        <is>
          <t>E08</t>
        </is>
      </c>
      <c r="B15" s="4" t="inlineStr">
        <is>
          <t>PIPE</t>
        </is>
      </c>
      <c r="C15" s="4" t="inlineStr">
        <is>
          <t>J-BASSIN-OUEST</t>
        </is>
      </c>
      <c r="D15" s="4" t="inlineStr">
        <is>
          <t>BASSIN-RET</t>
        </is>
      </c>
      <c r="E15" s="4" t="inlineStr"/>
      <c r="F15" s="7" t="n">
        <v>1</v>
      </c>
      <c r="G15" s="7" t="n">
        <v>0.005</v>
      </c>
      <c r="H15" s="7" t="n"/>
      <c r="I15" s="8">
        <f>IF(A15="","",IF(H15&lt;&gt;"",H15,IF(UPPER(TRIM(B15))="PIPE",Inputs!$B$7,IF(UPPER(TRIM(B15))="SWALE",Inputs!$B$8,Inputs!$B$9))))</f>
        <v/>
      </c>
      <c r="J15" s="7" t="n">
        <v>375</v>
      </c>
      <c r="K15" s="7" t="inlineStr"/>
      <c r="L15" s="7" t="inlineStr"/>
      <c r="M15" s="7" t="inlineStr"/>
      <c r="N15" s="7" t="n">
        <v>0</v>
      </c>
      <c r="O15" s="8">
        <f>IF(A15="","",SUMIFS(Zones_tributaires!$I:$I,Zones_tributaires!$J:$J,$A15))</f>
        <v/>
      </c>
      <c r="P15" s="8">
        <f>IF(A15="","",SUMIFS($Q$4:$Q$204,$E$4:$E$204,$A15))</f>
        <v/>
      </c>
      <c r="Q15" s="8">
        <f>IF(A15="","",(O15+P15)*Inputs!$B$6)</f>
        <v/>
      </c>
      <c r="R15" s="8">
        <f>IF(A15="","",IF(UPPER(TRIM(B15))="PIPE",PI()*(J15/1000)^2/4,IF(OR(K15="",L15=""),"",L15*(K15+M15*L15))))</f>
        <v/>
      </c>
      <c r="S15" s="8">
        <f>IF(A15="","",IF(UPPER(TRIM(B15))="PIPE",(J15/1000)/4,IF(OR(R15="",K15="",L15=""),"",R15/(K15+2*L15*SQRT(1+M15^2)))))</f>
        <v/>
      </c>
      <c r="T15" s="8">
        <f>IF(A15="","",IF(OR(I15="",R15="",S15="",G15=""),"",(1/I15)*R15*(S15^(2/3))*SQRT(G15)))</f>
        <v/>
      </c>
      <c r="U15" s="8">
        <f>IF(OR(T15="",Q15=""),"",Q15/(T15*Inputs!$B$19))</f>
        <v/>
      </c>
      <c r="V15" s="8">
        <f>IF(OR(R15="",Q15=""),"",Q15/R15)</f>
        <v/>
      </c>
      <c r="W15" s="8">
        <f>IF(OR(R15="",T15=""),"",T15/R15)</f>
        <v/>
      </c>
      <c r="X15" s="8">
        <f>IF(A15="","",IF(OR(UPPER(TRIM(Inputs!$B$15))="MANNING",UPPER(TRIM(Inputs!$B$15))="M"),W15,IF(OR(UPPER(TRIM(Inputs!$B$15))="MAX",UPPER(TRIM(Inputs!$B$15))="X"),MAX(V15,W15),V15)))</f>
        <v/>
      </c>
      <c r="Y15" s="8">
        <f>IF(A15="","",IF(UPPER(TRIM(B15))="TRENCH",K15*L15*N15,IF(UPPER(TRIM(B15))="SWALE",K15*L15,0)))</f>
        <v/>
      </c>
      <c r="Z15" s="8">
        <f>IF(OR(Y15="",F15=""),"",Y15*F15)</f>
        <v/>
      </c>
      <c r="AA15" s="4">
        <f>IF(A15="","",IF(OR(U15&gt;1,AND(X15&lt;&gt;"",X15&lt;Inputs!$B$16),AND(X15&lt;&gt;"",X15&gt;Inputs!$B$17),G15&lt;Inputs!$B$18,AH15="CHECK"),"CHECK","OK"))</f>
        <v/>
      </c>
      <c r="AB15" s="4" t="inlineStr">
        <is>
          <t>Entree OUEST: liaison caniveau/ouvrage vers bassin (2e entree).</t>
        </is>
      </c>
      <c r="AC15" s="7" t="n"/>
      <c r="AD15" s="8">
        <f>IF(A15="","",IF(AC15&lt;&gt;"",AC15,IF(E15="",Inputs!$B$38,IFERROR(INDEX($AE$4:$AE$204,MATCH(E15,$A$4:$A$204,0))+IF(OR(AND(UPPER(TRIM(B15))="SWALE",UPPER(TRIM(AI15))="PIPE"),AND(UPPER(TRIM(B15))="TRENCH",UPPER(TRIM(AI15))="PIPE")),Inputs!$B$57,0),""))))</f>
        <v/>
      </c>
      <c r="AE15" s="8">
        <f>IF(OR(AD15="",F15="",G15=""),"",AD15+F15*G15)</f>
        <v/>
      </c>
      <c r="AF15" s="8">
        <f>IF(OR(E15="",A15=""),"",IFERROR(INDEX($AE$4:$AE$204,MATCH(E15,$A$4:$A$204,0)),""))</f>
        <v/>
      </c>
      <c r="AG15" s="8">
        <f>IF(OR(AD15="",AF15=""),"",AD15-AF15)</f>
        <v/>
      </c>
      <c r="AH15" s="4">
        <f>IF(A15="","",IF(E15="","TERMINAL",IF(OR(AND(UPPER(TRIM(B15))="SWALE",UPPER(TRIM(AI15))="PIPE"),AND(UPPER(TRIM(B15))="TRENCH",UPPER(TRIM(AI15))="PIPE")),IF(OR(AG15="",AJ15="",AK15=""),"INFO",IF(AND(AG15&gt;=AJ15,AG15&lt;=AK15),"OK","CHECK")),IF(AG15="","INFO",IF(ABS(AG15)&lt;=Inputs!$B$54,"OK","CHECK")))))</f>
        <v/>
      </c>
      <c r="AI15" s="17">
        <f>IF(A15="","",IF(E15="","",IFERROR(INDEX($B$4:$B$204,MATCH(E15,$A$4:$A$204,0)),"")))</f>
        <v/>
      </c>
      <c r="AJ15" s="17">
        <f>IF(A15="","",IF(OR(AND(UPPER(TRIM(B15))="SWALE",UPPER(TRIM(AI15))="PIPE"),AND(UPPER(TRIM(B15))="TRENCH",UPPER(TRIM(AI15))="PIPE")),Inputs!$B$55,0))</f>
        <v/>
      </c>
      <c r="AK15" s="17">
        <f>IF(A15="","",IF(OR(AND(UPPER(TRIM(B15))="SWALE",UPPER(TRIM(AI15))="PIPE"),AND(UPPER(TRIM(B15))="TRENCH",UPPER(TRIM(AI15))="PIPE")),Inputs!$B$56,Inputs!$B$54))</f>
        <v/>
      </c>
      <c r="AL15" s="4">
        <f>IF(A15="","",IF(E15="","TERMINAL",IF(OR(AND(UPPER(TRIM(B15))="SWALE",UPPER(TRIM(AI15))="PIPE"),AND(UPPER(TRIM(B15))="TRENCH",UPPER(TRIM(AI15))="PIPE")),IF(OR(AG15="",AJ15="",AK15=""),"INFO",IF(AND(AG15&gt;=AJ15,AG15&lt;=AK15),"OK","CHECK")),"N/A")))</f>
        <v/>
      </c>
    </row>
    <row r="16">
      <c r="A16" s="4" t="inlineStr">
        <is>
          <t>E09</t>
        </is>
      </c>
      <c r="B16" s="4" t="inlineStr">
        <is>
          <t>PIPE</t>
        </is>
      </c>
      <c r="C16" s="4" t="inlineStr">
        <is>
          <t>J-MECH-OUT</t>
        </is>
      </c>
      <c r="D16" s="4" t="inlineStr">
        <is>
          <t>BASSIN-RET</t>
        </is>
      </c>
      <c r="E16" s="4" t="inlineStr"/>
      <c r="F16" s="7">
        <f>Inputs!$B$60</f>
        <v/>
      </c>
      <c r="G16" s="7" t="n">
        <v>0.005</v>
      </c>
      <c r="H16" s="7" t="inlineStr"/>
      <c r="I16" s="8">
        <f>IF(A16="","",IF(H16&lt;&gt;"",H16,IF(UPPER(TRIM(B16))="PIPE",Inputs!$B$7,IF(UPPER(TRIM(B16))="SWALE",Inputs!$B$8,Inputs!$B$9))))</f>
        <v/>
      </c>
      <c r="J16" s="7">
        <f>Inputs!$B$61</f>
        <v/>
      </c>
      <c r="K16" s="7" t="inlineStr"/>
      <c r="L16" s="7" t="inlineStr"/>
      <c r="M16" s="7" t="inlineStr"/>
      <c r="N16" s="7" t="n">
        <v>0</v>
      </c>
      <c r="O16" s="8">
        <f>IF(A16="","",SUMIFS(Zones_tributaires!$I:$I,Zones_tributaires!$J:$J,$A16))</f>
        <v/>
      </c>
      <c r="P16" s="8">
        <f>IF(A16="","",SUMIFS($Q$4:$Q$204,$E$4:$E$204,$A16))</f>
        <v/>
      </c>
      <c r="Q16" s="8">
        <f>IF(A16="","",(O16+P16)*Inputs!$B$6)</f>
        <v/>
      </c>
      <c r="R16" s="8">
        <f>IF(A16="","",IF(UPPER(TRIM(B16))="PIPE",PI()*(J16/1000)^2/4,IF(OR(K16="",L16=""),"",L16*(K16+M16*L16))))</f>
        <v/>
      </c>
      <c r="S16" s="8">
        <f>IF(A16="","",IF(UPPER(TRIM(B16))="PIPE",(J16/1000)/4,IF(OR(R16="",K16="",L16=""),"",R16/(K16+2*L16*SQRT(1+M16^2)))))</f>
        <v/>
      </c>
      <c r="T16" s="8">
        <f>IF(A16="","",IF(OR(I16="",R16="",S16="",G16=""),"",(1/I16)*R16*(S16^(2/3))*SQRT(G16)))</f>
        <v/>
      </c>
      <c r="U16" s="8">
        <f>IF(OR(T16="",Q16=""),"",Q16/(T16*Inputs!$B$19))</f>
        <v/>
      </c>
      <c r="V16" s="8">
        <f>IF(OR(R16="",Q16=""),"",Q16/R16)</f>
        <v/>
      </c>
      <c r="W16" s="8">
        <f>IF(OR(R16="",T16=""),"",T16/R16)</f>
        <v/>
      </c>
      <c r="X16" s="8">
        <f>IF(A16="","",IF(OR(UPPER(TRIM(Inputs!$B$15))="MANNING",UPPER(TRIM(Inputs!$B$15))="M"),W16,IF(OR(UPPER(TRIM(Inputs!$B$15))="MAX",UPPER(TRIM(Inputs!$B$15))="X"),MAX(V16,W16),V16)))</f>
        <v/>
      </c>
      <c r="Y16" s="8">
        <f>IF(A16="","",IF(UPPER(TRIM(B16))="TRENCH",K16*L16*N16,IF(UPPER(TRIM(B16))="SWALE",K16*L16,0)))</f>
        <v/>
      </c>
      <c r="Z16" s="8">
        <f>IF(OR(Y16="",F16=""),"",Y16*F16)</f>
        <v/>
      </c>
      <c r="AA16" s="4">
        <f>IF(A16="","",IF(OR(U16&gt;1,AND(X16&lt;&gt;"",X16&lt;Inputs!$B$16),AND(X16&lt;&gt;"",X16&gt;Inputs!$B$17),G16&lt;Inputs!$B$18,AH16="CHECK"),"CHECK","OK"))</f>
        <v/>
      </c>
      <c r="AB16" s="4" t="inlineStr">
        <is>
          <t>Apport puisards zone grise est via reseau interne mecanique (traversant batiment) vers bassin sud.</t>
        </is>
      </c>
      <c r="AC16" s="7" t="n"/>
      <c r="AD16" s="8">
        <f>IF(A16="","",IF(AC16&lt;&gt;"",AC16,IF(E16="",Inputs!$B$38,IFERROR(INDEX($AE$4:$AE$204,MATCH(E16,$A$4:$A$204,0))+IF(OR(AND(UPPER(TRIM(B16))="SWALE",UPPER(TRIM(AI16))="PIPE"),AND(UPPER(TRIM(B16))="TRENCH",UPPER(TRIM(AI16))="PIPE")),Inputs!$B$57,0),""))))</f>
        <v/>
      </c>
      <c r="AE16" s="8">
        <f>IF(OR(AD16="",F16="",G16=""),"",AD16+F16*G16)</f>
        <v/>
      </c>
      <c r="AF16" s="8">
        <f>IF(OR(E16="",A16=""),"",IFERROR(INDEX($AE$4:$AE$204,MATCH(E16,$A$4:$A$204,0)),""))</f>
        <v/>
      </c>
      <c r="AG16" s="8">
        <f>IF(OR(AD16="",AF16=""),"",AD16-AF16)</f>
        <v/>
      </c>
      <c r="AH16" s="4">
        <f>IF(A16="","",IF(E16="","TERMINAL",IF(OR(AND(UPPER(TRIM(B16))="SWALE",UPPER(TRIM(AI16))="PIPE"),AND(UPPER(TRIM(B16))="TRENCH",UPPER(TRIM(AI16))="PIPE")),IF(OR(AG16="",AJ16="",AK16=""),"INFO",IF(AND(AG16&gt;=AJ16,AG16&lt;=AK16),"OK","CHECK")),IF(AG16="","INFO",IF(ABS(AG16)&lt;=Inputs!$B$54,"OK","CHECK")))))</f>
        <v/>
      </c>
      <c r="AI16" s="17">
        <f>IF(A16="","",IF(E16="","",IFERROR(INDEX($B$4:$B$204,MATCH(E16,$A$4:$A$204,0)),"")))</f>
        <v/>
      </c>
      <c r="AJ16" s="17">
        <f>IF(A16="","",IF(OR(AND(UPPER(TRIM(B16))="SWALE",UPPER(TRIM(AI16))="PIPE"),AND(UPPER(TRIM(B16))="TRENCH",UPPER(TRIM(AI16))="PIPE")),Inputs!$B$55,0))</f>
        <v/>
      </c>
      <c r="AK16" s="17">
        <f>IF(A16="","",IF(OR(AND(UPPER(TRIM(B16))="SWALE",UPPER(TRIM(AI16))="PIPE"),AND(UPPER(TRIM(B16))="TRENCH",UPPER(TRIM(AI16))="PIPE")),Inputs!$B$56,Inputs!$B$54))</f>
        <v/>
      </c>
      <c r="AL16" s="4">
        <f>IF(A16="","",IF(E16="","TERMINAL",IF(OR(AND(UPPER(TRIM(B16))="SWALE",UPPER(TRIM(AI16))="PIPE"),AND(UPPER(TRIM(B16))="TRENCH",UPPER(TRIM(AI16))="PIPE")),IF(OR(AG16="",AJ16="",AK16=""),"INFO",IF(AND(AG16&gt;=AJ16,AG16&lt;=AK16),"OK","CHECK")),"N/A")))</f>
        <v/>
      </c>
    </row>
    <row r="17">
      <c r="A17" s="4" t="n"/>
      <c r="B17" s="4" t="n"/>
      <c r="C17" s="4" t="n"/>
      <c r="D17" s="4" t="n"/>
      <c r="E17" s="4" t="n"/>
      <c r="F17" s="7" t="n"/>
      <c r="G17" s="7" t="n"/>
      <c r="H17" s="7" t="n"/>
      <c r="I17" s="8">
        <f>IF(A17="","",IF(H17&lt;&gt;"",H17,IF(UPPER(TRIM(B17))="PIPE",Inputs!$B$7,IF(UPPER(TRIM(B17))="SWALE",Inputs!$B$8,Inputs!$B$9))))</f>
        <v/>
      </c>
      <c r="J17" s="7" t="n"/>
      <c r="K17" s="7" t="n"/>
      <c r="L17" s="7" t="n"/>
      <c r="M17" s="7" t="n"/>
      <c r="N17" s="7" t="n"/>
      <c r="O17" s="8">
        <f>IF(A17="","",SUMIFS(Zones_tributaires!$I:$I,Zones_tributaires!$J:$J,$A17))</f>
        <v/>
      </c>
      <c r="P17" s="8">
        <f>IF(A17="","",SUMIFS($Q$4:$Q$204,$E$4:$E$204,$A17))</f>
        <v/>
      </c>
      <c r="Q17" s="8">
        <f>IF(A17="","",(O17+P17)*Inputs!$B$6)</f>
        <v/>
      </c>
      <c r="R17" s="8">
        <f>IF(A17="","",IF(UPPER(TRIM(B17))="PIPE",PI()*(J17/1000)^2/4,IF(OR(K17="",L17=""),"",L17*(K17+M17*L17))))</f>
        <v/>
      </c>
      <c r="S17" s="8">
        <f>IF(A17="","",IF(UPPER(TRIM(B17))="PIPE",(J17/1000)/4,IF(OR(R17="",K17="",L17=""),"",R17/(K17+2*L17*SQRT(1+M17^2)))))</f>
        <v/>
      </c>
      <c r="T17" s="8">
        <f>IF(A17="","",IF(OR(I17="",R17="",S17="",G17=""),"",(1/I17)*R17*(S17^(2/3))*SQRT(G17)))</f>
        <v/>
      </c>
      <c r="U17" s="8">
        <f>IF(OR(T17="",Q17=""),"",Q17/(T17*Inputs!$B$19))</f>
        <v/>
      </c>
      <c r="V17" s="8">
        <f>IF(OR(R17="",Q17=""),"",Q17/R17)</f>
        <v/>
      </c>
      <c r="W17" s="8">
        <f>IF(OR(R17="",T17=""),"",T17/R17)</f>
        <v/>
      </c>
      <c r="X17" s="8">
        <f>IF(A17="","",IF(OR(UPPER(TRIM(Inputs!$B$15))="MANNING",UPPER(TRIM(Inputs!$B$15))="M"),W17,IF(OR(UPPER(TRIM(Inputs!$B$15))="MAX",UPPER(TRIM(Inputs!$B$15))="X"),MAX(V17,W17),V17)))</f>
        <v/>
      </c>
      <c r="Y17" s="8">
        <f>IF(A17="","",IF(UPPER(TRIM(B17))="TRENCH",K17*L17*N17,IF(UPPER(TRIM(B17))="SWALE",K17*L17,0)))</f>
        <v/>
      </c>
      <c r="Z17" s="8">
        <f>IF(OR(Y17="",F17=""),"",Y17*F17)</f>
        <v/>
      </c>
      <c r="AA17" s="4">
        <f>IF(A17="","",IF(OR(U17&gt;1,AND(X17&lt;&gt;"",X17&lt;Inputs!$B$16),AND(X17&lt;&gt;"",X17&gt;Inputs!$B$17),G17&lt;Inputs!$B$18,AH17="CHECK"),"CHECK","OK"))</f>
        <v/>
      </c>
      <c r="AB17" s="4" t="n"/>
      <c r="AC17" s="7" t="n"/>
      <c r="AD17" s="8">
        <f>IF(A17="","",IF(AC17&lt;&gt;"",AC17,IF(E17="",Inputs!$B$38,IFERROR(INDEX($AE$4:$AE$204,MATCH(E17,$A$4:$A$204,0))+IF(OR(AND(UPPER(TRIM(B17))="SWALE",UPPER(TRIM(AI17))="PIPE"),AND(UPPER(TRIM(B17))="TRENCH",UPPER(TRIM(AI17))="PIPE")),Inputs!$B$57,0),""))))</f>
        <v/>
      </c>
      <c r="AE17" s="8">
        <f>IF(OR(AD17="",F17="",G17=""),"",AD17+F17*G17)</f>
        <v/>
      </c>
      <c r="AF17" s="8">
        <f>IF(OR(E17="",A17=""),"",IFERROR(INDEX($AE$4:$AE$204,MATCH(E17,$A$4:$A$204,0)),""))</f>
        <v/>
      </c>
      <c r="AG17" s="8">
        <f>IF(OR(AD17="",AF17=""),"",AD17-AF17)</f>
        <v/>
      </c>
      <c r="AH17" s="4">
        <f>IF(A17="","",IF(E17="","TERMINAL",IF(OR(AND(UPPER(TRIM(B17))="SWALE",UPPER(TRIM(AI17))="PIPE"),AND(UPPER(TRIM(B17))="TRENCH",UPPER(TRIM(AI17))="PIPE")),IF(OR(AG17="",AJ17="",AK17=""),"INFO",IF(AND(AG17&gt;=AJ17,AG17&lt;=AK17),"OK","CHECK")),IF(AG17="","INFO",IF(ABS(AG17)&lt;=Inputs!$B$54,"OK","CHECK")))))</f>
        <v/>
      </c>
      <c r="AI17" s="17">
        <f>IF(A17="","",IF(E17="","",IFERROR(INDEX($B$4:$B$204,MATCH(E17,$A$4:$A$204,0)),"")))</f>
        <v/>
      </c>
      <c r="AJ17" s="17">
        <f>IF(A17="","",IF(OR(AND(UPPER(TRIM(B17))="SWALE",UPPER(TRIM(AI17))="PIPE"),AND(UPPER(TRIM(B17))="TRENCH",UPPER(TRIM(AI17))="PIPE")),Inputs!$B$55,0))</f>
        <v/>
      </c>
      <c r="AK17" s="17">
        <f>IF(A17="","",IF(OR(AND(UPPER(TRIM(B17))="SWALE",UPPER(TRIM(AI17))="PIPE"),AND(UPPER(TRIM(B17))="TRENCH",UPPER(TRIM(AI17))="PIPE")),Inputs!$B$56,Inputs!$B$54))</f>
        <v/>
      </c>
      <c r="AL17" s="4">
        <f>IF(A17="","",IF(E17="","TERMINAL",IF(OR(AND(UPPER(TRIM(B17))="SWALE",UPPER(TRIM(AI17))="PIPE"),AND(UPPER(TRIM(B17))="TRENCH",UPPER(TRIM(AI17))="PIPE")),IF(OR(AG17="",AJ17="",AK17=""),"INFO",IF(AND(AG17&gt;=AJ17,AG17&lt;=AK17),"OK","CHECK")),"N/A")))</f>
        <v/>
      </c>
    </row>
    <row r="18">
      <c r="A18" s="4" t="n"/>
      <c r="B18" s="4" t="n"/>
      <c r="C18" s="4" t="n"/>
      <c r="D18" s="4" t="n"/>
      <c r="E18" s="4" t="n"/>
      <c r="F18" s="7" t="n"/>
      <c r="G18" s="7" t="n"/>
      <c r="H18" s="7" t="n"/>
      <c r="I18" s="8">
        <f>IF(A18="","",IF(H18&lt;&gt;"",H18,IF(UPPER(TRIM(B18))="PIPE",Inputs!$B$7,IF(UPPER(TRIM(B18))="SWALE",Inputs!$B$8,Inputs!$B$9))))</f>
        <v/>
      </c>
      <c r="J18" s="7" t="n"/>
      <c r="K18" s="7" t="n"/>
      <c r="L18" s="7" t="n"/>
      <c r="M18" s="7" t="n"/>
      <c r="N18" s="7" t="n"/>
      <c r="O18" s="8">
        <f>IF(A18="","",SUMIFS(Zones_tributaires!$I:$I,Zones_tributaires!$J:$J,$A18))</f>
        <v/>
      </c>
      <c r="P18" s="8">
        <f>IF(A18="","",SUMIFS($Q$4:$Q$204,$E$4:$E$204,$A18))</f>
        <v/>
      </c>
      <c r="Q18" s="8">
        <f>IF(A18="","",(O18+P18)*Inputs!$B$6)</f>
        <v/>
      </c>
      <c r="R18" s="8">
        <f>IF(A18="","",IF(UPPER(TRIM(B18))="PIPE",PI()*(J18/1000)^2/4,IF(OR(K18="",L18=""),"",L18*(K18+M18*L18))))</f>
        <v/>
      </c>
      <c r="S18" s="8">
        <f>IF(A18="","",IF(UPPER(TRIM(B18))="PIPE",(J18/1000)/4,IF(OR(R18="",K18="",L18=""),"",R18/(K18+2*L18*SQRT(1+M18^2)))))</f>
        <v/>
      </c>
      <c r="T18" s="8">
        <f>IF(A18="","",IF(OR(I18="",R18="",S18="",G18=""),"",(1/I18)*R18*(S18^(2/3))*SQRT(G18)))</f>
        <v/>
      </c>
      <c r="U18" s="8">
        <f>IF(OR(T18="",Q18=""),"",Q18/(T18*Inputs!$B$19))</f>
        <v/>
      </c>
      <c r="V18" s="8">
        <f>IF(OR(R18="",Q18=""),"",Q18/R18)</f>
        <v/>
      </c>
      <c r="W18" s="8">
        <f>IF(OR(R18="",T18=""),"",T18/R18)</f>
        <v/>
      </c>
      <c r="X18" s="8">
        <f>IF(A18="","",IF(OR(UPPER(TRIM(Inputs!$B$15))="MANNING",UPPER(TRIM(Inputs!$B$15))="M"),W18,IF(OR(UPPER(TRIM(Inputs!$B$15))="MAX",UPPER(TRIM(Inputs!$B$15))="X"),MAX(V18,W18),V18)))</f>
        <v/>
      </c>
      <c r="Y18" s="8">
        <f>IF(A18="","",IF(UPPER(TRIM(B18))="TRENCH",K18*L18*N18,IF(UPPER(TRIM(B18))="SWALE",K18*L18,0)))</f>
        <v/>
      </c>
      <c r="Z18" s="8">
        <f>IF(OR(Y18="",F18=""),"",Y18*F18)</f>
        <v/>
      </c>
      <c r="AA18" s="4">
        <f>IF(A18="","",IF(OR(U18&gt;1,AND(X18&lt;&gt;"",X18&lt;Inputs!$B$16),AND(X18&lt;&gt;"",X18&gt;Inputs!$B$17),G18&lt;Inputs!$B$18,AH18="CHECK"),"CHECK","OK"))</f>
        <v/>
      </c>
      <c r="AB18" s="4" t="n"/>
      <c r="AC18" s="7" t="n"/>
      <c r="AD18" s="8">
        <f>IF(A18="","",IF(AC18&lt;&gt;"",AC18,IF(E18="",Inputs!$B$38,IFERROR(INDEX($AE$4:$AE$204,MATCH(E18,$A$4:$A$204,0))+IF(OR(AND(UPPER(TRIM(B18))="SWALE",UPPER(TRIM(AI18))="PIPE"),AND(UPPER(TRIM(B18))="TRENCH",UPPER(TRIM(AI18))="PIPE")),Inputs!$B$57,0),""))))</f>
        <v/>
      </c>
      <c r="AE18" s="8">
        <f>IF(OR(AD18="",F18="",G18=""),"",AD18+F18*G18)</f>
        <v/>
      </c>
      <c r="AF18" s="8">
        <f>IF(OR(E18="",A18=""),"",IFERROR(INDEX($AE$4:$AE$204,MATCH(E18,$A$4:$A$204,0)),""))</f>
        <v/>
      </c>
      <c r="AG18" s="8">
        <f>IF(OR(AD18="",AF18=""),"",AD18-AF18)</f>
        <v/>
      </c>
      <c r="AH18" s="4">
        <f>IF(A18="","",IF(E18="","TERMINAL",IF(OR(AND(UPPER(TRIM(B18))="SWALE",UPPER(TRIM(AI18))="PIPE"),AND(UPPER(TRIM(B18))="TRENCH",UPPER(TRIM(AI18))="PIPE")),IF(OR(AG18="",AJ18="",AK18=""),"INFO",IF(AND(AG18&gt;=AJ18,AG18&lt;=AK18),"OK","CHECK")),IF(AG18="","INFO",IF(ABS(AG18)&lt;=Inputs!$B$54,"OK","CHECK")))))</f>
        <v/>
      </c>
      <c r="AI18" s="17">
        <f>IF(A18="","",IF(E18="","",IFERROR(INDEX($B$4:$B$204,MATCH(E18,$A$4:$A$204,0)),"")))</f>
        <v/>
      </c>
      <c r="AJ18" s="17">
        <f>IF(A18="","",IF(OR(AND(UPPER(TRIM(B18))="SWALE",UPPER(TRIM(AI18))="PIPE"),AND(UPPER(TRIM(B18))="TRENCH",UPPER(TRIM(AI18))="PIPE")),Inputs!$B$55,0))</f>
        <v/>
      </c>
      <c r="AK18" s="17">
        <f>IF(A18="","",IF(OR(AND(UPPER(TRIM(B18))="SWALE",UPPER(TRIM(AI18))="PIPE"),AND(UPPER(TRIM(B18))="TRENCH",UPPER(TRIM(AI18))="PIPE")),Inputs!$B$56,Inputs!$B$54))</f>
        <v/>
      </c>
      <c r="AL18" s="4">
        <f>IF(A18="","",IF(E18="","TERMINAL",IF(OR(AND(UPPER(TRIM(B18))="SWALE",UPPER(TRIM(AI18))="PIPE"),AND(UPPER(TRIM(B18))="TRENCH",UPPER(TRIM(AI18))="PIPE")),IF(OR(AG18="",AJ18="",AK18=""),"INFO",IF(AND(AG18&gt;=AJ18,AG18&lt;=AK18),"OK","CHECK")),"N/A")))</f>
        <v/>
      </c>
    </row>
    <row r="19">
      <c r="A19" s="4" t="n"/>
      <c r="B19" s="4" t="n"/>
      <c r="C19" s="4" t="n"/>
      <c r="D19" s="4" t="n"/>
      <c r="E19" s="4" t="n"/>
      <c r="F19" s="7" t="n"/>
      <c r="G19" s="7" t="n"/>
      <c r="H19" s="7" t="n"/>
      <c r="I19" s="8">
        <f>IF(A19="","",IF(H19&lt;&gt;"",H19,IF(UPPER(TRIM(B19))="PIPE",Inputs!$B$7,IF(UPPER(TRIM(B19))="SWALE",Inputs!$B$8,Inputs!$B$9))))</f>
        <v/>
      </c>
      <c r="J19" s="7" t="n"/>
      <c r="K19" s="7" t="n"/>
      <c r="L19" s="7" t="n"/>
      <c r="M19" s="7" t="n"/>
      <c r="N19" s="7" t="n"/>
      <c r="O19" s="8">
        <f>IF(A19="","",SUMIFS(Zones_tributaires!$I:$I,Zones_tributaires!$J:$J,$A19))</f>
        <v/>
      </c>
      <c r="P19" s="8">
        <f>IF(A19="","",SUMIFS($Q$4:$Q$204,$E$4:$E$204,$A19))</f>
        <v/>
      </c>
      <c r="Q19" s="8">
        <f>IF(A19="","",(O19+P19)*Inputs!$B$6)</f>
        <v/>
      </c>
      <c r="R19" s="8">
        <f>IF(A19="","",IF(UPPER(TRIM(B19))="PIPE",PI()*(J19/1000)^2/4,IF(OR(K19="",L19=""),"",L19*(K19+M19*L19))))</f>
        <v/>
      </c>
      <c r="S19" s="8">
        <f>IF(A19="","",IF(UPPER(TRIM(B19))="PIPE",(J19/1000)/4,IF(OR(R19="",K19="",L19=""),"",R19/(K19+2*L19*SQRT(1+M19^2)))))</f>
        <v/>
      </c>
      <c r="T19" s="8">
        <f>IF(A19="","",IF(OR(I19="",R19="",S19="",G19=""),"",(1/I19)*R19*(S19^(2/3))*SQRT(G19)))</f>
        <v/>
      </c>
      <c r="U19" s="8">
        <f>IF(OR(T19="",Q19=""),"",Q19/(T19*Inputs!$B$19))</f>
        <v/>
      </c>
      <c r="V19" s="8">
        <f>IF(OR(R19="",Q19=""),"",Q19/R19)</f>
        <v/>
      </c>
      <c r="W19" s="8">
        <f>IF(OR(R19="",T19=""),"",T19/R19)</f>
        <v/>
      </c>
      <c r="X19" s="8">
        <f>IF(A19="","",IF(OR(UPPER(TRIM(Inputs!$B$15))="MANNING",UPPER(TRIM(Inputs!$B$15))="M"),W19,IF(OR(UPPER(TRIM(Inputs!$B$15))="MAX",UPPER(TRIM(Inputs!$B$15))="X"),MAX(V19,W19),V19)))</f>
        <v/>
      </c>
      <c r="Y19" s="8">
        <f>IF(A19="","",IF(UPPER(TRIM(B19))="TRENCH",K19*L19*N19,IF(UPPER(TRIM(B19))="SWALE",K19*L19,0)))</f>
        <v/>
      </c>
      <c r="Z19" s="8">
        <f>IF(OR(Y19="",F19=""),"",Y19*F19)</f>
        <v/>
      </c>
      <c r="AA19" s="4">
        <f>IF(A19="","",IF(OR(U19&gt;1,AND(X19&lt;&gt;"",X19&lt;Inputs!$B$16),AND(X19&lt;&gt;"",X19&gt;Inputs!$B$17),G19&lt;Inputs!$B$18,AH19="CHECK"),"CHECK","OK"))</f>
        <v/>
      </c>
      <c r="AB19" s="4" t="n"/>
      <c r="AC19" s="7" t="n"/>
      <c r="AD19" s="8">
        <f>IF(A19="","",IF(AC19&lt;&gt;"",AC19,IF(E19="",Inputs!$B$38,IFERROR(INDEX($AE$4:$AE$204,MATCH(E19,$A$4:$A$204,0))+IF(OR(AND(UPPER(TRIM(B19))="SWALE",UPPER(TRIM(AI19))="PIPE"),AND(UPPER(TRIM(B19))="TRENCH",UPPER(TRIM(AI19))="PIPE")),Inputs!$B$57,0),""))))</f>
        <v/>
      </c>
      <c r="AE19" s="8">
        <f>IF(OR(AD19="",F19="",G19=""),"",AD19+F19*G19)</f>
        <v/>
      </c>
      <c r="AF19" s="8">
        <f>IF(OR(E19="",A19=""),"",IFERROR(INDEX($AE$4:$AE$204,MATCH(E19,$A$4:$A$204,0)),""))</f>
        <v/>
      </c>
      <c r="AG19" s="8">
        <f>IF(OR(AD19="",AF19=""),"",AD19-AF19)</f>
        <v/>
      </c>
      <c r="AH19" s="4">
        <f>IF(A19="","",IF(E19="","TERMINAL",IF(OR(AND(UPPER(TRIM(B19))="SWALE",UPPER(TRIM(AI19))="PIPE"),AND(UPPER(TRIM(B19))="TRENCH",UPPER(TRIM(AI19))="PIPE")),IF(OR(AG19="",AJ19="",AK19=""),"INFO",IF(AND(AG19&gt;=AJ19,AG19&lt;=AK19),"OK","CHECK")),IF(AG19="","INFO",IF(ABS(AG19)&lt;=Inputs!$B$54,"OK","CHECK")))))</f>
        <v/>
      </c>
      <c r="AI19" s="17">
        <f>IF(A19="","",IF(E19="","",IFERROR(INDEX($B$4:$B$204,MATCH(E19,$A$4:$A$204,0)),"")))</f>
        <v/>
      </c>
      <c r="AJ19" s="17">
        <f>IF(A19="","",IF(OR(AND(UPPER(TRIM(B19))="SWALE",UPPER(TRIM(AI19))="PIPE"),AND(UPPER(TRIM(B19))="TRENCH",UPPER(TRIM(AI19))="PIPE")),Inputs!$B$55,0))</f>
        <v/>
      </c>
      <c r="AK19" s="17">
        <f>IF(A19="","",IF(OR(AND(UPPER(TRIM(B19))="SWALE",UPPER(TRIM(AI19))="PIPE"),AND(UPPER(TRIM(B19))="TRENCH",UPPER(TRIM(AI19))="PIPE")),Inputs!$B$56,Inputs!$B$54))</f>
        <v/>
      </c>
      <c r="AL19" s="4">
        <f>IF(A19="","",IF(E19="","TERMINAL",IF(OR(AND(UPPER(TRIM(B19))="SWALE",UPPER(TRIM(AI19))="PIPE"),AND(UPPER(TRIM(B19))="TRENCH",UPPER(TRIM(AI19))="PIPE")),IF(OR(AG19="",AJ19="",AK19=""),"INFO",IF(AND(AG19&gt;=AJ19,AG19&lt;=AK19),"OK","CHECK")),"N/A")))</f>
        <v/>
      </c>
    </row>
    <row r="20">
      <c r="A20" s="4" t="n"/>
      <c r="B20" s="4" t="n"/>
      <c r="C20" s="4" t="n"/>
      <c r="D20" s="4" t="n"/>
      <c r="E20" s="4" t="n"/>
      <c r="F20" s="7" t="n"/>
      <c r="G20" s="7" t="n"/>
      <c r="H20" s="7" t="n"/>
      <c r="I20" s="8">
        <f>IF(A20="","",IF(H20&lt;&gt;"",H20,IF(UPPER(TRIM(B20))="PIPE",Inputs!$B$7,IF(UPPER(TRIM(B20))="SWALE",Inputs!$B$8,Inputs!$B$9))))</f>
        <v/>
      </c>
      <c r="J20" s="7" t="n"/>
      <c r="K20" s="7" t="n"/>
      <c r="L20" s="7" t="n"/>
      <c r="M20" s="7" t="n"/>
      <c r="N20" s="7" t="n"/>
      <c r="O20" s="8">
        <f>IF(A20="","",SUMIFS(Zones_tributaires!$I:$I,Zones_tributaires!$J:$J,$A20))</f>
        <v/>
      </c>
      <c r="P20" s="8">
        <f>IF(A20="","",SUMIFS($Q$4:$Q$204,$E$4:$E$204,$A20))</f>
        <v/>
      </c>
      <c r="Q20" s="8">
        <f>IF(A20="","",(O20+P20)*Inputs!$B$6)</f>
        <v/>
      </c>
      <c r="R20" s="8">
        <f>IF(A20="","",IF(UPPER(TRIM(B20))="PIPE",PI()*(J20/1000)^2/4,IF(OR(K20="",L20=""),"",L20*(K20+M20*L20))))</f>
        <v/>
      </c>
      <c r="S20" s="8">
        <f>IF(A20="","",IF(UPPER(TRIM(B20))="PIPE",(J20/1000)/4,IF(OR(R20="",K20="",L20=""),"",R20/(K20+2*L20*SQRT(1+M20^2)))))</f>
        <v/>
      </c>
      <c r="T20" s="8">
        <f>IF(A20="","",IF(OR(I20="",R20="",S20="",G20=""),"",(1/I20)*R20*(S20^(2/3))*SQRT(G20)))</f>
        <v/>
      </c>
      <c r="U20" s="8">
        <f>IF(OR(T20="",Q20=""),"",Q20/(T20*Inputs!$B$19))</f>
        <v/>
      </c>
      <c r="V20" s="8">
        <f>IF(OR(R20="",Q20=""),"",Q20/R20)</f>
        <v/>
      </c>
      <c r="W20" s="8">
        <f>IF(OR(R20="",T20=""),"",T20/R20)</f>
        <v/>
      </c>
      <c r="X20" s="8">
        <f>IF(A20="","",IF(OR(UPPER(TRIM(Inputs!$B$15))="MANNING",UPPER(TRIM(Inputs!$B$15))="M"),W20,IF(OR(UPPER(TRIM(Inputs!$B$15))="MAX",UPPER(TRIM(Inputs!$B$15))="X"),MAX(V20,W20),V20)))</f>
        <v/>
      </c>
      <c r="Y20" s="8">
        <f>IF(A20="","",IF(UPPER(TRIM(B20))="TRENCH",K20*L20*N20,IF(UPPER(TRIM(B20))="SWALE",K20*L20,0)))</f>
        <v/>
      </c>
      <c r="Z20" s="8">
        <f>IF(OR(Y20="",F20=""),"",Y20*F20)</f>
        <v/>
      </c>
      <c r="AA20" s="4">
        <f>IF(A20="","",IF(OR(U20&gt;1,AND(X20&lt;&gt;"",X20&lt;Inputs!$B$16),AND(X20&lt;&gt;"",X20&gt;Inputs!$B$17),G20&lt;Inputs!$B$18,AH20="CHECK"),"CHECK","OK"))</f>
        <v/>
      </c>
      <c r="AB20" s="4" t="n"/>
      <c r="AC20" s="7" t="n"/>
      <c r="AD20" s="8">
        <f>IF(A20="","",IF(AC20&lt;&gt;"",AC20,IF(E20="",Inputs!$B$38,IFERROR(INDEX($AE$4:$AE$204,MATCH(E20,$A$4:$A$204,0))+IF(OR(AND(UPPER(TRIM(B20))="SWALE",UPPER(TRIM(AI20))="PIPE"),AND(UPPER(TRIM(B20))="TRENCH",UPPER(TRIM(AI20))="PIPE")),Inputs!$B$57,0),""))))</f>
        <v/>
      </c>
      <c r="AE20" s="8">
        <f>IF(OR(AD20="",F20="",G20=""),"",AD20+F20*G20)</f>
        <v/>
      </c>
      <c r="AF20" s="8">
        <f>IF(OR(E20="",A20=""),"",IFERROR(INDEX($AE$4:$AE$204,MATCH(E20,$A$4:$A$204,0)),""))</f>
        <v/>
      </c>
      <c r="AG20" s="8">
        <f>IF(OR(AD20="",AF20=""),"",AD20-AF20)</f>
        <v/>
      </c>
      <c r="AH20" s="4">
        <f>IF(A20="","",IF(E20="","TERMINAL",IF(OR(AND(UPPER(TRIM(B20))="SWALE",UPPER(TRIM(AI20))="PIPE"),AND(UPPER(TRIM(B20))="TRENCH",UPPER(TRIM(AI20))="PIPE")),IF(OR(AG20="",AJ20="",AK20=""),"INFO",IF(AND(AG20&gt;=AJ20,AG20&lt;=AK20),"OK","CHECK")),IF(AG20="","INFO",IF(ABS(AG20)&lt;=Inputs!$B$54,"OK","CHECK")))))</f>
        <v/>
      </c>
      <c r="AI20" s="17">
        <f>IF(A20="","",IF(E20="","",IFERROR(INDEX($B$4:$B$204,MATCH(E20,$A$4:$A$204,0)),"")))</f>
        <v/>
      </c>
      <c r="AJ20" s="17">
        <f>IF(A20="","",IF(OR(AND(UPPER(TRIM(B20))="SWALE",UPPER(TRIM(AI20))="PIPE"),AND(UPPER(TRIM(B20))="TRENCH",UPPER(TRIM(AI20))="PIPE")),Inputs!$B$55,0))</f>
        <v/>
      </c>
      <c r="AK20" s="17">
        <f>IF(A20="","",IF(OR(AND(UPPER(TRIM(B20))="SWALE",UPPER(TRIM(AI20))="PIPE"),AND(UPPER(TRIM(B20))="TRENCH",UPPER(TRIM(AI20))="PIPE")),Inputs!$B$56,Inputs!$B$54))</f>
        <v/>
      </c>
      <c r="AL20" s="4">
        <f>IF(A20="","",IF(E20="","TERMINAL",IF(OR(AND(UPPER(TRIM(B20))="SWALE",UPPER(TRIM(AI20))="PIPE"),AND(UPPER(TRIM(B20))="TRENCH",UPPER(TRIM(AI20))="PIPE")),IF(OR(AG20="",AJ20="",AK20=""),"INFO",IF(AND(AG20&gt;=AJ20,AG20&lt;=AK20),"OK","CHECK")),"N/A")))</f>
        <v/>
      </c>
    </row>
    <row r="21">
      <c r="A21" s="4" t="n"/>
      <c r="B21" s="4" t="n"/>
      <c r="C21" s="4" t="n"/>
      <c r="D21" s="4" t="n"/>
      <c r="E21" s="4" t="n"/>
      <c r="F21" s="7" t="n"/>
      <c r="G21" s="7" t="n"/>
      <c r="H21" s="7" t="n"/>
      <c r="I21" s="8">
        <f>IF(A21="","",IF(H21&lt;&gt;"",H21,IF(UPPER(TRIM(B21))="PIPE",Inputs!$B$7,IF(UPPER(TRIM(B21))="SWALE",Inputs!$B$8,Inputs!$B$9))))</f>
        <v/>
      </c>
      <c r="J21" s="7" t="n"/>
      <c r="K21" s="7" t="n"/>
      <c r="L21" s="7" t="n"/>
      <c r="M21" s="7" t="n"/>
      <c r="N21" s="7" t="n">
        <v>0</v>
      </c>
      <c r="O21" s="8">
        <f>IF(A21="","",SUMIFS(Zones_tributaires!$I:$I,Zones_tributaires!$J:$J,$A21))</f>
        <v/>
      </c>
      <c r="P21" s="8">
        <f>IF(A21="","",SUMIFS($Q$4:$Q$204,$E$4:$E$204,$A21))</f>
        <v/>
      </c>
      <c r="Q21" s="8">
        <f>IF(A21="","",(O21+P21)*Inputs!$B$6)</f>
        <v/>
      </c>
      <c r="R21" s="8">
        <f>IF(A21="","",IF(UPPER(TRIM(B21))="PIPE",PI()*(J21/1000)^2/4,IF(OR(K21="",L21=""),"",L21*(K21+M21*L21))))</f>
        <v/>
      </c>
      <c r="S21" s="8">
        <f>IF(A21="","",IF(UPPER(TRIM(B21))="PIPE",(J21/1000)/4,IF(OR(R21="",K21="",L21=""),"",R21/(K21+2*L21*SQRT(1+M21^2)))))</f>
        <v/>
      </c>
      <c r="T21" s="8">
        <f>IF(A21="","",IF(OR(I21="",R21="",S21="",G21=""),"",(1/I21)*R21*(S21^(2/3))*SQRT(G21)))</f>
        <v/>
      </c>
      <c r="U21" s="8">
        <f>IF(OR(T21="",Q21=""),"",Q21/(T21*Inputs!$B$19))</f>
        <v/>
      </c>
      <c r="V21" s="8">
        <f>IF(OR(R21="",Q21=""),"",Q21/R21)</f>
        <v/>
      </c>
      <c r="W21" s="8">
        <f>IF(OR(R21="",T21=""),"",T21/R21)</f>
        <v/>
      </c>
      <c r="X21" s="8">
        <f>IF(A21="","",IF(OR(UPPER(TRIM(Inputs!$B$15))="MANNING",UPPER(TRIM(Inputs!$B$15))="M"),W21,IF(OR(UPPER(TRIM(Inputs!$B$15))="MAX",UPPER(TRIM(Inputs!$B$15))="X"),MAX(V21,W21),V21)))</f>
        <v/>
      </c>
      <c r="Y21" s="8">
        <f>IF(A21="","",IF(UPPER(TRIM(B21))="TRENCH",K21*L21*N21,IF(UPPER(TRIM(B21))="SWALE",K21*L21,0)))</f>
        <v/>
      </c>
      <c r="Z21" s="8">
        <f>IF(OR(Y21="",F21=""),"",Y21*F21)</f>
        <v/>
      </c>
      <c r="AA21" s="4">
        <f>IF(A21="","",IF(OR(U21&gt;1,AND(X21&lt;&gt;"",X21&lt;Inputs!$B$16),AND(X21&lt;&gt;"",X21&gt;Inputs!$B$17),G21&lt;Inputs!$B$18,AH21="CHECK"),"CHECK","OK"))</f>
        <v/>
      </c>
      <c r="AB21" s="4" t="n"/>
      <c r="AC21" s="7" t="n"/>
      <c r="AD21" s="8">
        <f>IF(A21="","",IF(AC21&lt;&gt;"",AC21,IF(E21="",Inputs!$B$38,IFERROR(INDEX($AE$4:$AE$204,MATCH(E21,$A$4:$A$204,0))+IF(OR(AND(UPPER(TRIM(B21))="SWALE",UPPER(TRIM(AI21))="PIPE"),AND(UPPER(TRIM(B21))="TRENCH",UPPER(TRIM(AI21))="PIPE")),Inputs!$B$57,0),""))))</f>
        <v/>
      </c>
      <c r="AE21" s="8">
        <f>IF(OR(AD21="",F21="",G21=""),"",AD21+F21*G21)</f>
        <v/>
      </c>
      <c r="AF21" s="8">
        <f>IF(OR(E21="",A21=""),"",IFERROR(INDEX($AE$4:$AE$204,MATCH(E21,$A$4:$A$204,0)),""))</f>
        <v/>
      </c>
      <c r="AG21" s="8">
        <f>IF(OR(AD21="",AF21=""),"",AD21-AF21)</f>
        <v/>
      </c>
      <c r="AH21" s="4">
        <f>IF(A21="","",IF(E21="","TERMINAL",IF(OR(AND(UPPER(TRIM(B21))="SWALE",UPPER(TRIM(AI21))="PIPE"),AND(UPPER(TRIM(B21))="TRENCH",UPPER(TRIM(AI21))="PIPE")),IF(OR(AG21="",AJ21="",AK21=""),"INFO",IF(AND(AG21&gt;=AJ21,AG21&lt;=AK21),"OK","CHECK")),IF(AG21="","INFO",IF(ABS(AG21)&lt;=Inputs!$B$54,"OK","CHECK")))))</f>
        <v/>
      </c>
      <c r="AI21" s="17">
        <f>IF(A21="","",IF(E21="","",IFERROR(INDEX($B$4:$B$204,MATCH(E21,$A$4:$A$204,0)),"")))</f>
        <v/>
      </c>
      <c r="AJ21" s="17">
        <f>IF(A21="","",IF(OR(AND(UPPER(TRIM(B21))="SWALE",UPPER(TRIM(AI21))="PIPE"),AND(UPPER(TRIM(B21))="TRENCH",UPPER(TRIM(AI21))="PIPE")),Inputs!$B$55,0))</f>
        <v/>
      </c>
      <c r="AK21" s="17">
        <f>IF(A21="","",IF(OR(AND(UPPER(TRIM(B21))="SWALE",UPPER(TRIM(AI21))="PIPE"),AND(UPPER(TRIM(B21))="TRENCH",UPPER(TRIM(AI21))="PIPE")),Inputs!$B$56,Inputs!$B$54))</f>
        <v/>
      </c>
      <c r="AL21" s="4">
        <f>IF(A21="","",IF(E21="","TERMINAL",IF(OR(AND(UPPER(TRIM(B21))="SWALE",UPPER(TRIM(AI21))="PIPE"),AND(UPPER(TRIM(B21))="TRENCH",UPPER(TRIM(AI21))="PIPE")),IF(OR(AG21="",AJ21="",AK21=""),"INFO",IF(AND(AG21&gt;=AJ21,AG21&lt;=AK21),"OK","CHECK")),"N/A")))</f>
        <v/>
      </c>
    </row>
    <row r="22">
      <c r="A22" s="4" t="n"/>
      <c r="B22" s="4" t="n"/>
      <c r="C22" s="4" t="n"/>
      <c r="D22" s="4" t="n"/>
      <c r="E22" s="4" t="n"/>
      <c r="F22" s="7" t="n"/>
      <c r="G22" s="7" t="n"/>
      <c r="H22" s="7" t="n"/>
      <c r="I22" s="8">
        <f>IF(A22="","",IF(H22&lt;&gt;"",H22,IF(UPPER(TRIM(B22))="PIPE",Inputs!$B$7,IF(UPPER(TRIM(B22))="SWALE",Inputs!$B$8,Inputs!$B$9))))</f>
        <v/>
      </c>
      <c r="J22" s="7" t="n"/>
      <c r="K22" s="7" t="n"/>
      <c r="L22" s="7" t="n"/>
      <c r="M22" s="7" t="n"/>
      <c r="N22" s="7" t="n">
        <v>0</v>
      </c>
      <c r="O22" s="8">
        <f>IF(A22="","",SUMIFS(Zones_tributaires!$I:$I,Zones_tributaires!$J:$J,$A22))</f>
        <v/>
      </c>
      <c r="P22" s="8">
        <f>IF(A22="","",SUMIFS($Q$4:$Q$204,$E$4:$E$204,$A22))</f>
        <v/>
      </c>
      <c r="Q22" s="8">
        <f>IF(A22="","",(O22+P22)*Inputs!$B$6)</f>
        <v/>
      </c>
      <c r="R22" s="8">
        <f>IF(A22="","",IF(UPPER(TRIM(B22))="PIPE",PI()*(J22/1000)^2/4,IF(OR(K22="",L22=""),"",L22*(K22+M22*L22))))</f>
        <v/>
      </c>
      <c r="S22" s="8">
        <f>IF(A22="","",IF(UPPER(TRIM(B22))="PIPE",(J22/1000)/4,IF(OR(R22="",K22="",L22=""),"",R22/(K22+2*L22*SQRT(1+M22^2)))))</f>
        <v/>
      </c>
      <c r="T22" s="8">
        <f>IF(A22="","",IF(OR(I22="",R22="",S22="",G22=""),"",(1/I22)*R22*(S22^(2/3))*SQRT(G22)))</f>
        <v/>
      </c>
      <c r="U22" s="8">
        <f>IF(OR(T22="",Q22=""),"",Q22/(T22*Inputs!$B$19))</f>
        <v/>
      </c>
      <c r="V22" s="8">
        <f>IF(OR(R22="",Q22=""),"",Q22/R22)</f>
        <v/>
      </c>
      <c r="W22" s="8">
        <f>IF(OR(R22="",T22=""),"",T22/R22)</f>
        <v/>
      </c>
      <c r="X22" s="8">
        <f>IF(A22="","",IF(OR(UPPER(TRIM(Inputs!$B$15))="MANNING",UPPER(TRIM(Inputs!$B$15))="M"),W22,IF(OR(UPPER(TRIM(Inputs!$B$15))="MAX",UPPER(TRIM(Inputs!$B$15))="X"),MAX(V22,W22),V22)))</f>
        <v/>
      </c>
      <c r="Y22" s="8">
        <f>IF(A22="","",IF(UPPER(TRIM(B22))="TRENCH",K22*L22*N22,IF(UPPER(TRIM(B22))="SWALE",K22*L22,0)))</f>
        <v/>
      </c>
      <c r="Z22" s="8">
        <f>IF(OR(Y22="",F22=""),"",Y22*F22)</f>
        <v/>
      </c>
      <c r="AA22" s="4">
        <f>IF(A22="","",IF(OR(U22&gt;1,AND(X22&lt;&gt;"",X22&lt;Inputs!$B$16),AND(X22&lt;&gt;"",X22&gt;Inputs!$B$17),G22&lt;Inputs!$B$18,AH22="CHECK"),"CHECK","OK"))</f>
        <v/>
      </c>
      <c r="AB22" s="4" t="n"/>
      <c r="AC22" s="7" t="n"/>
      <c r="AD22" s="8">
        <f>IF(A22="","",IF(AC22&lt;&gt;"",AC22,IF(E22="",Inputs!$B$38,IFERROR(INDEX($AE$4:$AE$204,MATCH(E22,$A$4:$A$204,0))+IF(OR(AND(UPPER(TRIM(B22))="SWALE",UPPER(TRIM(AI22))="PIPE"),AND(UPPER(TRIM(B22))="TRENCH",UPPER(TRIM(AI22))="PIPE")),Inputs!$B$57,0),""))))</f>
        <v/>
      </c>
      <c r="AE22" s="8">
        <f>IF(OR(AD22="",F22="",G22=""),"",AD22+F22*G22)</f>
        <v/>
      </c>
      <c r="AF22" s="8">
        <f>IF(OR(E22="",A22=""),"",IFERROR(INDEX($AE$4:$AE$204,MATCH(E22,$A$4:$A$204,0)),""))</f>
        <v/>
      </c>
      <c r="AG22" s="8">
        <f>IF(OR(AD22="",AF22=""),"",AD22-AF22)</f>
        <v/>
      </c>
      <c r="AH22" s="4">
        <f>IF(A22="","",IF(E22="","TERMINAL",IF(OR(AND(UPPER(TRIM(B22))="SWALE",UPPER(TRIM(AI22))="PIPE"),AND(UPPER(TRIM(B22))="TRENCH",UPPER(TRIM(AI22))="PIPE")),IF(OR(AG22="",AJ22="",AK22=""),"INFO",IF(AND(AG22&gt;=AJ22,AG22&lt;=AK22),"OK","CHECK")),IF(AG22="","INFO",IF(ABS(AG22)&lt;=Inputs!$B$54,"OK","CHECK")))))</f>
        <v/>
      </c>
      <c r="AI22" s="17">
        <f>IF(A22="","",IF(E22="","",IFERROR(INDEX($B$4:$B$204,MATCH(E22,$A$4:$A$204,0)),"")))</f>
        <v/>
      </c>
      <c r="AJ22" s="17">
        <f>IF(A22="","",IF(OR(AND(UPPER(TRIM(B22))="SWALE",UPPER(TRIM(AI22))="PIPE"),AND(UPPER(TRIM(B22))="TRENCH",UPPER(TRIM(AI22))="PIPE")),Inputs!$B$55,0))</f>
        <v/>
      </c>
      <c r="AK22" s="17">
        <f>IF(A22="","",IF(OR(AND(UPPER(TRIM(B22))="SWALE",UPPER(TRIM(AI22))="PIPE"),AND(UPPER(TRIM(B22))="TRENCH",UPPER(TRIM(AI22))="PIPE")),Inputs!$B$56,Inputs!$B$54))</f>
        <v/>
      </c>
      <c r="AL22" s="4">
        <f>IF(A22="","",IF(E22="","TERMINAL",IF(OR(AND(UPPER(TRIM(B22))="SWALE",UPPER(TRIM(AI22))="PIPE"),AND(UPPER(TRIM(B22))="TRENCH",UPPER(TRIM(AI22))="PIPE")),IF(OR(AG22="",AJ22="",AK22=""),"INFO",IF(AND(AG22&gt;=AJ22,AG22&lt;=AK22),"OK","CHECK")),"N/A")))</f>
        <v/>
      </c>
    </row>
    <row r="23">
      <c r="A23" s="4" t="n"/>
      <c r="B23" s="4" t="n"/>
      <c r="C23" s="4" t="n"/>
      <c r="D23" s="4" t="n"/>
      <c r="E23" s="4" t="n"/>
      <c r="F23" s="7" t="n"/>
      <c r="G23" s="7" t="n"/>
      <c r="H23" s="7" t="n"/>
      <c r="I23" s="8">
        <f>IF(A23="","",IF(H23&lt;&gt;"",H23,IF(UPPER(TRIM(B23))="PIPE",Inputs!$B$7,IF(UPPER(TRIM(B23))="SWALE",Inputs!$B$8,Inputs!$B$9))))</f>
        <v/>
      </c>
      <c r="J23" s="7" t="n"/>
      <c r="K23" s="7" t="n"/>
      <c r="L23" s="7" t="n"/>
      <c r="M23" s="7" t="n"/>
      <c r="N23" s="7" t="n">
        <v>0</v>
      </c>
      <c r="O23" s="8">
        <f>IF(A23="","",SUMIFS(Zones_tributaires!$I:$I,Zones_tributaires!$J:$J,$A23))</f>
        <v/>
      </c>
      <c r="P23" s="8">
        <f>IF(A23="","",SUMIFS($Q$4:$Q$204,$E$4:$E$204,$A23))</f>
        <v/>
      </c>
      <c r="Q23" s="8">
        <f>IF(A23="","",(O23+P23)*Inputs!$B$6)</f>
        <v/>
      </c>
      <c r="R23" s="8">
        <f>IF(A23="","",IF(UPPER(TRIM(B23))="PIPE",PI()*(J23/1000)^2/4,IF(OR(K23="",L23=""),"",L23*(K23+M23*L23))))</f>
        <v/>
      </c>
      <c r="S23" s="8">
        <f>IF(A23="","",IF(UPPER(TRIM(B23))="PIPE",(J23/1000)/4,IF(OR(R23="",K23="",L23=""),"",R23/(K23+2*L23*SQRT(1+M23^2)))))</f>
        <v/>
      </c>
      <c r="T23" s="8">
        <f>IF(A23="","",IF(OR(I23="",R23="",S23="",G23=""),"",(1/I23)*R23*(S23^(2/3))*SQRT(G23)))</f>
        <v/>
      </c>
      <c r="U23" s="8">
        <f>IF(OR(T23="",Q23=""),"",Q23/(T23*Inputs!$B$19))</f>
        <v/>
      </c>
      <c r="V23" s="8">
        <f>IF(OR(R23="",Q23=""),"",Q23/R23)</f>
        <v/>
      </c>
      <c r="W23" s="8">
        <f>IF(OR(R23="",T23=""),"",T23/R23)</f>
        <v/>
      </c>
      <c r="X23" s="8">
        <f>IF(A23="","",IF(OR(UPPER(TRIM(Inputs!$B$15))="MANNING",UPPER(TRIM(Inputs!$B$15))="M"),W23,IF(OR(UPPER(TRIM(Inputs!$B$15))="MAX",UPPER(TRIM(Inputs!$B$15))="X"),MAX(V23,W23),V23)))</f>
        <v/>
      </c>
      <c r="Y23" s="8">
        <f>IF(A23="","",IF(UPPER(TRIM(B23))="TRENCH",K23*L23*N23,IF(UPPER(TRIM(B23))="SWALE",K23*L23,0)))</f>
        <v/>
      </c>
      <c r="Z23" s="8">
        <f>IF(OR(Y23="",F23=""),"",Y23*F23)</f>
        <v/>
      </c>
      <c r="AA23" s="4">
        <f>IF(A23="","",IF(OR(U23&gt;1,AND(X23&lt;&gt;"",X23&lt;Inputs!$B$16),AND(X23&lt;&gt;"",X23&gt;Inputs!$B$17),G23&lt;Inputs!$B$18,AH23="CHECK"),"CHECK","OK"))</f>
        <v/>
      </c>
      <c r="AB23" s="4" t="n"/>
      <c r="AC23" s="7" t="n"/>
      <c r="AD23" s="8">
        <f>IF(A23="","",IF(AC23&lt;&gt;"",AC23,IF(E23="",Inputs!$B$38,IFERROR(INDEX($AE$4:$AE$204,MATCH(E23,$A$4:$A$204,0))+IF(OR(AND(UPPER(TRIM(B23))="SWALE",UPPER(TRIM(AI23))="PIPE"),AND(UPPER(TRIM(B23))="TRENCH",UPPER(TRIM(AI23))="PIPE")),Inputs!$B$57,0),""))))</f>
        <v/>
      </c>
      <c r="AE23" s="8">
        <f>IF(OR(AD23="",F23="",G23=""),"",AD23+F23*G23)</f>
        <v/>
      </c>
      <c r="AF23" s="8">
        <f>IF(OR(E23="",A23=""),"",IFERROR(INDEX($AE$4:$AE$204,MATCH(E23,$A$4:$A$204,0)),""))</f>
        <v/>
      </c>
      <c r="AG23" s="8">
        <f>IF(OR(AD23="",AF23=""),"",AD23-AF23)</f>
        <v/>
      </c>
      <c r="AH23" s="4">
        <f>IF(A23="","",IF(E23="","TERMINAL",IF(OR(AND(UPPER(TRIM(B23))="SWALE",UPPER(TRIM(AI23))="PIPE"),AND(UPPER(TRIM(B23))="TRENCH",UPPER(TRIM(AI23))="PIPE")),IF(OR(AG23="",AJ23="",AK23=""),"INFO",IF(AND(AG23&gt;=AJ23,AG23&lt;=AK23),"OK","CHECK")),IF(AG23="","INFO",IF(ABS(AG23)&lt;=Inputs!$B$54,"OK","CHECK")))))</f>
        <v/>
      </c>
      <c r="AI23" s="17">
        <f>IF(A23="","",IF(E23="","",IFERROR(INDEX($B$4:$B$204,MATCH(E23,$A$4:$A$204,0)),"")))</f>
        <v/>
      </c>
      <c r="AJ23" s="17">
        <f>IF(A23="","",IF(OR(AND(UPPER(TRIM(B23))="SWALE",UPPER(TRIM(AI23))="PIPE"),AND(UPPER(TRIM(B23))="TRENCH",UPPER(TRIM(AI23))="PIPE")),Inputs!$B$55,0))</f>
        <v/>
      </c>
      <c r="AK23" s="17">
        <f>IF(A23="","",IF(OR(AND(UPPER(TRIM(B23))="SWALE",UPPER(TRIM(AI23))="PIPE"),AND(UPPER(TRIM(B23))="TRENCH",UPPER(TRIM(AI23))="PIPE")),Inputs!$B$56,Inputs!$B$54))</f>
        <v/>
      </c>
      <c r="AL23" s="4">
        <f>IF(A23="","",IF(E23="","TERMINAL",IF(OR(AND(UPPER(TRIM(B23))="SWALE",UPPER(TRIM(AI23))="PIPE"),AND(UPPER(TRIM(B23))="TRENCH",UPPER(TRIM(AI23))="PIPE")),IF(OR(AG23="",AJ23="",AK23=""),"INFO",IF(AND(AG23&gt;=AJ23,AG23&lt;=AK23),"OK","CHECK")),"N/A")))</f>
        <v/>
      </c>
    </row>
    <row r="24">
      <c r="A24" s="4" t="n"/>
      <c r="B24" s="4" t="n"/>
      <c r="C24" s="4" t="n"/>
      <c r="D24" s="4" t="n"/>
      <c r="E24" s="4" t="n"/>
      <c r="F24" s="7" t="n"/>
      <c r="G24" s="7" t="n"/>
      <c r="H24" s="7" t="n"/>
      <c r="I24" s="8">
        <f>IF(A24="","",IF(H24&lt;&gt;"",H24,IF(UPPER(TRIM(B24))="PIPE",Inputs!$B$7,IF(UPPER(TRIM(B24))="SWALE",Inputs!$B$8,Inputs!$B$9))))</f>
        <v/>
      </c>
      <c r="J24" s="7" t="n"/>
      <c r="K24" s="7" t="n"/>
      <c r="L24" s="7" t="n"/>
      <c r="M24" s="7" t="n"/>
      <c r="N24" s="7" t="n">
        <v>0</v>
      </c>
      <c r="O24" s="8">
        <f>IF(A24="","",SUMIFS(Zones_tributaires!$I:$I,Zones_tributaires!$J:$J,$A24))</f>
        <v/>
      </c>
      <c r="P24" s="8">
        <f>IF(A24="","",SUMIFS($Q$4:$Q$204,$E$4:$E$204,$A24))</f>
        <v/>
      </c>
      <c r="Q24" s="8">
        <f>IF(A24="","",(O24+P24)*Inputs!$B$6)</f>
        <v/>
      </c>
      <c r="R24" s="8">
        <f>IF(A24="","",IF(UPPER(TRIM(B24))="PIPE",PI()*(J24/1000)^2/4,IF(OR(K24="",L24=""),"",L24*(K24+M24*L24))))</f>
        <v/>
      </c>
      <c r="S24" s="8">
        <f>IF(A24="","",IF(UPPER(TRIM(B24))="PIPE",(J24/1000)/4,IF(OR(R24="",K24="",L24=""),"",R24/(K24+2*L24*SQRT(1+M24^2)))))</f>
        <v/>
      </c>
      <c r="T24" s="8">
        <f>IF(A24="","",IF(OR(I24="",R24="",S24="",G24=""),"",(1/I24)*R24*(S24^(2/3))*SQRT(G24)))</f>
        <v/>
      </c>
      <c r="U24" s="8">
        <f>IF(OR(T24="",Q24=""),"",Q24/(T24*Inputs!$B$19))</f>
        <v/>
      </c>
      <c r="V24" s="8">
        <f>IF(OR(R24="",Q24=""),"",Q24/R24)</f>
        <v/>
      </c>
      <c r="W24" s="8">
        <f>IF(OR(R24="",T24=""),"",T24/R24)</f>
        <v/>
      </c>
      <c r="X24" s="8">
        <f>IF(A24="","",IF(OR(UPPER(TRIM(Inputs!$B$15))="MANNING",UPPER(TRIM(Inputs!$B$15))="M"),W24,IF(OR(UPPER(TRIM(Inputs!$B$15))="MAX",UPPER(TRIM(Inputs!$B$15))="X"),MAX(V24,W24),V24)))</f>
        <v/>
      </c>
      <c r="Y24" s="8">
        <f>IF(A24="","",IF(UPPER(TRIM(B24))="TRENCH",K24*L24*N24,IF(UPPER(TRIM(B24))="SWALE",K24*L24,0)))</f>
        <v/>
      </c>
      <c r="Z24" s="8">
        <f>IF(OR(Y24="",F24=""),"",Y24*F24)</f>
        <v/>
      </c>
      <c r="AA24" s="4">
        <f>IF(A24="","",IF(OR(U24&gt;1,AND(X24&lt;&gt;"",X24&lt;Inputs!$B$16),AND(X24&lt;&gt;"",X24&gt;Inputs!$B$17),G24&lt;Inputs!$B$18,AH24="CHECK"),"CHECK","OK"))</f>
        <v/>
      </c>
      <c r="AB24" s="4" t="n"/>
      <c r="AC24" s="7" t="n"/>
      <c r="AD24" s="8">
        <f>IF(A24="","",IF(AC24&lt;&gt;"",AC24,IF(E24="",Inputs!$B$38,IFERROR(INDEX($AE$4:$AE$204,MATCH(E24,$A$4:$A$204,0))+IF(OR(AND(UPPER(TRIM(B24))="SWALE",UPPER(TRIM(AI24))="PIPE"),AND(UPPER(TRIM(B24))="TRENCH",UPPER(TRIM(AI24))="PIPE")),Inputs!$B$57,0),""))))</f>
        <v/>
      </c>
      <c r="AE24" s="8">
        <f>IF(OR(AD24="",F24="",G24=""),"",AD24+F24*G24)</f>
        <v/>
      </c>
      <c r="AF24" s="8">
        <f>IF(OR(E24="",A24=""),"",IFERROR(INDEX($AE$4:$AE$204,MATCH(E24,$A$4:$A$204,0)),""))</f>
        <v/>
      </c>
      <c r="AG24" s="8">
        <f>IF(OR(AD24="",AF24=""),"",AD24-AF24)</f>
        <v/>
      </c>
      <c r="AH24" s="4">
        <f>IF(A24="","",IF(E24="","TERMINAL",IF(OR(AND(UPPER(TRIM(B24))="SWALE",UPPER(TRIM(AI24))="PIPE"),AND(UPPER(TRIM(B24))="TRENCH",UPPER(TRIM(AI24))="PIPE")),IF(OR(AG24="",AJ24="",AK24=""),"INFO",IF(AND(AG24&gt;=AJ24,AG24&lt;=AK24),"OK","CHECK")),IF(AG24="","INFO",IF(ABS(AG24)&lt;=Inputs!$B$54,"OK","CHECK")))))</f>
        <v/>
      </c>
      <c r="AI24" s="17">
        <f>IF(A24="","",IF(E24="","",IFERROR(INDEX($B$4:$B$204,MATCH(E24,$A$4:$A$204,0)),"")))</f>
        <v/>
      </c>
      <c r="AJ24" s="17">
        <f>IF(A24="","",IF(OR(AND(UPPER(TRIM(B24))="SWALE",UPPER(TRIM(AI24))="PIPE"),AND(UPPER(TRIM(B24))="TRENCH",UPPER(TRIM(AI24))="PIPE")),Inputs!$B$55,0))</f>
        <v/>
      </c>
      <c r="AK24" s="17">
        <f>IF(A24="","",IF(OR(AND(UPPER(TRIM(B24))="SWALE",UPPER(TRIM(AI24))="PIPE"),AND(UPPER(TRIM(B24))="TRENCH",UPPER(TRIM(AI24))="PIPE")),Inputs!$B$56,Inputs!$B$54))</f>
        <v/>
      </c>
      <c r="AL24" s="4">
        <f>IF(A24="","",IF(E24="","TERMINAL",IF(OR(AND(UPPER(TRIM(B24))="SWALE",UPPER(TRIM(AI24))="PIPE"),AND(UPPER(TRIM(B24))="TRENCH",UPPER(TRIM(AI24))="PIPE")),IF(OR(AG24="",AJ24="",AK24=""),"INFO",IF(AND(AG24&gt;=AJ24,AG24&lt;=AK24),"OK","CHECK")),"N/A")))</f>
        <v/>
      </c>
    </row>
    <row r="25">
      <c r="A25" s="4" t="n"/>
      <c r="B25" s="4" t="n"/>
      <c r="C25" s="4" t="n"/>
      <c r="D25" s="4" t="n"/>
      <c r="E25" s="4" t="n"/>
      <c r="F25" s="7" t="n"/>
      <c r="G25" s="7" t="n"/>
      <c r="H25" s="7" t="n"/>
      <c r="I25" s="8">
        <f>IF(A25="","",IF(H25&lt;&gt;"",H25,IF(UPPER(TRIM(B25))="PIPE",Inputs!$B$7,IF(UPPER(TRIM(B25))="SWALE",Inputs!$B$8,Inputs!$B$9))))</f>
        <v/>
      </c>
      <c r="J25" s="7" t="n"/>
      <c r="K25" s="7" t="n"/>
      <c r="L25" s="7" t="n"/>
      <c r="M25" s="7" t="n"/>
      <c r="N25" s="7" t="n">
        <v>0</v>
      </c>
      <c r="O25" s="8">
        <f>IF(A25="","",SUMIFS(Zones_tributaires!$I:$I,Zones_tributaires!$J:$J,$A25))</f>
        <v/>
      </c>
      <c r="P25" s="8">
        <f>IF(A25="","",SUMIFS($Q$4:$Q$204,$E$4:$E$204,$A25))</f>
        <v/>
      </c>
      <c r="Q25" s="8">
        <f>IF(A25="","",(O25+P25)*Inputs!$B$6)</f>
        <v/>
      </c>
      <c r="R25" s="8">
        <f>IF(A25="","",IF(UPPER(TRIM(B25))="PIPE",PI()*(J25/1000)^2/4,IF(OR(K25="",L25=""),"",L25*(K25+M25*L25))))</f>
        <v/>
      </c>
      <c r="S25" s="8">
        <f>IF(A25="","",IF(UPPER(TRIM(B25))="PIPE",(J25/1000)/4,IF(OR(R25="",K25="",L25=""),"",R25/(K25+2*L25*SQRT(1+M25^2)))))</f>
        <v/>
      </c>
      <c r="T25" s="8">
        <f>IF(A25="","",IF(OR(I25="",R25="",S25="",G25=""),"",(1/I25)*R25*(S25^(2/3))*SQRT(G25)))</f>
        <v/>
      </c>
      <c r="U25" s="8">
        <f>IF(OR(T25="",Q25=""),"",Q25/(T25*Inputs!$B$19))</f>
        <v/>
      </c>
      <c r="V25" s="8">
        <f>IF(OR(R25="",Q25=""),"",Q25/R25)</f>
        <v/>
      </c>
      <c r="W25" s="8">
        <f>IF(OR(R25="",T25=""),"",T25/R25)</f>
        <v/>
      </c>
      <c r="X25" s="8">
        <f>IF(A25="","",IF(OR(UPPER(TRIM(Inputs!$B$15))="MANNING",UPPER(TRIM(Inputs!$B$15))="M"),W25,IF(OR(UPPER(TRIM(Inputs!$B$15))="MAX",UPPER(TRIM(Inputs!$B$15))="X"),MAX(V25,W25),V25)))</f>
        <v/>
      </c>
      <c r="Y25" s="8">
        <f>IF(A25="","",IF(UPPER(TRIM(B25))="TRENCH",K25*L25*N25,IF(UPPER(TRIM(B25))="SWALE",K25*L25,0)))</f>
        <v/>
      </c>
      <c r="Z25" s="8">
        <f>IF(OR(Y25="",F25=""),"",Y25*F25)</f>
        <v/>
      </c>
      <c r="AA25" s="4">
        <f>IF(A25="","",IF(OR(U25&gt;1,AND(X25&lt;&gt;"",X25&lt;Inputs!$B$16),AND(X25&lt;&gt;"",X25&gt;Inputs!$B$17),G25&lt;Inputs!$B$18,AH25="CHECK"),"CHECK","OK"))</f>
        <v/>
      </c>
      <c r="AB25" s="4" t="n"/>
      <c r="AC25" s="7" t="n"/>
      <c r="AD25" s="8">
        <f>IF(A25="","",IF(AC25&lt;&gt;"",AC25,IF(E25="",Inputs!$B$38,IFERROR(INDEX($AE$4:$AE$204,MATCH(E25,$A$4:$A$204,0))+IF(OR(AND(UPPER(TRIM(B25))="SWALE",UPPER(TRIM(AI25))="PIPE"),AND(UPPER(TRIM(B25))="TRENCH",UPPER(TRIM(AI25))="PIPE")),Inputs!$B$57,0),""))))</f>
        <v/>
      </c>
      <c r="AE25" s="8">
        <f>IF(OR(AD25="",F25="",G25=""),"",AD25+F25*G25)</f>
        <v/>
      </c>
      <c r="AF25" s="8">
        <f>IF(OR(E25="",A25=""),"",IFERROR(INDEX($AE$4:$AE$204,MATCH(E25,$A$4:$A$204,0)),""))</f>
        <v/>
      </c>
      <c r="AG25" s="8">
        <f>IF(OR(AD25="",AF25=""),"",AD25-AF25)</f>
        <v/>
      </c>
      <c r="AH25" s="4">
        <f>IF(A25="","",IF(E25="","TERMINAL",IF(OR(AND(UPPER(TRIM(B25))="SWALE",UPPER(TRIM(AI25))="PIPE"),AND(UPPER(TRIM(B25))="TRENCH",UPPER(TRIM(AI25))="PIPE")),IF(OR(AG25="",AJ25="",AK25=""),"INFO",IF(AND(AG25&gt;=AJ25,AG25&lt;=AK25),"OK","CHECK")),IF(AG25="","INFO",IF(ABS(AG25)&lt;=Inputs!$B$54,"OK","CHECK")))))</f>
        <v/>
      </c>
      <c r="AI25" s="17">
        <f>IF(A25="","",IF(E25="","",IFERROR(INDEX($B$4:$B$204,MATCH(E25,$A$4:$A$204,0)),"")))</f>
        <v/>
      </c>
      <c r="AJ25" s="17">
        <f>IF(A25="","",IF(OR(AND(UPPER(TRIM(B25))="SWALE",UPPER(TRIM(AI25))="PIPE"),AND(UPPER(TRIM(B25))="TRENCH",UPPER(TRIM(AI25))="PIPE")),Inputs!$B$55,0))</f>
        <v/>
      </c>
      <c r="AK25" s="17">
        <f>IF(A25="","",IF(OR(AND(UPPER(TRIM(B25))="SWALE",UPPER(TRIM(AI25))="PIPE"),AND(UPPER(TRIM(B25))="TRENCH",UPPER(TRIM(AI25))="PIPE")),Inputs!$B$56,Inputs!$B$54))</f>
        <v/>
      </c>
      <c r="AL25" s="4">
        <f>IF(A25="","",IF(E25="","TERMINAL",IF(OR(AND(UPPER(TRIM(B25))="SWALE",UPPER(TRIM(AI25))="PIPE"),AND(UPPER(TRIM(B25))="TRENCH",UPPER(TRIM(AI25))="PIPE")),IF(OR(AG25="",AJ25="",AK25=""),"INFO",IF(AND(AG25&gt;=AJ25,AG25&lt;=AK25),"OK","CHECK")),"N/A")))</f>
        <v/>
      </c>
    </row>
    <row r="26">
      <c r="A26" s="4" t="n"/>
      <c r="B26" s="4" t="n"/>
      <c r="C26" s="4" t="n"/>
      <c r="D26" s="4" t="n"/>
      <c r="E26" s="4" t="n"/>
      <c r="F26" s="7" t="n"/>
      <c r="G26" s="7" t="n"/>
      <c r="H26" s="7" t="n"/>
      <c r="I26" s="8">
        <f>IF(A26="","",IF(H26&lt;&gt;"",H26,IF(UPPER(TRIM(B26))="PIPE",Inputs!$B$7,IF(UPPER(TRIM(B26))="SWALE",Inputs!$B$8,Inputs!$B$9))))</f>
        <v/>
      </c>
      <c r="J26" s="7" t="n"/>
      <c r="K26" s="7" t="n"/>
      <c r="L26" s="7" t="n"/>
      <c r="M26" s="7" t="n"/>
      <c r="N26" s="7" t="n">
        <v>0</v>
      </c>
      <c r="O26" s="8">
        <f>IF(A26="","",SUMIFS(Zones_tributaires!$I:$I,Zones_tributaires!$J:$J,$A26))</f>
        <v/>
      </c>
      <c r="P26" s="8">
        <f>IF(A26="","",SUMIFS($Q$4:$Q$204,$E$4:$E$204,$A26))</f>
        <v/>
      </c>
      <c r="Q26" s="8">
        <f>IF(A26="","",(O26+P26)*Inputs!$B$6)</f>
        <v/>
      </c>
      <c r="R26" s="8">
        <f>IF(A26="","",IF(UPPER(TRIM(B26))="PIPE",PI()*(J26/1000)^2/4,IF(OR(K26="",L26=""),"",L26*(K26+M26*L26))))</f>
        <v/>
      </c>
      <c r="S26" s="8">
        <f>IF(A26="","",IF(UPPER(TRIM(B26))="PIPE",(J26/1000)/4,IF(OR(R26="",K26="",L26=""),"",R26/(K26+2*L26*SQRT(1+M26^2)))))</f>
        <v/>
      </c>
      <c r="T26" s="8">
        <f>IF(A26="","",IF(OR(I26="",R26="",S26="",G26=""),"",(1/I26)*R26*(S26^(2/3))*SQRT(G26)))</f>
        <v/>
      </c>
      <c r="U26" s="8">
        <f>IF(OR(T26="",Q26=""),"",Q26/(T26*Inputs!$B$19))</f>
        <v/>
      </c>
      <c r="V26" s="8">
        <f>IF(OR(R26="",Q26=""),"",Q26/R26)</f>
        <v/>
      </c>
      <c r="W26" s="8">
        <f>IF(OR(R26="",T26=""),"",T26/R26)</f>
        <v/>
      </c>
      <c r="X26" s="8">
        <f>IF(A26="","",IF(OR(UPPER(TRIM(Inputs!$B$15))="MANNING",UPPER(TRIM(Inputs!$B$15))="M"),W26,IF(OR(UPPER(TRIM(Inputs!$B$15))="MAX",UPPER(TRIM(Inputs!$B$15))="X"),MAX(V26,W26),V26)))</f>
        <v/>
      </c>
      <c r="Y26" s="8">
        <f>IF(A26="","",IF(UPPER(TRIM(B26))="TRENCH",K26*L26*N26,IF(UPPER(TRIM(B26))="SWALE",K26*L26,0)))</f>
        <v/>
      </c>
      <c r="Z26" s="8">
        <f>IF(OR(Y26="",F26=""),"",Y26*F26)</f>
        <v/>
      </c>
      <c r="AA26" s="4">
        <f>IF(A26="","",IF(OR(U26&gt;1,AND(X26&lt;&gt;"",X26&lt;Inputs!$B$16),AND(X26&lt;&gt;"",X26&gt;Inputs!$B$17),G26&lt;Inputs!$B$18,AH26="CHECK"),"CHECK","OK"))</f>
        <v/>
      </c>
      <c r="AB26" s="4" t="n"/>
      <c r="AC26" s="7" t="n"/>
      <c r="AD26" s="8">
        <f>IF(A26="","",IF(AC26&lt;&gt;"",AC26,IF(E26="",Inputs!$B$38,IFERROR(INDEX($AE$4:$AE$204,MATCH(E26,$A$4:$A$204,0))+IF(OR(AND(UPPER(TRIM(B26))="SWALE",UPPER(TRIM(AI26))="PIPE"),AND(UPPER(TRIM(B26))="TRENCH",UPPER(TRIM(AI26))="PIPE")),Inputs!$B$57,0),""))))</f>
        <v/>
      </c>
      <c r="AE26" s="8">
        <f>IF(OR(AD26="",F26="",G26=""),"",AD26+F26*G26)</f>
        <v/>
      </c>
      <c r="AF26" s="8">
        <f>IF(OR(E26="",A26=""),"",IFERROR(INDEX($AE$4:$AE$204,MATCH(E26,$A$4:$A$204,0)),""))</f>
        <v/>
      </c>
      <c r="AG26" s="8">
        <f>IF(OR(AD26="",AF26=""),"",AD26-AF26)</f>
        <v/>
      </c>
      <c r="AH26" s="4">
        <f>IF(A26="","",IF(E26="","TERMINAL",IF(OR(AND(UPPER(TRIM(B26))="SWALE",UPPER(TRIM(AI26))="PIPE"),AND(UPPER(TRIM(B26))="TRENCH",UPPER(TRIM(AI26))="PIPE")),IF(OR(AG26="",AJ26="",AK26=""),"INFO",IF(AND(AG26&gt;=AJ26,AG26&lt;=AK26),"OK","CHECK")),IF(AG26="","INFO",IF(ABS(AG26)&lt;=Inputs!$B$54,"OK","CHECK")))))</f>
        <v/>
      </c>
      <c r="AI26" s="17">
        <f>IF(A26="","",IF(E26="","",IFERROR(INDEX($B$4:$B$204,MATCH(E26,$A$4:$A$204,0)),"")))</f>
        <v/>
      </c>
      <c r="AJ26" s="17">
        <f>IF(A26="","",IF(OR(AND(UPPER(TRIM(B26))="SWALE",UPPER(TRIM(AI26))="PIPE"),AND(UPPER(TRIM(B26))="TRENCH",UPPER(TRIM(AI26))="PIPE")),Inputs!$B$55,0))</f>
        <v/>
      </c>
      <c r="AK26" s="17">
        <f>IF(A26="","",IF(OR(AND(UPPER(TRIM(B26))="SWALE",UPPER(TRIM(AI26))="PIPE"),AND(UPPER(TRIM(B26))="TRENCH",UPPER(TRIM(AI26))="PIPE")),Inputs!$B$56,Inputs!$B$54))</f>
        <v/>
      </c>
      <c r="AL26" s="4">
        <f>IF(A26="","",IF(E26="","TERMINAL",IF(OR(AND(UPPER(TRIM(B26))="SWALE",UPPER(TRIM(AI26))="PIPE"),AND(UPPER(TRIM(B26))="TRENCH",UPPER(TRIM(AI26))="PIPE")),IF(OR(AG26="",AJ26="",AK26=""),"INFO",IF(AND(AG26&gt;=AJ26,AG26&lt;=AK26),"OK","CHECK")),"N/A")))</f>
        <v/>
      </c>
    </row>
    <row r="27">
      <c r="A27" s="4" t="n"/>
      <c r="B27" s="4" t="n"/>
      <c r="C27" s="4" t="n"/>
      <c r="D27" s="4" t="n"/>
      <c r="E27" s="4" t="n"/>
      <c r="F27" s="7" t="n"/>
      <c r="G27" s="7" t="n"/>
      <c r="H27" s="7" t="n"/>
      <c r="I27" s="8">
        <f>IF(A27="","",IF(H27&lt;&gt;"",H27,IF(UPPER(TRIM(B27))="PIPE",Inputs!$B$7,IF(UPPER(TRIM(B27))="SWALE",Inputs!$B$8,Inputs!$B$9))))</f>
        <v/>
      </c>
      <c r="J27" s="7" t="n"/>
      <c r="K27" s="7" t="n"/>
      <c r="L27" s="7" t="n"/>
      <c r="M27" s="7" t="n"/>
      <c r="N27" s="7" t="n">
        <v>0</v>
      </c>
      <c r="O27" s="8">
        <f>IF(A27="","",SUMIFS(Zones_tributaires!$I:$I,Zones_tributaires!$J:$J,$A27))</f>
        <v/>
      </c>
      <c r="P27" s="8">
        <f>IF(A27="","",SUMIFS($Q$4:$Q$204,$E$4:$E$204,$A27))</f>
        <v/>
      </c>
      <c r="Q27" s="8">
        <f>IF(A27="","",(O27+P27)*Inputs!$B$6)</f>
        <v/>
      </c>
      <c r="R27" s="8">
        <f>IF(A27="","",IF(UPPER(TRIM(B27))="PIPE",PI()*(J27/1000)^2/4,IF(OR(K27="",L27=""),"",L27*(K27+M27*L27))))</f>
        <v/>
      </c>
      <c r="S27" s="8">
        <f>IF(A27="","",IF(UPPER(TRIM(B27))="PIPE",(J27/1000)/4,IF(OR(R27="",K27="",L27=""),"",R27/(K27+2*L27*SQRT(1+M27^2)))))</f>
        <v/>
      </c>
      <c r="T27" s="8">
        <f>IF(A27="","",IF(OR(I27="",R27="",S27="",G27=""),"",(1/I27)*R27*(S27^(2/3))*SQRT(G27)))</f>
        <v/>
      </c>
      <c r="U27" s="8">
        <f>IF(OR(T27="",Q27=""),"",Q27/(T27*Inputs!$B$19))</f>
        <v/>
      </c>
      <c r="V27" s="8">
        <f>IF(OR(R27="",Q27=""),"",Q27/R27)</f>
        <v/>
      </c>
      <c r="W27" s="8">
        <f>IF(OR(R27="",T27=""),"",T27/R27)</f>
        <v/>
      </c>
      <c r="X27" s="8">
        <f>IF(A27="","",IF(OR(UPPER(TRIM(Inputs!$B$15))="MANNING",UPPER(TRIM(Inputs!$B$15))="M"),W27,IF(OR(UPPER(TRIM(Inputs!$B$15))="MAX",UPPER(TRIM(Inputs!$B$15))="X"),MAX(V27,W27),V27)))</f>
        <v/>
      </c>
      <c r="Y27" s="8">
        <f>IF(A27="","",IF(UPPER(TRIM(B27))="TRENCH",K27*L27*N27,IF(UPPER(TRIM(B27))="SWALE",K27*L27,0)))</f>
        <v/>
      </c>
      <c r="Z27" s="8">
        <f>IF(OR(Y27="",F27=""),"",Y27*F27)</f>
        <v/>
      </c>
      <c r="AA27" s="4">
        <f>IF(A27="","",IF(OR(U27&gt;1,AND(X27&lt;&gt;"",X27&lt;Inputs!$B$16),AND(X27&lt;&gt;"",X27&gt;Inputs!$B$17),G27&lt;Inputs!$B$18,AH27="CHECK"),"CHECK","OK"))</f>
        <v/>
      </c>
      <c r="AB27" s="4" t="n"/>
      <c r="AC27" s="7" t="n"/>
      <c r="AD27" s="8">
        <f>IF(A27="","",IF(AC27&lt;&gt;"",AC27,IF(E27="",Inputs!$B$38,IFERROR(INDEX($AE$4:$AE$204,MATCH(E27,$A$4:$A$204,0))+IF(OR(AND(UPPER(TRIM(B27))="SWALE",UPPER(TRIM(AI27))="PIPE"),AND(UPPER(TRIM(B27))="TRENCH",UPPER(TRIM(AI27))="PIPE")),Inputs!$B$57,0),""))))</f>
        <v/>
      </c>
      <c r="AE27" s="8">
        <f>IF(OR(AD27="",F27="",G27=""),"",AD27+F27*G27)</f>
        <v/>
      </c>
      <c r="AF27" s="8">
        <f>IF(OR(E27="",A27=""),"",IFERROR(INDEX($AE$4:$AE$204,MATCH(E27,$A$4:$A$204,0)),""))</f>
        <v/>
      </c>
      <c r="AG27" s="8">
        <f>IF(OR(AD27="",AF27=""),"",AD27-AF27)</f>
        <v/>
      </c>
      <c r="AH27" s="4">
        <f>IF(A27="","",IF(E27="","TERMINAL",IF(OR(AND(UPPER(TRIM(B27))="SWALE",UPPER(TRIM(AI27))="PIPE"),AND(UPPER(TRIM(B27))="TRENCH",UPPER(TRIM(AI27))="PIPE")),IF(OR(AG27="",AJ27="",AK27=""),"INFO",IF(AND(AG27&gt;=AJ27,AG27&lt;=AK27),"OK","CHECK")),IF(AG27="","INFO",IF(ABS(AG27)&lt;=Inputs!$B$54,"OK","CHECK")))))</f>
        <v/>
      </c>
      <c r="AI27" s="17">
        <f>IF(A27="","",IF(E27="","",IFERROR(INDEX($B$4:$B$204,MATCH(E27,$A$4:$A$204,0)),"")))</f>
        <v/>
      </c>
      <c r="AJ27" s="17">
        <f>IF(A27="","",IF(OR(AND(UPPER(TRIM(B27))="SWALE",UPPER(TRIM(AI27))="PIPE"),AND(UPPER(TRIM(B27))="TRENCH",UPPER(TRIM(AI27))="PIPE")),Inputs!$B$55,0))</f>
        <v/>
      </c>
      <c r="AK27" s="17">
        <f>IF(A27="","",IF(OR(AND(UPPER(TRIM(B27))="SWALE",UPPER(TRIM(AI27))="PIPE"),AND(UPPER(TRIM(B27))="TRENCH",UPPER(TRIM(AI27))="PIPE")),Inputs!$B$56,Inputs!$B$54))</f>
        <v/>
      </c>
      <c r="AL27" s="4">
        <f>IF(A27="","",IF(E27="","TERMINAL",IF(OR(AND(UPPER(TRIM(B27))="SWALE",UPPER(TRIM(AI27))="PIPE"),AND(UPPER(TRIM(B27))="TRENCH",UPPER(TRIM(AI27))="PIPE")),IF(OR(AG27="",AJ27="",AK27=""),"INFO",IF(AND(AG27&gt;=AJ27,AG27&lt;=AK27),"OK","CHECK")),"N/A")))</f>
        <v/>
      </c>
    </row>
    <row r="28">
      <c r="A28" s="4" t="n"/>
      <c r="B28" s="4" t="n"/>
      <c r="C28" s="4" t="n"/>
      <c r="D28" s="4" t="n"/>
      <c r="E28" s="4" t="n"/>
      <c r="F28" s="7" t="n"/>
      <c r="G28" s="7" t="n"/>
      <c r="H28" s="7" t="n"/>
      <c r="I28" s="8">
        <f>IF(A28="","",IF(H28&lt;&gt;"",H28,IF(UPPER(TRIM(B28))="PIPE",Inputs!$B$7,IF(UPPER(TRIM(B28))="SWALE",Inputs!$B$8,Inputs!$B$9))))</f>
        <v/>
      </c>
      <c r="J28" s="7" t="n"/>
      <c r="K28" s="7" t="n"/>
      <c r="L28" s="7" t="n"/>
      <c r="M28" s="7" t="n"/>
      <c r="N28" s="7" t="n">
        <v>0</v>
      </c>
      <c r="O28" s="8">
        <f>IF(A28="","",SUMIFS(Zones_tributaires!$I:$I,Zones_tributaires!$J:$J,$A28))</f>
        <v/>
      </c>
      <c r="P28" s="8">
        <f>IF(A28="","",SUMIFS($Q$4:$Q$204,$E$4:$E$204,$A28))</f>
        <v/>
      </c>
      <c r="Q28" s="8">
        <f>IF(A28="","",(O28+P28)*Inputs!$B$6)</f>
        <v/>
      </c>
      <c r="R28" s="8">
        <f>IF(A28="","",IF(UPPER(TRIM(B28))="PIPE",PI()*(J28/1000)^2/4,IF(OR(K28="",L28=""),"",L28*(K28+M28*L28))))</f>
        <v/>
      </c>
      <c r="S28" s="8">
        <f>IF(A28="","",IF(UPPER(TRIM(B28))="PIPE",(J28/1000)/4,IF(OR(R28="",K28="",L28=""),"",R28/(K28+2*L28*SQRT(1+M28^2)))))</f>
        <v/>
      </c>
      <c r="T28" s="8">
        <f>IF(A28="","",IF(OR(I28="",R28="",S28="",G28=""),"",(1/I28)*R28*(S28^(2/3))*SQRT(G28)))</f>
        <v/>
      </c>
      <c r="U28" s="8">
        <f>IF(OR(T28="",Q28=""),"",Q28/(T28*Inputs!$B$19))</f>
        <v/>
      </c>
      <c r="V28" s="8">
        <f>IF(OR(R28="",Q28=""),"",Q28/R28)</f>
        <v/>
      </c>
      <c r="W28" s="8">
        <f>IF(OR(R28="",T28=""),"",T28/R28)</f>
        <v/>
      </c>
      <c r="X28" s="8">
        <f>IF(A28="","",IF(OR(UPPER(TRIM(Inputs!$B$15))="MANNING",UPPER(TRIM(Inputs!$B$15))="M"),W28,IF(OR(UPPER(TRIM(Inputs!$B$15))="MAX",UPPER(TRIM(Inputs!$B$15))="X"),MAX(V28,W28),V28)))</f>
        <v/>
      </c>
      <c r="Y28" s="8">
        <f>IF(A28="","",IF(UPPER(TRIM(B28))="TRENCH",K28*L28*N28,IF(UPPER(TRIM(B28))="SWALE",K28*L28,0)))</f>
        <v/>
      </c>
      <c r="Z28" s="8">
        <f>IF(OR(Y28="",F28=""),"",Y28*F28)</f>
        <v/>
      </c>
      <c r="AA28" s="4">
        <f>IF(A28="","",IF(OR(U28&gt;1,AND(X28&lt;&gt;"",X28&lt;Inputs!$B$16),AND(X28&lt;&gt;"",X28&gt;Inputs!$B$17),G28&lt;Inputs!$B$18,AH28="CHECK"),"CHECK","OK"))</f>
        <v/>
      </c>
      <c r="AB28" s="4" t="n"/>
      <c r="AC28" s="7" t="n"/>
      <c r="AD28" s="8">
        <f>IF(A28="","",IF(AC28&lt;&gt;"",AC28,IF(E28="",Inputs!$B$38,IFERROR(INDEX($AE$4:$AE$204,MATCH(E28,$A$4:$A$204,0))+IF(OR(AND(UPPER(TRIM(B28))="SWALE",UPPER(TRIM(AI28))="PIPE"),AND(UPPER(TRIM(B28))="TRENCH",UPPER(TRIM(AI28))="PIPE")),Inputs!$B$57,0),""))))</f>
        <v/>
      </c>
      <c r="AE28" s="8">
        <f>IF(OR(AD28="",F28="",G28=""),"",AD28+F28*G28)</f>
        <v/>
      </c>
      <c r="AF28" s="8">
        <f>IF(OR(E28="",A28=""),"",IFERROR(INDEX($AE$4:$AE$204,MATCH(E28,$A$4:$A$204,0)),""))</f>
        <v/>
      </c>
      <c r="AG28" s="8">
        <f>IF(OR(AD28="",AF28=""),"",AD28-AF28)</f>
        <v/>
      </c>
      <c r="AH28" s="4">
        <f>IF(A28="","",IF(E28="","TERMINAL",IF(OR(AND(UPPER(TRIM(B28))="SWALE",UPPER(TRIM(AI28))="PIPE"),AND(UPPER(TRIM(B28))="TRENCH",UPPER(TRIM(AI28))="PIPE")),IF(OR(AG28="",AJ28="",AK28=""),"INFO",IF(AND(AG28&gt;=AJ28,AG28&lt;=AK28),"OK","CHECK")),IF(AG28="","INFO",IF(ABS(AG28)&lt;=Inputs!$B$54,"OK","CHECK")))))</f>
        <v/>
      </c>
      <c r="AI28" s="17">
        <f>IF(A28="","",IF(E28="","",IFERROR(INDEX($B$4:$B$204,MATCH(E28,$A$4:$A$204,0)),"")))</f>
        <v/>
      </c>
      <c r="AJ28" s="17">
        <f>IF(A28="","",IF(OR(AND(UPPER(TRIM(B28))="SWALE",UPPER(TRIM(AI28))="PIPE"),AND(UPPER(TRIM(B28))="TRENCH",UPPER(TRIM(AI28))="PIPE")),Inputs!$B$55,0))</f>
        <v/>
      </c>
      <c r="AK28" s="17">
        <f>IF(A28="","",IF(OR(AND(UPPER(TRIM(B28))="SWALE",UPPER(TRIM(AI28))="PIPE"),AND(UPPER(TRIM(B28))="TRENCH",UPPER(TRIM(AI28))="PIPE")),Inputs!$B$56,Inputs!$B$54))</f>
        <v/>
      </c>
      <c r="AL28" s="4">
        <f>IF(A28="","",IF(E28="","TERMINAL",IF(OR(AND(UPPER(TRIM(B28))="SWALE",UPPER(TRIM(AI28))="PIPE"),AND(UPPER(TRIM(B28))="TRENCH",UPPER(TRIM(AI28))="PIPE")),IF(OR(AG28="",AJ28="",AK28=""),"INFO",IF(AND(AG28&gt;=AJ28,AG28&lt;=AK28),"OK","CHECK")),"N/A")))</f>
        <v/>
      </c>
    </row>
    <row r="29">
      <c r="A29" s="4" t="n"/>
      <c r="B29" s="4" t="n"/>
      <c r="C29" s="4" t="n"/>
      <c r="D29" s="4" t="n"/>
      <c r="E29" s="4" t="n"/>
      <c r="F29" s="7" t="n"/>
      <c r="G29" s="7" t="n"/>
      <c r="H29" s="7" t="n"/>
      <c r="I29" s="8">
        <f>IF(A29="","",IF(H29&lt;&gt;"",H29,IF(UPPER(TRIM(B29))="PIPE",Inputs!$B$7,IF(UPPER(TRIM(B29))="SWALE",Inputs!$B$8,Inputs!$B$9))))</f>
        <v/>
      </c>
      <c r="J29" s="7" t="n"/>
      <c r="K29" s="7" t="n"/>
      <c r="L29" s="7" t="n"/>
      <c r="M29" s="7" t="n"/>
      <c r="N29" s="7" t="n">
        <v>0</v>
      </c>
      <c r="O29" s="8">
        <f>IF(A29="","",SUMIFS(Zones_tributaires!$I:$I,Zones_tributaires!$J:$J,$A29))</f>
        <v/>
      </c>
      <c r="P29" s="8">
        <f>IF(A29="","",SUMIFS($Q$4:$Q$204,$E$4:$E$204,$A29))</f>
        <v/>
      </c>
      <c r="Q29" s="8">
        <f>IF(A29="","",(O29+P29)*Inputs!$B$6)</f>
        <v/>
      </c>
      <c r="R29" s="8">
        <f>IF(A29="","",IF(UPPER(TRIM(B29))="PIPE",PI()*(J29/1000)^2/4,IF(OR(K29="",L29=""),"",L29*(K29+M29*L29))))</f>
        <v/>
      </c>
      <c r="S29" s="8">
        <f>IF(A29="","",IF(UPPER(TRIM(B29))="PIPE",(J29/1000)/4,IF(OR(R29="",K29="",L29=""),"",R29/(K29+2*L29*SQRT(1+M29^2)))))</f>
        <v/>
      </c>
      <c r="T29" s="8">
        <f>IF(A29="","",IF(OR(I29="",R29="",S29="",G29=""),"",(1/I29)*R29*(S29^(2/3))*SQRT(G29)))</f>
        <v/>
      </c>
      <c r="U29" s="8">
        <f>IF(OR(T29="",Q29=""),"",Q29/(T29*Inputs!$B$19))</f>
        <v/>
      </c>
      <c r="V29" s="8">
        <f>IF(OR(R29="",Q29=""),"",Q29/R29)</f>
        <v/>
      </c>
      <c r="W29" s="8">
        <f>IF(OR(R29="",T29=""),"",T29/R29)</f>
        <v/>
      </c>
      <c r="X29" s="8">
        <f>IF(A29="","",IF(OR(UPPER(TRIM(Inputs!$B$15))="MANNING",UPPER(TRIM(Inputs!$B$15))="M"),W29,IF(OR(UPPER(TRIM(Inputs!$B$15))="MAX",UPPER(TRIM(Inputs!$B$15))="X"),MAX(V29,W29),V29)))</f>
        <v/>
      </c>
      <c r="Y29" s="8">
        <f>IF(A29="","",IF(UPPER(TRIM(B29))="TRENCH",K29*L29*N29,IF(UPPER(TRIM(B29))="SWALE",K29*L29,0)))</f>
        <v/>
      </c>
      <c r="Z29" s="8">
        <f>IF(OR(Y29="",F29=""),"",Y29*F29)</f>
        <v/>
      </c>
      <c r="AA29" s="4">
        <f>IF(A29="","",IF(OR(U29&gt;1,AND(X29&lt;&gt;"",X29&lt;Inputs!$B$16),AND(X29&lt;&gt;"",X29&gt;Inputs!$B$17),G29&lt;Inputs!$B$18,AH29="CHECK"),"CHECK","OK"))</f>
        <v/>
      </c>
      <c r="AB29" s="4" t="n"/>
      <c r="AC29" s="7" t="n"/>
      <c r="AD29" s="8">
        <f>IF(A29="","",IF(AC29&lt;&gt;"",AC29,IF(E29="",Inputs!$B$38,IFERROR(INDEX($AE$4:$AE$204,MATCH(E29,$A$4:$A$204,0))+IF(OR(AND(UPPER(TRIM(B29))="SWALE",UPPER(TRIM(AI29))="PIPE"),AND(UPPER(TRIM(B29))="TRENCH",UPPER(TRIM(AI29))="PIPE")),Inputs!$B$57,0),""))))</f>
        <v/>
      </c>
      <c r="AE29" s="8">
        <f>IF(OR(AD29="",F29="",G29=""),"",AD29+F29*G29)</f>
        <v/>
      </c>
      <c r="AF29" s="8">
        <f>IF(OR(E29="",A29=""),"",IFERROR(INDEX($AE$4:$AE$204,MATCH(E29,$A$4:$A$204,0)),""))</f>
        <v/>
      </c>
      <c r="AG29" s="8">
        <f>IF(OR(AD29="",AF29=""),"",AD29-AF29)</f>
        <v/>
      </c>
      <c r="AH29" s="4">
        <f>IF(A29="","",IF(E29="","TERMINAL",IF(OR(AND(UPPER(TRIM(B29))="SWALE",UPPER(TRIM(AI29))="PIPE"),AND(UPPER(TRIM(B29))="TRENCH",UPPER(TRIM(AI29))="PIPE")),IF(OR(AG29="",AJ29="",AK29=""),"INFO",IF(AND(AG29&gt;=AJ29,AG29&lt;=AK29),"OK","CHECK")),IF(AG29="","INFO",IF(ABS(AG29)&lt;=Inputs!$B$54,"OK","CHECK")))))</f>
        <v/>
      </c>
      <c r="AI29" s="17">
        <f>IF(A29="","",IF(E29="","",IFERROR(INDEX($B$4:$B$204,MATCH(E29,$A$4:$A$204,0)),"")))</f>
        <v/>
      </c>
      <c r="AJ29" s="17">
        <f>IF(A29="","",IF(OR(AND(UPPER(TRIM(B29))="SWALE",UPPER(TRIM(AI29))="PIPE"),AND(UPPER(TRIM(B29))="TRENCH",UPPER(TRIM(AI29))="PIPE")),Inputs!$B$55,0))</f>
        <v/>
      </c>
      <c r="AK29" s="17">
        <f>IF(A29="","",IF(OR(AND(UPPER(TRIM(B29))="SWALE",UPPER(TRIM(AI29))="PIPE"),AND(UPPER(TRIM(B29))="TRENCH",UPPER(TRIM(AI29))="PIPE")),Inputs!$B$56,Inputs!$B$54))</f>
        <v/>
      </c>
      <c r="AL29" s="4">
        <f>IF(A29="","",IF(E29="","TERMINAL",IF(OR(AND(UPPER(TRIM(B29))="SWALE",UPPER(TRIM(AI29))="PIPE"),AND(UPPER(TRIM(B29))="TRENCH",UPPER(TRIM(AI29))="PIPE")),IF(OR(AG29="",AJ29="",AK29=""),"INFO",IF(AND(AG29&gt;=AJ29,AG29&lt;=AK29),"OK","CHECK")),"N/A")))</f>
        <v/>
      </c>
    </row>
    <row r="30">
      <c r="A30" s="4" t="n"/>
      <c r="B30" s="4" t="n"/>
      <c r="C30" s="4" t="n"/>
      <c r="D30" s="4" t="n"/>
      <c r="E30" s="4" t="n"/>
      <c r="F30" s="7" t="n"/>
      <c r="G30" s="7" t="n"/>
      <c r="H30" s="7" t="n"/>
      <c r="I30" s="8">
        <f>IF(A30="","",IF(H30&lt;&gt;"",H30,IF(UPPER(TRIM(B30))="PIPE",Inputs!$B$7,IF(UPPER(TRIM(B30))="SWALE",Inputs!$B$8,Inputs!$B$9))))</f>
        <v/>
      </c>
      <c r="J30" s="7" t="n"/>
      <c r="K30" s="7" t="n"/>
      <c r="L30" s="7" t="n"/>
      <c r="M30" s="7" t="n"/>
      <c r="N30" s="7" t="n">
        <v>0</v>
      </c>
      <c r="O30" s="8">
        <f>IF(A30="","",SUMIFS(Zones_tributaires!$I:$I,Zones_tributaires!$J:$J,$A30))</f>
        <v/>
      </c>
      <c r="P30" s="8">
        <f>IF(A30="","",SUMIFS($Q$4:$Q$204,$E$4:$E$204,$A30))</f>
        <v/>
      </c>
      <c r="Q30" s="8">
        <f>IF(A30="","",(O30+P30)*Inputs!$B$6)</f>
        <v/>
      </c>
      <c r="R30" s="8">
        <f>IF(A30="","",IF(UPPER(TRIM(B30))="PIPE",PI()*(J30/1000)^2/4,IF(OR(K30="",L30=""),"",L30*(K30+M30*L30))))</f>
        <v/>
      </c>
      <c r="S30" s="8">
        <f>IF(A30="","",IF(UPPER(TRIM(B30))="PIPE",(J30/1000)/4,IF(OR(R30="",K30="",L30=""),"",R30/(K30+2*L30*SQRT(1+M30^2)))))</f>
        <v/>
      </c>
      <c r="T30" s="8">
        <f>IF(A30="","",IF(OR(I30="",R30="",S30="",G30=""),"",(1/I30)*R30*(S30^(2/3))*SQRT(G30)))</f>
        <v/>
      </c>
      <c r="U30" s="8">
        <f>IF(OR(T30="",Q30=""),"",Q30/(T30*Inputs!$B$19))</f>
        <v/>
      </c>
      <c r="V30" s="8">
        <f>IF(OR(R30="",Q30=""),"",Q30/R30)</f>
        <v/>
      </c>
      <c r="W30" s="8">
        <f>IF(OR(R30="",T30=""),"",T30/R30)</f>
        <v/>
      </c>
      <c r="X30" s="8">
        <f>IF(A30="","",IF(OR(UPPER(TRIM(Inputs!$B$15))="MANNING",UPPER(TRIM(Inputs!$B$15))="M"),W30,IF(OR(UPPER(TRIM(Inputs!$B$15))="MAX",UPPER(TRIM(Inputs!$B$15))="X"),MAX(V30,W30),V30)))</f>
        <v/>
      </c>
      <c r="Y30" s="8">
        <f>IF(A30="","",IF(UPPER(TRIM(B30))="TRENCH",K30*L30*N30,IF(UPPER(TRIM(B30))="SWALE",K30*L30,0)))</f>
        <v/>
      </c>
      <c r="Z30" s="8">
        <f>IF(OR(Y30="",F30=""),"",Y30*F30)</f>
        <v/>
      </c>
      <c r="AA30" s="4">
        <f>IF(A30="","",IF(OR(U30&gt;1,AND(X30&lt;&gt;"",X30&lt;Inputs!$B$16),AND(X30&lt;&gt;"",X30&gt;Inputs!$B$17),G30&lt;Inputs!$B$18,AH30="CHECK"),"CHECK","OK"))</f>
        <v/>
      </c>
      <c r="AB30" s="4" t="n"/>
      <c r="AC30" s="7" t="n"/>
      <c r="AD30" s="8">
        <f>IF(A30="","",IF(AC30&lt;&gt;"",AC30,IF(E30="",Inputs!$B$38,IFERROR(INDEX($AE$4:$AE$204,MATCH(E30,$A$4:$A$204,0))+IF(OR(AND(UPPER(TRIM(B30))="SWALE",UPPER(TRIM(AI30))="PIPE"),AND(UPPER(TRIM(B30))="TRENCH",UPPER(TRIM(AI30))="PIPE")),Inputs!$B$57,0),""))))</f>
        <v/>
      </c>
      <c r="AE30" s="8">
        <f>IF(OR(AD30="",F30="",G30=""),"",AD30+F30*G30)</f>
        <v/>
      </c>
      <c r="AF30" s="8">
        <f>IF(OR(E30="",A30=""),"",IFERROR(INDEX($AE$4:$AE$204,MATCH(E30,$A$4:$A$204,0)),""))</f>
        <v/>
      </c>
      <c r="AG30" s="8">
        <f>IF(OR(AD30="",AF30=""),"",AD30-AF30)</f>
        <v/>
      </c>
      <c r="AH30" s="4">
        <f>IF(A30="","",IF(E30="","TERMINAL",IF(OR(AND(UPPER(TRIM(B30))="SWALE",UPPER(TRIM(AI30))="PIPE"),AND(UPPER(TRIM(B30))="TRENCH",UPPER(TRIM(AI30))="PIPE")),IF(OR(AG30="",AJ30="",AK30=""),"INFO",IF(AND(AG30&gt;=AJ30,AG30&lt;=AK30),"OK","CHECK")),IF(AG30="","INFO",IF(ABS(AG30)&lt;=Inputs!$B$54,"OK","CHECK")))))</f>
        <v/>
      </c>
      <c r="AI30" s="17">
        <f>IF(A30="","",IF(E30="","",IFERROR(INDEX($B$4:$B$204,MATCH(E30,$A$4:$A$204,0)),"")))</f>
        <v/>
      </c>
      <c r="AJ30" s="17">
        <f>IF(A30="","",IF(OR(AND(UPPER(TRIM(B30))="SWALE",UPPER(TRIM(AI30))="PIPE"),AND(UPPER(TRIM(B30))="TRENCH",UPPER(TRIM(AI30))="PIPE")),Inputs!$B$55,0))</f>
        <v/>
      </c>
      <c r="AK30" s="17">
        <f>IF(A30="","",IF(OR(AND(UPPER(TRIM(B30))="SWALE",UPPER(TRIM(AI30))="PIPE"),AND(UPPER(TRIM(B30))="TRENCH",UPPER(TRIM(AI30))="PIPE")),Inputs!$B$56,Inputs!$B$54))</f>
        <v/>
      </c>
      <c r="AL30" s="4">
        <f>IF(A30="","",IF(E30="","TERMINAL",IF(OR(AND(UPPER(TRIM(B30))="SWALE",UPPER(TRIM(AI30))="PIPE"),AND(UPPER(TRIM(B30))="TRENCH",UPPER(TRIM(AI30))="PIPE")),IF(OR(AG30="",AJ30="",AK30=""),"INFO",IF(AND(AG30&gt;=AJ30,AG30&lt;=AK30),"OK","CHECK")),"N/A")))</f>
        <v/>
      </c>
    </row>
    <row r="31">
      <c r="A31" s="4" t="n"/>
      <c r="B31" s="4" t="n"/>
      <c r="C31" s="4" t="n"/>
      <c r="D31" s="4" t="n"/>
      <c r="E31" s="4" t="n"/>
      <c r="F31" s="7" t="n"/>
      <c r="G31" s="7" t="n"/>
      <c r="H31" s="7" t="n"/>
      <c r="I31" s="8">
        <f>IF(A31="","",IF(H31&lt;&gt;"",H31,IF(UPPER(TRIM(B31))="PIPE",Inputs!$B$7,IF(UPPER(TRIM(B31))="SWALE",Inputs!$B$8,Inputs!$B$9))))</f>
        <v/>
      </c>
      <c r="J31" s="7" t="n"/>
      <c r="K31" s="7" t="n"/>
      <c r="L31" s="7" t="n"/>
      <c r="M31" s="7" t="n"/>
      <c r="N31" s="7" t="n">
        <v>0</v>
      </c>
      <c r="O31" s="8">
        <f>IF(A31="","",SUMIFS(Zones_tributaires!$I:$I,Zones_tributaires!$J:$J,$A31))</f>
        <v/>
      </c>
      <c r="P31" s="8">
        <f>IF(A31="","",SUMIFS($Q$4:$Q$204,$E$4:$E$204,$A31))</f>
        <v/>
      </c>
      <c r="Q31" s="8">
        <f>IF(A31="","",(O31+P31)*Inputs!$B$6)</f>
        <v/>
      </c>
      <c r="R31" s="8">
        <f>IF(A31="","",IF(UPPER(TRIM(B31))="PIPE",PI()*(J31/1000)^2/4,IF(OR(K31="",L31=""),"",L31*(K31+M31*L31))))</f>
        <v/>
      </c>
      <c r="S31" s="8">
        <f>IF(A31="","",IF(UPPER(TRIM(B31))="PIPE",(J31/1000)/4,IF(OR(R31="",K31="",L31=""),"",R31/(K31+2*L31*SQRT(1+M31^2)))))</f>
        <v/>
      </c>
      <c r="T31" s="8">
        <f>IF(A31="","",IF(OR(I31="",R31="",S31="",G31=""),"",(1/I31)*R31*(S31^(2/3))*SQRT(G31)))</f>
        <v/>
      </c>
      <c r="U31" s="8">
        <f>IF(OR(T31="",Q31=""),"",Q31/(T31*Inputs!$B$19))</f>
        <v/>
      </c>
      <c r="V31" s="8">
        <f>IF(OR(R31="",Q31=""),"",Q31/R31)</f>
        <v/>
      </c>
      <c r="W31" s="8">
        <f>IF(OR(R31="",T31=""),"",T31/R31)</f>
        <v/>
      </c>
      <c r="X31" s="8">
        <f>IF(A31="","",IF(OR(UPPER(TRIM(Inputs!$B$15))="MANNING",UPPER(TRIM(Inputs!$B$15))="M"),W31,IF(OR(UPPER(TRIM(Inputs!$B$15))="MAX",UPPER(TRIM(Inputs!$B$15))="X"),MAX(V31,W31),V31)))</f>
        <v/>
      </c>
      <c r="Y31" s="8">
        <f>IF(A31="","",IF(UPPER(TRIM(B31))="TRENCH",K31*L31*N31,IF(UPPER(TRIM(B31))="SWALE",K31*L31,0)))</f>
        <v/>
      </c>
      <c r="Z31" s="8">
        <f>IF(OR(Y31="",F31=""),"",Y31*F31)</f>
        <v/>
      </c>
      <c r="AA31" s="4">
        <f>IF(A31="","",IF(OR(U31&gt;1,AND(X31&lt;&gt;"",X31&lt;Inputs!$B$16),AND(X31&lt;&gt;"",X31&gt;Inputs!$B$17),G31&lt;Inputs!$B$18,AH31="CHECK"),"CHECK","OK"))</f>
        <v/>
      </c>
      <c r="AB31" s="4" t="n"/>
      <c r="AC31" s="7" t="n"/>
      <c r="AD31" s="8">
        <f>IF(A31="","",IF(AC31&lt;&gt;"",AC31,IF(E31="",Inputs!$B$38,IFERROR(INDEX($AE$4:$AE$204,MATCH(E31,$A$4:$A$204,0))+IF(OR(AND(UPPER(TRIM(B31))="SWALE",UPPER(TRIM(AI31))="PIPE"),AND(UPPER(TRIM(B31))="TRENCH",UPPER(TRIM(AI31))="PIPE")),Inputs!$B$57,0),""))))</f>
        <v/>
      </c>
      <c r="AE31" s="8">
        <f>IF(OR(AD31="",F31="",G31=""),"",AD31+F31*G31)</f>
        <v/>
      </c>
      <c r="AF31" s="8">
        <f>IF(OR(E31="",A31=""),"",IFERROR(INDEX($AE$4:$AE$204,MATCH(E31,$A$4:$A$204,0)),""))</f>
        <v/>
      </c>
      <c r="AG31" s="8">
        <f>IF(OR(AD31="",AF31=""),"",AD31-AF31)</f>
        <v/>
      </c>
      <c r="AH31" s="4">
        <f>IF(A31="","",IF(E31="","TERMINAL",IF(OR(AND(UPPER(TRIM(B31))="SWALE",UPPER(TRIM(AI31))="PIPE"),AND(UPPER(TRIM(B31))="TRENCH",UPPER(TRIM(AI31))="PIPE")),IF(OR(AG31="",AJ31="",AK31=""),"INFO",IF(AND(AG31&gt;=AJ31,AG31&lt;=AK31),"OK","CHECK")),IF(AG31="","INFO",IF(ABS(AG31)&lt;=Inputs!$B$54,"OK","CHECK")))))</f>
        <v/>
      </c>
      <c r="AI31" s="17">
        <f>IF(A31="","",IF(E31="","",IFERROR(INDEX($B$4:$B$204,MATCH(E31,$A$4:$A$204,0)),"")))</f>
        <v/>
      </c>
      <c r="AJ31" s="17">
        <f>IF(A31="","",IF(OR(AND(UPPER(TRIM(B31))="SWALE",UPPER(TRIM(AI31))="PIPE"),AND(UPPER(TRIM(B31))="TRENCH",UPPER(TRIM(AI31))="PIPE")),Inputs!$B$55,0))</f>
        <v/>
      </c>
      <c r="AK31" s="17">
        <f>IF(A31="","",IF(OR(AND(UPPER(TRIM(B31))="SWALE",UPPER(TRIM(AI31))="PIPE"),AND(UPPER(TRIM(B31))="TRENCH",UPPER(TRIM(AI31))="PIPE")),Inputs!$B$56,Inputs!$B$54))</f>
        <v/>
      </c>
      <c r="AL31" s="4">
        <f>IF(A31="","",IF(E31="","TERMINAL",IF(OR(AND(UPPER(TRIM(B31))="SWALE",UPPER(TRIM(AI31))="PIPE"),AND(UPPER(TRIM(B31))="TRENCH",UPPER(TRIM(AI31))="PIPE")),IF(OR(AG31="",AJ31="",AK31=""),"INFO",IF(AND(AG31&gt;=AJ31,AG31&lt;=AK31),"OK","CHECK")),"N/A")))</f>
        <v/>
      </c>
    </row>
    <row r="32">
      <c r="A32" s="4" t="n"/>
      <c r="B32" s="4" t="n"/>
      <c r="C32" s="4" t="n"/>
      <c r="D32" s="4" t="n"/>
      <c r="E32" s="4" t="n"/>
      <c r="F32" s="7" t="n"/>
      <c r="G32" s="7" t="n"/>
      <c r="H32" s="7" t="n"/>
      <c r="I32" s="8">
        <f>IF(A32="","",IF(H32&lt;&gt;"",H32,IF(UPPER(TRIM(B32))="PIPE",Inputs!$B$7,IF(UPPER(TRIM(B32))="SWALE",Inputs!$B$8,Inputs!$B$9))))</f>
        <v/>
      </c>
      <c r="J32" s="7" t="n"/>
      <c r="K32" s="7" t="n"/>
      <c r="L32" s="7" t="n"/>
      <c r="M32" s="7" t="n"/>
      <c r="N32" s="7" t="n">
        <v>0</v>
      </c>
      <c r="O32" s="8">
        <f>IF(A32="","",SUMIFS(Zones_tributaires!$I:$I,Zones_tributaires!$J:$J,$A32))</f>
        <v/>
      </c>
      <c r="P32" s="8">
        <f>IF(A32="","",SUMIFS($Q$4:$Q$204,$E$4:$E$204,$A32))</f>
        <v/>
      </c>
      <c r="Q32" s="8">
        <f>IF(A32="","",(O32+P32)*Inputs!$B$6)</f>
        <v/>
      </c>
      <c r="R32" s="8">
        <f>IF(A32="","",IF(UPPER(TRIM(B32))="PIPE",PI()*(J32/1000)^2/4,IF(OR(K32="",L32=""),"",L32*(K32+M32*L32))))</f>
        <v/>
      </c>
      <c r="S32" s="8">
        <f>IF(A32="","",IF(UPPER(TRIM(B32))="PIPE",(J32/1000)/4,IF(OR(R32="",K32="",L32=""),"",R32/(K32+2*L32*SQRT(1+M32^2)))))</f>
        <v/>
      </c>
      <c r="T32" s="8">
        <f>IF(A32="","",IF(OR(I32="",R32="",S32="",G32=""),"",(1/I32)*R32*(S32^(2/3))*SQRT(G32)))</f>
        <v/>
      </c>
      <c r="U32" s="8">
        <f>IF(OR(T32="",Q32=""),"",Q32/(T32*Inputs!$B$19))</f>
        <v/>
      </c>
      <c r="V32" s="8">
        <f>IF(OR(R32="",Q32=""),"",Q32/R32)</f>
        <v/>
      </c>
      <c r="W32" s="8">
        <f>IF(OR(R32="",T32=""),"",T32/R32)</f>
        <v/>
      </c>
      <c r="X32" s="8">
        <f>IF(A32="","",IF(OR(UPPER(TRIM(Inputs!$B$15))="MANNING",UPPER(TRIM(Inputs!$B$15))="M"),W32,IF(OR(UPPER(TRIM(Inputs!$B$15))="MAX",UPPER(TRIM(Inputs!$B$15))="X"),MAX(V32,W32),V32)))</f>
        <v/>
      </c>
      <c r="Y32" s="8">
        <f>IF(A32="","",IF(UPPER(TRIM(B32))="TRENCH",K32*L32*N32,IF(UPPER(TRIM(B32))="SWALE",K32*L32,0)))</f>
        <v/>
      </c>
      <c r="Z32" s="8">
        <f>IF(OR(Y32="",F32=""),"",Y32*F32)</f>
        <v/>
      </c>
      <c r="AA32" s="4">
        <f>IF(A32="","",IF(OR(U32&gt;1,AND(X32&lt;&gt;"",X32&lt;Inputs!$B$16),AND(X32&lt;&gt;"",X32&gt;Inputs!$B$17),G32&lt;Inputs!$B$18,AH32="CHECK"),"CHECK","OK"))</f>
        <v/>
      </c>
      <c r="AB32" s="4" t="n"/>
      <c r="AC32" s="7" t="n"/>
      <c r="AD32" s="8">
        <f>IF(A32="","",IF(AC32&lt;&gt;"",AC32,IF(E32="",Inputs!$B$38,IFERROR(INDEX($AE$4:$AE$204,MATCH(E32,$A$4:$A$204,0))+IF(OR(AND(UPPER(TRIM(B32))="SWALE",UPPER(TRIM(AI32))="PIPE"),AND(UPPER(TRIM(B32))="TRENCH",UPPER(TRIM(AI32))="PIPE")),Inputs!$B$57,0),""))))</f>
        <v/>
      </c>
      <c r="AE32" s="8">
        <f>IF(OR(AD32="",F32="",G32=""),"",AD32+F32*G32)</f>
        <v/>
      </c>
      <c r="AF32" s="8">
        <f>IF(OR(E32="",A32=""),"",IFERROR(INDEX($AE$4:$AE$204,MATCH(E32,$A$4:$A$204,0)),""))</f>
        <v/>
      </c>
      <c r="AG32" s="8">
        <f>IF(OR(AD32="",AF32=""),"",AD32-AF32)</f>
        <v/>
      </c>
      <c r="AH32" s="4">
        <f>IF(A32="","",IF(E32="","TERMINAL",IF(OR(AND(UPPER(TRIM(B32))="SWALE",UPPER(TRIM(AI32))="PIPE"),AND(UPPER(TRIM(B32))="TRENCH",UPPER(TRIM(AI32))="PIPE")),IF(OR(AG32="",AJ32="",AK32=""),"INFO",IF(AND(AG32&gt;=AJ32,AG32&lt;=AK32),"OK","CHECK")),IF(AG32="","INFO",IF(ABS(AG32)&lt;=Inputs!$B$54,"OK","CHECK")))))</f>
        <v/>
      </c>
      <c r="AI32" s="17">
        <f>IF(A32="","",IF(E32="","",IFERROR(INDEX($B$4:$B$204,MATCH(E32,$A$4:$A$204,0)),"")))</f>
        <v/>
      </c>
      <c r="AJ32" s="17">
        <f>IF(A32="","",IF(OR(AND(UPPER(TRIM(B32))="SWALE",UPPER(TRIM(AI32))="PIPE"),AND(UPPER(TRIM(B32))="TRENCH",UPPER(TRIM(AI32))="PIPE")),Inputs!$B$55,0))</f>
        <v/>
      </c>
      <c r="AK32" s="17">
        <f>IF(A32="","",IF(OR(AND(UPPER(TRIM(B32))="SWALE",UPPER(TRIM(AI32))="PIPE"),AND(UPPER(TRIM(B32))="TRENCH",UPPER(TRIM(AI32))="PIPE")),Inputs!$B$56,Inputs!$B$54))</f>
        <v/>
      </c>
      <c r="AL32" s="4">
        <f>IF(A32="","",IF(E32="","TERMINAL",IF(OR(AND(UPPER(TRIM(B32))="SWALE",UPPER(TRIM(AI32))="PIPE"),AND(UPPER(TRIM(B32))="TRENCH",UPPER(TRIM(AI32))="PIPE")),IF(OR(AG32="",AJ32="",AK32=""),"INFO",IF(AND(AG32&gt;=AJ32,AG32&lt;=AK32),"OK","CHECK")),"N/A")))</f>
        <v/>
      </c>
    </row>
    <row r="33">
      <c r="A33" s="4" t="n"/>
      <c r="B33" s="4" t="n"/>
      <c r="C33" s="4" t="n"/>
      <c r="D33" s="4" t="n"/>
      <c r="E33" s="4" t="n"/>
      <c r="F33" s="7" t="n"/>
      <c r="G33" s="7" t="n"/>
      <c r="H33" s="7" t="n"/>
      <c r="I33" s="8">
        <f>IF(A33="","",IF(H33&lt;&gt;"",H33,IF(UPPER(TRIM(B33))="PIPE",Inputs!$B$7,IF(UPPER(TRIM(B33))="SWALE",Inputs!$B$8,Inputs!$B$9))))</f>
        <v/>
      </c>
      <c r="J33" s="7" t="n"/>
      <c r="K33" s="7" t="n"/>
      <c r="L33" s="7" t="n"/>
      <c r="M33" s="7" t="n"/>
      <c r="N33" s="7" t="n">
        <v>0</v>
      </c>
      <c r="O33" s="8">
        <f>IF(A33="","",SUMIFS(Zones_tributaires!$I:$I,Zones_tributaires!$J:$J,$A33))</f>
        <v/>
      </c>
      <c r="P33" s="8">
        <f>IF(A33="","",SUMIFS($Q$4:$Q$204,$E$4:$E$204,$A33))</f>
        <v/>
      </c>
      <c r="Q33" s="8">
        <f>IF(A33="","",(O33+P33)*Inputs!$B$6)</f>
        <v/>
      </c>
      <c r="R33" s="8">
        <f>IF(A33="","",IF(UPPER(TRIM(B33))="PIPE",PI()*(J33/1000)^2/4,IF(OR(K33="",L33=""),"",L33*(K33+M33*L33))))</f>
        <v/>
      </c>
      <c r="S33" s="8">
        <f>IF(A33="","",IF(UPPER(TRIM(B33))="PIPE",(J33/1000)/4,IF(OR(R33="",K33="",L33=""),"",R33/(K33+2*L33*SQRT(1+M33^2)))))</f>
        <v/>
      </c>
      <c r="T33" s="8">
        <f>IF(A33="","",IF(OR(I33="",R33="",S33="",G33=""),"",(1/I33)*R33*(S33^(2/3))*SQRT(G33)))</f>
        <v/>
      </c>
      <c r="U33" s="8">
        <f>IF(OR(T33="",Q33=""),"",Q33/(T33*Inputs!$B$19))</f>
        <v/>
      </c>
      <c r="V33" s="8">
        <f>IF(OR(R33="",Q33=""),"",Q33/R33)</f>
        <v/>
      </c>
      <c r="W33" s="8">
        <f>IF(OR(R33="",T33=""),"",T33/R33)</f>
        <v/>
      </c>
      <c r="X33" s="8">
        <f>IF(A33="","",IF(OR(UPPER(TRIM(Inputs!$B$15))="MANNING",UPPER(TRIM(Inputs!$B$15))="M"),W33,IF(OR(UPPER(TRIM(Inputs!$B$15))="MAX",UPPER(TRIM(Inputs!$B$15))="X"),MAX(V33,W33),V33)))</f>
        <v/>
      </c>
      <c r="Y33" s="8">
        <f>IF(A33="","",IF(UPPER(TRIM(B33))="TRENCH",K33*L33*N33,IF(UPPER(TRIM(B33))="SWALE",K33*L33,0)))</f>
        <v/>
      </c>
      <c r="Z33" s="8">
        <f>IF(OR(Y33="",F33=""),"",Y33*F33)</f>
        <v/>
      </c>
      <c r="AA33" s="4">
        <f>IF(A33="","",IF(OR(U33&gt;1,AND(X33&lt;&gt;"",X33&lt;Inputs!$B$16),AND(X33&lt;&gt;"",X33&gt;Inputs!$B$17),G33&lt;Inputs!$B$18,AH33="CHECK"),"CHECK","OK"))</f>
        <v/>
      </c>
      <c r="AB33" s="4" t="n"/>
      <c r="AC33" s="7" t="n"/>
      <c r="AD33" s="8">
        <f>IF(A33="","",IF(AC33&lt;&gt;"",AC33,IF(E33="",Inputs!$B$38,IFERROR(INDEX($AE$4:$AE$204,MATCH(E33,$A$4:$A$204,0))+IF(OR(AND(UPPER(TRIM(B33))="SWALE",UPPER(TRIM(AI33))="PIPE"),AND(UPPER(TRIM(B33))="TRENCH",UPPER(TRIM(AI33))="PIPE")),Inputs!$B$57,0),""))))</f>
        <v/>
      </c>
      <c r="AE33" s="8">
        <f>IF(OR(AD33="",F33="",G33=""),"",AD33+F33*G33)</f>
        <v/>
      </c>
      <c r="AF33" s="8">
        <f>IF(OR(E33="",A33=""),"",IFERROR(INDEX($AE$4:$AE$204,MATCH(E33,$A$4:$A$204,0)),""))</f>
        <v/>
      </c>
      <c r="AG33" s="8">
        <f>IF(OR(AD33="",AF33=""),"",AD33-AF33)</f>
        <v/>
      </c>
      <c r="AH33" s="4">
        <f>IF(A33="","",IF(E33="","TERMINAL",IF(OR(AND(UPPER(TRIM(B33))="SWALE",UPPER(TRIM(AI33))="PIPE"),AND(UPPER(TRIM(B33))="TRENCH",UPPER(TRIM(AI33))="PIPE")),IF(OR(AG33="",AJ33="",AK33=""),"INFO",IF(AND(AG33&gt;=AJ33,AG33&lt;=AK33),"OK","CHECK")),IF(AG33="","INFO",IF(ABS(AG33)&lt;=Inputs!$B$54,"OK","CHECK")))))</f>
        <v/>
      </c>
      <c r="AI33" s="17">
        <f>IF(A33="","",IF(E33="","",IFERROR(INDEX($B$4:$B$204,MATCH(E33,$A$4:$A$204,0)),"")))</f>
        <v/>
      </c>
      <c r="AJ33" s="17">
        <f>IF(A33="","",IF(OR(AND(UPPER(TRIM(B33))="SWALE",UPPER(TRIM(AI33))="PIPE"),AND(UPPER(TRIM(B33))="TRENCH",UPPER(TRIM(AI33))="PIPE")),Inputs!$B$55,0))</f>
        <v/>
      </c>
      <c r="AK33" s="17">
        <f>IF(A33="","",IF(OR(AND(UPPER(TRIM(B33))="SWALE",UPPER(TRIM(AI33))="PIPE"),AND(UPPER(TRIM(B33))="TRENCH",UPPER(TRIM(AI33))="PIPE")),Inputs!$B$56,Inputs!$B$54))</f>
        <v/>
      </c>
      <c r="AL33" s="4">
        <f>IF(A33="","",IF(E33="","TERMINAL",IF(OR(AND(UPPER(TRIM(B33))="SWALE",UPPER(TRIM(AI33))="PIPE"),AND(UPPER(TRIM(B33))="TRENCH",UPPER(TRIM(AI33))="PIPE")),IF(OR(AG33="",AJ33="",AK33=""),"INFO",IF(AND(AG33&gt;=AJ33,AG33&lt;=AK33),"OK","CHECK")),"N/A")))</f>
        <v/>
      </c>
    </row>
    <row r="34">
      <c r="A34" s="4" t="n"/>
      <c r="B34" s="4" t="n"/>
      <c r="C34" s="4" t="n"/>
      <c r="D34" s="4" t="n"/>
      <c r="E34" s="4" t="n"/>
      <c r="F34" s="7" t="n"/>
      <c r="G34" s="7" t="n"/>
      <c r="H34" s="7" t="n"/>
      <c r="I34" s="8">
        <f>IF(A34="","",IF(H34&lt;&gt;"",H34,IF(UPPER(TRIM(B34))="PIPE",Inputs!$B$7,IF(UPPER(TRIM(B34))="SWALE",Inputs!$B$8,Inputs!$B$9))))</f>
        <v/>
      </c>
      <c r="J34" s="7" t="n"/>
      <c r="K34" s="7" t="n"/>
      <c r="L34" s="7" t="n"/>
      <c r="M34" s="7" t="n"/>
      <c r="N34" s="7" t="n">
        <v>0</v>
      </c>
      <c r="O34" s="8">
        <f>IF(A34="","",SUMIFS(Zones_tributaires!$I:$I,Zones_tributaires!$J:$J,$A34))</f>
        <v/>
      </c>
      <c r="P34" s="8">
        <f>IF(A34="","",SUMIFS($Q$4:$Q$204,$E$4:$E$204,$A34))</f>
        <v/>
      </c>
      <c r="Q34" s="8">
        <f>IF(A34="","",(O34+P34)*Inputs!$B$6)</f>
        <v/>
      </c>
      <c r="R34" s="8">
        <f>IF(A34="","",IF(UPPER(TRIM(B34))="PIPE",PI()*(J34/1000)^2/4,IF(OR(K34="",L34=""),"",L34*(K34+M34*L34))))</f>
        <v/>
      </c>
      <c r="S34" s="8">
        <f>IF(A34="","",IF(UPPER(TRIM(B34))="PIPE",(J34/1000)/4,IF(OR(R34="",K34="",L34=""),"",R34/(K34+2*L34*SQRT(1+M34^2)))))</f>
        <v/>
      </c>
      <c r="T34" s="8">
        <f>IF(A34="","",IF(OR(I34="",R34="",S34="",G34=""),"",(1/I34)*R34*(S34^(2/3))*SQRT(G34)))</f>
        <v/>
      </c>
      <c r="U34" s="8">
        <f>IF(OR(T34="",Q34=""),"",Q34/(T34*Inputs!$B$19))</f>
        <v/>
      </c>
      <c r="V34" s="8">
        <f>IF(OR(R34="",Q34=""),"",Q34/R34)</f>
        <v/>
      </c>
      <c r="W34" s="8">
        <f>IF(OR(R34="",T34=""),"",T34/R34)</f>
        <v/>
      </c>
      <c r="X34" s="8">
        <f>IF(A34="","",IF(OR(UPPER(TRIM(Inputs!$B$15))="MANNING",UPPER(TRIM(Inputs!$B$15))="M"),W34,IF(OR(UPPER(TRIM(Inputs!$B$15))="MAX",UPPER(TRIM(Inputs!$B$15))="X"),MAX(V34,W34),V34)))</f>
        <v/>
      </c>
      <c r="Y34" s="8">
        <f>IF(A34="","",IF(UPPER(TRIM(B34))="TRENCH",K34*L34*N34,IF(UPPER(TRIM(B34))="SWALE",K34*L34,0)))</f>
        <v/>
      </c>
      <c r="Z34" s="8">
        <f>IF(OR(Y34="",F34=""),"",Y34*F34)</f>
        <v/>
      </c>
      <c r="AA34" s="4">
        <f>IF(A34="","",IF(OR(U34&gt;1,AND(X34&lt;&gt;"",X34&lt;Inputs!$B$16),AND(X34&lt;&gt;"",X34&gt;Inputs!$B$17),G34&lt;Inputs!$B$18,AH34="CHECK"),"CHECK","OK"))</f>
        <v/>
      </c>
      <c r="AB34" s="4" t="n"/>
      <c r="AC34" s="7" t="n"/>
      <c r="AD34" s="8">
        <f>IF(A34="","",IF(AC34&lt;&gt;"",AC34,IF(E34="",Inputs!$B$38,IFERROR(INDEX($AE$4:$AE$204,MATCH(E34,$A$4:$A$204,0))+IF(OR(AND(UPPER(TRIM(B34))="SWALE",UPPER(TRIM(AI34))="PIPE"),AND(UPPER(TRIM(B34))="TRENCH",UPPER(TRIM(AI34))="PIPE")),Inputs!$B$57,0),""))))</f>
        <v/>
      </c>
      <c r="AE34" s="8">
        <f>IF(OR(AD34="",F34="",G34=""),"",AD34+F34*G34)</f>
        <v/>
      </c>
      <c r="AF34" s="8">
        <f>IF(OR(E34="",A34=""),"",IFERROR(INDEX($AE$4:$AE$204,MATCH(E34,$A$4:$A$204,0)),""))</f>
        <v/>
      </c>
      <c r="AG34" s="8">
        <f>IF(OR(AD34="",AF34=""),"",AD34-AF34)</f>
        <v/>
      </c>
      <c r="AH34" s="4">
        <f>IF(A34="","",IF(E34="","TERMINAL",IF(OR(AND(UPPER(TRIM(B34))="SWALE",UPPER(TRIM(AI34))="PIPE"),AND(UPPER(TRIM(B34))="TRENCH",UPPER(TRIM(AI34))="PIPE")),IF(OR(AG34="",AJ34="",AK34=""),"INFO",IF(AND(AG34&gt;=AJ34,AG34&lt;=AK34),"OK","CHECK")),IF(AG34="","INFO",IF(ABS(AG34)&lt;=Inputs!$B$54,"OK","CHECK")))))</f>
        <v/>
      </c>
      <c r="AI34" s="17">
        <f>IF(A34="","",IF(E34="","",IFERROR(INDEX($B$4:$B$204,MATCH(E34,$A$4:$A$204,0)),"")))</f>
        <v/>
      </c>
      <c r="AJ34" s="17">
        <f>IF(A34="","",IF(OR(AND(UPPER(TRIM(B34))="SWALE",UPPER(TRIM(AI34))="PIPE"),AND(UPPER(TRIM(B34))="TRENCH",UPPER(TRIM(AI34))="PIPE")),Inputs!$B$55,0))</f>
        <v/>
      </c>
      <c r="AK34" s="17">
        <f>IF(A34="","",IF(OR(AND(UPPER(TRIM(B34))="SWALE",UPPER(TRIM(AI34))="PIPE"),AND(UPPER(TRIM(B34))="TRENCH",UPPER(TRIM(AI34))="PIPE")),Inputs!$B$56,Inputs!$B$54))</f>
        <v/>
      </c>
      <c r="AL34" s="4">
        <f>IF(A34="","",IF(E34="","TERMINAL",IF(OR(AND(UPPER(TRIM(B34))="SWALE",UPPER(TRIM(AI34))="PIPE"),AND(UPPER(TRIM(B34))="TRENCH",UPPER(TRIM(AI34))="PIPE")),IF(OR(AG34="",AJ34="",AK34=""),"INFO",IF(AND(AG34&gt;=AJ34,AG34&lt;=AK34),"OK","CHECK")),"N/A")))</f>
        <v/>
      </c>
    </row>
    <row r="35">
      <c r="A35" s="4" t="n"/>
      <c r="B35" s="4" t="n"/>
      <c r="C35" s="4" t="n"/>
      <c r="D35" s="4" t="n"/>
      <c r="E35" s="4" t="n"/>
      <c r="F35" s="7" t="n"/>
      <c r="G35" s="7" t="n"/>
      <c r="H35" s="7" t="n"/>
      <c r="I35" s="8">
        <f>IF(A35="","",IF(H35&lt;&gt;"",H35,IF(UPPER(TRIM(B35))="PIPE",Inputs!$B$7,IF(UPPER(TRIM(B35))="SWALE",Inputs!$B$8,Inputs!$B$9))))</f>
        <v/>
      </c>
      <c r="J35" s="7" t="n"/>
      <c r="K35" s="7" t="n"/>
      <c r="L35" s="7" t="n"/>
      <c r="M35" s="7" t="n"/>
      <c r="N35" s="7" t="n">
        <v>0</v>
      </c>
      <c r="O35" s="8">
        <f>IF(A35="","",SUMIFS(Zones_tributaires!$I:$I,Zones_tributaires!$J:$J,$A35))</f>
        <v/>
      </c>
      <c r="P35" s="8">
        <f>IF(A35="","",SUMIFS($Q$4:$Q$204,$E$4:$E$204,$A35))</f>
        <v/>
      </c>
      <c r="Q35" s="8">
        <f>IF(A35="","",(O35+P35)*Inputs!$B$6)</f>
        <v/>
      </c>
      <c r="R35" s="8">
        <f>IF(A35="","",IF(UPPER(TRIM(B35))="PIPE",PI()*(J35/1000)^2/4,IF(OR(K35="",L35=""),"",L35*(K35+M35*L35))))</f>
        <v/>
      </c>
      <c r="S35" s="8">
        <f>IF(A35="","",IF(UPPER(TRIM(B35))="PIPE",(J35/1000)/4,IF(OR(R35="",K35="",L35=""),"",R35/(K35+2*L35*SQRT(1+M35^2)))))</f>
        <v/>
      </c>
      <c r="T35" s="8">
        <f>IF(A35="","",IF(OR(I35="",R35="",S35="",G35=""),"",(1/I35)*R35*(S35^(2/3))*SQRT(G35)))</f>
        <v/>
      </c>
      <c r="U35" s="8">
        <f>IF(OR(T35="",Q35=""),"",Q35/(T35*Inputs!$B$19))</f>
        <v/>
      </c>
      <c r="V35" s="8">
        <f>IF(OR(R35="",Q35=""),"",Q35/R35)</f>
        <v/>
      </c>
      <c r="W35" s="8">
        <f>IF(OR(R35="",T35=""),"",T35/R35)</f>
        <v/>
      </c>
      <c r="X35" s="8">
        <f>IF(A35="","",IF(OR(UPPER(TRIM(Inputs!$B$15))="MANNING",UPPER(TRIM(Inputs!$B$15))="M"),W35,IF(OR(UPPER(TRIM(Inputs!$B$15))="MAX",UPPER(TRIM(Inputs!$B$15))="X"),MAX(V35,W35),V35)))</f>
        <v/>
      </c>
      <c r="Y35" s="8">
        <f>IF(A35="","",IF(UPPER(TRIM(B35))="TRENCH",K35*L35*N35,IF(UPPER(TRIM(B35))="SWALE",K35*L35,0)))</f>
        <v/>
      </c>
      <c r="Z35" s="8">
        <f>IF(OR(Y35="",F35=""),"",Y35*F35)</f>
        <v/>
      </c>
      <c r="AA35" s="4">
        <f>IF(A35="","",IF(OR(U35&gt;1,AND(X35&lt;&gt;"",X35&lt;Inputs!$B$16),AND(X35&lt;&gt;"",X35&gt;Inputs!$B$17),G35&lt;Inputs!$B$18,AH35="CHECK"),"CHECK","OK"))</f>
        <v/>
      </c>
      <c r="AB35" s="4" t="n"/>
      <c r="AC35" s="7" t="n"/>
      <c r="AD35" s="8">
        <f>IF(A35="","",IF(AC35&lt;&gt;"",AC35,IF(E35="",Inputs!$B$38,IFERROR(INDEX($AE$4:$AE$204,MATCH(E35,$A$4:$A$204,0))+IF(OR(AND(UPPER(TRIM(B35))="SWALE",UPPER(TRIM(AI35))="PIPE"),AND(UPPER(TRIM(B35))="TRENCH",UPPER(TRIM(AI35))="PIPE")),Inputs!$B$57,0),""))))</f>
        <v/>
      </c>
      <c r="AE35" s="8">
        <f>IF(OR(AD35="",F35="",G35=""),"",AD35+F35*G35)</f>
        <v/>
      </c>
      <c r="AF35" s="8">
        <f>IF(OR(E35="",A35=""),"",IFERROR(INDEX($AE$4:$AE$204,MATCH(E35,$A$4:$A$204,0)),""))</f>
        <v/>
      </c>
      <c r="AG35" s="8">
        <f>IF(OR(AD35="",AF35=""),"",AD35-AF35)</f>
        <v/>
      </c>
      <c r="AH35" s="4">
        <f>IF(A35="","",IF(E35="","TERMINAL",IF(OR(AND(UPPER(TRIM(B35))="SWALE",UPPER(TRIM(AI35))="PIPE"),AND(UPPER(TRIM(B35))="TRENCH",UPPER(TRIM(AI35))="PIPE")),IF(OR(AG35="",AJ35="",AK35=""),"INFO",IF(AND(AG35&gt;=AJ35,AG35&lt;=AK35),"OK","CHECK")),IF(AG35="","INFO",IF(ABS(AG35)&lt;=Inputs!$B$54,"OK","CHECK")))))</f>
        <v/>
      </c>
      <c r="AI35" s="17">
        <f>IF(A35="","",IF(E35="","",IFERROR(INDEX($B$4:$B$204,MATCH(E35,$A$4:$A$204,0)),"")))</f>
        <v/>
      </c>
      <c r="AJ35" s="17">
        <f>IF(A35="","",IF(OR(AND(UPPER(TRIM(B35))="SWALE",UPPER(TRIM(AI35))="PIPE"),AND(UPPER(TRIM(B35))="TRENCH",UPPER(TRIM(AI35))="PIPE")),Inputs!$B$55,0))</f>
        <v/>
      </c>
      <c r="AK35" s="17">
        <f>IF(A35="","",IF(OR(AND(UPPER(TRIM(B35))="SWALE",UPPER(TRIM(AI35))="PIPE"),AND(UPPER(TRIM(B35))="TRENCH",UPPER(TRIM(AI35))="PIPE")),Inputs!$B$56,Inputs!$B$54))</f>
        <v/>
      </c>
      <c r="AL35" s="4">
        <f>IF(A35="","",IF(E35="","TERMINAL",IF(OR(AND(UPPER(TRIM(B35))="SWALE",UPPER(TRIM(AI35))="PIPE"),AND(UPPER(TRIM(B35))="TRENCH",UPPER(TRIM(AI35))="PIPE")),IF(OR(AG35="",AJ35="",AK35=""),"INFO",IF(AND(AG35&gt;=AJ35,AG35&lt;=AK35),"OK","CHECK")),"N/A")))</f>
        <v/>
      </c>
    </row>
    <row r="36">
      <c r="A36" s="4" t="n"/>
      <c r="B36" s="4" t="n"/>
      <c r="C36" s="4" t="n"/>
      <c r="D36" s="4" t="n"/>
      <c r="E36" s="4" t="n"/>
      <c r="F36" s="7" t="n"/>
      <c r="G36" s="7" t="n"/>
      <c r="H36" s="7" t="n"/>
      <c r="I36" s="8">
        <f>IF(A36="","",IF(H36&lt;&gt;"",H36,IF(UPPER(TRIM(B36))="PIPE",Inputs!$B$7,IF(UPPER(TRIM(B36))="SWALE",Inputs!$B$8,Inputs!$B$9))))</f>
        <v/>
      </c>
      <c r="J36" s="7" t="n"/>
      <c r="K36" s="7" t="n"/>
      <c r="L36" s="7" t="n"/>
      <c r="M36" s="7" t="n"/>
      <c r="N36" s="7" t="n">
        <v>0</v>
      </c>
      <c r="O36" s="8">
        <f>IF(A36="","",SUMIFS(Zones_tributaires!$I:$I,Zones_tributaires!$J:$J,$A36))</f>
        <v/>
      </c>
      <c r="P36" s="8">
        <f>IF(A36="","",SUMIFS($Q$4:$Q$204,$E$4:$E$204,$A36))</f>
        <v/>
      </c>
      <c r="Q36" s="8">
        <f>IF(A36="","",(O36+P36)*Inputs!$B$6)</f>
        <v/>
      </c>
      <c r="R36" s="8">
        <f>IF(A36="","",IF(UPPER(TRIM(B36))="PIPE",PI()*(J36/1000)^2/4,IF(OR(K36="",L36=""),"",L36*(K36+M36*L36))))</f>
        <v/>
      </c>
      <c r="S36" s="8">
        <f>IF(A36="","",IF(UPPER(TRIM(B36))="PIPE",(J36/1000)/4,IF(OR(R36="",K36="",L36=""),"",R36/(K36+2*L36*SQRT(1+M36^2)))))</f>
        <v/>
      </c>
      <c r="T36" s="8">
        <f>IF(A36="","",IF(OR(I36="",R36="",S36="",G36=""),"",(1/I36)*R36*(S36^(2/3))*SQRT(G36)))</f>
        <v/>
      </c>
      <c r="U36" s="8">
        <f>IF(OR(T36="",Q36=""),"",Q36/(T36*Inputs!$B$19))</f>
        <v/>
      </c>
      <c r="V36" s="8">
        <f>IF(OR(R36="",Q36=""),"",Q36/R36)</f>
        <v/>
      </c>
      <c r="W36" s="8">
        <f>IF(OR(R36="",T36=""),"",T36/R36)</f>
        <v/>
      </c>
      <c r="X36" s="8">
        <f>IF(A36="","",IF(OR(UPPER(TRIM(Inputs!$B$15))="MANNING",UPPER(TRIM(Inputs!$B$15))="M"),W36,IF(OR(UPPER(TRIM(Inputs!$B$15))="MAX",UPPER(TRIM(Inputs!$B$15))="X"),MAX(V36,W36),V36)))</f>
        <v/>
      </c>
      <c r="Y36" s="8">
        <f>IF(A36="","",IF(UPPER(TRIM(B36))="TRENCH",K36*L36*N36,IF(UPPER(TRIM(B36))="SWALE",K36*L36,0)))</f>
        <v/>
      </c>
      <c r="Z36" s="8">
        <f>IF(OR(Y36="",F36=""),"",Y36*F36)</f>
        <v/>
      </c>
      <c r="AA36" s="4">
        <f>IF(A36="","",IF(OR(U36&gt;1,AND(X36&lt;&gt;"",X36&lt;Inputs!$B$16),AND(X36&lt;&gt;"",X36&gt;Inputs!$B$17),G36&lt;Inputs!$B$18,AH36="CHECK"),"CHECK","OK"))</f>
        <v/>
      </c>
      <c r="AB36" s="4" t="n"/>
      <c r="AC36" s="7" t="n"/>
      <c r="AD36" s="8">
        <f>IF(A36="","",IF(AC36&lt;&gt;"",AC36,IF(E36="",Inputs!$B$38,IFERROR(INDEX($AE$4:$AE$204,MATCH(E36,$A$4:$A$204,0))+IF(OR(AND(UPPER(TRIM(B36))="SWALE",UPPER(TRIM(AI36))="PIPE"),AND(UPPER(TRIM(B36))="TRENCH",UPPER(TRIM(AI36))="PIPE")),Inputs!$B$57,0),""))))</f>
        <v/>
      </c>
      <c r="AE36" s="8">
        <f>IF(OR(AD36="",F36="",G36=""),"",AD36+F36*G36)</f>
        <v/>
      </c>
      <c r="AF36" s="8">
        <f>IF(OR(E36="",A36=""),"",IFERROR(INDEX($AE$4:$AE$204,MATCH(E36,$A$4:$A$204,0)),""))</f>
        <v/>
      </c>
      <c r="AG36" s="8">
        <f>IF(OR(AD36="",AF36=""),"",AD36-AF36)</f>
        <v/>
      </c>
      <c r="AH36" s="4">
        <f>IF(A36="","",IF(E36="","TERMINAL",IF(OR(AND(UPPER(TRIM(B36))="SWALE",UPPER(TRIM(AI36))="PIPE"),AND(UPPER(TRIM(B36))="TRENCH",UPPER(TRIM(AI36))="PIPE")),IF(OR(AG36="",AJ36="",AK36=""),"INFO",IF(AND(AG36&gt;=AJ36,AG36&lt;=AK36),"OK","CHECK")),IF(AG36="","INFO",IF(ABS(AG36)&lt;=Inputs!$B$54,"OK","CHECK")))))</f>
        <v/>
      </c>
      <c r="AI36" s="17">
        <f>IF(A36="","",IF(E36="","",IFERROR(INDEX($B$4:$B$204,MATCH(E36,$A$4:$A$204,0)),"")))</f>
        <v/>
      </c>
      <c r="AJ36" s="17">
        <f>IF(A36="","",IF(OR(AND(UPPER(TRIM(B36))="SWALE",UPPER(TRIM(AI36))="PIPE"),AND(UPPER(TRIM(B36))="TRENCH",UPPER(TRIM(AI36))="PIPE")),Inputs!$B$55,0))</f>
        <v/>
      </c>
      <c r="AK36" s="17">
        <f>IF(A36="","",IF(OR(AND(UPPER(TRIM(B36))="SWALE",UPPER(TRIM(AI36))="PIPE"),AND(UPPER(TRIM(B36))="TRENCH",UPPER(TRIM(AI36))="PIPE")),Inputs!$B$56,Inputs!$B$54))</f>
        <v/>
      </c>
      <c r="AL36" s="4">
        <f>IF(A36="","",IF(E36="","TERMINAL",IF(OR(AND(UPPER(TRIM(B36))="SWALE",UPPER(TRIM(AI36))="PIPE"),AND(UPPER(TRIM(B36))="TRENCH",UPPER(TRIM(AI36))="PIPE")),IF(OR(AG36="",AJ36="",AK36=""),"INFO",IF(AND(AG36&gt;=AJ36,AG36&lt;=AK36),"OK","CHECK")),"N/A")))</f>
        <v/>
      </c>
    </row>
    <row r="37">
      <c r="A37" s="4" t="n"/>
      <c r="B37" s="4" t="n"/>
      <c r="C37" s="4" t="n"/>
      <c r="D37" s="4" t="n"/>
      <c r="E37" s="4" t="n"/>
      <c r="F37" s="7" t="n"/>
      <c r="G37" s="7" t="n"/>
      <c r="H37" s="7" t="n"/>
      <c r="I37" s="8">
        <f>IF(A37="","",IF(H37&lt;&gt;"",H37,IF(UPPER(TRIM(B37))="PIPE",Inputs!$B$7,IF(UPPER(TRIM(B37))="SWALE",Inputs!$B$8,Inputs!$B$9))))</f>
        <v/>
      </c>
      <c r="J37" s="7" t="n"/>
      <c r="K37" s="7" t="n"/>
      <c r="L37" s="7" t="n"/>
      <c r="M37" s="7" t="n"/>
      <c r="N37" s="7" t="n">
        <v>0</v>
      </c>
      <c r="O37" s="8">
        <f>IF(A37="","",SUMIFS(Zones_tributaires!$I:$I,Zones_tributaires!$J:$J,$A37))</f>
        <v/>
      </c>
      <c r="P37" s="8">
        <f>IF(A37="","",SUMIFS($Q$4:$Q$204,$E$4:$E$204,$A37))</f>
        <v/>
      </c>
      <c r="Q37" s="8">
        <f>IF(A37="","",(O37+P37)*Inputs!$B$6)</f>
        <v/>
      </c>
      <c r="R37" s="8">
        <f>IF(A37="","",IF(UPPER(TRIM(B37))="PIPE",PI()*(J37/1000)^2/4,IF(OR(K37="",L37=""),"",L37*(K37+M37*L37))))</f>
        <v/>
      </c>
      <c r="S37" s="8">
        <f>IF(A37="","",IF(UPPER(TRIM(B37))="PIPE",(J37/1000)/4,IF(OR(R37="",K37="",L37=""),"",R37/(K37+2*L37*SQRT(1+M37^2)))))</f>
        <v/>
      </c>
      <c r="T37" s="8">
        <f>IF(A37="","",IF(OR(I37="",R37="",S37="",G37=""),"",(1/I37)*R37*(S37^(2/3))*SQRT(G37)))</f>
        <v/>
      </c>
      <c r="U37" s="8">
        <f>IF(OR(T37="",Q37=""),"",Q37/(T37*Inputs!$B$19))</f>
        <v/>
      </c>
      <c r="V37" s="8">
        <f>IF(OR(R37="",Q37=""),"",Q37/R37)</f>
        <v/>
      </c>
      <c r="W37" s="8">
        <f>IF(OR(R37="",T37=""),"",T37/R37)</f>
        <v/>
      </c>
      <c r="X37" s="8">
        <f>IF(A37="","",IF(OR(UPPER(TRIM(Inputs!$B$15))="MANNING",UPPER(TRIM(Inputs!$B$15))="M"),W37,IF(OR(UPPER(TRIM(Inputs!$B$15))="MAX",UPPER(TRIM(Inputs!$B$15))="X"),MAX(V37,W37),V37)))</f>
        <v/>
      </c>
      <c r="Y37" s="8">
        <f>IF(A37="","",IF(UPPER(TRIM(B37))="TRENCH",K37*L37*N37,IF(UPPER(TRIM(B37))="SWALE",K37*L37,0)))</f>
        <v/>
      </c>
      <c r="Z37" s="8">
        <f>IF(OR(Y37="",F37=""),"",Y37*F37)</f>
        <v/>
      </c>
      <c r="AA37" s="4">
        <f>IF(A37="","",IF(OR(U37&gt;1,AND(X37&lt;&gt;"",X37&lt;Inputs!$B$16),AND(X37&lt;&gt;"",X37&gt;Inputs!$B$17),G37&lt;Inputs!$B$18,AH37="CHECK"),"CHECK","OK"))</f>
        <v/>
      </c>
      <c r="AB37" s="4" t="n"/>
      <c r="AC37" s="7" t="n"/>
      <c r="AD37" s="8">
        <f>IF(A37="","",IF(AC37&lt;&gt;"",AC37,IF(E37="",Inputs!$B$38,IFERROR(INDEX($AE$4:$AE$204,MATCH(E37,$A$4:$A$204,0))+IF(OR(AND(UPPER(TRIM(B37))="SWALE",UPPER(TRIM(AI37))="PIPE"),AND(UPPER(TRIM(B37))="TRENCH",UPPER(TRIM(AI37))="PIPE")),Inputs!$B$57,0),""))))</f>
        <v/>
      </c>
      <c r="AE37" s="8">
        <f>IF(OR(AD37="",F37="",G37=""),"",AD37+F37*G37)</f>
        <v/>
      </c>
      <c r="AF37" s="8">
        <f>IF(OR(E37="",A37=""),"",IFERROR(INDEX($AE$4:$AE$204,MATCH(E37,$A$4:$A$204,0)),""))</f>
        <v/>
      </c>
      <c r="AG37" s="8">
        <f>IF(OR(AD37="",AF37=""),"",AD37-AF37)</f>
        <v/>
      </c>
      <c r="AH37" s="4">
        <f>IF(A37="","",IF(E37="","TERMINAL",IF(OR(AND(UPPER(TRIM(B37))="SWALE",UPPER(TRIM(AI37))="PIPE"),AND(UPPER(TRIM(B37))="TRENCH",UPPER(TRIM(AI37))="PIPE")),IF(OR(AG37="",AJ37="",AK37=""),"INFO",IF(AND(AG37&gt;=AJ37,AG37&lt;=AK37),"OK","CHECK")),IF(AG37="","INFO",IF(ABS(AG37)&lt;=Inputs!$B$54,"OK","CHECK")))))</f>
        <v/>
      </c>
      <c r="AI37" s="17">
        <f>IF(A37="","",IF(E37="","",IFERROR(INDEX($B$4:$B$204,MATCH(E37,$A$4:$A$204,0)),"")))</f>
        <v/>
      </c>
      <c r="AJ37" s="17">
        <f>IF(A37="","",IF(OR(AND(UPPER(TRIM(B37))="SWALE",UPPER(TRIM(AI37))="PIPE"),AND(UPPER(TRIM(B37))="TRENCH",UPPER(TRIM(AI37))="PIPE")),Inputs!$B$55,0))</f>
        <v/>
      </c>
      <c r="AK37" s="17">
        <f>IF(A37="","",IF(OR(AND(UPPER(TRIM(B37))="SWALE",UPPER(TRIM(AI37))="PIPE"),AND(UPPER(TRIM(B37))="TRENCH",UPPER(TRIM(AI37))="PIPE")),Inputs!$B$56,Inputs!$B$54))</f>
        <v/>
      </c>
      <c r="AL37" s="4">
        <f>IF(A37="","",IF(E37="","TERMINAL",IF(OR(AND(UPPER(TRIM(B37))="SWALE",UPPER(TRIM(AI37))="PIPE"),AND(UPPER(TRIM(B37))="TRENCH",UPPER(TRIM(AI37))="PIPE")),IF(OR(AG37="",AJ37="",AK37=""),"INFO",IF(AND(AG37&gt;=AJ37,AG37&lt;=AK37),"OK","CHECK")),"N/A")))</f>
        <v/>
      </c>
    </row>
    <row r="38">
      <c r="A38" s="4" t="n"/>
      <c r="B38" s="4" t="n"/>
      <c r="C38" s="4" t="n"/>
      <c r="D38" s="4" t="n"/>
      <c r="E38" s="4" t="n"/>
      <c r="F38" s="7" t="n"/>
      <c r="G38" s="7" t="n"/>
      <c r="H38" s="7" t="n"/>
      <c r="I38" s="8">
        <f>IF(A38="","",IF(H38&lt;&gt;"",H38,IF(UPPER(TRIM(B38))="PIPE",Inputs!$B$7,IF(UPPER(TRIM(B38))="SWALE",Inputs!$B$8,Inputs!$B$9))))</f>
        <v/>
      </c>
      <c r="J38" s="7" t="n"/>
      <c r="K38" s="7" t="n"/>
      <c r="L38" s="7" t="n"/>
      <c r="M38" s="7" t="n"/>
      <c r="N38" s="7" t="n">
        <v>0</v>
      </c>
      <c r="O38" s="8">
        <f>IF(A38="","",SUMIFS(Zones_tributaires!$I:$I,Zones_tributaires!$J:$J,$A38))</f>
        <v/>
      </c>
      <c r="P38" s="8">
        <f>IF(A38="","",SUMIFS($Q$4:$Q$204,$E$4:$E$204,$A38))</f>
        <v/>
      </c>
      <c r="Q38" s="8">
        <f>IF(A38="","",(O38+P38)*Inputs!$B$6)</f>
        <v/>
      </c>
      <c r="R38" s="8">
        <f>IF(A38="","",IF(UPPER(TRIM(B38))="PIPE",PI()*(J38/1000)^2/4,IF(OR(K38="",L38=""),"",L38*(K38+M38*L38))))</f>
        <v/>
      </c>
      <c r="S38" s="8">
        <f>IF(A38="","",IF(UPPER(TRIM(B38))="PIPE",(J38/1000)/4,IF(OR(R38="",K38="",L38=""),"",R38/(K38+2*L38*SQRT(1+M38^2)))))</f>
        <v/>
      </c>
      <c r="T38" s="8">
        <f>IF(A38="","",IF(OR(I38="",R38="",S38="",G38=""),"",(1/I38)*R38*(S38^(2/3))*SQRT(G38)))</f>
        <v/>
      </c>
      <c r="U38" s="8">
        <f>IF(OR(T38="",Q38=""),"",Q38/(T38*Inputs!$B$19))</f>
        <v/>
      </c>
      <c r="V38" s="8">
        <f>IF(OR(R38="",Q38=""),"",Q38/R38)</f>
        <v/>
      </c>
      <c r="W38" s="8">
        <f>IF(OR(R38="",T38=""),"",T38/R38)</f>
        <v/>
      </c>
      <c r="X38" s="8">
        <f>IF(A38="","",IF(OR(UPPER(TRIM(Inputs!$B$15))="MANNING",UPPER(TRIM(Inputs!$B$15))="M"),W38,IF(OR(UPPER(TRIM(Inputs!$B$15))="MAX",UPPER(TRIM(Inputs!$B$15))="X"),MAX(V38,W38),V38)))</f>
        <v/>
      </c>
      <c r="Y38" s="8">
        <f>IF(A38="","",IF(UPPER(TRIM(B38))="TRENCH",K38*L38*N38,IF(UPPER(TRIM(B38))="SWALE",K38*L38,0)))</f>
        <v/>
      </c>
      <c r="Z38" s="8">
        <f>IF(OR(Y38="",F38=""),"",Y38*F38)</f>
        <v/>
      </c>
      <c r="AA38" s="4">
        <f>IF(A38="","",IF(OR(U38&gt;1,AND(X38&lt;&gt;"",X38&lt;Inputs!$B$16),AND(X38&lt;&gt;"",X38&gt;Inputs!$B$17),G38&lt;Inputs!$B$18,AH38="CHECK"),"CHECK","OK"))</f>
        <v/>
      </c>
      <c r="AB38" s="4" t="n"/>
      <c r="AC38" s="7" t="n"/>
      <c r="AD38" s="8">
        <f>IF(A38="","",IF(AC38&lt;&gt;"",AC38,IF(E38="",Inputs!$B$38,IFERROR(INDEX($AE$4:$AE$204,MATCH(E38,$A$4:$A$204,0))+IF(OR(AND(UPPER(TRIM(B38))="SWALE",UPPER(TRIM(AI38))="PIPE"),AND(UPPER(TRIM(B38))="TRENCH",UPPER(TRIM(AI38))="PIPE")),Inputs!$B$57,0),""))))</f>
        <v/>
      </c>
      <c r="AE38" s="8">
        <f>IF(OR(AD38="",F38="",G38=""),"",AD38+F38*G38)</f>
        <v/>
      </c>
      <c r="AF38" s="8">
        <f>IF(OR(E38="",A38=""),"",IFERROR(INDEX($AE$4:$AE$204,MATCH(E38,$A$4:$A$204,0)),""))</f>
        <v/>
      </c>
      <c r="AG38" s="8">
        <f>IF(OR(AD38="",AF38=""),"",AD38-AF38)</f>
        <v/>
      </c>
      <c r="AH38" s="4">
        <f>IF(A38="","",IF(E38="","TERMINAL",IF(OR(AND(UPPER(TRIM(B38))="SWALE",UPPER(TRIM(AI38))="PIPE"),AND(UPPER(TRIM(B38))="TRENCH",UPPER(TRIM(AI38))="PIPE")),IF(OR(AG38="",AJ38="",AK38=""),"INFO",IF(AND(AG38&gt;=AJ38,AG38&lt;=AK38),"OK","CHECK")),IF(AG38="","INFO",IF(ABS(AG38)&lt;=Inputs!$B$54,"OK","CHECK")))))</f>
        <v/>
      </c>
      <c r="AI38" s="17">
        <f>IF(A38="","",IF(E38="","",IFERROR(INDEX($B$4:$B$204,MATCH(E38,$A$4:$A$204,0)),"")))</f>
        <v/>
      </c>
      <c r="AJ38" s="17">
        <f>IF(A38="","",IF(OR(AND(UPPER(TRIM(B38))="SWALE",UPPER(TRIM(AI38))="PIPE"),AND(UPPER(TRIM(B38))="TRENCH",UPPER(TRIM(AI38))="PIPE")),Inputs!$B$55,0))</f>
        <v/>
      </c>
      <c r="AK38" s="17">
        <f>IF(A38="","",IF(OR(AND(UPPER(TRIM(B38))="SWALE",UPPER(TRIM(AI38))="PIPE"),AND(UPPER(TRIM(B38))="TRENCH",UPPER(TRIM(AI38))="PIPE")),Inputs!$B$56,Inputs!$B$54))</f>
        <v/>
      </c>
      <c r="AL38" s="4">
        <f>IF(A38="","",IF(E38="","TERMINAL",IF(OR(AND(UPPER(TRIM(B38))="SWALE",UPPER(TRIM(AI38))="PIPE"),AND(UPPER(TRIM(B38))="TRENCH",UPPER(TRIM(AI38))="PIPE")),IF(OR(AG38="",AJ38="",AK38=""),"INFO",IF(AND(AG38&gt;=AJ38,AG38&lt;=AK38),"OK","CHECK")),"N/A")))</f>
        <v/>
      </c>
    </row>
    <row r="39">
      <c r="A39" s="4" t="n"/>
      <c r="B39" s="4" t="n"/>
      <c r="C39" s="4" t="n"/>
      <c r="D39" s="4" t="n"/>
      <c r="E39" s="4" t="n"/>
      <c r="F39" s="7" t="n"/>
      <c r="G39" s="7" t="n"/>
      <c r="H39" s="7" t="n"/>
      <c r="I39" s="8">
        <f>IF(A39="","",IF(H39&lt;&gt;"",H39,IF(UPPER(TRIM(B39))="PIPE",Inputs!$B$7,IF(UPPER(TRIM(B39))="SWALE",Inputs!$B$8,Inputs!$B$9))))</f>
        <v/>
      </c>
      <c r="J39" s="7" t="n"/>
      <c r="K39" s="7" t="n"/>
      <c r="L39" s="7" t="n"/>
      <c r="M39" s="7" t="n"/>
      <c r="N39" s="7" t="n">
        <v>0</v>
      </c>
      <c r="O39" s="8">
        <f>IF(A39="","",SUMIFS(Zones_tributaires!$I:$I,Zones_tributaires!$J:$J,$A39))</f>
        <v/>
      </c>
      <c r="P39" s="8">
        <f>IF(A39="","",SUMIFS($Q$4:$Q$204,$E$4:$E$204,$A39))</f>
        <v/>
      </c>
      <c r="Q39" s="8">
        <f>IF(A39="","",(O39+P39)*Inputs!$B$6)</f>
        <v/>
      </c>
      <c r="R39" s="8">
        <f>IF(A39="","",IF(UPPER(TRIM(B39))="PIPE",PI()*(J39/1000)^2/4,IF(OR(K39="",L39=""),"",L39*(K39+M39*L39))))</f>
        <v/>
      </c>
      <c r="S39" s="8">
        <f>IF(A39="","",IF(UPPER(TRIM(B39))="PIPE",(J39/1000)/4,IF(OR(R39="",K39="",L39=""),"",R39/(K39+2*L39*SQRT(1+M39^2)))))</f>
        <v/>
      </c>
      <c r="T39" s="8">
        <f>IF(A39="","",IF(OR(I39="",R39="",S39="",G39=""),"",(1/I39)*R39*(S39^(2/3))*SQRT(G39)))</f>
        <v/>
      </c>
      <c r="U39" s="8">
        <f>IF(OR(T39="",Q39=""),"",Q39/(T39*Inputs!$B$19))</f>
        <v/>
      </c>
      <c r="V39" s="8">
        <f>IF(OR(R39="",Q39=""),"",Q39/R39)</f>
        <v/>
      </c>
      <c r="W39" s="8">
        <f>IF(OR(R39="",T39=""),"",T39/R39)</f>
        <v/>
      </c>
      <c r="X39" s="8">
        <f>IF(A39="","",IF(OR(UPPER(TRIM(Inputs!$B$15))="MANNING",UPPER(TRIM(Inputs!$B$15))="M"),W39,IF(OR(UPPER(TRIM(Inputs!$B$15))="MAX",UPPER(TRIM(Inputs!$B$15))="X"),MAX(V39,W39),V39)))</f>
        <v/>
      </c>
      <c r="Y39" s="8">
        <f>IF(A39="","",IF(UPPER(TRIM(B39))="TRENCH",K39*L39*N39,IF(UPPER(TRIM(B39))="SWALE",K39*L39,0)))</f>
        <v/>
      </c>
      <c r="Z39" s="8">
        <f>IF(OR(Y39="",F39=""),"",Y39*F39)</f>
        <v/>
      </c>
      <c r="AA39" s="4">
        <f>IF(A39="","",IF(OR(U39&gt;1,AND(X39&lt;&gt;"",X39&lt;Inputs!$B$16),AND(X39&lt;&gt;"",X39&gt;Inputs!$B$17),G39&lt;Inputs!$B$18,AH39="CHECK"),"CHECK","OK"))</f>
        <v/>
      </c>
      <c r="AB39" s="4" t="n"/>
      <c r="AC39" s="7" t="n"/>
      <c r="AD39" s="8">
        <f>IF(A39="","",IF(AC39&lt;&gt;"",AC39,IF(E39="",Inputs!$B$38,IFERROR(INDEX($AE$4:$AE$204,MATCH(E39,$A$4:$A$204,0))+IF(OR(AND(UPPER(TRIM(B39))="SWALE",UPPER(TRIM(AI39))="PIPE"),AND(UPPER(TRIM(B39))="TRENCH",UPPER(TRIM(AI39))="PIPE")),Inputs!$B$57,0),""))))</f>
        <v/>
      </c>
      <c r="AE39" s="8">
        <f>IF(OR(AD39="",F39="",G39=""),"",AD39+F39*G39)</f>
        <v/>
      </c>
      <c r="AF39" s="8">
        <f>IF(OR(E39="",A39=""),"",IFERROR(INDEX($AE$4:$AE$204,MATCH(E39,$A$4:$A$204,0)),""))</f>
        <v/>
      </c>
      <c r="AG39" s="8">
        <f>IF(OR(AD39="",AF39=""),"",AD39-AF39)</f>
        <v/>
      </c>
      <c r="AH39" s="4">
        <f>IF(A39="","",IF(E39="","TERMINAL",IF(OR(AND(UPPER(TRIM(B39))="SWALE",UPPER(TRIM(AI39))="PIPE"),AND(UPPER(TRIM(B39))="TRENCH",UPPER(TRIM(AI39))="PIPE")),IF(OR(AG39="",AJ39="",AK39=""),"INFO",IF(AND(AG39&gt;=AJ39,AG39&lt;=AK39),"OK","CHECK")),IF(AG39="","INFO",IF(ABS(AG39)&lt;=Inputs!$B$54,"OK","CHECK")))))</f>
        <v/>
      </c>
      <c r="AI39" s="17">
        <f>IF(A39="","",IF(E39="","",IFERROR(INDEX($B$4:$B$204,MATCH(E39,$A$4:$A$204,0)),"")))</f>
        <v/>
      </c>
      <c r="AJ39" s="17">
        <f>IF(A39="","",IF(OR(AND(UPPER(TRIM(B39))="SWALE",UPPER(TRIM(AI39))="PIPE"),AND(UPPER(TRIM(B39))="TRENCH",UPPER(TRIM(AI39))="PIPE")),Inputs!$B$55,0))</f>
        <v/>
      </c>
      <c r="AK39" s="17">
        <f>IF(A39="","",IF(OR(AND(UPPER(TRIM(B39))="SWALE",UPPER(TRIM(AI39))="PIPE"),AND(UPPER(TRIM(B39))="TRENCH",UPPER(TRIM(AI39))="PIPE")),Inputs!$B$56,Inputs!$B$54))</f>
        <v/>
      </c>
      <c r="AL39" s="4">
        <f>IF(A39="","",IF(E39="","TERMINAL",IF(OR(AND(UPPER(TRIM(B39))="SWALE",UPPER(TRIM(AI39))="PIPE"),AND(UPPER(TRIM(B39))="TRENCH",UPPER(TRIM(AI39))="PIPE")),IF(OR(AG39="",AJ39="",AK39=""),"INFO",IF(AND(AG39&gt;=AJ39,AG39&lt;=AK39),"OK","CHECK")),"N/A")))</f>
        <v/>
      </c>
    </row>
    <row r="40">
      <c r="A40" s="4" t="n"/>
      <c r="B40" s="4" t="n"/>
      <c r="C40" s="4" t="n"/>
      <c r="D40" s="4" t="n"/>
      <c r="E40" s="4" t="n"/>
      <c r="F40" s="7" t="n"/>
      <c r="G40" s="7" t="n"/>
      <c r="H40" s="7" t="n"/>
      <c r="I40" s="8">
        <f>IF(A40="","",IF(H40&lt;&gt;"",H40,IF(UPPER(TRIM(B40))="PIPE",Inputs!$B$7,IF(UPPER(TRIM(B40))="SWALE",Inputs!$B$8,Inputs!$B$9))))</f>
        <v/>
      </c>
      <c r="J40" s="7" t="n"/>
      <c r="K40" s="7" t="n"/>
      <c r="L40" s="7" t="n"/>
      <c r="M40" s="7" t="n"/>
      <c r="N40" s="7" t="n">
        <v>0</v>
      </c>
      <c r="O40" s="8">
        <f>IF(A40="","",SUMIFS(Zones_tributaires!$I:$I,Zones_tributaires!$J:$J,$A40))</f>
        <v/>
      </c>
      <c r="P40" s="8">
        <f>IF(A40="","",SUMIFS($Q$4:$Q$204,$E$4:$E$204,$A40))</f>
        <v/>
      </c>
      <c r="Q40" s="8">
        <f>IF(A40="","",(O40+P40)*Inputs!$B$6)</f>
        <v/>
      </c>
      <c r="R40" s="8">
        <f>IF(A40="","",IF(UPPER(TRIM(B40))="PIPE",PI()*(J40/1000)^2/4,IF(OR(K40="",L40=""),"",L40*(K40+M40*L40))))</f>
        <v/>
      </c>
      <c r="S40" s="8">
        <f>IF(A40="","",IF(UPPER(TRIM(B40))="PIPE",(J40/1000)/4,IF(OR(R40="",K40="",L40=""),"",R40/(K40+2*L40*SQRT(1+M40^2)))))</f>
        <v/>
      </c>
      <c r="T40" s="8">
        <f>IF(A40="","",IF(OR(I40="",R40="",S40="",G40=""),"",(1/I40)*R40*(S40^(2/3))*SQRT(G40)))</f>
        <v/>
      </c>
      <c r="U40" s="8">
        <f>IF(OR(T40="",Q40=""),"",Q40/(T40*Inputs!$B$19))</f>
        <v/>
      </c>
      <c r="V40" s="8">
        <f>IF(OR(R40="",Q40=""),"",Q40/R40)</f>
        <v/>
      </c>
      <c r="W40" s="8">
        <f>IF(OR(R40="",T40=""),"",T40/R40)</f>
        <v/>
      </c>
      <c r="X40" s="8">
        <f>IF(A40="","",IF(OR(UPPER(TRIM(Inputs!$B$15))="MANNING",UPPER(TRIM(Inputs!$B$15))="M"),W40,IF(OR(UPPER(TRIM(Inputs!$B$15))="MAX",UPPER(TRIM(Inputs!$B$15))="X"),MAX(V40,W40),V40)))</f>
        <v/>
      </c>
      <c r="Y40" s="8">
        <f>IF(A40="","",IF(UPPER(TRIM(B40))="TRENCH",K40*L40*N40,IF(UPPER(TRIM(B40))="SWALE",K40*L40,0)))</f>
        <v/>
      </c>
      <c r="Z40" s="8">
        <f>IF(OR(Y40="",F40=""),"",Y40*F40)</f>
        <v/>
      </c>
      <c r="AA40" s="4">
        <f>IF(A40="","",IF(OR(U40&gt;1,AND(X40&lt;&gt;"",X40&lt;Inputs!$B$16),AND(X40&lt;&gt;"",X40&gt;Inputs!$B$17),G40&lt;Inputs!$B$18,AH40="CHECK"),"CHECK","OK"))</f>
        <v/>
      </c>
      <c r="AB40" s="4" t="n"/>
      <c r="AC40" s="7" t="n"/>
      <c r="AD40" s="8">
        <f>IF(A40="","",IF(AC40&lt;&gt;"",AC40,IF(E40="",Inputs!$B$38,IFERROR(INDEX($AE$4:$AE$204,MATCH(E40,$A$4:$A$204,0))+IF(OR(AND(UPPER(TRIM(B40))="SWALE",UPPER(TRIM(AI40))="PIPE"),AND(UPPER(TRIM(B40))="TRENCH",UPPER(TRIM(AI40))="PIPE")),Inputs!$B$57,0),""))))</f>
        <v/>
      </c>
      <c r="AE40" s="8">
        <f>IF(OR(AD40="",F40="",G40=""),"",AD40+F40*G40)</f>
        <v/>
      </c>
      <c r="AF40" s="8">
        <f>IF(OR(E40="",A40=""),"",IFERROR(INDEX($AE$4:$AE$204,MATCH(E40,$A$4:$A$204,0)),""))</f>
        <v/>
      </c>
      <c r="AG40" s="8">
        <f>IF(OR(AD40="",AF40=""),"",AD40-AF40)</f>
        <v/>
      </c>
      <c r="AH40" s="4">
        <f>IF(A40="","",IF(E40="","TERMINAL",IF(OR(AND(UPPER(TRIM(B40))="SWALE",UPPER(TRIM(AI40))="PIPE"),AND(UPPER(TRIM(B40))="TRENCH",UPPER(TRIM(AI40))="PIPE")),IF(OR(AG40="",AJ40="",AK40=""),"INFO",IF(AND(AG40&gt;=AJ40,AG40&lt;=AK40),"OK","CHECK")),IF(AG40="","INFO",IF(ABS(AG40)&lt;=Inputs!$B$54,"OK","CHECK")))))</f>
        <v/>
      </c>
      <c r="AI40" s="17">
        <f>IF(A40="","",IF(E40="","",IFERROR(INDEX($B$4:$B$204,MATCH(E40,$A$4:$A$204,0)),"")))</f>
        <v/>
      </c>
      <c r="AJ40" s="17">
        <f>IF(A40="","",IF(OR(AND(UPPER(TRIM(B40))="SWALE",UPPER(TRIM(AI40))="PIPE"),AND(UPPER(TRIM(B40))="TRENCH",UPPER(TRIM(AI40))="PIPE")),Inputs!$B$55,0))</f>
        <v/>
      </c>
      <c r="AK40" s="17">
        <f>IF(A40="","",IF(OR(AND(UPPER(TRIM(B40))="SWALE",UPPER(TRIM(AI40))="PIPE"),AND(UPPER(TRIM(B40))="TRENCH",UPPER(TRIM(AI40))="PIPE")),Inputs!$B$56,Inputs!$B$54))</f>
        <v/>
      </c>
      <c r="AL40" s="4">
        <f>IF(A40="","",IF(E40="","TERMINAL",IF(OR(AND(UPPER(TRIM(B40))="SWALE",UPPER(TRIM(AI40))="PIPE"),AND(UPPER(TRIM(B40))="TRENCH",UPPER(TRIM(AI40))="PIPE")),IF(OR(AG40="",AJ40="",AK40=""),"INFO",IF(AND(AG40&gt;=AJ40,AG40&lt;=AK40),"OK","CHECK")),"N/A")))</f>
        <v/>
      </c>
    </row>
    <row r="41">
      <c r="A41" s="4" t="n"/>
      <c r="B41" s="4" t="n"/>
      <c r="C41" s="4" t="n"/>
      <c r="D41" s="4" t="n"/>
      <c r="E41" s="4" t="n"/>
      <c r="F41" s="7" t="n"/>
      <c r="G41" s="7" t="n"/>
      <c r="H41" s="7" t="n"/>
      <c r="I41" s="8">
        <f>IF(A41="","",IF(H41&lt;&gt;"",H41,IF(UPPER(TRIM(B41))="PIPE",Inputs!$B$7,IF(UPPER(TRIM(B41))="SWALE",Inputs!$B$8,Inputs!$B$9))))</f>
        <v/>
      </c>
      <c r="J41" s="7" t="n"/>
      <c r="K41" s="7" t="n"/>
      <c r="L41" s="7" t="n"/>
      <c r="M41" s="7" t="n"/>
      <c r="N41" s="7" t="n">
        <v>0</v>
      </c>
      <c r="O41" s="8">
        <f>IF(A41="","",SUMIFS(Zones_tributaires!$I:$I,Zones_tributaires!$J:$J,$A41))</f>
        <v/>
      </c>
      <c r="P41" s="8">
        <f>IF(A41="","",SUMIFS($Q$4:$Q$204,$E$4:$E$204,$A41))</f>
        <v/>
      </c>
      <c r="Q41" s="8">
        <f>IF(A41="","",(O41+P41)*Inputs!$B$6)</f>
        <v/>
      </c>
      <c r="R41" s="8">
        <f>IF(A41="","",IF(UPPER(TRIM(B41))="PIPE",PI()*(J41/1000)^2/4,IF(OR(K41="",L41=""),"",L41*(K41+M41*L41))))</f>
        <v/>
      </c>
      <c r="S41" s="8">
        <f>IF(A41="","",IF(UPPER(TRIM(B41))="PIPE",(J41/1000)/4,IF(OR(R41="",K41="",L41=""),"",R41/(K41+2*L41*SQRT(1+M41^2)))))</f>
        <v/>
      </c>
      <c r="T41" s="8">
        <f>IF(A41="","",IF(OR(I41="",R41="",S41="",G41=""),"",(1/I41)*R41*(S41^(2/3))*SQRT(G41)))</f>
        <v/>
      </c>
      <c r="U41" s="8">
        <f>IF(OR(T41="",Q41=""),"",Q41/(T41*Inputs!$B$19))</f>
        <v/>
      </c>
      <c r="V41" s="8">
        <f>IF(OR(R41="",Q41=""),"",Q41/R41)</f>
        <v/>
      </c>
      <c r="W41" s="8">
        <f>IF(OR(R41="",T41=""),"",T41/R41)</f>
        <v/>
      </c>
      <c r="X41" s="8">
        <f>IF(A41="","",IF(OR(UPPER(TRIM(Inputs!$B$15))="MANNING",UPPER(TRIM(Inputs!$B$15))="M"),W41,IF(OR(UPPER(TRIM(Inputs!$B$15))="MAX",UPPER(TRIM(Inputs!$B$15))="X"),MAX(V41,W41),V41)))</f>
        <v/>
      </c>
      <c r="Y41" s="8">
        <f>IF(A41="","",IF(UPPER(TRIM(B41))="TRENCH",K41*L41*N41,IF(UPPER(TRIM(B41))="SWALE",K41*L41,0)))</f>
        <v/>
      </c>
      <c r="Z41" s="8">
        <f>IF(OR(Y41="",F41=""),"",Y41*F41)</f>
        <v/>
      </c>
      <c r="AA41" s="4">
        <f>IF(A41="","",IF(OR(U41&gt;1,AND(X41&lt;&gt;"",X41&lt;Inputs!$B$16),AND(X41&lt;&gt;"",X41&gt;Inputs!$B$17),G41&lt;Inputs!$B$18,AH41="CHECK"),"CHECK","OK"))</f>
        <v/>
      </c>
      <c r="AB41" s="4" t="n"/>
      <c r="AC41" s="7" t="n"/>
      <c r="AD41" s="8">
        <f>IF(A41="","",IF(AC41&lt;&gt;"",AC41,IF(E41="",Inputs!$B$38,IFERROR(INDEX($AE$4:$AE$204,MATCH(E41,$A$4:$A$204,0))+IF(OR(AND(UPPER(TRIM(B41))="SWALE",UPPER(TRIM(AI41))="PIPE"),AND(UPPER(TRIM(B41))="TRENCH",UPPER(TRIM(AI41))="PIPE")),Inputs!$B$57,0),""))))</f>
        <v/>
      </c>
      <c r="AE41" s="8">
        <f>IF(OR(AD41="",F41="",G41=""),"",AD41+F41*G41)</f>
        <v/>
      </c>
      <c r="AF41" s="8">
        <f>IF(OR(E41="",A41=""),"",IFERROR(INDEX($AE$4:$AE$204,MATCH(E41,$A$4:$A$204,0)),""))</f>
        <v/>
      </c>
      <c r="AG41" s="8">
        <f>IF(OR(AD41="",AF41=""),"",AD41-AF41)</f>
        <v/>
      </c>
      <c r="AH41" s="4">
        <f>IF(A41="","",IF(E41="","TERMINAL",IF(OR(AND(UPPER(TRIM(B41))="SWALE",UPPER(TRIM(AI41))="PIPE"),AND(UPPER(TRIM(B41))="TRENCH",UPPER(TRIM(AI41))="PIPE")),IF(OR(AG41="",AJ41="",AK41=""),"INFO",IF(AND(AG41&gt;=AJ41,AG41&lt;=AK41),"OK","CHECK")),IF(AG41="","INFO",IF(ABS(AG41)&lt;=Inputs!$B$54,"OK","CHECK")))))</f>
        <v/>
      </c>
      <c r="AI41" s="17">
        <f>IF(A41="","",IF(E41="","",IFERROR(INDEX($B$4:$B$204,MATCH(E41,$A$4:$A$204,0)),"")))</f>
        <v/>
      </c>
      <c r="AJ41" s="17">
        <f>IF(A41="","",IF(OR(AND(UPPER(TRIM(B41))="SWALE",UPPER(TRIM(AI41))="PIPE"),AND(UPPER(TRIM(B41))="TRENCH",UPPER(TRIM(AI41))="PIPE")),Inputs!$B$55,0))</f>
        <v/>
      </c>
      <c r="AK41" s="17">
        <f>IF(A41="","",IF(OR(AND(UPPER(TRIM(B41))="SWALE",UPPER(TRIM(AI41))="PIPE"),AND(UPPER(TRIM(B41))="TRENCH",UPPER(TRIM(AI41))="PIPE")),Inputs!$B$56,Inputs!$B$54))</f>
        <v/>
      </c>
      <c r="AL41" s="4">
        <f>IF(A41="","",IF(E41="","TERMINAL",IF(OR(AND(UPPER(TRIM(B41))="SWALE",UPPER(TRIM(AI41))="PIPE"),AND(UPPER(TRIM(B41))="TRENCH",UPPER(TRIM(AI41))="PIPE")),IF(OR(AG41="",AJ41="",AK41=""),"INFO",IF(AND(AG41&gt;=AJ41,AG41&lt;=AK41),"OK","CHECK")),"N/A")))</f>
        <v/>
      </c>
    </row>
    <row r="42">
      <c r="A42" s="4" t="n"/>
      <c r="B42" s="4" t="n"/>
      <c r="C42" s="4" t="n"/>
      <c r="D42" s="4" t="n"/>
      <c r="E42" s="4" t="n"/>
      <c r="F42" s="7" t="n"/>
      <c r="G42" s="7" t="n"/>
      <c r="H42" s="7" t="n"/>
      <c r="I42" s="8">
        <f>IF(A42="","",IF(H42&lt;&gt;"",H42,IF(UPPER(TRIM(B42))="PIPE",Inputs!$B$7,IF(UPPER(TRIM(B42))="SWALE",Inputs!$B$8,Inputs!$B$9))))</f>
        <v/>
      </c>
      <c r="J42" s="7" t="n"/>
      <c r="K42" s="7" t="n"/>
      <c r="L42" s="7" t="n"/>
      <c r="M42" s="7" t="n"/>
      <c r="N42" s="7" t="n">
        <v>0</v>
      </c>
      <c r="O42" s="8">
        <f>IF(A42="","",SUMIFS(Zones_tributaires!$I:$I,Zones_tributaires!$J:$J,$A42))</f>
        <v/>
      </c>
      <c r="P42" s="8">
        <f>IF(A42="","",SUMIFS($Q$4:$Q$204,$E$4:$E$204,$A42))</f>
        <v/>
      </c>
      <c r="Q42" s="8">
        <f>IF(A42="","",(O42+P42)*Inputs!$B$6)</f>
        <v/>
      </c>
      <c r="R42" s="8">
        <f>IF(A42="","",IF(UPPER(TRIM(B42))="PIPE",PI()*(J42/1000)^2/4,IF(OR(K42="",L42=""),"",L42*(K42+M42*L42))))</f>
        <v/>
      </c>
      <c r="S42" s="8">
        <f>IF(A42="","",IF(UPPER(TRIM(B42))="PIPE",(J42/1000)/4,IF(OR(R42="",K42="",L42=""),"",R42/(K42+2*L42*SQRT(1+M42^2)))))</f>
        <v/>
      </c>
      <c r="T42" s="8">
        <f>IF(A42="","",IF(OR(I42="",R42="",S42="",G42=""),"",(1/I42)*R42*(S42^(2/3))*SQRT(G42)))</f>
        <v/>
      </c>
      <c r="U42" s="8">
        <f>IF(OR(T42="",Q42=""),"",Q42/(T42*Inputs!$B$19))</f>
        <v/>
      </c>
      <c r="V42" s="8">
        <f>IF(OR(R42="",Q42=""),"",Q42/R42)</f>
        <v/>
      </c>
      <c r="W42" s="8">
        <f>IF(OR(R42="",T42=""),"",T42/R42)</f>
        <v/>
      </c>
      <c r="X42" s="8">
        <f>IF(A42="","",IF(OR(UPPER(TRIM(Inputs!$B$15))="MANNING",UPPER(TRIM(Inputs!$B$15))="M"),W42,IF(OR(UPPER(TRIM(Inputs!$B$15))="MAX",UPPER(TRIM(Inputs!$B$15))="X"),MAX(V42,W42),V42)))</f>
        <v/>
      </c>
      <c r="Y42" s="8">
        <f>IF(A42="","",IF(UPPER(TRIM(B42))="TRENCH",K42*L42*N42,IF(UPPER(TRIM(B42))="SWALE",K42*L42,0)))</f>
        <v/>
      </c>
      <c r="Z42" s="8">
        <f>IF(OR(Y42="",F42=""),"",Y42*F42)</f>
        <v/>
      </c>
      <c r="AA42" s="4">
        <f>IF(A42="","",IF(OR(U42&gt;1,AND(X42&lt;&gt;"",X42&lt;Inputs!$B$16),AND(X42&lt;&gt;"",X42&gt;Inputs!$B$17),G42&lt;Inputs!$B$18,AH42="CHECK"),"CHECK","OK"))</f>
        <v/>
      </c>
      <c r="AB42" s="4" t="n"/>
      <c r="AC42" s="7" t="n"/>
      <c r="AD42" s="8">
        <f>IF(A42="","",IF(AC42&lt;&gt;"",AC42,IF(E42="",Inputs!$B$38,IFERROR(INDEX($AE$4:$AE$204,MATCH(E42,$A$4:$A$204,0))+IF(OR(AND(UPPER(TRIM(B42))="SWALE",UPPER(TRIM(AI42))="PIPE"),AND(UPPER(TRIM(B42))="TRENCH",UPPER(TRIM(AI42))="PIPE")),Inputs!$B$57,0),""))))</f>
        <v/>
      </c>
      <c r="AE42" s="8">
        <f>IF(OR(AD42="",F42="",G42=""),"",AD42+F42*G42)</f>
        <v/>
      </c>
      <c r="AF42" s="8">
        <f>IF(OR(E42="",A42=""),"",IFERROR(INDEX($AE$4:$AE$204,MATCH(E42,$A$4:$A$204,0)),""))</f>
        <v/>
      </c>
      <c r="AG42" s="8">
        <f>IF(OR(AD42="",AF42=""),"",AD42-AF42)</f>
        <v/>
      </c>
      <c r="AH42" s="4">
        <f>IF(A42="","",IF(E42="","TERMINAL",IF(OR(AND(UPPER(TRIM(B42))="SWALE",UPPER(TRIM(AI42))="PIPE"),AND(UPPER(TRIM(B42))="TRENCH",UPPER(TRIM(AI42))="PIPE")),IF(OR(AG42="",AJ42="",AK42=""),"INFO",IF(AND(AG42&gt;=AJ42,AG42&lt;=AK42),"OK","CHECK")),IF(AG42="","INFO",IF(ABS(AG42)&lt;=Inputs!$B$54,"OK","CHECK")))))</f>
        <v/>
      </c>
      <c r="AI42" s="17">
        <f>IF(A42="","",IF(E42="","",IFERROR(INDEX($B$4:$B$204,MATCH(E42,$A$4:$A$204,0)),"")))</f>
        <v/>
      </c>
      <c r="AJ42" s="17">
        <f>IF(A42="","",IF(OR(AND(UPPER(TRIM(B42))="SWALE",UPPER(TRIM(AI42))="PIPE"),AND(UPPER(TRIM(B42))="TRENCH",UPPER(TRIM(AI42))="PIPE")),Inputs!$B$55,0))</f>
        <v/>
      </c>
      <c r="AK42" s="17">
        <f>IF(A42="","",IF(OR(AND(UPPER(TRIM(B42))="SWALE",UPPER(TRIM(AI42))="PIPE"),AND(UPPER(TRIM(B42))="TRENCH",UPPER(TRIM(AI42))="PIPE")),Inputs!$B$56,Inputs!$B$54))</f>
        <v/>
      </c>
      <c r="AL42" s="4">
        <f>IF(A42="","",IF(E42="","TERMINAL",IF(OR(AND(UPPER(TRIM(B42))="SWALE",UPPER(TRIM(AI42))="PIPE"),AND(UPPER(TRIM(B42))="TRENCH",UPPER(TRIM(AI42))="PIPE")),IF(OR(AG42="",AJ42="",AK42=""),"INFO",IF(AND(AG42&gt;=AJ42,AG42&lt;=AK42),"OK","CHECK")),"N/A")))</f>
        <v/>
      </c>
    </row>
    <row r="43">
      <c r="A43" s="4" t="n"/>
      <c r="B43" s="4" t="n"/>
      <c r="C43" s="4" t="n"/>
      <c r="D43" s="4" t="n"/>
      <c r="E43" s="4" t="n"/>
      <c r="F43" s="7" t="n"/>
      <c r="G43" s="7" t="n"/>
      <c r="H43" s="7" t="n"/>
      <c r="I43" s="8">
        <f>IF(A43="","",IF(H43&lt;&gt;"",H43,IF(UPPER(TRIM(B43))="PIPE",Inputs!$B$7,IF(UPPER(TRIM(B43))="SWALE",Inputs!$B$8,Inputs!$B$9))))</f>
        <v/>
      </c>
      <c r="J43" s="7" t="n"/>
      <c r="K43" s="7" t="n"/>
      <c r="L43" s="7" t="n"/>
      <c r="M43" s="7" t="n"/>
      <c r="N43" s="7" t="n">
        <v>0</v>
      </c>
      <c r="O43" s="8">
        <f>IF(A43="","",SUMIFS(Zones_tributaires!$I:$I,Zones_tributaires!$J:$J,$A43))</f>
        <v/>
      </c>
      <c r="P43" s="8">
        <f>IF(A43="","",SUMIFS($Q$4:$Q$204,$E$4:$E$204,$A43))</f>
        <v/>
      </c>
      <c r="Q43" s="8">
        <f>IF(A43="","",(O43+P43)*Inputs!$B$6)</f>
        <v/>
      </c>
      <c r="R43" s="8">
        <f>IF(A43="","",IF(UPPER(TRIM(B43))="PIPE",PI()*(J43/1000)^2/4,IF(OR(K43="",L43=""),"",L43*(K43+M43*L43))))</f>
        <v/>
      </c>
      <c r="S43" s="8">
        <f>IF(A43="","",IF(UPPER(TRIM(B43))="PIPE",(J43/1000)/4,IF(OR(R43="",K43="",L43=""),"",R43/(K43+2*L43*SQRT(1+M43^2)))))</f>
        <v/>
      </c>
      <c r="T43" s="8">
        <f>IF(A43="","",IF(OR(I43="",R43="",S43="",G43=""),"",(1/I43)*R43*(S43^(2/3))*SQRT(G43)))</f>
        <v/>
      </c>
      <c r="U43" s="8">
        <f>IF(OR(T43="",Q43=""),"",Q43/(T43*Inputs!$B$19))</f>
        <v/>
      </c>
      <c r="V43" s="8">
        <f>IF(OR(R43="",Q43=""),"",Q43/R43)</f>
        <v/>
      </c>
      <c r="W43" s="8">
        <f>IF(OR(R43="",T43=""),"",T43/R43)</f>
        <v/>
      </c>
      <c r="X43" s="8">
        <f>IF(A43="","",IF(OR(UPPER(TRIM(Inputs!$B$15))="MANNING",UPPER(TRIM(Inputs!$B$15))="M"),W43,IF(OR(UPPER(TRIM(Inputs!$B$15))="MAX",UPPER(TRIM(Inputs!$B$15))="X"),MAX(V43,W43),V43)))</f>
        <v/>
      </c>
      <c r="Y43" s="8">
        <f>IF(A43="","",IF(UPPER(TRIM(B43))="TRENCH",K43*L43*N43,IF(UPPER(TRIM(B43))="SWALE",K43*L43,0)))</f>
        <v/>
      </c>
      <c r="Z43" s="8">
        <f>IF(OR(Y43="",F43=""),"",Y43*F43)</f>
        <v/>
      </c>
      <c r="AA43" s="4">
        <f>IF(A43="","",IF(OR(U43&gt;1,AND(X43&lt;&gt;"",X43&lt;Inputs!$B$16),AND(X43&lt;&gt;"",X43&gt;Inputs!$B$17),G43&lt;Inputs!$B$18,AH43="CHECK"),"CHECK","OK"))</f>
        <v/>
      </c>
      <c r="AB43" s="4" t="n"/>
      <c r="AC43" s="7" t="n"/>
      <c r="AD43" s="8">
        <f>IF(A43="","",IF(AC43&lt;&gt;"",AC43,IF(E43="",Inputs!$B$38,IFERROR(INDEX($AE$4:$AE$204,MATCH(E43,$A$4:$A$204,0))+IF(OR(AND(UPPER(TRIM(B43))="SWALE",UPPER(TRIM(AI43))="PIPE"),AND(UPPER(TRIM(B43))="TRENCH",UPPER(TRIM(AI43))="PIPE")),Inputs!$B$57,0),""))))</f>
        <v/>
      </c>
      <c r="AE43" s="8">
        <f>IF(OR(AD43="",F43="",G43=""),"",AD43+F43*G43)</f>
        <v/>
      </c>
      <c r="AF43" s="8">
        <f>IF(OR(E43="",A43=""),"",IFERROR(INDEX($AE$4:$AE$204,MATCH(E43,$A$4:$A$204,0)),""))</f>
        <v/>
      </c>
      <c r="AG43" s="8">
        <f>IF(OR(AD43="",AF43=""),"",AD43-AF43)</f>
        <v/>
      </c>
      <c r="AH43" s="4">
        <f>IF(A43="","",IF(E43="","TERMINAL",IF(OR(AND(UPPER(TRIM(B43))="SWALE",UPPER(TRIM(AI43))="PIPE"),AND(UPPER(TRIM(B43))="TRENCH",UPPER(TRIM(AI43))="PIPE")),IF(OR(AG43="",AJ43="",AK43=""),"INFO",IF(AND(AG43&gt;=AJ43,AG43&lt;=AK43),"OK","CHECK")),IF(AG43="","INFO",IF(ABS(AG43)&lt;=Inputs!$B$54,"OK","CHECK")))))</f>
        <v/>
      </c>
      <c r="AI43" s="17">
        <f>IF(A43="","",IF(E43="","",IFERROR(INDEX($B$4:$B$204,MATCH(E43,$A$4:$A$204,0)),"")))</f>
        <v/>
      </c>
      <c r="AJ43" s="17">
        <f>IF(A43="","",IF(OR(AND(UPPER(TRIM(B43))="SWALE",UPPER(TRIM(AI43))="PIPE"),AND(UPPER(TRIM(B43))="TRENCH",UPPER(TRIM(AI43))="PIPE")),Inputs!$B$55,0))</f>
        <v/>
      </c>
      <c r="AK43" s="17">
        <f>IF(A43="","",IF(OR(AND(UPPER(TRIM(B43))="SWALE",UPPER(TRIM(AI43))="PIPE"),AND(UPPER(TRIM(B43))="TRENCH",UPPER(TRIM(AI43))="PIPE")),Inputs!$B$56,Inputs!$B$54))</f>
        <v/>
      </c>
      <c r="AL43" s="4">
        <f>IF(A43="","",IF(E43="","TERMINAL",IF(OR(AND(UPPER(TRIM(B43))="SWALE",UPPER(TRIM(AI43))="PIPE"),AND(UPPER(TRIM(B43))="TRENCH",UPPER(TRIM(AI43))="PIPE")),IF(OR(AG43="",AJ43="",AK43=""),"INFO",IF(AND(AG43&gt;=AJ43,AG43&lt;=AK43),"OK","CHECK")),"N/A")))</f>
        <v/>
      </c>
    </row>
    <row r="44">
      <c r="A44" s="4" t="n"/>
      <c r="B44" s="4" t="n"/>
      <c r="C44" s="4" t="n"/>
      <c r="D44" s="4" t="n"/>
      <c r="E44" s="4" t="n"/>
      <c r="F44" s="7" t="n"/>
      <c r="G44" s="7" t="n"/>
      <c r="H44" s="7" t="n"/>
      <c r="I44" s="8">
        <f>IF(A44="","",IF(H44&lt;&gt;"",H44,IF(UPPER(TRIM(B44))="PIPE",Inputs!$B$7,IF(UPPER(TRIM(B44))="SWALE",Inputs!$B$8,Inputs!$B$9))))</f>
        <v/>
      </c>
      <c r="J44" s="7" t="n"/>
      <c r="K44" s="7" t="n"/>
      <c r="L44" s="7" t="n"/>
      <c r="M44" s="7" t="n"/>
      <c r="N44" s="7" t="n">
        <v>0</v>
      </c>
      <c r="O44" s="8">
        <f>IF(A44="","",SUMIFS(Zones_tributaires!$I:$I,Zones_tributaires!$J:$J,$A44))</f>
        <v/>
      </c>
      <c r="P44" s="8">
        <f>IF(A44="","",SUMIFS($Q$4:$Q$204,$E$4:$E$204,$A44))</f>
        <v/>
      </c>
      <c r="Q44" s="8">
        <f>IF(A44="","",(O44+P44)*Inputs!$B$6)</f>
        <v/>
      </c>
      <c r="R44" s="8">
        <f>IF(A44="","",IF(UPPER(TRIM(B44))="PIPE",PI()*(J44/1000)^2/4,IF(OR(K44="",L44=""),"",L44*(K44+M44*L44))))</f>
        <v/>
      </c>
      <c r="S44" s="8">
        <f>IF(A44="","",IF(UPPER(TRIM(B44))="PIPE",(J44/1000)/4,IF(OR(R44="",K44="",L44=""),"",R44/(K44+2*L44*SQRT(1+M44^2)))))</f>
        <v/>
      </c>
      <c r="T44" s="8">
        <f>IF(A44="","",IF(OR(I44="",R44="",S44="",G44=""),"",(1/I44)*R44*(S44^(2/3))*SQRT(G44)))</f>
        <v/>
      </c>
      <c r="U44" s="8">
        <f>IF(OR(T44="",Q44=""),"",Q44/(T44*Inputs!$B$19))</f>
        <v/>
      </c>
      <c r="V44" s="8">
        <f>IF(OR(R44="",Q44=""),"",Q44/R44)</f>
        <v/>
      </c>
      <c r="W44" s="8">
        <f>IF(OR(R44="",T44=""),"",T44/R44)</f>
        <v/>
      </c>
      <c r="X44" s="8">
        <f>IF(A44="","",IF(OR(UPPER(TRIM(Inputs!$B$15))="MANNING",UPPER(TRIM(Inputs!$B$15))="M"),W44,IF(OR(UPPER(TRIM(Inputs!$B$15))="MAX",UPPER(TRIM(Inputs!$B$15))="X"),MAX(V44,W44),V44)))</f>
        <v/>
      </c>
      <c r="Y44" s="8">
        <f>IF(A44="","",IF(UPPER(TRIM(B44))="TRENCH",K44*L44*N44,IF(UPPER(TRIM(B44))="SWALE",K44*L44,0)))</f>
        <v/>
      </c>
      <c r="Z44" s="8">
        <f>IF(OR(Y44="",F44=""),"",Y44*F44)</f>
        <v/>
      </c>
      <c r="AA44" s="4">
        <f>IF(A44="","",IF(OR(U44&gt;1,AND(X44&lt;&gt;"",X44&lt;Inputs!$B$16),AND(X44&lt;&gt;"",X44&gt;Inputs!$B$17),G44&lt;Inputs!$B$18,AH44="CHECK"),"CHECK","OK"))</f>
        <v/>
      </c>
      <c r="AB44" s="4" t="n"/>
      <c r="AC44" s="7" t="n"/>
      <c r="AD44" s="8">
        <f>IF(A44="","",IF(AC44&lt;&gt;"",AC44,IF(E44="",Inputs!$B$38,IFERROR(INDEX($AE$4:$AE$204,MATCH(E44,$A$4:$A$204,0))+IF(OR(AND(UPPER(TRIM(B44))="SWALE",UPPER(TRIM(AI44))="PIPE"),AND(UPPER(TRIM(B44))="TRENCH",UPPER(TRIM(AI44))="PIPE")),Inputs!$B$57,0),""))))</f>
        <v/>
      </c>
      <c r="AE44" s="8">
        <f>IF(OR(AD44="",F44="",G44=""),"",AD44+F44*G44)</f>
        <v/>
      </c>
      <c r="AF44" s="8">
        <f>IF(OR(E44="",A44=""),"",IFERROR(INDEX($AE$4:$AE$204,MATCH(E44,$A$4:$A$204,0)),""))</f>
        <v/>
      </c>
      <c r="AG44" s="8">
        <f>IF(OR(AD44="",AF44=""),"",AD44-AF44)</f>
        <v/>
      </c>
      <c r="AH44" s="4">
        <f>IF(A44="","",IF(E44="","TERMINAL",IF(OR(AND(UPPER(TRIM(B44))="SWALE",UPPER(TRIM(AI44))="PIPE"),AND(UPPER(TRIM(B44))="TRENCH",UPPER(TRIM(AI44))="PIPE")),IF(OR(AG44="",AJ44="",AK44=""),"INFO",IF(AND(AG44&gt;=AJ44,AG44&lt;=AK44),"OK","CHECK")),IF(AG44="","INFO",IF(ABS(AG44)&lt;=Inputs!$B$54,"OK","CHECK")))))</f>
        <v/>
      </c>
      <c r="AI44" s="17">
        <f>IF(A44="","",IF(E44="","",IFERROR(INDEX($B$4:$B$204,MATCH(E44,$A$4:$A$204,0)),"")))</f>
        <v/>
      </c>
      <c r="AJ44" s="17">
        <f>IF(A44="","",IF(OR(AND(UPPER(TRIM(B44))="SWALE",UPPER(TRIM(AI44))="PIPE"),AND(UPPER(TRIM(B44))="TRENCH",UPPER(TRIM(AI44))="PIPE")),Inputs!$B$55,0))</f>
        <v/>
      </c>
      <c r="AK44" s="17">
        <f>IF(A44="","",IF(OR(AND(UPPER(TRIM(B44))="SWALE",UPPER(TRIM(AI44))="PIPE"),AND(UPPER(TRIM(B44))="TRENCH",UPPER(TRIM(AI44))="PIPE")),Inputs!$B$56,Inputs!$B$54))</f>
        <v/>
      </c>
      <c r="AL44" s="4">
        <f>IF(A44="","",IF(E44="","TERMINAL",IF(OR(AND(UPPER(TRIM(B44))="SWALE",UPPER(TRIM(AI44))="PIPE"),AND(UPPER(TRIM(B44))="TRENCH",UPPER(TRIM(AI44))="PIPE")),IF(OR(AG44="",AJ44="",AK44=""),"INFO",IF(AND(AG44&gt;=AJ44,AG44&lt;=AK44),"OK","CHECK")),"N/A")))</f>
        <v/>
      </c>
    </row>
    <row r="45">
      <c r="A45" s="4" t="n"/>
      <c r="B45" s="4" t="n"/>
      <c r="C45" s="4" t="n"/>
      <c r="D45" s="4" t="n"/>
      <c r="E45" s="4" t="n"/>
      <c r="F45" s="7" t="n"/>
      <c r="G45" s="7" t="n"/>
      <c r="H45" s="7" t="n"/>
      <c r="I45" s="8">
        <f>IF(A45="","",IF(H45&lt;&gt;"",H45,IF(UPPER(TRIM(B45))="PIPE",Inputs!$B$7,IF(UPPER(TRIM(B45))="SWALE",Inputs!$B$8,Inputs!$B$9))))</f>
        <v/>
      </c>
      <c r="J45" s="7" t="n"/>
      <c r="K45" s="7" t="n"/>
      <c r="L45" s="7" t="n"/>
      <c r="M45" s="7" t="n"/>
      <c r="N45" s="7" t="n">
        <v>0</v>
      </c>
      <c r="O45" s="8">
        <f>IF(A45="","",SUMIFS(Zones_tributaires!$I:$I,Zones_tributaires!$J:$J,$A45))</f>
        <v/>
      </c>
      <c r="P45" s="8">
        <f>IF(A45="","",SUMIFS($Q$4:$Q$204,$E$4:$E$204,$A45))</f>
        <v/>
      </c>
      <c r="Q45" s="8">
        <f>IF(A45="","",(O45+P45)*Inputs!$B$6)</f>
        <v/>
      </c>
      <c r="R45" s="8">
        <f>IF(A45="","",IF(UPPER(TRIM(B45))="PIPE",PI()*(J45/1000)^2/4,IF(OR(K45="",L45=""),"",L45*(K45+M45*L45))))</f>
        <v/>
      </c>
      <c r="S45" s="8">
        <f>IF(A45="","",IF(UPPER(TRIM(B45))="PIPE",(J45/1000)/4,IF(OR(R45="",K45="",L45=""),"",R45/(K45+2*L45*SQRT(1+M45^2)))))</f>
        <v/>
      </c>
      <c r="T45" s="8">
        <f>IF(A45="","",IF(OR(I45="",R45="",S45="",G45=""),"",(1/I45)*R45*(S45^(2/3))*SQRT(G45)))</f>
        <v/>
      </c>
      <c r="U45" s="8">
        <f>IF(OR(T45="",Q45=""),"",Q45/(T45*Inputs!$B$19))</f>
        <v/>
      </c>
      <c r="V45" s="8">
        <f>IF(OR(R45="",Q45=""),"",Q45/R45)</f>
        <v/>
      </c>
      <c r="W45" s="8">
        <f>IF(OR(R45="",T45=""),"",T45/R45)</f>
        <v/>
      </c>
      <c r="X45" s="8">
        <f>IF(A45="","",IF(OR(UPPER(TRIM(Inputs!$B$15))="MANNING",UPPER(TRIM(Inputs!$B$15))="M"),W45,IF(OR(UPPER(TRIM(Inputs!$B$15))="MAX",UPPER(TRIM(Inputs!$B$15))="X"),MAX(V45,W45),V45)))</f>
        <v/>
      </c>
      <c r="Y45" s="8">
        <f>IF(A45="","",IF(UPPER(TRIM(B45))="TRENCH",K45*L45*N45,IF(UPPER(TRIM(B45))="SWALE",K45*L45,0)))</f>
        <v/>
      </c>
      <c r="Z45" s="8">
        <f>IF(OR(Y45="",F45=""),"",Y45*F45)</f>
        <v/>
      </c>
      <c r="AA45" s="4">
        <f>IF(A45="","",IF(OR(U45&gt;1,AND(X45&lt;&gt;"",X45&lt;Inputs!$B$16),AND(X45&lt;&gt;"",X45&gt;Inputs!$B$17),G45&lt;Inputs!$B$18,AH45="CHECK"),"CHECK","OK"))</f>
        <v/>
      </c>
      <c r="AB45" s="4" t="n"/>
      <c r="AC45" s="7" t="n"/>
      <c r="AD45" s="8">
        <f>IF(A45="","",IF(AC45&lt;&gt;"",AC45,IF(E45="",Inputs!$B$38,IFERROR(INDEX($AE$4:$AE$204,MATCH(E45,$A$4:$A$204,0))+IF(OR(AND(UPPER(TRIM(B45))="SWALE",UPPER(TRIM(AI45))="PIPE"),AND(UPPER(TRIM(B45))="TRENCH",UPPER(TRIM(AI45))="PIPE")),Inputs!$B$57,0),""))))</f>
        <v/>
      </c>
      <c r="AE45" s="8">
        <f>IF(OR(AD45="",F45="",G45=""),"",AD45+F45*G45)</f>
        <v/>
      </c>
      <c r="AF45" s="8">
        <f>IF(OR(E45="",A45=""),"",IFERROR(INDEX($AE$4:$AE$204,MATCH(E45,$A$4:$A$204,0)),""))</f>
        <v/>
      </c>
      <c r="AG45" s="8">
        <f>IF(OR(AD45="",AF45=""),"",AD45-AF45)</f>
        <v/>
      </c>
      <c r="AH45" s="4">
        <f>IF(A45="","",IF(E45="","TERMINAL",IF(OR(AND(UPPER(TRIM(B45))="SWALE",UPPER(TRIM(AI45))="PIPE"),AND(UPPER(TRIM(B45))="TRENCH",UPPER(TRIM(AI45))="PIPE")),IF(OR(AG45="",AJ45="",AK45=""),"INFO",IF(AND(AG45&gt;=AJ45,AG45&lt;=AK45),"OK","CHECK")),IF(AG45="","INFO",IF(ABS(AG45)&lt;=Inputs!$B$54,"OK","CHECK")))))</f>
        <v/>
      </c>
      <c r="AI45" s="17">
        <f>IF(A45="","",IF(E45="","",IFERROR(INDEX($B$4:$B$204,MATCH(E45,$A$4:$A$204,0)),"")))</f>
        <v/>
      </c>
      <c r="AJ45" s="17">
        <f>IF(A45="","",IF(OR(AND(UPPER(TRIM(B45))="SWALE",UPPER(TRIM(AI45))="PIPE"),AND(UPPER(TRIM(B45))="TRENCH",UPPER(TRIM(AI45))="PIPE")),Inputs!$B$55,0))</f>
        <v/>
      </c>
      <c r="AK45" s="17">
        <f>IF(A45="","",IF(OR(AND(UPPER(TRIM(B45))="SWALE",UPPER(TRIM(AI45))="PIPE"),AND(UPPER(TRIM(B45))="TRENCH",UPPER(TRIM(AI45))="PIPE")),Inputs!$B$56,Inputs!$B$54))</f>
        <v/>
      </c>
      <c r="AL45" s="4">
        <f>IF(A45="","",IF(E45="","TERMINAL",IF(OR(AND(UPPER(TRIM(B45))="SWALE",UPPER(TRIM(AI45))="PIPE"),AND(UPPER(TRIM(B45))="TRENCH",UPPER(TRIM(AI45))="PIPE")),IF(OR(AG45="",AJ45="",AK45=""),"INFO",IF(AND(AG45&gt;=AJ45,AG45&lt;=AK45),"OK","CHECK")),"N/A")))</f>
        <v/>
      </c>
    </row>
    <row r="46">
      <c r="A46" s="4" t="n"/>
      <c r="B46" s="4" t="n"/>
      <c r="C46" s="4" t="n"/>
      <c r="D46" s="4" t="n"/>
      <c r="E46" s="4" t="n"/>
      <c r="F46" s="7" t="n"/>
      <c r="G46" s="7" t="n"/>
      <c r="H46" s="7" t="n"/>
      <c r="I46" s="8">
        <f>IF(A46="","",IF(H46&lt;&gt;"",H46,IF(UPPER(TRIM(B46))="PIPE",Inputs!$B$7,IF(UPPER(TRIM(B46))="SWALE",Inputs!$B$8,Inputs!$B$9))))</f>
        <v/>
      </c>
      <c r="J46" s="7" t="n"/>
      <c r="K46" s="7" t="n"/>
      <c r="L46" s="7" t="n"/>
      <c r="M46" s="7" t="n"/>
      <c r="N46" s="7" t="n">
        <v>0</v>
      </c>
      <c r="O46" s="8">
        <f>IF(A46="","",SUMIFS(Zones_tributaires!$I:$I,Zones_tributaires!$J:$J,$A46))</f>
        <v/>
      </c>
      <c r="P46" s="8">
        <f>IF(A46="","",SUMIFS($Q$4:$Q$204,$E$4:$E$204,$A46))</f>
        <v/>
      </c>
      <c r="Q46" s="8">
        <f>IF(A46="","",(O46+P46)*Inputs!$B$6)</f>
        <v/>
      </c>
      <c r="R46" s="8">
        <f>IF(A46="","",IF(UPPER(TRIM(B46))="PIPE",PI()*(J46/1000)^2/4,IF(OR(K46="",L46=""),"",L46*(K46+M46*L46))))</f>
        <v/>
      </c>
      <c r="S46" s="8">
        <f>IF(A46="","",IF(UPPER(TRIM(B46))="PIPE",(J46/1000)/4,IF(OR(R46="",K46="",L46=""),"",R46/(K46+2*L46*SQRT(1+M46^2)))))</f>
        <v/>
      </c>
      <c r="T46" s="8">
        <f>IF(A46="","",IF(OR(I46="",R46="",S46="",G46=""),"",(1/I46)*R46*(S46^(2/3))*SQRT(G46)))</f>
        <v/>
      </c>
      <c r="U46" s="8">
        <f>IF(OR(T46="",Q46=""),"",Q46/(T46*Inputs!$B$19))</f>
        <v/>
      </c>
      <c r="V46" s="8">
        <f>IF(OR(R46="",Q46=""),"",Q46/R46)</f>
        <v/>
      </c>
      <c r="W46" s="8">
        <f>IF(OR(R46="",T46=""),"",T46/R46)</f>
        <v/>
      </c>
      <c r="X46" s="8">
        <f>IF(A46="","",IF(OR(UPPER(TRIM(Inputs!$B$15))="MANNING",UPPER(TRIM(Inputs!$B$15))="M"),W46,IF(OR(UPPER(TRIM(Inputs!$B$15))="MAX",UPPER(TRIM(Inputs!$B$15))="X"),MAX(V46,W46),V46)))</f>
        <v/>
      </c>
      <c r="Y46" s="8">
        <f>IF(A46="","",IF(UPPER(TRIM(B46))="TRENCH",K46*L46*N46,IF(UPPER(TRIM(B46))="SWALE",K46*L46,0)))</f>
        <v/>
      </c>
      <c r="Z46" s="8">
        <f>IF(OR(Y46="",F46=""),"",Y46*F46)</f>
        <v/>
      </c>
      <c r="AA46" s="4">
        <f>IF(A46="","",IF(OR(U46&gt;1,AND(X46&lt;&gt;"",X46&lt;Inputs!$B$16),AND(X46&lt;&gt;"",X46&gt;Inputs!$B$17),G46&lt;Inputs!$B$18,AH46="CHECK"),"CHECK","OK"))</f>
        <v/>
      </c>
      <c r="AB46" s="4" t="n"/>
      <c r="AC46" s="7" t="n"/>
      <c r="AD46" s="8">
        <f>IF(A46="","",IF(AC46&lt;&gt;"",AC46,IF(E46="",Inputs!$B$38,IFERROR(INDEX($AE$4:$AE$204,MATCH(E46,$A$4:$A$204,0))+IF(OR(AND(UPPER(TRIM(B46))="SWALE",UPPER(TRIM(AI46))="PIPE"),AND(UPPER(TRIM(B46))="TRENCH",UPPER(TRIM(AI46))="PIPE")),Inputs!$B$57,0),""))))</f>
        <v/>
      </c>
      <c r="AE46" s="8">
        <f>IF(OR(AD46="",F46="",G46=""),"",AD46+F46*G46)</f>
        <v/>
      </c>
      <c r="AF46" s="8">
        <f>IF(OR(E46="",A46=""),"",IFERROR(INDEX($AE$4:$AE$204,MATCH(E46,$A$4:$A$204,0)),""))</f>
        <v/>
      </c>
      <c r="AG46" s="8">
        <f>IF(OR(AD46="",AF46=""),"",AD46-AF46)</f>
        <v/>
      </c>
      <c r="AH46" s="4">
        <f>IF(A46="","",IF(E46="","TERMINAL",IF(OR(AND(UPPER(TRIM(B46))="SWALE",UPPER(TRIM(AI46))="PIPE"),AND(UPPER(TRIM(B46))="TRENCH",UPPER(TRIM(AI46))="PIPE")),IF(OR(AG46="",AJ46="",AK46=""),"INFO",IF(AND(AG46&gt;=AJ46,AG46&lt;=AK46),"OK","CHECK")),IF(AG46="","INFO",IF(ABS(AG46)&lt;=Inputs!$B$54,"OK","CHECK")))))</f>
        <v/>
      </c>
      <c r="AI46" s="17">
        <f>IF(A46="","",IF(E46="","",IFERROR(INDEX($B$4:$B$204,MATCH(E46,$A$4:$A$204,0)),"")))</f>
        <v/>
      </c>
      <c r="AJ46" s="17">
        <f>IF(A46="","",IF(OR(AND(UPPER(TRIM(B46))="SWALE",UPPER(TRIM(AI46))="PIPE"),AND(UPPER(TRIM(B46))="TRENCH",UPPER(TRIM(AI46))="PIPE")),Inputs!$B$55,0))</f>
        <v/>
      </c>
      <c r="AK46" s="17">
        <f>IF(A46="","",IF(OR(AND(UPPER(TRIM(B46))="SWALE",UPPER(TRIM(AI46))="PIPE"),AND(UPPER(TRIM(B46))="TRENCH",UPPER(TRIM(AI46))="PIPE")),Inputs!$B$56,Inputs!$B$54))</f>
        <v/>
      </c>
      <c r="AL46" s="4">
        <f>IF(A46="","",IF(E46="","TERMINAL",IF(OR(AND(UPPER(TRIM(B46))="SWALE",UPPER(TRIM(AI46))="PIPE"),AND(UPPER(TRIM(B46))="TRENCH",UPPER(TRIM(AI46))="PIPE")),IF(OR(AG46="",AJ46="",AK46=""),"INFO",IF(AND(AG46&gt;=AJ46,AG46&lt;=AK46),"OK","CHECK")),"N/A")))</f>
        <v/>
      </c>
    </row>
    <row r="47">
      <c r="A47" s="4" t="n"/>
      <c r="B47" s="4" t="n"/>
      <c r="C47" s="4" t="n"/>
      <c r="D47" s="4" t="n"/>
      <c r="E47" s="4" t="n"/>
      <c r="F47" s="7" t="n"/>
      <c r="G47" s="7" t="n"/>
      <c r="H47" s="7" t="n"/>
      <c r="I47" s="8">
        <f>IF(A47="","",IF(H47&lt;&gt;"",H47,IF(UPPER(TRIM(B47))="PIPE",Inputs!$B$7,IF(UPPER(TRIM(B47))="SWALE",Inputs!$B$8,Inputs!$B$9))))</f>
        <v/>
      </c>
      <c r="J47" s="7" t="n"/>
      <c r="K47" s="7" t="n"/>
      <c r="L47" s="7" t="n"/>
      <c r="M47" s="7" t="n"/>
      <c r="N47" s="7" t="n">
        <v>0</v>
      </c>
      <c r="O47" s="8">
        <f>IF(A47="","",SUMIFS(Zones_tributaires!$I:$I,Zones_tributaires!$J:$J,$A47))</f>
        <v/>
      </c>
      <c r="P47" s="8">
        <f>IF(A47="","",SUMIFS($Q$4:$Q$204,$E$4:$E$204,$A47))</f>
        <v/>
      </c>
      <c r="Q47" s="8">
        <f>IF(A47="","",(O47+P47)*Inputs!$B$6)</f>
        <v/>
      </c>
      <c r="R47" s="8">
        <f>IF(A47="","",IF(UPPER(TRIM(B47))="PIPE",PI()*(J47/1000)^2/4,IF(OR(K47="",L47=""),"",L47*(K47+M47*L47))))</f>
        <v/>
      </c>
      <c r="S47" s="8">
        <f>IF(A47="","",IF(UPPER(TRIM(B47))="PIPE",(J47/1000)/4,IF(OR(R47="",K47="",L47=""),"",R47/(K47+2*L47*SQRT(1+M47^2)))))</f>
        <v/>
      </c>
      <c r="T47" s="8">
        <f>IF(A47="","",IF(OR(I47="",R47="",S47="",G47=""),"",(1/I47)*R47*(S47^(2/3))*SQRT(G47)))</f>
        <v/>
      </c>
      <c r="U47" s="8">
        <f>IF(OR(T47="",Q47=""),"",Q47/(T47*Inputs!$B$19))</f>
        <v/>
      </c>
      <c r="V47" s="8">
        <f>IF(OR(R47="",Q47=""),"",Q47/R47)</f>
        <v/>
      </c>
      <c r="W47" s="8">
        <f>IF(OR(R47="",T47=""),"",T47/R47)</f>
        <v/>
      </c>
      <c r="X47" s="8">
        <f>IF(A47="","",IF(OR(UPPER(TRIM(Inputs!$B$15))="MANNING",UPPER(TRIM(Inputs!$B$15))="M"),W47,IF(OR(UPPER(TRIM(Inputs!$B$15))="MAX",UPPER(TRIM(Inputs!$B$15))="X"),MAX(V47,W47),V47)))</f>
        <v/>
      </c>
      <c r="Y47" s="8">
        <f>IF(A47="","",IF(UPPER(TRIM(B47))="TRENCH",K47*L47*N47,IF(UPPER(TRIM(B47))="SWALE",K47*L47,0)))</f>
        <v/>
      </c>
      <c r="Z47" s="8">
        <f>IF(OR(Y47="",F47=""),"",Y47*F47)</f>
        <v/>
      </c>
      <c r="AA47" s="4">
        <f>IF(A47="","",IF(OR(U47&gt;1,AND(X47&lt;&gt;"",X47&lt;Inputs!$B$16),AND(X47&lt;&gt;"",X47&gt;Inputs!$B$17),G47&lt;Inputs!$B$18,AH47="CHECK"),"CHECK","OK"))</f>
        <v/>
      </c>
      <c r="AB47" s="4" t="n"/>
      <c r="AC47" s="7" t="n"/>
      <c r="AD47" s="8">
        <f>IF(A47="","",IF(AC47&lt;&gt;"",AC47,IF(E47="",Inputs!$B$38,IFERROR(INDEX($AE$4:$AE$204,MATCH(E47,$A$4:$A$204,0))+IF(OR(AND(UPPER(TRIM(B47))="SWALE",UPPER(TRIM(AI47))="PIPE"),AND(UPPER(TRIM(B47))="TRENCH",UPPER(TRIM(AI47))="PIPE")),Inputs!$B$57,0),""))))</f>
        <v/>
      </c>
      <c r="AE47" s="8">
        <f>IF(OR(AD47="",F47="",G47=""),"",AD47+F47*G47)</f>
        <v/>
      </c>
      <c r="AF47" s="8">
        <f>IF(OR(E47="",A47=""),"",IFERROR(INDEX($AE$4:$AE$204,MATCH(E47,$A$4:$A$204,0)),""))</f>
        <v/>
      </c>
      <c r="AG47" s="8">
        <f>IF(OR(AD47="",AF47=""),"",AD47-AF47)</f>
        <v/>
      </c>
      <c r="AH47" s="4">
        <f>IF(A47="","",IF(E47="","TERMINAL",IF(OR(AND(UPPER(TRIM(B47))="SWALE",UPPER(TRIM(AI47))="PIPE"),AND(UPPER(TRIM(B47))="TRENCH",UPPER(TRIM(AI47))="PIPE")),IF(OR(AG47="",AJ47="",AK47=""),"INFO",IF(AND(AG47&gt;=AJ47,AG47&lt;=AK47),"OK","CHECK")),IF(AG47="","INFO",IF(ABS(AG47)&lt;=Inputs!$B$54,"OK","CHECK")))))</f>
        <v/>
      </c>
      <c r="AI47" s="17">
        <f>IF(A47="","",IF(E47="","",IFERROR(INDEX($B$4:$B$204,MATCH(E47,$A$4:$A$204,0)),"")))</f>
        <v/>
      </c>
      <c r="AJ47" s="17">
        <f>IF(A47="","",IF(OR(AND(UPPER(TRIM(B47))="SWALE",UPPER(TRIM(AI47))="PIPE"),AND(UPPER(TRIM(B47))="TRENCH",UPPER(TRIM(AI47))="PIPE")),Inputs!$B$55,0))</f>
        <v/>
      </c>
      <c r="AK47" s="17">
        <f>IF(A47="","",IF(OR(AND(UPPER(TRIM(B47))="SWALE",UPPER(TRIM(AI47))="PIPE"),AND(UPPER(TRIM(B47))="TRENCH",UPPER(TRIM(AI47))="PIPE")),Inputs!$B$56,Inputs!$B$54))</f>
        <v/>
      </c>
      <c r="AL47" s="4">
        <f>IF(A47="","",IF(E47="","TERMINAL",IF(OR(AND(UPPER(TRIM(B47))="SWALE",UPPER(TRIM(AI47))="PIPE"),AND(UPPER(TRIM(B47))="TRENCH",UPPER(TRIM(AI47))="PIPE")),IF(OR(AG47="",AJ47="",AK47=""),"INFO",IF(AND(AG47&gt;=AJ47,AG47&lt;=AK47),"OK","CHECK")),"N/A")))</f>
        <v/>
      </c>
    </row>
    <row r="48">
      <c r="A48" s="4" t="n"/>
      <c r="B48" s="4" t="n"/>
      <c r="C48" s="4" t="n"/>
      <c r="D48" s="4" t="n"/>
      <c r="E48" s="4" t="n"/>
      <c r="F48" s="7" t="n"/>
      <c r="G48" s="7" t="n"/>
      <c r="H48" s="7" t="n"/>
      <c r="I48" s="8">
        <f>IF(A48="","",IF(H48&lt;&gt;"",H48,IF(UPPER(TRIM(B48))="PIPE",Inputs!$B$7,IF(UPPER(TRIM(B48))="SWALE",Inputs!$B$8,Inputs!$B$9))))</f>
        <v/>
      </c>
      <c r="J48" s="7" t="n"/>
      <c r="K48" s="7" t="n"/>
      <c r="L48" s="7" t="n"/>
      <c r="M48" s="7" t="n"/>
      <c r="N48" s="7" t="n">
        <v>0</v>
      </c>
      <c r="O48" s="8">
        <f>IF(A48="","",SUMIFS(Zones_tributaires!$I:$I,Zones_tributaires!$J:$J,$A48))</f>
        <v/>
      </c>
      <c r="P48" s="8">
        <f>IF(A48="","",SUMIFS($Q$4:$Q$204,$E$4:$E$204,$A48))</f>
        <v/>
      </c>
      <c r="Q48" s="8">
        <f>IF(A48="","",(O48+P48)*Inputs!$B$6)</f>
        <v/>
      </c>
      <c r="R48" s="8">
        <f>IF(A48="","",IF(UPPER(TRIM(B48))="PIPE",PI()*(J48/1000)^2/4,IF(OR(K48="",L48=""),"",L48*(K48+M48*L48))))</f>
        <v/>
      </c>
      <c r="S48" s="8">
        <f>IF(A48="","",IF(UPPER(TRIM(B48))="PIPE",(J48/1000)/4,IF(OR(R48="",K48="",L48=""),"",R48/(K48+2*L48*SQRT(1+M48^2)))))</f>
        <v/>
      </c>
      <c r="T48" s="8">
        <f>IF(A48="","",IF(OR(I48="",R48="",S48="",G48=""),"",(1/I48)*R48*(S48^(2/3))*SQRT(G48)))</f>
        <v/>
      </c>
      <c r="U48" s="8">
        <f>IF(OR(T48="",Q48=""),"",Q48/(T48*Inputs!$B$19))</f>
        <v/>
      </c>
      <c r="V48" s="8">
        <f>IF(OR(R48="",Q48=""),"",Q48/R48)</f>
        <v/>
      </c>
      <c r="W48" s="8">
        <f>IF(OR(R48="",T48=""),"",T48/R48)</f>
        <v/>
      </c>
      <c r="X48" s="8">
        <f>IF(A48="","",IF(OR(UPPER(TRIM(Inputs!$B$15))="MANNING",UPPER(TRIM(Inputs!$B$15))="M"),W48,IF(OR(UPPER(TRIM(Inputs!$B$15))="MAX",UPPER(TRIM(Inputs!$B$15))="X"),MAX(V48,W48),V48)))</f>
        <v/>
      </c>
      <c r="Y48" s="8">
        <f>IF(A48="","",IF(UPPER(TRIM(B48))="TRENCH",K48*L48*N48,IF(UPPER(TRIM(B48))="SWALE",K48*L48,0)))</f>
        <v/>
      </c>
      <c r="Z48" s="8">
        <f>IF(OR(Y48="",F48=""),"",Y48*F48)</f>
        <v/>
      </c>
      <c r="AA48" s="4">
        <f>IF(A48="","",IF(OR(U48&gt;1,AND(X48&lt;&gt;"",X48&lt;Inputs!$B$16),AND(X48&lt;&gt;"",X48&gt;Inputs!$B$17),G48&lt;Inputs!$B$18,AH48="CHECK"),"CHECK","OK"))</f>
        <v/>
      </c>
      <c r="AB48" s="4" t="n"/>
      <c r="AC48" s="7" t="n"/>
      <c r="AD48" s="8">
        <f>IF(A48="","",IF(AC48&lt;&gt;"",AC48,IF(E48="",Inputs!$B$38,IFERROR(INDEX($AE$4:$AE$204,MATCH(E48,$A$4:$A$204,0))+IF(OR(AND(UPPER(TRIM(B48))="SWALE",UPPER(TRIM(AI48))="PIPE"),AND(UPPER(TRIM(B48))="TRENCH",UPPER(TRIM(AI48))="PIPE")),Inputs!$B$57,0),""))))</f>
        <v/>
      </c>
      <c r="AE48" s="8">
        <f>IF(OR(AD48="",F48="",G48=""),"",AD48+F48*G48)</f>
        <v/>
      </c>
      <c r="AF48" s="8">
        <f>IF(OR(E48="",A48=""),"",IFERROR(INDEX($AE$4:$AE$204,MATCH(E48,$A$4:$A$204,0)),""))</f>
        <v/>
      </c>
      <c r="AG48" s="8">
        <f>IF(OR(AD48="",AF48=""),"",AD48-AF48)</f>
        <v/>
      </c>
      <c r="AH48" s="4">
        <f>IF(A48="","",IF(E48="","TERMINAL",IF(OR(AND(UPPER(TRIM(B48))="SWALE",UPPER(TRIM(AI48))="PIPE"),AND(UPPER(TRIM(B48))="TRENCH",UPPER(TRIM(AI48))="PIPE")),IF(OR(AG48="",AJ48="",AK48=""),"INFO",IF(AND(AG48&gt;=AJ48,AG48&lt;=AK48),"OK","CHECK")),IF(AG48="","INFO",IF(ABS(AG48)&lt;=Inputs!$B$54,"OK","CHECK")))))</f>
        <v/>
      </c>
      <c r="AI48" s="17">
        <f>IF(A48="","",IF(E48="","",IFERROR(INDEX($B$4:$B$204,MATCH(E48,$A$4:$A$204,0)),"")))</f>
        <v/>
      </c>
      <c r="AJ48" s="17">
        <f>IF(A48="","",IF(OR(AND(UPPER(TRIM(B48))="SWALE",UPPER(TRIM(AI48))="PIPE"),AND(UPPER(TRIM(B48))="TRENCH",UPPER(TRIM(AI48))="PIPE")),Inputs!$B$55,0))</f>
        <v/>
      </c>
      <c r="AK48" s="17">
        <f>IF(A48="","",IF(OR(AND(UPPER(TRIM(B48))="SWALE",UPPER(TRIM(AI48))="PIPE"),AND(UPPER(TRIM(B48))="TRENCH",UPPER(TRIM(AI48))="PIPE")),Inputs!$B$56,Inputs!$B$54))</f>
        <v/>
      </c>
      <c r="AL48" s="4">
        <f>IF(A48="","",IF(E48="","TERMINAL",IF(OR(AND(UPPER(TRIM(B48))="SWALE",UPPER(TRIM(AI48))="PIPE"),AND(UPPER(TRIM(B48))="TRENCH",UPPER(TRIM(AI48))="PIPE")),IF(OR(AG48="",AJ48="",AK48=""),"INFO",IF(AND(AG48&gt;=AJ48,AG48&lt;=AK48),"OK","CHECK")),"N/A")))</f>
        <v/>
      </c>
    </row>
    <row r="49">
      <c r="A49" s="4" t="n"/>
      <c r="B49" s="4" t="n"/>
      <c r="C49" s="4" t="n"/>
      <c r="D49" s="4" t="n"/>
      <c r="E49" s="4" t="n"/>
      <c r="F49" s="7" t="n"/>
      <c r="G49" s="7" t="n"/>
      <c r="H49" s="7" t="n"/>
      <c r="I49" s="8">
        <f>IF(A49="","",IF(H49&lt;&gt;"",H49,IF(UPPER(TRIM(B49))="PIPE",Inputs!$B$7,IF(UPPER(TRIM(B49))="SWALE",Inputs!$B$8,Inputs!$B$9))))</f>
        <v/>
      </c>
      <c r="J49" s="7" t="n"/>
      <c r="K49" s="7" t="n"/>
      <c r="L49" s="7" t="n"/>
      <c r="M49" s="7" t="n"/>
      <c r="N49" s="7" t="n">
        <v>0</v>
      </c>
      <c r="O49" s="8">
        <f>IF(A49="","",SUMIFS(Zones_tributaires!$I:$I,Zones_tributaires!$J:$J,$A49))</f>
        <v/>
      </c>
      <c r="P49" s="8">
        <f>IF(A49="","",SUMIFS($Q$4:$Q$204,$E$4:$E$204,$A49))</f>
        <v/>
      </c>
      <c r="Q49" s="8">
        <f>IF(A49="","",(O49+P49)*Inputs!$B$6)</f>
        <v/>
      </c>
      <c r="R49" s="8">
        <f>IF(A49="","",IF(UPPER(TRIM(B49))="PIPE",PI()*(J49/1000)^2/4,IF(OR(K49="",L49=""),"",L49*(K49+M49*L49))))</f>
        <v/>
      </c>
      <c r="S49" s="8">
        <f>IF(A49="","",IF(UPPER(TRIM(B49))="PIPE",(J49/1000)/4,IF(OR(R49="",K49="",L49=""),"",R49/(K49+2*L49*SQRT(1+M49^2)))))</f>
        <v/>
      </c>
      <c r="T49" s="8">
        <f>IF(A49="","",IF(OR(I49="",R49="",S49="",G49=""),"",(1/I49)*R49*(S49^(2/3))*SQRT(G49)))</f>
        <v/>
      </c>
      <c r="U49" s="8">
        <f>IF(OR(T49="",Q49=""),"",Q49/(T49*Inputs!$B$19))</f>
        <v/>
      </c>
      <c r="V49" s="8">
        <f>IF(OR(R49="",Q49=""),"",Q49/R49)</f>
        <v/>
      </c>
      <c r="W49" s="8">
        <f>IF(OR(R49="",T49=""),"",T49/R49)</f>
        <v/>
      </c>
      <c r="X49" s="8">
        <f>IF(A49="","",IF(OR(UPPER(TRIM(Inputs!$B$15))="MANNING",UPPER(TRIM(Inputs!$B$15))="M"),W49,IF(OR(UPPER(TRIM(Inputs!$B$15))="MAX",UPPER(TRIM(Inputs!$B$15))="X"),MAX(V49,W49),V49)))</f>
        <v/>
      </c>
      <c r="Y49" s="8">
        <f>IF(A49="","",IF(UPPER(TRIM(B49))="TRENCH",K49*L49*N49,IF(UPPER(TRIM(B49))="SWALE",K49*L49,0)))</f>
        <v/>
      </c>
      <c r="Z49" s="8">
        <f>IF(OR(Y49="",F49=""),"",Y49*F49)</f>
        <v/>
      </c>
      <c r="AA49" s="4">
        <f>IF(A49="","",IF(OR(U49&gt;1,AND(X49&lt;&gt;"",X49&lt;Inputs!$B$16),AND(X49&lt;&gt;"",X49&gt;Inputs!$B$17),G49&lt;Inputs!$B$18,AH49="CHECK"),"CHECK","OK"))</f>
        <v/>
      </c>
      <c r="AB49" s="4" t="n"/>
      <c r="AC49" s="7" t="n"/>
      <c r="AD49" s="8">
        <f>IF(A49="","",IF(AC49&lt;&gt;"",AC49,IF(E49="",Inputs!$B$38,IFERROR(INDEX($AE$4:$AE$204,MATCH(E49,$A$4:$A$204,0))+IF(OR(AND(UPPER(TRIM(B49))="SWALE",UPPER(TRIM(AI49))="PIPE"),AND(UPPER(TRIM(B49))="TRENCH",UPPER(TRIM(AI49))="PIPE")),Inputs!$B$57,0),""))))</f>
        <v/>
      </c>
      <c r="AE49" s="8">
        <f>IF(OR(AD49="",F49="",G49=""),"",AD49+F49*G49)</f>
        <v/>
      </c>
      <c r="AF49" s="8">
        <f>IF(OR(E49="",A49=""),"",IFERROR(INDEX($AE$4:$AE$204,MATCH(E49,$A$4:$A$204,0)),""))</f>
        <v/>
      </c>
      <c r="AG49" s="8">
        <f>IF(OR(AD49="",AF49=""),"",AD49-AF49)</f>
        <v/>
      </c>
      <c r="AH49" s="4">
        <f>IF(A49="","",IF(E49="","TERMINAL",IF(OR(AND(UPPER(TRIM(B49))="SWALE",UPPER(TRIM(AI49))="PIPE"),AND(UPPER(TRIM(B49))="TRENCH",UPPER(TRIM(AI49))="PIPE")),IF(OR(AG49="",AJ49="",AK49=""),"INFO",IF(AND(AG49&gt;=AJ49,AG49&lt;=AK49),"OK","CHECK")),IF(AG49="","INFO",IF(ABS(AG49)&lt;=Inputs!$B$54,"OK","CHECK")))))</f>
        <v/>
      </c>
      <c r="AI49" s="17">
        <f>IF(A49="","",IF(E49="","",IFERROR(INDEX($B$4:$B$204,MATCH(E49,$A$4:$A$204,0)),"")))</f>
        <v/>
      </c>
      <c r="AJ49" s="17">
        <f>IF(A49="","",IF(OR(AND(UPPER(TRIM(B49))="SWALE",UPPER(TRIM(AI49))="PIPE"),AND(UPPER(TRIM(B49))="TRENCH",UPPER(TRIM(AI49))="PIPE")),Inputs!$B$55,0))</f>
        <v/>
      </c>
      <c r="AK49" s="17">
        <f>IF(A49="","",IF(OR(AND(UPPER(TRIM(B49))="SWALE",UPPER(TRIM(AI49))="PIPE"),AND(UPPER(TRIM(B49))="TRENCH",UPPER(TRIM(AI49))="PIPE")),Inputs!$B$56,Inputs!$B$54))</f>
        <v/>
      </c>
      <c r="AL49" s="4">
        <f>IF(A49="","",IF(E49="","TERMINAL",IF(OR(AND(UPPER(TRIM(B49))="SWALE",UPPER(TRIM(AI49))="PIPE"),AND(UPPER(TRIM(B49))="TRENCH",UPPER(TRIM(AI49))="PIPE")),IF(OR(AG49="",AJ49="",AK49=""),"INFO",IF(AND(AG49&gt;=AJ49,AG49&lt;=AK49),"OK","CHECK")),"N/A")))</f>
        <v/>
      </c>
    </row>
    <row r="50">
      <c r="A50" s="4" t="n"/>
      <c r="B50" s="4" t="n"/>
      <c r="C50" s="4" t="n"/>
      <c r="D50" s="4" t="n"/>
      <c r="E50" s="4" t="n"/>
      <c r="F50" s="7" t="n"/>
      <c r="G50" s="7" t="n"/>
      <c r="H50" s="7" t="n"/>
      <c r="I50" s="8">
        <f>IF(A50="","",IF(H50&lt;&gt;"",H50,IF(UPPER(TRIM(B50))="PIPE",Inputs!$B$7,IF(UPPER(TRIM(B50))="SWALE",Inputs!$B$8,Inputs!$B$9))))</f>
        <v/>
      </c>
      <c r="J50" s="7" t="n"/>
      <c r="K50" s="7" t="n"/>
      <c r="L50" s="7" t="n"/>
      <c r="M50" s="7" t="n"/>
      <c r="N50" s="7" t="n">
        <v>0</v>
      </c>
      <c r="O50" s="8">
        <f>IF(A50="","",SUMIFS(Zones_tributaires!$I:$I,Zones_tributaires!$J:$J,$A50))</f>
        <v/>
      </c>
      <c r="P50" s="8">
        <f>IF(A50="","",SUMIFS($Q$4:$Q$204,$E$4:$E$204,$A50))</f>
        <v/>
      </c>
      <c r="Q50" s="8">
        <f>IF(A50="","",(O50+P50)*Inputs!$B$6)</f>
        <v/>
      </c>
      <c r="R50" s="8">
        <f>IF(A50="","",IF(UPPER(TRIM(B50))="PIPE",PI()*(J50/1000)^2/4,IF(OR(K50="",L50=""),"",L50*(K50+M50*L50))))</f>
        <v/>
      </c>
      <c r="S50" s="8">
        <f>IF(A50="","",IF(UPPER(TRIM(B50))="PIPE",(J50/1000)/4,IF(OR(R50="",K50="",L50=""),"",R50/(K50+2*L50*SQRT(1+M50^2)))))</f>
        <v/>
      </c>
      <c r="T50" s="8">
        <f>IF(A50="","",IF(OR(I50="",R50="",S50="",G50=""),"",(1/I50)*R50*(S50^(2/3))*SQRT(G50)))</f>
        <v/>
      </c>
      <c r="U50" s="8">
        <f>IF(OR(T50="",Q50=""),"",Q50/(T50*Inputs!$B$19))</f>
        <v/>
      </c>
      <c r="V50" s="8">
        <f>IF(OR(R50="",Q50=""),"",Q50/R50)</f>
        <v/>
      </c>
      <c r="W50" s="8">
        <f>IF(OR(R50="",T50=""),"",T50/R50)</f>
        <v/>
      </c>
      <c r="X50" s="8">
        <f>IF(A50="","",IF(OR(UPPER(TRIM(Inputs!$B$15))="MANNING",UPPER(TRIM(Inputs!$B$15))="M"),W50,IF(OR(UPPER(TRIM(Inputs!$B$15))="MAX",UPPER(TRIM(Inputs!$B$15))="X"),MAX(V50,W50),V50)))</f>
        <v/>
      </c>
      <c r="Y50" s="8">
        <f>IF(A50="","",IF(UPPER(TRIM(B50))="TRENCH",K50*L50*N50,IF(UPPER(TRIM(B50))="SWALE",K50*L50,0)))</f>
        <v/>
      </c>
      <c r="Z50" s="8">
        <f>IF(OR(Y50="",F50=""),"",Y50*F50)</f>
        <v/>
      </c>
      <c r="AA50" s="4">
        <f>IF(A50="","",IF(OR(U50&gt;1,AND(X50&lt;&gt;"",X50&lt;Inputs!$B$16),AND(X50&lt;&gt;"",X50&gt;Inputs!$B$17),G50&lt;Inputs!$B$18,AH50="CHECK"),"CHECK","OK"))</f>
        <v/>
      </c>
      <c r="AB50" s="4" t="n"/>
      <c r="AC50" s="7" t="n"/>
      <c r="AD50" s="8">
        <f>IF(A50="","",IF(AC50&lt;&gt;"",AC50,IF(E50="",Inputs!$B$38,IFERROR(INDEX($AE$4:$AE$204,MATCH(E50,$A$4:$A$204,0))+IF(OR(AND(UPPER(TRIM(B50))="SWALE",UPPER(TRIM(AI50))="PIPE"),AND(UPPER(TRIM(B50))="TRENCH",UPPER(TRIM(AI50))="PIPE")),Inputs!$B$57,0),""))))</f>
        <v/>
      </c>
      <c r="AE50" s="8">
        <f>IF(OR(AD50="",F50="",G50=""),"",AD50+F50*G50)</f>
        <v/>
      </c>
      <c r="AF50" s="8">
        <f>IF(OR(E50="",A50=""),"",IFERROR(INDEX($AE$4:$AE$204,MATCH(E50,$A$4:$A$204,0)),""))</f>
        <v/>
      </c>
      <c r="AG50" s="8">
        <f>IF(OR(AD50="",AF50=""),"",AD50-AF50)</f>
        <v/>
      </c>
      <c r="AH50" s="4">
        <f>IF(A50="","",IF(E50="","TERMINAL",IF(OR(AND(UPPER(TRIM(B50))="SWALE",UPPER(TRIM(AI50))="PIPE"),AND(UPPER(TRIM(B50))="TRENCH",UPPER(TRIM(AI50))="PIPE")),IF(OR(AG50="",AJ50="",AK50=""),"INFO",IF(AND(AG50&gt;=AJ50,AG50&lt;=AK50),"OK","CHECK")),IF(AG50="","INFO",IF(ABS(AG50)&lt;=Inputs!$B$54,"OK","CHECK")))))</f>
        <v/>
      </c>
      <c r="AI50" s="17">
        <f>IF(A50="","",IF(E50="","",IFERROR(INDEX($B$4:$B$204,MATCH(E50,$A$4:$A$204,0)),"")))</f>
        <v/>
      </c>
      <c r="AJ50" s="17">
        <f>IF(A50="","",IF(OR(AND(UPPER(TRIM(B50))="SWALE",UPPER(TRIM(AI50))="PIPE"),AND(UPPER(TRIM(B50))="TRENCH",UPPER(TRIM(AI50))="PIPE")),Inputs!$B$55,0))</f>
        <v/>
      </c>
      <c r="AK50" s="17">
        <f>IF(A50="","",IF(OR(AND(UPPER(TRIM(B50))="SWALE",UPPER(TRIM(AI50))="PIPE"),AND(UPPER(TRIM(B50))="TRENCH",UPPER(TRIM(AI50))="PIPE")),Inputs!$B$56,Inputs!$B$54))</f>
        <v/>
      </c>
      <c r="AL50" s="4">
        <f>IF(A50="","",IF(E50="","TERMINAL",IF(OR(AND(UPPER(TRIM(B50))="SWALE",UPPER(TRIM(AI50))="PIPE"),AND(UPPER(TRIM(B50))="TRENCH",UPPER(TRIM(AI50))="PIPE")),IF(OR(AG50="",AJ50="",AK50=""),"INFO",IF(AND(AG50&gt;=AJ50,AG50&lt;=AK50),"OK","CHECK")),"N/A")))</f>
        <v/>
      </c>
    </row>
    <row r="51">
      <c r="A51" s="4" t="n"/>
      <c r="B51" s="4" t="n"/>
      <c r="C51" s="4" t="n"/>
      <c r="D51" s="4" t="n"/>
      <c r="E51" s="4" t="n"/>
      <c r="F51" s="7" t="n"/>
      <c r="G51" s="7" t="n"/>
      <c r="H51" s="7" t="n"/>
      <c r="I51" s="8">
        <f>IF(A51="","",IF(H51&lt;&gt;"",H51,IF(UPPER(TRIM(B51))="PIPE",Inputs!$B$7,IF(UPPER(TRIM(B51))="SWALE",Inputs!$B$8,Inputs!$B$9))))</f>
        <v/>
      </c>
      <c r="J51" s="7" t="n"/>
      <c r="K51" s="7" t="n"/>
      <c r="L51" s="7" t="n"/>
      <c r="M51" s="7" t="n"/>
      <c r="N51" s="7" t="n">
        <v>0</v>
      </c>
      <c r="O51" s="8">
        <f>IF(A51="","",SUMIFS(Zones_tributaires!$I:$I,Zones_tributaires!$J:$J,$A51))</f>
        <v/>
      </c>
      <c r="P51" s="8">
        <f>IF(A51="","",SUMIFS($Q$4:$Q$204,$E$4:$E$204,$A51))</f>
        <v/>
      </c>
      <c r="Q51" s="8">
        <f>IF(A51="","",(O51+P51)*Inputs!$B$6)</f>
        <v/>
      </c>
      <c r="R51" s="8">
        <f>IF(A51="","",IF(UPPER(TRIM(B51))="PIPE",PI()*(J51/1000)^2/4,IF(OR(K51="",L51=""),"",L51*(K51+M51*L51))))</f>
        <v/>
      </c>
      <c r="S51" s="8">
        <f>IF(A51="","",IF(UPPER(TRIM(B51))="PIPE",(J51/1000)/4,IF(OR(R51="",K51="",L51=""),"",R51/(K51+2*L51*SQRT(1+M51^2)))))</f>
        <v/>
      </c>
      <c r="T51" s="8">
        <f>IF(A51="","",IF(OR(I51="",R51="",S51="",G51=""),"",(1/I51)*R51*(S51^(2/3))*SQRT(G51)))</f>
        <v/>
      </c>
      <c r="U51" s="8">
        <f>IF(OR(T51="",Q51=""),"",Q51/(T51*Inputs!$B$19))</f>
        <v/>
      </c>
      <c r="V51" s="8">
        <f>IF(OR(R51="",Q51=""),"",Q51/R51)</f>
        <v/>
      </c>
      <c r="W51" s="8">
        <f>IF(OR(R51="",T51=""),"",T51/R51)</f>
        <v/>
      </c>
      <c r="X51" s="8">
        <f>IF(A51="","",IF(OR(UPPER(TRIM(Inputs!$B$15))="MANNING",UPPER(TRIM(Inputs!$B$15))="M"),W51,IF(OR(UPPER(TRIM(Inputs!$B$15))="MAX",UPPER(TRIM(Inputs!$B$15))="X"),MAX(V51,W51),V51)))</f>
        <v/>
      </c>
      <c r="Y51" s="8">
        <f>IF(A51="","",IF(UPPER(TRIM(B51))="TRENCH",K51*L51*N51,IF(UPPER(TRIM(B51))="SWALE",K51*L51,0)))</f>
        <v/>
      </c>
      <c r="Z51" s="8">
        <f>IF(OR(Y51="",F51=""),"",Y51*F51)</f>
        <v/>
      </c>
      <c r="AA51" s="4">
        <f>IF(A51="","",IF(OR(U51&gt;1,AND(X51&lt;&gt;"",X51&lt;Inputs!$B$16),AND(X51&lt;&gt;"",X51&gt;Inputs!$B$17),G51&lt;Inputs!$B$18,AH51="CHECK"),"CHECK","OK"))</f>
        <v/>
      </c>
      <c r="AB51" s="4" t="n"/>
      <c r="AC51" s="7" t="n"/>
      <c r="AD51" s="8">
        <f>IF(A51="","",IF(AC51&lt;&gt;"",AC51,IF(E51="",Inputs!$B$38,IFERROR(INDEX($AE$4:$AE$204,MATCH(E51,$A$4:$A$204,0))+IF(OR(AND(UPPER(TRIM(B51))="SWALE",UPPER(TRIM(AI51))="PIPE"),AND(UPPER(TRIM(B51))="TRENCH",UPPER(TRIM(AI51))="PIPE")),Inputs!$B$57,0),""))))</f>
        <v/>
      </c>
      <c r="AE51" s="8">
        <f>IF(OR(AD51="",F51="",G51=""),"",AD51+F51*G51)</f>
        <v/>
      </c>
      <c r="AF51" s="8">
        <f>IF(OR(E51="",A51=""),"",IFERROR(INDEX($AE$4:$AE$204,MATCH(E51,$A$4:$A$204,0)),""))</f>
        <v/>
      </c>
      <c r="AG51" s="8">
        <f>IF(OR(AD51="",AF51=""),"",AD51-AF51)</f>
        <v/>
      </c>
      <c r="AH51" s="4">
        <f>IF(A51="","",IF(E51="","TERMINAL",IF(OR(AND(UPPER(TRIM(B51))="SWALE",UPPER(TRIM(AI51))="PIPE"),AND(UPPER(TRIM(B51))="TRENCH",UPPER(TRIM(AI51))="PIPE")),IF(OR(AG51="",AJ51="",AK51=""),"INFO",IF(AND(AG51&gt;=AJ51,AG51&lt;=AK51),"OK","CHECK")),IF(AG51="","INFO",IF(ABS(AG51)&lt;=Inputs!$B$54,"OK","CHECK")))))</f>
        <v/>
      </c>
      <c r="AI51" s="17">
        <f>IF(A51="","",IF(E51="","",IFERROR(INDEX($B$4:$B$204,MATCH(E51,$A$4:$A$204,0)),"")))</f>
        <v/>
      </c>
      <c r="AJ51" s="17">
        <f>IF(A51="","",IF(OR(AND(UPPER(TRIM(B51))="SWALE",UPPER(TRIM(AI51))="PIPE"),AND(UPPER(TRIM(B51))="TRENCH",UPPER(TRIM(AI51))="PIPE")),Inputs!$B$55,0))</f>
        <v/>
      </c>
      <c r="AK51" s="17">
        <f>IF(A51="","",IF(OR(AND(UPPER(TRIM(B51))="SWALE",UPPER(TRIM(AI51))="PIPE"),AND(UPPER(TRIM(B51))="TRENCH",UPPER(TRIM(AI51))="PIPE")),Inputs!$B$56,Inputs!$B$54))</f>
        <v/>
      </c>
      <c r="AL51" s="4">
        <f>IF(A51="","",IF(E51="","TERMINAL",IF(OR(AND(UPPER(TRIM(B51))="SWALE",UPPER(TRIM(AI51))="PIPE"),AND(UPPER(TRIM(B51))="TRENCH",UPPER(TRIM(AI51))="PIPE")),IF(OR(AG51="",AJ51="",AK51=""),"INFO",IF(AND(AG51&gt;=AJ51,AG51&lt;=AK51),"OK","CHECK")),"N/A")))</f>
        <v/>
      </c>
    </row>
    <row r="52">
      <c r="A52" s="4" t="n"/>
      <c r="B52" s="4" t="n"/>
      <c r="C52" s="4" t="n"/>
      <c r="D52" s="4" t="n"/>
      <c r="E52" s="4" t="n"/>
      <c r="F52" s="7" t="n"/>
      <c r="G52" s="7" t="n"/>
      <c r="H52" s="7" t="n"/>
      <c r="I52" s="8">
        <f>IF(A52="","",IF(H52&lt;&gt;"",H52,IF(UPPER(TRIM(B52))="PIPE",Inputs!$B$7,IF(UPPER(TRIM(B52))="SWALE",Inputs!$B$8,Inputs!$B$9))))</f>
        <v/>
      </c>
      <c r="J52" s="7" t="n"/>
      <c r="K52" s="7" t="n"/>
      <c r="L52" s="7" t="n"/>
      <c r="M52" s="7" t="n"/>
      <c r="N52" s="7" t="n">
        <v>0</v>
      </c>
      <c r="O52" s="8">
        <f>IF(A52="","",SUMIFS(Zones_tributaires!$I:$I,Zones_tributaires!$J:$J,$A52))</f>
        <v/>
      </c>
      <c r="P52" s="8">
        <f>IF(A52="","",SUMIFS($Q$4:$Q$204,$E$4:$E$204,$A52))</f>
        <v/>
      </c>
      <c r="Q52" s="8">
        <f>IF(A52="","",(O52+P52)*Inputs!$B$6)</f>
        <v/>
      </c>
      <c r="R52" s="8">
        <f>IF(A52="","",IF(UPPER(TRIM(B52))="PIPE",PI()*(J52/1000)^2/4,IF(OR(K52="",L52=""),"",L52*(K52+M52*L52))))</f>
        <v/>
      </c>
      <c r="S52" s="8">
        <f>IF(A52="","",IF(UPPER(TRIM(B52))="PIPE",(J52/1000)/4,IF(OR(R52="",K52="",L52=""),"",R52/(K52+2*L52*SQRT(1+M52^2)))))</f>
        <v/>
      </c>
      <c r="T52" s="8">
        <f>IF(A52="","",IF(OR(I52="",R52="",S52="",G52=""),"",(1/I52)*R52*(S52^(2/3))*SQRT(G52)))</f>
        <v/>
      </c>
      <c r="U52" s="8">
        <f>IF(OR(T52="",Q52=""),"",Q52/(T52*Inputs!$B$19))</f>
        <v/>
      </c>
      <c r="V52" s="8">
        <f>IF(OR(R52="",Q52=""),"",Q52/R52)</f>
        <v/>
      </c>
      <c r="W52" s="8">
        <f>IF(OR(R52="",T52=""),"",T52/R52)</f>
        <v/>
      </c>
      <c r="X52" s="8">
        <f>IF(A52="","",IF(OR(UPPER(TRIM(Inputs!$B$15))="MANNING",UPPER(TRIM(Inputs!$B$15))="M"),W52,IF(OR(UPPER(TRIM(Inputs!$B$15))="MAX",UPPER(TRIM(Inputs!$B$15))="X"),MAX(V52,W52),V52)))</f>
        <v/>
      </c>
      <c r="Y52" s="8">
        <f>IF(A52="","",IF(UPPER(TRIM(B52))="TRENCH",K52*L52*N52,IF(UPPER(TRIM(B52))="SWALE",K52*L52,0)))</f>
        <v/>
      </c>
      <c r="Z52" s="8">
        <f>IF(OR(Y52="",F52=""),"",Y52*F52)</f>
        <v/>
      </c>
      <c r="AA52" s="4">
        <f>IF(A52="","",IF(OR(U52&gt;1,AND(X52&lt;&gt;"",X52&lt;Inputs!$B$16),AND(X52&lt;&gt;"",X52&gt;Inputs!$B$17),G52&lt;Inputs!$B$18,AH52="CHECK"),"CHECK","OK"))</f>
        <v/>
      </c>
      <c r="AB52" s="4" t="n"/>
      <c r="AC52" s="7" t="n"/>
      <c r="AD52" s="8">
        <f>IF(A52="","",IF(AC52&lt;&gt;"",AC52,IF(E52="",Inputs!$B$38,IFERROR(INDEX($AE$4:$AE$204,MATCH(E52,$A$4:$A$204,0))+IF(OR(AND(UPPER(TRIM(B52))="SWALE",UPPER(TRIM(AI52))="PIPE"),AND(UPPER(TRIM(B52))="TRENCH",UPPER(TRIM(AI52))="PIPE")),Inputs!$B$57,0),""))))</f>
        <v/>
      </c>
      <c r="AE52" s="8">
        <f>IF(OR(AD52="",F52="",G52=""),"",AD52+F52*G52)</f>
        <v/>
      </c>
      <c r="AF52" s="8">
        <f>IF(OR(E52="",A52=""),"",IFERROR(INDEX($AE$4:$AE$204,MATCH(E52,$A$4:$A$204,0)),""))</f>
        <v/>
      </c>
      <c r="AG52" s="8">
        <f>IF(OR(AD52="",AF52=""),"",AD52-AF52)</f>
        <v/>
      </c>
      <c r="AH52" s="4">
        <f>IF(A52="","",IF(E52="","TERMINAL",IF(OR(AND(UPPER(TRIM(B52))="SWALE",UPPER(TRIM(AI52))="PIPE"),AND(UPPER(TRIM(B52))="TRENCH",UPPER(TRIM(AI52))="PIPE")),IF(OR(AG52="",AJ52="",AK52=""),"INFO",IF(AND(AG52&gt;=AJ52,AG52&lt;=AK52),"OK","CHECK")),IF(AG52="","INFO",IF(ABS(AG52)&lt;=Inputs!$B$54,"OK","CHECK")))))</f>
        <v/>
      </c>
      <c r="AI52" s="17">
        <f>IF(A52="","",IF(E52="","",IFERROR(INDEX($B$4:$B$204,MATCH(E52,$A$4:$A$204,0)),"")))</f>
        <v/>
      </c>
      <c r="AJ52" s="17">
        <f>IF(A52="","",IF(OR(AND(UPPER(TRIM(B52))="SWALE",UPPER(TRIM(AI52))="PIPE"),AND(UPPER(TRIM(B52))="TRENCH",UPPER(TRIM(AI52))="PIPE")),Inputs!$B$55,0))</f>
        <v/>
      </c>
      <c r="AK52" s="17">
        <f>IF(A52="","",IF(OR(AND(UPPER(TRIM(B52))="SWALE",UPPER(TRIM(AI52))="PIPE"),AND(UPPER(TRIM(B52))="TRENCH",UPPER(TRIM(AI52))="PIPE")),Inputs!$B$56,Inputs!$B$54))</f>
        <v/>
      </c>
      <c r="AL52" s="4">
        <f>IF(A52="","",IF(E52="","TERMINAL",IF(OR(AND(UPPER(TRIM(B52))="SWALE",UPPER(TRIM(AI52))="PIPE"),AND(UPPER(TRIM(B52))="TRENCH",UPPER(TRIM(AI52))="PIPE")),IF(OR(AG52="",AJ52="",AK52=""),"INFO",IF(AND(AG52&gt;=AJ52,AG52&lt;=AK52),"OK","CHECK")),"N/A")))</f>
        <v/>
      </c>
    </row>
    <row r="53">
      <c r="A53" s="4" t="n"/>
      <c r="B53" s="4" t="n"/>
      <c r="C53" s="4" t="n"/>
      <c r="D53" s="4" t="n"/>
      <c r="E53" s="4" t="n"/>
      <c r="F53" s="7" t="n"/>
      <c r="G53" s="7" t="n"/>
      <c r="H53" s="7" t="n"/>
      <c r="I53" s="8">
        <f>IF(A53="","",IF(H53&lt;&gt;"",H53,IF(UPPER(TRIM(B53))="PIPE",Inputs!$B$7,IF(UPPER(TRIM(B53))="SWALE",Inputs!$B$8,Inputs!$B$9))))</f>
        <v/>
      </c>
      <c r="J53" s="7" t="n"/>
      <c r="K53" s="7" t="n"/>
      <c r="L53" s="7" t="n"/>
      <c r="M53" s="7" t="n"/>
      <c r="N53" s="7" t="n">
        <v>0</v>
      </c>
      <c r="O53" s="8">
        <f>IF(A53="","",SUMIFS(Zones_tributaires!$I:$I,Zones_tributaires!$J:$J,$A53))</f>
        <v/>
      </c>
      <c r="P53" s="8">
        <f>IF(A53="","",SUMIFS($Q$4:$Q$204,$E$4:$E$204,$A53))</f>
        <v/>
      </c>
      <c r="Q53" s="8">
        <f>IF(A53="","",(O53+P53)*Inputs!$B$6)</f>
        <v/>
      </c>
      <c r="R53" s="8">
        <f>IF(A53="","",IF(UPPER(TRIM(B53))="PIPE",PI()*(J53/1000)^2/4,IF(OR(K53="",L53=""),"",L53*(K53+M53*L53))))</f>
        <v/>
      </c>
      <c r="S53" s="8">
        <f>IF(A53="","",IF(UPPER(TRIM(B53))="PIPE",(J53/1000)/4,IF(OR(R53="",K53="",L53=""),"",R53/(K53+2*L53*SQRT(1+M53^2)))))</f>
        <v/>
      </c>
      <c r="T53" s="8">
        <f>IF(A53="","",IF(OR(I53="",R53="",S53="",G53=""),"",(1/I53)*R53*(S53^(2/3))*SQRT(G53)))</f>
        <v/>
      </c>
      <c r="U53" s="8">
        <f>IF(OR(T53="",Q53=""),"",Q53/(T53*Inputs!$B$19))</f>
        <v/>
      </c>
      <c r="V53" s="8">
        <f>IF(OR(R53="",Q53=""),"",Q53/R53)</f>
        <v/>
      </c>
      <c r="W53" s="8">
        <f>IF(OR(R53="",T53=""),"",T53/R53)</f>
        <v/>
      </c>
      <c r="X53" s="8">
        <f>IF(A53="","",IF(OR(UPPER(TRIM(Inputs!$B$15))="MANNING",UPPER(TRIM(Inputs!$B$15))="M"),W53,IF(OR(UPPER(TRIM(Inputs!$B$15))="MAX",UPPER(TRIM(Inputs!$B$15))="X"),MAX(V53,W53),V53)))</f>
        <v/>
      </c>
      <c r="Y53" s="8">
        <f>IF(A53="","",IF(UPPER(TRIM(B53))="TRENCH",K53*L53*N53,IF(UPPER(TRIM(B53))="SWALE",K53*L53,0)))</f>
        <v/>
      </c>
      <c r="Z53" s="8">
        <f>IF(OR(Y53="",F53=""),"",Y53*F53)</f>
        <v/>
      </c>
      <c r="AA53" s="4">
        <f>IF(A53="","",IF(OR(U53&gt;1,AND(X53&lt;&gt;"",X53&lt;Inputs!$B$16),AND(X53&lt;&gt;"",X53&gt;Inputs!$B$17),G53&lt;Inputs!$B$18,AH53="CHECK"),"CHECK","OK"))</f>
        <v/>
      </c>
      <c r="AB53" s="4" t="n"/>
      <c r="AC53" s="7" t="n"/>
      <c r="AD53" s="8">
        <f>IF(A53="","",IF(AC53&lt;&gt;"",AC53,IF(E53="",Inputs!$B$38,IFERROR(INDEX($AE$4:$AE$204,MATCH(E53,$A$4:$A$204,0))+IF(OR(AND(UPPER(TRIM(B53))="SWALE",UPPER(TRIM(AI53))="PIPE"),AND(UPPER(TRIM(B53))="TRENCH",UPPER(TRIM(AI53))="PIPE")),Inputs!$B$57,0),""))))</f>
        <v/>
      </c>
      <c r="AE53" s="8">
        <f>IF(OR(AD53="",F53="",G53=""),"",AD53+F53*G53)</f>
        <v/>
      </c>
      <c r="AF53" s="8">
        <f>IF(OR(E53="",A53=""),"",IFERROR(INDEX($AE$4:$AE$204,MATCH(E53,$A$4:$A$204,0)),""))</f>
        <v/>
      </c>
      <c r="AG53" s="8">
        <f>IF(OR(AD53="",AF53=""),"",AD53-AF53)</f>
        <v/>
      </c>
      <c r="AH53" s="4">
        <f>IF(A53="","",IF(E53="","TERMINAL",IF(OR(AND(UPPER(TRIM(B53))="SWALE",UPPER(TRIM(AI53))="PIPE"),AND(UPPER(TRIM(B53))="TRENCH",UPPER(TRIM(AI53))="PIPE")),IF(OR(AG53="",AJ53="",AK53=""),"INFO",IF(AND(AG53&gt;=AJ53,AG53&lt;=AK53),"OK","CHECK")),IF(AG53="","INFO",IF(ABS(AG53)&lt;=Inputs!$B$54,"OK","CHECK")))))</f>
        <v/>
      </c>
      <c r="AI53" s="17">
        <f>IF(A53="","",IF(E53="","",IFERROR(INDEX($B$4:$B$204,MATCH(E53,$A$4:$A$204,0)),"")))</f>
        <v/>
      </c>
      <c r="AJ53" s="17">
        <f>IF(A53="","",IF(OR(AND(UPPER(TRIM(B53))="SWALE",UPPER(TRIM(AI53))="PIPE"),AND(UPPER(TRIM(B53))="TRENCH",UPPER(TRIM(AI53))="PIPE")),Inputs!$B$55,0))</f>
        <v/>
      </c>
      <c r="AK53" s="17">
        <f>IF(A53="","",IF(OR(AND(UPPER(TRIM(B53))="SWALE",UPPER(TRIM(AI53))="PIPE"),AND(UPPER(TRIM(B53))="TRENCH",UPPER(TRIM(AI53))="PIPE")),Inputs!$B$56,Inputs!$B$54))</f>
        <v/>
      </c>
      <c r="AL53" s="4">
        <f>IF(A53="","",IF(E53="","TERMINAL",IF(OR(AND(UPPER(TRIM(B53))="SWALE",UPPER(TRIM(AI53))="PIPE"),AND(UPPER(TRIM(B53))="TRENCH",UPPER(TRIM(AI53))="PIPE")),IF(OR(AG53="",AJ53="",AK53=""),"INFO",IF(AND(AG53&gt;=AJ53,AG53&lt;=AK53),"OK","CHECK")),"N/A")))</f>
        <v/>
      </c>
    </row>
    <row r="54">
      <c r="A54" s="4" t="n"/>
      <c r="B54" s="4" t="n"/>
      <c r="C54" s="4" t="n"/>
      <c r="D54" s="4" t="n"/>
      <c r="E54" s="4" t="n"/>
      <c r="F54" s="7" t="n"/>
      <c r="G54" s="7" t="n"/>
      <c r="H54" s="7" t="n"/>
      <c r="I54" s="8">
        <f>IF(A54="","",IF(H54&lt;&gt;"",H54,IF(UPPER(TRIM(B54))="PIPE",Inputs!$B$7,IF(UPPER(TRIM(B54))="SWALE",Inputs!$B$8,Inputs!$B$9))))</f>
        <v/>
      </c>
      <c r="J54" s="7" t="n"/>
      <c r="K54" s="7" t="n"/>
      <c r="L54" s="7" t="n"/>
      <c r="M54" s="7" t="n"/>
      <c r="N54" s="7" t="n">
        <v>0</v>
      </c>
      <c r="O54" s="8">
        <f>IF(A54="","",SUMIFS(Zones_tributaires!$I:$I,Zones_tributaires!$J:$J,$A54))</f>
        <v/>
      </c>
      <c r="P54" s="8">
        <f>IF(A54="","",SUMIFS($Q$4:$Q$204,$E$4:$E$204,$A54))</f>
        <v/>
      </c>
      <c r="Q54" s="8">
        <f>IF(A54="","",(O54+P54)*Inputs!$B$6)</f>
        <v/>
      </c>
      <c r="R54" s="8">
        <f>IF(A54="","",IF(UPPER(TRIM(B54))="PIPE",PI()*(J54/1000)^2/4,IF(OR(K54="",L54=""),"",L54*(K54+M54*L54))))</f>
        <v/>
      </c>
      <c r="S54" s="8">
        <f>IF(A54="","",IF(UPPER(TRIM(B54))="PIPE",(J54/1000)/4,IF(OR(R54="",K54="",L54=""),"",R54/(K54+2*L54*SQRT(1+M54^2)))))</f>
        <v/>
      </c>
      <c r="T54" s="8">
        <f>IF(A54="","",IF(OR(I54="",R54="",S54="",G54=""),"",(1/I54)*R54*(S54^(2/3))*SQRT(G54)))</f>
        <v/>
      </c>
      <c r="U54" s="8">
        <f>IF(OR(T54="",Q54=""),"",Q54/(T54*Inputs!$B$19))</f>
        <v/>
      </c>
      <c r="V54" s="8">
        <f>IF(OR(R54="",Q54=""),"",Q54/R54)</f>
        <v/>
      </c>
      <c r="W54" s="8">
        <f>IF(OR(R54="",T54=""),"",T54/R54)</f>
        <v/>
      </c>
      <c r="X54" s="8">
        <f>IF(A54="","",IF(OR(UPPER(TRIM(Inputs!$B$15))="MANNING",UPPER(TRIM(Inputs!$B$15))="M"),W54,IF(OR(UPPER(TRIM(Inputs!$B$15))="MAX",UPPER(TRIM(Inputs!$B$15))="X"),MAX(V54,W54),V54)))</f>
        <v/>
      </c>
      <c r="Y54" s="8">
        <f>IF(A54="","",IF(UPPER(TRIM(B54))="TRENCH",K54*L54*N54,IF(UPPER(TRIM(B54))="SWALE",K54*L54,0)))</f>
        <v/>
      </c>
      <c r="Z54" s="8">
        <f>IF(OR(Y54="",F54=""),"",Y54*F54)</f>
        <v/>
      </c>
      <c r="AA54" s="4">
        <f>IF(A54="","",IF(OR(U54&gt;1,AND(X54&lt;&gt;"",X54&lt;Inputs!$B$16),AND(X54&lt;&gt;"",X54&gt;Inputs!$B$17),G54&lt;Inputs!$B$18,AH54="CHECK"),"CHECK","OK"))</f>
        <v/>
      </c>
      <c r="AB54" s="4" t="n"/>
      <c r="AC54" s="7" t="n"/>
      <c r="AD54" s="8">
        <f>IF(A54="","",IF(AC54&lt;&gt;"",AC54,IF(E54="",Inputs!$B$38,IFERROR(INDEX($AE$4:$AE$204,MATCH(E54,$A$4:$A$204,0))+IF(OR(AND(UPPER(TRIM(B54))="SWALE",UPPER(TRIM(AI54))="PIPE"),AND(UPPER(TRIM(B54))="TRENCH",UPPER(TRIM(AI54))="PIPE")),Inputs!$B$57,0),""))))</f>
        <v/>
      </c>
      <c r="AE54" s="8">
        <f>IF(OR(AD54="",F54="",G54=""),"",AD54+F54*G54)</f>
        <v/>
      </c>
      <c r="AF54" s="8">
        <f>IF(OR(E54="",A54=""),"",IFERROR(INDEX($AE$4:$AE$204,MATCH(E54,$A$4:$A$204,0)),""))</f>
        <v/>
      </c>
      <c r="AG54" s="8">
        <f>IF(OR(AD54="",AF54=""),"",AD54-AF54)</f>
        <v/>
      </c>
      <c r="AH54" s="4">
        <f>IF(A54="","",IF(E54="","TERMINAL",IF(OR(AND(UPPER(TRIM(B54))="SWALE",UPPER(TRIM(AI54))="PIPE"),AND(UPPER(TRIM(B54))="TRENCH",UPPER(TRIM(AI54))="PIPE")),IF(OR(AG54="",AJ54="",AK54=""),"INFO",IF(AND(AG54&gt;=AJ54,AG54&lt;=AK54),"OK","CHECK")),IF(AG54="","INFO",IF(ABS(AG54)&lt;=Inputs!$B$54,"OK","CHECK")))))</f>
        <v/>
      </c>
      <c r="AI54" s="17">
        <f>IF(A54="","",IF(E54="","",IFERROR(INDEX($B$4:$B$204,MATCH(E54,$A$4:$A$204,0)),"")))</f>
        <v/>
      </c>
      <c r="AJ54" s="17">
        <f>IF(A54="","",IF(OR(AND(UPPER(TRIM(B54))="SWALE",UPPER(TRIM(AI54))="PIPE"),AND(UPPER(TRIM(B54))="TRENCH",UPPER(TRIM(AI54))="PIPE")),Inputs!$B$55,0))</f>
        <v/>
      </c>
      <c r="AK54" s="17">
        <f>IF(A54="","",IF(OR(AND(UPPER(TRIM(B54))="SWALE",UPPER(TRIM(AI54))="PIPE"),AND(UPPER(TRIM(B54))="TRENCH",UPPER(TRIM(AI54))="PIPE")),Inputs!$B$56,Inputs!$B$54))</f>
        <v/>
      </c>
      <c r="AL54" s="4">
        <f>IF(A54="","",IF(E54="","TERMINAL",IF(OR(AND(UPPER(TRIM(B54))="SWALE",UPPER(TRIM(AI54))="PIPE"),AND(UPPER(TRIM(B54))="TRENCH",UPPER(TRIM(AI54))="PIPE")),IF(OR(AG54="",AJ54="",AK54=""),"INFO",IF(AND(AG54&gt;=AJ54,AG54&lt;=AK54),"OK","CHECK")),"N/A")))</f>
        <v/>
      </c>
    </row>
    <row r="55">
      <c r="A55" s="4" t="n"/>
      <c r="B55" s="4" t="n"/>
      <c r="C55" s="4" t="n"/>
      <c r="D55" s="4" t="n"/>
      <c r="E55" s="4" t="n"/>
      <c r="F55" s="7" t="n"/>
      <c r="G55" s="7" t="n"/>
      <c r="H55" s="7" t="n"/>
      <c r="I55" s="8">
        <f>IF(A55="","",IF(H55&lt;&gt;"",H55,IF(UPPER(TRIM(B55))="PIPE",Inputs!$B$7,IF(UPPER(TRIM(B55))="SWALE",Inputs!$B$8,Inputs!$B$9))))</f>
        <v/>
      </c>
      <c r="J55" s="7" t="n"/>
      <c r="K55" s="7" t="n"/>
      <c r="L55" s="7" t="n"/>
      <c r="M55" s="7" t="n"/>
      <c r="N55" s="7" t="n">
        <v>0</v>
      </c>
      <c r="O55" s="8">
        <f>IF(A55="","",SUMIFS(Zones_tributaires!$I:$I,Zones_tributaires!$J:$J,$A55))</f>
        <v/>
      </c>
      <c r="P55" s="8">
        <f>IF(A55="","",SUMIFS($Q$4:$Q$204,$E$4:$E$204,$A55))</f>
        <v/>
      </c>
      <c r="Q55" s="8">
        <f>IF(A55="","",(O55+P55)*Inputs!$B$6)</f>
        <v/>
      </c>
      <c r="R55" s="8">
        <f>IF(A55="","",IF(UPPER(TRIM(B55))="PIPE",PI()*(J55/1000)^2/4,IF(OR(K55="",L55=""),"",L55*(K55+M55*L55))))</f>
        <v/>
      </c>
      <c r="S55" s="8">
        <f>IF(A55="","",IF(UPPER(TRIM(B55))="PIPE",(J55/1000)/4,IF(OR(R55="",K55="",L55=""),"",R55/(K55+2*L55*SQRT(1+M55^2)))))</f>
        <v/>
      </c>
      <c r="T55" s="8">
        <f>IF(A55="","",IF(OR(I55="",R55="",S55="",G55=""),"",(1/I55)*R55*(S55^(2/3))*SQRT(G55)))</f>
        <v/>
      </c>
      <c r="U55" s="8">
        <f>IF(OR(T55="",Q55=""),"",Q55/(T55*Inputs!$B$19))</f>
        <v/>
      </c>
      <c r="V55" s="8">
        <f>IF(OR(R55="",Q55=""),"",Q55/R55)</f>
        <v/>
      </c>
      <c r="W55" s="8">
        <f>IF(OR(R55="",T55=""),"",T55/R55)</f>
        <v/>
      </c>
      <c r="X55" s="8">
        <f>IF(A55="","",IF(OR(UPPER(TRIM(Inputs!$B$15))="MANNING",UPPER(TRIM(Inputs!$B$15))="M"),W55,IF(OR(UPPER(TRIM(Inputs!$B$15))="MAX",UPPER(TRIM(Inputs!$B$15))="X"),MAX(V55,W55),V55)))</f>
        <v/>
      </c>
      <c r="Y55" s="8">
        <f>IF(A55="","",IF(UPPER(TRIM(B55))="TRENCH",K55*L55*N55,IF(UPPER(TRIM(B55))="SWALE",K55*L55,0)))</f>
        <v/>
      </c>
      <c r="Z55" s="8">
        <f>IF(OR(Y55="",F55=""),"",Y55*F55)</f>
        <v/>
      </c>
      <c r="AA55" s="4">
        <f>IF(A55="","",IF(OR(U55&gt;1,AND(X55&lt;&gt;"",X55&lt;Inputs!$B$16),AND(X55&lt;&gt;"",X55&gt;Inputs!$B$17),G55&lt;Inputs!$B$18,AH55="CHECK"),"CHECK","OK"))</f>
        <v/>
      </c>
      <c r="AB55" s="4" t="n"/>
      <c r="AC55" s="7" t="n"/>
      <c r="AD55" s="8">
        <f>IF(A55="","",IF(AC55&lt;&gt;"",AC55,IF(E55="",Inputs!$B$38,IFERROR(INDEX($AE$4:$AE$204,MATCH(E55,$A$4:$A$204,0))+IF(OR(AND(UPPER(TRIM(B55))="SWALE",UPPER(TRIM(AI55))="PIPE"),AND(UPPER(TRIM(B55))="TRENCH",UPPER(TRIM(AI55))="PIPE")),Inputs!$B$57,0),""))))</f>
        <v/>
      </c>
      <c r="AE55" s="8">
        <f>IF(OR(AD55="",F55="",G55=""),"",AD55+F55*G55)</f>
        <v/>
      </c>
      <c r="AF55" s="8">
        <f>IF(OR(E55="",A55=""),"",IFERROR(INDEX($AE$4:$AE$204,MATCH(E55,$A$4:$A$204,0)),""))</f>
        <v/>
      </c>
      <c r="AG55" s="8">
        <f>IF(OR(AD55="",AF55=""),"",AD55-AF55)</f>
        <v/>
      </c>
      <c r="AH55" s="4">
        <f>IF(A55="","",IF(E55="","TERMINAL",IF(OR(AND(UPPER(TRIM(B55))="SWALE",UPPER(TRIM(AI55))="PIPE"),AND(UPPER(TRIM(B55))="TRENCH",UPPER(TRIM(AI55))="PIPE")),IF(OR(AG55="",AJ55="",AK55=""),"INFO",IF(AND(AG55&gt;=AJ55,AG55&lt;=AK55),"OK","CHECK")),IF(AG55="","INFO",IF(ABS(AG55)&lt;=Inputs!$B$54,"OK","CHECK")))))</f>
        <v/>
      </c>
      <c r="AI55" s="17">
        <f>IF(A55="","",IF(E55="","",IFERROR(INDEX($B$4:$B$204,MATCH(E55,$A$4:$A$204,0)),"")))</f>
        <v/>
      </c>
      <c r="AJ55" s="17">
        <f>IF(A55="","",IF(OR(AND(UPPER(TRIM(B55))="SWALE",UPPER(TRIM(AI55))="PIPE"),AND(UPPER(TRIM(B55))="TRENCH",UPPER(TRIM(AI55))="PIPE")),Inputs!$B$55,0))</f>
        <v/>
      </c>
      <c r="AK55" s="17">
        <f>IF(A55="","",IF(OR(AND(UPPER(TRIM(B55))="SWALE",UPPER(TRIM(AI55))="PIPE"),AND(UPPER(TRIM(B55))="TRENCH",UPPER(TRIM(AI55))="PIPE")),Inputs!$B$56,Inputs!$B$54))</f>
        <v/>
      </c>
      <c r="AL55" s="4">
        <f>IF(A55="","",IF(E55="","TERMINAL",IF(OR(AND(UPPER(TRIM(B55))="SWALE",UPPER(TRIM(AI55))="PIPE"),AND(UPPER(TRIM(B55))="TRENCH",UPPER(TRIM(AI55))="PIPE")),IF(OR(AG55="",AJ55="",AK55=""),"INFO",IF(AND(AG55&gt;=AJ55,AG55&lt;=AK55),"OK","CHECK")),"N/A")))</f>
        <v/>
      </c>
    </row>
    <row r="56">
      <c r="A56" s="4" t="n"/>
      <c r="B56" s="4" t="n"/>
      <c r="C56" s="4" t="n"/>
      <c r="D56" s="4" t="n"/>
      <c r="E56" s="4" t="n"/>
      <c r="F56" s="7" t="n"/>
      <c r="G56" s="7" t="n"/>
      <c r="H56" s="7" t="n"/>
      <c r="I56" s="8">
        <f>IF(A56="","",IF(H56&lt;&gt;"",H56,IF(UPPER(TRIM(B56))="PIPE",Inputs!$B$7,IF(UPPER(TRIM(B56))="SWALE",Inputs!$B$8,Inputs!$B$9))))</f>
        <v/>
      </c>
      <c r="J56" s="7" t="n"/>
      <c r="K56" s="7" t="n"/>
      <c r="L56" s="7" t="n"/>
      <c r="M56" s="7" t="n"/>
      <c r="N56" s="7" t="n">
        <v>0</v>
      </c>
      <c r="O56" s="8">
        <f>IF(A56="","",SUMIFS(Zones_tributaires!$I:$I,Zones_tributaires!$J:$J,$A56))</f>
        <v/>
      </c>
      <c r="P56" s="8">
        <f>IF(A56="","",SUMIFS($Q$4:$Q$204,$E$4:$E$204,$A56))</f>
        <v/>
      </c>
      <c r="Q56" s="8">
        <f>IF(A56="","",(O56+P56)*Inputs!$B$6)</f>
        <v/>
      </c>
      <c r="R56" s="8">
        <f>IF(A56="","",IF(UPPER(TRIM(B56))="PIPE",PI()*(J56/1000)^2/4,IF(OR(K56="",L56=""),"",L56*(K56+M56*L56))))</f>
        <v/>
      </c>
      <c r="S56" s="8">
        <f>IF(A56="","",IF(UPPER(TRIM(B56))="PIPE",(J56/1000)/4,IF(OR(R56="",K56="",L56=""),"",R56/(K56+2*L56*SQRT(1+M56^2)))))</f>
        <v/>
      </c>
      <c r="T56" s="8">
        <f>IF(A56="","",IF(OR(I56="",R56="",S56="",G56=""),"",(1/I56)*R56*(S56^(2/3))*SQRT(G56)))</f>
        <v/>
      </c>
      <c r="U56" s="8">
        <f>IF(OR(T56="",Q56=""),"",Q56/(T56*Inputs!$B$19))</f>
        <v/>
      </c>
      <c r="V56" s="8">
        <f>IF(OR(R56="",Q56=""),"",Q56/R56)</f>
        <v/>
      </c>
      <c r="W56" s="8">
        <f>IF(OR(R56="",T56=""),"",T56/R56)</f>
        <v/>
      </c>
      <c r="X56" s="8">
        <f>IF(A56="","",IF(OR(UPPER(TRIM(Inputs!$B$15))="MANNING",UPPER(TRIM(Inputs!$B$15))="M"),W56,IF(OR(UPPER(TRIM(Inputs!$B$15))="MAX",UPPER(TRIM(Inputs!$B$15))="X"),MAX(V56,W56),V56)))</f>
        <v/>
      </c>
      <c r="Y56" s="8">
        <f>IF(A56="","",IF(UPPER(TRIM(B56))="TRENCH",K56*L56*N56,IF(UPPER(TRIM(B56))="SWALE",K56*L56,0)))</f>
        <v/>
      </c>
      <c r="Z56" s="8">
        <f>IF(OR(Y56="",F56=""),"",Y56*F56)</f>
        <v/>
      </c>
      <c r="AA56" s="4">
        <f>IF(A56="","",IF(OR(U56&gt;1,AND(X56&lt;&gt;"",X56&lt;Inputs!$B$16),AND(X56&lt;&gt;"",X56&gt;Inputs!$B$17),G56&lt;Inputs!$B$18,AH56="CHECK"),"CHECK","OK"))</f>
        <v/>
      </c>
      <c r="AB56" s="4" t="n"/>
      <c r="AC56" s="7" t="n"/>
      <c r="AD56" s="8">
        <f>IF(A56="","",IF(AC56&lt;&gt;"",AC56,IF(E56="",Inputs!$B$38,IFERROR(INDEX($AE$4:$AE$204,MATCH(E56,$A$4:$A$204,0))+IF(OR(AND(UPPER(TRIM(B56))="SWALE",UPPER(TRIM(AI56))="PIPE"),AND(UPPER(TRIM(B56))="TRENCH",UPPER(TRIM(AI56))="PIPE")),Inputs!$B$57,0),""))))</f>
        <v/>
      </c>
      <c r="AE56" s="8">
        <f>IF(OR(AD56="",F56="",G56=""),"",AD56+F56*G56)</f>
        <v/>
      </c>
      <c r="AF56" s="8">
        <f>IF(OR(E56="",A56=""),"",IFERROR(INDEX($AE$4:$AE$204,MATCH(E56,$A$4:$A$204,0)),""))</f>
        <v/>
      </c>
      <c r="AG56" s="8">
        <f>IF(OR(AD56="",AF56=""),"",AD56-AF56)</f>
        <v/>
      </c>
      <c r="AH56" s="4">
        <f>IF(A56="","",IF(E56="","TERMINAL",IF(OR(AND(UPPER(TRIM(B56))="SWALE",UPPER(TRIM(AI56))="PIPE"),AND(UPPER(TRIM(B56))="TRENCH",UPPER(TRIM(AI56))="PIPE")),IF(OR(AG56="",AJ56="",AK56=""),"INFO",IF(AND(AG56&gt;=AJ56,AG56&lt;=AK56),"OK","CHECK")),IF(AG56="","INFO",IF(ABS(AG56)&lt;=Inputs!$B$54,"OK","CHECK")))))</f>
        <v/>
      </c>
      <c r="AI56" s="17">
        <f>IF(A56="","",IF(E56="","",IFERROR(INDEX($B$4:$B$204,MATCH(E56,$A$4:$A$204,0)),"")))</f>
        <v/>
      </c>
      <c r="AJ56" s="17">
        <f>IF(A56="","",IF(OR(AND(UPPER(TRIM(B56))="SWALE",UPPER(TRIM(AI56))="PIPE"),AND(UPPER(TRIM(B56))="TRENCH",UPPER(TRIM(AI56))="PIPE")),Inputs!$B$55,0))</f>
        <v/>
      </c>
      <c r="AK56" s="17">
        <f>IF(A56="","",IF(OR(AND(UPPER(TRIM(B56))="SWALE",UPPER(TRIM(AI56))="PIPE"),AND(UPPER(TRIM(B56))="TRENCH",UPPER(TRIM(AI56))="PIPE")),Inputs!$B$56,Inputs!$B$54))</f>
        <v/>
      </c>
      <c r="AL56" s="4">
        <f>IF(A56="","",IF(E56="","TERMINAL",IF(OR(AND(UPPER(TRIM(B56))="SWALE",UPPER(TRIM(AI56))="PIPE"),AND(UPPER(TRIM(B56))="TRENCH",UPPER(TRIM(AI56))="PIPE")),IF(OR(AG56="",AJ56="",AK56=""),"INFO",IF(AND(AG56&gt;=AJ56,AG56&lt;=AK56),"OK","CHECK")),"N/A")))</f>
        <v/>
      </c>
    </row>
    <row r="57">
      <c r="A57" s="4" t="n"/>
      <c r="B57" s="4" t="n"/>
      <c r="C57" s="4" t="n"/>
      <c r="D57" s="4" t="n"/>
      <c r="E57" s="4" t="n"/>
      <c r="F57" s="7" t="n"/>
      <c r="G57" s="7" t="n"/>
      <c r="H57" s="7" t="n"/>
      <c r="I57" s="8">
        <f>IF(A57="","",IF(H57&lt;&gt;"",H57,IF(UPPER(TRIM(B57))="PIPE",Inputs!$B$7,IF(UPPER(TRIM(B57))="SWALE",Inputs!$B$8,Inputs!$B$9))))</f>
        <v/>
      </c>
      <c r="J57" s="7" t="n"/>
      <c r="K57" s="7" t="n"/>
      <c r="L57" s="7" t="n"/>
      <c r="M57" s="7" t="n"/>
      <c r="N57" s="7" t="n">
        <v>0</v>
      </c>
      <c r="O57" s="8">
        <f>IF(A57="","",SUMIFS(Zones_tributaires!$I:$I,Zones_tributaires!$J:$J,$A57))</f>
        <v/>
      </c>
      <c r="P57" s="8">
        <f>IF(A57="","",SUMIFS($Q$4:$Q$204,$E$4:$E$204,$A57))</f>
        <v/>
      </c>
      <c r="Q57" s="8">
        <f>IF(A57="","",(O57+P57)*Inputs!$B$6)</f>
        <v/>
      </c>
      <c r="R57" s="8">
        <f>IF(A57="","",IF(UPPER(TRIM(B57))="PIPE",PI()*(J57/1000)^2/4,IF(OR(K57="",L57=""),"",L57*(K57+M57*L57))))</f>
        <v/>
      </c>
      <c r="S57" s="8">
        <f>IF(A57="","",IF(UPPER(TRIM(B57))="PIPE",(J57/1000)/4,IF(OR(R57="",K57="",L57=""),"",R57/(K57+2*L57*SQRT(1+M57^2)))))</f>
        <v/>
      </c>
      <c r="T57" s="8">
        <f>IF(A57="","",IF(OR(I57="",R57="",S57="",G57=""),"",(1/I57)*R57*(S57^(2/3))*SQRT(G57)))</f>
        <v/>
      </c>
      <c r="U57" s="8">
        <f>IF(OR(T57="",Q57=""),"",Q57/(T57*Inputs!$B$19))</f>
        <v/>
      </c>
      <c r="V57" s="8">
        <f>IF(OR(R57="",Q57=""),"",Q57/R57)</f>
        <v/>
      </c>
      <c r="W57" s="8">
        <f>IF(OR(R57="",T57=""),"",T57/R57)</f>
        <v/>
      </c>
      <c r="X57" s="8">
        <f>IF(A57="","",IF(OR(UPPER(TRIM(Inputs!$B$15))="MANNING",UPPER(TRIM(Inputs!$B$15))="M"),W57,IF(OR(UPPER(TRIM(Inputs!$B$15))="MAX",UPPER(TRIM(Inputs!$B$15))="X"),MAX(V57,W57),V57)))</f>
        <v/>
      </c>
      <c r="Y57" s="8">
        <f>IF(A57="","",IF(UPPER(TRIM(B57))="TRENCH",K57*L57*N57,IF(UPPER(TRIM(B57))="SWALE",K57*L57,0)))</f>
        <v/>
      </c>
      <c r="Z57" s="8">
        <f>IF(OR(Y57="",F57=""),"",Y57*F57)</f>
        <v/>
      </c>
      <c r="AA57" s="4">
        <f>IF(A57="","",IF(OR(U57&gt;1,AND(X57&lt;&gt;"",X57&lt;Inputs!$B$16),AND(X57&lt;&gt;"",X57&gt;Inputs!$B$17),G57&lt;Inputs!$B$18,AH57="CHECK"),"CHECK","OK"))</f>
        <v/>
      </c>
      <c r="AB57" s="4" t="n"/>
      <c r="AC57" s="7" t="n"/>
      <c r="AD57" s="8">
        <f>IF(A57="","",IF(AC57&lt;&gt;"",AC57,IF(E57="",Inputs!$B$38,IFERROR(INDEX($AE$4:$AE$204,MATCH(E57,$A$4:$A$204,0))+IF(OR(AND(UPPER(TRIM(B57))="SWALE",UPPER(TRIM(AI57))="PIPE"),AND(UPPER(TRIM(B57))="TRENCH",UPPER(TRIM(AI57))="PIPE")),Inputs!$B$57,0),""))))</f>
        <v/>
      </c>
      <c r="AE57" s="8">
        <f>IF(OR(AD57="",F57="",G57=""),"",AD57+F57*G57)</f>
        <v/>
      </c>
      <c r="AF57" s="8">
        <f>IF(OR(E57="",A57=""),"",IFERROR(INDEX($AE$4:$AE$204,MATCH(E57,$A$4:$A$204,0)),""))</f>
        <v/>
      </c>
      <c r="AG57" s="8">
        <f>IF(OR(AD57="",AF57=""),"",AD57-AF57)</f>
        <v/>
      </c>
      <c r="AH57" s="4">
        <f>IF(A57="","",IF(E57="","TERMINAL",IF(OR(AND(UPPER(TRIM(B57))="SWALE",UPPER(TRIM(AI57))="PIPE"),AND(UPPER(TRIM(B57))="TRENCH",UPPER(TRIM(AI57))="PIPE")),IF(OR(AG57="",AJ57="",AK57=""),"INFO",IF(AND(AG57&gt;=AJ57,AG57&lt;=AK57),"OK","CHECK")),IF(AG57="","INFO",IF(ABS(AG57)&lt;=Inputs!$B$54,"OK","CHECK")))))</f>
        <v/>
      </c>
      <c r="AI57" s="17">
        <f>IF(A57="","",IF(E57="","",IFERROR(INDEX($B$4:$B$204,MATCH(E57,$A$4:$A$204,0)),"")))</f>
        <v/>
      </c>
      <c r="AJ57" s="17">
        <f>IF(A57="","",IF(OR(AND(UPPER(TRIM(B57))="SWALE",UPPER(TRIM(AI57))="PIPE"),AND(UPPER(TRIM(B57))="TRENCH",UPPER(TRIM(AI57))="PIPE")),Inputs!$B$55,0))</f>
        <v/>
      </c>
      <c r="AK57" s="17">
        <f>IF(A57="","",IF(OR(AND(UPPER(TRIM(B57))="SWALE",UPPER(TRIM(AI57))="PIPE"),AND(UPPER(TRIM(B57))="TRENCH",UPPER(TRIM(AI57))="PIPE")),Inputs!$B$56,Inputs!$B$54))</f>
        <v/>
      </c>
      <c r="AL57" s="4">
        <f>IF(A57="","",IF(E57="","TERMINAL",IF(OR(AND(UPPER(TRIM(B57))="SWALE",UPPER(TRIM(AI57))="PIPE"),AND(UPPER(TRIM(B57))="TRENCH",UPPER(TRIM(AI57))="PIPE")),IF(OR(AG57="",AJ57="",AK57=""),"INFO",IF(AND(AG57&gt;=AJ57,AG57&lt;=AK57),"OK","CHECK")),"N/A")))</f>
        <v/>
      </c>
    </row>
    <row r="58">
      <c r="A58" s="4" t="n"/>
      <c r="B58" s="4" t="n"/>
      <c r="C58" s="4" t="n"/>
      <c r="D58" s="4" t="n"/>
      <c r="E58" s="4" t="n"/>
      <c r="F58" s="7" t="n"/>
      <c r="G58" s="7" t="n"/>
      <c r="H58" s="7" t="n"/>
      <c r="I58" s="8">
        <f>IF(A58="","",IF(H58&lt;&gt;"",H58,IF(UPPER(TRIM(B58))="PIPE",Inputs!$B$7,IF(UPPER(TRIM(B58))="SWALE",Inputs!$B$8,Inputs!$B$9))))</f>
        <v/>
      </c>
      <c r="J58" s="7" t="n"/>
      <c r="K58" s="7" t="n"/>
      <c r="L58" s="7" t="n"/>
      <c r="M58" s="7" t="n"/>
      <c r="N58" s="7" t="n">
        <v>0</v>
      </c>
      <c r="O58" s="8">
        <f>IF(A58="","",SUMIFS(Zones_tributaires!$I:$I,Zones_tributaires!$J:$J,$A58))</f>
        <v/>
      </c>
      <c r="P58" s="8">
        <f>IF(A58="","",SUMIFS($Q$4:$Q$204,$E$4:$E$204,$A58))</f>
        <v/>
      </c>
      <c r="Q58" s="8">
        <f>IF(A58="","",(O58+P58)*Inputs!$B$6)</f>
        <v/>
      </c>
      <c r="R58" s="8">
        <f>IF(A58="","",IF(UPPER(TRIM(B58))="PIPE",PI()*(J58/1000)^2/4,IF(OR(K58="",L58=""),"",L58*(K58+M58*L58))))</f>
        <v/>
      </c>
      <c r="S58" s="8">
        <f>IF(A58="","",IF(UPPER(TRIM(B58))="PIPE",(J58/1000)/4,IF(OR(R58="",K58="",L58=""),"",R58/(K58+2*L58*SQRT(1+M58^2)))))</f>
        <v/>
      </c>
      <c r="T58" s="8">
        <f>IF(A58="","",IF(OR(I58="",R58="",S58="",G58=""),"",(1/I58)*R58*(S58^(2/3))*SQRT(G58)))</f>
        <v/>
      </c>
      <c r="U58" s="8">
        <f>IF(OR(T58="",Q58=""),"",Q58/(T58*Inputs!$B$19))</f>
        <v/>
      </c>
      <c r="V58" s="8">
        <f>IF(OR(R58="",Q58=""),"",Q58/R58)</f>
        <v/>
      </c>
      <c r="W58" s="8">
        <f>IF(OR(R58="",T58=""),"",T58/R58)</f>
        <v/>
      </c>
      <c r="X58" s="8">
        <f>IF(A58="","",IF(OR(UPPER(TRIM(Inputs!$B$15))="MANNING",UPPER(TRIM(Inputs!$B$15))="M"),W58,IF(OR(UPPER(TRIM(Inputs!$B$15))="MAX",UPPER(TRIM(Inputs!$B$15))="X"),MAX(V58,W58),V58)))</f>
        <v/>
      </c>
      <c r="Y58" s="8">
        <f>IF(A58="","",IF(UPPER(TRIM(B58))="TRENCH",K58*L58*N58,IF(UPPER(TRIM(B58))="SWALE",K58*L58,0)))</f>
        <v/>
      </c>
      <c r="Z58" s="8">
        <f>IF(OR(Y58="",F58=""),"",Y58*F58)</f>
        <v/>
      </c>
      <c r="AA58" s="4">
        <f>IF(A58="","",IF(OR(U58&gt;1,AND(X58&lt;&gt;"",X58&lt;Inputs!$B$16),AND(X58&lt;&gt;"",X58&gt;Inputs!$B$17),G58&lt;Inputs!$B$18,AH58="CHECK"),"CHECK","OK"))</f>
        <v/>
      </c>
      <c r="AB58" s="4" t="n"/>
      <c r="AC58" s="7" t="n"/>
      <c r="AD58" s="8">
        <f>IF(A58="","",IF(AC58&lt;&gt;"",AC58,IF(E58="",Inputs!$B$38,IFERROR(INDEX($AE$4:$AE$204,MATCH(E58,$A$4:$A$204,0))+IF(OR(AND(UPPER(TRIM(B58))="SWALE",UPPER(TRIM(AI58))="PIPE"),AND(UPPER(TRIM(B58))="TRENCH",UPPER(TRIM(AI58))="PIPE")),Inputs!$B$57,0),""))))</f>
        <v/>
      </c>
      <c r="AE58" s="8">
        <f>IF(OR(AD58="",F58="",G58=""),"",AD58+F58*G58)</f>
        <v/>
      </c>
      <c r="AF58" s="8">
        <f>IF(OR(E58="",A58=""),"",IFERROR(INDEX($AE$4:$AE$204,MATCH(E58,$A$4:$A$204,0)),""))</f>
        <v/>
      </c>
      <c r="AG58" s="8">
        <f>IF(OR(AD58="",AF58=""),"",AD58-AF58)</f>
        <v/>
      </c>
      <c r="AH58" s="4">
        <f>IF(A58="","",IF(E58="","TERMINAL",IF(OR(AND(UPPER(TRIM(B58))="SWALE",UPPER(TRIM(AI58))="PIPE"),AND(UPPER(TRIM(B58))="TRENCH",UPPER(TRIM(AI58))="PIPE")),IF(OR(AG58="",AJ58="",AK58=""),"INFO",IF(AND(AG58&gt;=AJ58,AG58&lt;=AK58),"OK","CHECK")),IF(AG58="","INFO",IF(ABS(AG58)&lt;=Inputs!$B$54,"OK","CHECK")))))</f>
        <v/>
      </c>
      <c r="AI58" s="17">
        <f>IF(A58="","",IF(E58="","",IFERROR(INDEX($B$4:$B$204,MATCH(E58,$A$4:$A$204,0)),"")))</f>
        <v/>
      </c>
      <c r="AJ58" s="17">
        <f>IF(A58="","",IF(OR(AND(UPPER(TRIM(B58))="SWALE",UPPER(TRIM(AI58))="PIPE"),AND(UPPER(TRIM(B58))="TRENCH",UPPER(TRIM(AI58))="PIPE")),Inputs!$B$55,0))</f>
        <v/>
      </c>
      <c r="AK58" s="17">
        <f>IF(A58="","",IF(OR(AND(UPPER(TRIM(B58))="SWALE",UPPER(TRIM(AI58))="PIPE"),AND(UPPER(TRIM(B58))="TRENCH",UPPER(TRIM(AI58))="PIPE")),Inputs!$B$56,Inputs!$B$54))</f>
        <v/>
      </c>
      <c r="AL58" s="4">
        <f>IF(A58="","",IF(E58="","TERMINAL",IF(OR(AND(UPPER(TRIM(B58))="SWALE",UPPER(TRIM(AI58))="PIPE"),AND(UPPER(TRIM(B58))="TRENCH",UPPER(TRIM(AI58))="PIPE")),IF(OR(AG58="",AJ58="",AK58=""),"INFO",IF(AND(AG58&gt;=AJ58,AG58&lt;=AK58),"OK","CHECK")),"N/A")))</f>
        <v/>
      </c>
    </row>
    <row r="59">
      <c r="A59" s="4" t="n"/>
      <c r="B59" s="4" t="n"/>
      <c r="C59" s="4" t="n"/>
      <c r="D59" s="4" t="n"/>
      <c r="E59" s="4" t="n"/>
      <c r="F59" s="7" t="n"/>
      <c r="G59" s="7" t="n"/>
      <c r="H59" s="7" t="n"/>
      <c r="I59" s="8">
        <f>IF(A59="","",IF(H59&lt;&gt;"",H59,IF(UPPER(TRIM(B59))="PIPE",Inputs!$B$7,IF(UPPER(TRIM(B59))="SWALE",Inputs!$B$8,Inputs!$B$9))))</f>
        <v/>
      </c>
      <c r="J59" s="7" t="n"/>
      <c r="K59" s="7" t="n"/>
      <c r="L59" s="7" t="n"/>
      <c r="M59" s="7" t="n"/>
      <c r="N59" s="7" t="n">
        <v>0</v>
      </c>
      <c r="O59" s="8">
        <f>IF(A59="","",SUMIFS(Zones_tributaires!$I:$I,Zones_tributaires!$J:$J,$A59))</f>
        <v/>
      </c>
      <c r="P59" s="8">
        <f>IF(A59="","",SUMIFS($Q$4:$Q$204,$E$4:$E$204,$A59))</f>
        <v/>
      </c>
      <c r="Q59" s="8">
        <f>IF(A59="","",(O59+P59)*Inputs!$B$6)</f>
        <v/>
      </c>
      <c r="R59" s="8">
        <f>IF(A59="","",IF(UPPER(TRIM(B59))="PIPE",PI()*(J59/1000)^2/4,IF(OR(K59="",L59=""),"",L59*(K59+M59*L59))))</f>
        <v/>
      </c>
      <c r="S59" s="8">
        <f>IF(A59="","",IF(UPPER(TRIM(B59))="PIPE",(J59/1000)/4,IF(OR(R59="",K59="",L59=""),"",R59/(K59+2*L59*SQRT(1+M59^2)))))</f>
        <v/>
      </c>
      <c r="T59" s="8">
        <f>IF(A59="","",IF(OR(I59="",R59="",S59="",G59=""),"",(1/I59)*R59*(S59^(2/3))*SQRT(G59)))</f>
        <v/>
      </c>
      <c r="U59" s="8">
        <f>IF(OR(T59="",Q59=""),"",Q59/(T59*Inputs!$B$19))</f>
        <v/>
      </c>
      <c r="V59" s="8">
        <f>IF(OR(R59="",Q59=""),"",Q59/R59)</f>
        <v/>
      </c>
      <c r="W59" s="8">
        <f>IF(OR(R59="",T59=""),"",T59/R59)</f>
        <v/>
      </c>
      <c r="X59" s="8">
        <f>IF(A59="","",IF(OR(UPPER(TRIM(Inputs!$B$15))="MANNING",UPPER(TRIM(Inputs!$B$15))="M"),W59,IF(OR(UPPER(TRIM(Inputs!$B$15))="MAX",UPPER(TRIM(Inputs!$B$15))="X"),MAX(V59,W59),V59)))</f>
        <v/>
      </c>
      <c r="Y59" s="8">
        <f>IF(A59="","",IF(UPPER(TRIM(B59))="TRENCH",K59*L59*N59,IF(UPPER(TRIM(B59))="SWALE",K59*L59,0)))</f>
        <v/>
      </c>
      <c r="Z59" s="8">
        <f>IF(OR(Y59="",F59=""),"",Y59*F59)</f>
        <v/>
      </c>
      <c r="AA59" s="4">
        <f>IF(A59="","",IF(OR(U59&gt;1,AND(X59&lt;&gt;"",X59&lt;Inputs!$B$16),AND(X59&lt;&gt;"",X59&gt;Inputs!$B$17),G59&lt;Inputs!$B$18,AH59="CHECK"),"CHECK","OK"))</f>
        <v/>
      </c>
      <c r="AB59" s="4" t="n"/>
      <c r="AC59" s="7" t="n"/>
      <c r="AD59" s="8">
        <f>IF(A59="","",IF(AC59&lt;&gt;"",AC59,IF(E59="",Inputs!$B$38,IFERROR(INDEX($AE$4:$AE$204,MATCH(E59,$A$4:$A$204,0))+IF(OR(AND(UPPER(TRIM(B59))="SWALE",UPPER(TRIM(AI59))="PIPE"),AND(UPPER(TRIM(B59))="TRENCH",UPPER(TRIM(AI59))="PIPE")),Inputs!$B$57,0),""))))</f>
        <v/>
      </c>
      <c r="AE59" s="8">
        <f>IF(OR(AD59="",F59="",G59=""),"",AD59+F59*G59)</f>
        <v/>
      </c>
      <c r="AF59" s="8">
        <f>IF(OR(E59="",A59=""),"",IFERROR(INDEX($AE$4:$AE$204,MATCH(E59,$A$4:$A$204,0)),""))</f>
        <v/>
      </c>
      <c r="AG59" s="8">
        <f>IF(OR(AD59="",AF59=""),"",AD59-AF59)</f>
        <v/>
      </c>
      <c r="AH59" s="4">
        <f>IF(A59="","",IF(E59="","TERMINAL",IF(OR(AND(UPPER(TRIM(B59))="SWALE",UPPER(TRIM(AI59))="PIPE"),AND(UPPER(TRIM(B59))="TRENCH",UPPER(TRIM(AI59))="PIPE")),IF(OR(AG59="",AJ59="",AK59=""),"INFO",IF(AND(AG59&gt;=AJ59,AG59&lt;=AK59),"OK","CHECK")),IF(AG59="","INFO",IF(ABS(AG59)&lt;=Inputs!$B$54,"OK","CHECK")))))</f>
        <v/>
      </c>
      <c r="AI59" s="17">
        <f>IF(A59="","",IF(E59="","",IFERROR(INDEX($B$4:$B$204,MATCH(E59,$A$4:$A$204,0)),"")))</f>
        <v/>
      </c>
      <c r="AJ59" s="17">
        <f>IF(A59="","",IF(OR(AND(UPPER(TRIM(B59))="SWALE",UPPER(TRIM(AI59))="PIPE"),AND(UPPER(TRIM(B59))="TRENCH",UPPER(TRIM(AI59))="PIPE")),Inputs!$B$55,0))</f>
        <v/>
      </c>
      <c r="AK59" s="17">
        <f>IF(A59="","",IF(OR(AND(UPPER(TRIM(B59))="SWALE",UPPER(TRIM(AI59))="PIPE"),AND(UPPER(TRIM(B59))="TRENCH",UPPER(TRIM(AI59))="PIPE")),Inputs!$B$56,Inputs!$B$54))</f>
        <v/>
      </c>
      <c r="AL59" s="4">
        <f>IF(A59="","",IF(E59="","TERMINAL",IF(OR(AND(UPPER(TRIM(B59))="SWALE",UPPER(TRIM(AI59))="PIPE"),AND(UPPER(TRIM(B59))="TRENCH",UPPER(TRIM(AI59))="PIPE")),IF(OR(AG59="",AJ59="",AK59=""),"INFO",IF(AND(AG59&gt;=AJ59,AG59&lt;=AK59),"OK","CHECK")),"N/A")))</f>
        <v/>
      </c>
    </row>
    <row r="60">
      <c r="A60" s="4" t="n"/>
      <c r="B60" s="4" t="n"/>
      <c r="C60" s="4" t="n"/>
      <c r="D60" s="4" t="n"/>
      <c r="E60" s="4" t="n"/>
      <c r="F60" s="7" t="n"/>
      <c r="G60" s="7" t="n"/>
      <c r="H60" s="7" t="n"/>
      <c r="I60" s="8">
        <f>IF(A60="","",IF(H60&lt;&gt;"",H60,IF(UPPER(TRIM(B60))="PIPE",Inputs!$B$7,IF(UPPER(TRIM(B60))="SWALE",Inputs!$B$8,Inputs!$B$9))))</f>
        <v/>
      </c>
      <c r="J60" s="7" t="n"/>
      <c r="K60" s="7" t="n"/>
      <c r="L60" s="7" t="n"/>
      <c r="M60" s="7" t="n"/>
      <c r="N60" s="7" t="n">
        <v>0</v>
      </c>
      <c r="O60" s="8">
        <f>IF(A60="","",SUMIFS(Zones_tributaires!$I:$I,Zones_tributaires!$J:$J,$A60))</f>
        <v/>
      </c>
      <c r="P60" s="8">
        <f>IF(A60="","",SUMIFS($Q$4:$Q$204,$E$4:$E$204,$A60))</f>
        <v/>
      </c>
      <c r="Q60" s="8">
        <f>IF(A60="","",(O60+P60)*Inputs!$B$6)</f>
        <v/>
      </c>
      <c r="R60" s="8">
        <f>IF(A60="","",IF(UPPER(TRIM(B60))="PIPE",PI()*(J60/1000)^2/4,IF(OR(K60="",L60=""),"",L60*(K60+M60*L60))))</f>
        <v/>
      </c>
      <c r="S60" s="8">
        <f>IF(A60="","",IF(UPPER(TRIM(B60))="PIPE",(J60/1000)/4,IF(OR(R60="",K60="",L60=""),"",R60/(K60+2*L60*SQRT(1+M60^2)))))</f>
        <v/>
      </c>
      <c r="T60" s="8">
        <f>IF(A60="","",IF(OR(I60="",R60="",S60="",G60=""),"",(1/I60)*R60*(S60^(2/3))*SQRT(G60)))</f>
        <v/>
      </c>
      <c r="U60" s="8">
        <f>IF(OR(T60="",Q60=""),"",Q60/(T60*Inputs!$B$19))</f>
        <v/>
      </c>
      <c r="V60" s="8">
        <f>IF(OR(R60="",Q60=""),"",Q60/R60)</f>
        <v/>
      </c>
      <c r="W60" s="8">
        <f>IF(OR(R60="",T60=""),"",T60/R60)</f>
        <v/>
      </c>
      <c r="X60" s="8">
        <f>IF(A60="","",IF(OR(UPPER(TRIM(Inputs!$B$15))="MANNING",UPPER(TRIM(Inputs!$B$15))="M"),W60,IF(OR(UPPER(TRIM(Inputs!$B$15))="MAX",UPPER(TRIM(Inputs!$B$15))="X"),MAX(V60,W60),V60)))</f>
        <v/>
      </c>
      <c r="Y60" s="8">
        <f>IF(A60="","",IF(UPPER(TRIM(B60))="TRENCH",K60*L60*N60,IF(UPPER(TRIM(B60))="SWALE",K60*L60,0)))</f>
        <v/>
      </c>
      <c r="Z60" s="8">
        <f>IF(OR(Y60="",F60=""),"",Y60*F60)</f>
        <v/>
      </c>
      <c r="AA60" s="4">
        <f>IF(A60="","",IF(OR(U60&gt;1,AND(X60&lt;&gt;"",X60&lt;Inputs!$B$16),AND(X60&lt;&gt;"",X60&gt;Inputs!$B$17),G60&lt;Inputs!$B$18,AH60="CHECK"),"CHECK","OK"))</f>
        <v/>
      </c>
      <c r="AB60" s="4" t="n"/>
      <c r="AC60" s="7" t="n"/>
      <c r="AD60" s="8">
        <f>IF(A60="","",IF(AC60&lt;&gt;"",AC60,IF(E60="",Inputs!$B$38,IFERROR(INDEX($AE$4:$AE$204,MATCH(E60,$A$4:$A$204,0))+IF(OR(AND(UPPER(TRIM(B60))="SWALE",UPPER(TRIM(AI60))="PIPE"),AND(UPPER(TRIM(B60))="TRENCH",UPPER(TRIM(AI60))="PIPE")),Inputs!$B$57,0),""))))</f>
        <v/>
      </c>
      <c r="AE60" s="8">
        <f>IF(OR(AD60="",F60="",G60=""),"",AD60+F60*G60)</f>
        <v/>
      </c>
      <c r="AF60" s="8">
        <f>IF(OR(E60="",A60=""),"",IFERROR(INDEX($AE$4:$AE$204,MATCH(E60,$A$4:$A$204,0)),""))</f>
        <v/>
      </c>
      <c r="AG60" s="8">
        <f>IF(OR(AD60="",AF60=""),"",AD60-AF60)</f>
        <v/>
      </c>
      <c r="AH60" s="4">
        <f>IF(A60="","",IF(E60="","TERMINAL",IF(OR(AND(UPPER(TRIM(B60))="SWALE",UPPER(TRIM(AI60))="PIPE"),AND(UPPER(TRIM(B60))="TRENCH",UPPER(TRIM(AI60))="PIPE")),IF(OR(AG60="",AJ60="",AK60=""),"INFO",IF(AND(AG60&gt;=AJ60,AG60&lt;=AK60),"OK","CHECK")),IF(AG60="","INFO",IF(ABS(AG60)&lt;=Inputs!$B$54,"OK","CHECK")))))</f>
        <v/>
      </c>
      <c r="AI60" s="17">
        <f>IF(A60="","",IF(E60="","",IFERROR(INDEX($B$4:$B$204,MATCH(E60,$A$4:$A$204,0)),"")))</f>
        <v/>
      </c>
      <c r="AJ60" s="17">
        <f>IF(A60="","",IF(OR(AND(UPPER(TRIM(B60))="SWALE",UPPER(TRIM(AI60))="PIPE"),AND(UPPER(TRIM(B60))="TRENCH",UPPER(TRIM(AI60))="PIPE")),Inputs!$B$55,0))</f>
        <v/>
      </c>
      <c r="AK60" s="17">
        <f>IF(A60="","",IF(OR(AND(UPPER(TRIM(B60))="SWALE",UPPER(TRIM(AI60))="PIPE"),AND(UPPER(TRIM(B60))="TRENCH",UPPER(TRIM(AI60))="PIPE")),Inputs!$B$56,Inputs!$B$54))</f>
        <v/>
      </c>
      <c r="AL60" s="4">
        <f>IF(A60="","",IF(E60="","TERMINAL",IF(OR(AND(UPPER(TRIM(B60))="SWALE",UPPER(TRIM(AI60))="PIPE"),AND(UPPER(TRIM(B60))="TRENCH",UPPER(TRIM(AI60))="PIPE")),IF(OR(AG60="",AJ60="",AK60=""),"INFO",IF(AND(AG60&gt;=AJ60,AG60&lt;=AK60),"OK","CHECK")),"N/A")))</f>
        <v/>
      </c>
    </row>
    <row r="61">
      <c r="A61" s="4" t="n"/>
      <c r="B61" s="4" t="n"/>
      <c r="C61" s="4" t="n"/>
      <c r="D61" s="4" t="n"/>
      <c r="E61" s="4" t="n"/>
      <c r="F61" s="7" t="n"/>
      <c r="G61" s="7" t="n"/>
      <c r="H61" s="7" t="n"/>
      <c r="I61" s="8">
        <f>IF(A61="","",IF(H61&lt;&gt;"",H61,IF(UPPER(TRIM(B61))="PIPE",Inputs!$B$7,IF(UPPER(TRIM(B61))="SWALE",Inputs!$B$8,Inputs!$B$9))))</f>
        <v/>
      </c>
      <c r="J61" s="7" t="n"/>
      <c r="K61" s="7" t="n"/>
      <c r="L61" s="7" t="n"/>
      <c r="M61" s="7" t="n"/>
      <c r="N61" s="7" t="n">
        <v>0</v>
      </c>
      <c r="O61" s="8">
        <f>IF(A61="","",SUMIFS(Zones_tributaires!$I:$I,Zones_tributaires!$J:$J,$A61))</f>
        <v/>
      </c>
      <c r="P61" s="8">
        <f>IF(A61="","",SUMIFS($Q$4:$Q$204,$E$4:$E$204,$A61))</f>
        <v/>
      </c>
      <c r="Q61" s="8">
        <f>IF(A61="","",(O61+P61)*Inputs!$B$6)</f>
        <v/>
      </c>
      <c r="R61" s="8">
        <f>IF(A61="","",IF(UPPER(TRIM(B61))="PIPE",PI()*(J61/1000)^2/4,IF(OR(K61="",L61=""),"",L61*(K61+M61*L61))))</f>
        <v/>
      </c>
      <c r="S61" s="8">
        <f>IF(A61="","",IF(UPPER(TRIM(B61))="PIPE",(J61/1000)/4,IF(OR(R61="",K61="",L61=""),"",R61/(K61+2*L61*SQRT(1+M61^2)))))</f>
        <v/>
      </c>
      <c r="T61" s="8">
        <f>IF(A61="","",IF(OR(I61="",R61="",S61="",G61=""),"",(1/I61)*R61*(S61^(2/3))*SQRT(G61)))</f>
        <v/>
      </c>
      <c r="U61" s="8">
        <f>IF(OR(T61="",Q61=""),"",Q61/(T61*Inputs!$B$19))</f>
        <v/>
      </c>
      <c r="V61" s="8">
        <f>IF(OR(R61="",Q61=""),"",Q61/R61)</f>
        <v/>
      </c>
      <c r="W61" s="8">
        <f>IF(OR(R61="",T61=""),"",T61/R61)</f>
        <v/>
      </c>
      <c r="X61" s="8">
        <f>IF(A61="","",IF(OR(UPPER(TRIM(Inputs!$B$15))="MANNING",UPPER(TRIM(Inputs!$B$15))="M"),W61,IF(OR(UPPER(TRIM(Inputs!$B$15))="MAX",UPPER(TRIM(Inputs!$B$15))="X"),MAX(V61,W61),V61)))</f>
        <v/>
      </c>
      <c r="Y61" s="8">
        <f>IF(A61="","",IF(UPPER(TRIM(B61))="TRENCH",K61*L61*N61,IF(UPPER(TRIM(B61))="SWALE",K61*L61,0)))</f>
        <v/>
      </c>
      <c r="Z61" s="8">
        <f>IF(OR(Y61="",F61=""),"",Y61*F61)</f>
        <v/>
      </c>
      <c r="AA61" s="4">
        <f>IF(A61="","",IF(OR(U61&gt;1,AND(X61&lt;&gt;"",X61&lt;Inputs!$B$16),AND(X61&lt;&gt;"",X61&gt;Inputs!$B$17),G61&lt;Inputs!$B$18,AH61="CHECK"),"CHECK","OK"))</f>
        <v/>
      </c>
      <c r="AB61" s="4" t="n"/>
      <c r="AC61" s="7" t="n"/>
      <c r="AD61" s="8">
        <f>IF(A61="","",IF(AC61&lt;&gt;"",AC61,IF(E61="",Inputs!$B$38,IFERROR(INDEX($AE$4:$AE$204,MATCH(E61,$A$4:$A$204,0))+IF(OR(AND(UPPER(TRIM(B61))="SWALE",UPPER(TRIM(AI61))="PIPE"),AND(UPPER(TRIM(B61))="TRENCH",UPPER(TRIM(AI61))="PIPE")),Inputs!$B$57,0),""))))</f>
        <v/>
      </c>
      <c r="AE61" s="8">
        <f>IF(OR(AD61="",F61="",G61=""),"",AD61+F61*G61)</f>
        <v/>
      </c>
      <c r="AF61" s="8">
        <f>IF(OR(E61="",A61=""),"",IFERROR(INDEX($AE$4:$AE$204,MATCH(E61,$A$4:$A$204,0)),""))</f>
        <v/>
      </c>
      <c r="AG61" s="8">
        <f>IF(OR(AD61="",AF61=""),"",AD61-AF61)</f>
        <v/>
      </c>
      <c r="AH61" s="4">
        <f>IF(A61="","",IF(E61="","TERMINAL",IF(OR(AND(UPPER(TRIM(B61))="SWALE",UPPER(TRIM(AI61))="PIPE"),AND(UPPER(TRIM(B61))="TRENCH",UPPER(TRIM(AI61))="PIPE")),IF(OR(AG61="",AJ61="",AK61=""),"INFO",IF(AND(AG61&gt;=AJ61,AG61&lt;=AK61),"OK","CHECK")),IF(AG61="","INFO",IF(ABS(AG61)&lt;=Inputs!$B$54,"OK","CHECK")))))</f>
        <v/>
      </c>
      <c r="AI61" s="17">
        <f>IF(A61="","",IF(E61="","",IFERROR(INDEX($B$4:$B$204,MATCH(E61,$A$4:$A$204,0)),"")))</f>
        <v/>
      </c>
      <c r="AJ61" s="17">
        <f>IF(A61="","",IF(OR(AND(UPPER(TRIM(B61))="SWALE",UPPER(TRIM(AI61))="PIPE"),AND(UPPER(TRIM(B61))="TRENCH",UPPER(TRIM(AI61))="PIPE")),Inputs!$B$55,0))</f>
        <v/>
      </c>
      <c r="AK61" s="17">
        <f>IF(A61="","",IF(OR(AND(UPPER(TRIM(B61))="SWALE",UPPER(TRIM(AI61))="PIPE"),AND(UPPER(TRIM(B61))="TRENCH",UPPER(TRIM(AI61))="PIPE")),Inputs!$B$56,Inputs!$B$54))</f>
        <v/>
      </c>
      <c r="AL61" s="4">
        <f>IF(A61="","",IF(E61="","TERMINAL",IF(OR(AND(UPPER(TRIM(B61))="SWALE",UPPER(TRIM(AI61))="PIPE"),AND(UPPER(TRIM(B61))="TRENCH",UPPER(TRIM(AI61))="PIPE")),IF(OR(AG61="",AJ61="",AK61=""),"INFO",IF(AND(AG61&gt;=AJ61,AG61&lt;=AK61),"OK","CHECK")),"N/A")))</f>
        <v/>
      </c>
    </row>
    <row r="62">
      <c r="A62" s="4" t="n"/>
      <c r="B62" s="4" t="n"/>
      <c r="C62" s="4" t="n"/>
      <c r="D62" s="4" t="n"/>
      <c r="E62" s="4" t="n"/>
      <c r="F62" s="7" t="n"/>
      <c r="G62" s="7" t="n"/>
      <c r="H62" s="7" t="n"/>
      <c r="I62" s="8">
        <f>IF(A62="","",IF(H62&lt;&gt;"",H62,IF(UPPER(TRIM(B62))="PIPE",Inputs!$B$7,IF(UPPER(TRIM(B62))="SWALE",Inputs!$B$8,Inputs!$B$9))))</f>
        <v/>
      </c>
      <c r="J62" s="7" t="n"/>
      <c r="K62" s="7" t="n"/>
      <c r="L62" s="7" t="n"/>
      <c r="M62" s="7" t="n"/>
      <c r="N62" s="7" t="n">
        <v>0</v>
      </c>
      <c r="O62" s="8">
        <f>IF(A62="","",SUMIFS(Zones_tributaires!$I:$I,Zones_tributaires!$J:$J,$A62))</f>
        <v/>
      </c>
      <c r="P62" s="8">
        <f>IF(A62="","",SUMIFS($Q$4:$Q$204,$E$4:$E$204,$A62))</f>
        <v/>
      </c>
      <c r="Q62" s="8">
        <f>IF(A62="","",(O62+P62)*Inputs!$B$6)</f>
        <v/>
      </c>
      <c r="R62" s="8">
        <f>IF(A62="","",IF(UPPER(TRIM(B62))="PIPE",PI()*(J62/1000)^2/4,IF(OR(K62="",L62=""),"",L62*(K62+M62*L62))))</f>
        <v/>
      </c>
      <c r="S62" s="8">
        <f>IF(A62="","",IF(UPPER(TRIM(B62))="PIPE",(J62/1000)/4,IF(OR(R62="",K62="",L62=""),"",R62/(K62+2*L62*SQRT(1+M62^2)))))</f>
        <v/>
      </c>
      <c r="T62" s="8">
        <f>IF(A62="","",IF(OR(I62="",R62="",S62="",G62=""),"",(1/I62)*R62*(S62^(2/3))*SQRT(G62)))</f>
        <v/>
      </c>
      <c r="U62" s="8">
        <f>IF(OR(T62="",Q62=""),"",Q62/(T62*Inputs!$B$19))</f>
        <v/>
      </c>
      <c r="V62" s="8">
        <f>IF(OR(R62="",Q62=""),"",Q62/R62)</f>
        <v/>
      </c>
      <c r="W62" s="8">
        <f>IF(OR(R62="",T62=""),"",T62/R62)</f>
        <v/>
      </c>
      <c r="X62" s="8">
        <f>IF(A62="","",IF(OR(UPPER(TRIM(Inputs!$B$15))="MANNING",UPPER(TRIM(Inputs!$B$15))="M"),W62,IF(OR(UPPER(TRIM(Inputs!$B$15))="MAX",UPPER(TRIM(Inputs!$B$15))="X"),MAX(V62,W62),V62)))</f>
        <v/>
      </c>
      <c r="Y62" s="8">
        <f>IF(A62="","",IF(UPPER(TRIM(B62))="TRENCH",K62*L62*N62,IF(UPPER(TRIM(B62))="SWALE",K62*L62,0)))</f>
        <v/>
      </c>
      <c r="Z62" s="8">
        <f>IF(OR(Y62="",F62=""),"",Y62*F62)</f>
        <v/>
      </c>
      <c r="AA62" s="4">
        <f>IF(A62="","",IF(OR(U62&gt;1,AND(X62&lt;&gt;"",X62&lt;Inputs!$B$16),AND(X62&lt;&gt;"",X62&gt;Inputs!$B$17),G62&lt;Inputs!$B$18,AH62="CHECK"),"CHECK","OK"))</f>
        <v/>
      </c>
      <c r="AB62" s="4" t="n"/>
      <c r="AC62" s="7" t="n"/>
      <c r="AD62" s="8">
        <f>IF(A62="","",IF(AC62&lt;&gt;"",AC62,IF(E62="",Inputs!$B$38,IFERROR(INDEX($AE$4:$AE$204,MATCH(E62,$A$4:$A$204,0))+IF(OR(AND(UPPER(TRIM(B62))="SWALE",UPPER(TRIM(AI62))="PIPE"),AND(UPPER(TRIM(B62))="TRENCH",UPPER(TRIM(AI62))="PIPE")),Inputs!$B$57,0),""))))</f>
        <v/>
      </c>
      <c r="AE62" s="8">
        <f>IF(OR(AD62="",F62="",G62=""),"",AD62+F62*G62)</f>
        <v/>
      </c>
      <c r="AF62" s="8">
        <f>IF(OR(E62="",A62=""),"",IFERROR(INDEX($AE$4:$AE$204,MATCH(E62,$A$4:$A$204,0)),""))</f>
        <v/>
      </c>
      <c r="AG62" s="8">
        <f>IF(OR(AD62="",AF62=""),"",AD62-AF62)</f>
        <v/>
      </c>
      <c r="AH62" s="4">
        <f>IF(A62="","",IF(E62="","TERMINAL",IF(OR(AND(UPPER(TRIM(B62))="SWALE",UPPER(TRIM(AI62))="PIPE"),AND(UPPER(TRIM(B62))="TRENCH",UPPER(TRIM(AI62))="PIPE")),IF(OR(AG62="",AJ62="",AK62=""),"INFO",IF(AND(AG62&gt;=AJ62,AG62&lt;=AK62),"OK","CHECK")),IF(AG62="","INFO",IF(ABS(AG62)&lt;=Inputs!$B$54,"OK","CHECK")))))</f>
        <v/>
      </c>
      <c r="AI62" s="17">
        <f>IF(A62="","",IF(E62="","",IFERROR(INDEX($B$4:$B$204,MATCH(E62,$A$4:$A$204,0)),"")))</f>
        <v/>
      </c>
      <c r="AJ62" s="17">
        <f>IF(A62="","",IF(OR(AND(UPPER(TRIM(B62))="SWALE",UPPER(TRIM(AI62))="PIPE"),AND(UPPER(TRIM(B62))="TRENCH",UPPER(TRIM(AI62))="PIPE")),Inputs!$B$55,0))</f>
        <v/>
      </c>
      <c r="AK62" s="17">
        <f>IF(A62="","",IF(OR(AND(UPPER(TRIM(B62))="SWALE",UPPER(TRIM(AI62))="PIPE"),AND(UPPER(TRIM(B62))="TRENCH",UPPER(TRIM(AI62))="PIPE")),Inputs!$B$56,Inputs!$B$54))</f>
        <v/>
      </c>
      <c r="AL62" s="4">
        <f>IF(A62="","",IF(E62="","TERMINAL",IF(OR(AND(UPPER(TRIM(B62))="SWALE",UPPER(TRIM(AI62))="PIPE"),AND(UPPER(TRIM(B62))="TRENCH",UPPER(TRIM(AI62))="PIPE")),IF(OR(AG62="",AJ62="",AK62=""),"INFO",IF(AND(AG62&gt;=AJ62,AG62&lt;=AK62),"OK","CHECK")),"N/A")))</f>
        <v/>
      </c>
    </row>
    <row r="63">
      <c r="A63" s="4" t="n"/>
      <c r="B63" s="4" t="n"/>
      <c r="C63" s="4" t="n"/>
      <c r="D63" s="4" t="n"/>
      <c r="E63" s="4" t="n"/>
      <c r="F63" s="7" t="n"/>
      <c r="G63" s="7" t="n"/>
      <c r="H63" s="7" t="n"/>
      <c r="I63" s="8">
        <f>IF(A63="","",IF(H63&lt;&gt;"",H63,IF(UPPER(TRIM(B63))="PIPE",Inputs!$B$7,IF(UPPER(TRIM(B63))="SWALE",Inputs!$B$8,Inputs!$B$9))))</f>
        <v/>
      </c>
      <c r="J63" s="7" t="n"/>
      <c r="K63" s="7" t="n"/>
      <c r="L63" s="7" t="n"/>
      <c r="M63" s="7" t="n"/>
      <c r="N63" s="7" t="n">
        <v>0</v>
      </c>
      <c r="O63" s="8">
        <f>IF(A63="","",SUMIFS(Zones_tributaires!$I:$I,Zones_tributaires!$J:$J,$A63))</f>
        <v/>
      </c>
      <c r="P63" s="8">
        <f>IF(A63="","",SUMIFS($Q$4:$Q$204,$E$4:$E$204,$A63))</f>
        <v/>
      </c>
      <c r="Q63" s="8">
        <f>IF(A63="","",(O63+P63)*Inputs!$B$6)</f>
        <v/>
      </c>
      <c r="R63" s="8">
        <f>IF(A63="","",IF(UPPER(TRIM(B63))="PIPE",PI()*(J63/1000)^2/4,IF(OR(K63="",L63=""),"",L63*(K63+M63*L63))))</f>
        <v/>
      </c>
      <c r="S63" s="8">
        <f>IF(A63="","",IF(UPPER(TRIM(B63))="PIPE",(J63/1000)/4,IF(OR(R63="",K63="",L63=""),"",R63/(K63+2*L63*SQRT(1+M63^2)))))</f>
        <v/>
      </c>
      <c r="T63" s="8">
        <f>IF(A63="","",IF(OR(I63="",R63="",S63="",G63=""),"",(1/I63)*R63*(S63^(2/3))*SQRT(G63)))</f>
        <v/>
      </c>
      <c r="U63" s="8">
        <f>IF(OR(T63="",Q63=""),"",Q63/(T63*Inputs!$B$19))</f>
        <v/>
      </c>
      <c r="V63" s="8">
        <f>IF(OR(R63="",Q63=""),"",Q63/R63)</f>
        <v/>
      </c>
      <c r="W63" s="8">
        <f>IF(OR(R63="",T63=""),"",T63/R63)</f>
        <v/>
      </c>
      <c r="X63" s="8">
        <f>IF(A63="","",IF(OR(UPPER(TRIM(Inputs!$B$15))="MANNING",UPPER(TRIM(Inputs!$B$15))="M"),W63,IF(OR(UPPER(TRIM(Inputs!$B$15))="MAX",UPPER(TRIM(Inputs!$B$15))="X"),MAX(V63,W63),V63)))</f>
        <v/>
      </c>
      <c r="Y63" s="8">
        <f>IF(A63="","",IF(UPPER(TRIM(B63))="TRENCH",K63*L63*N63,IF(UPPER(TRIM(B63))="SWALE",K63*L63,0)))</f>
        <v/>
      </c>
      <c r="Z63" s="8">
        <f>IF(OR(Y63="",F63=""),"",Y63*F63)</f>
        <v/>
      </c>
      <c r="AA63" s="4">
        <f>IF(A63="","",IF(OR(U63&gt;1,AND(X63&lt;&gt;"",X63&lt;Inputs!$B$16),AND(X63&lt;&gt;"",X63&gt;Inputs!$B$17),G63&lt;Inputs!$B$18,AH63="CHECK"),"CHECK","OK"))</f>
        <v/>
      </c>
      <c r="AB63" s="4" t="n"/>
      <c r="AC63" s="7" t="n"/>
      <c r="AD63" s="8">
        <f>IF(A63="","",IF(AC63&lt;&gt;"",AC63,IF(E63="",Inputs!$B$38,IFERROR(INDEX($AE$4:$AE$204,MATCH(E63,$A$4:$A$204,0))+IF(OR(AND(UPPER(TRIM(B63))="SWALE",UPPER(TRIM(AI63))="PIPE"),AND(UPPER(TRIM(B63))="TRENCH",UPPER(TRIM(AI63))="PIPE")),Inputs!$B$57,0),""))))</f>
        <v/>
      </c>
      <c r="AE63" s="8">
        <f>IF(OR(AD63="",F63="",G63=""),"",AD63+F63*G63)</f>
        <v/>
      </c>
      <c r="AF63" s="8">
        <f>IF(OR(E63="",A63=""),"",IFERROR(INDEX($AE$4:$AE$204,MATCH(E63,$A$4:$A$204,0)),""))</f>
        <v/>
      </c>
      <c r="AG63" s="8">
        <f>IF(OR(AD63="",AF63=""),"",AD63-AF63)</f>
        <v/>
      </c>
      <c r="AH63" s="4">
        <f>IF(A63="","",IF(E63="","TERMINAL",IF(OR(AND(UPPER(TRIM(B63))="SWALE",UPPER(TRIM(AI63))="PIPE"),AND(UPPER(TRIM(B63))="TRENCH",UPPER(TRIM(AI63))="PIPE")),IF(OR(AG63="",AJ63="",AK63=""),"INFO",IF(AND(AG63&gt;=AJ63,AG63&lt;=AK63),"OK","CHECK")),IF(AG63="","INFO",IF(ABS(AG63)&lt;=Inputs!$B$54,"OK","CHECK")))))</f>
        <v/>
      </c>
      <c r="AI63" s="17">
        <f>IF(A63="","",IF(E63="","",IFERROR(INDEX($B$4:$B$204,MATCH(E63,$A$4:$A$204,0)),"")))</f>
        <v/>
      </c>
      <c r="AJ63" s="17">
        <f>IF(A63="","",IF(OR(AND(UPPER(TRIM(B63))="SWALE",UPPER(TRIM(AI63))="PIPE"),AND(UPPER(TRIM(B63))="TRENCH",UPPER(TRIM(AI63))="PIPE")),Inputs!$B$55,0))</f>
        <v/>
      </c>
      <c r="AK63" s="17">
        <f>IF(A63="","",IF(OR(AND(UPPER(TRIM(B63))="SWALE",UPPER(TRIM(AI63))="PIPE"),AND(UPPER(TRIM(B63))="TRENCH",UPPER(TRIM(AI63))="PIPE")),Inputs!$B$56,Inputs!$B$54))</f>
        <v/>
      </c>
      <c r="AL63" s="4">
        <f>IF(A63="","",IF(E63="","TERMINAL",IF(OR(AND(UPPER(TRIM(B63))="SWALE",UPPER(TRIM(AI63))="PIPE"),AND(UPPER(TRIM(B63))="TRENCH",UPPER(TRIM(AI63))="PIPE")),IF(OR(AG63="",AJ63="",AK63=""),"INFO",IF(AND(AG63&gt;=AJ63,AG63&lt;=AK63),"OK","CHECK")),"N/A")))</f>
        <v/>
      </c>
    </row>
    <row r="64">
      <c r="A64" s="4" t="n"/>
      <c r="B64" s="4" t="n"/>
      <c r="C64" s="4" t="n"/>
      <c r="D64" s="4" t="n"/>
      <c r="E64" s="4" t="n"/>
      <c r="F64" s="7" t="n"/>
      <c r="G64" s="7" t="n"/>
      <c r="H64" s="7" t="n"/>
      <c r="I64" s="8">
        <f>IF(A64="","",IF(H64&lt;&gt;"",H64,IF(UPPER(TRIM(B64))="PIPE",Inputs!$B$7,IF(UPPER(TRIM(B64))="SWALE",Inputs!$B$8,Inputs!$B$9))))</f>
        <v/>
      </c>
      <c r="J64" s="7" t="n"/>
      <c r="K64" s="7" t="n"/>
      <c r="L64" s="7" t="n"/>
      <c r="M64" s="7" t="n"/>
      <c r="N64" s="7" t="n">
        <v>0</v>
      </c>
      <c r="O64" s="8">
        <f>IF(A64="","",SUMIFS(Zones_tributaires!$I:$I,Zones_tributaires!$J:$J,$A64))</f>
        <v/>
      </c>
      <c r="P64" s="8">
        <f>IF(A64="","",SUMIFS($Q$4:$Q$204,$E$4:$E$204,$A64))</f>
        <v/>
      </c>
      <c r="Q64" s="8">
        <f>IF(A64="","",(O64+P64)*Inputs!$B$6)</f>
        <v/>
      </c>
      <c r="R64" s="8">
        <f>IF(A64="","",IF(UPPER(TRIM(B64))="PIPE",PI()*(J64/1000)^2/4,IF(OR(K64="",L64=""),"",L64*(K64+M64*L64))))</f>
        <v/>
      </c>
      <c r="S64" s="8">
        <f>IF(A64="","",IF(UPPER(TRIM(B64))="PIPE",(J64/1000)/4,IF(OR(R64="",K64="",L64=""),"",R64/(K64+2*L64*SQRT(1+M64^2)))))</f>
        <v/>
      </c>
      <c r="T64" s="8">
        <f>IF(A64="","",IF(OR(I64="",R64="",S64="",G64=""),"",(1/I64)*R64*(S64^(2/3))*SQRT(G64)))</f>
        <v/>
      </c>
      <c r="U64" s="8">
        <f>IF(OR(T64="",Q64=""),"",Q64/(T64*Inputs!$B$19))</f>
        <v/>
      </c>
      <c r="V64" s="8">
        <f>IF(OR(R64="",Q64=""),"",Q64/R64)</f>
        <v/>
      </c>
      <c r="W64" s="8">
        <f>IF(OR(R64="",T64=""),"",T64/R64)</f>
        <v/>
      </c>
      <c r="X64" s="8">
        <f>IF(A64="","",IF(OR(UPPER(TRIM(Inputs!$B$15))="MANNING",UPPER(TRIM(Inputs!$B$15))="M"),W64,IF(OR(UPPER(TRIM(Inputs!$B$15))="MAX",UPPER(TRIM(Inputs!$B$15))="X"),MAX(V64,W64),V64)))</f>
        <v/>
      </c>
      <c r="Y64" s="8">
        <f>IF(A64="","",IF(UPPER(TRIM(B64))="TRENCH",K64*L64*N64,IF(UPPER(TRIM(B64))="SWALE",K64*L64,0)))</f>
        <v/>
      </c>
      <c r="Z64" s="8">
        <f>IF(OR(Y64="",F64=""),"",Y64*F64)</f>
        <v/>
      </c>
      <c r="AA64" s="4">
        <f>IF(A64="","",IF(OR(U64&gt;1,AND(X64&lt;&gt;"",X64&lt;Inputs!$B$16),AND(X64&lt;&gt;"",X64&gt;Inputs!$B$17),G64&lt;Inputs!$B$18,AH64="CHECK"),"CHECK","OK"))</f>
        <v/>
      </c>
      <c r="AB64" s="4" t="n"/>
      <c r="AC64" s="7" t="n"/>
      <c r="AD64" s="8">
        <f>IF(A64="","",IF(AC64&lt;&gt;"",AC64,IF(E64="",Inputs!$B$38,IFERROR(INDEX($AE$4:$AE$204,MATCH(E64,$A$4:$A$204,0))+IF(OR(AND(UPPER(TRIM(B64))="SWALE",UPPER(TRIM(AI64))="PIPE"),AND(UPPER(TRIM(B64))="TRENCH",UPPER(TRIM(AI64))="PIPE")),Inputs!$B$57,0),""))))</f>
        <v/>
      </c>
      <c r="AE64" s="8">
        <f>IF(OR(AD64="",F64="",G64=""),"",AD64+F64*G64)</f>
        <v/>
      </c>
      <c r="AF64" s="8">
        <f>IF(OR(E64="",A64=""),"",IFERROR(INDEX($AE$4:$AE$204,MATCH(E64,$A$4:$A$204,0)),""))</f>
        <v/>
      </c>
      <c r="AG64" s="8">
        <f>IF(OR(AD64="",AF64=""),"",AD64-AF64)</f>
        <v/>
      </c>
      <c r="AH64" s="4">
        <f>IF(A64="","",IF(E64="","TERMINAL",IF(OR(AND(UPPER(TRIM(B64))="SWALE",UPPER(TRIM(AI64))="PIPE"),AND(UPPER(TRIM(B64))="TRENCH",UPPER(TRIM(AI64))="PIPE")),IF(OR(AG64="",AJ64="",AK64=""),"INFO",IF(AND(AG64&gt;=AJ64,AG64&lt;=AK64),"OK","CHECK")),IF(AG64="","INFO",IF(ABS(AG64)&lt;=Inputs!$B$54,"OK","CHECK")))))</f>
        <v/>
      </c>
      <c r="AI64" s="17">
        <f>IF(A64="","",IF(E64="","",IFERROR(INDEX($B$4:$B$204,MATCH(E64,$A$4:$A$204,0)),"")))</f>
        <v/>
      </c>
      <c r="AJ64" s="17">
        <f>IF(A64="","",IF(OR(AND(UPPER(TRIM(B64))="SWALE",UPPER(TRIM(AI64))="PIPE"),AND(UPPER(TRIM(B64))="TRENCH",UPPER(TRIM(AI64))="PIPE")),Inputs!$B$55,0))</f>
        <v/>
      </c>
      <c r="AK64" s="17">
        <f>IF(A64="","",IF(OR(AND(UPPER(TRIM(B64))="SWALE",UPPER(TRIM(AI64))="PIPE"),AND(UPPER(TRIM(B64))="TRENCH",UPPER(TRIM(AI64))="PIPE")),Inputs!$B$56,Inputs!$B$54))</f>
        <v/>
      </c>
      <c r="AL64" s="4">
        <f>IF(A64="","",IF(E64="","TERMINAL",IF(OR(AND(UPPER(TRIM(B64))="SWALE",UPPER(TRIM(AI64))="PIPE"),AND(UPPER(TRIM(B64))="TRENCH",UPPER(TRIM(AI64))="PIPE")),IF(OR(AG64="",AJ64="",AK64=""),"INFO",IF(AND(AG64&gt;=AJ64,AG64&lt;=AK64),"OK","CHECK")),"N/A")))</f>
        <v/>
      </c>
    </row>
    <row r="65">
      <c r="A65" s="4" t="n"/>
      <c r="B65" s="4" t="n"/>
      <c r="C65" s="4" t="n"/>
      <c r="D65" s="4" t="n"/>
      <c r="E65" s="4" t="n"/>
      <c r="F65" s="7" t="n"/>
      <c r="G65" s="7" t="n"/>
      <c r="H65" s="7" t="n"/>
      <c r="I65" s="8">
        <f>IF(A65="","",IF(H65&lt;&gt;"",H65,IF(UPPER(TRIM(B65))="PIPE",Inputs!$B$7,IF(UPPER(TRIM(B65))="SWALE",Inputs!$B$8,Inputs!$B$9))))</f>
        <v/>
      </c>
      <c r="J65" s="7" t="n"/>
      <c r="K65" s="7" t="n"/>
      <c r="L65" s="7" t="n"/>
      <c r="M65" s="7" t="n"/>
      <c r="N65" s="7" t="n">
        <v>0</v>
      </c>
      <c r="O65" s="8">
        <f>IF(A65="","",SUMIFS(Zones_tributaires!$I:$I,Zones_tributaires!$J:$J,$A65))</f>
        <v/>
      </c>
      <c r="P65" s="8">
        <f>IF(A65="","",SUMIFS($Q$4:$Q$204,$E$4:$E$204,$A65))</f>
        <v/>
      </c>
      <c r="Q65" s="8">
        <f>IF(A65="","",(O65+P65)*Inputs!$B$6)</f>
        <v/>
      </c>
      <c r="R65" s="8">
        <f>IF(A65="","",IF(UPPER(TRIM(B65))="PIPE",PI()*(J65/1000)^2/4,IF(OR(K65="",L65=""),"",L65*(K65+M65*L65))))</f>
        <v/>
      </c>
      <c r="S65" s="8">
        <f>IF(A65="","",IF(UPPER(TRIM(B65))="PIPE",(J65/1000)/4,IF(OR(R65="",K65="",L65=""),"",R65/(K65+2*L65*SQRT(1+M65^2)))))</f>
        <v/>
      </c>
      <c r="T65" s="8">
        <f>IF(A65="","",IF(OR(I65="",R65="",S65="",G65=""),"",(1/I65)*R65*(S65^(2/3))*SQRT(G65)))</f>
        <v/>
      </c>
      <c r="U65" s="8">
        <f>IF(OR(T65="",Q65=""),"",Q65/(T65*Inputs!$B$19))</f>
        <v/>
      </c>
      <c r="V65" s="8">
        <f>IF(OR(R65="",Q65=""),"",Q65/R65)</f>
        <v/>
      </c>
      <c r="W65" s="8">
        <f>IF(OR(R65="",T65=""),"",T65/R65)</f>
        <v/>
      </c>
      <c r="X65" s="8">
        <f>IF(A65="","",IF(OR(UPPER(TRIM(Inputs!$B$15))="MANNING",UPPER(TRIM(Inputs!$B$15))="M"),W65,IF(OR(UPPER(TRIM(Inputs!$B$15))="MAX",UPPER(TRIM(Inputs!$B$15))="X"),MAX(V65,W65),V65)))</f>
        <v/>
      </c>
      <c r="Y65" s="8">
        <f>IF(A65="","",IF(UPPER(TRIM(B65))="TRENCH",K65*L65*N65,IF(UPPER(TRIM(B65))="SWALE",K65*L65,0)))</f>
        <v/>
      </c>
      <c r="Z65" s="8">
        <f>IF(OR(Y65="",F65=""),"",Y65*F65)</f>
        <v/>
      </c>
      <c r="AA65" s="4">
        <f>IF(A65="","",IF(OR(U65&gt;1,AND(X65&lt;&gt;"",X65&lt;Inputs!$B$16),AND(X65&lt;&gt;"",X65&gt;Inputs!$B$17),G65&lt;Inputs!$B$18,AH65="CHECK"),"CHECK","OK"))</f>
        <v/>
      </c>
      <c r="AB65" s="4" t="n"/>
      <c r="AC65" s="7" t="n"/>
      <c r="AD65" s="8">
        <f>IF(A65="","",IF(AC65&lt;&gt;"",AC65,IF(E65="",Inputs!$B$38,IFERROR(INDEX($AE$4:$AE$204,MATCH(E65,$A$4:$A$204,0))+IF(OR(AND(UPPER(TRIM(B65))="SWALE",UPPER(TRIM(AI65))="PIPE"),AND(UPPER(TRIM(B65))="TRENCH",UPPER(TRIM(AI65))="PIPE")),Inputs!$B$57,0),""))))</f>
        <v/>
      </c>
      <c r="AE65" s="8">
        <f>IF(OR(AD65="",F65="",G65=""),"",AD65+F65*G65)</f>
        <v/>
      </c>
      <c r="AF65" s="8">
        <f>IF(OR(E65="",A65=""),"",IFERROR(INDEX($AE$4:$AE$204,MATCH(E65,$A$4:$A$204,0)),""))</f>
        <v/>
      </c>
      <c r="AG65" s="8">
        <f>IF(OR(AD65="",AF65=""),"",AD65-AF65)</f>
        <v/>
      </c>
      <c r="AH65" s="4">
        <f>IF(A65="","",IF(E65="","TERMINAL",IF(OR(AND(UPPER(TRIM(B65))="SWALE",UPPER(TRIM(AI65))="PIPE"),AND(UPPER(TRIM(B65))="TRENCH",UPPER(TRIM(AI65))="PIPE")),IF(OR(AG65="",AJ65="",AK65=""),"INFO",IF(AND(AG65&gt;=AJ65,AG65&lt;=AK65),"OK","CHECK")),IF(AG65="","INFO",IF(ABS(AG65)&lt;=Inputs!$B$54,"OK","CHECK")))))</f>
        <v/>
      </c>
      <c r="AI65" s="17">
        <f>IF(A65="","",IF(E65="","",IFERROR(INDEX($B$4:$B$204,MATCH(E65,$A$4:$A$204,0)),"")))</f>
        <v/>
      </c>
      <c r="AJ65" s="17">
        <f>IF(A65="","",IF(OR(AND(UPPER(TRIM(B65))="SWALE",UPPER(TRIM(AI65))="PIPE"),AND(UPPER(TRIM(B65))="TRENCH",UPPER(TRIM(AI65))="PIPE")),Inputs!$B$55,0))</f>
        <v/>
      </c>
      <c r="AK65" s="17">
        <f>IF(A65="","",IF(OR(AND(UPPER(TRIM(B65))="SWALE",UPPER(TRIM(AI65))="PIPE"),AND(UPPER(TRIM(B65))="TRENCH",UPPER(TRIM(AI65))="PIPE")),Inputs!$B$56,Inputs!$B$54))</f>
        <v/>
      </c>
      <c r="AL65" s="4">
        <f>IF(A65="","",IF(E65="","TERMINAL",IF(OR(AND(UPPER(TRIM(B65))="SWALE",UPPER(TRIM(AI65))="PIPE"),AND(UPPER(TRIM(B65))="TRENCH",UPPER(TRIM(AI65))="PIPE")),IF(OR(AG65="",AJ65="",AK65=""),"INFO",IF(AND(AG65&gt;=AJ65,AG65&lt;=AK65),"OK","CHECK")),"N/A")))</f>
        <v/>
      </c>
    </row>
    <row r="66">
      <c r="A66" s="4" t="n"/>
      <c r="B66" s="4" t="n"/>
      <c r="C66" s="4" t="n"/>
      <c r="D66" s="4" t="n"/>
      <c r="E66" s="4" t="n"/>
      <c r="F66" s="7" t="n"/>
      <c r="G66" s="7" t="n"/>
      <c r="H66" s="7" t="n"/>
      <c r="I66" s="8">
        <f>IF(A66="","",IF(H66&lt;&gt;"",H66,IF(UPPER(TRIM(B66))="PIPE",Inputs!$B$7,IF(UPPER(TRIM(B66))="SWALE",Inputs!$B$8,Inputs!$B$9))))</f>
        <v/>
      </c>
      <c r="J66" s="7" t="n"/>
      <c r="K66" s="7" t="n"/>
      <c r="L66" s="7" t="n"/>
      <c r="M66" s="7" t="n"/>
      <c r="N66" s="7" t="n">
        <v>0</v>
      </c>
      <c r="O66" s="8">
        <f>IF(A66="","",SUMIFS(Zones_tributaires!$I:$I,Zones_tributaires!$J:$J,$A66))</f>
        <v/>
      </c>
      <c r="P66" s="8">
        <f>IF(A66="","",SUMIFS($Q$4:$Q$204,$E$4:$E$204,$A66))</f>
        <v/>
      </c>
      <c r="Q66" s="8">
        <f>IF(A66="","",(O66+P66)*Inputs!$B$6)</f>
        <v/>
      </c>
      <c r="R66" s="8">
        <f>IF(A66="","",IF(UPPER(TRIM(B66))="PIPE",PI()*(J66/1000)^2/4,IF(OR(K66="",L66=""),"",L66*(K66+M66*L66))))</f>
        <v/>
      </c>
      <c r="S66" s="8">
        <f>IF(A66="","",IF(UPPER(TRIM(B66))="PIPE",(J66/1000)/4,IF(OR(R66="",K66="",L66=""),"",R66/(K66+2*L66*SQRT(1+M66^2)))))</f>
        <v/>
      </c>
      <c r="T66" s="8">
        <f>IF(A66="","",IF(OR(I66="",R66="",S66="",G66=""),"",(1/I66)*R66*(S66^(2/3))*SQRT(G66)))</f>
        <v/>
      </c>
      <c r="U66" s="8">
        <f>IF(OR(T66="",Q66=""),"",Q66/(T66*Inputs!$B$19))</f>
        <v/>
      </c>
      <c r="V66" s="8">
        <f>IF(OR(R66="",Q66=""),"",Q66/R66)</f>
        <v/>
      </c>
      <c r="W66" s="8">
        <f>IF(OR(R66="",T66=""),"",T66/R66)</f>
        <v/>
      </c>
      <c r="X66" s="8">
        <f>IF(A66="","",IF(OR(UPPER(TRIM(Inputs!$B$15))="MANNING",UPPER(TRIM(Inputs!$B$15))="M"),W66,IF(OR(UPPER(TRIM(Inputs!$B$15))="MAX",UPPER(TRIM(Inputs!$B$15))="X"),MAX(V66,W66),V66)))</f>
        <v/>
      </c>
      <c r="Y66" s="8">
        <f>IF(A66="","",IF(UPPER(TRIM(B66))="TRENCH",K66*L66*N66,IF(UPPER(TRIM(B66))="SWALE",K66*L66,0)))</f>
        <v/>
      </c>
      <c r="Z66" s="8">
        <f>IF(OR(Y66="",F66=""),"",Y66*F66)</f>
        <v/>
      </c>
      <c r="AA66" s="4">
        <f>IF(A66="","",IF(OR(U66&gt;1,AND(X66&lt;&gt;"",X66&lt;Inputs!$B$16),AND(X66&lt;&gt;"",X66&gt;Inputs!$B$17),G66&lt;Inputs!$B$18,AH66="CHECK"),"CHECK","OK"))</f>
        <v/>
      </c>
      <c r="AB66" s="4" t="n"/>
      <c r="AC66" s="7" t="n"/>
      <c r="AD66" s="8">
        <f>IF(A66="","",IF(AC66&lt;&gt;"",AC66,IF(E66="",Inputs!$B$38,IFERROR(INDEX($AE$4:$AE$204,MATCH(E66,$A$4:$A$204,0))+IF(OR(AND(UPPER(TRIM(B66))="SWALE",UPPER(TRIM(AI66))="PIPE"),AND(UPPER(TRIM(B66))="TRENCH",UPPER(TRIM(AI66))="PIPE")),Inputs!$B$57,0),""))))</f>
        <v/>
      </c>
      <c r="AE66" s="8">
        <f>IF(OR(AD66="",F66="",G66=""),"",AD66+F66*G66)</f>
        <v/>
      </c>
      <c r="AF66" s="8">
        <f>IF(OR(E66="",A66=""),"",IFERROR(INDEX($AE$4:$AE$204,MATCH(E66,$A$4:$A$204,0)),""))</f>
        <v/>
      </c>
      <c r="AG66" s="8">
        <f>IF(OR(AD66="",AF66=""),"",AD66-AF66)</f>
        <v/>
      </c>
      <c r="AH66" s="4">
        <f>IF(A66="","",IF(E66="","TERMINAL",IF(OR(AND(UPPER(TRIM(B66))="SWALE",UPPER(TRIM(AI66))="PIPE"),AND(UPPER(TRIM(B66))="TRENCH",UPPER(TRIM(AI66))="PIPE")),IF(OR(AG66="",AJ66="",AK66=""),"INFO",IF(AND(AG66&gt;=AJ66,AG66&lt;=AK66),"OK","CHECK")),IF(AG66="","INFO",IF(ABS(AG66)&lt;=Inputs!$B$54,"OK","CHECK")))))</f>
        <v/>
      </c>
      <c r="AI66" s="17">
        <f>IF(A66="","",IF(E66="","",IFERROR(INDEX($B$4:$B$204,MATCH(E66,$A$4:$A$204,0)),"")))</f>
        <v/>
      </c>
      <c r="AJ66" s="17">
        <f>IF(A66="","",IF(OR(AND(UPPER(TRIM(B66))="SWALE",UPPER(TRIM(AI66))="PIPE"),AND(UPPER(TRIM(B66))="TRENCH",UPPER(TRIM(AI66))="PIPE")),Inputs!$B$55,0))</f>
        <v/>
      </c>
      <c r="AK66" s="17">
        <f>IF(A66="","",IF(OR(AND(UPPER(TRIM(B66))="SWALE",UPPER(TRIM(AI66))="PIPE"),AND(UPPER(TRIM(B66))="TRENCH",UPPER(TRIM(AI66))="PIPE")),Inputs!$B$56,Inputs!$B$54))</f>
        <v/>
      </c>
      <c r="AL66" s="4">
        <f>IF(A66="","",IF(E66="","TERMINAL",IF(OR(AND(UPPER(TRIM(B66))="SWALE",UPPER(TRIM(AI66))="PIPE"),AND(UPPER(TRIM(B66))="TRENCH",UPPER(TRIM(AI66))="PIPE")),IF(OR(AG66="",AJ66="",AK66=""),"INFO",IF(AND(AG66&gt;=AJ66,AG66&lt;=AK66),"OK","CHECK")),"N/A")))</f>
        <v/>
      </c>
    </row>
    <row r="67">
      <c r="A67" s="4" t="n"/>
      <c r="B67" s="4" t="n"/>
      <c r="C67" s="4" t="n"/>
      <c r="D67" s="4" t="n"/>
      <c r="E67" s="4" t="n"/>
      <c r="F67" s="7" t="n"/>
      <c r="G67" s="7" t="n"/>
      <c r="H67" s="7" t="n"/>
      <c r="I67" s="8">
        <f>IF(A67="","",IF(H67&lt;&gt;"",H67,IF(UPPER(TRIM(B67))="PIPE",Inputs!$B$7,IF(UPPER(TRIM(B67))="SWALE",Inputs!$B$8,Inputs!$B$9))))</f>
        <v/>
      </c>
      <c r="J67" s="7" t="n"/>
      <c r="K67" s="7" t="n"/>
      <c r="L67" s="7" t="n"/>
      <c r="M67" s="7" t="n"/>
      <c r="N67" s="7" t="n">
        <v>0</v>
      </c>
      <c r="O67" s="8">
        <f>IF(A67="","",SUMIFS(Zones_tributaires!$I:$I,Zones_tributaires!$J:$J,$A67))</f>
        <v/>
      </c>
      <c r="P67" s="8">
        <f>IF(A67="","",SUMIFS($Q$4:$Q$204,$E$4:$E$204,$A67))</f>
        <v/>
      </c>
      <c r="Q67" s="8">
        <f>IF(A67="","",(O67+P67)*Inputs!$B$6)</f>
        <v/>
      </c>
      <c r="R67" s="8">
        <f>IF(A67="","",IF(UPPER(TRIM(B67))="PIPE",PI()*(J67/1000)^2/4,IF(OR(K67="",L67=""),"",L67*(K67+M67*L67))))</f>
        <v/>
      </c>
      <c r="S67" s="8">
        <f>IF(A67="","",IF(UPPER(TRIM(B67))="PIPE",(J67/1000)/4,IF(OR(R67="",K67="",L67=""),"",R67/(K67+2*L67*SQRT(1+M67^2)))))</f>
        <v/>
      </c>
      <c r="T67" s="8">
        <f>IF(A67="","",IF(OR(I67="",R67="",S67="",G67=""),"",(1/I67)*R67*(S67^(2/3))*SQRT(G67)))</f>
        <v/>
      </c>
      <c r="U67" s="8">
        <f>IF(OR(T67="",Q67=""),"",Q67/(T67*Inputs!$B$19))</f>
        <v/>
      </c>
      <c r="V67" s="8">
        <f>IF(OR(R67="",Q67=""),"",Q67/R67)</f>
        <v/>
      </c>
      <c r="W67" s="8">
        <f>IF(OR(R67="",T67=""),"",T67/R67)</f>
        <v/>
      </c>
      <c r="X67" s="8">
        <f>IF(A67="","",IF(OR(UPPER(TRIM(Inputs!$B$15))="MANNING",UPPER(TRIM(Inputs!$B$15))="M"),W67,IF(OR(UPPER(TRIM(Inputs!$B$15))="MAX",UPPER(TRIM(Inputs!$B$15))="X"),MAX(V67,W67),V67)))</f>
        <v/>
      </c>
      <c r="Y67" s="8">
        <f>IF(A67="","",IF(UPPER(TRIM(B67))="TRENCH",K67*L67*N67,IF(UPPER(TRIM(B67))="SWALE",K67*L67,0)))</f>
        <v/>
      </c>
      <c r="Z67" s="8">
        <f>IF(OR(Y67="",F67=""),"",Y67*F67)</f>
        <v/>
      </c>
      <c r="AA67" s="4">
        <f>IF(A67="","",IF(OR(U67&gt;1,AND(X67&lt;&gt;"",X67&lt;Inputs!$B$16),AND(X67&lt;&gt;"",X67&gt;Inputs!$B$17),G67&lt;Inputs!$B$18,AH67="CHECK"),"CHECK","OK"))</f>
        <v/>
      </c>
      <c r="AB67" s="4" t="n"/>
      <c r="AC67" s="7" t="n"/>
      <c r="AD67" s="8">
        <f>IF(A67="","",IF(AC67&lt;&gt;"",AC67,IF(E67="",Inputs!$B$38,IFERROR(INDEX($AE$4:$AE$204,MATCH(E67,$A$4:$A$204,0))+IF(OR(AND(UPPER(TRIM(B67))="SWALE",UPPER(TRIM(AI67))="PIPE"),AND(UPPER(TRIM(B67))="TRENCH",UPPER(TRIM(AI67))="PIPE")),Inputs!$B$57,0),""))))</f>
        <v/>
      </c>
      <c r="AE67" s="8">
        <f>IF(OR(AD67="",F67="",G67=""),"",AD67+F67*G67)</f>
        <v/>
      </c>
      <c r="AF67" s="8">
        <f>IF(OR(E67="",A67=""),"",IFERROR(INDEX($AE$4:$AE$204,MATCH(E67,$A$4:$A$204,0)),""))</f>
        <v/>
      </c>
      <c r="AG67" s="8">
        <f>IF(OR(AD67="",AF67=""),"",AD67-AF67)</f>
        <v/>
      </c>
      <c r="AH67" s="4">
        <f>IF(A67="","",IF(E67="","TERMINAL",IF(OR(AND(UPPER(TRIM(B67))="SWALE",UPPER(TRIM(AI67))="PIPE"),AND(UPPER(TRIM(B67))="TRENCH",UPPER(TRIM(AI67))="PIPE")),IF(OR(AG67="",AJ67="",AK67=""),"INFO",IF(AND(AG67&gt;=AJ67,AG67&lt;=AK67),"OK","CHECK")),IF(AG67="","INFO",IF(ABS(AG67)&lt;=Inputs!$B$54,"OK","CHECK")))))</f>
        <v/>
      </c>
      <c r="AI67" s="17">
        <f>IF(A67="","",IF(E67="","",IFERROR(INDEX($B$4:$B$204,MATCH(E67,$A$4:$A$204,0)),"")))</f>
        <v/>
      </c>
      <c r="AJ67" s="17">
        <f>IF(A67="","",IF(OR(AND(UPPER(TRIM(B67))="SWALE",UPPER(TRIM(AI67))="PIPE"),AND(UPPER(TRIM(B67))="TRENCH",UPPER(TRIM(AI67))="PIPE")),Inputs!$B$55,0))</f>
        <v/>
      </c>
      <c r="AK67" s="17">
        <f>IF(A67="","",IF(OR(AND(UPPER(TRIM(B67))="SWALE",UPPER(TRIM(AI67))="PIPE"),AND(UPPER(TRIM(B67))="TRENCH",UPPER(TRIM(AI67))="PIPE")),Inputs!$B$56,Inputs!$B$54))</f>
        <v/>
      </c>
      <c r="AL67" s="4">
        <f>IF(A67="","",IF(E67="","TERMINAL",IF(OR(AND(UPPER(TRIM(B67))="SWALE",UPPER(TRIM(AI67))="PIPE"),AND(UPPER(TRIM(B67))="TRENCH",UPPER(TRIM(AI67))="PIPE")),IF(OR(AG67="",AJ67="",AK67=""),"INFO",IF(AND(AG67&gt;=AJ67,AG67&lt;=AK67),"OK","CHECK")),"N/A")))</f>
        <v/>
      </c>
    </row>
    <row r="68">
      <c r="A68" s="4" t="n"/>
      <c r="B68" s="4" t="n"/>
      <c r="C68" s="4" t="n"/>
      <c r="D68" s="4" t="n"/>
      <c r="E68" s="4" t="n"/>
      <c r="F68" s="7" t="n"/>
      <c r="G68" s="7" t="n"/>
      <c r="H68" s="7" t="n"/>
      <c r="I68" s="8">
        <f>IF(A68="","",IF(H68&lt;&gt;"",H68,IF(UPPER(TRIM(B68))="PIPE",Inputs!$B$7,IF(UPPER(TRIM(B68))="SWALE",Inputs!$B$8,Inputs!$B$9))))</f>
        <v/>
      </c>
      <c r="J68" s="7" t="n"/>
      <c r="K68" s="7" t="n"/>
      <c r="L68" s="7" t="n"/>
      <c r="M68" s="7" t="n"/>
      <c r="N68" s="7" t="n">
        <v>0</v>
      </c>
      <c r="O68" s="8">
        <f>IF(A68="","",SUMIFS(Zones_tributaires!$I:$I,Zones_tributaires!$J:$J,$A68))</f>
        <v/>
      </c>
      <c r="P68" s="8">
        <f>IF(A68="","",SUMIFS($Q$4:$Q$204,$E$4:$E$204,$A68))</f>
        <v/>
      </c>
      <c r="Q68" s="8">
        <f>IF(A68="","",(O68+P68)*Inputs!$B$6)</f>
        <v/>
      </c>
      <c r="R68" s="8">
        <f>IF(A68="","",IF(UPPER(TRIM(B68))="PIPE",PI()*(J68/1000)^2/4,IF(OR(K68="",L68=""),"",L68*(K68+M68*L68))))</f>
        <v/>
      </c>
      <c r="S68" s="8">
        <f>IF(A68="","",IF(UPPER(TRIM(B68))="PIPE",(J68/1000)/4,IF(OR(R68="",K68="",L68=""),"",R68/(K68+2*L68*SQRT(1+M68^2)))))</f>
        <v/>
      </c>
      <c r="T68" s="8">
        <f>IF(A68="","",IF(OR(I68="",R68="",S68="",G68=""),"",(1/I68)*R68*(S68^(2/3))*SQRT(G68)))</f>
        <v/>
      </c>
      <c r="U68" s="8">
        <f>IF(OR(T68="",Q68=""),"",Q68/(T68*Inputs!$B$19))</f>
        <v/>
      </c>
      <c r="V68" s="8">
        <f>IF(OR(R68="",Q68=""),"",Q68/R68)</f>
        <v/>
      </c>
      <c r="W68" s="8">
        <f>IF(OR(R68="",T68=""),"",T68/R68)</f>
        <v/>
      </c>
      <c r="X68" s="8">
        <f>IF(A68="","",IF(OR(UPPER(TRIM(Inputs!$B$15))="MANNING",UPPER(TRIM(Inputs!$B$15))="M"),W68,IF(OR(UPPER(TRIM(Inputs!$B$15))="MAX",UPPER(TRIM(Inputs!$B$15))="X"),MAX(V68,W68),V68)))</f>
        <v/>
      </c>
      <c r="Y68" s="8">
        <f>IF(A68="","",IF(UPPER(TRIM(B68))="TRENCH",K68*L68*N68,IF(UPPER(TRIM(B68))="SWALE",K68*L68,0)))</f>
        <v/>
      </c>
      <c r="Z68" s="8">
        <f>IF(OR(Y68="",F68=""),"",Y68*F68)</f>
        <v/>
      </c>
      <c r="AA68" s="4">
        <f>IF(A68="","",IF(OR(U68&gt;1,AND(X68&lt;&gt;"",X68&lt;Inputs!$B$16),AND(X68&lt;&gt;"",X68&gt;Inputs!$B$17),G68&lt;Inputs!$B$18,AH68="CHECK"),"CHECK","OK"))</f>
        <v/>
      </c>
      <c r="AB68" s="4" t="n"/>
      <c r="AC68" s="7" t="n"/>
      <c r="AD68" s="8">
        <f>IF(A68="","",IF(AC68&lt;&gt;"",AC68,IF(E68="",Inputs!$B$38,IFERROR(INDEX($AE$4:$AE$204,MATCH(E68,$A$4:$A$204,0))+IF(OR(AND(UPPER(TRIM(B68))="SWALE",UPPER(TRIM(AI68))="PIPE"),AND(UPPER(TRIM(B68))="TRENCH",UPPER(TRIM(AI68))="PIPE")),Inputs!$B$57,0),""))))</f>
        <v/>
      </c>
      <c r="AE68" s="8">
        <f>IF(OR(AD68="",F68="",G68=""),"",AD68+F68*G68)</f>
        <v/>
      </c>
      <c r="AF68" s="8">
        <f>IF(OR(E68="",A68=""),"",IFERROR(INDEX($AE$4:$AE$204,MATCH(E68,$A$4:$A$204,0)),""))</f>
        <v/>
      </c>
      <c r="AG68" s="8">
        <f>IF(OR(AD68="",AF68=""),"",AD68-AF68)</f>
        <v/>
      </c>
      <c r="AH68" s="4">
        <f>IF(A68="","",IF(E68="","TERMINAL",IF(OR(AND(UPPER(TRIM(B68))="SWALE",UPPER(TRIM(AI68))="PIPE"),AND(UPPER(TRIM(B68))="TRENCH",UPPER(TRIM(AI68))="PIPE")),IF(OR(AG68="",AJ68="",AK68=""),"INFO",IF(AND(AG68&gt;=AJ68,AG68&lt;=AK68),"OK","CHECK")),IF(AG68="","INFO",IF(ABS(AG68)&lt;=Inputs!$B$54,"OK","CHECK")))))</f>
        <v/>
      </c>
      <c r="AI68" s="17">
        <f>IF(A68="","",IF(E68="","",IFERROR(INDEX($B$4:$B$204,MATCH(E68,$A$4:$A$204,0)),"")))</f>
        <v/>
      </c>
      <c r="AJ68" s="17">
        <f>IF(A68="","",IF(OR(AND(UPPER(TRIM(B68))="SWALE",UPPER(TRIM(AI68))="PIPE"),AND(UPPER(TRIM(B68))="TRENCH",UPPER(TRIM(AI68))="PIPE")),Inputs!$B$55,0))</f>
        <v/>
      </c>
      <c r="AK68" s="17">
        <f>IF(A68="","",IF(OR(AND(UPPER(TRIM(B68))="SWALE",UPPER(TRIM(AI68))="PIPE"),AND(UPPER(TRIM(B68))="TRENCH",UPPER(TRIM(AI68))="PIPE")),Inputs!$B$56,Inputs!$B$54))</f>
        <v/>
      </c>
      <c r="AL68" s="4">
        <f>IF(A68="","",IF(E68="","TERMINAL",IF(OR(AND(UPPER(TRIM(B68))="SWALE",UPPER(TRIM(AI68))="PIPE"),AND(UPPER(TRIM(B68))="TRENCH",UPPER(TRIM(AI68))="PIPE")),IF(OR(AG68="",AJ68="",AK68=""),"INFO",IF(AND(AG68&gt;=AJ68,AG68&lt;=AK68),"OK","CHECK")),"N/A")))</f>
        <v/>
      </c>
    </row>
    <row r="69">
      <c r="A69" s="4" t="n"/>
      <c r="B69" s="4" t="n"/>
      <c r="C69" s="4" t="n"/>
      <c r="D69" s="4" t="n"/>
      <c r="E69" s="4" t="n"/>
      <c r="F69" s="7" t="n"/>
      <c r="G69" s="7" t="n"/>
      <c r="H69" s="7" t="n"/>
      <c r="I69" s="8">
        <f>IF(A69="","",IF(H69&lt;&gt;"",H69,IF(UPPER(TRIM(B69))="PIPE",Inputs!$B$7,IF(UPPER(TRIM(B69))="SWALE",Inputs!$B$8,Inputs!$B$9))))</f>
        <v/>
      </c>
      <c r="J69" s="7" t="n"/>
      <c r="K69" s="7" t="n"/>
      <c r="L69" s="7" t="n"/>
      <c r="M69" s="7" t="n"/>
      <c r="N69" s="7" t="n">
        <v>0</v>
      </c>
      <c r="O69" s="8">
        <f>IF(A69="","",SUMIFS(Zones_tributaires!$I:$I,Zones_tributaires!$J:$J,$A69))</f>
        <v/>
      </c>
      <c r="P69" s="8">
        <f>IF(A69="","",SUMIFS($Q$4:$Q$204,$E$4:$E$204,$A69))</f>
        <v/>
      </c>
      <c r="Q69" s="8">
        <f>IF(A69="","",(O69+P69)*Inputs!$B$6)</f>
        <v/>
      </c>
      <c r="R69" s="8">
        <f>IF(A69="","",IF(UPPER(TRIM(B69))="PIPE",PI()*(J69/1000)^2/4,IF(OR(K69="",L69=""),"",L69*(K69+M69*L69))))</f>
        <v/>
      </c>
      <c r="S69" s="8">
        <f>IF(A69="","",IF(UPPER(TRIM(B69))="PIPE",(J69/1000)/4,IF(OR(R69="",K69="",L69=""),"",R69/(K69+2*L69*SQRT(1+M69^2)))))</f>
        <v/>
      </c>
      <c r="T69" s="8">
        <f>IF(A69="","",IF(OR(I69="",R69="",S69="",G69=""),"",(1/I69)*R69*(S69^(2/3))*SQRT(G69)))</f>
        <v/>
      </c>
      <c r="U69" s="8">
        <f>IF(OR(T69="",Q69=""),"",Q69/(T69*Inputs!$B$19))</f>
        <v/>
      </c>
      <c r="V69" s="8">
        <f>IF(OR(R69="",Q69=""),"",Q69/R69)</f>
        <v/>
      </c>
      <c r="W69" s="8">
        <f>IF(OR(R69="",T69=""),"",T69/R69)</f>
        <v/>
      </c>
      <c r="X69" s="8">
        <f>IF(A69="","",IF(OR(UPPER(TRIM(Inputs!$B$15))="MANNING",UPPER(TRIM(Inputs!$B$15))="M"),W69,IF(OR(UPPER(TRIM(Inputs!$B$15))="MAX",UPPER(TRIM(Inputs!$B$15))="X"),MAX(V69,W69),V69)))</f>
        <v/>
      </c>
      <c r="Y69" s="8">
        <f>IF(A69="","",IF(UPPER(TRIM(B69))="TRENCH",K69*L69*N69,IF(UPPER(TRIM(B69))="SWALE",K69*L69,0)))</f>
        <v/>
      </c>
      <c r="Z69" s="8">
        <f>IF(OR(Y69="",F69=""),"",Y69*F69)</f>
        <v/>
      </c>
      <c r="AA69" s="4">
        <f>IF(A69="","",IF(OR(U69&gt;1,AND(X69&lt;&gt;"",X69&lt;Inputs!$B$16),AND(X69&lt;&gt;"",X69&gt;Inputs!$B$17),G69&lt;Inputs!$B$18,AH69="CHECK"),"CHECK","OK"))</f>
        <v/>
      </c>
      <c r="AB69" s="4" t="n"/>
      <c r="AC69" s="7" t="n"/>
      <c r="AD69" s="8">
        <f>IF(A69="","",IF(AC69&lt;&gt;"",AC69,IF(E69="",Inputs!$B$38,IFERROR(INDEX($AE$4:$AE$204,MATCH(E69,$A$4:$A$204,0))+IF(OR(AND(UPPER(TRIM(B69))="SWALE",UPPER(TRIM(AI69))="PIPE"),AND(UPPER(TRIM(B69))="TRENCH",UPPER(TRIM(AI69))="PIPE")),Inputs!$B$57,0),""))))</f>
        <v/>
      </c>
      <c r="AE69" s="8">
        <f>IF(OR(AD69="",F69="",G69=""),"",AD69+F69*G69)</f>
        <v/>
      </c>
      <c r="AF69" s="8">
        <f>IF(OR(E69="",A69=""),"",IFERROR(INDEX($AE$4:$AE$204,MATCH(E69,$A$4:$A$204,0)),""))</f>
        <v/>
      </c>
      <c r="AG69" s="8">
        <f>IF(OR(AD69="",AF69=""),"",AD69-AF69)</f>
        <v/>
      </c>
      <c r="AH69" s="4">
        <f>IF(A69="","",IF(E69="","TERMINAL",IF(OR(AND(UPPER(TRIM(B69))="SWALE",UPPER(TRIM(AI69))="PIPE"),AND(UPPER(TRIM(B69))="TRENCH",UPPER(TRIM(AI69))="PIPE")),IF(OR(AG69="",AJ69="",AK69=""),"INFO",IF(AND(AG69&gt;=AJ69,AG69&lt;=AK69),"OK","CHECK")),IF(AG69="","INFO",IF(ABS(AG69)&lt;=Inputs!$B$54,"OK","CHECK")))))</f>
        <v/>
      </c>
      <c r="AI69" s="17">
        <f>IF(A69="","",IF(E69="","",IFERROR(INDEX($B$4:$B$204,MATCH(E69,$A$4:$A$204,0)),"")))</f>
        <v/>
      </c>
      <c r="AJ69" s="17">
        <f>IF(A69="","",IF(OR(AND(UPPER(TRIM(B69))="SWALE",UPPER(TRIM(AI69))="PIPE"),AND(UPPER(TRIM(B69))="TRENCH",UPPER(TRIM(AI69))="PIPE")),Inputs!$B$55,0))</f>
        <v/>
      </c>
      <c r="AK69" s="17">
        <f>IF(A69="","",IF(OR(AND(UPPER(TRIM(B69))="SWALE",UPPER(TRIM(AI69))="PIPE"),AND(UPPER(TRIM(B69))="TRENCH",UPPER(TRIM(AI69))="PIPE")),Inputs!$B$56,Inputs!$B$54))</f>
        <v/>
      </c>
      <c r="AL69" s="4">
        <f>IF(A69="","",IF(E69="","TERMINAL",IF(OR(AND(UPPER(TRIM(B69))="SWALE",UPPER(TRIM(AI69))="PIPE"),AND(UPPER(TRIM(B69))="TRENCH",UPPER(TRIM(AI69))="PIPE")),IF(OR(AG69="",AJ69="",AK69=""),"INFO",IF(AND(AG69&gt;=AJ69,AG69&lt;=AK69),"OK","CHECK")),"N/A")))</f>
        <v/>
      </c>
    </row>
    <row r="70">
      <c r="A70" s="4" t="n"/>
      <c r="B70" s="4" t="n"/>
      <c r="C70" s="4" t="n"/>
      <c r="D70" s="4" t="n"/>
      <c r="E70" s="4" t="n"/>
      <c r="F70" s="7" t="n"/>
      <c r="G70" s="7" t="n"/>
      <c r="H70" s="7" t="n"/>
      <c r="I70" s="8">
        <f>IF(A70="","",IF(H70&lt;&gt;"",H70,IF(UPPER(TRIM(B70))="PIPE",Inputs!$B$7,IF(UPPER(TRIM(B70))="SWALE",Inputs!$B$8,Inputs!$B$9))))</f>
        <v/>
      </c>
      <c r="J70" s="7" t="n"/>
      <c r="K70" s="7" t="n"/>
      <c r="L70" s="7" t="n"/>
      <c r="M70" s="7" t="n"/>
      <c r="N70" s="7" t="n">
        <v>0</v>
      </c>
      <c r="O70" s="8">
        <f>IF(A70="","",SUMIFS(Zones_tributaires!$I:$I,Zones_tributaires!$J:$J,$A70))</f>
        <v/>
      </c>
      <c r="P70" s="8">
        <f>IF(A70="","",SUMIFS($Q$4:$Q$204,$E$4:$E$204,$A70))</f>
        <v/>
      </c>
      <c r="Q70" s="8">
        <f>IF(A70="","",(O70+P70)*Inputs!$B$6)</f>
        <v/>
      </c>
      <c r="R70" s="8">
        <f>IF(A70="","",IF(UPPER(TRIM(B70))="PIPE",PI()*(J70/1000)^2/4,IF(OR(K70="",L70=""),"",L70*(K70+M70*L70))))</f>
        <v/>
      </c>
      <c r="S70" s="8">
        <f>IF(A70="","",IF(UPPER(TRIM(B70))="PIPE",(J70/1000)/4,IF(OR(R70="",K70="",L70=""),"",R70/(K70+2*L70*SQRT(1+M70^2)))))</f>
        <v/>
      </c>
      <c r="T70" s="8">
        <f>IF(A70="","",IF(OR(I70="",R70="",S70="",G70=""),"",(1/I70)*R70*(S70^(2/3))*SQRT(G70)))</f>
        <v/>
      </c>
      <c r="U70" s="8">
        <f>IF(OR(T70="",Q70=""),"",Q70/(T70*Inputs!$B$19))</f>
        <v/>
      </c>
      <c r="V70" s="8">
        <f>IF(OR(R70="",Q70=""),"",Q70/R70)</f>
        <v/>
      </c>
      <c r="W70" s="8">
        <f>IF(OR(R70="",T70=""),"",T70/R70)</f>
        <v/>
      </c>
      <c r="X70" s="8">
        <f>IF(A70="","",IF(OR(UPPER(TRIM(Inputs!$B$15))="MANNING",UPPER(TRIM(Inputs!$B$15))="M"),W70,IF(OR(UPPER(TRIM(Inputs!$B$15))="MAX",UPPER(TRIM(Inputs!$B$15))="X"),MAX(V70,W70),V70)))</f>
        <v/>
      </c>
      <c r="Y70" s="8">
        <f>IF(A70="","",IF(UPPER(TRIM(B70))="TRENCH",K70*L70*N70,IF(UPPER(TRIM(B70))="SWALE",K70*L70,0)))</f>
        <v/>
      </c>
      <c r="Z70" s="8">
        <f>IF(OR(Y70="",F70=""),"",Y70*F70)</f>
        <v/>
      </c>
      <c r="AA70" s="4">
        <f>IF(A70="","",IF(OR(U70&gt;1,AND(X70&lt;&gt;"",X70&lt;Inputs!$B$16),AND(X70&lt;&gt;"",X70&gt;Inputs!$B$17),G70&lt;Inputs!$B$18,AH70="CHECK"),"CHECK","OK"))</f>
        <v/>
      </c>
      <c r="AB70" s="4" t="n"/>
      <c r="AC70" s="7" t="n"/>
      <c r="AD70" s="8">
        <f>IF(A70="","",IF(AC70&lt;&gt;"",AC70,IF(E70="",Inputs!$B$38,IFERROR(INDEX($AE$4:$AE$204,MATCH(E70,$A$4:$A$204,0))+IF(OR(AND(UPPER(TRIM(B70))="SWALE",UPPER(TRIM(AI70))="PIPE"),AND(UPPER(TRIM(B70))="TRENCH",UPPER(TRIM(AI70))="PIPE")),Inputs!$B$57,0),""))))</f>
        <v/>
      </c>
      <c r="AE70" s="8">
        <f>IF(OR(AD70="",F70="",G70=""),"",AD70+F70*G70)</f>
        <v/>
      </c>
      <c r="AF70" s="8">
        <f>IF(OR(E70="",A70=""),"",IFERROR(INDEX($AE$4:$AE$204,MATCH(E70,$A$4:$A$204,0)),""))</f>
        <v/>
      </c>
      <c r="AG70" s="8">
        <f>IF(OR(AD70="",AF70=""),"",AD70-AF70)</f>
        <v/>
      </c>
      <c r="AH70" s="4">
        <f>IF(A70="","",IF(E70="","TERMINAL",IF(OR(AND(UPPER(TRIM(B70))="SWALE",UPPER(TRIM(AI70))="PIPE"),AND(UPPER(TRIM(B70))="TRENCH",UPPER(TRIM(AI70))="PIPE")),IF(OR(AG70="",AJ70="",AK70=""),"INFO",IF(AND(AG70&gt;=AJ70,AG70&lt;=AK70),"OK","CHECK")),IF(AG70="","INFO",IF(ABS(AG70)&lt;=Inputs!$B$54,"OK","CHECK")))))</f>
        <v/>
      </c>
      <c r="AI70" s="17">
        <f>IF(A70="","",IF(E70="","",IFERROR(INDEX($B$4:$B$204,MATCH(E70,$A$4:$A$204,0)),"")))</f>
        <v/>
      </c>
      <c r="AJ70" s="17">
        <f>IF(A70="","",IF(OR(AND(UPPER(TRIM(B70))="SWALE",UPPER(TRIM(AI70))="PIPE"),AND(UPPER(TRIM(B70))="TRENCH",UPPER(TRIM(AI70))="PIPE")),Inputs!$B$55,0))</f>
        <v/>
      </c>
      <c r="AK70" s="17">
        <f>IF(A70="","",IF(OR(AND(UPPER(TRIM(B70))="SWALE",UPPER(TRIM(AI70))="PIPE"),AND(UPPER(TRIM(B70))="TRENCH",UPPER(TRIM(AI70))="PIPE")),Inputs!$B$56,Inputs!$B$54))</f>
        <v/>
      </c>
      <c r="AL70" s="4">
        <f>IF(A70="","",IF(E70="","TERMINAL",IF(OR(AND(UPPER(TRIM(B70))="SWALE",UPPER(TRIM(AI70))="PIPE"),AND(UPPER(TRIM(B70))="TRENCH",UPPER(TRIM(AI70))="PIPE")),IF(OR(AG70="",AJ70="",AK70=""),"INFO",IF(AND(AG70&gt;=AJ70,AG70&lt;=AK70),"OK","CHECK")),"N/A")))</f>
        <v/>
      </c>
    </row>
    <row r="71">
      <c r="A71" s="4" t="n"/>
      <c r="B71" s="4" t="n"/>
      <c r="C71" s="4" t="n"/>
      <c r="D71" s="4" t="n"/>
      <c r="E71" s="4" t="n"/>
      <c r="F71" s="7" t="n"/>
      <c r="G71" s="7" t="n"/>
      <c r="H71" s="7" t="n"/>
      <c r="I71" s="8">
        <f>IF(A71="","",IF(H71&lt;&gt;"",H71,IF(UPPER(TRIM(B71))="PIPE",Inputs!$B$7,IF(UPPER(TRIM(B71))="SWALE",Inputs!$B$8,Inputs!$B$9))))</f>
        <v/>
      </c>
      <c r="J71" s="7" t="n"/>
      <c r="K71" s="7" t="n"/>
      <c r="L71" s="7" t="n"/>
      <c r="M71" s="7" t="n"/>
      <c r="N71" s="7" t="n">
        <v>0</v>
      </c>
      <c r="O71" s="8">
        <f>IF(A71="","",SUMIFS(Zones_tributaires!$I:$I,Zones_tributaires!$J:$J,$A71))</f>
        <v/>
      </c>
      <c r="P71" s="8">
        <f>IF(A71="","",SUMIFS($Q$4:$Q$204,$E$4:$E$204,$A71))</f>
        <v/>
      </c>
      <c r="Q71" s="8">
        <f>IF(A71="","",(O71+P71)*Inputs!$B$6)</f>
        <v/>
      </c>
      <c r="R71" s="8">
        <f>IF(A71="","",IF(UPPER(TRIM(B71))="PIPE",PI()*(J71/1000)^2/4,IF(OR(K71="",L71=""),"",L71*(K71+M71*L71))))</f>
        <v/>
      </c>
      <c r="S71" s="8">
        <f>IF(A71="","",IF(UPPER(TRIM(B71))="PIPE",(J71/1000)/4,IF(OR(R71="",K71="",L71=""),"",R71/(K71+2*L71*SQRT(1+M71^2)))))</f>
        <v/>
      </c>
      <c r="T71" s="8">
        <f>IF(A71="","",IF(OR(I71="",R71="",S71="",G71=""),"",(1/I71)*R71*(S71^(2/3))*SQRT(G71)))</f>
        <v/>
      </c>
      <c r="U71" s="8">
        <f>IF(OR(T71="",Q71=""),"",Q71/(T71*Inputs!$B$19))</f>
        <v/>
      </c>
      <c r="V71" s="8">
        <f>IF(OR(R71="",Q71=""),"",Q71/R71)</f>
        <v/>
      </c>
      <c r="W71" s="8">
        <f>IF(OR(R71="",T71=""),"",T71/R71)</f>
        <v/>
      </c>
      <c r="X71" s="8">
        <f>IF(A71="","",IF(OR(UPPER(TRIM(Inputs!$B$15))="MANNING",UPPER(TRIM(Inputs!$B$15))="M"),W71,IF(OR(UPPER(TRIM(Inputs!$B$15))="MAX",UPPER(TRIM(Inputs!$B$15))="X"),MAX(V71,W71),V71)))</f>
        <v/>
      </c>
      <c r="Y71" s="8">
        <f>IF(A71="","",IF(UPPER(TRIM(B71))="TRENCH",K71*L71*N71,IF(UPPER(TRIM(B71))="SWALE",K71*L71,0)))</f>
        <v/>
      </c>
      <c r="Z71" s="8">
        <f>IF(OR(Y71="",F71=""),"",Y71*F71)</f>
        <v/>
      </c>
      <c r="AA71" s="4">
        <f>IF(A71="","",IF(OR(U71&gt;1,AND(X71&lt;&gt;"",X71&lt;Inputs!$B$16),AND(X71&lt;&gt;"",X71&gt;Inputs!$B$17),G71&lt;Inputs!$B$18,AH71="CHECK"),"CHECK","OK"))</f>
        <v/>
      </c>
      <c r="AB71" s="4" t="n"/>
      <c r="AC71" s="7" t="n"/>
      <c r="AD71" s="8">
        <f>IF(A71="","",IF(AC71&lt;&gt;"",AC71,IF(E71="",Inputs!$B$38,IFERROR(INDEX($AE$4:$AE$204,MATCH(E71,$A$4:$A$204,0))+IF(OR(AND(UPPER(TRIM(B71))="SWALE",UPPER(TRIM(AI71))="PIPE"),AND(UPPER(TRIM(B71))="TRENCH",UPPER(TRIM(AI71))="PIPE")),Inputs!$B$57,0),""))))</f>
        <v/>
      </c>
      <c r="AE71" s="8">
        <f>IF(OR(AD71="",F71="",G71=""),"",AD71+F71*G71)</f>
        <v/>
      </c>
      <c r="AF71" s="8">
        <f>IF(OR(E71="",A71=""),"",IFERROR(INDEX($AE$4:$AE$204,MATCH(E71,$A$4:$A$204,0)),""))</f>
        <v/>
      </c>
      <c r="AG71" s="8">
        <f>IF(OR(AD71="",AF71=""),"",AD71-AF71)</f>
        <v/>
      </c>
      <c r="AH71" s="4">
        <f>IF(A71="","",IF(E71="","TERMINAL",IF(OR(AND(UPPER(TRIM(B71))="SWALE",UPPER(TRIM(AI71))="PIPE"),AND(UPPER(TRIM(B71))="TRENCH",UPPER(TRIM(AI71))="PIPE")),IF(OR(AG71="",AJ71="",AK71=""),"INFO",IF(AND(AG71&gt;=AJ71,AG71&lt;=AK71),"OK","CHECK")),IF(AG71="","INFO",IF(ABS(AG71)&lt;=Inputs!$B$54,"OK","CHECK")))))</f>
        <v/>
      </c>
      <c r="AI71" s="17">
        <f>IF(A71="","",IF(E71="","",IFERROR(INDEX($B$4:$B$204,MATCH(E71,$A$4:$A$204,0)),"")))</f>
        <v/>
      </c>
      <c r="AJ71" s="17">
        <f>IF(A71="","",IF(OR(AND(UPPER(TRIM(B71))="SWALE",UPPER(TRIM(AI71))="PIPE"),AND(UPPER(TRIM(B71))="TRENCH",UPPER(TRIM(AI71))="PIPE")),Inputs!$B$55,0))</f>
        <v/>
      </c>
      <c r="AK71" s="17">
        <f>IF(A71="","",IF(OR(AND(UPPER(TRIM(B71))="SWALE",UPPER(TRIM(AI71))="PIPE"),AND(UPPER(TRIM(B71))="TRENCH",UPPER(TRIM(AI71))="PIPE")),Inputs!$B$56,Inputs!$B$54))</f>
        <v/>
      </c>
      <c r="AL71" s="4">
        <f>IF(A71="","",IF(E71="","TERMINAL",IF(OR(AND(UPPER(TRIM(B71))="SWALE",UPPER(TRIM(AI71))="PIPE"),AND(UPPER(TRIM(B71))="TRENCH",UPPER(TRIM(AI71))="PIPE")),IF(OR(AG71="",AJ71="",AK71=""),"INFO",IF(AND(AG71&gt;=AJ71,AG71&lt;=AK71),"OK","CHECK")),"N/A")))</f>
        <v/>
      </c>
    </row>
    <row r="72">
      <c r="A72" s="4" t="n"/>
      <c r="B72" s="4" t="n"/>
      <c r="C72" s="4" t="n"/>
      <c r="D72" s="4" t="n"/>
      <c r="E72" s="4" t="n"/>
      <c r="F72" s="7" t="n"/>
      <c r="G72" s="7" t="n"/>
      <c r="H72" s="7" t="n"/>
      <c r="I72" s="8">
        <f>IF(A72="","",IF(H72&lt;&gt;"",H72,IF(UPPER(TRIM(B72))="PIPE",Inputs!$B$7,IF(UPPER(TRIM(B72))="SWALE",Inputs!$B$8,Inputs!$B$9))))</f>
        <v/>
      </c>
      <c r="J72" s="7" t="n"/>
      <c r="K72" s="7" t="n"/>
      <c r="L72" s="7" t="n"/>
      <c r="M72" s="7" t="n"/>
      <c r="N72" s="7" t="n">
        <v>0</v>
      </c>
      <c r="O72" s="8">
        <f>IF(A72="","",SUMIFS(Zones_tributaires!$I:$I,Zones_tributaires!$J:$J,$A72))</f>
        <v/>
      </c>
      <c r="P72" s="8">
        <f>IF(A72="","",SUMIFS($Q$4:$Q$204,$E$4:$E$204,$A72))</f>
        <v/>
      </c>
      <c r="Q72" s="8">
        <f>IF(A72="","",(O72+P72)*Inputs!$B$6)</f>
        <v/>
      </c>
      <c r="R72" s="8">
        <f>IF(A72="","",IF(UPPER(TRIM(B72))="PIPE",PI()*(J72/1000)^2/4,IF(OR(K72="",L72=""),"",L72*(K72+M72*L72))))</f>
        <v/>
      </c>
      <c r="S72" s="8">
        <f>IF(A72="","",IF(UPPER(TRIM(B72))="PIPE",(J72/1000)/4,IF(OR(R72="",K72="",L72=""),"",R72/(K72+2*L72*SQRT(1+M72^2)))))</f>
        <v/>
      </c>
      <c r="T72" s="8">
        <f>IF(A72="","",IF(OR(I72="",R72="",S72="",G72=""),"",(1/I72)*R72*(S72^(2/3))*SQRT(G72)))</f>
        <v/>
      </c>
      <c r="U72" s="8">
        <f>IF(OR(T72="",Q72=""),"",Q72/(T72*Inputs!$B$19))</f>
        <v/>
      </c>
      <c r="V72" s="8">
        <f>IF(OR(R72="",Q72=""),"",Q72/R72)</f>
        <v/>
      </c>
      <c r="W72" s="8">
        <f>IF(OR(R72="",T72=""),"",T72/R72)</f>
        <v/>
      </c>
      <c r="X72" s="8">
        <f>IF(A72="","",IF(OR(UPPER(TRIM(Inputs!$B$15))="MANNING",UPPER(TRIM(Inputs!$B$15))="M"),W72,IF(OR(UPPER(TRIM(Inputs!$B$15))="MAX",UPPER(TRIM(Inputs!$B$15))="X"),MAX(V72,W72),V72)))</f>
        <v/>
      </c>
      <c r="Y72" s="8">
        <f>IF(A72="","",IF(UPPER(TRIM(B72))="TRENCH",K72*L72*N72,IF(UPPER(TRIM(B72))="SWALE",K72*L72,0)))</f>
        <v/>
      </c>
      <c r="Z72" s="8">
        <f>IF(OR(Y72="",F72=""),"",Y72*F72)</f>
        <v/>
      </c>
      <c r="AA72" s="4">
        <f>IF(A72="","",IF(OR(U72&gt;1,AND(X72&lt;&gt;"",X72&lt;Inputs!$B$16),AND(X72&lt;&gt;"",X72&gt;Inputs!$B$17),G72&lt;Inputs!$B$18,AH72="CHECK"),"CHECK","OK"))</f>
        <v/>
      </c>
      <c r="AB72" s="4" t="n"/>
      <c r="AC72" s="7" t="n"/>
      <c r="AD72" s="8">
        <f>IF(A72="","",IF(AC72&lt;&gt;"",AC72,IF(E72="",Inputs!$B$38,IFERROR(INDEX($AE$4:$AE$204,MATCH(E72,$A$4:$A$204,0))+IF(OR(AND(UPPER(TRIM(B72))="SWALE",UPPER(TRIM(AI72))="PIPE"),AND(UPPER(TRIM(B72))="TRENCH",UPPER(TRIM(AI72))="PIPE")),Inputs!$B$57,0),""))))</f>
        <v/>
      </c>
      <c r="AE72" s="8">
        <f>IF(OR(AD72="",F72="",G72=""),"",AD72+F72*G72)</f>
        <v/>
      </c>
      <c r="AF72" s="8">
        <f>IF(OR(E72="",A72=""),"",IFERROR(INDEX($AE$4:$AE$204,MATCH(E72,$A$4:$A$204,0)),""))</f>
        <v/>
      </c>
      <c r="AG72" s="8">
        <f>IF(OR(AD72="",AF72=""),"",AD72-AF72)</f>
        <v/>
      </c>
      <c r="AH72" s="4">
        <f>IF(A72="","",IF(E72="","TERMINAL",IF(OR(AND(UPPER(TRIM(B72))="SWALE",UPPER(TRIM(AI72))="PIPE"),AND(UPPER(TRIM(B72))="TRENCH",UPPER(TRIM(AI72))="PIPE")),IF(OR(AG72="",AJ72="",AK72=""),"INFO",IF(AND(AG72&gt;=AJ72,AG72&lt;=AK72),"OK","CHECK")),IF(AG72="","INFO",IF(ABS(AG72)&lt;=Inputs!$B$54,"OK","CHECK")))))</f>
        <v/>
      </c>
      <c r="AI72" s="17">
        <f>IF(A72="","",IF(E72="","",IFERROR(INDEX($B$4:$B$204,MATCH(E72,$A$4:$A$204,0)),"")))</f>
        <v/>
      </c>
      <c r="AJ72" s="17">
        <f>IF(A72="","",IF(OR(AND(UPPER(TRIM(B72))="SWALE",UPPER(TRIM(AI72))="PIPE"),AND(UPPER(TRIM(B72))="TRENCH",UPPER(TRIM(AI72))="PIPE")),Inputs!$B$55,0))</f>
        <v/>
      </c>
      <c r="AK72" s="17">
        <f>IF(A72="","",IF(OR(AND(UPPER(TRIM(B72))="SWALE",UPPER(TRIM(AI72))="PIPE"),AND(UPPER(TRIM(B72))="TRENCH",UPPER(TRIM(AI72))="PIPE")),Inputs!$B$56,Inputs!$B$54))</f>
        <v/>
      </c>
      <c r="AL72" s="4">
        <f>IF(A72="","",IF(E72="","TERMINAL",IF(OR(AND(UPPER(TRIM(B72))="SWALE",UPPER(TRIM(AI72))="PIPE"),AND(UPPER(TRIM(B72))="TRENCH",UPPER(TRIM(AI72))="PIPE")),IF(OR(AG72="",AJ72="",AK72=""),"INFO",IF(AND(AG72&gt;=AJ72,AG72&lt;=AK72),"OK","CHECK")),"N/A")))</f>
        <v/>
      </c>
    </row>
    <row r="73">
      <c r="A73" s="4" t="n"/>
      <c r="B73" s="4" t="n"/>
      <c r="C73" s="4" t="n"/>
      <c r="D73" s="4" t="n"/>
      <c r="E73" s="4" t="n"/>
      <c r="F73" s="7" t="n"/>
      <c r="G73" s="7" t="n"/>
      <c r="H73" s="7" t="n"/>
      <c r="I73" s="8">
        <f>IF(A73="","",IF(H73&lt;&gt;"",H73,IF(UPPER(TRIM(B73))="PIPE",Inputs!$B$7,IF(UPPER(TRIM(B73))="SWALE",Inputs!$B$8,Inputs!$B$9))))</f>
        <v/>
      </c>
      <c r="J73" s="7" t="n"/>
      <c r="K73" s="7" t="n"/>
      <c r="L73" s="7" t="n"/>
      <c r="M73" s="7" t="n"/>
      <c r="N73" s="7" t="n">
        <v>0</v>
      </c>
      <c r="O73" s="8">
        <f>IF(A73="","",SUMIFS(Zones_tributaires!$I:$I,Zones_tributaires!$J:$J,$A73))</f>
        <v/>
      </c>
      <c r="P73" s="8">
        <f>IF(A73="","",SUMIFS($Q$4:$Q$204,$E$4:$E$204,$A73))</f>
        <v/>
      </c>
      <c r="Q73" s="8">
        <f>IF(A73="","",(O73+P73)*Inputs!$B$6)</f>
        <v/>
      </c>
      <c r="R73" s="8">
        <f>IF(A73="","",IF(UPPER(TRIM(B73))="PIPE",PI()*(J73/1000)^2/4,IF(OR(K73="",L73=""),"",L73*(K73+M73*L73))))</f>
        <v/>
      </c>
      <c r="S73" s="8">
        <f>IF(A73="","",IF(UPPER(TRIM(B73))="PIPE",(J73/1000)/4,IF(OR(R73="",K73="",L73=""),"",R73/(K73+2*L73*SQRT(1+M73^2)))))</f>
        <v/>
      </c>
      <c r="T73" s="8">
        <f>IF(A73="","",IF(OR(I73="",R73="",S73="",G73=""),"",(1/I73)*R73*(S73^(2/3))*SQRT(G73)))</f>
        <v/>
      </c>
      <c r="U73" s="8">
        <f>IF(OR(T73="",Q73=""),"",Q73/(T73*Inputs!$B$19))</f>
        <v/>
      </c>
      <c r="V73" s="8">
        <f>IF(OR(R73="",Q73=""),"",Q73/R73)</f>
        <v/>
      </c>
      <c r="W73" s="8">
        <f>IF(OR(R73="",T73=""),"",T73/R73)</f>
        <v/>
      </c>
      <c r="X73" s="8">
        <f>IF(A73="","",IF(OR(UPPER(TRIM(Inputs!$B$15))="MANNING",UPPER(TRIM(Inputs!$B$15))="M"),W73,IF(OR(UPPER(TRIM(Inputs!$B$15))="MAX",UPPER(TRIM(Inputs!$B$15))="X"),MAX(V73,W73),V73)))</f>
        <v/>
      </c>
      <c r="Y73" s="8">
        <f>IF(A73="","",IF(UPPER(TRIM(B73))="TRENCH",K73*L73*N73,IF(UPPER(TRIM(B73))="SWALE",K73*L73,0)))</f>
        <v/>
      </c>
      <c r="Z73" s="8">
        <f>IF(OR(Y73="",F73=""),"",Y73*F73)</f>
        <v/>
      </c>
      <c r="AA73" s="4">
        <f>IF(A73="","",IF(OR(U73&gt;1,AND(X73&lt;&gt;"",X73&lt;Inputs!$B$16),AND(X73&lt;&gt;"",X73&gt;Inputs!$B$17),G73&lt;Inputs!$B$18,AH73="CHECK"),"CHECK","OK"))</f>
        <v/>
      </c>
      <c r="AB73" s="4" t="n"/>
      <c r="AC73" s="7" t="n"/>
      <c r="AD73" s="8">
        <f>IF(A73="","",IF(AC73&lt;&gt;"",AC73,IF(E73="",Inputs!$B$38,IFERROR(INDEX($AE$4:$AE$204,MATCH(E73,$A$4:$A$204,0))+IF(OR(AND(UPPER(TRIM(B73))="SWALE",UPPER(TRIM(AI73))="PIPE"),AND(UPPER(TRIM(B73))="TRENCH",UPPER(TRIM(AI73))="PIPE")),Inputs!$B$57,0),""))))</f>
        <v/>
      </c>
      <c r="AE73" s="8">
        <f>IF(OR(AD73="",F73="",G73=""),"",AD73+F73*G73)</f>
        <v/>
      </c>
      <c r="AF73" s="8">
        <f>IF(OR(E73="",A73=""),"",IFERROR(INDEX($AE$4:$AE$204,MATCH(E73,$A$4:$A$204,0)),""))</f>
        <v/>
      </c>
      <c r="AG73" s="8">
        <f>IF(OR(AD73="",AF73=""),"",AD73-AF73)</f>
        <v/>
      </c>
      <c r="AH73" s="4">
        <f>IF(A73="","",IF(E73="","TERMINAL",IF(OR(AND(UPPER(TRIM(B73))="SWALE",UPPER(TRIM(AI73))="PIPE"),AND(UPPER(TRIM(B73))="TRENCH",UPPER(TRIM(AI73))="PIPE")),IF(OR(AG73="",AJ73="",AK73=""),"INFO",IF(AND(AG73&gt;=AJ73,AG73&lt;=AK73),"OK","CHECK")),IF(AG73="","INFO",IF(ABS(AG73)&lt;=Inputs!$B$54,"OK","CHECK")))))</f>
        <v/>
      </c>
      <c r="AI73" s="17">
        <f>IF(A73="","",IF(E73="","",IFERROR(INDEX($B$4:$B$204,MATCH(E73,$A$4:$A$204,0)),"")))</f>
        <v/>
      </c>
      <c r="AJ73" s="17">
        <f>IF(A73="","",IF(OR(AND(UPPER(TRIM(B73))="SWALE",UPPER(TRIM(AI73))="PIPE"),AND(UPPER(TRIM(B73))="TRENCH",UPPER(TRIM(AI73))="PIPE")),Inputs!$B$55,0))</f>
        <v/>
      </c>
      <c r="AK73" s="17">
        <f>IF(A73="","",IF(OR(AND(UPPER(TRIM(B73))="SWALE",UPPER(TRIM(AI73))="PIPE"),AND(UPPER(TRIM(B73))="TRENCH",UPPER(TRIM(AI73))="PIPE")),Inputs!$B$56,Inputs!$B$54))</f>
        <v/>
      </c>
      <c r="AL73" s="4">
        <f>IF(A73="","",IF(E73="","TERMINAL",IF(OR(AND(UPPER(TRIM(B73))="SWALE",UPPER(TRIM(AI73))="PIPE"),AND(UPPER(TRIM(B73))="TRENCH",UPPER(TRIM(AI73))="PIPE")),IF(OR(AG73="",AJ73="",AK73=""),"INFO",IF(AND(AG73&gt;=AJ73,AG73&lt;=AK73),"OK","CHECK")),"N/A")))</f>
        <v/>
      </c>
    </row>
    <row r="74">
      <c r="A74" s="4" t="n"/>
      <c r="B74" s="4" t="n"/>
      <c r="C74" s="4" t="n"/>
      <c r="D74" s="4" t="n"/>
      <c r="E74" s="4" t="n"/>
      <c r="F74" s="7" t="n"/>
      <c r="G74" s="7" t="n"/>
      <c r="H74" s="7" t="n"/>
      <c r="I74" s="8">
        <f>IF(A74="","",IF(H74&lt;&gt;"",H74,IF(UPPER(TRIM(B74))="PIPE",Inputs!$B$7,IF(UPPER(TRIM(B74))="SWALE",Inputs!$B$8,Inputs!$B$9))))</f>
        <v/>
      </c>
      <c r="J74" s="7" t="n"/>
      <c r="K74" s="7" t="n"/>
      <c r="L74" s="7" t="n"/>
      <c r="M74" s="7" t="n"/>
      <c r="N74" s="7" t="n">
        <v>0</v>
      </c>
      <c r="O74" s="8">
        <f>IF(A74="","",SUMIFS(Zones_tributaires!$I:$I,Zones_tributaires!$J:$J,$A74))</f>
        <v/>
      </c>
      <c r="P74" s="8">
        <f>IF(A74="","",SUMIFS($Q$4:$Q$204,$E$4:$E$204,$A74))</f>
        <v/>
      </c>
      <c r="Q74" s="8">
        <f>IF(A74="","",(O74+P74)*Inputs!$B$6)</f>
        <v/>
      </c>
      <c r="R74" s="8">
        <f>IF(A74="","",IF(UPPER(TRIM(B74))="PIPE",PI()*(J74/1000)^2/4,IF(OR(K74="",L74=""),"",L74*(K74+M74*L74))))</f>
        <v/>
      </c>
      <c r="S74" s="8">
        <f>IF(A74="","",IF(UPPER(TRIM(B74))="PIPE",(J74/1000)/4,IF(OR(R74="",K74="",L74=""),"",R74/(K74+2*L74*SQRT(1+M74^2)))))</f>
        <v/>
      </c>
      <c r="T74" s="8">
        <f>IF(A74="","",IF(OR(I74="",R74="",S74="",G74=""),"",(1/I74)*R74*(S74^(2/3))*SQRT(G74)))</f>
        <v/>
      </c>
      <c r="U74" s="8">
        <f>IF(OR(T74="",Q74=""),"",Q74/(T74*Inputs!$B$19))</f>
        <v/>
      </c>
      <c r="V74" s="8">
        <f>IF(OR(R74="",Q74=""),"",Q74/R74)</f>
        <v/>
      </c>
      <c r="W74" s="8">
        <f>IF(OR(R74="",T74=""),"",T74/R74)</f>
        <v/>
      </c>
      <c r="X74" s="8">
        <f>IF(A74="","",IF(OR(UPPER(TRIM(Inputs!$B$15))="MANNING",UPPER(TRIM(Inputs!$B$15))="M"),W74,IF(OR(UPPER(TRIM(Inputs!$B$15))="MAX",UPPER(TRIM(Inputs!$B$15))="X"),MAX(V74,W74),V74)))</f>
        <v/>
      </c>
      <c r="Y74" s="8">
        <f>IF(A74="","",IF(UPPER(TRIM(B74))="TRENCH",K74*L74*N74,IF(UPPER(TRIM(B74))="SWALE",K74*L74,0)))</f>
        <v/>
      </c>
      <c r="Z74" s="8">
        <f>IF(OR(Y74="",F74=""),"",Y74*F74)</f>
        <v/>
      </c>
      <c r="AA74" s="4">
        <f>IF(A74="","",IF(OR(U74&gt;1,AND(X74&lt;&gt;"",X74&lt;Inputs!$B$16),AND(X74&lt;&gt;"",X74&gt;Inputs!$B$17),G74&lt;Inputs!$B$18,AH74="CHECK"),"CHECK","OK"))</f>
        <v/>
      </c>
      <c r="AB74" s="4" t="n"/>
      <c r="AC74" s="7" t="n"/>
      <c r="AD74" s="8">
        <f>IF(A74="","",IF(AC74&lt;&gt;"",AC74,IF(E74="",Inputs!$B$38,IFERROR(INDEX($AE$4:$AE$204,MATCH(E74,$A$4:$A$204,0))+IF(OR(AND(UPPER(TRIM(B74))="SWALE",UPPER(TRIM(AI74))="PIPE"),AND(UPPER(TRIM(B74))="TRENCH",UPPER(TRIM(AI74))="PIPE")),Inputs!$B$57,0),""))))</f>
        <v/>
      </c>
      <c r="AE74" s="8">
        <f>IF(OR(AD74="",F74="",G74=""),"",AD74+F74*G74)</f>
        <v/>
      </c>
      <c r="AF74" s="8">
        <f>IF(OR(E74="",A74=""),"",IFERROR(INDEX($AE$4:$AE$204,MATCH(E74,$A$4:$A$204,0)),""))</f>
        <v/>
      </c>
      <c r="AG74" s="8">
        <f>IF(OR(AD74="",AF74=""),"",AD74-AF74)</f>
        <v/>
      </c>
      <c r="AH74" s="4">
        <f>IF(A74="","",IF(E74="","TERMINAL",IF(OR(AND(UPPER(TRIM(B74))="SWALE",UPPER(TRIM(AI74))="PIPE"),AND(UPPER(TRIM(B74))="TRENCH",UPPER(TRIM(AI74))="PIPE")),IF(OR(AG74="",AJ74="",AK74=""),"INFO",IF(AND(AG74&gt;=AJ74,AG74&lt;=AK74),"OK","CHECK")),IF(AG74="","INFO",IF(ABS(AG74)&lt;=Inputs!$B$54,"OK","CHECK")))))</f>
        <v/>
      </c>
      <c r="AI74" s="17">
        <f>IF(A74="","",IF(E74="","",IFERROR(INDEX($B$4:$B$204,MATCH(E74,$A$4:$A$204,0)),"")))</f>
        <v/>
      </c>
      <c r="AJ74" s="17">
        <f>IF(A74="","",IF(OR(AND(UPPER(TRIM(B74))="SWALE",UPPER(TRIM(AI74))="PIPE"),AND(UPPER(TRIM(B74))="TRENCH",UPPER(TRIM(AI74))="PIPE")),Inputs!$B$55,0))</f>
        <v/>
      </c>
      <c r="AK74" s="17">
        <f>IF(A74="","",IF(OR(AND(UPPER(TRIM(B74))="SWALE",UPPER(TRIM(AI74))="PIPE"),AND(UPPER(TRIM(B74))="TRENCH",UPPER(TRIM(AI74))="PIPE")),Inputs!$B$56,Inputs!$B$54))</f>
        <v/>
      </c>
      <c r="AL74" s="4">
        <f>IF(A74="","",IF(E74="","TERMINAL",IF(OR(AND(UPPER(TRIM(B74))="SWALE",UPPER(TRIM(AI74))="PIPE"),AND(UPPER(TRIM(B74))="TRENCH",UPPER(TRIM(AI74))="PIPE")),IF(OR(AG74="",AJ74="",AK74=""),"INFO",IF(AND(AG74&gt;=AJ74,AG74&lt;=AK74),"OK","CHECK")),"N/A")))</f>
        <v/>
      </c>
    </row>
    <row r="75">
      <c r="A75" s="4" t="n"/>
      <c r="B75" s="4" t="n"/>
      <c r="C75" s="4" t="n"/>
      <c r="D75" s="4" t="n"/>
      <c r="E75" s="4" t="n"/>
      <c r="F75" s="7" t="n"/>
      <c r="G75" s="7" t="n"/>
      <c r="H75" s="7" t="n"/>
      <c r="I75" s="8">
        <f>IF(A75="","",IF(H75&lt;&gt;"",H75,IF(UPPER(TRIM(B75))="PIPE",Inputs!$B$7,IF(UPPER(TRIM(B75))="SWALE",Inputs!$B$8,Inputs!$B$9))))</f>
        <v/>
      </c>
      <c r="J75" s="7" t="n"/>
      <c r="K75" s="7" t="n"/>
      <c r="L75" s="7" t="n"/>
      <c r="M75" s="7" t="n"/>
      <c r="N75" s="7" t="n">
        <v>0</v>
      </c>
      <c r="O75" s="8">
        <f>IF(A75="","",SUMIFS(Zones_tributaires!$I:$I,Zones_tributaires!$J:$J,$A75))</f>
        <v/>
      </c>
      <c r="P75" s="8">
        <f>IF(A75="","",SUMIFS($Q$4:$Q$204,$E$4:$E$204,$A75))</f>
        <v/>
      </c>
      <c r="Q75" s="8">
        <f>IF(A75="","",(O75+P75)*Inputs!$B$6)</f>
        <v/>
      </c>
      <c r="R75" s="8">
        <f>IF(A75="","",IF(UPPER(TRIM(B75))="PIPE",PI()*(J75/1000)^2/4,IF(OR(K75="",L75=""),"",L75*(K75+M75*L75))))</f>
        <v/>
      </c>
      <c r="S75" s="8">
        <f>IF(A75="","",IF(UPPER(TRIM(B75))="PIPE",(J75/1000)/4,IF(OR(R75="",K75="",L75=""),"",R75/(K75+2*L75*SQRT(1+M75^2)))))</f>
        <v/>
      </c>
      <c r="T75" s="8">
        <f>IF(A75="","",IF(OR(I75="",R75="",S75="",G75=""),"",(1/I75)*R75*(S75^(2/3))*SQRT(G75)))</f>
        <v/>
      </c>
      <c r="U75" s="8">
        <f>IF(OR(T75="",Q75=""),"",Q75/(T75*Inputs!$B$19))</f>
        <v/>
      </c>
      <c r="V75" s="8">
        <f>IF(OR(R75="",Q75=""),"",Q75/R75)</f>
        <v/>
      </c>
      <c r="W75" s="8">
        <f>IF(OR(R75="",T75=""),"",T75/R75)</f>
        <v/>
      </c>
      <c r="X75" s="8">
        <f>IF(A75="","",IF(OR(UPPER(TRIM(Inputs!$B$15))="MANNING",UPPER(TRIM(Inputs!$B$15))="M"),W75,IF(OR(UPPER(TRIM(Inputs!$B$15))="MAX",UPPER(TRIM(Inputs!$B$15))="X"),MAX(V75,W75),V75)))</f>
        <v/>
      </c>
      <c r="Y75" s="8">
        <f>IF(A75="","",IF(UPPER(TRIM(B75))="TRENCH",K75*L75*N75,IF(UPPER(TRIM(B75))="SWALE",K75*L75,0)))</f>
        <v/>
      </c>
      <c r="Z75" s="8">
        <f>IF(OR(Y75="",F75=""),"",Y75*F75)</f>
        <v/>
      </c>
      <c r="AA75" s="4">
        <f>IF(A75="","",IF(OR(U75&gt;1,AND(X75&lt;&gt;"",X75&lt;Inputs!$B$16),AND(X75&lt;&gt;"",X75&gt;Inputs!$B$17),G75&lt;Inputs!$B$18,AH75="CHECK"),"CHECK","OK"))</f>
        <v/>
      </c>
      <c r="AB75" s="4" t="n"/>
      <c r="AC75" s="7" t="n"/>
      <c r="AD75" s="8">
        <f>IF(A75="","",IF(AC75&lt;&gt;"",AC75,IF(E75="",Inputs!$B$38,IFERROR(INDEX($AE$4:$AE$204,MATCH(E75,$A$4:$A$204,0))+IF(OR(AND(UPPER(TRIM(B75))="SWALE",UPPER(TRIM(AI75))="PIPE"),AND(UPPER(TRIM(B75))="TRENCH",UPPER(TRIM(AI75))="PIPE")),Inputs!$B$57,0),""))))</f>
        <v/>
      </c>
      <c r="AE75" s="8">
        <f>IF(OR(AD75="",F75="",G75=""),"",AD75+F75*G75)</f>
        <v/>
      </c>
      <c r="AF75" s="8">
        <f>IF(OR(E75="",A75=""),"",IFERROR(INDEX($AE$4:$AE$204,MATCH(E75,$A$4:$A$204,0)),""))</f>
        <v/>
      </c>
      <c r="AG75" s="8">
        <f>IF(OR(AD75="",AF75=""),"",AD75-AF75)</f>
        <v/>
      </c>
      <c r="AH75" s="4">
        <f>IF(A75="","",IF(E75="","TERMINAL",IF(OR(AND(UPPER(TRIM(B75))="SWALE",UPPER(TRIM(AI75))="PIPE"),AND(UPPER(TRIM(B75))="TRENCH",UPPER(TRIM(AI75))="PIPE")),IF(OR(AG75="",AJ75="",AK75=""),"INFO",IF(AND(AG75&gt;=AJ75,AG75&lt;=AK75),"OK","CHECK")),IF(AG75="","INFO",IF(ABS(AG75)&lt;=Inputs!$B$54,"OK","CHECK")))))</f>
        <v/>
      </c>
      <c r="AI75" s="17">
        <f>IF(A75="","",IF(E75="","",IFERROR(INDEX($B$4:$B$204,MATCH(E75,$A$4:$A$204,0)),"")))</f>
        <v/>
      </c>
      <c r="AJ75" s="17">
        <f>IF(A75="","",IF(OR(AND(UPPER(TRIM(B75))="SWALE",UPPER(TRIM(AI75))="PIPE"),AND(UPPER(TRIM(B75))="TRENCH",UPPER(TRIM(AI75))="PIPE")),Inputs!$B$55,0))</f>
        <v/>
      </c>
      <c r="AK75" s="17">
        <f>IF(A75="","",IF(OR(AND(UPPER(TRIM(B75))="SWALE",UPPER(TRIM(AI75))="PIPE"),AND(UPPER(TRIM(B75))="TRENCH",UPPER(TRIM(AI75))="PIPE")),Inputs!$B$56,Inputs!$B$54))</f>
        <v/>
      </c>
      <c r="AL75" s="4">
        <f>IF(A75="","",IF(E75="","TERMINAL",IF(OR(AND(UPPER(TRIM(B75))="SWALE",UPPER(TRIM(AI75))="PIPE"),AND(UPPER(TRIM(B75))="TRENCH",UPPER(TRIM(AI75))="PIPE")),IF(OR(AG75="",AJ75="",AK75=""),"INFO",IF(AND(AG75&gt;=AJ75,AG75&lt;=AK75),"OK","CHECK")),"N/A")))</f>
        <v/>
      </c>
    </row>
    <row r="76">
      <c r="A76" s="4" t="n"/>
      <c r="B76" s="4" t="n"/>
      <c r="C76" s="4" t="n"/>
      <c r="D76" s="4" t="n"/>
      <c r="E76" s="4" t="n"/>
      <c r="F76" s="7" t="n"/>
      <c r="G76" s="7" t="n"/>
      <c r="H76" s="7" t="n"/>
      <c r="I76" s="8">
        <f>IF(A76="","",IF(H76&lt;&gt;"",H76,IF(UPPER(TRIM(B76))="PIPE",Inputs!$B$7,IF(UPPER(TRIM(B76))="SWALE",Inputs!$B$8,Inputs!$B$9))))</f>
        <v/>
      </c>
      <c r="J76" s="7" t="n"/>
      <c r="K76" s="7" t="n"/>
      <c r="L76" s="7" t="n"/>
      <c r="M76" s="7" t="n"/>
      <c r="N76" s="7" t="n">
        <v>0</v>
      </c>
      <c r="O76" s="8">
        <f>IF(A76="","",SUMIFS(Zones_tributaires!$I:$I,Zones_tributaires!$J:$J,$A76))</f>
        <v/>
      </c>
      <c r="P76" s="8">
        <f>IF(A76="","",SUMIFS($Q$4:$Q$204,$E$4:$E$204,$A76))</f>
        <v/>
      </c>
      <c r="Q76" s="8">
        <f>IF(A76="","",(O76+P76)*Inputs!$B$6)</f>
        <v/>
      </c>
      <c r="R76" s="8">
        <f>IF(A76="","",IF(UPPER(TRIM(B76))="PIPE",PI()*(J76/1000)^2/4,IF(OR(K76="",L76=""),"",L76*(K76+M76*L76))))</f>
        <v/>
      </c>
      <c r="S76" s="8">
        <f>IF(A76="","",IF(UPPER(TRIM(B76))="PIPE",(J76/1000)/4,IF(OR(R76="",K76="",L76=""),"",R76/(K76+2*L76*SQRT(1+M76^2)))))</f>
        <v/>
      </c>
      <c r="T76" s="8">
        <f>IF(A76="","",IF(OR(I76="",R76="",S76="",G76=""),"",(1/I76)*R76*(S76^(2/3))*SQRT(G76)))</f>
        <v/>
      </c>
      <c r="U76" s="8">
        <f>IF(OR(T76="",Q76=""),"",Q76/(T76*Inputs!$B$19))</f>
        <v/>
      </c>
      <c r="V76" s="8">
        <f>IF(OR(R76="",Q76=""),"",Q76/R76)</f>
        <v/>
      </c>
      <c r="W76" s="8">
        <f>IF(OR(R76="",T76=""),"",T76/R76)</f>
        <v/>
      </c>
      <c r="X76" s="8">
        <f>IF(A76="","",IF(OR(UPPER(TRIM(Inputs!$B$15))="MANNING",UPPER(TRIM(Inputs!$B$15))="M"),W76,IF(OR(UPPER(TRIM(Inputs!$B$15))="MAX",UPPER(TRIM(Inputs!$B$15))="X"),MAX(V76,W76),V76)))</f>
        <v/>
      </c>
      <c r="Y76" s="8">
        <f>IF(A76="","",IF(UPPER(TRIM(B76))="TRENCH",K76*L76*N76,IF(UPPER(TRIM(B76))="SWALE",K76*L76,0)))</f>
        <v/>
      </c>
      <c r="Z76" s="8">
        <f>IF(OR(Y76="",F76=""),"",Y76*F76)</f>
        <v/>
      </c>
      <c r="AA76" s="4">
        <f>IF(A76="","",IF(OR(U76&gt;1,AND(X76&lt;&gt;"",X76&lt;Inputs!$B$16),AND(X76&lt;&gt;"",X76&gt;Inputs!$B$17),G76&lt;Inputs!$B$18,AH76="CHECK"),"CHECK","OK"))</f>
        <v/>
      </c>
      <c r="AB76" s="4" t="n"/>
      <c r="AC76" s="7" t="n"/>
      <c r="AD76" s="8">
        <f>IF(A76="","",IF(AC76&lt;&gt;"",AC76,IF(E76="",Inputs!$B$38,IFERROR(INDEX($AE$4:$AE$204,MATCH(E76,$A$4:$A$204,0))+IF(OR(AND(UPPER(TRIM(B76))="SWALE",UPPER(TRIM(AI76))="PIPE"),AND(UPPER(TRIM(B76))="TRENCH",UPPER(TRIM(AI76))="PIPE")),Inputs!$B$57,0),""))))</f>
        <v/>
      </c>
      <c r="AE76" s="8">
        <f>IF(OR(AD76="",F76="",G76=""),"",AD76+F76*G76)</f>
        <v/>
      </c>
      <c r="AF76" s="8">
        <f>IF(OR(E76="",A76=""),"",IFERROR(INDEX($AE$4:$AE$204,MATCH(E76,$A$4:$A$204,0)),""))</f>
        <v/>
      </c>
      <c r="AG76" s="8">
        <f>IF(OR(AD76="",AF76=""),"",AD76-AF76)</f>
        <v/>
      </c>
      <c r="AH76" s="4">
        <f>IF(A76="","",IF(E76="","TERMINAL",IF(OR(AND(UPPER(TRIM(B76))="SWALE",UPPER(TRIM(AI76))="PIPE"),AND(UPPER(TRIM(B76))="TRENCH",UPPER(TRIM(AI76))="PIPE")),IF(OR(AG76="",AJ76="",AK76=""),"INFO",IF(AND(AG76&gt;=AJ76,AG76&lt;=AK76),"OK","CHECK")),IF(AG76="","INFO",IF(ABS(AG76)&lt;=Inputs!$B$54,"OK","CHECK")))))</f>
        <v/>
      </c>
      <c r="AI76" s="17">
        <f>IF(A76="","",IF(E76="","",IFERROR(INDEX($B$4:$B$204,MATCH(E76,$A$4:$A$204,0)),"")))</f>
        <v/>
      </c>
      <c r="AJ76" s="17">
        <f>IF(A76="","",IF(OR(AND(UPPER(TRIM(B76))="SWALE",UPPER(TRIM(AI76))="PIPE"),AND(UPPER(TRIM(B76))="TRENCH",UPPER(TRIM(AI76))="PIPE")),Inputs!$B$55,0))</f>
        <v/>
      </c>
      <c r="AK76" s="17">
        <f>IF(A76="","",IF(OR(AND(UPPER(TRIM(B76))="SWALE",UPPER(TRIM(AI76))="PIPE"),AND(UPPER(TRIM(B76))="TRENCH",UPPER(TRIM(AI76))="PIPE")),Inputs!$B$56,Inputs!$B$54))</f>
        <v/>
      </c>
      <c r="AL76" s="4">
        <f>IF(A76="","",IF(E76="","TERMINAL",IF(OR(AND(UPPER(TRIM(B76))="SWALE",UPPER(TRIM(AI76))="PIPE"),AND(UPPER(TRIM(B76))="TRENCH",UPPER(TRIM(AI76))="PIPE")),IF(OR(AG76="",AJ76="",AK76=""),"INFO",IF(AND(AG76&gt;=AJ76,AG76&lt;=AK76),"OK","CHECK")),"N/A")))</f>
        <v/>
      </c>
    </row>
    <row r="77">
      <c r="A77" s="4" t="n"/>
      <c r="B77" s="4" t="n"/>
      <c r="C77" s="4" t="n"/>
      <c r="D77" s="4" t="n"/>
      <c r="E77" s="4" t="n"/>
      <c r="F77" s="7" t="n"/>
      <c r="G77" s="7" t="n"/>
      <c r="H77" s="7" t="n"/>
      <c r="I77" s="8">
        <f>IF(A77="","",IF(H77&lt;&gt;"",H77,IF(UPPER(TRIM(B77))="PIPE",Inputs!$B$7,IF(UPPER(TRIM(B77))="SWALE",Inputs!$B$8,Inputs!$B$9))))</f>
        <v/>
      </c>
      <c r="J77" s="7" t="n"/>
      <c r="K77" s="7" t="n"/>
      <c r="L77" s="7" t="n"/>
      <c r="M77" s="7" t="n"/>
      <c r="N77" s="7" t="n">
        <v>0</v>
      </c>
      <c r="O77" s="8">
        <f>IF(A77="","",SUMIFS(Zones_tributaires!$I:$I,Zones_tributaires!$J:$J,$A77))</f>
        <v/>
      </c>
      <c r="P77" s="8">
        <f>IF(A77="","",SUMIFS($Q$4:$Q$204,$E$4:$E$204,$A77))</f>
        <v/>
      </c>
      <c r="Q77" s="8">
        <f>IF(A77="","",(O77+P77)*Inputs!$B$6)</f>
        <v/>
      </c>
      <c r="R77" s="8">
        <f>IF(A77="","",IF(UPPER(TRIM(B77))="PIPE",PI()*(J77/1000)^2/4,IF(OR(K77="",L77=""),"",L77*(K77+M77*L77))))</f>
        <v/>
      </c>
      <c r="S77" s="8">
        <f>IF(A77="","",IF(UPPER(TRIM(B77))="PIPE",(J77/1000)/4,IF(OR(R77="",K77="",L77=""),"",R77/(K77+2*L77*SQRT(1+M77^2)))))</f>
        <v/>
      </c>
      <c r="T77" s="8">
        <f>IF(A77="","",IF(OR(I77="",R77="",S77="",G77=""),"",(1/I77)*R77*(S77^(2/3))*SQRT(G77)))</f>
        <v/>
      </c>
      <c r="U77" s="8">
        <f>IF(OR(T77="",Q77=""),"",Q77/(T77*Inputs!$B$19))</f>
        <v/>
      </c>
      <c r="V77" s="8">
        <f>IF(OR(R77="",Q77=""),"",Q77/R77)</f>
        <v/>
      </c>
      <c r="W77" s="8">
        <f>IF(OR(R77="",T77=""),"",T77/R77)</f>
        <v/>
      </c>
      <c r="X77" s="8">
        <f>IF(A77="","",IF(OR(UPPER(TRIM(Inputs!$B$15))="MANNING",UPPER(TRIM(Inputs!$B$15))="M"),W77,IF(OR(UPPER(TRIM(Inputs!$B$15))="MAX",UPPER(TRIM(Inputs!$B$15))="X"),MAX(V77,W77),V77)))</f>
        <v/>
      </c>
      <c r="Y77" s="8">
        <f>IF(A77="","",IF(UPPER(TRIM(B77))="TRENCH",K77*L77*N77,IF(UPPER(TRIM(B77))="SWALE",K77*L77,0)))</f>
        <v/>
      </c>
      <c r="Z77" s="8">
        <f>IF(OR(Y77="",F77=""),"",Y77*F77)</f>
        <v/>
      </c>
      <c r="AA77" s="4">
        <f>IF(A77="","",IF(OR(U77&gt;1,AND(X77&lt;&gt;"",X77&lt;Inputs!$B$16),AND(X77&lt;&gt;"",X77&gt;Inputs!$B$17),G77&lt;Inputs!$B$18,AH77="CHECK"),"CHECK","OK"))</f>
        <v/>
      </c>
      <c r="AB77" s="4" t="n"/>
      <c r="AC77" s="7" t="n"/>
      <c r="AD77" s="8">
        <f>IF(A77="","",IF(AC77&lt;&gt;"",AC77,IF(E77="",Inputs!$B$38,IFERROR(INDEX($AE$4:$AE$204,MATCH(E77,$A$4:$A$204,0))+IF(OR(AND(UPPER(TRIM(B77))="SWALE",UPPER(TRIM(AI77))="PIPE"),AND(UPPER(TRIM(B77))="TRENCH",UPPER(TRIM(AI77))="PIPE")),Inputs!$B$57,0),""))))</f>
        <v/>
      </c>
      <c r="AE77" s="8">
        <f>IF(OR(AD77="",F77="",G77=""),"",AD77+F77*G77)</f>
        <v/>
      </c>
      <c r="AF77" s="8">
        <f>IF(OR(E77="",A77=""),"",IFERROR(INDEX($AE$4:$AE$204,MATCH(E77,$A$4:$A$204,0)),""))</f>
        <v/>
      </c>
      <c r="AG77" s="8">
        <f>IF(OR(AD77="",AF77=""),"",AD77-AF77)</f>
        <v/>
      </c>
      <c r="AH77" s="4">
        <f>IF(A77="","",IF(E77="","TERMINAL",IF(OR(AND(UPPER(TRIM(B77))="SWALE",UPPER(TRIM(AI77))="PIPE"),AND(UPPER(TRIM(B77))="TRENCH",UPPER(TRIM(AI77))="PIPE")),IF(OR(AG77="",AJ77="",AK77=""),"INFO",IF(AND(AG77&gt;=AJ77,AG77&lt;=AK77),"OK","CHECK")),IF(AG77="","INFO",IF(ABS(AG77)&lt;=Inputs!$B$54,"OK","CHECK")))))</f>
        <v/>
      </c>
      <c r="AI77" s="17">
        <f>IF(A77="","",IF(E77="","",IFERROR(INDEX($B$4:$B$204,MATCH(E77,$A$4:$A$204,0)),"")))</f>
        <v/>
      </c>
      <c r="AJ77" s="17">
        <f>IF(A77="","",IF(OR(AND(UPPER(TRIM(B77))="SWALE",UPPER(TRIM(AI77))="PIPE"),AND(UPPER(TRIM(B77))="TRENCH",UPPER(TRIM(AI77))="PIPE")),Inputs!$B$55,0))</f>
        <v/>
      </c>
      <c r="AK77" s="17">
        <f>IF(A77="","",IF(OR(AND(UPPER(TRIM(B77))="SWALE",UPPER(TRIM(AI77))="PIPE"),AND(UPPER(TRIM(B77))="TRENCH",UPPER(TRIM(AI77))="PIPE")),Inputs!$B$56,Inputs!$B$54))</f>
        <v/>
      </c>
      <c r="AL77" s="4">
        <f>IF(A77="","",IF(E77="","TERMINAL",IF(OR(AND(UPPER(TRIM(B77))="SWALE",UPPER(TRIM(AI77))="PIPE"),AND(UPPER(TRIM(B77))="TRENCH",UPPER(TRIM(AI77))="PIPE")),IF(OR(AG77="",AJ77="",AK77=""),"INFO",IF(AND(AG77&gt;=AJ77,AG77&lt;=AK77),"OK","CHECK")),"N/A")))</f>
        <v/>
      </c>
    </row>
    <row r="78">
      <c r="A78" s="4" t="n"/>
      <c r="B78" s="4" t="n"/>
      <c r="C78" s="4" t="n"/>
      <c r="D78" s="4" t="n"/>
      <c r="E78" s="4" t="n"/>
      <c r="F78" s="7" t="n"/>
      <c r="G78" s="7" t="n"/>
      <c r="H78" s="7" t="n"/>
      <c r="I78" s="8">
        <f>IF(A78="","",IF(H78&lt;&gt;"",H78,IF(UPPER(TRIM(B78))="PIPE",Inputs!$B$7,IF(UPPER(TRIM(B78))="SWALE",Inputs!$B$8,Inputs!$B$9))))</f>
        <v/>
      </c>
      <c r="J78" s="7" t="n"/>
      <c r="K78" s="7" t="n"/>
      <c r="L78" s="7" t="n"/>
      <c r="M78" s="7" t="n"/>
      <c r="N78" s="7" t="n">
        <v>0</v>
      </c>
      <c r="O78" s="8">
        <f>IF(A78="","",SUMIFS(Zones_tributaires!$I:$I,Zones_tributaires!$J:$J,$A78))</f>
        <v/>
      </c>
      <c r="P78" s="8">
        <f>IF(A78="","",SUMIFS($Q$4:$Q$204,$E$4:$E$204,$A78))</f>
        <v/>
      </c>
      <c r="Q78" s="8">
        <f>IF(A78="","",(O78+P78)*Inputs!$B$6)</f>
        <v/>
      </c>
      <c r="R78" s="8">
        <f>IF(A78="","",IF(UPPER(TRIM(B78))="PIPE",PI()*(J78/1000)^2/4,IF(OR(K78="",L78=""),"",L78*(K78+M78*L78))))</f>
        <v/>
      </c>
      <c r="S78" s="8">
        <f>IF(A78="","",IF(UPPER(TRIM(B78))="PIPE",(J78/1000)/4,IF(OR(R78="",K78="",L78=""),"",R78/(K78+2*L78*SQRT(1+M78^2)))))</f>
        <v/>
      </c>
      <c r="T78" s="8">
        <f>IF(A78="","",IF(OR(I78="",R78="",S78="",G78=""),"",(1/I78)*R78*(S78^(2/3))*SQRT(G78)))</f>
        <v/>
      </c>
      <c r="U78" s="8">
        <f>IF(OR(T78="",Q78=""),"",Q78/(T78*Inputs!$B$19))</f>
        <v/>
      </c>
      <c r="V78" s="8">
        <f>IF(OR(R78="",Q78=""),"",Q78/R78)</f>
        <v/>
      </c>
      <c r="W78" s="8">
        <f>IF(OR(R78="",T78=""),"",T78/R78)</f>
        <v/>
      </c>
      <c r="X78" s="8">
        <f>IF(A78="","",IF(OR(UPPER(TRIM(Inputs!$B$15))="MANNING",UPPER(TRIM(Inputs!$B$15))="M"),W78,IF(OR(UPPER(TRIM(Inputs!$B$15))="MAX",UPPER(TRIM(Inputs!$B$15))="X"),MAX(V78,W78),V78)))</f>
        <v/>
      </c>
      <c r="Y78" s="8">
        <f>IF(A78="","",IF(UPPER(TRIM(B78))="TRENCH",K78*L78*N78,IF(UPPER(TRIM(B78))="SWALE",K78*L78,0)))</f>
        <v/>
      </c>
      <c r="Z78" s="8">
        <f>IF(OR(Y78="",F78=""),"",Y78*F78)</f>
        <v/>
      </c>
      <c r="AA78" s="4">
        <f>IF(A78="","",IF(OR(U78&gt;1,AND(X78&lt;&gt;"",X78&lt;Inputs!$B$16),AND(X78&lt;&gt;"",X78&gt;Inputs!$B$17),G78&lt;Inputs!$B$18,AH78="CHECK"),"CHECK","OK"))</f>
        <v/>
      </c>
      <c r="AB78" s="4" t="n"/>
      <c r="AC78" s="7" t="n"/>
      <c r="AD78" s="8">
        <f>IF(A78="","",IF(AC78&lt;&gt;"",AC78,IF(E78="",Inputs!$B$38,IFERROR(INDEX($AE$4:$AE$204,MATCH(E78,$A$4:$A$204,0))+IF(OR(AND(UPPER(TRIM(B78))="SWALE",UPPER(TRIM(AI78))="PIPE"),AND(UPPER(TRIM(B78))="TRENCH",UPPER(TRIM(AI78))="PIPE")),Inputs!$B$57,0),""))))</f>
        <v/>
      </c>
      <c r="AE78" s="8">
        <f>IF(OR(AD78="",F78="",G78=""),"",AD78+F78*G78)</f>
        <v/>
      </c>
      <c r="AF78" s="8">
        <f>IF(OR(E78="",A78=""),"",IFERROR(INDEX($AE$4:$AE$204,MATCH(E78,$A$4:$A$204,0)),""))</f>
        <v/>
      </c>
      <c r="AG78" s="8">
        <f>IF(OR(AD78="",AF78=""),"",AD78-AF78)</f>
        <v/>
      </c>
      <c r="AH78" s="4">
        <f>IF(A78="","",IF(E78="","TERMINAL",IF(OR(AND(UPPER(TRIM(B78))="SWALE",UPPER(TRIM(AI78))="PIPE"),AND(UPPER(TRIM(B78))="TRENCH",UPPER(TRIM(AI78))="PIPE")),IF(OR(AG78="",AJ78="",AK78=""),"INFO",IF(AND(AG78&gt;=AJ78,AG78&lt;=AK78),"OK","CHECK")),IF(AG78="","INFO",IF(ABS(AG78)&lt;=Inputs!$B$54,"OK","CHECK")))))</f>
        <v/>
      </c>
      <c r="AI78" s="17">
        <f>IF(A78="","",IF(E78="","",IFERROR(INDEX($B$4:$B$204,MATCH(E78,$A$4:$A$204,0)),"")))</f>
        <v/>
      </c>
      <c r="AJ78" s="17">
        <f>IF(A78="","",IF(OR(AND(UPPER(TRIM(B78))="SWALE",UPPER(TRIM(AI78))="PIPE"),AND(UPPER(TRIM(B78))="TRENCH",UPPER(TRIM(AI78))="PIPE")),Inputs!$B$55,0))</f>
        <v/>
      </c>
      <c r="AK78" s="17">
        <f>IF(A78="","",IF(OR(AND(UPPER(TRIM(B78))="SWALE",UPPER(TRIM(AI78))="PIPE"),AND(UPPER(TRIM(B78))="TRENCH",UPPER(TRIM(AI78))="PIPE")),Inputs!$B$56,Inputs!$B$54))</f>
        <v/>
      </c>
      <c r="AL78" s="4">
        <f>IF(A78="","",IF(E78="","TERMINAL",IF(OR(AND(UPPER(TRIM(B78))="SWALE",UPPER(TRIM(AI78))="PIPE"),AND(UPPER(TRIM(B78))="TRENCH",UPPER(TRIM(AI78))="PIPE")),IF(OR(AG78="",AJ78="",AK78=""),"INFO",IF(AND(AG78&gt;=AJ78,AG78&lt;=AK78),"OK","CHECK")),"N/A")))</f>
        <v/>
      </c>
    </row>
    <row r="79">
      <c r="A79" s="4" t="n"/>
      <c r="B79" s="4" t="n"/>
      <c r="C79" s="4" t="n"/>
      <c r="D79" s="4" t="n"/>
      <c r="E79" s="4" t="n"/>
      <c r="F79" s="7" t="n"/>
      <c r="G79" s="7" t="n"/>
      <c r="H79" s="7" t="n"/>
      <c r="I79" s="8">
        <f>IF(A79="","",IF(H79&lt;&gt;"",H79,IF(UPPER(TRIM(B79))="PIPE",Inputs!$B$7,IF(UPPER(TRIM(B79))="SWALE",Inputs!$B$8,Inputs!$B$9))))</f>
        <v/>
      </c>
      <c r="J79" s="7" t="n"/>
      <c r="K79" s="7" t="n"/>
      <c r="L79" s="7" t="n"/>
      <c r="M79" s="7" t="n"/>
      <c r="N79" s="7" t="n">
        <v>0</v>
      </c>
      <c r="O79" s="8">
        <f>IF(A79="","",SUMIFS(Zones_tributaires!$I:$I,Zones_tributaires!$J:$J,$A79))</f>
        <v/>
      </c>
      <c r="P79" s="8">
        <f>IF(A79="","",SUMIFS($Q$4:$Q$204,$E$4:$E$204,$A79))</f>
        <v/>
      </c>
      <c r="Q79" s="8">
        <f>IF(A79="","",(O79+P79)*Inputs!$B$6)</f>
        <v/>
      </c>
      <c r="R79" s="8">
        <f>IF(A79="","",IF(UPPER(TRIM(B79))="PIPE",PI()*(J79/1000)^2/4,IF(OR(K79="",L79=""),"",L79*(K79+M79*L79))))</f>
        <v/>
      </c>
      <c r="S79" s="8">
        <f>IF(A79="","",IF(UPPER(TRIM(B79))="PIPE",(J79/1000)/4,IF(OR(R79="",K79="",L79=""),"",R79/(K79+2*L79*SQRT(1+M79^2)))))</f>
        <v/>
      </c>
      <c r="T79" s="8">
        <f>IF(A79="","",IF(OR(I79="",R79="",S79="",G79=""),"",(1/I79)*R79*(S79^(2/3))*SQRT(G79)))</f>
        <v/>
      </c>
      <c r="U79" s="8">
        <f>IF(OR(T79="",Q79=""),"",Q79/(T79*Inputs!$B$19))</f>
        <v/>
      </c>
      <c r="V79" s="8">
        <f>IF(OR(R79="",Q79=""),"",Q79/R79)</f>
        <v/>
      </c>
      <c r="W79" s="8">
        <f>IF(OR(R79="",T79=""),"",T79/R79)</f>
        <v/>
      </c>
      <c r="X79" s="8">
        <f>IF(A79="","",IF(OR(UPPER(TRIM(Inputs!$B$15))="MANNING",UPPER(TRIM(Inputs!$B$15))="M"),W79,IF(OR(UPPER(TRIM(Inputs!$B$15))="MAX",UPPER(TRIM(Inputs!$B$15))="X"),MAX(V79,W79),V79)))</f>
        <v/>
      </c>
      <c r="Y79" s="8">
        <f>IF(A79="","",IF(UPPER(TRIM(B79))="TRENCH",K79*L79*N79,IF(UPPER(TRIM(B79))="SWALE",K79*L79,0)))</f>
        <v/>
      </c>
      <c r="Z79" s="8">
        <f>IF(OR(Y79="",F79=""),"",Y79*F79)</f>
        <v/>
      </c>
      <c r="AA79" s="4">
        <f>IF(A79="","",IF(OR(U79&gt;1,AND(X79&lt;&gt;"",X79&lt;Inputs!$B$16),AND(X79&lt;&gt;"",X79&gt;Inputs!$B$17),G79&lt;Inputs!$B$18,AH79="CHECK"),"CHECK","OK"))</f>
        <v/>
      </c>
      <c r="AB79" s="4" t="n"/>
      <c r="AC79" s="7" t="n"/>
      <c r="AD79" s="8">
        <f>IF(A79="","",IF(AC79&lt;&gt;"",AC79,IF(E79="",Inputs!$B$38,IFERROR(INDEX($AE$4:$AE$204,MATCH(E79,$A$4:$A$204,0))+IF(OR(AND(UPPER(TRIM(B79))="SWALE",UPPER(TRIM(AI79))="PIPE"),AND(UPPER(TRIM(B79))="TRENCH",UPPER(TRIM(AI79))="PIPE")),Inputs!$B$57,0),""))))</f>
        <v/>
      </c>
      <c r="AE79" s="8">
        <f>IF(OR(AD79="",F79="",G79=""),"",AD79+F79*G79)</f>
        <v/>
      </c>
      <c r="AF79" s="8">
        <f>IF(OR(E79="",A79=""),"",IFERROR(INDEX($AE$4:$AE$204,MATCH(E79,$A$4:$A$204,0)),""))</f>
        <v/>
      </c>
      <c r="AG79" s="8">
        <f>IF(OR(AD79="",AF79=""),"",AD79-AF79)</f>
        <v/>
      </c>
      <c r="AH79" s="4">
        <f>IF(A79="","",IF(E79="","TERMINAL",IF(OR(AND(UPPER(TRIM(B79))="SWALE",UPPER(TRIM(AI79))="PIPE"),AND(UPPER(TRIM(B79))="TRENCH",UPPER(TRIM(AI79))="PIPE")),IF(OR(AG79="",AJ79="",AK79=""),"INFO",IF(AND(AG79&gt;=AJ79,AG79&lt;=AK79),"OK","CHECK")),IF(AG79="","INFO",IF(ABS(AG79)&lt;=Inputs!$B$54,"OK","CHECK")))))</f>
        <v/>
      </c>
      <c r="AI79" s="17">
        <f>IF(A79="","",IF(E79="","",IFERROR(INDEX($B$4:$B$204,MATCH(E79,$A$4:$A$204,0)),"")))</f>
        <v/>
      </c>
      <c r="AJ79" s="17">
        <f>IF(A79="","",IF(OR(AND(UPPER(TRIM(B79))="SWALE",UPPER(TRIM(AI79))="PIPE"),AND(UPPER(TRIM(B79))="TRENCH",UPPER(TRIM(AI79))="PIPE")),Inputs!$B$55,0))</f>
        <v/>
      </c>
      <c r="AK79" s="17">
        <f>IF(A79="","",IF(OR(AND(UPPER(TRIM(B79))="SWALE",UPPER(TRIM(AI79))="PIPE"),AND(UPPER(TRIM(B79))="TRENCH",UPPER(TRIM(AI79))="PIPE")),Inputs!$B$56,Inputs!$B$54))</f>
        <v/>
      </c>
      <c r="AL79" s="4">
        <f>IF(A79="","",IF(E79="","TERMINAL",IF(OR(AND(UPPER(TRIM(B79))="SWALE",UPPER(TRIM(AI79))="PIPE"),AND(UPPER(TRIM(B79))="TRENCH",UPPER(TRIM(AI79))="PIPE")),IF(OR(AG79="",AJ79="",AK79=""),"INFO",IF(AND(AG79&gt;=AJ79,AG79&lt;=AK79),"OK","CHECK")),"N/A")))</f>
        <v/>
      </c>
    </row>
    <row r="80">
      <c r="A80" s="4" t="n"/>
      <c r="B80" s="4" t="n"/>
      <c r="C80" s="4" t="n"/>
      <c r="D80" s="4" t="n"/>
      <c r="E80" s="4" t="n"/>
      <c r="F80" s="7" t="n"/>
      <c r="G80" s="7" t="n"/>
      <c r="H80" s="7" t="n"/>
      <c r="I80" s="8">
        <f>IF(A80="","",IF(H80&lt;&gt;"",H80,IF(UPPER(TRIM(B80))="PIPE",Inputs!$B$7,IF(UPPER(TRIM(B80))="SWALE",Inputs!$B$8,Inputs!$B$9))))</f>
        <v/>
      </c>
      <c r="J80" s="7" t="n"/>
      <c r="K80" s="7" t="n"/>
      <c r="L80" s="7" t="n"/>
      <c r="M80" s="7" t="n"/>
      <c r="N80" s="7" t="n">
        <v>0</v>
      </c>
      <c r="O80" s="8">
        <f>IF(A80="","",SUMIFS(Zones_tributaires!$I:$I,Zones_tributaires!$J:$J,$A80))</f>
        <v/>
      </c>
      <c r="P80" s="8">
        <f>IF(A80="","",SUMIFS($Q$4:$Q$204,$E$4:$E$204,$A80))</f>
        <v/>
      </c>
      <c r="Q80" s="8">
        <f>IF(A80="","",(O80+P80)*Inputs!$B$6)</f>
        <v/>
      </c>
      <c r="R80" s="8">
        <f>IF(A80="","",IF(UPPER(TRIM(B80))="PIPE",PI()*(J80/1000)^2/4,IF(OR(K80="",L80=""),"",L80*(K80+M80*L80))))</f>
        <v/>
      </c>
      <c r="S80" s="8">
        <f>IF(A80="","",IF(UPPER(TRIM(B80))="PIPE",(J80/1000)/4,IF(OR(R80="",K80="",L80=""),"",R80/(K80+2*L80*SQRT(1+M80^2)))))</f>
        <v/>
      </c>
      <c r="T80" s="8">
        <f>IF(A80="","",IF(OR(I80="",R80="",S80="",G80=""),"",(1/I80)*R80*(S80^(2/3))*SQRT(G80)))</f>
        <v/>
      </c>
      <c r="U80" s="8">
        <f>IF(OR(T80="",Q80=""),"",Q80/(T80*Inputs!$B$19))</f>
        <v/>
      </c>
      <c r="V80" s="8">
        <f>IF(OR(R80="",Q80=""),"",Q80/R80)</f>
        <v/>
      </c>
      <c r="W80" s="8">
        <f>IF(OR(R80="",T80=""),"",T80/R80)</f>
        <v/>
      </c>
      <c r="X80" s="8">
        <f>IF(A80="","",IF(OR(UPPER(TRIM(Inputs!$B$15))="MANNING",UPPER(TRIM(Inputs!$B$15))="M"),W80,IF(OR(UPPER(TRIM(Inputs!$B$15))="MAX",UPPER(TRIM(Inputs!$B$15))="X"),MAX(V80,W80),V80)))</f>
        <v/>
      </c>
      <c r="Y80" s="8">
        <f>IF(A80="","",IF(UPPER(TRIM(B80))="TRENCH",K80*L80*N80,IF(UPPER(TRIM(B80))="SWALE",K80*L80,0)))</f>
        <v/>
      </c>
      <c r="Z80" s="8">
        <f>IF(OR(Y80="",F80=""),"",Y80*F80)</f>
        <v/>
      </c>
      <c r="AA80" s="4">
        <f>IF(A80="","",IF(OR(U80&gt;1,AND(X80&lt;&gt;"",X80&lt;Inputs!$B$16),AND(X80&lt;&gt;"",X80&gt;Inputs!$B$17),G80&lt;Inputs!$B$18,AH80="CHECK"),"CHECK","OK"))</f>
        <v/>
      </c>
      <c r="AB80" s="4" t="n"/>
      <c r="AC80" s="7" t="n"/>
      <c r="AD80" s="8">
        <f>IF(A80="","",IF(AC80&lt;&gt;"",AC80,IF(E80="",Inputs!$B$38,IFERROR(INDEX($AE$4:$AE$204,MATCH(E80,$A$4:$A$204,0))+IF(OR(AND(UPPER(TRIM(B80))="SWALE",UPPER(TRIM(AI80))="PIPE"),AND(UPPER(TRIM(B80))="TRENCH",UPPER(TRIM(AI80))="PIPE")),Inputs!$B$57,0),""))))</f>
        <v/>
      </c>
      <c r="AE80" s="8">
        <f>IF(OR(AD80="",F80="",G80=""),"",AD80+F80*G80)</f>
        <v/>
      </c>
      <c r="AF80" s="8">
        <f>IF(OR(E80="",A80=""),"",IFERROR(INDEX($AE$4:$AE$204,MATCH(E80,$A$4:$A$204,0)),""))</f>
        <v/>
      </c>
      <c r="AG80" s="8">
        <f>IF(OR(AD80="",AF80=""),"",AD80-AF80)</f>
        <v/>
      </c>
      <c r="AH80" s="4">
        <f>IF(A80="","",IF(E80="","TERMINAL",IF(OR(AND(UPPER(TRIM(B80))="SWALE",UPPER(TRIM(AI80))="PIPE"),AND(UPPER(TRIM(B80))="TRENCH",UPPER(TRIM(AI80))="PIPE")),IF(OR(AG80="",AJ80="",AK80=""),"INFO",IF(AND(AG80&gt;=AJ80,AG80&lt;=AK80),"OK","CHECK")),IF(AG80="","INFO",IF(ABS(AG80)&lt;=Inputs!$B$54,"OK","CHECK")))))</f>
        <v/>
      </c>
      <c r="AI80" s="17">
        <f>IF(A80="","",IF(E80="","",IFERROR(INDEX($B$4:$B$204,MATCH(E80,$A$4:$A$204,0)),"")))</f>
        <v/>
      </c>
      <c r="AJ80" s="17">
        <f>IF(A80="","",IF(OR(AND(UPPER(TRIM(B80))="SWALE",UPPER(TRIM(AI80))="PIPE"),AND(UPPER(TRIM(B80))="TRENCH",UPPER(TRIM(AI80))="PIPE")),Inputs!$B$55,0))</f>
        <v/>
      </c>
      <c r="AK80" s="17">
        <f>IF(A80="","",IF(OR(AND(UPPER(TRIM(B80))="SWALE",UPPER(TRIM(AI80))="PIPE"),AND(UPPER(TRIM(B80))="TRENCH",UPPER(TRIM(AI80))="PIPE")),Inputs!$B$56,Inputs!$B$54))</f>
        <v/>
      </c>
      <c r="AL80" s="4">
        <f>IF(A80="","",IF(E80="","TERMINAL",IF(OR(AND(UPPER(TRIM(B80))="SWALE",UPPER(TRIM(AI80))="PIPE"),AND(UPPER(TRIM(B80))="TRENCH",UPPER(TRIM(AI80))="PIPE")),IF(OR(AG80="",AJ80="",AK80=""),"INFO",IF(AND(AG80&gt;=AJ80,AG80&lt;=AK80),"OK","CHECK")),"N/A")))</f>
        <v/>
      </c>
    </row>
    <row r="81">
      <c r="A81" s="4" t="n"/>
      <c r="B81" s="4" t="n"/>
      <c r="C81" s="4" t="n"/>
      <c r="D81" s="4" t="n"/>
      <c r="E81" s="4" t="n"/>
      <c r="F81" s="7" t="n"/>
      <c r="G81" s="7" t="n"/>
      <c r="H81" s="7" t="n"/>
      <c r="I81" s="8">
        <f>IF(A81="","",IF(H81&lt;&gt;"",H81,IF(UPPER(TRIM(B81))="PIPE",Inputs!$B$7,IF(UPPER(TRIM(B81))="SWALE",Inputs!$B$8,Inputs!$B$9))))</f>
        <v/>
      </c>
      <c r="J81" s="7" t="n"/>
      <c r="K81" s="7" t="n"/>
      <c r="L81" s="7" t="n"/>
      <c r="M81" s="7" t="n"/>
      <c r="N81" s="7" t="n">
        <v>0</v>
      </c>
      <c r="O81" s="8">
        <f>IF(A81="","",SUMIFS(Zones_tributaires!$I:$I,Zones_tributaires!$J:$J,$A81))</f>
        <v/>
      </c>
      <c r="P81" s="8">
        <f>IF(A81="","",SUMIFS($Q$4:$Q$204,$E$4:$E$204,$A81))</f>
        <v/>
      </c>
      <c r="Q81" s="8">
        <f>IF(A81="","",(O81+P81)*Inputs!$B$6)</f>
        <v/>
      </c>
      <c r="R81" s="8">
        <f>IF(A81="","",IF(UPPER(TRIM(B81))="PIPE",PI()*(J81/1000)^2/4,IF(OR(K81="",L81=""),"",L81*(K81+M81*L81))))</f>
        <v/>
      </c>
      <c r="S81" s="8">
        <f>IF(A81="","",IF(UPPER(TRIM(B81))="PIPE",(J81/1000)/4,IF(OR(R81="",K81="",L81=""),"",R81/(K81+2*L81*SQRT(1+M81^2)))))</f>
        <v/>
      </c>
      <c r="T81" s="8">
        <f>IF(A81="","",IF(OR(I81="",R81="",S81="",G81=""),"",(1/I81)*R81*(S81^(2/3))*SQRT(G81)))</f>
        <v/>
      </c>
      <c r="U81" s="8">
        <f>IF(OR(T81="",Q81=""),"",Q81/(T81*Inputs!$B$19))</f>
        <v/>
      </c>
      <c r="V81" s="8">
        <f>IF(OR(R81="",Q81=""),"",Q81/R81)</f>
        <v/>
      </c>
      <c r="W81" s="8">
        <f>IF(OR(R81="",T81=""),"",T81/R81)</f>
        <v/>
      </c>
      <c r="X81" s="8">
        <f>IF(A81="","",IF(OR(UPPER(TRIM(Inputs!$B$15))="MANNING",UPPER(TRIM(Inputs!$B$15))="M"),W81,IF(OR(UPPER(TRIM(Inputs!$B$15))="MAX",UPPER(TRIM(Inputs!$B$15))="X"),MAX(V81,W81),V81)))</f>
        <v/>
      </c>
      <c r="Y81" s="8">
        <f>IF(A81="","",IF(UPPER(TRIM(B81))="TRENCH",K81*L81*N81,IF(UPPER(TRIM(B81))="SWALE",K81*L81,0)))</f>
        <v/>
      </c>
      <c r="Z81" s="8">
        <f>IF(OR(Y81="",F81=""),"",Y81*F81)</f>
        <v/>
      </c>
      <c r="AA81" s="4">
        <f>IF(A81="","",IF(OR(U81&gt;1,AND(X81&lt;&gt;"",X81&lt;Inputs!$B$16),AND(X81&lt;&gt;"",X81&gt;Inputs!$B$17),G81&lt;Inputs!$B$18,AH81="CHECK"),"CHECK","OK"))</f>
        <v/>
      </c>
      <c r="AB81" s="4" t="n"/>
      <c r="AC81" s="7" t="n"/>
      <c r="AD81" s="8">
        <f>IF(A81="","",IF(AC81&lt;&gt;"",AC81,IF(E81="",Inputs!$B$38,IFERROR(INDEX($AE$4:$AE$204,MATCH(E81,$A$4:$A$204,0))+IF(OR(AND(UPPER(TRIM(B81))="SWALE",UPPER(TRIM(AI81))="PIPE"),AND(UPPER(TRIM(B81))="TRENCH",UPPER(TRIM(AI81))="PIPE")),Inputs!$B$57,0),""))))</f>
        <v/>
      </c>
      <c r="AE81" s="8">
        <f>IF(OR(AD81="",F81="",G81=""),"",AD81+F81*G81)</f>
        <v/>
      </c>
      <c r="AF81" s="8">
        <f>IF(OR(E81="",A81=""),"",IFERROR(INDEX($AE$4:$AE$204,MATCH(E81,$A$4:$A$204,0)),""))</f>
        <v/>
      </c>
      <c r="AG81" s="8">
        <f>IF(OR(AD81="",AF81=""),"",AD81-AF81)</f>
        <v/>
      </c>
      <c r="AH81" s="4">
        <f>IF(A81="","",IF(E81="","TERMINAL",IF(OR(AND(UPPER(TRIM(B81))="SWALE",UPPER(TRIM(AI81))="PIPE"),AND(UPPER(TRIM(B81))="TRENCH",UPPER(TRIM(AI81))="PIPE")),IF(OR(AG81="",AJ81="",AK81=""),"INFO",IF(AND(AG81&gt;=AJ81,AG81&lt;=AK81),"OK","CHECK")),IF(AG81="","INFO",IF(ABS(AG81)&lt;=Inputs!$B$54,"OK","CHECK")))))</f>
        <v/>
      </c>
      <c r="AI81" s="17">
        <f>IF(A81="","",IF(E81="","",IFERROR(INDEX($B$4:$B$204,MATCH(E81,$A$4:$A$204,0)),"")))</f>
        <v/>
      </c>
      <c r="AJ81" s="17">
        <f>IF(A81="","",IF(OR(AND(UPPER(TRIM(B81))="SWALE",UPPER(TRIM(AI81))="PIPE"),AND(UPPER(TRIM(B81))="TRENCH",UPPER(TRIM(AI81))="PIPE")),Inputs!$B$55,0))</f>
        <v/>
      </c>
      <c r="AK81" s="17">
        <f>IF(A81="","",IF(OR(AND(UPPER(TRIM(B81))="SWALE",UPPER(TRIM(AI81))="PIPE"),AND(UPPER(TRIM(B81))="TRENCH",UPPER(TRIM(AI81))="PIPE")),Inputs!$B$56,Inputs!$B$54))</f>
        <v/>
      </c>
      <c r="AL81" s="4">
        <f>IF(A81="","",IF(E81="","TERMINAL",IF(OR(AND(UPPER(TRIM(B81))="SWALE",UPPER(TRIM(AI81))="PIPE"),AND(UPPER(TRIM(B81))="TRENCH",UPPER(TRIM(AI81))="PIPE")),IF(OR(AG81="",AJ81="",AK81=""),"INFO",IF(AND(AG81&gt;=AJ81,AG81&lt;=AK81),"OK","CHECK")),"N/A")))</f>
        <v/>
      </c>
    </row>
    <row r="82">
      <c r="A82" s="4" t="n"/>
      <c r="B82" s="4" t="n"/>
      <c r="C82" s="4" t="n"/>
      <c r="D82" s="4" t="n"/>
      <c r="E82" s="4" t="n"/>
      <c r="F82" s="7" t="n"/>
      <c r="G82" s="7" t="n"/>
      <c r="H82" s="7" t="n"/>
      <c r="I82" s="8">
        <f>IF(A82="","",IF(H82&lt;&gt;"",H82,IF(UPPER(TRIM(B82))="PIPE",Inputs!$B$7,IF(UPPER(TRIM(B82))="SWALE",Inputs!$B$8,Inputs!$B$9))))</f>
        <v/>
      </c>
      <c r="J82" s="7" t="n"/>
      <c r="K82" s="7" t="n"/>
      <c r="L82" s="7" t="n"/>
      <c r="M82" s="7" t="n"/>
      <c r="N82" s="7" t="n">
        <v>0</v>
      </c>
      <c r="O82" s="8">
        <f>IF(A82="","",SUMIFS(Zones_tributaires!$I:$I,Zones_tributaires!$J:$J,$A82))</f>
        <v/>
      </c>
      <c r="P82" s="8">
        <f>IF(A82="","",SUMIFS($Q$4:$Q$204,$E$4:$E$204,$A82))</f>
        <v/>
      </c>
      <c r="Q82" s="8">
        <f>IF(A82="","",(O82+P82)*Inputs!$B$6)</f>
        <v/>
      </c>
      <c r="R82" s="8">
        <f>IF(A82="","",IF(UPPER(TRIM(B82))="PIPE",PI()*(J82/1000)^2/4,IF(OR(K82="",L82=""),"",L82*(K82+M82*L82))))</f>
        <v/>
      </c>
      <c r="S82" s="8">
        <f>IF(A82="","",IF(UPPER(TRIM(B82))="PIPE",(J82/1000)/4,IF(OR(R82="",K82="",L82=""),"",R82/(K82+2*L82*SQRT(1+M82^2)))))</f>
        <v/>
      </c>
      <c r="T82" s="8">
        <f>IF(A82="","",IF(OR(I82="",R82="",S82="",G82=""),"",(1/I82)*R82*(S82^(2/3))*SQRT(G82)))</f>
        <v/>
      </c>
      <c r="U82" s="8">
        <f>IF(OR(T82="",Q82=""),"",Q82/(T82*Inputs!$B$19))</f>
        <v/>
      </c>
      <c r="V82" s="8">
        <f>IF(OR(R82="",Q82=""),"",Q82/R82)</f>
        <v/>
      </c>
      <c r="W82" s="8">
        <f>IF(OR(R82="",T82=""),"",T82/R82)</f>
        <v/>
      </c>
      <c r="X82" s="8">
        <f>IF(A82="","",IF(OR(UPPER(TRIM(Inputs!$B$15))="MANNING",UPPER(TRIM(Inputs!$B$15))="M"),W82,IF(OR(UPPER(TRIM(Inputs!$B$15))="MAX",UPPER(TRIM(Inputs!$B$15))="X"),MAX(V82,W82),V82)))</f>
        <v/>
      </c>
      <c r="Y82" s="8">
        <f>IF(A82="","",IF(UPPER(TRIM(B82))="TRENCH",K82*L82*N82,IF(UPPER(TRIM(B82))="SWALE",K82*L82,0)))</f>
        <v/>
      </c>
      <c r="Z82" s="8">
        <f>IF(OR(Y82="",F82=""),"",Y82*F82)</f>
        <v/>
      </c>
      <c r="AA82" s="4">
        <f>IF(A82="","",IF(OR(U82&gt;1,AND(X82&lt;&gt;"",X82&lt;Inputs!$B$16),AND(X82&lt;&gt;"",X82&gt;Inputs!$B$17),G82&lt;Inputs!$B$18,AH82="CHECK"),"CHECK","OK"))</f>
        <v/>
      </c>
      <c r="AB82" s="4" t="n"/>
      <c r="AC82" s="7" t="n"/>
      <c r="AD82" s="8">
        <f>IF(A82="","",IF(AC82&lt;&gt;"",AC82,IF(E82="",Inputs!$B$38,IFERROR(INDEX($AE$4:$AE$204,MATCH(E82,$A$4:$A$204,0))+IF(OR(AND(UPPER(TRIM(B82))="SWALE",UPPER(TRIM(AI82))="PIPE"),AND(UPPER(TRIM(B82))="TRENCH",UPPER(TRIM(AI82))="PIPE")),Inputs!$B$57,0),""))))</f>
        <v/>
      </c>
      <c r="AE82" s="8">
        <f>IF(OR(AD82="",F82="",G82=""),"",AD82+F82*G82)</f>
        <v/>
      </c>
      <c r="AF82" s="8">
        <f>IF(OR(E82="",A82=""),"",IFERROR(INDEX($AE$4:$AE$204,MATCH(E82,$A$4:$A$204,0)),""))</f>
        <v/>
      </c>
      <c r="AG82" s="8">
        <f>IF(OR(AD82="",AF82=""),"",AD82-AF82)</f>
        <v/>
      </c>
      <c r="AH82" s="4">
        <f>IF(A82="","",IF(E82="","TERMINAL",IF(OR(AND(UPPER(TRIM(B82))="SWALE",UPPER(TRIM(AI82))="PIPE"),AND(UPPER(TRIM(B82))="TRENCH",UPPER(TRIM(AI82))="PIPE")),IF(OR(AG82="",AJ82="",AK82=""),"INFO",IF(AND(AG82&gt;=AJ82,AG82&lt;=AK82),"OK","CHECK")),IF(AG82="","INFO",IF(ABS(AG82)&lt;=Inputs!$B$54,"OK","CHECK")))))</f>
        <v/>
      </c>
      <c r="AI82" s="17">
        <f>IF(A82="","",IF(E82="","",IFERROR(INDEX($B$4:$B$204,MATCH(E82,$A$4:$A$204,0)),"")))</f>
        <v/>
      </c>
      <c r="AJ82" s="17">
        <f>IF(A82="","",IF(OR(AND(UPPER(TRIM(B82))="SWALE",UPPER(TRIM(AI82))="PIPE"),AND(UPPER(TRIM(B82))="TRENCH",UPPER(TRIM(AI82))="PIPE")),Inputs!$B$55,0))</f>
        <v/>
      </c>
      <c r="AK82" s="17">
        <f>IF(A82="","",IF(OR(AND(UPPER(TRIM(B82))="SWALE",UPPER(TRIM(AI82))="PIPE"),AND(UPPER(TRIM(B82))="TRENCH",UPPER(TRIM(AI82))="PIPE")),Inputs!$B$56,Inputs!$B$54))</f>
        <v/>
      </c>
      <c r="AL82" s="4">
        <f>IF(A82="","",IF(E82="","TERMINAL",IF(OR(AND(UPPER(TRIM(B82))="SWALE",UPPER(TRIM(AI82))="PIPE"),AND(UPPER(TRIM(B82))="TRENCH",UPPER(TRIM(AI82))="PIPE")),IF(OR(AG82="",AJ82="",AK82=""),"INFO",IF(AND(AG82&gt;=AJ82,AG82&lt;=AK82),"OK","CHECK")),"N/A")))</f>
        <v/>
      </c>
    </row>
    <row r="83">
      <c r="A83" s="4" t="n"/>
      <c r="B83" s="4" t="n"/>
      <c r="C83" s="4" t="n"/>
      <c r="D83" s="4" t="n"/>
      <c r="E83" s="4" t="n"/>
      <c r="F83" s="7" t="n"/>
      <c r="G83" s="7" t="n"/>
      <c r="H83" s="7" t="n"/>
      <c r="I83" s="8">
        <f>IF(A83="","",IF(H83&lt;&gt;"",H83,IF(UPPER(TRIM(B83))="PIPE",Inputs!$B$7,IF(UPPER(TRIM(B83))="SWALE",Inputs!$B$8,Inputs!$B$9))))</f>
        <v/>
      </c>
      <c r="J83" s="7" t="n"/>
      <c r="K83" s="7" t="n"/>
      <c r="L83" s="7" t="n"/>
      <c r="M83" s="7" t="n"/>
      <c r="N83" s="7" t="n">
        <v>0</v>
      </c>
      <c r="O83" s="8">
        <f>IF(A83="","",SUMIFS(Zones_tributaires!$I:$I,Zones_tributaires!$J:$J,$A83))</f>
        <v/>
      </c>
      <c r="P83" s="8">
        <f>IF(A83="","",SUMIFS($Q$4:$Q$204,$E$4:$E$204,$A83))</f>
        <v/>
      </c>
      <c r="Q83" s="8">
        <f>IF(A83="","",(O83+P83)*Inputs!$B$6)</f>
        <v/>
      </c>
      <c r="R83" s="8">
        <f>IF(A83="","",IF(UPPER(TRIM(B83))="PIPE",PI()*(J83/1000)^2/4,IF(OR(K83="",L83=""),"",L83*(K83+M83*L83))))</f>
        <v/>
      </c>
      <c r="S83" s="8">
        <f>IF(A83="","",IF(UPPER(TRIM(B83))="PIPE",(J83/1000)/4,IF(OR(R83="",K83="",L83=""),"",R83/(K83+2*L83*SQRT(1+M83^2)))))</f>
        <v/>
      </c>
      <c r="T83" s="8">
        <f>IF(A83="","",IF(OR(I83="",R83="",S83="",G83=""),"",(1/I83)*R83*(S83^(2/3))*SQRT(G83)))</f>
        <v/>
      </c>
      <c r="U83" s="8">
        <f>IF(OR(T83="",Q83=""),"",Q83/(T83*Inputs!$B$19))</f>
        <v/>
      </c>
      <c r="V83" s="8">
        <f>IF(OR(R83="",Q83=""),"",Q83/R83)</f>
        <v/>
      </c>
      <c r="W83" s="8">
        <f>IF(OR(R83="",T83=""),"",T83/R83)</f>
        <v/>
      </c>
      <c r="X83" s="8">
        <f>IF(A83="","",IF(OR(UPPER(TRIM(Inputs!$B$15))="MANNING",UPPER(TRIM(Inputs!$B$15))="M"),W83,IF(OR(UPPER(TRIM(Inputs!$B$15))="MAX",UPPER(TRIM(Inputs!$B$15))="X"),MAX(V83,W83),V83)))</f>
        <v/>
      </c>
      <c r="Y83" s="8">
        <f>IF(A83="","",IF(UPPER(TRIM(B83))="TRENCH",K83*L83*N83,IF(UPPER(TRIM(B83))="SWALE",K83*L83,0)))</f>
        <v/>
      </c>
      <c r="Z83" s="8">
        <f>IF(OR(Y83="",F83=""),"",Y83*F83)</f>
        <v/>
      </c>
      <c r="AA83" s="4">
        <f>IF(A83="","",IF(OR(U83&gt;1,AND(X83&lt;&gt;"",X83&lt;Inputs!$B$16),AND(X83&lt;&gt;"",X83&gt;Inputs!$B$17),G83&lt;Inputs!$B$18,AH83="CHECK"),"CHECK","OK"))</f>
        <v/>
      </c>
      <c r="AB83" s="4" t="n"/>
      <c r="AC83" s="7" t="n"/>
      <c r="AD83" s="8">
        <f>IF(A83="","",IF(AC83&lt;&gt;"",AC83,IF(E83="",Inputs!$B$38,IFERROR(INDEX($AE$4:$AE$204,MATCH(E83,$A$4:$A$204,0))+IF(OR(AND(UPPER(TRIM(B83))="SWALE",UPPER(TRIM(AI83))="PIPE"),AND(UPPER(TRIM(B83))="TRENCH",UPPER(TRIM(AI83))="PIPE")),Inputs!$B$57,0),""))))</f>
        <v/>
      </c>
      <c r="AE83" s="8">
        <f>IF(OR(AD83="",F83="",G83=""),"",AD83+F83*G83)</f>
        <v/>
      </c>
      <c r="AF83" s="8">
        <f>IF(OR(E83="",A83=""),"",IFERROR(INDEX($AE$4:$AE$204,MATCH(E83,$A$4:$A$204,0)),""))</f>
        <v/>
      </c>
      <c r="AG83" s="8">
        <f>IF(OR(AD83="",AF83=""),"",AD83-AF83)</f>
        <v/>
      </c>
      <c r="AH83" s="4">
        <f>IF(A83="","",IF(E83="","TERMINAL",IF(OR(AND(UPPER(TRIM(B83))="SWALE",UPPER(TRIM(AI83))="PIPE"),AND(UPPER(TRIM(B83))="TRENCH",UPPER(TRIM(AI83))="PIPE")),IF(OR(AG83="",AJ83="",AK83=""),"INFO",IF(AND(AG83&gt;=AJ83,AG83&lt;=AK83),"OK","CHECK")),IF(AG83="","INFO",IF(ABS(AG83)&lt;=Inputs!$B$54,"OK","CHECK")))))</f>
        <v/>
      </c>
      <c r="AI83" s="17">
        <f>IF(A83="","",IF(E83="","",IFERROR(INDEX($B$4:$B$204,MATCH(E83,$A$4:$A$204,0)),"")))</f>
        <v/>
      </c>
      <c r="AJ83" s="17">
        <f>IF(A83="","",IF(OR(AND(UPPER(TRIM(B83))="SWALE",UPPER(TRIM(AI83))="PIPE"),AND(UPPER(TRIM(B83))="TRENCH",UPPER(TRIM(AI83))="PIPE")),Inputs!$B$55,0))</f>
        <v/>
      </c>
      <c r="AK83" s="17">
        <f>IF(A83="","",IF(OR(AND(UPPER(TRIM(B83))="SWALE",UPPER(TRIM(AI83))="PIPE"),AND(UPPER(TRIM(B83))="TRENCH",UPPER(TRIM(AI83))="PIPE")),Inputs!$B$56,Inputs!$B$54))</f>
        <v/>
      </c>
      <c r="AL83" s="4">
        <f>IF(A83="","",IF(E83="","TERMINAL",IF(OR(AND(UPPER(TRIM(B83))="SWALE",UPPER(TRIM(AI83))="PIPE"),AND(UPPER(TRIM(B83))="TRENCH",UPPER(TRIM(AI83))="PIPE")),IF(OR(AG83="",AJ83="",AK83=""),"INFO",IF(AND(AG83&gt;=AJ83,AG83&lt;=AK83),"OK","CHECK")),"N/A")))</f>
        <v/>
      </c>
    </row>
    <row r="84">
      <c r="A84" s="4" t="n"/>
      <c r="B84" s="4" t="n"/>
      <c r="C84" s="4" t="n"/>
      <c r="D84" s="4" t="n"/>
      <c r="E84" s="4" t="n"/>
      <c r="F84" s="7" t="n"/>
      <c r="G84" s="7" t="n"/>
      <c r="H84" s="7" t="n"/>
      <c r="I84" s="8">
        <f>IF(A84="","",IF(H84&lt;&gt;"",H84,IF(UPPER(TRIM(B84))="PIPE",Inputs!$B$7,IF(UPPER(TRIM(B84))="SWALE",Inputs!$B$8,Inputs!$B$9))))</f>
        <v/>
      </c>
      <c r="J84" s="7" t="n"/>
      <c r="K84" s="7" t="n"/>
      <c r="L84" s="7" t="n"/>
      <c r="M84" s="7" t="n"/>
      <c r="N84" s="7" t="n">
        <v>0</v>
      </c>
      <c r="O84" s="8">
        <f>IF(A84="","",SUMIFS(Zones_tributaires!$I:$I,Zones_tributaires!$J:$J,$A84))</f>
        <v/>
      </c>
      <c r="P84" s="8">
        <f>IF(A84="","",SUMIFS($Q$4:$Q$204,$E$4:$E$204,$A84))</f>
        <v/>
      </c>
      <c r="Q84" s="8">
        <f>IF(A84="","",(O84+P84)*Inputs!$B$6)</f>
        <v/>
      </c>
      <c r="R84" s="8">
        <f>IF(A84="","",IF(UPPER(TRIM(B84))="PIPE",PI()*(J84/1000)^2/4,IF(OR(K84="",L84=""),"",L84*(K84+M84*L84))))</f>
        <v/>
      </c>
      <c r="S84" s="8">
        <f>IF(A84="","",IF(UPPER(TRIM(B84))="PIPE",(J84/1000)/4,IF(OR(R84="",K84="",L84=""),"",R84/(K84+2*L84*SQRT(1+M84^2)))))</f>
        <v/>
      </c>
      <c r="T84" s="8">
        <f>IF(A84="","",IF(OR(I84="",R84="",S84="",G84=""),"",(1/I84)*R84*(S84^(2/3))*SQRT(G84)))</f>
        <v/>
      </c>
      <c r="U84" s="8">
        <f>IF(OR(T84="",Q84=""),"",Q84/(T84*Inputs!$B$19))</f>
        <v/>
      </c>
      <c r="V84" s="8">
        <f>IF(OR(R84="",Q84=""),"",Q84/R84)</f>
        <v/>
      </c>
      <c r="W84" s="8">
        <f>IF(OR(R84="",T84=""),"",T84/R84)</f>
        <v/>
      </c>
      <c r="X84" s="8">
        <f>IF(A84="","",IF(OR(UPPER(TRIM(Inputs!$B$15))="MANNING",UPPER(TRIM(Inputs!$B$15))="M"),W84,IF(OR(UPPER(TRIM(Inputs!$B$15))="MAX",UPPER(TRIM(Inputs!$B$15))="X"),MAX(V84,W84),V84)))</f>
        <v/>
      </c>
      <c r="Y84" s="8">
        <f>IF(A84="","",IF(UPPER(TRIM(B84))="TRENCH",K84*L84*N84,IF(UPPER(TRIM(B84))="SWALE",K84*L84,0)))</f>
        <v/>
      </c>
      <c r="Z84" s="8">
        <f>IF(OR(Y84="",F84=""),"",Y84*F84)</f>
        <v/>
      </c>
      <c r="AA84" s="4">
        <f>IF(A84="","",IF(OR(U84&gt;1,AND(X84&lt;&gt;"",X84&lt;Inputs!$B$16),AND(X84&lt;&gt;"",X84&gt;Inputs!$B$17),G84&lt;Inputs!$B$18,AH84="CHECK"),"CHECK","OK"))</f>
        <v/>
      </c>
      <c r="AB84" s="4" t="n"/>
      <c r="AC84" s="7" t="n"/>
      <c r="AD84" s="8">
        <f>IF(A84="","",IF(AC84&lt;&gt;"",AC84,IF(E84="",Inputs!$B$38,IFERROR(INDEX($AE$4:$AE$204,MATCH(E84,$A$4:$A$204,0))+IF(OR(AND(UPPER(TRIM(B84))="SWALE",UPPER(TRIM(AI84))="PIPE"),AND(UPPER(TRIM(B84))="TRENCH",UPPER(TRIM(AI84))="PIPE")),Inputs!$B$57,0),""))))</f>
        <v/>
      </c>
      <c r="AE84" s="8">
        <f>IF(OR(AD84="",F84="",G84=""),"",AD84+F84*G84)</f>
        <v/>
      </c>
      <c r="AF84" s="8">
        <f>IF(OR(E84="",A84=""),"",IFERROR(INDEX($AE$4:$AE$204,MATCH(E84,$A$4:$A$204,0)),""))</f>
        <v/>
      </c>
      <c r="AG84" s="8">
        <f>IF(OR(AD84="",AF84=""),"",AD84-AF84)</f>
        <v/>
      </c>
      <c r="AH84" s="4">
        <f>IF(A84="","",IF(E84="","TERMINAL",IF(OR(AND(UPPER(TRIM(B84))="SWALE",UPPER(TRIM(AI84))="PIPE"),AND(UPPER(TRIM(B84))="TRENCH",UPPER(TRIM(AI84))="PIPE")),IF(OR(AG84="",AJ84="",AK84=""),"INFO",IF(AND(AG84&gt;=AJ84,AG84&lt;=AK84),"OK","CHECK")),IF(AG84="","INFO",IF(ABS(AG84)&lt;=Inputs!$B$54,"OK","CHECK")))))</f>
        <v/>
      </c>
      <c r="AI84" s="17">
        <f>IF(A84="","",IF(E84="","",IFERROR(INDEX($B$4:$B$204,MATCH(E84,$A$4:$A$204,0)),"")))</f>
        <v/>
      </c>
      <c r="AJ84" s="17">
        <f>IF(A84="","",IF(OR(AND(UPPER(TRIM(B84))="SWALE",UPPER(TRIM(AI84))="PIPE"),AND(UPPER(TRIM(B84))="TRENCH",UPPER(TRIM(AI84))="PIPE")),Inputs!$B$55,0))</f>
        <v/>
      </c>
      <c r="AK84" s="17">
        <f>IF(A84="","",IF(OR(AND(UPPER(TRIM(B84))="SWALE",UPPER(TRIM(AI84))="PIPE"),AND(UPPER(TRIM(B84))="TRENCH",UPPER(TRIM(AI84))="PIPE")),Inputs!$B$56,Inputs!$B$54))</f>
        <v/>
      </c>
      <c r="AL84" s="4">
        <f>IF(A84="","",IF(E84="","TERMINAL",IF(OR(AND(UPPER(TRIM(B84))="SWALE",UPPER(TRIM(AI84))="PIPE"),AND(UPPER(TRIM(B84))="TRENCH",UPPER(TRIM(AI84))="PIPE")),IF(OR(AG84="",AJ84="",AK84=""),"INFO",IF(AND(AG84&gt;=AJ84,AG84&lt;=AK84),"OK","CHECK")),"N/A")))</f>
        <v/>
      </c>
    </row>
    <row r="85">
      <c r="A85" s="4" t="n"/>
      <c r="B85" s="4" t="n"/>
      <c r="C85" s="4" t="n"/>
      <c r="D85" s="4" t="n"/>
      <c r="E85" s="4" t="n"/>
      <c r="F85" s="7" t="n"/>
      <c r="G85" s="7" t="n"/>
      <c r="H85" s="7" t="n"/>
      <c r="I85" s="8">
        <f>IF(A85="","",IF(H85&lt;&gt;"",H85,IF(UPPER(TRIM(B85))="PIPE",Inputs!$B$7,IF(UPPER(TRIM(B85))="SWALE",Inputs!$B$8,Inputs!$B$9))))</f>
        <v/>
      </c>
      <c r="J85" s="7" t="n"/>
      <c r="K85" s="7" t="n"/>
      <c r="L85" s="7" t="n"/>
      <c r="M85" s="7" t="n"/>
      <c r="N85" s="7" t="n">
        <v>0</v>
      </c>
      <c r="O85" s="8">
        <f>IF(A85="","",SUMIFS(Zones_tributaires!$I:$I,Zones_tributaires!$J:$J,$A85))</f>
        <v/>
      </c>
      <c r="P85" s="8">
        <f>IF(A85="","",SUMIFS($Q$4:$Q$204,$E$4:$E$204,$A85))</f>
        <v/>
      </c>
      <c r="Q85" s="8">
        <f>IF(A85="","",(O85+P85)*Inputs!$B$6)</f>
        <v/>
      </c>
      <c r="R85" s="8">
        <f>IF(A85="","",IF(UPPER(TRIM(B85))="PIPE",PI()*(J85/1000)^2/4,IF(OR(K85="",L85=""),"",L85*(K85+M85*L85))))</f>
        <v/>
      </c>
      <c r="S85" s="8">
        <f>IF(A85="","",IF(UPPER(TRIM(B85))="PIPE",(J85/1000)/4,IF(OR(R85="",K85="",L85=""),"",R85/(K85+2*L85*SQRT(1+M85^2)))))</f>
        <v/>
      </c>
      <c r="T85" s="8">
        <f>IF(A85="","",IF(OR(I85="",R85="",S85="",G85=""),"",(1/I85)*R85*(S85^(2/3))*SQRT(G85)))</f>
        <v/>
      </c>
      <c r="U85" s="8">
        <f>IF(OR(T85="",Q85=""),"",Q85/(T85*Inputs!$B$19))</f>
        <v/>
      </c>
      <c r="V85" s="8">
        <f>IF(OR(R85="",Q85=""),"",Q85/R85)</f>
        <v/>
      </c>
      <c r="W85" s="8">
        <f>IF(OR(R85="",T85=""),"",T85/R85)</f>
        <v/>
      </c>
      <c r="X85" s="8">
        <f>IF(A85="","",IF(OR(UPPER(TRIM(Inputs!$B$15))="MANNING",UPPER(TRIM(Inputs!$B$15))="M"),W85,IF(OR(UPPER(TRIM(Inputs!$B$15))="MAX",UPPER(TRIM(Inputs!$B$15))="X"),MAX(V85,W85),V85)))</f>
        <v/>
      </c>
      <c r="Y85" s="8">
        <f>IF(A85="","",IF(UPPER(TRIM(B85))="TRENCH",K85*L85*N85,IF(UPPER(TRIM(B85))="SWALE",K85*L85,0)))</f>
        <v/>
      </c>
      <c r="Z85" s="8">
        <f>IF(OR(Y85="",F85=""),"",Y85*F85)</f>
        <v/>
      </c>
      <c r="AA85" s="4">
        <f>IF(A85="","",IF(OR(U85&gt;1,AND(X85&lt;&gt;"",X85&lt;Inputs!$B$16),AND(X85&lt;&gt;"",X85&gt;Inputs!$B$17),G85&lt;Inputs!$B$18,AH85="CHECK"),"CHECK","OK"))</f>
        <v/>
      </c>
      <c r="AB85" s="4" t="n"/>
      <c r="AC85" s="7" t="n"/>
      <c r="AD85" s="8">
        <f>IF(A85="","",IF(AC85&lt;&gt;"",AC85,IF(E85="",Inputs!$B$38,IFERROR(INDEX($AE$4:$AE$204,MATCH(E85,$A$4:$A$204,0))+IF(OR(AND(UPPER(TRIM(B85))="SWALE",UPPER(TRIM(AI85))="PIPE"),AND(UPPER(TRIM(B85))="TRENCH",UPPER(TRIM(AI85))="PIPE")),Inputs!$B$57,0),""))))</f>
        <v/>
      </c>
      <c r="AE85" s="8">
        <f>IF(OR(AD85="",F85="",G85=""),"",AD85+F85*G85)</f>
        <v/>
      </c>
      <c r="AF85" s="8">
        <f>IF(OR(E85="",A85=""),"",IFERROR(INDEX($AE$4:$AE$204,MATCH(E85,$A$4:$A$204,0)),""))</f>
        <v/>
      </c>
      <c r="AG85" s="8">
        <f>IF(OR(AD85="",AF85=""),"",AD85-AF85)</f>
        <v/>
      </c>
      <c r="AH85" s="4">
        <f>IF(A85="","",IF(E85="","TERMINAL",IF(OR(AND(UPPER(TRIM(B85))="SWALE",UPPER(TRIM(AI85))="PIPE"),AND(UPPER(TRIM(B85))="TRENCH",UPPER(TRIM(AI85))="PIPE")),IF(OR(AG85="",AJ85="",AK85=""),"INFO",IF(AND(AG85&gt;=AJ85,AG85&lt;=AK85),"OK","CHECK")),IF(AG85="","INFO",IF(ABS(AG85)&lt;=Inputs!$B$54,"OK","CHECK")))))</f>
        <v/>
      </c>
      <c r="AI85" s="17">
        <f>IF(A85="","",IF(E85="","",IFERROR(INDEX($B$4:$B$204,MATCH(E85,$A$4:$A$204,0)),"")))</f>
        <v/>
      </c>
      <c r="AJ85" s="17">
        <f>IF(A85="","",IF(OR(AND(UPPER(TRIM(B85))="SWALE",UPPER(TRIM(AI85))="PIPE"),AND(UPPER(TRIM(B85))="TRENCH",UPPER(TRIM(AI85))="PIPE")),Inputs!$B$55,0))</f>
        <v/>
      </c>
      <c r="AK85" s="17">
        <f>IF(A85="","",IF(OR(AND(UPPER(TRIM(B85))="SWALE",UPPER(TRIM(AI85))="PIPE"),AND(UPPER(TRIM(B85))="TRENCH",UPPER(TRIM(AI85))="PIPE")),Inputs!$B$56,Inputs!$B$54))</f>
        <v/>
      </c>
      <c r="AL85" s="4">
        <f>IF(A85="","",IF(E85="","TERMINAL",IF(OR(AND(UPPER(TRIM(B85))="SWALE",UPPER(TRIM(AI85))="PIPE"),AND(UPPER(TRIM(B85))="TRENCH",UPPER(TRIM(AI85))="PIPE")),IF(OR(AG85="",AJ85="",AK85=""),"INFO",IF(AND(AG85&gt;=AJ85,AG85&lt;=AK85),"OK","CHECK")),"N/A")))</f>
        <v/>
      </c>
    </row>
    <row r="86">
      <c r="A86" s="4" t="n"/>
      <c r="B86" s="4" t="n"/>
      <c r="C86" s="4" t="n"/>
      <c r="D86" s="4" t="n"/>
      <c r="E86" s="4" t="n"/>
      <c r="F86" s="7" t="n"/>
      <c r="G86" s="7" t="n"/>
      <c r="H86" s="7" t="n"/>
      <c r="I86" s="8">
        <f>IF(A86="","",IF(H86&lt;&gt;"",H86,IF(UPPER(TRIM(B86))="PIPE",Inputs!$B$7,IF(UPPER(TRIM(B86))="SWALE",Inputs!$B$8,Inputs!$B$9))))</f>
        <v/>
      </c>
      <c r="J86" s="7" t="n"/>
      <c r="K86" s="7" t="n"/>
      <c r="L86" s="7" t="n"/>
      <c r="M86" s="7" t="n"/>
      <c r="N86" s="7" t="n">
        <v>0</v>
      </c>
      <c r="O86" s="8">
        <f>IF(A86="","",SUMIFS(Zones_tributaires!$I:$I,Zones_tributaires!$J:$J,$A86))</f>
        <v/>
      </c>
      <c r="P86" s="8">
        <f>IF(A86="","",SUMIFS($Q$4:$Q$204,$E$4:$E$204,$A86))</f>
        <v/>
      </c>
      <c r="Q86" s="8">
        <f>IF(A86="","",(O86+P86)*Inputs!$B$6)</f>
        <v/>
      </c>
      <c r="R86" s="8">
        <f>IF(A86="","",IF(UPPER(TRIM(B86))="PIPE",PI()*(J86/1000)^2/4,IF(OR(K86="",L86=""),"",L86*(K86+M86*L86))))</f>
        <v/>
      </c>
      <c r="S86" s="8">
        <f>IF(A86="","",IF(UPPER(TRIM(B86))="PIPE",(J86/1000)/4,IF(OR(R86="",K86="",L86=""),"",R86/(K86+2*L86*SQRT(1+M86^2)))))</f>
        <v/>
      </c>
      <c r="T86" s="8">
        <f>IF(A86="","",IF(OR(I86="",R86="",S86="",G86=""),"",(1/I86)*R86*(S86^(2/3))*SQRT(G86)))</f>
        <v/>
      </c>
      <c r="U86" s="8">
        <f>IF(OR(T86="",Q86=""),"",Q86/(T86*Inputs!$B$19))</f>
        <v/>
      </c>
      <c r="V86" s="8">
        <f>IF(OR(R86="",Q86=""),"",Q86/R86)</f>
        <v/>
      </c>
      <c r="W86" s="8">
        <f>IF(OR(R86="",T86=""),"",T86/R86)</f>
        <v/>
      </c>
      <c r="X86" s="8">
        <f>IF(A86="","",IF(OR(UPPER(TRIM(Inputs!$B$15))="MANNING",UPPER(TRIM(Inputs!$B$15))="M"),W86,IF(OR(UPPER(TRIM(Inputs!$B$15))="MAX",UPPER(TRIM(Inputs!$B$15))="X"),MAX(V86,W86),V86)))</f>
        <v/>
      </c>
      <c r="Y86" s="8">
        <f>IF(A86="","",IF(UPPER(TRIM(B86))="TRENCH",K86*L86*N86,IF(UPPER(TRIM(B86))="SWALE",K86*L86,0)))</f>
        <v/>
      </c>
      <c r="Z86" s="8">
        <f>IF(OR(Y86="",F86=""),"",Y86*F86)</f>
        <v/>
      </c>
      <c r="AA86" s="4">
        <f>IF(A86="","",IF(OR(U86&gt;1,AND(X86&lt;&gt;"",X86&lt;Inputs!$B$16),AND(X86&lt;&gt;"",X86&gt;Inputs!$B$17),G86&lt;Inputs!$B$18,AH86="CHECK"),"CHECK","OK"))</f>
        <v/>
      </c>
      <c r="AB86" s="4" t="n"/>
      <c r="AC86" s="7" t="n"/>
      <c r="AD86" s="8">
        <f>IF(A86="","",IF(AC86&lt;&gt;"",AC86,IF(E86="",Inputs!$B$38,IFERROR(INDEX($AE$4:$AE$204,MATCH(E86,$A$4:$A$204,0))+IF(OR(AND(UPPER(TRIM(B86))="SWALE",UPPER(TRIM(AI86))="PIPE"),AND(UPPER(TRIM(B86))="TRENCH",UPPER(TRIM(AI86))="PIPE")),Inputs!$B$57,0),""))))</f>
        <v/>
      </c>
      <c r="AE86" s="8">
        <f>IF(OR(AD86="",F86="",G86=""),"",AD86+F86*G86)</f>
        <v/>
      </c>
      <c r="AF86" s="8">
        <f>IF(OR(E86="",A86=""),"",IFERROR(INDEX($AE$4:$AE$204,MATCH(E86,$A$4:$A$204,0)),""))</f>
        <v/>
      </c>
      <c r="AG86" s="8">
        <f>IF(OR(AD86="",AF86=""),"",AD86-AF86)</f>
        <v/>
      </c>
      <c r="AH86" s="4">
        <f>IF(A86="","",IF(E86="","TERMINAL",IF(OR(AND(UPPER(TRIM(B86))="SWALE",UPPER(TRIM(AI86))="PIPE"),AND(UPPER(TRIM(B86))="TRENCH",UPPER(TRIM(AI86))="PIPE")),IF(OR(AG86="",AJ86="",AK86=""),"INFO",IF(AND(AG86&gt;=AJ86,AG86&lt;=AK86),"OK","CHECK")),IF(AG86="","INFO",IF(ABS(AG86)&lt;=Inputs!$B$54,"OK","CHECK")))))</f>
        <v/>
      </c>
      <c r="AI86" s="17">
        <f>IF(A86="","",IF(E86="","",IFERROR(INDEX($B$4:$B$204,MATCH(E86,$A$4:$A$204,0)),"")))</f>
        <v/>
      </c>
      <c r="AJ86" s="17">
        <f>IF(A86="","",IF(OR(AND(UPPER(TRIM(B86))="SWALE",UPPER(TRIM(AI86))="PIPE"),AND(UPPER(TRIM(B86))="TRENCH",UPPER(TRIM(AI86))="PIPE")),Inputs!$B$55,0))</f>
        <v/>
      </c>
      <c r="AK86" s="17">
        <f>IF(A86="","",IF(OR(AND(UPPER(TRIM(B86))="SWALE",UPPER(TRIM(AI86))="PIPE"),AND(UPPER(TRIM(B86))="TRENCH",UPPER(TRIM(AI86))="PIPE")),Inputs!$B$56,Inputs!$B$54))</f>
        <v/>
      </c>
      <c r="AL86" s="4">
        <f>IF(A86="","",IF(E86="","TERMINAL",IF(OR(AND(UPPER(TRIM(B86))="SWALE",UPPER(TRIM(AI86))="PIPE"),AND(UPPER(TRIM(B86))="TRENCH",UPPER(TRIM(AI86))="PIPE")),IF(OR(AG86="",AJ86="",AK86=""),"INFO",IF(AND(AG86&gt;=AJ86,AG86&lt;=AK86),"OK","CHECK")),"N/A")))</f>
        <v/>
      </c>
    </row>
    <row r="87">
      <c r="A87" s="4" t="n"/>
      <c r="B87" s="4" t="n"/>
      <c r="C87" s="4" t="n"/>
      <c r="D87" s="4" t="n"/>
      <c r="E87" s="4" t="n"/>
      <c r="F87" s="7" t="n"/>
      <c r="G87" s="7" t="n"/>
      <c r="H87" s="7" t="n"/>
      <c r="I87" s="8">
        <f>IF(A87="","",IF(H87&lt;&gt;"",H87,IF(UPPER(TRIM(B87))="PIPE",Inputs!$B$7,IF(UPPER(TRIM(B87))="SWALE",Inputs!$B$8,Inputs!$B$9))))</f>
        <v/>
      </c>
      <c r="J87" s="7" t="n"/>
      <c r="K87" s="7" t="n"/>
      <c r="L87" s="7" t="n"/>
      <c r="M87" s="7" t="n"/>
      <c r="N87" s="7" t="n">
        <v>0</v>
      </c>
      <c r="O87" s="8">
        <f>IF(A87="","",SUMIFS(Zones_tributaires!$I:$I,Zones_tributaires!$J:$J,$A87))</f>
        <v/>
      </c>
      <c r="P87" s="8">
        <f>IF(A87="","",SUMIFS($Q$4:$Q$204,$E$4:$E$204,$A87))</f>
        <v/>
      </c>
      <c r="Q87" s="8">
        <f>IF(A87="","",(O87+P87)*Inputs!$B$6)</f>
        <v/>
      </c>
      <c r="R87" s="8">
        <f>IF(A87="","",IF(UPPER(TRIM(B87))="PIPE",PI()*(J87/1000)^2/4,IF(OR(K87="",L87=""),"",L87*(K87+M87*L87))))</f>
        <v/>
      </c>
      <c r="S87" s="8">
        <f>IF(A87="","",IF(UPPER(TRIM(B87))="PIPE",(J87/1000)/4,IF(OR(R87="",K87="",L87=""),"",R87/(K87+2*L87*SQRT(1+M87^2)))))</f>
        <v/>
      </c>
      <c r="T87" s="8">
        <f>IF(A87="","",IF(OR(I87="",R87="",S87="",G87=""),"",(1/I87)*R87*(S87^(2/3))*SQRT(G87)))</f>
        <v/>
      </c>
      <c r="U87" s="8">
        <f>IF(OR(T87="",Q87=""),"",Q87/(T87*Inputs!$B$19))</f>
        <v/>
      </c>
      <c r="V87" s="8">
        <f>IF(OR(R87="",Q87=""),"",Q87/R87)</f>
        <v/>
      </c>
      <c r="W87" s="8">
        <f>IF(OR(R87="",T87=""),"",T87/R87)</f>
        <v/>
      </c>
      <c r="X87" s="8">
        <f>IF(A87="","",IF(OR(UPPER(TRIM(Inputs!$B$15))="MANNING",UPPER(TRIM(Inputs!$B$15))="M"),W87,IF(OR(UPPER(TRIM(Inputs!$B$15))="MAX",UPPER(TRIM(Inputs!$B$15))="X"),MAX(V87,W87),V87)))</f>
        <v/>
      </c>
      <c r="Y87" s="8">
        <f>IF(A87="","",IF(UPPER(TRIM(B87))="TRENCH",K87*L87*N87,IF(UPPER(TRIM(B87))="SWALE",K87*L87,0)))</f>
        <v/>
      </c>
      <c r="Z87" s="8">
        <f>IF(OR(Y87="",F87=""),"",Y87*F87)</f>
        <v/>
      </c>
      <c r="AA87" s="4">
        <f>IF(A87="","",IF(OR(U87&gt;1,AND(X87&lt;&gt;"",X87&lt;Inputs!$B$16),AND(X87&lt;&gt;"",X87&gt;Inputs!$B$17),G87&lt;Inputs!$B$18,AH87="CHECK"),"CHECK","OK"))</f>
        <v/>
      </c>
      <c r="AB87" s="4" t="n"/>
      <c r="AC87" s="7" t="n"/>
      <c r="AD87" s="8">
        <f>IF(A87="","",IF(AC87&lt;&gt;"",AC87,IF(E87="",Inputs!$B$38,IFERROR(INDEX($AE$4:$AE$204,MATCH(E87,$A$4:$A$204,0))+IF(OR(AND(UPPER(TRIM(B87))="SWALE",UPPER(TRIM(AI87))="PIPE"),AND(UPPER(TRIM(B87))="TRENCH",UPPER(TRIM(AI87))="PIPE")),Inputs!$B$57,0),""))))</f>
        <v/>
      </c>
      <c r="AE87" s="8">
        <f>IF(OR(AD87="",F87="",G87=""),"",AD87+F87*G87)</f>
        <v/>
      </c>
      <c r="AF87" s="8">
        <f>IF(OR(E87="",A87=""),"",IFERROR(INDEX($AE$4:$AE$204,MATCH(E87,$A$4:$A$204,0)),""))</f>
        <v/>
      </c>
      <c r="AG87" s="8">
        <f>IF(OR(AD87="",AF87=""),"",AD87-AF87)</f>
        <v/>
      </c>
      <c r="AH87" s="4">
        <f>IF(A87="","",IF(E87="","TERMINAL",IF(OR(AND(UPPER(TRIM(B87))="SWALE",UPPER(TRIM(AI87))="PIPE"),AND(UPPER(TRIM(B87))="TRENCH",UPPER(TRIM(AI87))="PIPE")),IF(OR(AG87="",AJ87="",AK87=""),"INFO",IF(AND(AG87&gt;=AJ87,AG87&lt;=AK87),"OK","CHECK")),IF(AG87="","INFO",IF(ABS(AG87)&lt;=Inputs!$B$54,"OK","CHECK")))))</f>
        <v/>
      </c>
      <c r="AI87" s="17">
        <f>IF(A87="","",IF(E87="","",IFERROR(INDEX($B$4:$B$204,MATCH(E87,$A$4:$A$204,0)),"")))</f>
        <v/>
      </c>
      <c r="AJ87" s="17">
        <f>IF(A87="","",IF(OR(AND(UPPER(TRIM(B87))="SWALE",UPPER(TRIM(AI87))="PIPE"),AND(UPPER(TRIM(B87))="TRENCH",UPPER(TRIM(AI87))="PIPE")),Inputs!$B$55,0))</f>
        <v/>
      </c>
      <c r="AK87" s="17">
        <f>IF(A87="","",IF(OR(AND(UPPER(TRIM(B87))="SWALE",UPPER(TRIM(AI87))="PIPE"),AND(UPPER(TRIM(B87))="TRENCH",UPPER(TRIM(AI87))="PIPE")),Inputs!$B$56,Inputs!$B$54))</f>
        <v/>
      </c>
      <c r="AL87" s="4">
        <f>IF(A87="","",IF(E87="","TERMINAL",IF(OR(AND(UPPER(TRIM(B87))="SWALE",UPPER(TRIM(AI87))="PIPE"),AND(UPPER(TRIM(B87))="TRENCH",UPPER(TRIM(AI87))="PIPE")),IF(OR(AG87="",AJ87="",AK87=""),"INFO",IF(AND(AG87&gt;=AJ87,AG87&lt;=AK87),"OK","CHECK")),"N/A")))</f>
        <v/>
      </c>
    </row>
    <row r="88">
      <c r="A88" s="4" t="n"/>
      <c r="B88" s="4" t="n"/>
      <c r="C88" s="4" t="n"/>
      <c r="D88" s="4" t="n"/>
      <c r="E88" s="4" t="n"/>
      <c r="F88" s="7" t="n"/>
      <c r="G88" s="7" t="n"/>
      <c r="H88" s="7" t="n"/>
      <c r="I88" s="8">
        <f>IF(A88="","",IF(H88&lt;&gt;"",H88,IF(UPPER(TRIM(B88))="PIPE",Inputs!$B$7,IF(UPPER(TRIM(B88))="SWALE",Inputs!$B$8,Inputs!$B$9))))</f>
        <v/>
      </c>
      <c r="J88" s="7" t="n"/>
      <c r="K88" s="7" t="n"/>
      <c r="L88" s="7" t="n"/>
      <c r="M88" s="7" t="n"/>
      <c r="N88" s="7" t="n">
        <v>0</v>
      </c>
      <c r="O88" s="8">
        <f>IF(A88="","",SUMIFS(Zones_tributaires!$I:$I,Zones_tributaires!$J:$J,$A88))</f>
        <v/>
      </c>
      <c r="P88" s="8">
        <f>IF(A88="","",SUMIFS($Q$4:$Q$204,$E$4:$E$204,$A88))</f>
        <v/>
      </c>
      <c r="Q88" s="8">
        <f>IF(A88="","",(O88+P88)*Inputs!$B$6)</f>
        <v/>
      </c>
      <c r="R88" s="8">
        <f>IF(A88="","",IF(UPPER(TRIM(B88))="PIPE",PI()*(J88/1000)^2/4,IF(OR(K88="",L88=""),"",L88*(K88+M88*L88))))</f>
        <v/>
      </c>
      <c r="S88" s="8">
        <f>IF(A88="","",IF(UPPER(TRIM(B88))="PIPE",(J88/1000)/4,IF(OR(R88="",K88="",L88=""),"",R88/(K88+2*L88*SQRT(1+M88^2)))))</f>
        <v/>
      </c>
      <c r="T88" s="8">
        <f>IF(A88="","",IF(OR(I88="",R88="",S88="",G88=""),"",(1/I88)*R88*(S88^(2/3))*SQRT(G88)))</f>
        <v/>
      </c>
      <c r="U88" s="8">
        <f>IF(OR(T88="",Q88=""),"",Q88/(T88*Inputs!$B$19))</f>
        <v/>
      </c>
      <c r="V88" s="8">
        <f>IF(OR(R88="",Q88=""),"",Q88/R88)</f>
        <v/>
      </c>
      <c r="W88" s="8">
        <f>IF(OR(R88="",T88=""),"",T88/R88)</f>
        <v/>
      </c>
      <c r="X88" s="8">
        <f>IF(A88="","",IF(OR(UPPER(TRIM(Inputs!$B$15))="MANNING",UPPER(TRIM(Inputs!$B$15))="M"),W88,IF(OR(UPPER(TRIM(Inputs!$B$15))="MAX",UPPER(TRIM(Inputs!$B$15))="X"),MAX(V88,W88),V88)))</f>
        <v/>
      </c>
      <c r="Y88" s="8">
        <f>IF(A88="","",IF(UPPER(TRIM(B88))="TRENCH",K88*L88*N88,IF(UPPER(TRIM(B88))="SWALE",K88*L88,0)))</f>
        <v/>
      </c>
      <c r="Z88" s="8">
        <f>IF(OR(Y88="",F88=""),"",Y88*F88)</f>
        <v/>
      </c>
      <c r="AA88" s="4">
        <f>IF(A88="","",IF(OR(U88&gt;1,AND(X88&lt;&gt;"",X88&lt;Inputs!$B$16),AND(X88&lt;&gt;"",X88&gt;Inputs!$B$17),G88&lt;Inputs!$B$18,AH88="CHECK"),"CHECK","OK"))</f>
        <v/>
      </c>
      <c r="AB88" s="4" t="n"/>
      <c r="AC88" s="7" t="n"/>
      <c r="AD88" s="8">
        <f>IF(A88="","",IF(AC88&lt;&gt;"",AC88,IF(E88="",Inputs!$B$38,IFERROR(INDEX($AE$4:$AE$204,MATCH(E88,$A$4:$A$204,0))+IF(OR(AND(UPPER(TRIM(B88))="SWALE",UPPER(TRIM(AI88))="PIPE"),AND(UPPER(TRIM(B88))="TRENCH",UPPER(TRIM(AI88))="PIPE")),Inputs!$B$57,0),""))))</f>
        <v/>
      </c>
      <c r="AE88" s="8">
        <f>IF(OR(AD88="",F88="",G88=""),"",AD88+F88*G88)</f>
        <v/>
      </c>
      <c r="AF88" s="8">
        <f>IF(OR(E88="",A88=""),"",IFERROR(INDEX($AE$4:$AE$204,MATCH(E88,$A$4:$A$204,0)),""))</f>
        <v/>
      </c>
      <c r="AG88" s="8">
        <f>IF(OR(AD88="",AF88=""),"",AD88-AF88)</f>
        <v/>
      </c>
      <c r="AH88" s="4">
        <f>IF(A88="","",IF(E88="","TERMINAL",IF(OR(AND(UPPER(TRIM(B88))="SWALE",UPPER(TRIM(AI88))="PIPE"),AND(UPPER(TRIM(B88))="TRENCH",UPPER(TRIM(AI88))="PIPE")),IF(OR(AG88="",AJ88="",AK88=""),"INFO",IF(AND(AG88&gt;=AJ88,AG88&lt;=AK88),"OK","CHECK")),IF(AG88="","INFO",IF(ABS(AG88)&lt;=Inputs!$B$54,"OK","CHECK")))))</f>
        <v/>
      </c>
      <c r="AI88" s="17">
        <f>IF(A88="","",IF(E88="","",IFERROR(INDEX($B$4:$B$204,MATCH(E88,$A$4:$A$204,0)),"")))</f>
        <v/>
      </c>
      <c r="AJ88" s="17">
        <f>IF(A88="","",IF(OR(AND(UPPER(TRIM(B88))="SWALE",UPPER(TRIM(AI88))="PIPE"),AND(UPPER(TRIM(B88))="TRENCH",UPPER(TRIM(AI88))="PIPE")),Inputs!$B$55,0))</f>
        <v/>
      </c>
      <c r="AK88" s="17">
        <f>IF(A88="","",IF(OR(AND(UPPER(TRIM(B88))="SWALE",UPPER(TRIM(AI88))="PIPE"),AND(UPPER(TRIM(B88))="TRENCH",UPPER(TRIM(AI88))="PIPE")),Inputs!$B$56,Inputs!$B$54))</f>
        <v/>
      </c>
      <c r="AL88" s="4">
        <f>IF(A88="","",IF(E88="","TERMINAL",IF(OR(AND(UPPER(TRIM(B88))="SWALE",UPPER(TRIM(AI88))="PIPE"),AND(UPPER(TRIM(B88))="TRENCH",UPPER(TRIM(AI88))="PIPE")),IF(OR(AG88="",AJ88="",AK88=""),"INFO",IF(AND(AG88&gt;=AJ88,AG88&lt;=AK88),"OK","CHECK")),"N/A")))</f>
        <v/>
      </c>
    </row>
    <row r="89">
      <c r="A89" s="4" t="n"/>
      <c r="B89" s="4" t="n"/>
      <c r="C89" s="4" t="n"/>
      <c r="D89" s="4" t="n"/>
      <c r="E89" s="4" t="n"/>
      <c r="F89" s="7" t="n"/>
      <c r="G89" s="7" t="n"/>
      <c r="H89" s="7" t="n"/>
      <c r="I89" s="8">
        <f>IF(A89="","",IF(H89&lt;&gt;"",H89,IF(UPPER(TRIM(B89))="PIPE",Inputs!$B$7,IF(UPPER(TRIM(B89))="SWALE",Inputs!$B$8,Inputs!$B$9))))</f>
        <v/>
      </c>
      <c r="J89" s="7" t="n"/>
      <c r="K89" s="7" t="n"/>
      <c r="L89" s="7" t="n"/>
      <c r="M89" s="7" t="n"/>
      <c r="N89" s="7" t="n">
        <v>0</v>
      </c>
      <c r="O89" s="8">
        <f>IF(A89="","",SUMIFS(Zones_tributaires!$I:$I,Zones_tributaires!$J:$J,$A89))</f>
        <v/>
      </c>
      <c r="P89" s="8">
        <f>IF(A89="","",SUMIFS($Q$4:$Q$204,$E$4:$E$204,$A89))</f>
        <v/>
      </c>
      <c r="Q89" s="8">
        <f>IF(A89="","",(O89+P89)*Inputs!$B$6)</f>
        <v/>
      </c>
      <c r="R89" s="8">
        <f>IF(A89="","",IF(UPPER(TRIM(B89))="PIPE",PI()*(J89/1000)^2/4,IF(OR(K89="",L89=""),"",L89*(K89+M89*L89))))</f>
        <v/>
      </c>
      <c r="S89" s="8">
        <f>IF(A89="","",IF(UPPER(TRIM(B89))="PIPE",(J89/1000)/4,IF(OR(R89="",K89="",L89=""),"",R89/(K89+2*L89*SQRT(1+M89^2)))))</f>
        <v/>
      </c>
      <c r="T89" s="8">
        <f>IF(A89="","",IF(OR(I89="",R89="",S89="",G89=""),"",(1/I89)*R89*(S89^(2/3))*SQRT(G89)))</f>
        <v/>
      </c>
      <c r="U89" s="8">
        <f>IF(OR(T89="",Q89=""),"",Q89/(T89*Inputs!$B$19))</f>
        <v/>
      </c>
      <c r="V89" s="8">
        <f>IF(OR(R89="",Q89=""),"",Q89/R89)</f>
        <v/>
      </c>
      <c r="W89" s="8">
        <f>IF(OR(R89="",T89=""),"",T89/R89)</f>
        <v/>
      </c>
      <c r="X89" s="8">
        <f>IF(A89="","",IF(OR(UPPER(TRIM(Inputs!$B$15))="MANNING",UPPER(TRIM(Inputs!$B$15))="M"),W89,IF(OR(UPPER(TRIM(Inputs!$B$15))="MAX",UPPER(TRIM(Inputs!$B$15))="X"),MAX(V89,W89),V89)))</f>
        <v/>
      </c>
      <c r="Y89" s="8">
        <f>IF(A89="","",IF(UPPER(TRIM(B89))="TRENCH",K89*L89*N89,IF(UPPER(TRIM(B89))="SWALE",K89*L89,0)))</f>
        <v/>
      </c>
      <c r="Z89" s="8">
        <f>IF(OR(Y89="",F89=""),"",Y89*F89)</f>
        <v/>
      </c>
      <c r="AA89" s="4">
        <f>IF(A89="","",IF(OR(U89&gt;1,AND(X89&lt;&gt;"",X89&lt;Inputs!$B$16),AND(X89&lt;&gt;"",X89&gt;Inputs!$B$17),G89&lt;Inputs!$B$18,AH89="CHECK"),"CHECK","OK"))</f>
        <v/>
      </c>
      <c r="AB89" s="4" t="n"/>
      <c r="AC89" s="7" t="n"/>
      <c r="AD89" s="8">
        <f>IF(A89="","",IF(AC89&lt;&gt;"",AC89,IF(E89="",Inputs!$B$38,IFERROR(INDEX($AE$4:$AE$204,MATCH(E89,$A$4:$A$204,0))+IF(OR(AND(UPPER(TRIM(B89))="SWALE",UPPER(TRIM(AI89))="PIPE"),AND(UPPER(TRIM(B89))="TRENCH",UPPER(TRIM(AI89))="PIPE")),Inputs!$B$57,0),""))))</f>
        <v/>
      </c>
      <c r="AE89" s="8">
        <f>IF(OR(AD89="",F89="",G89=""),"",AD89+F89*G89)</f>
        <v/>
      </c>
      <c r="AF89" s="8">
        <f>IF(OR(E89="",A89=""),"",IFERROR(INDEX($AE$4:$AE$204,MATCH(E89,$A$4:$A$204,0)),""))</f>
        <v/>
      </c>
      <c r="AG89" s="8">
        <f>IF(OR(AD89="",AF89=""),"",AD89-AF89)</f>
        <v/>
      </c>
      <c r="AH89" s="4">
        <f>IF(A89="","",IF(E89="","TERMINAL",IF(OR(AND(UPPER(TRIM(B89))="SWALE",UPPER(TRIM(AI89))="PIPE"),AND(UPPER(TRIM(B89))="TRENCH",UPPER(TRIM(AI89))="PIPE")),IF(OR(AG89="",AJ89="",AK89=""),"INFO",IF(AND(AG89&gt;=AJ89,AG89&lt;=AK89),"OK","CHECK")),IF(AG89="","INFO",IF(ABS(AG89)&lt;=Inputs!$B$54,"OK","CHECK")))))</f>
        <v/>
      </c>
      <c r="AI89" s="17">
        <f>IF(A89="","",IF(E89="","",IFERROR(INDEX($B$4:$B$204,MATCH(E89,$A$4:$A$204,0)),"")))</f>
        <v/>
      </c>
      <c r="AJ89" s="17">
        <f>IF(A89="","",IF(OR(AND(UPPER(TRIM(B89))="SWALE",UPPER(TRIM(AI89))="PIPE"),AND(UPPER(TRIM(B89))="TRENCH",UPPER(TRIM(AI89))="PIPE")),Inputs!$B$55,0))</f>
        <v/>
      </c>
      <c r="AK89" s="17">
        <f>IF(A89="","",IF(OR(AND(UPPER(TRIM(B89))="SWALE",UPPER(TRIM(AI89))="PIPE"),AND(UPPER(TRIM(B89))="TRENCH",UPPER(TRIM(AI89))="PIPE")),Inputs!$B$56,Inputs!$B$54))</f>
        <v/>
      </c>
      <c r="AL89" s="4">
        <f>IF(A89="","",IF(E89="","TERMINAL",IF(OR(AND(UPPER(TRIM(B89))="SWALE",UPPER(TRIM(AI89))="PIPE"),AND(UPPER(TRIM(B89))="TRENCH",UPPER(TRIM(AI89))="PIPE")),IF(OR(AG89="",AJ89="",AK89=""),"INFO",IF(AND(AG89&gt;=AJ89,AG89&lt;=AK89),"OK","CHECK")),"N/A")))</f>
        <v/>
      </c>
    </row>
    <row r="90">
      <c r="A90" s="4" t="n"/>
      <c r="B90" s="4" t="n"/>
      <c r="C90" s="4" t="n"/>
      <c r="D90" s="4" t="n"/>
      <c r="E90" s="4" t="n"/>
      <c r="F90" s="7" t="n"/>
      <c r="G90" s="7" t="n"/>
      <c r="H90" s="7" t="n"/>
      <c r="I90" s="8">
        <f>IF(A90="","",IF(H90&lt;&gt;"",H90,IF(UPPER(TRIM(B90))="PIPE",Inputs!$B$7,IF(UPPER(TRIM(B90))="SWALE",Inputs!$B$8,Inputs!$B$9))))</f>
        <v/>
      </c>
      <c r="J90" s="7" t="n"/>
      <c r="K90" s="7" t="n"/>
      <c r="L90" s="7" t="n"/>
      <c r="M90" s="7" t="n"/>
      <c r="N90" s="7" t="n">
        <v>0</v>
      </c>
      <c r="O90" s="8">
        <f>IF(A90="","",SUMIFS(Zones_tributaires!$I:$I,Zones_tributaires!$J:$J,$A90))</f>
        <v/>
      </c>
      <c r="P90" s="8">
        <f>IF(A90="","",SUMIFS($Q$4:$Q$204,$E$4:$E$204,$A90))</f>
        <v/>
      </c>
      <c r="Q90" s="8">
        <f>IF(A90="","",(O90+P90)*Inputs!$B$6)</f>
        <v/>
      </c>
      <c r="R90" s="8">
        <f>IF(A90="","",IF(UPPER(TRIM(B90))="PIPE",PI()*(J90/1000)^2/4,IF(OR(K90="",L90=""),"",L90*(K90+M90*L90))))</f>
        <v/>
      </c>
      <c r="S90" s="8">
        <f>IF(A90="","",IF(UPPER(TRIM(B90))="PIPE",(J90/1000)/4,IF(OR(R90="",K90="",L90=""),"",R90/(K90+2*L90*SQRT(1+M90^2)))))</f>
        <v/>
      </c>
      <c r="T90" s="8">
        <f>IF(A90="","",IF(OR(I90="",R90="",S90="",G90=""),"",(1/I90)*R90*(S90^(2/3))*SQRT(G90)))</f>
        <v/>
      </c>
      <c r="U90" s="8">
        <f>IF(OR(T90="",Q90=""),"",Q90/(T90*Inputs!$B$19))</f>
        <v/>
      </c>
      <c r="V90" s="8">
        <f>IF(OR(R90="",Q90=""),"",Q90/R90)</f>
        <v/>
      </c>
      <c r="W90" s="8">
        <f>IF(OR(R90="",T90=""),"",T90/R90)</f>
        <v/>
      </c>
      <c r="X90" s="8">
        <f>IF(A90="","",IF(OR(UPPER(TRIM(Inputs!$B$15))="MANNING",UPPER(TRIM(Inputs!$B$15))="M"),W90,IF(OR(UPPER(TRIM(Inputs!$B$15))="MAX",UPPER(TRIM(Inputs!$B$15))="X"),MAX(V90,W90),V90)))</f>
        <v/>
      </c>
      <c r="Y90" s="8">
        <f>IF(A90="","",IF(UPPER(TRIM(B90))="TRENCH",K90*L90*N90,IF(UPPER(TRIM(B90))="SWALE",K90*L90,0)))</f>
        <v/>
      </c>
      <c r="Z90" s="8">
        <f>IF(OR(Y90="",F90=""),"",Y90*F90)</f>
        <v/>
      </c>
      <c r="AA90" s="4">
        <f>IF(A90="","",IF(OR(U90&gt;1,AND(X90&lt;&gt;"",X90&lt;Inputs!$B$16),AND(X90&lt;&gt;"",X90&gt;Inputs!$B$17),G90&lt;Inputs!$B$18,AH90="CHECK"),"CHECK","OK"))</f>
        <v/>
      </c>
      <c r="AB90" s="4" t="n"/>
      <c r="AC90" s="7" t="n"/>
      <c r="AD90" s="8">
        <f>IF(A90="","",IF(AC90&lt;&gt;"",AC90,IF(E90="",Inputs!$B$38,IFERROR(INDEX($AE$4:$AE$204,MATCH(E90,$A$4:$A$204,0))+IF(OR(AND(UPPER(TRIM(B90))="SWALE",UPPER(TRIM(AI90))="PIPE"),AND(UPPER(TRIM(B90))="TRENCH",UPPER(TRIM(AI90))="PIPE")),Inputs!$B$57,0),""))))</f>
        <v/>
      </c>
      <c r="AE90" s="8">
        <f>IF(OR(AD90="",F90="",G90=""),"",AD90+F90*G90)</f>
        <v/>
      </c>
      <c r="AF90" s="8">
        <f>IF(OR(E90="",A90=""),"",IFERROR(INDEX($AE$4:$AE$204,MATCH(E90,$A$4:$A$204,0)),""))</f>
        <v/>
      </c>
      <c r="AG90" s="8">
        <f>IF(OR(AD90="",AF90=""),"",AD90-AF90)</f>
        <v/>
      </c>
      <c r="AH90" s="4">
        <f>IF(A90="","",IF(E90="","TERMINAL",IF(OR(AND(UPPER(TRIM(B90))="SWALE",UPPER(TRIM(AI90))="PIPE"),AND(UPPER(TRIM(B90))="TRENCH",UPPER(TRIM(AI90))="PIPE")),IF(OR(AG90="",AJ90="",AK90=""),"INFO",IF(AND(AG90&gt;=AJ90,AG90&lt;=AK90),"OK","CHECK")),IF(AG90="","INFO",IF(ABS(AG90)&lt;=Inputs!$B$54,"OK","CHECK")))))</f>
        <v/>
      </c>
      <c r="AI90" s="17">
        <f>IF(A90="","",IF(E90="","",IFERROR(INDEX($B$4:$B$204,MATCH(E90,$A$4:$A$204,0)),"")))</f>
        <v/>
      </c>
      <c r="AJ90" s="17">
        <f>IF(A90="","",IF(OR(AND(UPPER(TRIM(B90))="SWALE",UPPER(TRIM(AI90))="PIPE"),AND(UPPER(TRIM(B90))="TRENCH",UPPER(TRIM(AI90))="PIPE")),Inputs!$B$55,0))</f>
        <v/>
      </c>
      <c r="AK90" s="17">
        <f>IF(A90="","",IF(OR(AND(UPPER(TRIM(B90))="SWALE",UPPER(TRIM(AI90))="PIPE"),AND(UPPER(TRIM(B90))="TRENCH",UPPER(TRIM(AI90))="PIPE")),Inputs!$B$56,Inputs!$B$54))</f>
        <v/>
      </c>
      <c r="AL90" s="4">
        <f>IF(A90="","",IF(E90="","TERMINAL",IF(OR(AND(UPPER(TRIM(B90))="SWALE",UPPER(TRIM(AI90))="PIPE"),AND(UPPER(TRIM(B90))="TRENCH",UPPER(TRIM(AI90))="PIPE")),IF(OR(AG90="",AJ90="",AK90=""),"INFO",IF(AND(AG90&gt;=AJ90,AG90&lt;=AK90),"OK","CHECK")),"N/A")))</f>
        <v/>
      </c>
    </row>
    <row r="91">
      <c r="A91" s="4" t="n"/>
      <c r="B91" s="4" t="n"/>
      <c r="C91" s="4" t="n"/>
      <c r="D91" s="4" t="n"/>
      <c r="E91" s="4" t="n"/>
      <c r="F91" s="7" t="n"/>
      <c r="G91" s="7" t="n"/>
      <c r="H91" s="7" t="n"/>
      <c r="I91" s="8">
        <f>IF(A91="","",IF(H91&lt;&gt;"",H91,IF(UPPER(TRIM(B91))="PIPE",Inputs!$B$7,IF(UPPER(TRIM(B91))="SWALE",Inputs!$B$8,Inputs!$B$9))))</f>
        <v/>
      </c>
      <c r="J91" s="7" t="n"/>
      <c r="K91" s="7" t="n"/>
      <c r="L91" s="7" t="n"/>
      <c r="M91" s="7" t="n"/>
      <c r="N91" s="7" t="n">
        <v>0</v>
      </c>
      <c r="O91" s="8">
        <f>IF(A91="","",SUMIFS(Zones_tributaires!$I:$I,Zones_tributaires!$J:$J,$A91))</f>
        <v/>
      </c>
      <c r="P91" s="8">
        <f>IF(A91="","",SUMIFS($Q$4:$Q$204,$E$4:$E$204,$A91))</f>
        <v/>
      </c>
      <c r="Q91" s="8">
        <f>IF(A91="","",(O91+P91)*Inputs!$B$6)</f>
        <v/>
      </c>
      <c r="R91" s="8">
        <f>IF(A91="","",IF(UPPER(TRIM(B91))="PIPE",PI()*(J91/1000)^2/4,IF(OR(K91="",L91=""),"",L91*(K91+M91*L91))))</f>
        <v/>
      </c>
      <c r="S91" s="8">
        <f>IF(A91="","",IF(UPPER(TRIM(B91))="PIPE",(J91/1000)/4,IF(OR(R91="",K91="",L91=""),"",R91/(K91+2*L91*SQRT(1+M91^2)))))</f>
        <v/>
      </c>
      <c r="T91" s="8">
        <f>IF(A91="","",IF(OR(I91="",R91="",S91="",G91=""),"",(1/I91)*R91*(S91^(2/3))*SQRT(G91)))</f>
        <v/>
      </c>
      <c r="U91" s="8">
        <f>IF(OR(T91="",Q91=""),"",Q91/(T91*Inputs!$B$19))</f>
        <v/>
      </c>
      <c r="V91" s="8">
        <f>IF(OR(R91="",Q91=""),"",Q91/R91)</f>
        <v/>
      </c>
      <c r="W91" s="8">
        <f>IF(OR(R91="",T91=""),"",T91/R91)</f>
        <v/>
      </c>
      <c r="X91" s="8">
        <f>IF(A91="","",IF(OR(UPPER(TRIM(Inputs!$B$15))="MANNING",UPPER(TRIM(Inputs!$B$15))="M"),W91,IF(OR(UPPER(TRIM(Inputs!$B$15))="MAX",UPPER(TRIM(Inputs!$B$15))="X"),MAX(V91,W91),V91)))</f>
        <v/>
      </c>
      <c r="Y91" s="8">
        <f>IF(A91="","",IF(UPPER(TRIM(B91))="TRENCH",K91*L91*N91,IF(UPPER(TRIM(B91))="SWALE",K91*L91,0)))</f>
        <v/>
      </c>
      <c r="Z91" s="8">
        <f>IF(OR(Y91="",F91=""),"",Y91*F91)</f>
        <v/>
      </c>
      <c r="AA91" s="4">
        <f>IF(A91="","",IF(OR(U91&gt;1,AND(X91&lt;&gt;"",X91&lt;Inputs!$B$16),AND(X91&lt;&gt;"",X91&gt;Inputs!$B$17),G91&lt;Inputs!$B$18,AH91="CHECK"),"CHECK","OK"))</f>
        <v/>
      </c>
      <c r="AB91" s="4" t="n"/>
      <c r="AC91" s="7" t="n"/>
      <c r="AD91" s="8">
        <f>IF(A91="","",IF(AC91&lt;&gt;"",AC91,IF(E91="",Inputs!$B$38,IFERROR(INDEX($AE$4:$AE$204,MATCH(E91,$A$4:$A$204,0))+IF(OR(AND(UPPER(TRIM(B91))="SWALE",UPPER(TRIM(AI91))="PIPE"),AND(UPPER(TRIM(B91))="TRENCH",UPPER(TRIM(AI91))="PIPE")),Inputs!$B$57,0),""))))</f>
        <v/>
      </c>
      <c r="AE91" s="8">
        <f>IF(OR(AD91="",F91="",G91=""),"",AD91+F91*G91)</f>
        <v/>
      </c>
      <c r="AF91" s="8">
        <f>IF(OR(E91="",A91=""),"",IFERROR(INDEX($AE$4:$AE$204,MATCH(E91,$A$4:$A$204,0)),""))</f>
        <v/>
      </c>
      <c r="AG91" s="8">
        <f>IF(OR(AD91="",AF91=""),"",AD91-AF91)</f>
        <v/>
      </c>
      <c r="AH91" s="4">
        <f>IF(A91="","",IF(E91="","TERMINAL",IF(OR(AND(UPPER(TRIM(B91))="SWALE",UPPER(TRIM(AI91))="PIPE"),AND(UPPER(TRIM(B91))="TRENCH",UPPER(TRIM(AI91))="PIPE")),IF(OR(AG91="",AJ91="",AK91=""),"INFO",IF(AND(AG91&gt;=AJ91,AG91&lt;=AK91),"OK","CHECK")),IF(AG91="","INFO",IF(ABS(AG91)&lt;=Inputs!$B$54,"OK","CHECK")))))</f>
        <v/>
      </c>
      <c r="AI91" s="17">
        <f>IF(A91="","",IF(E91="","",IFERROR(INDEX($B$4:$B$204,MATCH(E91,$A$4:$A$204,0)),"")))</f>
        <v/>
      </c>
      <c r="AJ91" s="17">
        <f>IF(A91="","",IF(OR(AND(UPPER(TRIM(B91))="SWALE",UPPER(TRIM(AI91))="PIPE"),AND(UPPER(TRIM(B91))="TRENCH",UPPER(TRIM(AI91))="PIPE")),Inputs!$B$55,0))</f>
        <v/>
      </c>
      <c r="AK91" s="17">
        <f>IF(A91="","",IF(OR(AND(UPPER(TRIM(B91))="SWALE",UPPER(TRIM(AI91))="PIPE"),AND(UPPER(TRIM(B91))="TRENCH",UPPER(TRIM(AI91))="PIPE")),Inputs!$B$56,Inputs!$B$54))</f>
        <v/>
      </c>
      <c r="AL91" s="4">
        <f>IF(A91="","",IF(E91="","TERMINAL",IF(OR(AND(UPPER(TRIM(B91))="SWALE",UPPER(TRIM(AI91))="PIPE"),AND(UPPER(TRIM(B91))="TRENCH",UPPER(TRIM(AI91))="PIPE")),IF(OR(AG91="",AJ91="",AK91=""),"INFO",IF(AND(AG91&gt;=AJ91,AG91&lt;=AK91),"OK","CHECK")),"N/A")))</f>
        <v/>
      </c>
    </row>
    <row r="92">
      <c r="A92" s="4" t="n"/>
      <c r="B92" s="4" t="n"/>
      <c r="C92" s="4" t="n"/>
      <c r="D92" s="4" t="n"/>
      <c r="E92" s="4" t="n"/>
      <c r="F92" s="7" t="n"/>
      <c r="G92" s="7" t="n"/>
      <c r="H92" s="7" t="n"/>
      <c r="I92" s="8">
        <f>IF(A92="","",IF(H92&lt;&gt;"",H92,IF(UPPER(TRIM(B92))="PIPE",Inputs!$B$7,IF(UPPER(TRIM(B92))="SWALE",Inputs!$B$8,Inputs!$B$9))))</f>
        <v/>
      </c>
      <c r="J92" s="7" t="n"/>
      <c r="K92" s="7" t="n"/>
      <c r="L92" s="7" t="n"/>
      <c r="M92" s="7" t="n"/>
      <c r="N92" s="7" t="n">
        <v>0</v>
      </c>
      <c r="O92" s="8">
        <f>IF(A92="","",SUMIFS(Zones_tributaires!$I:$I,Zones_tributaires!$J:$J,$A92))</f>
        <v/>
      </c>
      <c r="P92" s="8">
        <f>IF(A92="","",SUMIFS($Q$4:$Q$204,$E$4:$E$204,$A92))</f>
        <v/>
      </c>
      <c r="Q92" s="8">
        <f>IF(A92="","",(O92+P92)*Inputs!$B$6)</f>
        <v/>
      </c>
      <c r="R92" s="8">
        <f>IF(A92="","",IF(UPPER(TRIM(B92))="PIPE",PI()*(J92/1000)^2/4,IF(OR(K92="",L92=""),"",L92*(K92+M92*L92))))</f>
        <v/>
      </c>
      <c r="S92" s="8">
        <f>IF(A92="","",IF(UPPER(TRIM(B92))="PIPE",(J92/1000)/4,IF(OR(R92="",K92="",L92=""),"",R92/(K92+2*L92*SQRT(1+M92^2)))))</f>
        <v/>
      </c>
      <c r="T92" s="8">
        <f>IF(A92="","",IF(OR(I92="",R92="",S92="",G92=""),"",(1/I92)*R92*(S92^(2/3))*SQRT(G92)))</f>
        <v/>
      </c>
      <c r="U92" s="8">
        <f>IF(OR(T92="",Q92=""),"",Q92/(T92*Inputs!$B$19))</f>
        <v/>
      </c>
      <c r="V92" s="8">
        <f>IF(OR(R92="",Q92=""),"",Q92/R92)</f>
        <v/>
      </c>
      <c r="W92" s="8">
        <f>IF(OR(R92="",T92=""),"",T92/R92)</f>
        <v/>
      </c>
      <c r="X92" s="8">
        <f>IF(A92="","",IF(OR(UPPER(TRIM(Inputs!$B$15))="MANNING",UPPER(TRIM(Inputs!$B$15))="M"),W92,IF(OR(UPPER(TRIM(Inputs!$B$15))="MAX",UPPER(TRIM(Inputs!$B$15))="X"),MAX(V92,W92),V92)))</f>
        <v/>
      </c>
      <c r="Y92" s="8">
        <f>IF(A92="","",IF(UPPER(TRIM(B92))="TRENCH",K92*L92*N92,IF(UPPER(TRIM(B92))="SWALE",K92*L92,0)))</f>
        <v/>
      </c>
      <c r="Z92" s="8">
        <f>IF(OR(Y92="",F92=""),"",Y92*F92)</f>
        <v/>
      </c>
      <c r="AA92" s="4">
        <f>IF(A92="","",IF(OR(U92&gt;1,AND(X92&lt;&gt;"",X92&lt;Inputs!$B$16),AND(X92&lt;&gt;"",X92&gt;Inputs!$B$17),G92&lt;Inputs!$B$18,AH92="CHECK"),"CHECK","OK"))</f>
        <v/>
      </c>
      <c r="AB92" s="4" t="n"/>
      <c r="AC92" s="7" t="n"/>
      <c r="AD92" s="8">
        <f>IF(A92="","",IF(AC92&lt;&gt;"",AC92,IF(E92="",Inputs!$B$38,IFERROR(INDEX($AE$4:$AE$204,MATCH(E92,$A$4:$A$204,0))+IF(OR(AND(UPPER(TRIM(B92))="SWALE",UPPER(TRIM(AI92))="PIPE"),AND(UPPER(TRIM(B92))="TRENCH",UPPER(TRIM(AI92))="PIPE")),Inputs!$B$57,0),""))))</f>
        <v/>
      </c>
      <c r="AE92" s="8">
        <f>IF(OR(AD92="",F92="",G92=""),"",AD92+F92*G92)</f>
        <v/>
      </c>
      <c r="AF92" s="8">
        <f>IF(OR(E92="",A92=""),"",IFERROR(INDEX($AE$4:$AE$204,MATCH(E92,$A$4:$A$204,0)),""))</f>
        <v/>
      </c>
      <c r="AG92" s="8">
        <f>IF(OR(AD92="",AF92=""),"",AD92-AF92)</f>
        <v/>
      </c>
      <c r="AH92" s="4">
        <f>IF(A92="","",IF(E92="","TERMINAL",IF(OR(AND(UPPER(TRIM(B92))="SWALE",UPPER(TRIM(AI92))="PIPE"),AND(UPPER(TRIM(B92))="TRENCH",UPPER(TRIM(AI92))="PIPE")),IF(OR(AG92="",AJ92="",AK92=""),"INFO",IF(AND(AG92&gt;=AJ92,AG92&lt;=AK92),"OK","CHECK")),IF(AG92="","INFO",IF(ABS(AG92)&lt;=Inputs!$B$54,"OK","CHECK")))))</f>
        <v/>
      </c>
      <c r="AI92" s="17">
        <f>IF(A92="","",IF(E92="","",IFERROR(INDEX($B$4:$B$204,MATCH(E92,$A$4:$A$204,0)),"")))</f>
        <v/>
      </c>
      <c r="AJ92" s="17">
        <f>IF(A92="","",IF(OR(AND(UPPER(TRIM(B92))="SWALE",UPPER(TRIM(AI92))="PIPE"),AND(UPPER(TRIM(B92))="TRENCH",UPPER(TRIM(AI92))="PIPE")),Inputs!$B$55,0))</f>
        <v/>
      </c>
      <c r="AK92" s="17">
        <f>IF(A92="","",IF(OR(AND(UPPER(TRIM(B92))="SWALE",UPPER(TRIM(AI92))="PIPE"),AND(UPPER(TRIM(B92))="TRENCH",UPPER(TRIM(AI92))="PIPE")),Inputs!$B$56,Inputs!$B$54))</f>
        <v/>
      </c>
      <c r="AL92" s="4">
        <f>IF(A92="","",IF(E92="","TERMINAL",IF(OR(AND(UPPER(TRIM(B92))="SWALE",UPPER(TRIM(AI92))="PIPE"),AND(UPPER(TRIM(B92))="TRENCH",UPPER(TRIM(AI92))="PIPE")),IF(OR(AG92="",AJ92="",AK92=""),"INFO",IF(AND(AG92&gt;=AJ92,AG92&lt;=AK92),"OK","CHECK")),"N/A")))</f>
        <v/>
      </c>
    </row>
    <row r="93">
      <c r="A93" s="4" t="n"/>
      <c r="B93" s="4" t="n"/>
      <c r="C93" s="4" t="n"/>
      <c r="D93" s="4" t="n"/>
      <c r="E93" s="4" t="n"/>
      <c r="F93" s="7" t="n"/>
      <c r="G93" s="7" t="n"/>
      <c r="H93" s="7" t="n"/>
      <c r="I93" s="8">
        <f>IF(A93="","",IF(H93&lt;&gt;"",H93,IF(UPPER(TRIM(B93))="PIPE",Inputs!$B$7,IF(UPPER(TRIM(B93))="SWALE",Inputs!$B$8,Inputs!$B$9))))</f>
        <v/>
      </c>
      <c r="J93" s="7" t="n"/>
      <c r="K93" s="7" t="n"/>
      <c r="L93" s="7" t="n"/>
      <c r="M93" s="7" t="n"/>
      <c r="N93" s="7" t="n">
        <v>0</v>
      </c>
      <c r="O93" s="8">
        <f>IF(A93="","",SUMIFS(Zones_tributaires!$I:$I,Zones_tributaires!$J:$J,$A93))</f>
        <v/>
      </c>
      <c r="P93" s="8">
        <f>IF(A93="","",SUMIFS($Q$4:$Q$204,$E$4:$E$204,$A93))</f>
        <v/>
      </c>
      <c r="Q93" s="8">
        <f>IF(A93="","",(O93+P93)*Inputs!$B$6)</f>
        <v/>
      </c>
      <c r="R93" s="8">
        <f>IF(A93="","",IF(UPPER(TRIM(B93))="PIPE",PI()*(J93/1000)^2/4,IF(OR(K93="",L93=""),"",L93*(K93+M93*L93))))</f>
        <v/>
      </c>
      <c r="S93" s="8">
        <f>IF(A93="","",IF(UPPER(TRIM(B93))="PIPE",(J93/1000)/4,IF(OR(R93="",K93="",L93=""),"",R93/(K93+2*L93*SQRT(1+M93^2)))))</f>
        <v/>
      </c>
      <c r="T93" s="8">
        <f>IF(A93="","",IF(OR(I93="",R93="",S93="",G93=""),"",(1/I93)*R93*(S93^(2/3))*SQRT(G93)))</f>
        <v/>
      </c>
      <c r="U93" s="8">
        <f>IF(OR(T93="",Q93=""),"",Q93/(T93*Inputs!$B$19))</f>
        <v/>
      </c>
      <c r="V93" s="8">
        <f>IF(OR(R93="",Q93=""),"",Q93/R93)</f>
        <v/>
      </c>
      <c r="W93" s="8">
        <f>IF(OR(R93="",T93=""),"",T93/R93)</f>
        <v/>
      </c>
      <c r="X93" s="8">
        <f>IF(A93="","",IF(OR(UPPER(TRIM(Inputs!$B$15))="MANNING",UPPER(TRIM(Inputs!$B$15))="M"),W93,IF(OR(UPPER(TRIM(Inputs!$B$15))="MAX",UPPER(TRIM(Inputs!$B$15))="X"),MAX(V93,W93),V93)))</f>
        <v/>
      </c>
      <c r="Y93" s="8">
        <f>IF(A93="","",IF(UPPER(TRIM(B93))="TRENCH",K93*L93*N93,IF(UPPER(TRIM(B93))="SWALE",K93*L93,0)))</f>
        <v/>
      </c>
      <c r="Z93" s="8">
        <f>IF(OR(Y93="",F93=""),"",Y93*F93)</f>
        <v/>
      </c>
      <c r="AA93" s="4">
        <f>IF(A93="","",IF(OR(U93&gt;1,AND(X93&lt;&gt;"",X93&lt;Inputs!$B$16),AND(X93&lt;&gt;"",X93&gt;Inputs!$B$17),G93&lt;Inputs!$B$18,AH93="CHECK"),"CHECK","OK"))</f>
        <v/>
      </c>
      <c r="AB93" s="4" t="n"/>
      <c r="AC93" s="7" t="n"/>
      <c r="AD93" s="8">
        <f>IF(A93="","",IF(AC93&lt;&gt;"",AC93,IF(E93="",Inputs!$B$38,IFERROR(INDEX($AE$4:$AE$204,MATCH(E93,$A$4:$A$204,0))+IF(OR(AND(UPPER(TRIM(B93))="SWALE",UPPER(TRIM(AI93))="PIPE"),AND(UPPER(TRIM(B93))="TRENCH",UPPER(TRIM(AI93))="PIPE")),Inputs!$B$57,0),""))))</f>
        <v/>
      </c>
      <c r="AE93" s="8">
        <f>IF(OR(AD93="",F93="",G93=""),"",AD93+F93*G93)</f>
        <v/>
      </c>
      <c r="AF93" s="8">
        <f>IF(OR(E93="",A93=""),"",IFERROR(INDEX($AE$4:$AE$204,MATCH(E93,$A$4:$A$204,0)),""))</f>
        <v/>
      </c>
      <c r="AG93" s="8">
        <f>IF(OR(AD93="",AF93=""),"",AD93-AF93)</f>
        <v/>
      </c>
      <c r="AH93" s="4">
        <f>IF(A93="","",IF(E93="","TERMINAL",IF(OR(AND(UPPER(TRIM(B93))="SWALE",UPPER(TRIM(AI93))="PIPE"),AND(UPPER(TRIM(B93))="TRENCH",UPPER(TRIM(AI93))="PIPE")),IF(OR(AG93="",AJ93="",AK93=""),"INFO",IF(AND(AG93&gt;=AJ93,AG93&lt;=AK93),"OK","CHECK")),IF(AG93="","INFO",IF(ABS(AG93)&lt;=Inputs!$B$54,"OK","CHECK")))))</f>
        <v/>
      </c>
      <c r="AI93" s="17">
        <f>IF(A93="","",IF(E93="","",IFERROR(INDEX($B$4:$B$204,MATCH(E93,$A$4:$A$204,0)),"")))</f>
        <v/>
      </c>
      <c r="AJ93" s="17">
        <f>IF(A93="","",IF(OR(AND(UPPER(TRIM(B93))="SWALE",UPPER(TRIM(AI93))="PIPE"),AND(UPPER(TRIM(B93))="TRENCH",UPPER(TRIM(AI93))="PIPE")),Inputs!$B$55,0))</f>
        <v/>
      </c>
      <c r="AK93" s="17">
        <f>IF(A93="","",IF(OR(AND(UPPER(TRIM(B93))="SWALE",UPPER(TRIM(AI93))="PIPE"),AND(UPPER(TRIM(B93))="TRENCH",UPPER(TRIM(AI93))="PIPE")),Inputs!$B$56,Inputs!$B$54))</f>
        <v/>
      </c>
      <c r="AL93" s="4">
        <f>IF(A93="","",IF(E93="","TERMINAL",IF(OR(AND(UPPER(TRIM(B93))="SWALE",UPPER(TRIM(AI93))="PIPE"),AND(UPPER(TRIM(B93))="TRENCH",UPPER(TRIM(AI93))="PIPE")),IF(OR(AG93="",AJ93="",AK93=""),"INFO",IF(AND(AG93&gt;=AJ93,AG93&lt;=AK93),"OK","CHECK")),"N/A")))</f>
        <v/>
      </c>
    </row>
    <row r="94">
      <c r="A94" s="4" t="n"/>
      <c r="B94" s="4" t="n"/>
      <c r="C94" s="4" t="n"/>
      <c r="D94" s="4" t="n"/>
      <c r="E94" s="4" t="n"/>
      <c r="F94" s="7" t="n"/>
      <c r="G94" s="7" t="n"/>
      <c r="H94" s="7" t="n"/>
      <c r="I94" s="8">
        <f>IF(A94="","",IF(H94&lt;&gt;"",H94,IF(UPPER(TRIM(B94))="PIPE",Inputs!$B$7,IF(UPPER(TRIM(B94))="SWALE",Inputs!$B$8,Inputs!$B$9))))</f>
        <v/>
      </c>
      <c r="J94" s="7" t="n"/>
      <c r="K94" s="7" t="n"/>
      <c r="L94" s="7" t="n"/>
      <c r="M94" s="7" t="n"/>
      <c r="N94" s="7" t="n">
        <v>0</v>
      </c>
      <c r="O94" s="8">
        <f>IF(A94="","",SUMIFS(Zones_tributaires!$I:$I,Zones_tributaires!$J:$J,$A94))</f>
        <v/>
      </c>
      <c r="P94" s="8">
        <f>IF(A94="","",SUMIFS($Q$4:$Q$204,$E$4:$E$204,$A94))</f>
        <v/>
      </c>
      <c r="Q94" s="8">
        <f>IF(A94="","",(O94+P94)*Inputs!$B$6)</f>
        <v/>
      </c>
      <c r="R94" s="8">
        <f>IF(A94="","",IF(UPPER(TRIM(B94))="PIPE",PI()*(J94/1000)^2/4,IF(OR(K94="",L94=""),"",L94*(K94+M94*L94))))</f>
        <v/>
      </c>
      <c r="S94" s="8">
        <f>IF(A94="","",IF(UPPER(TRIM(B94))="PIPE",(J94/1000)/4,IF(OR(R94="",K94="",L94=""),"",R94/(K94+2*L94*SQRT(1+M94^2)))))</f>
        <v/>
      </c>
      <c r="T94" s="8">
        <f>IF(A94="","",IF(OR(I94="",R94="",S94="",G94=""),"",(1/I94)*R94*(S94^(2/3))*SQRT(G94)))</f>
        <v/>
      </c>
      <c r="U94" s="8">
        <f>IF(OR(T94="",Q94=""),"",Q94/(T94*Inputs!$B$19))</f>
        <v/>
      </c>
      <c r="V94" s="8">
        <f>IF(OR(R94="",Q94=""),"",Q94/R94)</f>
        <v/>
      </c>
      <c r="W94" s="8">
        <f>IF(OR(R94="",T94=""),"",T94/R94)</f>
        <v/>
      </c>
      <c r="X94" s="8">
        <f>IF(A94="","",IF(OR(UPPER(TRIM(Inputs!$B$15))="MANNING",UPPER(TRIM(Inputs!$B$15))="M"),W94,IF(OR(UPPER(TRIM(Inputs!$B$15))="MAX",UPPER(TRIM(Inputs!$B$15))="X"),MAX(V94,W94),V94)))</f>
        <v/>
      </c>
      <c r="Y94" s="8">
        <f>IF(A94="","",IF(UPPER(TRIM(B94))="TRENCH",K94*L94*N94,IF(UPPER(TRIM(B94))="SWALE",K94*L94,0)))</f>
        <v/>
      </c>
      <c r="Z94" s="8">
        <f>IF(OR(Y94="",F94=""),"",Y94*F94)</f>
        <v/>
      </c>
      <c r="AA94" s="4">
        <f>IF(A94="","",IF(OR(U94&gt;1,AND(X94&lt;&gt;"",X94&lt;Inputs!$B$16),AND(X94&lt;&gt;"",X94&gt;Inputs!$B$17),G94&lt;Inputs!$B$18,AH94="CHECK"),"CHECK","OK"))</f>
        <v/>
      </c>
      <c r="AB94" s="4" t="n"/>
      <c r="AC94" s="7" t="n"/>
      <c r="AD94" s="8">
        <f>IF(A94="","",IF(AC94&lt;&gt;"",AC94,IF(E94="",Inputs!$B$38,IFERROR(INDEX($AE$4:$AE$204,MATCH(E94,$A$4:$A$204,0))+IF(OR(AND(UPPER(TRIM(B94))="SWALE",UPPER(TRIM(AI94))="PIPE"),AND(UPPER(TRIM(B94))="TRENCH",UPPER(TRIM(AI94))="PIPE")),Inputs!$B$57,0),""))))</f>
        <v/>
      </c>
      <c r="AE94" s="8">
        <f>IF(OR(AD94="",F94="",G94=""),"",AD94+F94*G94)</f>
        <v/>
      </c>
      <c r="AF94" s="8">
        <f>IF(OR(E94="",A94=""),"",IFERROR(INDEX($AE$4:$AE$204,MATCH(E94,$A$4:$A$204,0)),""))</f>
        <v/>
      </c>
      <c r="AG94" s="8">
        <f>IF(OR(AD94="",AF94=""),"",AD94-AF94)</f>
        <v/>
      </c>
      <c r="AH94" s="4">
        <f>IF(A94="","",IF(E94="","TERMINAL",IF(OR(AND(UPPER(TRIM(B94))="SWALE",UPPER(TRIM(AI94))="PIPE"),AND(UPPER(TRIM(B94))="TRENCH",UPPER(TRIM(AI94))="PIPE")),IF(OR(AG94="",AJ94="",AK94=""),"INFO",IF(AND(AG94&gt;=AJ94,AG94&lt;=AK94),"OK","CHECK")),IF(AG94="","INFO",IF(ABS(AG94)&lt;=Inputs!$B$54,"OK","CHECK")))))</f>
        <v/>
      </c>
      <c r="AI94" s="17">
        <f>IF(A94="","",IF(E94="","",IFERROR(INDEX($B$4:$B$204,MATCH(E94,$A$4:$A$204,0)),"")))</f>
        <v/>
      </c>
      <c r="AJ94" s="17">
        <f>IF(A94="","",IF(OR(AND(UPPER(TRIM(B94))="SWALE",UPPER(TRIM(AI94))="PIPE"),AND(UPPER(TRIM(B94))="TRENCH",UPPER(TRIM(AI94))="PIPE")),Inputs!$B$55,0))</f>
        <v/>
      </c>
      <c r="AK94" s="17">
        <f>IF(A94="","",IF(OR(AND(UPPER(TRIM(B94))="SWALE",UPPER(TRIM(AI94))="PIPE"),AND(UPPER(TRIM(B94))="TRENCH",UPPER(TRIM(AI94))="PIPE")),Inputs!$B$56,Inputs!$B$54))</f>
        <v/>
      </c>
      <c r="AL94" s="4">
        <f>IF(A94="","",IF(E94="","TERMINAL",IF(OR(AND(UPPER(TRIM(B94))="SWALE",UPPER(TRIM(AI94))="PIPE"),AND(UPPER(TRIM(B94))="TRENCH",UPPER(TRIM(AI94))="PIPE")),IF(OR(AG94="",AJ94="",AK94=""),"INFO",IF(AND(AG94&gt;=AJ94,AG94&lt;=AK94),"OK","CHECK")),"N/A")))</f>
        <v/>
      </c>
    </row>
    <row r="95">
      <c r="A95" s="4" t="n"/>
      <c r="B95" s="4" t="n"/>
      <c r="C95" s="4" t="n"/>
      <c r="D95" s="4" t="n"/>
      <c r="E95" s="4" t="n"/>
      <c r="F95" s="7" t="n"/>
      <c r="G95" s="7" t="n"/>
      <c r="H95" s="7" t="n"/>
      <c r="I95" s="8">
        <f>IF(A95="","",IF(H95&lt;&gt;"",H95,IF(UPPER(TRIM(B95))="PIPE",Inputs!$B$7,IF(UPPER(TRIM(B95))="SWALE",Inputs!$B$8,Inputs!$B$9))))</f>
        <v/>
      </c>
      <c r="J95" s="7" t="n"/>
      <c r="K95" s="7" t="n"/>
      <c r="L95" s="7" t="n"/>
      <c r="M95" s="7" t="n"/>
      <c r="N95" s="7" t="n">
        <v>0</v>
      </c>
      <c r="O95" s="8">
        <f>IF(A95="","",SUMIFS(Zones_tributaires!$I:$I,Zones_tributaires!$J:$J,$A95))</f>
        <v/>
      </c>
      <c r="P95" s="8">
        <f>IF(A95="","",SUMIFS($Q$4:$Q$204,$E$4:$E$204,$A95))</f>
        <v/>
      </c>
      <c r="Q95" s="8">
        <f>IF(A95="","",(O95+P95)*Inputs!$B$6)</f>
        <v/>
      </c>
      <c r="R95" s="8">
        <f>IF(A95="","",IF(UPPER(TRIM(B95))="PIPE",PI()*(J95/1000)^2/4,IF(OR(K95="",L95=""),"",L95*(K95+M95*L95))))</f>
        <v/>
      </c>
      <c r="S95" s="8">
        <f>IF(A95="","",IF(UPPER(TRIM(B95))="PIPE",(J95/1000)/4,IF(OR(R95="",K95="",L95=""),"",R95/(K95+2*L95*SQRT(1+M95^2)))))</f>
        <v/>
      </c>
      <c r="T95" s="8">
        <f>IF(A95="","",IF(OR(I95="",R95="",S95="",G95=""),"",(1/I95)*R95*(S95^(2/3))*SQRT(G95)))</f>
        <v/>
      </c>
      <c r="U95" s="8">
        <f>IF(OR(T95="",Q95=""),"",Q95/(T95*Inputs!$B$19))</f>
        <v/>
      </c>
      <c r="V95" s="8">
        <f>IF(OR(R95="",Q95=""),"",Q95/R95)</f>
        <v/>
      </c>
      <c r="W95" s="8">
        <f>IF(OR(R95="",T95=""),"",T95/R95)</f>
        <v/>
      </c>
      <c r="X95" s="8">
        <f>IF(A95="","",IF(OR(UPPER(TRIM(Inputs!$B$15))="MANNING",UPPER(TRIM(Inputs!$B$15))="M"),W95,IF(OR(UPPER(TRIM(Inputs!$B$15))="MAX",UPPER(TRIM(Inputs!$B$15))="X"),MAX(V95,W95),V95)))</f>
        <v/>
      </c>
      <c r="Y95" s="8">
        <f>IF(A95="","",IF(UPPER(TRIM(B95))="TRENCH",K95*L95*N95,IF(UPPER(TRIM(B95))="SWALE",K95*L95,0)))</f>
        <v/>
      </c>
      <c r="Z95" s="8">
        <f>IF(OR(Y95="",F95=""),"",Y95*F95)</f>
        <v/>
      </c>
      <c r="AA95" s="4">
        <f>IF(A95="","",IF(OR(U95&gt;1,AND(X95&lt;&gt;"",X95&lt;Inputs!$B$16),AND(X95&lt;&gt;"",X95&gt;Inputs!$B$17),G95&lt;Inputs!$B$18,AH95="CHECK"),"CHECK","OK"))</f>
        <v/>
      </c>
      <c r="AB95" s="4" t="n"/>
      <c r="AC95" s="7" t="n"/>
      <c r="AD95" s="8">
        <f>IF(A95="","",IF(AC95&lt;&gt;"",AC95,IF(E95="",Inputs!$B$38,IFERROR(INDEX($AE$4:$AE$204,MATCH(E95,$A$4:$A$204,0))+IF(OR(AND(UPPER(TRIM(B95))="SWALE",UPPER(TRIM(AI95))="PIPE"),AND(UPPER(TRIM(B95))="TRENCH",UPPER(TRIM(AI95))="PIPE")),Inputs!$B$57,0),""))))</f>
        <v/>
      </c>
      <c r="AE95" s="8">
        <f>IF(OR(AD95="",F95="",G95=""),"",AD95+F95*G95)</f>
        <v/>
      </c>
      <c r="AF95" s="8">
        <f>IF(OR(E95="",A95=""),"",IFERROR(INDEX($AE$4:$AE$204,MATCH(E95,$A$4:$A$204,0)),""))</f>
        <v/>
      </c>
      <c r="AG95" s="8">
        <f>IF(OR(AD95="",AF95=""),"",AD95-AF95)</f>
        <v/>
      </c>
      <c r="AH95" s="4">
        <f>IF(A95="","",IF(E95="","TERMINAL",IF(OR(AND(UPPER(TRIM(B95))="SWALE",UPPER(TRIM(AI95))="PIPE"),AND(UPPER(TRIM(B95))="TRENCH",UPPER(TRIM(AI95))="PIPE")),IF(OR(AG95="",AJ95="",AK95=""),"INFO",IF(AND(AG95&gt;=AJ95,AG95&lt;=AK95),"OK","CHECK")),IF(AG95="","INFO",IF(ABS(AG95)&lt;=Inputs!$B$54,"OK","CHECK")))))</f>
        <v/>
      </c>
      <c r="AI95" s="17">
        <f>IF(A95="","",IF(E95="","",IFERROR(INDEX($B$4:$B$204,MATCH(E95,$A$4:$A$204,0)),"")))</f>
        <v/>
      </c>
      <c r="AJ95" s="17">
        <f>IF(A95="","",IF(OR(AND(UPPER(TRIM(B95))="SWALE",UPPER(TRIM(AI95))="PIPE"),AND(UPPER(TRIM(B95))="TRENCH",UPPER(TRIM(AI95))="PIPE")),Inputs!$B$55,0))</f>
        <v/>
      </c>
      <c r="AK95" s="17">
        <f>IF(A95="","",IF(OR(AND(UPPER(TRIM(B95))="SWALE",UPPER(TRIM(AI95))="PIPE"),AND(UPPER(TRIM(B95))="TRENCH",UPPER(TRIM(AI95))="PIPE")),Inputs!$B$56,Inputs!$B$54))</f>
        <v/>
      </c>
      <c r="AL95" s="4">
        <f>IF(A95="","",IF(E95="","TERMINAL",IF(OR(AND(UPPER(TRIM(B95))="SWALE",UPPER(TRIM(AI95))="PIPE"),AND(UPPER(TRIM(B95))="TRENCH",UPPER(TRIM(AI95))="PIPE")),IF(OR(AG95="",AJ95="",AK95=""),"INFO",IF(AND(AG95&gt;=AJ95,AG95&lt;=AK95),"OK","CHECK")),"N/A")))</f>
        <v/>
      </c>
    </row>
    <row r="96">
      <c r="A96" s="4" t="n"/>
      <c r="B96" s="4" t="n"/>
      <c r="C96" s="4" t="n"/>
      <c r="D96" s="4" t="n"/>
      <c r="E96" s="4" t="n"/>
      <c r="F96" s="7" t="n"/>
      <c r="G96" s="7" t="n"/>
      <c r="H96" s="7" t="n"/>
      <c r="I96" s="8">
        <f>IF(A96="","",IF(H96&lt;&gt;"",H96,IF(UPPER(TRIM(B96))="PIPE",Inputs!$B$7,IF(UPPER(TRIM(B96))="SWALE",Inputs!$B$8,Inputs!$B$9))))</f>
        <v/>
      </c>
      <c r="J96" s="7" t="n"/>
      <c r="K96" s="7" t="n"/>
      <c r="L96" s="7" t="n"/>
      <c r="M96" s="7" t="n"/>
      <c r="N96" s="7" t="n">
        <v>0</v>
      </c>
      <c r="O96" s="8">
        <f>IF(A96="","",SUMIFS(Zones_tributaires!$I:$I,Zones_tributaires!$J:$J,$A96))</f>
        <v/>
      </c>
      <c r="P96" s="8">
        <f>IF(A96="","",SUMIFS($Q$4:$Q$204,$E$4:$E$204,$A96))</f>
        <v/>
      </c>
      <c r="Q96" s="8">
        <f>IF(A96="","",(O96+P96)*Inputs!$B$6)</f>
        <v/>
      </c>
      <c r="R96" s="8">
        <f>IF(A96="","",IF(UPPER(TRIM(B96))="PIPE",PI()*(J96/1000)^2/4,IF(OR(K96="",L96=""),"",L96*(K96+M96*L96))))</f>
        <v/>
      </c>
      <c r="S96" s="8">
        <f>IF(A96="","",IF(UPPER(TRIM(B96))="PIPE",(J96/1000)/4,IF(OR(R96="",K96="",L96=""),"",R96/(K96+2*L96*SQRT(1+M96^2)))))</f>
        <v/>
      </c>
      <c r="T96" s="8">
        <f>IF(A96="","",IF(OR(I96="",R96="",S96="",G96=""),"",(1/I96)*R96*(S96^(2/3))*SQRT(G96)))</f>
        <v/>
      </c>
      <c r="U96" s="8">
        <f>IF(OR(T96="",Q96=""),"",Q96/(T96*Inputs!$B$19))</f>
        <v/>
      </c>
      <c r="V96" s="8">
        <f>IF(OR(R96="",Q96=""),"",Q96/R96)</f>
        <v/>
      </c>
      <c r="W96" s="8">
        <f>IF(OR(R96="",T96=""),"",T96/R96)</f>
        <v/>
      </c>
      <c r="X96" s="8">
        <f>IF(A96="","",IF(OR(UPPER(TRIM(Inputs!$B$15))="MANNING",UPPER(TRIM(Inputs!$B$15))="M"),W96,IF(OR(UPPER(TRIM(Inputs!$B$15))="MAX",UPPER(TRIM(Inputs!$B$15))="X"),MAX(V96,W96),V96)))</f>
        <v/>
      </c>
      <c r="Y96" s="8">
        <f>IF(A96="","",IF(UPPER(TRIM(B96))="TRENCH",K96*L96*N96,IF(UPPER(TRIM(B96))="SWALE",K96*L96,0)))</f>
        <v/>
      </c>
      <c r="Z96" s="8">
        <f>IF(OR(Y96="",F96=""),"",Y96*F96)</f>
        <v/>
      </c>
      <c r="AA96" s="4">
        <f>IF(A96="","",IF(OR(U96&gt;1,AND(X96&lt;&gt;"",X96&lt;Inputs!$B$16),AND(X96&lt;&gt;"",X96&gt;Inputs!$B$17),G96&lt;Inputs!$B$18,AH96="CHECK"),"CHECK","OK"))</f>
        <v/>
      </c>
      <c r="AB96" s="4" t="n"/>
      <c r="AC96" s="7" t="n"/>
      <c r="AD96" s="8">
        <f>IF(A96="","",IF(AC96&lt;&gt;"",AC96,IF(E96="",Inputs!$B$38,IFERROR(INDEX($AE$4:$AE$204,MATCH(E96,$A$4:$A$204,0))+IF(OR(AND(UPPER(TRIM(B96))="SWALE",UPPER(TRIM(AI96))="PIPE"),AND(UPPER(TRIM(B96))="TRENCH",UPPER(TRIM(AI96))="PIPE")),Inputs!$B$57,0),""))))</f>
        <v/>
      </c>
      <c r="AE96" s="8">
        <f>IF(OR(AD96="",F96="",G96=""),"",AD96+F96*G96)</f>
        <v/>
      </c>
      <c r="AF96" s="8">
        <f>IF(OR(E96="",A96=""),"",IFERROR(INDEX($AE$4:$AE$204,MATCH(E96,$A$4:$A$204,0)),""))</f>
        <v/>
      </c>
      <c r="AG96" s="8">
        <f>IF(OR(AD96="",AF96=""),"",AD96-AF96)</f>
        <v/>
      </c>
      <c r="AH96" s="4">
        <f>IF(A96="","",IF(E96="","TERMINAL",IF(OR(AND(UPPER(TRIM(B96))="SWALE",UPPER(TRIM(AI96))="PIPE"),AND(UPPER(TRIM(B96))="TRENCH",UPPER(TRIM(AI96))="PIPE")),IF(OR(AG96="",AJ96="",AK96=""),"INFO",IF(AND(AG96&gt;=AJ96,AG96&lt;=AK96),"OK","CHECK")),IF(AG96="","INFO",IF(ABS(AG96)&lt;=Inputs!$B$54,"OK","CHECK")))))</f>
        <v/>
      </c>
      <c r="AI96" s="17">
        <f>IF(A96="","",IF(E96="","",IFERROR(INDEX($B$4:$B$204,MATCH(E96,$A$4:$A$204,0)),"")))</f>
        <v/>
      </c>
      <c r="AJ96" s="17">
        <f>IF(A96="","",IF(OR(AND(UPPER(TRIM(B96))="SWALE",UPPER(TRIM(AI96))="PIPE"),AND(UPPER(TRIM(B96))="TRENCH",UPPER(TRIM(AI96))="PIPE")),Inputs!$B$55,0))</f>
        <v/>
      </c>
      <c r="AK96" s="17">
        <f>IF(A96="","",IF(OR(AND(UPPER(TRIM(B96))="SWALE",UPPER(TRIM(AI96))="PIPE"),AND(UPPER(TRIM(B96))="TRENCH",UPPER(TRIM(AI96))="PIPE")),Inputs!$B$56,Inputs!$B$54))</f>
        <v/>
      </c>
      <c r="AL96" s="4">
        <f>IF(A96="","",IF(E96="","TERMINAL",IF(OR(AND(UPPER(TRIM(B96))="SWALE",UPPER(TRIM(AI96))="PIPE"),AND(UPPER(TRIM(B96))="TRENCH",UPPER(TRIM(AI96))="PIPE")),IF(OR(AG96="",AJ96="",AK96=""),"INFO",IF(AND(AG96&gt;=AJ96,AG96&lt;=AK96),"OK","CHECK")),"N/A")))</f>
        <v/>
      </c>
    </row>
    <row r="97">
      <c r="A97" s="4" t="n"/>
      <c r="B97" s="4" t="n"/>
      <c r="C97" s="4" t="n"/>
      <c r="D97" s="4" t="n"/>
      <c r="E97" s="4" t="n"/>
      <c r="F97" s="7" t="n"/>
      <c r="G97" s="7" t="n"/>
      <c r="H97" s="7" t="n"/>
      <c r="I97" s="8">
        <f>IF(A97="","",IF(H97&lt;&gt;"",H97,IF(UPPER(TRIM(B97))="PIPE",Inputs!$B$7,IF(UPPER(TRIM(B97))="SWALE",Inputs!$B$8,Inputs!$B$9))))</f>
        <v/>
      </c>
      <c r="J97" s="7" t="n"/>
      <c r="K97" s="7" t="n"/>
      <c r="L97" s="7" t="n"/>
      <c r="M97" s="7" t="n"/>
      <c r="N97" s="7" t="n">
        <v>0</v>
      </c>
      <c r="O97" s="8">
        <f>IF(A97="","",SUMIFS(Zones_tributaires!$I:$I,Zones_tributaires!$J:$J,$A97))</f>
        <v/>
      </c>
      <c r="P97" s="8">
        <f>IF(A97="","",SUMIFS($Q$4:$Q$204,$E$4:$E$204,$A97))</f>
        <v/>
      </c>
      <c r="Q97" s="8">
        <f>IF(A97="","",(O97+P97)*Inputs!$B$6)</f>
        <v/>
      </c>
      <c r="R97" s="8">
        <f>IF(A97="","",IF(UPPER(TRIM(B97))="PIPE",PI()*(J97/1000)^2/4,IF(OR(K97="",L97=""),"",L97*(K97+M97*L97))))</f>
        <v/>
      </c>
      <c r="S97" s="8">
        <f>IF(A97="","",IF(UPPER(TRIM(B97))="PIPE",(J97/1000)/4,IF(OR(R97="",K97="",L97=""),"",R97/(K97+2*L97*SQRT(1+M97^2)))))</f>
        <v/>
      </c>
      <c r="T97" s="8">
        <f>IF(A97="","",IF(OR(I97="",R97="",S97="",G97=""),"",(1/I97)*R97*(S97^(2/3))*SQRT(G97)))</f>
        <v/>
      </c>
      <c r="U97" s="8">
        <f>IF(OR(T97="",Q97=""),"",Q97/(T97*Inputs!$B$19))</f>
        <v/>
      </c>
      <c r="V97" s="8">
        <f>IF(OR(R97="",Q97=""),"",Q97/R97)</f>
        <v/>
      </c>
      <c r="W97" s="8">
        <f>IF(OR(R97="",T97=""),"",T97/R97)</f>
        <v/>
      </c>
      <c r="X97" s="8">
        <f>IF(A97="","",IF(OR(UPPER(TRIM(Inputs!$B$15))="MANNING",UPPER(TRIM(Inputs!$B$15))="M"),W97,IF(OR(UPPER(TRIM(Inputs!$B$15))="MAX",UPPER(TRIM(Inputs!$B$15))="X"),MAX(V97,W97),V97)))</f>
        <v/>
      </c>
      <c r="Y97" s="8">
        <f>IF(A97="","",IF(UPPER(TRIM(B97))="TRENCH",K97*L97*N97,IF(UPPER(TRIM(B97))="SWALE",K97*L97,0)))</f>
        <v/>
      </c>
      <c r="Z97" s="8">
        <f>IF(OR(Y97="",F97=""),"",Y97*F97)</f>
        <v/>
      </c>
      <c r="AA97" s="4">
        <f>IF(A97="","",IF(OR(U97&gt;1,AND(X97&lt;&gt;"",X97&lt;Inputs!$B$16),AND(X97&lt;&gt;"",X97&gt;Inputs!$B$17),G97&lt;Inputs!$B$18,AH97="CHECK"),"CHECK","OK"))</f>
        <v/>
      </c>
      <c r="AB97" s="4" t="n"/>
      <c r="AC97" s="7" t="n"/>
      <c r="AD97" s="8">
        <f>IF(A97="","",IF(AC97&lt;&gt;"",AC97,IF(E97="",Inputs!$B$38,IFERROR(INDEX($AE$4:$AE$204,MATCH(E97,$A$4:$A$204,0))+IF(OR(AND(UPPER(TRIM(B97))="SWALE",UPPER(TRIM(AI97))="PIPE"),AND(UPPER(TRIM(B97))="TRENCH",UPPER(TRIM(AI97))="PIPE")),Inputs!$B$57,0),""))))</f>
        <v/>
      </c>
      <c r="AE97" s="8">
        <f>IF(OR(AD97="",F97="",G97=""),"",AD97+F97*G97)</f>
        <v/>
      </c>
      <c r="AF97" s="8">
        <f>IF(OR(E97="",A97=""),"",IFERROR(INDEX($AE$4:$AE$204,MATCH(E97,$A$4:$A$204,0)),""))</f>
        <v/>
      </c>
      <c r="AG97" s="8">
        <f>IF(OR(AD97="",AF97=""),"",AD97-AF97)</f>
        <v/>
      </c>
      <c r="AH97" s="4">
        <f>IF(A97="","",IF(E97="","TERMINAL",IF(OR(AND(UPPER(TRIM(B97))="SWALE",UPPER(TRIM(AI97))="PIPE"),AND(UPPER(TRIM(B97))="TRENCH",UPPER(TRIM(AI97))="PIPE")),IF(OR(AG97="",AJ97="",AK97=""),"INFO",IF(AND(AG97&gt;=AJ97,AG97&lt;=AK97),"OK","CHECK")),IF(AG97="","INFO",IF(ABS(AG97)&lt;=Inputs!$B$54,"OK","CHECK")))))</f>
        <v/>
      </c>
      <c r="AI97" s="17">
        <f>IF(A97="","",IF(E97="","",IFERROR(INDEX($B$4:$B$204,MATCH(E97,$A$4:$A$204,0)),"")))</f>
        <v/>
      </c>
      <c r="AJ97" s="17">
        <f>IF(A97="","",IF(OR(AND(UPPER(TRIM(B97))="SWALE",UPPER(TRIM(AI97))="PIPE"),AND(UPPER(TRIM(B97))="TRENCH",UPPER(TRIM(AI97))="PIPE")),Inputs!$B$55,0))</f>
        <v/>
      </c>
      <c r="AK97" s="17">
        <f>IF(A97="","",IF(OR(AND(UPPER(TRIM(B97))="SWALE",UPPER(TRIM(AI97))="PIPE"),AND(UPPER(TRIM(B97))="TRENCH",UPPER(TRIM(AI97))="PIPE")),Inputs!$B$56,Inputs!$B$54))</f>
        <v/>
      </c>
      <c r="AL97" s="4">
        <f>IF(A97="","",IF(E97="","TERMINAL",IF(OR(AND(UPPER(TRIM(B97))="SWALE",UPPER(TRIM(AI97))="PIPE"),AND(UPPER(TRIM(B97))="TRENCH",UPPER(TRIM(AI97))="PIPE")),IF(OR(AG97="",AJ97="",AK97=""),"INFO",IF(AND(AG97&gt;=AJ97,AG97&lt;=AK97),"OK","CHECK")),"N/A")))</f>
        <v/>
      </c>
    </row>
    <row r="98">
      <c r="A98" s="4" t="n"/>
      <c r="B98" s="4" t="n"/>
      <c r="C98" s="4" t="n"/>
      <c r="D98" s="4" t="n"/>
      <c r="E98" s="4" t="n"/>
      <c r="F98" s="7" t="n"/>
      <c r="G98" s="7" t="n"/>
      <c r="H98" s="7" t="n"/>
      <c r="I98" s="8">
        <f>IF(A98="","",IF(H98&lt;&gt;"",H98,IF(UPPER(TRIM(B98))="PIPE",Inputs!$B$7,IF(UPPER(TRIM(B98))="SWALE",Inputs!$B$8,Inputs!$B$9))))</f>
        <v/>
      </c>
      <c r="J98" s="7" t="n"/>
      <c r="K98" s="7" t="n"/>
      <c r="L98" s="7" t="n"/>
      <c r="M98" s="7" t="n"/>
      <c r="N98" s="7" t="n">
        <v>0</v>
      </c>
      <c r="O98" s="8">
        <f>IF(A98="","",SUMIFS(Zones_tributaires!$I:$I,Zones_tributaires!$J:$J,$A98))</f>
        <v/>
      </c>
      <c r="P98" s="8">
        <f>IF(A98="","",SUMIFS($Q$4:$Q$204,$E$4:$E$204,$A98))</f>
        <v/>
      </c>
      <c r="Q98" s="8">
        <f>IF(A98="","",(O98+P98)*Inputs!$B$6)</f>
        <v/>
      </c>
      <c r="R98" s="8">
        <f>IF(A98="","",IF(UPPER(TRIM(B98))="PIPE",PI()*(J98/1000)^2/4,IF(OR(K98="",L98=""),"",L98*(K98+M98*L98))))</f>
        <v/>
      </c>
      <c r="S98" s="8">
        <f>IF(A98="","",IF(UPPER(TRIM(B98))="PIPE",(J98/1000)/4,IF(OR(R98="",K98="",L98=""),"",R98/(K98+2*L98*SQRT(1+M98^2)))))</f>
        <v/>
      </c>
      <c r="T98" s="8">
        <f>IF(A98="","",IF(OR(I98="",R98="",S98="",G98=""),"",(1/I98)*R98*(S98^(2/3))*SQRT(G98)))</f>
        <v/>
      </c>
      <c r="U98" s="8">
        <f>IF(OR(T98="",Q98=""),"",Q98/(T98*Inputs!$B$19))</f>
        <v/>
      </c>
      <c r="V98" s="8">
        <f>IF(OR(R98="",Q98=""),"",Q98/R98)</f>
        <v/>
      </c>
      <c r="W98" s="8">
        <f>IF(OR(R98="",T98=""),"",T98/R98)</f>
        <v/>
      </c>
      <c r="X98" s="8">
        <f>IF(A98="","",IF(OR(UPPER(TRIM(Inputs!$B$15))="MANNING",UPPER(TRIM(Inputs!$B$15))="M"),W98,IF(OR(UPPER(TRIM(Inputs!$B$15))="MAX",UPPER(TRIM(Inputs!$B$15))="X"),MAX(V98,W98),V98)))</f>
        <v/>
      </c>
      <c r="Y98" s="8">
        <f>IF(A98="","",IF(UPPER(TRIM(B98))="TRENCH",K98*L98*N98,IF(UPPER(TRIM(B98))="SWALE",K98*L98,0)))</f>
        <v/>
      </c>
      <c r="Z98" s="8">
        <f>IF(OR(Y98="",F98=""),"",Y98*F98)</f>
        <v/>
      </c>
      <c r="AA98" s="4">
        <f>IF(A98="","",IF(OR(U98&gt;1,AND(X98&lt;&gt;"",X98&lt;Inputs!$B$16),AND(X98&lt;&gt;"",X98&gt;Inputs!$B$17),G98&lt;Inputs!$B$18,AH98="CHECK"),"CHECK","OK"))</f>
        <v/>
      </c>
      <c r="AB98" s="4" t="n"/>
      <c r="AC98" s="7" t="n"/>
      <c r="AD98" s="8">
        <f>IF(A98="","",IF(AC98&lt;&gt;"",AC98,IF(E98="",Inputs!$B$38,IFERROR(INDEX($AE$4:$AE$204,MATCH(E98,$A$4:$A$204,0))+IF(OR(AND(UPPER(TRIM(B98))="SWALE",UPPER(TRIM(AI98))="PIPE"),AND(UPPER(TRIM(B98))="TRENCH",UPPER(TRIM(AI98))="PIPE")),Inputs!$B$57,0),""))))</f>
        <v/>
      </c>
      <c r="AE98" s="8">
        <f>IF(OR(AD98="",F98="",G98=""),"",AD98+F98*G98)</f>
        <v/>
      </c>
      <c r="AF98" s="8">
        <f>IF(OR(E98="",A98=""),"",IFERROR(INDEX($AE$4:$AE$204,MATCH(E98,$A$4:$A$204,0)),""))</f>
        <v/>
      </c>
      <c r="AG98" s="8">
        <f>IF(OR(AD98="",AF98=""),"",AD98-AF98)</f>
        <v/>
      </c>
      <c r="AH98" s="4">
        <f>IF(A98="","",IF(E98="","TERMINAL",IF(OR(AND(UPPER(TRIM(B98))="SWALE",UPPER(TRIM(AI98))="PIPE"),AND(UPPER(TRIM(B98))="TRENCH",UPPER(TRIM(AI98))="PIPE")),IF(OR(AG98="",AJ98="",AK98=""),"INFO",IF(AND(AG98&gt;=AJ98,AG98&lt;=AK98),"OK","CHECK")),IF(AG98="","INFO",IF(ABS(AG98)&lt;=Inputs!$B$54,"OK","CHECK")))))</f>
        <v/>
      </c>
      <c r="AI98" s="17">
        <f>IF(A98="","",IF(E98="","",IFERROR(INDEX($B$4:$B$204,MATCH(E98,$A$4:$A$204,0)),"")))</f>
        <v/>
      </c>
      <c r="AJ98" s="17">
        <f>IF(A98="","",IF(OR(AND(UPPER(TRIM(B98))="SWALE",UPPER(TRIM(AI98))="PIPE"),AND(UPPER(TRIM(B98))="TRENCH",UPPER(TRIM(AI98))="PIPE")),Inputs!$B$55,0))</f>
        <v/>
      </c>
      <c r="AK98" s="17">
        <f>IF(A98="","",IF(OR(AND(UPPER(TRIM(B98))="SWALE",UPPER(TRIM(AI98))="PIPE"),AND(UPPER(TRIM(B98))="TRENCH",UPPER(TRIM(AI98))="PIPE")),Inputs!$B$56,Inputs!$B$54))</f>
        <v/>
      </c>
      <c r="AL98" s="4">
        <f>IF(A98="","",IF(E98="","TERMINAL",IF(OR(AND(UPPER(TRIM(B98))="SWALE",UPPER(TRIM(AI98))="PIPE"),AND(UPPER(TRIM(B98))="TRENCH",UPPER(TRIM(AI98))="PIPE")),IF(OR(AG98="",AJ98="",AK98=""),"INFO",IF(AND(AG98&gt;=AJ98,AG98&lt;=AK98),"OK","CHECK")),"N/A")))</f>
        <v/>
      </c>
    </row>
    <row r="99">
      <c r="A99" s="4" t="n"/>
      <c r="B99" s="4" t="n"/>
      <c r="C99" s="4" t="n"/>
      <c r="D99" s="4" t="n"/>
      <c r="E99" s="4" t="n"/>
      <c r="F99" s="7" t="n"/>
      <c r="G99" s="7" t="n"/>
      <c r="H99" s="7" t="n"/>
      <c r="I99" s="8">
        <f>IF(A99="","",IF(H99&lt;&gt;"",H99,IF(UPPER(TRIM(B99))="PIPE",Inputs!$B$7,IF(UPPER(TRIM(B99))="SWALE",Inputs!$B$8,Inputs!$B$9))))</f>
        <v/>
      </c>
      <c r="J99" s="7" t="n"/>
      <c r="K99" s="7" t="n"/>
      <c r="L99" s="7" t="n"/>
      <c r="M99" s="7" t="n"/>
      <c r="N99" s="7" t="n">
        <v>0</v>
      </c>
      <c r="O99" s="8">
        <f>IF(A99="","",SUMIFS(Zones_tributaires!$I:$I,Zones_tributaires!$J:$J,$A99))</f>
        <v/>
      </c>
      <c r="P99" s="8">
        <f>IF(A99="","",SUMIFS($Q$4:$Q$204,$E$4:$E$204,$A99))</f>
        <v/>
      </c>
      <c r="Q99" s="8">
        <f>IF(A99="","",(O99+P99)*Inputs!$B$6)</f>
        <v/>
      </c>
      <c r="R99" s="8">
        <f>IF(A99="","",IF(UPPER(TRIM(B99))="PIPE",PI()*(J99/1000)^2/4,IF(OR(K99="",L99=""),"",L99*(K99+M99*L99))))</f>
        <v/>
      </c>
      <c r="S99" s="8">
        <f>IF(A99="","",IF(UPPER(TRIM(B99))="PIPE",(J99/1000)/4,IF(OR(R99="",K99="",L99=""),"",R99/(K99+2*L99*SQRT(1+M99^2)))))</f>
        <v/>
      </c>
      <c r="T99" s="8">
        <f>IF(A99="","",IF(OR(I99="",R99="",S99="",G99=""),"",(1/I99)*R99*(S99^(2/3))*SQRT(G99)))</f>
        <v/>
      </c>
      <c r="U99" s="8">
        <f>IF(OR(T99="",Q99=""),"",Q99/(T99*Inputs!$B$19))</f>
        <v/>
      </c>
      <c r="V99" s="8">
        <f>IF(OR(R99="",Q99=""),"",Q99/R99)</f>
        <v/>
      </c>
      <c r="W99" s="8">
        <f>IF(OR(R99="",T99=""),"",T99/R99)</f>
        <v/>
      </c>
      <c r="X99" s="8">
        <f>IF(A99="","",IF(OR(UPPER(TRIM(Inputs!$B$15))="MANNING",UPPER(TRIM(Inputs!$B$15))="M"),W99,IF(OR(UPPER(TRIM(Inputs!$B$15))="MAX",UPPER(TRIM(Inputs!$B$15))="X"),MAX(V99,W99),V99)))</f>
        <v/>
      </c>
      <c r="Y99" s="8">
        <f>IF(A99="","",IF(UPPER(TRIM(B99))="TRENCH",K99*L99*N99,IF(UPPER(TRIM(B99))="SWALE",K99*L99,0)))</f>
        <v/>
      </c>
      <c r="Z99" s="8">
        <f>IF(OR(Y99="",F99=""),"",Y99*F99)</f>
        <v/>
      </c>
      <c r="AA99" s="4">
        <f>IF(A99="","",IF(OR(U99&gt;1,AND(X99&lt;&gt;"",X99&lt;Inputs!$B$16),AND(X99&lt;&gt;"",X99&gt;Inputs!$B$17),G99&lt;Inputs!$B$18,AH99="CHECK"),"CHECK","OK"))</f>
        <v/>
      </c>
      <c r="AB99" s="4" t="n"/>
      <c r="AC99" s="7" t="n"/>
      <c r="AD99" s="8">
        <f>IF(A99="","",IF(AC99&lt;&gt;"",AC99,IF(E99="",Inputs!$B$38,IFERROR(INDEX($AE$4:$AE$204,MATCH(E99,$A$4:$A$204,0))+IF(OR(AND(UPPER(TRIM(B99))="SWALE",UPPER(TRIM(AI99))="PIPE"),AND(UPPER(TRIM(B99))="TRENCH",UPPER(TRIM(AI99))="PIPE")),Inputs!$B$57,0),""))))</f>
        <v/>
      </c>
      <c r="AE99" s="8">
        <f>IF(OR(AD99="",F99="",G99=""),"",AD99+F99*G99)</f>
        <v/>
      </c>
      <c r="AF99" s="8">
        <f>IF(OR(E99="",A99=""),"",IFERROR(INDEX($AE$4:$AE$204,MATCH(E99,$A$4:$A$204,0)),""))</f>
        <v/>
      </c>
      <c r="AG99" s="8">
        <f>IF(OR(AD99="",AF99=""),"",AD99-AF99)</f>
        <v/>
      </c>
      <c r="AH99" s="4">
        <f>IF(A99="","",IF(E99="","TERMINAL",IF(OR(AND(UPPER(TRIM(B99))="SWALE",UPPER(TRIM(AI99))="PIPE"),AND(UPPER(TRIM(B99))="TRENCH",UPPER(TRIM(AI99))="PIPE")),IF(OR(AG99="",AJ99="",AK99=""),"INFO",IF(AND(AG99&gt;=AJ99,AG99&lt;=AK99),"OK","CHECK")),IF(AG99="","INFO",IF(ABS(AG99)&lt;=Inputs!$B$54,"OK","CHECK")))))</f>
        <v/>
      </c>
      <c r="AI99" s="17">
        <f>IF(A99="","",IF(E99="","",IFERROR(INDEX($B$4:$B$204,MATCH(E99,$A$4:$A$204,0)),"")))</f>
        <v/>
      </c>
      <c r="AJ99" s="17">
        <f>IF(A99="","",IF(OR(AND(UPPER(TRIM(B99))="SWALE",UPPER(TRIM(AI99))="PIPE"),AND(UPPER(TRIM(B99))="TRENCH",UPPER(TRIM(AI99))="PIPE")),Inputs!$B$55,0))</f>
        <v/>
      </c>
      <c r="AK99" s="17">
        <f>IF(A99="","",IF(OR(AND(UPPER(TRIM(B99))="SWALE",UPPER(TRIM(AI99))="PIPE"),AND(UPPER(TRIM(B99))="TRENCH",UPPER(TRIM(AI99))="PIPE")),Inputs!$B$56,Inputs!$B$54))</f>
        <v/>
      </c>
      <c r="AL99" s="4">
        <f>IF(A99="","",IF(E99="","TERMINAL",IF(OR(AND(UPPER(TRIM(B99))="SWALE",UPPER(TRIM(AI99))="PIPE"),AND(UPPER(TRIM(B99))="TRENCH",UPPER(TRIM(AI99))="PIPE")),IF(OR(AG99="",AJ99="",AK99=""),"INFO",IF(AND(AG99&gt;=AJ99,AG99&lt;=AK99),"OK","CHECK")),"N/A")))</f>
        <v/>
      </c>
    </row>
    <row r="100">
      <c r="A100" s="4" t="n"/>
      <c r="B100" s="4" t="n"/>
      <c r="C100" s="4" t="n"/>
      <c r="D100" s="4" t="n"/>
      <c r="E100" s="4" t="n"/>
      <c r="F100" s="7" t="n"/>
      <c r="G100" s="7" t="n"/>
      <c r="H100" s="7" t="n"/>
      <c r="I100" s="8">
        <f>IF(A100="","",IF(H100&lt;&gt;"",H100,IF(UPPER(TRIM(B100))="PIPE",Inputs!$B$7,IF(UPPER(TRIM(B100))="SWALE",Inputs!$B$8,Inputs!$B$9))))</f>
        <v/>
      </c>
      <c r="J100" s="7" t="n"/>
      <c r="K100" s="7" t="n"/>
      <c r="L100" s="7" t="n"/>
      <c r="M100" s="7" t="n"/>
      <c r="N100" s="7" t="n">
        <v>0</v>
      </c>
      <c r="O100" s="8">
        <f>IF(A100="","",SUMIFS(Zones_tributaires!$I:$I,Zones_tributaires!$J:$J,$A100))</f>
        <v/>
      </c>
      <c r="P100" s="8">
        <f>IF(A100="","",SUMIFS($Q$4:$Q$204,$E$4:$E$204,$A100))</f>
        <v/>
      </c>
      <c r="Q100" s="8">
        <f>IF(A100="","",(O100+P100)*Inputs!$B$6)</f>
        <v/>
      </c>
      <c r="R100" s="8">
        <f>IF(A100="","",IF(UPPER(TRIM(B100))="PIPE",PI()*(J100/1000)^2/4,IF(OR(K100="",L100=""),"",L100*(K100+M100*L100))))</f>
        <v/>
      </c>
      <c r="S100" s="8">
        <f>IF(A100="","",IF(UPPER(TRIM(B100))="PIPE",(J100/1000)/4,IF(OR(R100="",K100="",L100=""),"",R100/(K100+2*L100*SQRT(1+M100^2)))))</f>
        <v/>
      </c>
      <c r="T100" s="8">
        <f>IF(A100="","",IF(OR(I100="",R100="",S100="",G100=""),"",(1/I100)*R100*(S100^(2/3))*SQRT(G100)))</f>
        <v/>
      </c>
      <c r="U100" s="8">
        <f>IF(OR(T100="",Q100=""),"",Q100/(T100*Inputs!$B$19))</f>
        <v/>
      </c>
      <c r="V100" s="8">
        <f>IF(OR(R100="",Q100=""),"",Q100/R100)</f>
        <v/>
      </c>
      <c r="W100" s="8">
        <f>IF(OR(R100="",T100=""),"",T100/R100)</f>
        <v/>
      </c>
      <c r="X100" s="8">
        <f>IF(A100="","",IF(OR(UPPER(TRIM(Inputs!$B$15))="MANNING",UPPER(TRIM(Inputs!$B$15))="M"),W100,IF(OR(UPPER(TRIM(Inputs!$B$15))="MAX",UPPER(TRIM(Inputs!$B$15))="X"),MAX(V100,W100),V100)))</f>
        <v/>
      </c>
      <c r="Y100" s="8">
        <f>IF(A100="","",IF(UPPER(TRIM(B100))="TRENCH",K100*L100*N100,IF(UPPER(TRIM(B100))="SWALE",K100*L100,0)))</f>
        <v/>
      </c>
      <c r="Z100" s="8">
        <f>IF(OR(Y100="",F100=""),"",Y100*F100)</f>
        <v/>
      </c>
      <c r="AA100" s="4">
        <f>IF(A100="","",IF(OR(U100&gt;1,AND(X100&lt;&gt;"",X100&lt;Inputs!$B$16),AND(X100&lt;&gt;"",X100&gt;Inputs!$B$17),G100&lt;Inputs!$B$18,AH100="CHECK"),"CHECK","OK"))</f>
        <v/>
      </c>
      <c r="AB100" s="4" t="n"/>
      <c r="AC100" s="7" t="n"/>
      <c r="AD100" s="8">
        <f>IF(A100="","",IF(AC100&lt;&gt;"",AC100,IF(E100="",Inputs!$B$38,IFERROR(INDEX($AE$4:$AE$204,MATCH(E100,$A$4:$A$204,0))+IF(OR(AND(UPPER(TRIM(B100))="SWALE",UPPER(TRIM(AI100))="PIPE"),AND(UPPER(TRIM(B100))="TRENCH",UPPER(TRIM(AI100))="PIPE")),Inputs!$B$57,0),""))))</f>
        <v/>
      </c>
      <c r="AE100" s="8">
        <f>IF(OR(AD100="",F100="",G100=""),"",AD100+F100*G100)</f>
        <v/>
      </c>
      <c r="AF100" s="8">
        <f>IF(OR(E100="",A100=""),"",IFERROR(INDEX($AE$4:$AE$204,MATCH(E100,$A$4:$A$204,0)),""))</f>
        <v/>
      </c>
      <c r="AG100" s="8">
        <f>IF(OR(AD100="",AF100=""),"",AD100-AF100)</f>
        <v/>
      </c>
      <c r="AH100" s="4">
        <f>IF(A100="","",IF(E100="","TERMINAL",IF(OR(AND(UPPER(TRIM(B100))="SWALE",UPPER(TRIM(AI100))="PIPE"),AND(UPPER(TRIM(B100))="TRENCH",UPPER(TRIM(AI100))="PIPE")),IF(OR(AG100="",AJ100="",AK100=""),"INFO",IF(AND(AG100&gt;=AJ100,AG100&lt;=AK100),"OK","CHECK")),IF(AG100="","INFO",IF(ABS(AG100)&lt;=Inputs!$B$54,"OK","CHECK")))))</f>
        <v/>
      </c>
      <c r="AI100" s="17">
        <f>IF(A100="","",IF(E100="","",IFERROR(INDEX($B$4:$B$204,MATCH(E100,$A$4:$A$204,0)),"")))</f>
        <v/>
      </c>
      <c r="AJ100" s="17">
        <f>IF(A100="","",IF(OR(AND(UPPER(TRIM(B100))="SWALE",UPPER(TRIM(AI100))="PIPE"),AND(UPPER(TRIM(B100))="TRENCH",UPPER(TRIM(AI100))="PIPE")),Inputs!$B$55,0))</f>
        <v/>
      </c>
      <c r="AK100" s="17">
        <f>IF(A100="","",IF(OR(AND(UPPER(TRIM(B100))="SWALE",UPPER(TRIM(AI100))="PIPE"),AND(UPPER(TRIM(B100))="TRENCH",UPPER(TRIM(AI100))="PIPE")),Inputs!$B$56,Inputs!$B$54))</f>
        <v/>
      </c>
      <c r="AL100" s="4">
        <f>IF(A100="","",IF(E100="","TERMINAL",IF(OR(AND(UPPER(TRIM(B100))="SWALE",UPPER(TRIM(AI100))="PIPE"),AND(UPPER(TRIM(B100))="TRENCH",UPPER(TRIM(AI100))="PIPE")),IF(OR(AG100="",AJ100="",AK100=""),"INFO",IF(AND(AG100&gt;=AJ100,AG100&lt;=AK100),"OK","CHECK")),"N/A")))</f>
        <v/>
      </c>
    </row>
    <row r="101">
      <c r="A101" s="4" t="n"/>
      <c r="B101" s="4" t="n"/>
      <c r="C101" s="4" t="n"/>
      <c r="D101" s="4" t="n"/>
      <c r="E101" s="4" t="n"/>
      <c r="F101" s="7" t="n"/>
      <c r="G101" s="7" t="n"/>
      <c r="H101" s="7" t="n"/>
      <c r="I101" s="8">
        <f>IF(A101="","",IF(H101&lt;&gt;"",H101,IF(UPPER(TRIM(B101))="PIPE",Inputs!$B$7,IF(UPPER(TRIM(B101))="SWALE",Inputs!$B$8,Inputs!$B$9))))</f>
        <v/>
      </c>
      <c r="J101" s="7" t="n"/>
      <c r="K101" s="7" t="n"/>
      <c r="L101" s="7" t="n"/>
      <c r="M101" s="7" t="n"/>
      <c r="N101" s="7" t="n">
        <v>0</v>
      </c>
      <c r="O101" s="8">
        <f>IF(A101="","",SUMIFS(Zones_tributaires!$I:$I,Zones_tributaires!$J:$J,$A101))</f>
        <v/>
      </c>
      <c r="P101" s="8">
        <f>IF(A101="","",SUMIFS($Q$4:$Q$204,$E$4:$E$204,$A101))</f>
        <v/>
      </c>
      <c r="Q101" s="8">
        <f>IF(A101="","",(O101+P101)*Inputs!$B$6)</f>
        <v/>
      </c>
      <c r="R101" s="8">
        <f>IF(A101="","",IF(UPPER(TRIM(B101))="PIPE",PI()*(J101/1000)^2/4,IF(OR(K101="",L101=""),"",L101*(K101+M101*L101))))</f>
        <v/>
      </c>
      <c r="S101" s="8">
        <f>IF(A101="","",IF(UPPER(TRIM(B101))="PIPE",(J101/1000)/4,IF(OR(R101="",K101="",L101=""),"",R101/(K101+2*L101*SQRT(1+M101^2)))))</f>
        <v/>
      </c>
      <c r="T101" s="8">
        <f>IF(A101="","",IF(OR(I101="",R101="",S101="",G101=""),"",(1/I101)*R101*(S101^(2/3))*SQRT(G101)))</f>
        <v/>
      </c>
      <c r="U101" s="8">
        <f>IF(OR(T101="",Q101=""),"",Q101/(T101*Inputs!$B$19))</f>
        <v/>
      </c>
      <c r="V101" s="8">
        <f>IF(OR(R101="",Q101=""),"",Q101/R101)</f>
        <v/>
      </c>
      <c r="W101" s="8">
        <f>IF(OR(R101="",T101=""),"",T101/R101)</f>
        <v/>
      </c>
      <c r="X101" s="8">
        <f>IF(A101="","",IF(OR(UPPER(TRIM(Inputs!$B$15))="MANNING",UPPER(TRIM(Inputs!$B$15))="M"),W101,IF(OR(UPPER(TRIM(Inputs!$B$15))="MAX",UPPER(TRIM(Inputs!$B$15))="X"),MAX(V101,W101),V101)))</f>
        <v/>
      </c>
      <c r="Y101" s="8">
        <f>IF(A101="","",IF(UPPER(TRIM(B101))="TRENCH",K101*L101*N101,IF(UPPER(TRIM(B101))="SWALE",K101*L101,0)))</f>
        <v/>
      </c>
      <c r="Z101" s="8">
        <f>IF(OR(Y101="",F101=""),"",Y101*F101)</f>
        <v/>
      </c>
      <c r="AA101" s="4">
        <f>IF(A101="","",IF(OR(U101&gt;1,AND(X101&lt;&gt;"",X101&lt;Inputs!$B$16),AND(X101&lt;&gt;"",X101&gt;Inputs!$B$17),G101&lt;Inputs!$B$18,AH101="CHECK"),"CHECK","OK"))</f>
        <v/>
      </c>
      <c r="AB101" s="4" t="n"/>
      <c r="AC101" s="7" t="n"/>
      <c r="AD101" s="8">
        <f>IF(A101="","",IF(AC101&lt;&gt;"",AC101,IF(E101="",Inputs!$B$38,IFERROR(INDEX($AE$4:$AE$204,MATCH(E101,$A$4:$A$204,0))+IF(OR(AND(UPPER(TRIM(B101))="SWALE",UPPER(TRIM(AI101))="PIPE"),AND(UPPER(TRIM(B101))="TRENCH",UPPER(TRIM(AI101))="PIPE")),Inputs!$B$57,0),""))))</f>
        <v/>
      </c>
      <c r="AE101" s="8">
        <f>IF(OR(AD101="",F101="",G101=""),"",AD101+F101*G101)</f>
        <v/>
      </c>
      <c r="AF101" s="8">
        <f>IF(OR(E101="",A101=""),"",IFERROR(INDEX($AE$4:$AE$204,MATCH(E101,$A$4:$A$204,0)),""))</f>
        <v/>
      </c>
      <c r="AG101" s="8">
        <f>IF(OR(AD101="",AF101=""),"",AD101-AF101)</f>
        <v/>
      </c>
      <c r="AH101" s="4">
        <f>IF(A101="","",IF(E101="","TERMINAL",IF(OR(AND(UPPER(TRIM(B101))="SWALE",UPPER(TRIM(AI101))="PIPE"),AND(UPPER(TRIM(B101))="TRENCH",UPPER(TRIM(AI101))="PIPE")),IF(OR(AG101="",AJ101="",AK101=""),"INFO",IF(AND(AG101&gt;=AJ101,AG101&lt;=AK101),"OK","CHECK")),IF(AG101="","INFO",IF(ABS(AG101)&lt;=Inputs!$B$54,"OK","CHECK")))))</f>
        <v/>
      </c>
      <c r="AI101" s="17">
        <f>IF(A101="","",IF(E101="","",IFERROR(INDEX($B$4:$B$204,MATCH(E101,$A$4:$A$204,0)),"")))</f>
        <v/>
      </c>
      <c r="AJ101" s="17">
        <f>IF(A101="","",IF(OR(AND(UPPER(TRIM(B101))="SWALE",UPPER(TRIM(AI101))="PIPE"),AND(UPPER(TRIM(B101))="TRENCH",UPPER(TRIM(AI101))="PIPE")),Inputs!$B$55,0))</f>
        <v/>
      </c>
      <c r="AK101" s="17">
        <f>IF(A101="","",IF(OR(AND(UPPER(TRIM(B101))="SWALE",UPPER(TRIM(AI101))="PIPE"),AND(UPPER(TRIM(B101))="TRENCH",UPPER(TRIM(AI101))="PIPE")),Inputs!$B$56,Inputs!$B$54))</f>
        <v/>
      </c>
      <c r="AL101" s="4">
        <f>IF(A101="","",IF(E101="","TERMINAL",IF(OR(AND(UPPER(TRIM(B101))="SWALE",UPPER(TRIM(AI101))="PIPE"),AND(UPPER(TRIM(B101))="TRENCH",UPPER(TRIM(AI101))="PIPE")),IF(OR(AG101="",AJ101="",AK101=""),"INFO",IF(AND(AG101&gt;=AJ101,AG101&lt;=AK101),"OK","CHECK")),"N/A")))</f>
        <v/>
      </c>
    </row>
    <row r="102">
      <c r="A102" s="4" t="n"/>
      <c r="B102" s="4" t="n"/>
      <c r="C102" s="4" t="n"/>
      <c r="D102" s="4" t="n"/>
      <c r="E102" s="4" t="n"/>
      <c r="F102" s="7" t="n"/>
      <c r="G102" s="7" t="n"/>
      <c r="H102" s="7" t="n"/>
      <c r="I102" s="8">
        <f>IF(A102="","",IF(H102&lt;&gt;"",H102,IF(UPPER(TRIM(B102))="PIPE",Inputs!$B$7,IF(UPPER(TRIM(B102))="SWALE",Inputs!$B$8,Inputs!$B$9))))</f>
        <v/>
      </c>
      <c r="J102" s="7" t="n"/>
      <c r="K102" s="7" t="n"/>
      <c r="L102" s="7" t="n"/>
      <c r="M102" s="7" t="n"/>
      <c r="N102" s="7" t="n">
        <v>0</v>
      </c>
      <c r="O102" s="8">
        <f>IF(A102="","",SUMIFS(Zones_tributaires!$I:$I,Zones_tributaires!$J:$J,$A102))</f>
        <v/>
      </c>
      <c r="P102" s="8">
        <f>IF(A102="","",SUMIFS($Q$4:$Q$204,$E$4:$E$204,$A102))</f>
        <v/>
      </c>
      <c r="Q102" s="8">
        <f>IF(A102="","",(O102+P102)*Inputs!$B$6)</f>
        <v/>
      </c>
      <c r="R102" s="8">
        <f>IF(A102="","",IF(UPPER(TRIM(B102))="PIPE",PI()*(J102/1000)^2/4,IF(OR(K102="",L102=""),"",L102*(K102+M102*L102))))</f>
        <v/>
      </c>
      <c r="S102" s="8">
        <f>IF(A102="","",IF(UPPER(TRIM(B102))="PIPE",(J102/1000)/4,IF(OR(R102="",K102="",L102=""),"",R102/(K102+2*L102*SQRT(1+M102^2)))))</f>
        <v/>
      </c>
      <c r="T102" s="8">
        <f>IF(A102="","",IF(OR(I102="",R102="",S102="",G102=""),"",(1/I102)*R102*(S102^(2/3))*SQRT(G102)))</f>
        <v/>
      </c>
      <c r="U102" s="8">
        <f>IF(OR(T102="",Q102=""),"",Q102/(T102*Inputs!$B$19))</f>
        <v/>
      </c>
      <c r="V102" s="8">
        <f>IF(OR(R102="",Q102=""),"",Q102/R102)</f>
        <v/>
      </c>
      <c r="W102" s="8">
        <f>IF(OR(R102="",T102=""),"",T102/R102)</f>
        <v/>
      </c>
      <c r="X102" s="8">
        <f>IF(A102="","",IF(OR(UPPER(TRIM(Inputs!$B$15))="MANNING",UPPER(TRIM(Inputs!$B$15))="M"),W102,IF(OR(UPPER(TRIM(Inputs!$B$15))="MAX",UPPER(TRIM(Inputs!$B$15))="X"),MAX(V102,W102),V102)))</f>
        <v/>
      </c>
      <c r="Y102" s="8">
        <f>IF(A102="","",IF(UPPER(TRIM(B102))="TRENCH",K102*L102*N102,IF(UPPER(TRIM(B102))="SWALE",K102*L102,0)))</f>
        <v/>
      </c>
      <c r="Z102" s="8">
        <f>IF(OR(Y102="",F102=""),"",Y102*F102)</f>
        <v/>
      </c>
      <c r="AA102" s="4">
        <f>IF(A102="","",IF(OR(U102&gt;1,AND(X102&lt;&gt;"",X102&lt;Inputs!$B$16),AND(X102&lt;&gt;"",X102&gt;Inputs!$B$17),G102&lt;Inputs!$B$18,AH102="CHECK"),"CHECK","OK"))</f>
        <v/>
      </c>
      <c r="AB102" s="4" t="n"/>
      <c r="AC102" s="7" t="n"/>
      <c r="AD102" s="8">
        <f>IF(A102="","",IF(AC102&lt;&gt;"",AC102,IF(E102="",Inputs!$B$38,IFERROR(INDEX($AE$4:$AE$204,MATCH(E102,$A$4:$A$204,0))+IF(OR(AND(UPPER(TRIM(B102))="SWALE",UPPER(TRIM(AI102))="PIPE"),AND(UPPER(TRIM(B102))="TRENCH",UPPER(TRIM(AI102))="PIPE")),Inputs!$B$57,0),""))))</f>
        <v/>
      </c>
      <c r="AE102" s="8">
        <f>IF(OR(AD102="",F102="",G102=""),"",AD102+F102*G102)</f>
        <v/>
      </c>
      <c r="AF102" s="8">
        <f>IF(OR(E102="",A102=""),"",IFERROR(INDEX($AE$4:$AE$204,MATCH(E102,$A$4:$A$204,0)),""))</f>
        <v/>
      </c>
      <c r="AG102" s="8">
        <f>IF(OR(AD102="",AF102=""),"",AD102-AF102)</f>
        <v/>
      </c>
      <c r="AH102" s="4">
        <f>IF(A102="","",IF(E102="","TERMINAL",IF(OR(AND(UPPER(TRIM(B102))="SWALE",UPPER(TRIM(AI102))="PIPE"),AND(UPPER(TRIM(B102))="TRENCH",UPPER(TRIM(AI102))="PIPE")),IF(OR(AG102="",AJ102="",AK102=""),"INFO",IF(AND(AG102&gt;=AJ102,AG102&lt;=AK102),"OK","CHECK")),IF(AG102="","INFO",IF(ABS(AG102)&lt;=Inputs!$B$54,"OK","CHECK")))))</f>
        <v/>
      </c>
      <c r="AI102" s="17">
        <f>IF(A102="","",IF(E102="","",IFERROR(INDEX($B$4:$B$204,MATCH(E102,$A$4:$A$204,0)),"")))</f>
        <v/>
      </c>
      <c r="AJ102" s="17">
        <f>IF(A102="","",IF(OR(AND(UPPER(TRIM(B102))="SWALE",UPPER(TRIM(AI102))="PIPE"),AND(UPPER(TRIM(B102))="TRENCH",UPPER(TRIM(AI102))="PIPE")),Inputs!$B$55,0))</f>
        <v/>
      </c>
      <c r="AK102" s="17">
        <f>IF(A102="","",IF(OR(AND(UPPER(TRIM(B102))="SWALE",UPPER(TRIM(AI102))="PIPE"),AND(UPPER(TRIM(B102))="TRENCH",UPPER(TRIM(AI102))="PIPE")),Inputs!$B$56,Inputs!$B$54))</f>
        <v/>
      </c>
      <c r="AL102" s="4">
        <f>IF(A102="","",IF(E102="","TERMINAL",IF(OR(AND(UPPER(TRIM(B102))="SWALE",UPPER(TRIM(AI102))="PIPE"),AND(UPPER(TRIM(B102))="TRENCH",UPPER(TRIM(AI102))="PIPE")),IF(OR(AG102="",AJ102="",AK102=""),"INFO",IF(AND(AG102&gt;=AJ102,AG102&lt;=AK102),"OK","CHECK")),"N/A")))</f>
        <v/>
      </c>
    </row>
    <row r="103">
      <c r="A103" s="4" t="n"/>
      <c r="B103" s="4" t="n"/>
      <c r="C103" s="4" t="n"/>
      <c r="D103" s="4" t="n"/>
      <c r="E103" s="4" t="n"/>
      <c r="F103" s="7" t="n"/>
      <c r="G103" s="7" t="n"/>
      <c r="H103" s="7" t="n"/>
      <c r="I103" s="8">
        <f>IF(A103="","",IF(H103&lt;&gt;"",H103,IF(UPPER(TRIM(B103))="PIPE",Inputs!$B$7,IF(UPPER(TRIM(B103))="SWALE",Inputs!$B$8,Inputs!$B$9))))</f>
        <v/>
      </c>
      <c r="J103" s="7" t="n"/>
      <c r="K103" s="7" t="n"/>
      <c r="L103" s="7" t="n"/>
      <c r="M103" s="7" t="n"/>
      <c r="N103" s="7" t="n">
        <v>0</v>
      </c>
      <c r="O103" s="8">
        <f>IF(A103="","",SUMIFS(Zones_tributaires!$I:$I,Zones_tributaires!$J:$J,$A103))</f>
        <v/>
      </c>
      <c r="P103" s="8">
        <f>IF(A103="","",SUMIFS($Q$4:$Q$204,$E$4:$E$204,$A103))</f>
        <v/>
      </c>
      <c r="Q103" s="8">
        <f>IF(A103="","",(O103+P103)*Inputs!$B$6)</f>
        <v/>
      </c>
      <c r="R103" s="8">
        <f>IF(A103="","",IF(UPPER(TRIM(B103))="PIPE",PI()*(J103/1000)^2/4,IF(OR(K103="",L103=""),"",L103*(K103+M103*L103))))</f>
        <v/>
      </c>
      <c r="S103" s="8">
        <f>IF(A103="","",IF(UPPER(TRIM(B103))="PIPE",(J103/1000)/4,IF(OR(R103="",K103="",L103=""),"",R103/(K103+2*L103*SQRT(1+M103^2)))))</f>
        <v/>
      </c>
      <c r="T103" s="8">
        <f>IF(A103="","",IF(OR(I103="",R103="",S103="",G103=""),"",(1/I103)*R103*(S103^(2/3))*SQRT(G103)))</f>
        <v/>
      </c>
      <c r="U103" s="8">
        <f>IF(OR(T103="",Q103=""),"",Q103/(T103*Inputs!$B$19))</f>
        <v/>
      </c>
      <c r="V103" s="8">
        <f>IF(OR(R103="",Q103=""),"",Q103/R103)</f>
        <v/>
      </c>
      <c r="W103" s="8">
        <f>IF(OR(R103="",T103=""),"",T103/R103)</f>
        <v/>
      </c>
      <c r="X103" s="8">
        <f>IF(A103="","",IF(OR(UPPER(TRIM(Inputs!$B$15))="MANNING",UPPER(TRIM(Inputs!$B$15))="M"),W103,IF(OR(UPPER(TRIM(Inputs!$B$15))="MAX",UPPER(TRIM(Inputs!$B$15))="X"),MAX(V103,W103),V103)))</f>
        <v/>
      </c>
      <c r="Y103" s="8">
        <f>IF(A103="","",IF(UPPER(TRIM(B103))="TRENCH",K103*L103*N103,IF(UPPER(TRIM(B103))="SWALE",K103*L103,0)))</f>
        <v/>
      </c>
      <c r="Z103" s="8">
        <f>IF(OR(Y103="",F103=""),"",Y103*F103)</f>
        <v/>
      </c>
      <c r="AA103" s="4">
        <f>IF(A103="","",IF(OR(U103&gt;1,AND(X103&lt;&gt;"",X103&lt;Inputs!$B$16),AND(X103&lt;&gt;"",X103&gt;Inputs!$B$17),G103&lt;Inputs!$B$18,AH103="CHECK"),"CHECK","OK"))</f>
        <v/>
      </c>
      <c r="AB103" s="4" t="n"/>
      <c r="AC103" s="7" t="n"/>
      <c r="AD103" s="8">
        <f>IF(A103="","",IF(AC103&lt;&gt;"",AC103,IF(E103="",Inputs!$B$38,IFERROR(INDEX($AE$4:$AE$204,MATCH(E103,$A$4:$A$204,0))+IF(OR(AND(UPPER(TRIM(B103))="SWALE",UPPER(TRIM(AI103))="PIPE"),AND(UPPER(TRIM(B103))="TRENCH",UPPER(TRIM(AI103))="PIPE")),Inputs!$B$57,0),""))))</f>
        <v/>
      </c>
      <c r="AE103" s="8">
        <f>IF(OR(AD103="",F103="",G103=""),"",AD103+F103*G103)</f>
        <v/>
      </c>
      <c r="AF103" s="8">
        <f>IF(OR(E103="",A103=""),"",IFERROR(INDEX($AE$4:$AE$204,MATCH(E103,$A$4:$A$204,0)),""))</f>
        <v/>
      </c>
      <c r="AG103" s="8">
        <f>IF(OR(AD103="",AF103=""),"",AD103-AF103)</f>
        <v/>
      </c>
      <c r="AH103" s="4">
        <f>IF(A103="","",IF(E103="","TERMINAL",IF(OR(AND(UPPER(TRIM(B103))="SWALE",UPPER(TRIM(AI103))="PIPE"),AND(UPPER(TRIM(B103))="TRENCH",UPPER(TRIM(AI103))="PIPE")),IF(OR(AG103="",AJ103="",AK103=""),"INFO",IF(AND(AG103&gt;=AJ103,AG103&lt;=AK103),"OK","CHECK")),IF(AG103="","INFO",IF(ABS(AG103)&lt;=Inputs!$B$54,"OK","CHECK")))))</f>
        <v/>
      </c>
      <c r="AI103" s="17">
        <f>IF(A103="","",IF(E103="","",IFERROR(INDEX($B$4:$B$204,MATCH(E103,$A$4:$A$204,0)),"")))</f>
        <v/>
      </c>
      <c r="AJ103" s="17">
        <f>IF(A103="","",IF(OR(AND(UPPER(TRIM(B103))="SWALE",UPPER(TRIM(AI103))="PIPE"),AND(UPPER(TRIM(B103))="TRENCH",UPPER(TRIM(AI103))="PIPE")),Inputs!$B$55,0))</f>
        <v/>
      </c>
      <c r="AK103" s="17">
        <f>IF(A103="","",IF(OR(AND(UPPER(TRIM(B103))="SWALE",UPPER(TRIM(AI103))="PIPE"),AND(UPPER(TRIM(B103))="TRENCH",UPPER(TRIM(AI103))="PIPE")),Inputs!$B$56,Inputs!$B$54))</f>
        <v/>
      </c>
      <c r="AL103" s="4">
        <f>IF(A103="","",IF(E103="","TERMINAL",IF(OR(AND(UPPER(TRIM(B103))="SWALE",UPPER(TRIM(AI103))="PIPE"),AND(UPPER(TRIM(B103))="TRENCH",UPPER(TRIM(AI103))="PIPE")),IF(OR(AG103="",AJ103="",AK103=""),"INFO",IF(AND(AG103&gt;=AJ103,AG103&lt;=AK103),"OK","CHECK")),"N/A")))</f>
        <v/>
      </c>
    </row>
    <row r="104">
      <c r="A104" s="4" t="n"/>
      <c r="B104" s="4" t="n"/>
      <c r="C104" s="4" t="n"/>
      <c r="D104" s="4" t="n"/>
      <c r="E104" s="4" t="n"/>
      <c r="F104" s="7" t="n"/>
      <c r="G104" s="7" t="n"/>
      <c r="H104" s="7" t="n"/>
      <c r="I104" s="8">
        <f>IF(A104="","",IF(H104&lt;&gt;"",H104,IF(UPPER(TRIM(B104))="PIPE",Inputs!$B$7,IF(UPPER(TRIM(B104))="SWALE",Inputs!$B$8,Inputs!$B$9))))</f>
        <v/>
      </c>
      <c r="J104" s="7" t="n"/>
      <c r="K104" s="7" t="n"/>
      <c r="L104" s="7" t="n"/>
      <c r="M104" s="7" t="n"/>
      <c r="N104" s="7" t="n">
        <v>0</v>
      </c>
      <c r="O104" s="8">
        <f>IF(A104="","",SUMIFS(Zones_tributaires!$I:$I,Zones_tributaires!$J:$J,$A104))</f>
        <v/>
      </c>
      <c r="P104" s="8">
        <f>IF(A104="","",SUMIFS($Q$4:$Q$204,$E$4:$E$204,$A104))</f>
        <v/>
      </c>
      <c r="Q104" s="8">
        <f>IF(A104="","",(O104+P104)*Inputs!$B$6)</f>
        <v/>
      </c>
      <c r="R104" s="8">
        <f>IF(A104="","",IF(UPPER(TRIM(B104))="PIPE",PI()*(J104/1000)^2/4,IF(OR(K104="",L104=""),"",L104*(K104+M104*L104))))</f>
        <v/>
      </c>
      <c r="S104" s="8">
        <f>IF(A104="","",IF(UPPER(TRIM(B104))="PIPE",(J104/1000)/4,IF(OR(R104="",K104="",L104=""),"",R104/(K104+2*L104*SQRT(1+M104^2)))))</f>
        <v/>
      </c>
      <c r="T104" s="8">
        <f>IF(A104="","",IF(OR(I104="",R104="",S104="",G104=""),"",(1/I104)*R104*(S104^(2/3))*SQRT(G104)))</f>
        <v/>
      </c>
      <c r="U104" s="8">
        <f>IF(OR(T104="",Q104=""),"",Q104/(T104*Inputs!$B$19))</f>
        <v/>
      </c>
      <c r="V104" s="8">
        <f>IF(OR(R104="",Q104=""),"",Q104/R104)</f>
        <v/>
      </c>
      <c r="W104" s="8">
        <f>IF(OR(R104="",T104=""),"",T104/R104)</f>
        <v/>
      </c>
      <c r="X104" s="8">
        <f>IF(A104="","",IF(OR(UPPER(TRIM(Inputs!$B$15))="MANNING",UPPER(TRIM(Inputs!$B$15))="M"),W104,IF(OR(UPPER(TRIM(Inputs!$B$15))="MAX",UPPER(TRIM(Inputs!$B$15))="X"),MAX(V104,W104),V104)))</f>
        <v/>
      </c>
      <c r="Y104" s="8">
        <f>IF(A104="","",IF(UPPER(TRIM(B104))="TRENCH",K104*L104*N104,IF(UPPER(TRIM(B104))="SWALE",K104*L104,0)))</f>
        <v/>
      </c>
      <c r="Z104" s="8">
        <f>IF(OR(Y104="",F104=""),"",Y104*F104)</f>
        <v/>
      </c>
      <c r="AA104" s="4">
        <f>IF(A104="","",IF(OR(U104&gt;1,AND(X104&lt;&gt;"",X104&lt;Inputs!$B$16),AND(X104&lt;&gt;"",X104&gt;Inputs!$B$17),G104&lt;Inputs!$B$18,AH104="CHECK"),"CHECK","OK"))</f>
        <v/>
      </c>
      <c r="AB104" s="4" t="n"/>
      <c r="AC104" s="7" t="n"/>
      <c r="AD104" s="8">
        <f>IF(A104="","",IF(AC104&lt;&gt;"",AC104,IF(E104="",Inputs!$B$38,IFERROR(INDEX($AE$4:$AE$204,MATCH(E104,$A$4:$A$204,0))+IF(OR(AND(UPPER(TRIM(B104))="SWALE",UPPER(TRIM(AI104))="PIPE"),AND(UPPER(TRIM(B104))="TRENCH",UPPER(TRIM(AI104))="PIPE")),Inputs!$B$57,0),""))))</f>
        <v/>
      </c>
      <c r="AE104" s="8">
        <f>IF(OR(AD104="",F104="",G104=""),"",AD104+F104*G104)</f>
        <v/>
      </c>
      <c r="AF104" s="8">
        <f>IF(OR(E104="",A104=""),"",IFERROR(INDEX($AE$4:$AE$204,MATCH(E104,$A$4:$A$204,0)),""))</f>
        <v/>
      </c>
      <c r="AG104" s="8">
        <f>IF(OR(AD104="",AF104=""),"",AD104-AF104)</f>
        <v/>
      </c>
      <c r="AH104" s="4">
        <f>IF(A104="","",IF(E104="","TERMINAL",IF(OR(AND(UPPER(TRIM(B104))="SWALE",UPPER(TRIM(AI104))="PIPE"),AND(UPPER(TRIM(B104))="TRENCH",UPPER(TRIM(AI104))="PIPE")),IF(OR(AG104="",AJ104="",AK104=""),"INFO",IF(AND(AG104&gt;=AJ104,AG104&lt;=AK104),"OK","CHECK")),IF(AG104="","INFO",IF(ABS(AG104)&lt;=Inputs!$B$54,"OK","CHECK")))))</f>
        <v/>
      </c>
      <c r="AI104" s="17">
        <f>IF(A104="","",IF(E104="","",IFERROR(INDEX($B$4:$B$204,MATCH(E104,$A$4:$A$204,0)),"")))</f>
        <v/>
      </c>
      <c r="AJ104" s="17">
        <f>IF(A104="","",IF(OR(AND(UPPER(TRIM(B104))="SWALE",UPPER(TRIM(AI104))="PIPE"),AND(UPPER(TRIM(B104))="TRENCH",UPPER(TRIM(AI104))="PIPE")),Inputs!$B$55,0))</f>
        <v/>
      </c>
      <c r="AK104" s="17">
        <f>IF(A104="","",IF(OR(AND(UPPER(TRIM(B104))="SWALE",UPPER(TRIM(AI104))="PIPE"),AND(UPPER(TRIM(B104))="TRENCH",UPPER(TRIM(AI104))="PIPE")),Inputs!$B$56,Inputs!$B$54))</f>
        <v/>
      </c>
      <c r="AL104" s="4">
        <f>IF(A104="","",IF(E104="","TERMINAL",IF(OR(AND(UPPER(TRIM(B104))="SWALE",UPPER(TRIM(AI104))="PIPE"),AND(UPPER(TRIM(B104))="TRENCH",UPPER(TRIM(AI104))="PIPE")),IF(OR(AG104="",AJ104="",AK104=""),"INFO",IF(AND(AG104&gt;=AJ104,AG104&lt;=AK104),"OK","CHECK")),"N/A")))</f>
        <v/>
      </c>
    </row>
    <row r="105">
      <c r="A105" s="4" t="n"/>
      <c r="B105" s="4" t="n"/>
      <c r="C105" s="4" t="n"/>
      <c r="D105" s="4" t="n"/>
      <c r="E105" s="4" t="n"/>
      <c r="F105" s="7" t="n"/>
      <c r="G105" s="7" t="n"/>
      <c r="H105" s="7" t="n"/>
      <c r="I105" s="8">
        <f>IF(A105="","",IF(H105&lt;&gt;"",H105,IF(UPPER(TRIM(B105))="PIPE",Inputs!$B$7,IF(UPPER(TRIM(B105))="SWALE",Inputs!$B$8,Inputs!$B$9))))</f>
        <v/>
      </c>
      <c r="J105" s="7" t="n"/>
      <c r="K105" s="7" t="n"/>
      <c r="L105" s="7" t="n"/>
      <c r="M105" s="7" t="n"/>
      <c r="N105" s="7" t="n">
        <v>0</v>
      </c>
      <c r="O105" s="8">
        <f>IF(A105="","",SUMIFS(Zones_tributaires!$I:$I,Zones_tributaires!$J:$J,$A105))</f>
        <v/>
      </c>
      <c r="P105" s="8">
        <f>IF(A105="","",SUMIFS($Q$4:$Q$204,$E$4:$E$204,$A105))</f>
        <v/>
      </c>
      <c r="Q105" s="8">
        <f>IF(A105="","",(O105+P105)*Inputs!$B$6)</f>
        <v/>
      </c>
      <c r="R105" s="8">
        <f>IF(A105="","",IF(UPPER(TRIM(B105))="PIPE",PI()*(J105/1000)^2/4,IF(OR(K105="",L105=""),"",L105*(K105+M105*L105))))</f>
        <v/>
      </c>
      <c r="S105" s="8">
        <f>IF(A105="","",IF(UPPER(TRIM(B105))="PIPE",(J105/1000)/4,IF(OR(R105="",K105="",L105=""),"",R105/(K105+2*L105*SQRT(1+M105^2)))))</f>
        <v/>
      </c>
      <c r="T105" s="8">
        <f>IF(A105="","",IF(OR(I105="",R105="",S105="",G105=""),"",(1/I105)*R105*(S105^(2/3))*SQRT(G105)))</f>
        <v/>
      </c>
      <c r="U105" s="8">
        <f>IF(OR(T105="",Q105=""),"",Q105/(T105*Inputs!$B$19))</f>
        <v/>
      </c>
      <c r="V105" s="8">
        <f>IF(OR(R105="",Q105=""),"",Q105/R105)</f>
        <v/>
      </c>
      <c r="W105" s="8">
        <f>IF(OR(R105="",T105=""),"",T105/R105)</f>
        <v/>
      </c>
      <c r="X105" s="8">
        <f>IF(A105="","",IF(OR(UPPER(TRIM(Inputs!$B$15))="MANNING",UPPER(TRIM(Inputs!$B$15))="M"),W105,IF(OR(UPPER(TRIM(Inputs!$B$15))="MAX",UPPER(TRIM(Inputs!$B$15))="X"),MAX(V105,W105),V105)))</f>
        <v/>
      </c>
      <c r="Y105" s="8">
        <f>IF(A105="","",IF(UPPER(TRIM(B105))="TRENCH",K105*L105*N105,IF(UPPER(TRIM(B105))="SWALE",K105*L105,0)))</f>
        <v/>
      </c>
      <c r="Z105" s="8">
        <f>IF(OR(Y105="",F105=""),"",Y105*F105)</f>
        <v/>
      </c>
      <c r="AA105" s="4">
        <f>IF(A105="","",IF(OR(U105&gt;1,AND(X105&lt;&gt;"",X105&lt;Inputs!$B$16),AND(X105&lt;&gt;"",X105&gt;Inputs!$B$17),G105&lt;Inputs!$B$18,AH105="CHECK"),"CHECK","OK"))</f>
        <v/>
      </c>
      <c r="AB105" s="4" t="n"/>
      <c r="AC105" s="7" t="n"/>
      <c r="AD105" s="8">
        <f>IF(A105="","",IF(AC105&lt;&gt;"",AC105,IF(E105="",Inputs!$B$38,IFERROR(INDEX($AE$4:$AE$204,MATCH(E105,$A$4:$A$204,0))+IF(OR(AND(UPPER(TRIM(B105))="SWALE",UPPER(TRIM(AI105))="PIPE"),AND(UPPER(TRIM(B105))="TRENCH",UPPER(TRIM(AI105))="PIPE")),Inputs!$B$57,0),""))))</f>
        <v/>
      </c>
      <c r="AE105" s="8">
        <f>IF(OR(AD105="",F105="",G105=""),"",AD105+F105*G105)</f>
        <v/>
      </c>
      <c r="AF105" s="8">
        <f>IF(OR(E105="",A105=""),"",IFERROR(INDEX($AE$4:$AE$204,MATCH(E105,$A$4:$A$204,0)),""))</f>
        <v/>
      </c>
      <c r="AG105" s="8">
        <f>IF(OR(AD105="",AF105=""),"",AD105-AF105)</f>
        <v/>
      </c>
      <c r="AH105" s="4">
        <f>IF(A105="","",IF(E105="","TERMINAL",IF(OR(AND(UPPER(TRIM(B105))="SWALE",UPPER(TRIM(AI105))="PIPE"),AND(UPPER(TRIM(B105))="TRENCH",UPPER(TRIM(AI105))="PIPE")),IF(OR(AG105="",AJ105="",AK105=""),"INFO",IF(AND(AG105&gt;=AJ105,AG105&lt;=AK105),"OK","CHECK")),IF(AG105="","INFO",IF(ABS(AG105)&lt;=Inputs!$B$54,"OK","CHECK")))))</f>
        <v/>
      </c>
      <c r="AI105" s="17">
        <f>IF(A105="","",IF(E105="","",IFERROR(INDEX($B$4:$B$204,MATCH(E105,$A$4:$A$204,0)),"")))</f>
        <v/>
      </c>
      <c r="AJ105" s="17">
        <f>IF(A105="","",IF(OR(AND(UPPER(TRIM(B105))="SWALE",UPPER(TRIM(AI105))="PIPE"),AND(UPPER(TRIM(B105))="TRENCH",UPPER(TRIM(AI105))="PIPE")),Inputs!$B$55,0))</f>
        <v/>
      </c>
      <c r="AK105" s="17">
        <f>IF(A105="","",IF(OR(AND(UPPER(TRIM(B105))="SWALE",UPPER(TRIM(AI105))="PIPE"),AND(UPPER(TRIM(B105))="TRENCH",UPPER(TRIM(AI105))="PIPE")),Inputs!$B$56,Inputs!$B$54))</f>
        <v/>
      </c>
      <c r="AL105" s="4">
        <f>IF(A105="","",IF(E105="","TERMINAL",IF(OR(AND(UPPER(TRIM(B105))="SWALE",UPPER(TRIM(AI105))="PIPE"),AND(UPPER(TRIM(B105))="TRENCH",UPPER(TRIM(AI105))="PIPE")),IF(OR(AG105="",AJ105="",AK105=""),"INFO",IF(AND(AG105&gt;=AJ105,AG105&lt;=AK105),"OK","CHECK")),"N/A")))</f>
        <v/>
      </c>
    </row>
    <row r="106">
      <c r="A106" s="4" t="n"/>
      <c r="B106" s="4" t="n"/>
      <c r="C106" s="4" t="n"/>
      <c r="D106" s="4" t="n"/>
      <c r="E106" s="4" t="n"/>
      <c r="F106" s="7" t="n"/>
      <c r="G106" s="7" t="n"/>
      <c r="H106" s="7" t="n"/>
      <c r="I106" s="8">
        <f>IF(A106="","",IF(H106&lt;&gt;"",H106,IF(UPPER(TRIM(B106))="PIPE",Inputs!$B$7,IF(UPPER(TRIM(B106))="SWALE",Inputs!$B$8,Inputs!$B$9))))</f>
        <v/>
      </c>
      <c r="J106" s="7" t="n"/>
      <c r="K106" s="7" t="n"/>
      <c r="L106" s="7" t="n"/>
      <c r="M106" s="7" t="n"/>
      <c r="N106" s="7" t="n">
        <v>0</v>
      </c>
      <c r="O106" s="8">
        <f>IF(A106="","",SUMIFS(Zones_tributaires!$I:$I,Zones_tributaires!$J:$J,$A106))</f>
        <v/>
      </c>
      <c r="P106" s="8">
        <f>IF(A106="","",SUMIFS($Q$4:$Q$204,$E$4:$E$204,$A106))</f>
        <v/>
      </c>
      <c r="Q106" s="8">
        <f>IF(A106="","",(O106+P106)*Inputs!$B$6)</f>
        <v/>
      </c>
      <c r="R106" s="8">
        <f>IF(A106="","",IF(UPPER(TRIM(B106))="PIPE",PI()*(J106/1000)^2/4,IF(OR(K106="",L106=""),"",L106*(K106+M106*L106))))</f>
        <v/>
      </c>
      <c r="S106" s="8">
        <f>IF(A106="","",IF(UPPER(TRIM(B106))="PIPE",(J106/1000)/4,IF(OR(R106="",K106="",L106=""),"",R106/(K106+2*L106*SQRT(1+M106^2)))))</f>
        <v/>
      </c>
      <c r="T106" s="8">
        <f>IF(A106="","",IF(OR(I106="",R106="",S106="",G106=""),"",(1/I106)*R106*(S106^(2/3))*SQRT(G106)))</f>
        <v/>
      </c>
      <c r="U106" s="8">
        <f>IF(OR(T106="",Q106=""),"",Q106/(T106*Inputs!$B$19))</f>
        <v/>
      </c>
      <c r="V106" s="8">
        <f>IF(OR(R106="",Q106=""),"",Q106/R106)</f>
        <v/>
      </c>
      <c r="W106" s="8">
        <f>IF(OR(R106="",T106=""),"",T106/R106)</f>
        <v/>
      </c>
      <c r="X106" s="8">
        <f>IF(A106="","",IF(OR(UPPER(TRIM(Inputs!$B$15))="MANNING",UPPER(TRIM(Inputs!$B$15))="M"),W106,IF(OR(UPPER(TRIM(Inputs!$B$15))="MAX",UPPER(TRIM(Inputs!$B$15))="X"),MAX(V106,W106),V106)))</f>
        <v/>
      </c>
      <c r="Y106" s="8">
        <f>IF(A106="","",IF(UPPER(TRIM(B106))="TRENCH",K106*L106*N106,IF(UPPER(TRIM(B106))="SWALE",K106*L106,0)))</f>
        <v/>
      </c>
      <c r="Z106" s="8">
        <f>IF(OR(Y106="",F106=""),"",Y106*F106)</f>
        <v/>
      </c>
      <c r="AA106" s="4">
        <f>IF(A106="","",IF(OR(U106&gt;1,AND(X106&lt;&gt;"",X106&lt;Inputs!$B$16),AND(X106&lt;&gt;"",X106&gt;Inputs!$B$17),G106&lt;Inputs!$B$18,AH106="CHECK"),"CHECK","OK"))</f>
        <v/>
      </c>
      <c r="AB106" s="4" t="n"/>
      <c r="AC106" s="7" t="n"/>
      <c r="AD106" s="8">
        <f>IF(A106="","",IF(AC106&lt;&gt;"",AC106,IF(E106="",Inputs!$B$38,IFERROR(INDEX($AE$4:$AE$204,MATCH(E106,$A$4:$A$204,0))+IF(OR(AND(UPPER(TRIM(B106))="SWALE",UPPER(TRIM(AI106))="PIPE"),AND(UPPER(TRIM(B106))="TRENCH",UPPER(TRIM(AI106))="PIPE")),Inputs!$B$57,0),""))))</f>
        <v/>
      </c>
      <c r="AE106" s="8">
        <f>IF(OR(AD106="",F106="",G106=""),"",AD106+F106*G106)</f>
        <v/>
      </c>
      <c r="AF106" s="8">
        <f>IF(OR(E106="",A106=""),"",IFERROR(INDEX($AE$4:$AE$204,MATCH(E106,$A$4:$A$204,0)),""))</f>
        <v/>
      </c>
      <c r="AG106" s="8">
        <f>IF(OR(AD106="",AF106=""),"",AD106-AF106)</f>
        <v/>
      </c>
      <c r="AH106" s="4">
        <f>IF(A106="","",IF(E106="","TERMINAL",IF(OR(AND(UPPER(TRIM(B106))="SWALE",UPPER(TRIM(AI106))="PIPE"),AND(UPPER(TRIM(B106))="TRENCH",UPPER(TRIM(AI106))="PIPE")),IF(OR(AG106="",AJ106="",AK106=""),"INFO",IF(AND(AG106&gt;=AJ106,AG106&lt;=AK106),"OK","CHECK")),IF(AG106="","INFO",IF(ABS(AG106)&lt;=Inputs!$B$54,"OK","CHECK")))))</f>
        <v/>
      </c>
      <c r="AI106" s="17">
        <f>IF(A106="","",IF(E106="","",IFERROR(INDEX($B$4:$B$204,MATCH(E106,$A$4:$A$204,0)),"")))</f>
        <v/>
      </c>
      <c r="AJ106" s="17">
        <f>IF(A106="","",IF(OR(AND(UPPER(TRIM(B106))="SWALE",UPPER(TRIM(AI106))="PIPE"),AND(UPPER(TRIM(B106))="TRENCH",UPPER(TRIM(AI106))="PIPE")),Inputs!$B$55,0))</f>
        <v/>
      </c>
      <c r="AK106" s="17">
        <f>IF(A106="","",IF(OR(AND(UPPER(TRIM(B106))="SWALE",UPPER(TRIM(AI106))="PIPE"),AND(UPPER(TRIM(B106))="TRENCH",UPPER(TRIM(AI106))="PIPE")),Inputs!$B$56,Inputs!$B$54))</f>
        <v/>
      </c>
      <c r="AL106" s="4">
        <f>IF(A106="","",IF(E106="","TERMINAL",IF(OR(AND(UPPER(TRIM(B106))="SWALE",UPPER(TRIM(AI106))="PIPE"),AND(UPPER(TRIM(B106))="TRENCH",UPPER(TRIM(AI106))="PIPE")),IF(OR(AG106="",AJ106="",AK106=""),"INFO",IF(AND(AG106&gt;=AJ106,AG106&lt;=AK106),"OK","CHECK")),"N/A")))</f>
        <v/>
      </c>
    </row>
    <row r="107">
      <c r="A107" s="4" t="n"/>
      <c r="B107" s="4" t="n"/>
      <c r="C107" s="4" t="n"/>
      <c r="D107" s="4" t="n"/>
      <c r="E107" s="4" t="n"/>
      <c r="F107" s="7" t="n"/>
      <c r="G107" s="7" t="n"/>
      <c r="H107" s="7" t="n"/>
      <c r="I107" s="8">
        <f>IF(A107="","",IF(H107&lt;&gt;"",H107,IF(UPPER(TRIM(B107))="PIPE",Inputs!$B$7,IF(UPPER(TRIM(B107))="SWALE",Inputs!$B$8,Inputs!$B$9))))</f>
        <v/>
      </c>
      <c r="J107" s="7" t="n"/>
      <c r="K107" s="7" t="n"/>
      <c r="L107" s="7" t="n"/>
      <c r="M107" s="7" t="n"/>
      <c r="N107" s="7" t="n">
        <v>0</v>
      </c>
      <c r="O107" s="8">
        <f>IF(A107="","",SUMIFS(Zones_tributaires!$I:$I,Zones_tributaires!$J:$J,$A107))</f>
        <v/>
      </c>
      <c r="P107" s="8">
        <f>IF(A107="","",SUMIFS($Q$4:$Q$204,$E$4:$E$204,$A107))</f>
        <v/>
      </c>
      <c r="Q107" s="8">
        <f>IF(A107="","",(O107+P107)*Inputs!$B$6)</f>
        <v/>
      </c>
      <c r="R107" s="8">
        <f>IF(A107="","",IF(UPPER(TRIM(B107))="PIPE",PI()*(J107/1000)^2/4,IF(OR(K107="",L107=""),"",L107*(K107+M107*L107))))</f>
        <v/>
      </c>
      <c r="S107" s="8">
        <f>IF(A107="","",IF(UPPER(TRIM(B107))="PIPE",(J107/1000)/4,IF(OR(R107="",K107="",L107=""),"",R107/(K107+2*L107*SQRT(1+M107^2)))))</f>
        <v/>
      </c>
      <c r="T107" s="8">
        <f>IF(A107="","",IF(OR(I107="",R107="",S107="",G107=""),"",(1/I107)*R107*(S107^(2/3))*SQRT(G107)))</f>
        <v/>
      </c>
      <c r="U107" s="8">
        <f>IF(OR(T107="",Q107=""),"",Q107/(T107*Inputs!$B$19))</f>
        <v/>
      </c>
      <c r="V107" s="8">
        <f>IF(OR(R107="",Q107=""),"",Q107/R107)</f>
        <v/>
      </c>
      <c r="W107" s="8">
        <f>IF(OR(R107="",T107=""),"",T107/R107)</f>
        <v/>
      </c>
      <c r="X107" s="8">
        <f>IF(A107="","",IF(OR(UPPER(TRIM(Inputs!$B$15))="MANNING",UPPER(TRIM(Inputs!$B$15))="M"),W107,IF(OR(UPPER(TRIM(Inputs!$B$15))="MAX",UPPER(TRIM(Inputs!$B$15))="X"),MAX(V107,W107),V107)))</f>
        <v/>
      </c>
      <c r="Y107" s="8">
        <f>IF(A107="","",IF(UPPER(TRIM(B107))="TRENCH",K107*L107*N107,IF(UPPER(TRIM(B107))="SWALE",K107*L107,0)))</f>
        <v/>
      </c>
      <c r="Z107" s="8">
        <f>IF(OR(Y107="",F107=""),"",Y107*F107)</f>
        <v/>
      </c>
      <c r="AA107" s="4">
        <f>IF(A107="","",IF(OR(U107&gt;1,AND(X107&lt;&gt;"",X107&lt;Inputs!$B$16),AND(X107&lt;&gt;"",X107&gt;Inputs!$B$17),G107&lt;Inputs!$B$18,AH107="CHECK"),"CHECK","OK"))</f>
        <v/>
      </c>
      <c r="AB107" s="4" t="n"/>
      <c r="AC107" s="7" t="n"/>
      <c r="AD107" s="8">
        <f>IF(A107="","",IF(AC107&lt;&gt;"",AC107,IF(E107="",Inputs!$B$38,IFERROR(INDEX($AE$4:$AE$204,MATCH(E107,$A$4:$A$204,0))+IF(OR(AND(UPPER(TRIM(B107))="SWALE",UPPER(TRIM(AI107))="PIPE"),AND(UPPER(TRIM(B107))="TRENCH",UPPER(TRIM(AI107))="PIPE")),Inputs!$B$57,0),""))))</f>
        <v/>
      </c>
      <c r="AE107" s="8">
        <f>IF(OR(AD107="",F107="",G107=""),"",AD107+F107*G107)</f>
        <v/>
      </c>
      <c r="AF107" s="8">
        <f>IF(OR(E107="",A107=""),"",IFERROR(INDEX($AE$4:$AE$204,MATCH(E107,$A$4:$A$204,0)),""))</f>
        <v/>
      </c>
      <c r="AG107" s="8">
        <f>IF(OR(AD107="",AF107=""),"",AD107-AF107)</f>
        <v/>
      </c>
      <c r="AH107" s="4">
        <f>IF(A107="","",IF(E107="","TERMINAL",IF(OR(AND(UPPER(TRIM(B107))="SWALE",UPPER(TRIM(AI107))="PIPE"),AND(UPPER(TRIM(B107))="TRENCH",UPPER(TRIM(AI107))="PIPE")),IF(OR(AG107="",AJ107="",AK107=""),"INFO",IF(AND(AG107&gt;=AJ107,AG107&lt;=AK107),"OK","CHECK")),IF(AG107="","INFO",IF(ABS(AG107)&lt;=Inputs!$B$54,"OK","CHECK")))))</f>
        <v/>
      </c>
      <c r="AI107" s="17">
        <f>IF(A107="","",IF(E107="","",IFERROR(INDEX($B$4:$B$204,MATCH(E107,$A$4:$A$204,0)),"")))</f>
        <v/>
      </c>
      <c r="AJ107" s="17">
        <f>IF(A107="","",IF(OR(AND(UPPER(TRIM(B107))="SWALE",UPPER(TRIM(AI107))="PIPE"),AND(UPPER(TRIM(B107))="TRENCH",UPPER(TRIM(AI107))="PIPE")),Inputs!$B$55,0))</f>
        <v/>
      </c>
      <c r="AK107" s="17">
        <f>IF(A107="","",IF(OR(AND(UPPER(TRIM(B107))="SWALE",UPPER(TRIM(AI107))="PIPE"),AND(UPPER(TRIM(B107))="TRENCH",UPPER(TRIM(AI107))="PIPE")),Inputs!$B$56,Inputs!$B$54))</f>
        <v/>
      </c>
      <c r="AL107" s="4">
        <f>IF(A107="","",IF(E107="","TERMINAL",IF(OR(AND(UPPER(TRIM(B107))="SWALE",UPPER(TRIM(AI107))="PIPE"),AND(UPPER(TRIM(B107))="TRENCH",UPPER(TRIM(AI107))="PIPE")),IF(OR(AG107="",AJ107="",AK107=""),"INFO",IF(AND(AG107&gt;=AJ107,AG107&lt;=AK107),"OK","CHECK")),"N/A")))</f>
        <v/>
      </c>
    </row>
    <row r="108">
      <c r="A108" s="4" t="n"/>
      <c r="B108" s="4" t="n"/>
      <c r="C108" s="4" t="n"/>
      <c r="D108" s="4" t="n"/>
      <c r="E108" s="4" t="n"/>
      <c r="F108" s="7" t="n"/>
      <c r="G108" s="7" t="n"/>
      <c r="H108" s="7" t="n"/>
      <c r="I108" s="8">
        <f>IF(A108="","",IF(H108&lt;&gt;"",H108,IF(UPPER(TRIM(B108))="PIPE",Inputs!$B$7,IF(UPPER(TRIM(B108))="SWALE",Inputs!$B$8,Inputs!$B$9))))</f>
        <v/>
      </c>
      <c r="J108" s="7" t="n"/>
      <c r="K108" s="7" t="n"/>
      <c r="L108" s="7" t="n"/>
      <c r="M108" s="7" t="n"/>
      <c r="N108" s="7" t="n">
        <v>0</v>
      </c>
      <c r="O108" s="8">
        <f>IF(A108="","",SUMIFS(Zones_tributaires!$I:$I,Zones_tributaires!$J:$J,$A108))</f>
        <v/>
      </c>
      <c r="P108" s="8">
        <f>IF(A108="","",SUMIFS($Q$4:$Q$204,$E$4:$E$204,$A108))</f>
        <v/>
      </c>
      <c r="Q108" s="8">
        <f>IF(A108="","",(O108+P108)*Inputs!$B$6)</f>
        <v/>
      </c>
      <c r="R108" s="8">
        <f>IF(A108="","",IF(UPPER(TRIM(B108))="PIPE",PI()*(J108/1000)^2/4,IF(OR(K108="",L108=""),"",L108*(K108+M108*L108))))</f>
        <v/>
      </c>
      <c r="S108" s="8">
        <f>IF(A108="","",IF(UPPER(TRIM(B108))="PIPE",(J108/1000)/4,IF(OR(R108="",K108="",L108=""),"",R108/(K108+2*L108*SQRT(1+M108^2)))))</f>
        <v/>
      </c>
      <c r="T108" s="8">
        <f>IF(A108="","",IF(OR(I108="",R108="",S108="",G108=""),"",(1/I108)*R108*(S108^(2/3))*SQRT(G108)))</f>
        <v/>
      </c>
      <c r="U108" s="8">
        <f>IF(OR(T108="",Q108=""),"",Q108/(T108*Inputs!$B$19))</f>
        <v/>
      </c>
      <c r="V108" s="8">
        <f>IF(OR(R108="",Q108=""),"",Q108/R108)</f>
        <v/>
      </c>
      <c r="W108" s="8">
        <f>IF(OR(R108="",T108=""),"",T108/R108)</f>
        <v/>
      </c>
      <c r="X108" s="8">
        <f>IF(A108="","",IF(OR(UPPER(TRIM(Inputs!$B$15))="MANNING",UPPER(TRIM(Inputs!$B$15))="M"),W108,IF(OR(UPPER(TRIM(Inputs!$B$15))="MAX",UPPER(TRIM(Inputs!$B$15))="X"),MAX(V108,W108),V108)))</f>
        <v/>
      </c>
      <c r="Y108" s="8">
        <f>IF(A108="","",IF(UPPER(TRIM(B108))="TRENCH",K108*L108*N108,IF(UPPER(TRIM(B108))="SWALE",K108*L108,0)))</f>
        <v/>
      </c>
      <c r="Z108" s="8">
        <f>IF(OR(Y108="",F108=""),"",Y108*F108)</f>
        <v/>
      </c>
      <c r="AA108" s="4">
        <f>IF(A108="","",IF(OR(U108&gt;1,AND(X108&lt;&gt;"",X108&lt;Inputs!$B$16),AND(X108&lt;&gt;"",X108&gt;Inputs!$B$17),G108&lt;Inputs!$B$18,AH108="CHECK"),"CHECK","OK"))</f>
        <v/>
      </c>
      <c r="AB108" s="4" t="n"/>
      <c r="AC108" s="7" t="n"/>
      <c r="AD108" s="8">
        <f>IF(A108="","",IF(AC108&lt;&gt;"",AC108,IF(E108="",Inputs!$B$38,IFERROR(INDEX($AE$4:$AE$204,MATCH(E108,$A$4:$A$204,0))+IF(OR(AND(UPPER(TRIM(B108))="SWALE",UPPER(TRIM(AI108))="PIPE"),AND(UPPER(TRIM(B108))="TRENCH",UPPER(TRIM(AI108))="PIPE")),Inputs!$B$57,0),""))))</f>
        <v/>
      </c>
      <c r="AE108" s="8">
        <f>IF(OR(AD108="",F108="",G108=""),"",AD108+F108*G108)</f>
        <v/>
      </c>
      <c r="AF108" s="8">
        <f>IF(OR(E108="",A108=""),"",IFERROR(INDEX($AE$4:$AE$204,MATCH(E108,$A$4:$A$204,0)),""))</f>
        <v/>
      </c>
      <c r="AG108" s="8">
        <f>IF(OR(AD108="",AF108=""),"",AD108-AF108)</f>
        <v/>
      </c>
      <c r="AH108" s="4">
        <f>IF(A108="","",IF(E108="","TERMINAL",IF(OR(AND(UPPER(TRIM(B108))="SWALE",UPPER(TRIM(AI108))="PIPE"),AND(UPPER(TRIM(B108))="TRENCH",UPPER(TRIM(AI108))="PIPE")),IF(OR(AG108="",AJ108="",AK108=""),"INFO",IF(AND(AG108&gt;=AJ108,AG108&lt;=AK108),"OK","CHECK")),IF(AG108="","INFO",IF(ABS(AG108)&lt;=Inputs!$B$54,"OK","CHECK")))))</f>
        <v/>
      </c>
      <c r="AI108" s="17">
        <f>IF(A108="","",IF(E108="","",IFERROR(INDEX($B$4:$B$204,MATCH(E108,$A$4:$A$204,0)),"")))</f>
        <v/>
      </c>
      <c r="AJ108" s="17">
        <f>IF(A108="","",IF(OR(AND(UPPER(TRIM(B108))="SWALE",UPPER(TRIM(AI108))="PIPE"),AND(UPPER(TRIM(B108))="TRENCH",UPPER(TRIM(AI108))="PIPE")),Inputs!$B$55,0))</f>
        <v/>
      </c>
      <c r="AK108" s="17">
        <f>IF(A108="","",IF(OR(AND(UPPER(TRIM(B108))="SWALE",UPPER(TRIM(AI108))="PIPE"),AND(UPPER(TRIM(B108))="TRENCH",UPPER(TRIM(AI108))="PIPE")),Inputs!$B$56,Inputs!$B$54))</f>
        <v/>
      </c>
      <c r="AL108" s="4">
        <f>IF(A108="","",IF(E108="","TERMINAL",IF(OR(AND(UPPER(TRIM(B108))="SWALE",UPPER(TRIM(AI108))="PIPE"),AND(UPPER(TRIM(B108))="TRENCH",UPPER(TRIM(AI108))="PIPE")),IF(OR(AG108="",AJ108="",AK108=""),"INFO",IF(AND(AG108&gt;=AJ108,AG108&lt;=AK108),"OK","CHECK")),"N/A")))</f>
        <v/>
      </c>
    </row>
    <row r="109">
      <c r="A109" s="4" t="n"/>
      <c r="B109" s="4" t="n"/>
      <c r="C109" s="4" t="n"/>
      <c r="D109" s="4" t="n"/>
      <c r="E109" s="4" t="n"/>
      <c r="F109" s="7" t="n"/>
      <c r="G109" s="7" t="n"/>
      <c r="H109" s="7" t="n"/>
      <c r="I109" s="8">
        <f>IF(A109="","",IF(H109&lt;&gt;"",H109,IF(UPPER(TRIM(B109))="PIPE",Inputs!$B$7,IF(UPPER(TRIM(B109))="SWALE",Inputs!$B$8,Inputs!$B$9))))</f>
        <v/>
      </c>
      <c r="J109" s="7" t="n"/>
      <c r="K109" s="7" t="n"/>
      <c r="L109" s="7" t="n"/>
      <c r="M109" s="7" t="n"/>
      <c r="N109" s="7" t="n">
        <v>0</v>
      </c>
      <c r="O109" s="8">
        <f>IF(A109="","",SUMIFS(Zones_tributaires!$I:$I,Zones_tributaires!$J:$J,$A109))</f>
        <v/>
      </c>
      <c r="P109" s="8">
        <f>IF(A109="","",SUMIFS($Q$4:$Q$204,$E$4:$E$204,$A109))</f>
        <v/>
      </c>
      <c r="Q109" s="8">
        <f>IF(A109="","",(O109+P109)*Inputs!$B$6)</f>
        <v/>
      </c>
      <c r="R109" s="8">
        <f>IF(A109="","",IF(UPPER(TRIM(B109))="PIPE",PI()*(J109/1000)^2/4,IF(OR(K109="",L109=""),"",L109*(K109+M109*L109))))</f>
        <v/>
      </c>
      <c r="S109" s="8">
        <f>IF(A109="","",IF(UPPER(TRIM(B109))="PIPE",(J109/1000)/4,IF(OR(R109="",K109="",L109=""),"",R109/(K109+2*L109*SQRT(1+M109^2)))))</f>
        <v/>
      </c>
      <c r="T109" s="8">
        <f>IF(A109="","",IF(OR(I109="",R109="",S109="",G109=""),"",(1/I109)*R109*(S109^(2/3))*SQRT(G109)))</f>
        <v/>
      </c>
      <c r="U109" s="8">
        <f>IF(OR(T109="",Q109=""),"",Q109/(T109*Inputs!$B$19))</f>
        <v/>
      </c>
      <c r="V109" s="8">
        <f>IF(OR(R109="",Q109=""),"",Q109/R109)</f>
        <v/>
      </c>
      <c r="W109" s="8">
        <f>IF(OR(R109="",T109=""),"",T109/R109)</f>
        <v/>
      </c>
      <c r="X109" s="8">
        <f>IF(A109="","",IF(OR(UPPER(TRIM(Inputs!$B$15))="MANNING",UPPER(TRIM(Inputs!$B$15))="M"),W109,IF(OR(UPPER(TRIM(Inputs!$B$15))="MAX",UPPER(TRIM(Inputs!$B$15))="X"),MAX(V109,W109),V109)))</f>
        <v/>
      </c>
      <c r="Y109" s="8">
        <f>IF(A109="","",IF(UPPER(TRIM(B109))="TRENCH",K109*L109*N109,IF(UPPER(TRIM(B109))="SWALE",K109*L109,0)))</f>
        <v/>
      </c>
      <c r="Z109" s="8">
        <f>IF(OR(Y109="",F109=""),"",Y109*F109)</f>
        <v/>
      </c>
      <c r="AA109" s="4">
        <f>IF(A109="","",IF(OR(U109&gt;1,AND(X109&lt;&gt;"",X109&lt;Inputs!$B$16),AND(X109&lt;&gt;"",X109&gt;Inputs!$B$17),G109&lt;Inputs!$B$18,AH109="CHECK"),"CHECK","OK"))</f>
        <v/>
      </c>
      <c r="AB109" s="4" t="n"/>
      <c r="AC109" s="7" t="n"/>
      <c r="AD109" s="8">
        <f>IF(A109="","",IF(AC109&lt;&gt;"",AC109,IF(E109="",Inputs!$B$38,IFERROR(INDEX($AE$4:$AE$204,MATCH(E109,$A$4:$A$204,0))+IF(OR(AND(UPPER(TRIM(B109))="SWALE",UPPER(TRIM(AI109))="PIPE"),AND(UPPER(TRIM(B109))="TRENCH",UPPER(TRIM(AI109))="PIPE")),Inputs!$B$57,0),""))))</f>
        <v/>
      </c>
      <c r="AE109" s="8">
        <f>IF(OR(AD109="",F109="",G109=""),"",AD109+F109*G109)</f>
        <v/>
      </c>
      <c r="AF109" s="8">
        <f>IF(OR(E109="",A109=""),"",IFERROR(INDEX($AE$4:$AE$204,MATCH(E109,$A$4:$A$204,0)),""))</f>
        <v/>
      </c>
      <c r="AG109" s="8">
        <f>IF(OR(AD109="",AF109=""),"",AD109-AF109)</f>
        <v/>
      </c>
      <c r="AH109" s="4">
        <f>IF(A109="","",IF(E109="","TERMINAL",IF(OR(AND(UPPER(TRIM(B109))="SWALE",UPPER(TRIM(AI109))="PIPE"),AND(UPPER(TRIM(B109))="TRENCH",UPPER(TRIM(AI109))="PIPE")),IF(OR(AG109="",AJ109="",AK109=""),"INFO",IF(AND(AG109&gt;=AJ109,AG109&lt;=AK109),"OK","CHECK")),IF(AG109="","INFO",IF(ABS(AG109)&lt;=Inputs!$B$54,"OK","CHECK")))))</f>
        <v/>
      </c>
      <c r="AI109" s="17">
        <f>IF(A109="","",IF(E109="","",IFERROR(INDEX($B$4:$B$204,MATCH(E109,$A$4:$A$204,0)),"")))</f>
        <v/>
      </c>
      <c r="AJ109" s="17">
        <f>IF(A109="","",IF(OR(AND(UPPER(TRIM(B109))="SWALE",UPPER(TRIM(AI109))="PIPE"),AND(UPPER(TRIM(B109))="TRENCH",UPPER(TRIM(AI109))="PIPE")),Inputs!$B$55,0))</f>
        <v/>
      </c>
      <c r="AK109" s="17">
        <f>IF(A109="","",IF(OR(AND(UPPER(TRIM(B109))="SWALE",UPPER(TRIM(AI109))="PIPE"),AND(UPPER(TRIM(B109))="TRENCH",UPPER(TRIM(AI109))="PIPE")),Inputs!$B$56,Inputs!$B$54))</f>
        <v/>
      </c>
      <c r="AL109" s="4">
        <f>IF(A109="","",IF(E109="","TERMINAL",IF(OR(AND(UPPER(TRIM(B109))="SWALE",UPPER(TRIM(AI109))="PIPE"),AND(UPPER(TRIM(B109))="TRENCH",UPPER(TRIM(AI109))="PIPE")),IF(OR(AG109="",AJ109="",AK109=""),"INFO",IF(AND(AG109&gt;=AJ109,AG109&lt;=AK109),"OK","CHECK")),"N/A")))</f>
        <v/>
      </c>
    </row>
    <row r="110">
      <c r="A110" s="4" t="n"/>
      <c r="B110" s="4" t="n"/>
      <c r="C110" s="4" t="n"/>
      <c r="D110" s="4" t="n"/>
      <c r="E110" s="4" t="n"/>
      <c r="F110" s="7" t="n"/>
      <c r="G110" s="7" t="n"/>
      <c r="H110" s="7" t="n"/>
      <c r="I110" s="8">
        <f>IF(A110="","",IF(H110&lt;&gt;"",H110,IF(UPPER(TRIM(B110))="PIPE",Inputs!$B$7,IF(UPPER(TRIM(B110))="SWALE",Inputs!$B$8,Inputs!$B$9))))</f>
        <v/>
      </c>
      <c r="J110" s="7" t="n"/>
      <c r="K110" s="7" t="n"/>
      <c r="L110" s="7" t="n"/>
      <c r="M110" s="7" t="n"/>
      <c r="N110" s="7" t="n">
        <v>0</v>
      </c>
      <c r="O110" s="8">
        <f>IF(A110="","",SUMIFS(Zones_tributaires!$I:$I,Zones_tributaires!$J:$J,$A110))</f>
        <v/>
      </c>
      <c r="P110" s="8">
        <f>IF(A110="","",SUMIFS($Q$4:$Q$204,$E$4:$E$204,$A110))</f>
        <v/>
      </c>
      <c r="Q110" s="8">
        <f>IF(A110="","",(O110+P110)*Inputs!$B$6)</f>
        <v/>
      </c>
      <c r="R110" s="8">
        <f>IF(A110="","",IF(UPPER(TRIM(B110))="PIPE",PI()*(J110/1000)^2/4,IF(OR(K110="",L110=""),"",L110*(K110+M110*L110))))</f>
        <v/>
      </c>
      <c r="S110" s="8">
        <f>IF(A110="","",IF(UPPER(TRIM(B110))="PIPE",(J110/1000)/4,IF(OR(R110="",K110="",L110=""),"",R110/(K110+2*L110*SQRT(1+M110^2)))))</f>
        <v/>
      </c>
      <c r="T110" s="8">
        <f>IF(A110="","",IF(OR(I110="",R110="",S110="",G110=""),"",(1/I110)*R110*(S110^(2/3))*SQRT(G110)))</f>
        <v/>
      </c>
      <c r="U110" s="8">
        <f>IF(OR(T110="",Q110=""),"",Q110/(T110*Inputs!$B$19))</f>
        <v/>
      </c>
      <c r="V110" s="8">
        <f>IF(OR(R110="",Q110=""),"",Q110/R110)</f>
        <v/>
      </c>
      <c r="W110" s="8">
        <f>IF(OR(R110="",T110=""),"",T110/R110)</f>
        <v/>
      </c>
      <c r="X110" s="8">
        <f>IF(A110="","",IF(OR(UPPER(TRIM(Inputs!$B$15))="MANNING",UPPER(TRIM(Inputs!$B$15))="M"),W110,IF(OR(UPPER(TRIM(Inputs!$B$15))="MAX",UPPER(TRIM(Inputs!$B$15))="X"),MAX(V110,W110),V110)))</f>
        <v/>
      </c>
      <c r="Y110" s="8">
        <f>IF(A110="","",IF(UPPER(TRIM(B110))="TRENCH",K110*L110*N110,IF(UPPER(TRIM(B110))="SWALE",K110*L110,0)))</f>
        <v/>
      </c>
      <c r="Z110" s="8">
        <f>IF(OR(Y110="",F110=""),"",Y110*F110)</f>
        <v/>
      </c>
      <c r="AA110" s="4">
        <f>IF(A110="","",IF(OR(U110&gt;1,AND(X110&lt;&gt;"",X110&lt;Inputs!$B$16),AND(X110&lt;&gt;"",X110&gt;Inputs!$B$17),G110&lt;Inputs!$B$18,AH110="CHECK"),"CHECK","OK"))</f>
        <v/>
      </c>
      <c r="AB110" s="4" t="n"/>
      <c r="AC110" s="7" t="n"/>
      <c r="AD110" s="8">
        <f>IF(A110="","",IF(AC110&lt;&gt;"",AC110,IF(E110="",Inputs!$B$38,IFERROR(INDEX($AE$4:$AE$204,MATCH(E110,$A$4:$A$204,0))+IF(OR(AND(UPPER(TRIM(B110))="SWALE",UPPER(TRIM(AI110))="PIPE"),AND(UPPER(TRIM(B110))="TRENCH",UPPER(TRIM(AI110))="PIPE")),Inputs!$B$57,0),""))))</f>
        <v/>
      </c>
      <c r="AE110" s="8">
        <f>IF(OR(AD110="",F110="",G110=""),"",AD110+F110*G110)</f>
        <v/>
      </c>
      <c r="AF110" s="8">
        <f>IF(OR(E110="",A110=""),"",IFERROR(INDEX($AE$4:$AE$204,MATCH(E110,$A$4:$A$204,0)),""))</f>
        <v/>
      </c>
      <c r="AG110" s="8">
        <f>IF(OR(AD110="",AF110=""),"",AD110-AF110)</f>
        <v/>
      </c>
      <c r="AH110" s="4">
        <f>IF(A110="","",IF(E110="","TERMINAL",IF(OR(AND(UPPER(TRIM(B110))="SWALE",UPPER(TRIM(AI110))="PIPE"),AND(UPPER(TRIM(B110))="TRENCH",UPPER(TRIM(AI110))="PIPE")),IF(OR(AG110="",AJ110="",AK110=""),"INFO",IF(AND(AG110&gt;=AJ110,AG110&lt;=AK110),"OK","CHECK")),IF(AG110="","INFO",IF(ABS(AG110)&lt;=Inputs!$B$54,"OK","CHECK")))))</f>
        <v/>
      </c>
      <c r="AI110" s="17">
        <f>IF(A110="","",IF(E110="","",IFERROR(INDEX($B$4:$B$204,MATCH(E110,$A$4:$A$204,0)),"")))</f>
        <v/>
      </c>
      <c r="AJ110" s="17">
        <f>IF(A110="","",IF(OR(AND(UPPER(TRIM(B110))="SWALE",UPPER(TRIM(AI110))="PIPE"),AND(UPPER(TRIM(B110))="TRENCH",UPPER(TRIM(AI110))="PIPE")),Inputs!$B$55,0))</f>
        <v/>
      </c>
      <c r="AK110" s="17">
        <f>IF(A110="","",IF(OR(AND(UPPER(TRIM(B110))="SWALE",UPPER(TRIM(AI110))="PIPE"),AND(UPPER(TRIM(B110))="TRENCH",UPPER(TRIM(AI110))="PIPE")),Inputs!$B$56,Inputs!$B$54))</f>
        <v/>
      </c>
      <c r="AL110" s="4">
        <f>IF(A110="","",IF(E110="","TERMINAL",IF(OR(AND(UPPER(TRIM(B110))="SWALE",UPPER(TRIM(AI110))="PIPE"),AND(UPPER(TRIM(B110))="TRENCH",UPPER(TRIM(AI110))="PIPE")),IF(OR(AG110="",AJ110="",AK110=""),"INFO",IF(AND(AG110&gt;=AJ110,AG110&lt;=AK110),"OK","CHECK")),"N/A")))</f>
        <v/>
      </c>
    </row>
    <row r="111">
      <c r="A111" s="4" t="n"/>
      <c r="B111" s="4" t="n"/>
      <c r="C111" s="4" t="n"/>
      <c r="D111" s="4" t="n"/>
      <c r="E111" s="4" t="n"/>
      <c r="F111" s="7" t="n"/>
      <c r="G111" s="7" t="n"/>
      <c r="H111" s="7" t="n"/>
      <c r="I111" s="8">
        <f>IF(A111="","",IF(H111&lt;&gt;"",H111,IF(UPPER(TRIM(B111))="PIPE",Inputs!$B$7,IF(UPPER(TRIM(B111))="SWALE",Inputs!$B$8,Inputs!$B$9))))</f>
        <v/>
      </c>
      <c r="J111" s="7" t="n"/>
      <c r="K111" s="7" t="n"/>
      <c r="L111" s="7" t="n"/>
      <c r="M111" s="7" t="n"/>
      <c r="N111" s="7" t="n">
        <v>0</v>
      </c>
      <c r="O111" s="8">
        <f>IF(A111="","",SUMIFS(Zones_tributaires!$I:$I,Zones_tributaires!$J:$J,$A111))</f>
        <v/>
      </c>
      <c r="P111" s="8">
        <f>IF(A111="","",SUMIFS($Q$4:$Q$204,$E$4:$E$204,$A111))</f>
        <v/>
      </c>
      <c r="Q111" s="8">
        <f>IF(A111="","",(O111+P111)*Inputs!$B$6)</f>
        <v/>
      </c>
      <c r="R111" s="8">
        <f>IF(A111="","",IF(UPPER(TRIM(B111))="PIPE",PI()*(J111/1000)^2/4,IF(OR(K111="",L111=""),"",L111*(K111+M111*L111))))</f>
        <v/>
      </c>
      <c r="S111" s="8">
        <f>IF(A111="","",IF(UPPER(TRIM(B111))="PIPE",(J111/1000)/4,IF(OR(R111="",K111="",L111=""),"",R111/(K111+2*L111*SQRT(1+M111^2)))))</f>
        <v/>
      </c>
      <c r="T111" s="8">
        <f>IF(A111="","",IF(OR(I111="",R111="",S111="",G111=""),"",(1/I111)*R111*(S111^(2/3))*SQRT(G111)))</f>
        <v/>
      </c>
      <c r="U111" s="8">
        <f>IF(OR(T111="",Q111=""),"",Q111/(T111*Inputs!$B$19))</f>
        <v/>
      </c>
      <c r="V111" s="8">
        <f>IF(OR(R111="",Q111=""),"",Q111/R111)</f>
        <v/>
      </c>
      <c r="W111" s="8">
        <f>IF(OR(R111="",T111=""),"",T111/R111)</f>
        <v/>
      </c>
      <c r="X111" s="8">
        <f>IF(A111="","",IF(OR(UPPER(TRIM(Inputs!$B$15))="MANNING",UPPER(TRIM(Inputs!$B$15))="M"),W111,IF(OR(UPPER(TRIM(Inputs!$B$15))="MAX",UPPER(TRIM(Inputs!$B$15))="X"),MAX(V111,W111),V111)))</f>
        <v/>
      </c>
      <c r="Y111" s="8">
        <f>IF(A111="","",IF(UPPER(TRIM(B111))="TRENCH",K111*L111*N111,IF(UPPER(TRIM(B111))="SWALE",K111*L111,0)))</f>
        <v/>
      </c>
      <c r="Z111" s="8">
        <f>IF(OR(Y111="",F111=""),"",Y111*F111)</f>
        <v/>
      </c>
      <c r="AA111" s="4">
        <f>IF(A111="","",IF(OR(U111&gt;1,AND(X111&lt;&gt;"",X111&lt;Inputs!$B$16),AND(X111&lt;&gt;"",X111&gt;Inputs!$B$17),G111&lt;Inputs!$B$18,AH111="CHECK"),"CHECK","OK"))</f>
        <v/>
      </c>
      <c r="AB111" s="4" t="n"/>
      <c r="AC111" s="7" t="n"/>
      <c r="AD111" s="8">
        <f>IF(A111="","",IF(AC111&lt;&gt;"",AC111,IF(E111="",Inputs!$B$38,IFERROR(INDEX($AE$4:$AE$204,MATCH(E111,$A$4:$A$204,0))+IF(OR(AND(UPPER(TRIM(B111))="SWALE",UPPER(TRIM(AI111))="PIPE"),AND(UPPER(TRIM(B111))="TRENCH",UPPER(TRIM(AI111))="PIPE")),Inputs!$B$57,0),""))))</f>
        <v/>
      </c>
      <c r="AE111" s="8">
        <f>IF(OR(AD111="",F111="",G111=""),"",AD111+F111*G111)</f>
        <v/>
      </c>
      <c r="AF111" s="8">
        <f>IF(OR(E111="",A111=""),"",IFERROR(INDEX($AE$4:$AE$204,MATCH(E111,$A$4:$A$204,0)),""))</f>
        <v/>
      </c>
      <c r="AG111" s="8">
        <f>IF(OR(AD111="",AF111=""),"",AD111-AF111)</f>
        <v/>
      </c>
      <c r="AH111" s="4">
        <f>IF(A111="","",IF(E111="","TERMINAL",IF(OR(AND(UPPER(TRIM(B111))="SWALE",UPPER(TRIM(AI111))="PIPE"),AND(UPPER(TRIM(B111))="TRENCH",UPPER(TRIM(AI111))="PIPE")),IF(OR(AG111="",AJ111="",AK111=""),"INFO",IF(AND(AG111&gt;=AJ111,AG111&lt;=AK111),"OK","CHECK")),IF(AG111="","INFO",IF(ABS(AG111)&lt;=Inputs!$B$54,"OK","CHECK")))))</f>
        <v/>
      </c>
      <c r="AI111" s="17">
        <f>IF(A111="","",IF(E111="","",IFERROR(INDEX($B$4:$B$204,MATCH(E111,$A$4:$A$204,0)),"")))</f>
        <v/>
      </c>
      <c r="AJ111" s="17">
        <f>IF(A111="","",IF(OR(AND(UPPER(TRIM(B111))="SWALE",UPPER(TRIM(AI111))="PIPE"),AND(UPPER(TRIM(B111))="TRENCH",UPPER(TRIM(AI111))="PIPE")),Inputs!$B$55,0))</f>
        <v/>
      </c>
      <c r="AK111" s="17">
        <f>IF(A111="","",IF(OR(AND(UPPER(TRIM(B111))="SWALE",UPPER(TRIM(AI111))="PIPE"),AND(UPPER(TRIM(B111))="TRENCH",UPPER(TRIM(AI111))="PIPE")),Inputs!$B$56,Inputs!$B$54))</f>
        <v/>
      </c>
      <c r="AL111" s="4">
        <f>IF(A111="","",IF(E111="","TERMINAL",IF(OR(AND(UPPER(TRIM(B111))="SWALE",UPPER(TRIM(AI111))="PIPE"),AND(UPPER(TRIM(B111))="TRENCH",UPPER(TRIM(AI111))="PIPE")),IF(OR(AG111="",AJ111="",AK111=""),"INFO",IF(AND(AG111&gt;=AJ111,AG111&lt;=AK111),"OK","CHECK")),"N/A")))</f>
        <v/>
      </c>
    </row>
    <row r="112">
      <c r="A112" s="4" t="n"/>
      <c r="B112" s="4" t="n"/>
      <c r="C112" s="4" t="n"/>
      <c r="D112" s="4" t="n"/>
      <c r="E112" s="4" t="n"/>
      <c r="F112" s="7" t="n"/>
      <c r="G112" s="7" t="n"/>
      <c r="H112" s="7" t="n"/>
      <c r="I112" s="8">
        <f>IF(A112="","",IF(H112&lt;&gt;"",H112,IF(UPPER(TRIM(B112))="PIPE",Inputs!$B$7,IF(UPPER(TRIM(B112))="SWALE",Inputs!$B$8,Inputs!$B$9))))</f>
        <v/>
      </c>
      <c r="J112" s="7" t="n"/>
      <c r="K112" s="7" t="n"/>
      <c r="L112" s="7" t="n"/>
      <c r="M112" s="7" t="n"/>
      <c r="N112" s="7" t="n">
        <v>0</v>
      </c>
      <c r="O112" s="8">
        <f>IF(A112="","",SUMIFS(Zones_tributaires!$I:$I,Zones_tributaires!$J:$J,$A112))</f>
        <v/>
      </c>
      <c r="P112" s="8">
        <f>IF(A112="","",SUMIFS($Q$4:$Q$204,$E$4:$E$204,$A112))</f>
        <v/>
      </c>
      <c r="Q112" s="8">
        <f>IF(A112="","",(O112+P112)*Inputs!$B$6)</f>
        <v/>
      </c>
      <c r="R112" s="8">
        <f>IF(A112="","",IF(UPPER(TRIM(B112))="PIPE",PI()*(J112/1000)^2/4,IF(OR(K112="",L112=""),"",L112*(K112+M112*L112))))</f>
        <v/>
      </c>
      <c r="S112" s="8">
        <f>IF(A112="","",IF(UPPER(TRIM(B112))="PIPE",(J112/1000)/4,IF(OR(R112="",K112="",L112=""),"",R112/(K112+2*L112*SQRT(1+M112^2)))))</f>
        <v/>
      </c>
      <c r="T112" s="8">
        <f>IF(A112="","",IF(OR(I112="",R112="",S112="",G112=""),"",(1/I112)*R112*(S112^(2/3))*SQRT(G112)))</f>
        <v/>
      </c>
      <c r="U112" s="8">
        <f>IF(OR(T112="",Q112=""),"",Q112/(T112*Inputs!$B$19))</f>
        <v/>
      </c>
      <c r="V112" s="8">
        <f>IF(OR(R112="",Q112=""),"",Q112/R112)</f>
        <v/>
      </c>
      <c r="W112" s="8">
        <f>IF(OR(R112="",T112=""),"",T112/R112)</f>
        <v/>
      </c>
      <c r="X112" s="8">
        <f>IF(A112="","",IF(OR(UPPER(TRIM(Inputs!$B$15))="MANNING",UPPER(TRIM(Inputs!$B$15))="M"),W112,IF(OR(UPPER(TRIM(Inputs!$B$15))="MAX",UPPER(TRIM(Inputs!$B$15))="X"),MAX(V112,W112),V112)))</f>
        <v/>
      </c>
      <c r="Y112" s="8">
        <f>IF(A112="","",IF(UPPER(TRIM(B112))="TRENCH",K112*L112*N112,IF(UPPER(TRIM(B112))="SWALE",K112*L112,0)))</f>
        <v/>
      </c>
      <c r="Z112" s="8">
        <f>IF(OR(Y112="",F112=""),"",Y112*F112)</f>
        <v/>
      </c>
      <c r="AA112" s="4">
        <f>IF(A112="","",IF(OR(U112&gt;1,AND(X112&lt;&gt;"",X112&lt;Inputs!$B$16),AND(X112&lt;&gt;"",X112&gt;Inputs!$B$17),G112&lt;Inputs!$B$18,AH112="CHECK"),"CHECK","OK"))</f>
        <v/>
      </c>
      <c r="AB112" s="4" t="n"/>
      <c r="AC112" s="7" t="n"/>
      <c r="AD112" s="8">
        <f>IF(A112="","",IF(AC112&lt;&gt;"",AC112,IF(E112="",Inputs!$B$38,IFERROR(INDEX($AE$4:$AE$204,MATCH(E112,$A$4:$A$204,0))+IF(OR(AND(UPPER(TRIM(B112))="SWALE",UPPER(TRIM(AI112))="PIPE"),AND(UPPER(TRIM(B112))="TRENCH",UPPER(TRIM(AI112))="PIPE")),Inputs!$B$57,0),""))))</f>
        <v/>
      </c>
      <c r="AE112" s="8">
        <f>IF(OR(AD112="",F112="",G112=""),"",AD112+F112*G112)</f>
        <v/>
      </c>
      <c r="AF112" s="8">
        <f>IF(OR(E112="",A112=""),"",IFERROR(INDEX($AE$4:$AE$204,MATCH(E112,$A$4:$A$204,0)),""))</f>
        <v/>
      </c>
      <c r="AG112" s="8">
        <f>IF(OR(AD112="",AF112=""),"",AD112-AF112)</f>
        <v/>
      </c>
      <c r="AH112" s="4">
        <f>IF(A112="","",IF(E112="","TERMINAL",IF(OR(AND(UPPER(TRIM(B112))="SWALE",UPPER(TRIM(AI112))="PIPE"),AND(UPPER(TRIM(B112))="TRENCH",UPPER(TRIM(AI112))="PIPE")),IF(OR(AG112="",AJ112="",AK112=""),"INFO",IF(AND(AG112&gt;=AJ112,AG112&lt;=AK112),"OK","CHECK")),IF(AG112="","INFO",IF(ABS(AG112)&lt;=Inputs!$B$54,"OK","CHECK")))))</f>
        <v/>
      </c>
      <c r="AI112" s="17">
        <f>IF(A112="","",IF(E112="","",IFERROR(INDEX($B$4:$B$204,MATCH(E112,$A$4:$A$204,0)),"")))</f>
        <v/>
      </c>
      <c r="AJ112" s="17">
        <f>IF(A112="","",IF(OR(AND(UPPER(TRIM(B112))="SWALE",UPPER(TRIM(AI112))="PIPE"),AND(UPPER(TRIM(B112))="TRENCH",UPPER(TRIM(AI112))="PIPE")),Inputs!$B$55,0))</f>
        <v/>
      </c>
      <c r="AK112" s="17">
        <f>IF(A112="","",IF(OR(AND(UPPER(TRIM(B112))="SWALE",UPPER(TRIM(AI112))="PIPE"),AND(UPPER(TRIM(B112))="TRENCH",UPPER(TRIM(AI112))="PIPE")),Inputs!$B$56,Inputs!$B$54))</f>
        <v/>
      </c>
      <c r="AL112" s="4">
        <f>IF(A112="","",IF(E112="","TERMINAL",IF(OR(AND(UPPER(TRIM(B112))="SWALE",UPPER(TRIM(AI112))="PIPE"),AND(UPPER(TRIM(B112))="TRENCH",UPPER(TRIM(AI112))="PIPE")),IF(OR(AG112="",AJ112="",AK112=""),"INFO",IF(AND(AG112&gt;=AJ112,AG112&lt;=AK112),"OK","CHECK")),"N/A")))</f>
        <v/>
      </c>
    </row>
    <row r="113">
      <c r="A113" s="4" t="n"/>
      <c r="B113" s="4" t="n"/>
      <c r="C113" s="4" t="n"/>
      <c r="D113" s="4" t="n"/>
      <c r="E113" s="4" t="n"/>
      <c r="F113" s="7" t="n"/>
      <c r="G113" s="7" t="n"/>
      <c r="H113" s="7" t="n"/>
      <c r="I113" s="8">
        <f>IF(A113="","",IF(H113&lt;&gt;"",H113,IF(UPPER(TRIM(B113))="PIPE",Inputs!$B$7,IF(UPPER(TRIM(B113))="SWALE",Inputs!$B$8,Inputs!$B$9))))</f>
        <v/>
      </c>
      <c r="J113" s="7" t="n"/>
      <c r="K113" s="7" t="n"/>
      <c r="L113" s="7" t="n"/>
      <c r="M113" s="7" t="n"/>
      <c r="N113" s="7" t="n">
        <v>0</v>
      </c>
      <c r="O113" s="8">
        <f>IF(A113="","",SUMIFS(Zones_tributaires!$I:$I,Zones_tributaires!$J:$J,$A113))</f>
        <v/>
      </c>
      <c r="P113" s="8">
        <f>IF(A113="","",SUMIFS($Q$4:$Q$204,$E$4:$E$204,$A113))</f>
        <v/>
      </c>
      <c r="Q113" s="8">
        <f>IF(A113="","",(O113+P113)*Inputs!$B$6)</f>
        <v/>
      </c>
      <c r="R113" s="8">
        <f>IF(A113="","",IF(UPPER(TRIM(B113))="PIPE",PI()*(J113/1000)^2/4,IF(OR(K113="",L113=""),"",L113*(K113+M113*L113))))</f>
        <v/>
      </c>
      <c r="S113" s="8">
        <f>IF(A113="","",IF(UPPER(TRIM(B113))="PIPE",(J113/1000)/4,IF(OR(R113="",K113="",L113=""),"",R113/(K113+2*L113*SQRT(1+M113^2)))))</f>
        <v/>
      </c>
      <c r="T113" s="8">
        <f>IF(A113="","",IF(OR(I113="",R113="",S113="",G113=""),"",(1/I113)*R113*(S113^(2/3))*SQRT(G113)))</f>
        <v/>
      </c>
      <c r="U113" s="8">
        <f>IF(OR(T113="",Q113=""),"",Q113/(T113*Inputs!$B$19))</f>
        <v/>
      </c>
      <c r="V113" s="8">
        <f>IF(OR(R113="",Q113=""),"",Q113/R113)</f>
        <v/>
      </c>
      <c r="W113" s="8">
        <f>IF(OR(R113="",T113=""),"",T113/R113)</f>
        <v/>
      </c>
      <c r="X113" s="8">
        <f>IF(A113="","",IF(OR(UPPER(TRIM(Inputs!$B$15))="MANNING",UPPER(TRIM(Inputs!$B$15))="M"),W113,IF(OR(UPPER(TRIM(Inputs!$B$15))="MAX",UPPER(TRIM(Inputs!$B$15))="X"),MAX(V113,W113),V113)))</f>
        <v/>
      </c>
      <c r="Y113" s="8">
        <f>IF(A113="","",IF(UPPER(TRIM(B113))="TRENCH",K113*L113*N113,IF(UPPER(TRIM(B113))="SWALE",K113*L113,0)))</f>
        <v/>
      </c>
      <c r="Z113" s="8">
        <f>IF(OR(Y113="",F113=""),"",Y113*F113)</f>
        <v/>
      </c>
      <c r="AA113" s="4">
        <f>IF(A113="","",IF(OR(U113&gt;1,AND(X113&lt;&gt;"",X113&lt;Inputs!$B$16),AND(X113&lt;&gt;"",X113&gt;Inputs!$B$17),G113&lt;Inputs!$B$18,AH113="CHECK"),"CHECK","OK"))</f>
        <v/>
      </c>
      <c r="AB113" s="4" t="n"/>
      <c r="AC113" s="7" t="n"/>
      <c r="AD113" s="8">
        <f>IF(A113="","",IF(AC113&lt;&gt;"",AC113,IF(E113="",Inputs!$B$38,IFERROR(INDEX($AE$4:$AE$204,MATCH(E113,$A$4:$A$204,0))+IF(OR(AND(UPPER(TRIM(B113))="SWALE",UPPER(TRIM(AI113))="PIPE"),AND(UPPER(TRIM(B113))="TRENCH",UPPER(TRIM(AI113))="PIPE")),Inputs!$B$57,0),""))))</f>
        <v/>
      </c>
      <c r="AE113" s="8">
        <f>IF(OR(AD113="",F113="",G113=""),"",AD113+F113*G113)</f>
        <v/>
      </c>
      <c r="AF113" s="8">
        <f>IF(OR(E113="",A113=""),"",IFERROR(INDEX($AE$4:$AE$204,MATCH(E113,$A$4:$A$204,0)),""))</f>
        <v/>
      </c>
      <c r="AG113" s="8">
        <f>IF(OR(AD113="",AF113=""),"",AD113-AF113)</f>
        <v/>
      </c>
      <c r="AH113" s="4">
        <f>IF(A113="","",IF(E113="","TERMINAL",IF(OR(AND(UPPER(TRIM(B113))="SWALE",UPPER(TRIM(AI113))="PIPE"),AND(UPPER(TRIM(B113))="TRENCH",UPPER(TRIM(AI113))="PIPE")),IF(OR(AG113="",AJ113="",AK113=""),"INFO",IF(AND(AG113&gt;=AJ113,AG113&lt;=AK113),"OK","CHECK")),IF(AG113="","INFO",IF(ABS(AG113)&lt;=Inputs!$B$54,"OK","CHECK")))))</f>
        <v/>
      </c>
      <c r="AI113" s="17">
        <f>IF(A113="","",IF(E113="","",IFERROR(INDEX($B$4:$B$204,MATCH(E113,$A$4:$A$204,0)),"")))</f>
        <v/>
      </c>
      <c r="AJ113" s="17">
        <f>IF(A113="","",IF(OR(AND(UPPER(TRIM(B113))="SWALE",UPPER(TRIM(AI113))="PIPE"),AND(UPPER(TRIM(B113))="TRENCH",UPPER(TRIM(AI113))="PIPE")),Inputs!$B$55,0))</f>
        <v/>
      </c>
      <c r="AK113" s="17">
        <f>IF(A113="","",IF(OR(AND(UPPER(TRIM(B113))="SWALE",UPPER(TRIM(AI113))="PIPE"),AND(UPPER(TRIM(B113))="TRENCH",UPPER(TRIM(AI113))="PIPE")),Inputs!$B$56,Inputs!$B$54))</f>
        <v/>
      </c>
      <c r="AL113" s="4">
        <f>IF(A113="","",IF(E113="","TERMINAL",IF(OR(AND(UPPER(TRIM(B113))="SWALE",UPPER(TRIM(AI113))="PIPE"),AND(UPPER(TRIM(B113))="TRENCH",UPPER(TRIM(AI113))="PIPE")),IF(OR(AG113="",AJ113="",AK113=""),"INFO",IF(AND(AG113&gt;=AJ113,AG113&lt;=AK113),"OK","CHECK")),"N/A")))</f>
        <v/>
      </c>
    </row>
    <row r="114">
      <c r="A114" s="4" t="n"/>
      <c r="B114" s="4" t="n"/>
      <c r="C114" s="4" t="n"/>
      <c r="D114" s="4" t="n"/>
      <c r="E114" s="4" t="n"/>
      <c r="F114" s="7" t="n"/>
      <c r="G114" s="7" t="n"/>
      <c r="H114" s="7" t="n"/>
      <c r="I114" s="8">
        <f>IF(A114="","",IF(H114&lt;&gt;"",H114,IF(UPPER(TRIM(B114))="PIPE",Inputs!$B$7,IF(UPPER(TRIM(B114))="SWALE",Inputs!$B$8,Inputs!$B$9))))</f>
        <v/>
      </c>
      <c r="J114" s="7" t="n"/>
      <c r="K114" s="7" t="n"/>
      <c r="L114" s="7" t="n"/>
      <c r="M114" s="7" t="n"/>
      <c r="N114" s="7" t="n">
        <v>0</v>
      </c>
      <c r="O114" s="8">
        <f>IF(A114="","",SUMIFS(Zones_tributaires!$I:$I,Zones_tributaires!$J:$J,$A114))</f>
        <v/>
      </c>
      <c r="P114" s="8">
        <f>IF(A114="","",SUMIFS($Q$4:$Q$204,$E$4:$E$204,$A114))</f>
        <v/>
      </c>
      <c r="Q114" s="8">
        <f>IF(A114="","",(O114+P114)*Inputs!$B$6)</f>
        <v/>
      </c>
      <c r="R114" s="8">
        <f>IF(A114="","",IF(UPPER(TRIM(B114))="PIPE",PI()*(J114/1000)^2/4,IF(OR(K114="",L114=""),"",L114*(K114+M114*L114))))</f>
        <v/>
      </c>
      <c r="S114" s="8">
        <f>IF(A114="","",IF(UPPER(TRIM(B114))="PIPE",(J114/1000)/4,IF(OR(R114="",K114="",L114=""),"",R114/(K114+2*L114*SQRT(1+M114^2)))))</f>
        <v/>
      </c>
      <c r="T114" s="8">
        <f>IF(A114="","",IF(OR(I114="",R114="",S114="",G114=""),"",(1/I114)*R114*(S114^(2/3))*SQRT(G114)))</f>
        <v/>
      </c>
      <c r="U114" s="8">
        <f>IF(OR(T114="",Q114=""),"",Q114/(T114*Inputs!$B$19))</f>
        <v/>
      </c>
      <c r="V114" s="8">
        <f>IF(OR(R114="",Q114=""),"",Q114/R114)</f>
        <v/>
      </c>
      <c r="W114" s="8">
        <f>IF(OR(R114="",T114=""),"",T114/R114)</f>
        <v/>
      </c>
      <c r="X114" s="8">
        <f>IF(A114="","",IF(OR(UPPER(TRIM(Inputs!$B$15))="MANNING",UPPER(TRIM(Inputs!$B$15))="M"),W114,IF(OR(UPPER(TRIM(Inputs!$B$15))="MAX",UPPER(TRIM(Inputs!$B$15))="X"),MAX(V114,W114),V114)))</f>
        <v/>
      </c>
      <c r="Y114" s="8">
        <f>IF(A114="","",IF(UPPER(TRIM(B114))="TRENCH",K114*L114*N114,IF(UPPER(TRIM(B114))="SWALE",K114*L114,0)))</f>
        <v/>
      </c>
      <c r="Z114" s="8">
        <f>IF(OR(Y114="",F114=""),"",Y114*F114)</f>
        <v/>
      </c>
      <c r="AA114" s="4">
        <f>IF(A114="","",IF(OR(U114&gt;1,AND(X114&lt;&gt;"",X114&lt;Inputs!$B$16),AND(X114&lt;&gt;"",X114&gt;Inputs!$B$17),G114&lt;Inputs!$B$18,AH114="CHECK"),"CHECK","OK"))</f>
        <v/>
      </c>
      <c r="AB114" s="4" t="n"/>
      <c r="AC114" s="7" t="n"/>
      <c r="AD114" s="8">
        <f>IF(A114="","",IF(AC114&lt;&gt;"",AC114,IF(E114="",Inputs!$B$38,IFERROR(INDEX($AE$4:$AE$204,MATCH(E114,$A$4:$A$204,0))+IF(OR(AND(UPPER(TRIM(B114))="SWALE",UPPER(TRIM(AI114))="PIPE"),AND(UPPER(TRIM(B114))="TRENCH",UPPER(TRIM(AI114))="PIPE")),Inputs!$B$57,0),""))))</f>
        <v/>
      </c>
      <c r="AE114" s="8">
        <f>IF(OR(AD114="",F114="",G114=""),"",AD114+F114*G114)</f>
        <v/>
      </c>
      <c r="AF114" s="8">
        <f>IF(OR(E114="",A114=""),"",IFERROR(INDEX($AE$4:$AE$204,MATCH(E114,$A$4:$A$204,0)),""))</f>
        <v/>
      </c>
      <c r="AG114" s="8">
        <f>IF(OR(AD114="",AF114=""),"",AD114-AF114)</f>
        <v/>
      </c>
      <c r="AH114" s="4">
        <f>IF(A114="","",IF(E114="","TERMINAL",IF(OR(AND(UPPER(TRIM(B114))="SWALE",UPPER(TRIM(AI114))="PIPE"),AND(UPPER(TRIM(B114))="TRENCH",UPPER(TRIM(AI114))="PIPE")),IF(OR(AG114="",AJ114="",AK114=""),"INFO",IF(AND(AG114&gt;=AJ114,AG114&lt;=AK114),"OK","CHECK")),IF(AG114="","INFO",IF(ABS(AG114)&lt;=Inputs!$B$54,"OK","CHECK")))))</f>
        <v/>
      </c>
      <c r="AI114" s="17">
        <f>IF(A114="","",IF(E114="","",IFERROR(INDEX($B$4:$B$204,MATCH(E114,$A$4:$A$204,0)),"")))</f>
        <v/>
      </c>
      <c r="AJ114" s="17">
        <f>IF(A114="","",IF(OR(AND(UPPER(TRIM(B114))="SWALE",UPPER(TRIM(AI114))="PIPE"),AND(UPPER(TRIM(B114))="TRENCH",UPPER(TRIM(AI114))="PIPE")),Inputs!$B$55,0))</f>
        <v/>
      </c>
      <c r="AK114" s="17">
        <f>IF(A114="","",IF(OR(AND(UPPER(TRIM(B114))="SWALE",UPPER(TRIM(AI114))="PIPE"),AND(UPPER(TRIM(B114))="TRENCH",UPPER(TRIM(AI114))="PIPE")),Inputs!$B$56,Inputs!$B$54))</f>
        <v/>
      </c>
      <c r="AL114" s="4">
        <f>IF(A114="","",IF(E114="","TERMINAL",IF(OR(AND(UPPER(TRIM(B114))="SWALE",UPPER(TRIM(AI114))="PIPE"),AND(UPPER(TRIM(B114))="TRENCH",UPPER(TRIM(AI114))="PIPE")),IF(OR(AG114="",AJ114="",AK114=""),"INFO",IF(AND(AG114&gt;=AJ114,AG114&lt;=AK114),"OK","CHECK")),"N/A")))</f>
        <v/>
      </c>
    </row>
    <row r="115">
      <c r="A115" s="4" t="n"/>
      <c r="B115" s="4" t="n"/>
      <c r="C115" s="4" t="n"/>
      <c r="D115" s="4" t="n"/>
      <c r="E115" s="4" t="n"/>
      <c r="F115" s="7" t="n"/>
      <c r="G115" s="7" t="n"/>
      <c r="H115" s="7" t="n"/>
      <c r="I115" s="8">
        <f>IF(A115="","",IF(H115&lt;&gt;"",H115,IF(UPPER(TRIM(B115))="PIPE",Inputs!$B$7,IF(UPPER(TRIM(B115))="SWALE",Inputs!$B$8,Inputs!$B$9))))</f>
        <v/>
      </c>
      <c r="J115" s="7" t="n"/>
      <c r="K115" s="7" t="n"/>
      <c r="L115" s="7" t="n"/>
      <c r="M115" s="7" t="n"/>
      <c r="N115" s="7" t="n">
        <v>0</v>
      </c>
      <c r="O115" s="8">
        <f>IF(A115="","",SUMIFS(Zones_tributaires!$I:$I,Zones_tributaires!$J:$J,$A115))</f>
        <v/>
      </c>
      <c r="P115" s="8">
        <f>IF(A115="","",SUMIFS($Q$4:$Q$204,$E$4:$E$204,$A115))</f>
        <v/>
      </c>
      <c r="Q115" s="8">
        <f>IF(A115="","",(O115+P115)*Inputs!$B$6)</f>
        <v/>
      </c>
      <c r="R115" s="8">
        <f>IF(A115="","",IF(UPPER(TRIM(B115))="PIPE",PI()*(J115/1000)^2/4,IF(OR(K115="",L115=""),"",L115*(K115+M115*L115))))</f>
        <v/>
      </c>
      <c r="S115" s="8">
        <f>IF(A115="","",IF(UPPER(TRIM(B115))="PIPE",(J115/1000)/4,IF(OR(R115="",K115="",L115=""),"",R115/(K115+2*L115*SQRT(1+M115^2)))))</f>
        <v/>
      </c>
      <c r="T115" s="8">
        <f>IF(A115="","",IF(OR(I115="",R115="",S115="",G115=""),"",(1/I115)*R115*(S115^(2/3))*SQRT(G115)))</f>
        <v/>
      </c>
      <c r="U115" s="8">
        <f>IF(OR(T115="",Q115=""),"",Q115/(T115*Inputs!$B$19))</f>
        <v/>
      </c>
      <c r="V115" s="8">
        <f>IF(OR(R115="",Q115=""),"",Q115/R115)</f>
        <v/>
      </c>
      <c r="W115" s="8">
        <f>IF(OR(R115="",T115=""),"",T115/R115)</f>
        <v/>
      </c>
      <c r="X115" s="8">
        <f>IF(A115="","",IF(OR(UPPER(TRIM(Inputs!$B$15))="MANNING",UPPER(TRIM(Inputs!$B$15))="M"),W115,IF(OR(UPPER(TRIM(Inputs!$B$15))="MAX",UPPER(TRIM(Inputs!$B$15))="X"),MAX(V115,W115),V115)))</f>
        <v/>
      </c>
      <c r="Y115" s="8">
        <f>IF(A115="","",IF(UPPER(TRIM(B115))="TRENCH",K115*L115*N115,IF(UPPER(TRIM(B115))="SWALE",K115*L115,0)))</f>
        <v/>
      </c>
      <c r="Z115" s="8">
        <f>IF(OR(Y115="",F115=""),"",Y115*F115)</f>
        <v/>
      </c>
      <c r="AA115" s="4">
        <f>IF(A115="","",IF(OR(U115&gt;1,AND(X115&lt;&gt;"",X115&lt;Inputs!$B$16),AND(X115&lt;&gt;"",X115&gt;Inputs!$B$17),G115&lt;Inputs!$B$18,AH115="CHECK"),"CHECK","OK"))</f>
        <v/>
      </c>
      <c r="AB115" s="4" t="n"/>
      <c r="AC115" s="7" t="n"/>
      <c r="AD115" s="8">
        <f>IF(A115="","",IF(AC115&lt;&gt;"",AC115,IF(E115="",Inputs!$B$38,IFERROR(INDEX($AE$4:$AE$204,MATCH(E115,$A$4:$A$204,0))+IF(OR(AND(UPPER(TRIM(B115))="SWALE",UPPER(TRIM(AI115))="PIPE"),AND(UPPER(TRIM(B115))="TRENCH",UPPER(TRIM(AI115))="PIPE")),Inputs!$B$57,0),""))))</f>
        <v/>
      </c>
      <c r="AE115" s="8">
        <f>IF(OR(AD115="",F115="",G115=""),"",AD115+F115*G115)</f>
        <v/>
      </c>
      <c r="AF115" s="8">
        <f>IF(OR(E115="",A115=""),"",IFERROR(INDEX($AE$4:$AE$204,MATCH(E115,$A$4:$A$204,0)),""))</f>
        <v/>
      </c>
      <c r="AG115" s="8">
        <f>IF(OR(AD115="",AF115=""),"",AD115-AF115)</f>
        <v/>
      </c>
      <c r="AH115" s="4">
        <f>IF(A115="","",IF(E115="","TERMINAL",IF(OR(AND(UPPER(TRIM(B115))="SWALE",UPPER(TRIM(AI115))="PIPE"),AND(UPPER(TRIM(B115))="TRENCH",UPPER(TRIM(AI115))="PIPE")),IF(OR(AG115="",AJ115="",AK115=""),"INFO",IF(AND(AG115&gt;=AJ115,AG115&lt;=AK115),"OK","CHECK")),IF(AG115="","INFO",IF(ABS(AG115)&lt;=Inputs!$B$54,"OK","CHECK")))))</f>
        <v/>
      </c>
      <c r="AI115" s="17">
        <f>IF(A115="","",IF(E115="","",IFERROR(INDEX($B$4:$B$204,MATCH(E115,$A$4:$A$204,0)),"")))</f>
        <v/>
      </c>
      <c r="AJ115" s="17">
        <f>IF(A115="","",IF(OR(AND(UPPER(TRIM(B115))="SWALE",UPPER(TRIM(AI115))="PIPE"),AND(UPPER(TRIM(B115))="TRENCH",UPPER(TRIM(AI115))="PIPE")),Inputs!$B$55,0))</f>
        <v/>
      </c>
      <c r="AK115" s="17">
        <f>IF(A115="","",IF(OR(AND(UPPER(TRIM(B115))="SWALE",UPPER(TRIM(AI115))="PIPE"),AND(UPPER(TRIM(B115))="TRENCH",UPPER(TRIM(AI115))="PIPE")),Inputs!$B$56,Inputs!$B$54))</f>
        <v/>
      </c>
      <c r="AL115" s="4">
        <f>IF(A115="","",IF(E115="","TERMINAL",IF(OR(AND(UPPER(TRIM(B115))="SWALE",UPPER(TRIM(AI115))="PIPE"),AND(UPPER(TRIM(B115))="TRENCH",UPPER(TRIM(AI115))="PIPE")),IF(OR(AG115="",AJ115="",AK115=""),"INFO",IF(AND(AG115&gt;=AJ115,AG115&lt;=AK115),"OK","CHECK")),"N/A")))</f>
        <v/>
      </c>
    </row>
    <row r="116">
      <c r="A116" s="4" t="n"/>
      <c r="B116" s="4" t="n"/>
      <c r="C116" s="4" t="n"/>
      <c r="D116" s="4" t="n"/>
      <c r="E116" s="4" t="n"/>
      <c r="F116" s="7" t="n"/>
      <c r="G116" s="7" t="n"/>
      <c r="H116" s="7" t="n"/>
      <c r="I116" s="8">
        <f>IF(A116="","",IF(H116&lt;&gt;"",H116,IF(UPPER(TRIM(B116))="PIPE",Inputs!$B$7,IF(UPPER(TRIM(B116))="SWALE",Inputs!$B$8,Inputs!$B$9))))</f>
        <v/>
      </c>
      <c r="J116" s="7" t="n"/>
      <c r="K116" s="7" t="n"/>
      <c r="L116" s="7" t="n"/>
      <c r="M116" s="7" t="n"/>
      <c r="N116" s="7" t="n">
        <v>0</v>
      </c>
      <c r="O116" s="8">
        <f>IF(A116="","",SUMIFS(Zones_tributaires!$I:$I,Zones_tributaires!$J:$J,$A116))</f>
        <v/>
      </c>
      <c r="P116" s="8">
        <f>IF(A116="","",SUMIFS($Q$4:$Q$204,$E$4:$E$204,$A116))</f>
        <v/>
      </c>
      <c r="Q116" s="8">
        <f>IF(A116="","",(O116+P116)*Inputs!$B$6)</f>
        <v/>
      </c>
      <c r="R116" s="8">
        <f>IF(A116="","",IF(UPPER(TRIM(B116))="PIPE",PI()*(J116/1000)^2/4,IF(OR(K116="",L116=""),"",L116*(K116+M116*L116))))</f>
        <v/>
      </c>
      <c r="S116" s="8">
        <f>IF(A116="","",IF(UPPER(TRIM(B116))="PIPE",(J116/1000)/4,IF(OR(R116="",K116="",L116=""),"",R116/(K116+2*L116*SQRT(1+M116^2)))))</f>
        <v/>
      </c>
      <c r="T116" s="8">
        <f>IF(A116="","",IF(OR(I116="",R116="",S116="",G116=""),"",(1/I116)*R116*(S116^(2/3))*SQRT(G116)))</f>
        <v/>
      </c>
      <c r="U116" s="8">
        <f>IF(OR(T116="",Q116=""),"",Q116/(T116*Inputs!$B$19))</f>
        <v/>
      </c>
      <c r="V116" s="8">
        <f>IF(OR(R116="",Q116=""),"",Q116/R116)</f>
        <v/>
      </c>
      <c r="W116" s="8">
        <f>IF(OR(R116="",T116=""),"",T116/R116)</f>
        <v/>
      </c>
      <c r="X116" s="8">
        <f>IF(A116="","",IF(OR(UPPER(TRIM(Inputs!$B$15))="MANNING",UPPER(TRIM(Inputs!$B$15))="M"),W116,IF(OR(UPPER(TRIM(Inputs!$B$15))="MAX",UPPER(TRIM(Inputs!$B$15))="X"),MAX(V116,W116),V116)))</f>
        <v/>
      </c>
      <c r="Y116" s="8">
        <f>IF(A116="","",IF(UPPER(TRIM(B116))="TRENCH",K116*L116*N116,IF(UPPER(TRIM(B116))="SWALE",K116*L116,0)))</f>
        <v/>
      </c>
      <c r="Z116" s="8">
        <f>IF(OR(Y116="",F116=""),"",Y116*F116)</f>
        <v/>
      </c>
      <c r="AA116" s="4">
        <f>IF(A116="","",IF(OR(U116&gt;1,AND(X116&lt;&gt;"",X116&lt;Inputs!$B$16),AND(X116&lt;&gt;"",X116&gt;Inputs!$B$17),G116&lt;Inputs!$B$18,AH116="CHECK"),"CHECK","OK"))</f>
        <v/>
      </c>
      <c r="AB116" s="4" t="n"/>
      <c r="AC116" s="7" t="n"/>
      <c r="AD116" s="8">
        <f>IF(A116="","",IF(AC116&lt;&gt;"",AC116,IF(E116="",Inputs!$B$38,IFERROR(INDEX($AE$4:$AE$204,MATCH(E116,$A$4:$A$204,0))+IF(OR(AND(UPPER(TRIM(B116))="SWALE",UPPER(TRIM(AI116))="PIPE"),AND(UPPER(TRIM(B116))="TRENCH",UPPER(TRIM(AI116))="PIPE")),Inputs!$B$57,0),""))))</f>
        <v/>
      </c>
      <c r="AE116" s="8">
        <f>IF(OR(AD116="",F116="",G116=""),"",AD116+F116*G116)</f>
        <v/>
      </c>
      <c r="AF116" s="8">
        <f>IF(OR(E116="",A116=""),"",IFERROR(INDEX($AE$4:$AE$204,MATCH(E116,$A$4:$A$204,0)),""))</f>
        <v/>
      </c>
      <c r="AG116" s="8">
        <f>IF(OR(AD116="",AF116=""),"",AD116-AF116)</f>
        <v/>
      </c>
      <c r="AH116" s="4">
        <f>IF(A116="","",IF(E116="","TERMINAL",IF(OR(AND(UPPER(TRIM(B116))="SWALE",UPPER(TRIM(AI116))="PIPE"),AND(UPPER(TRIM(B116))="TRENCH",UPPER(TRIM(AI116))="PIPE")),IF(OR(AG116="",AJ116="",AK116=""),"INFO",IF(AND(AG116&gt;=AJ116,AG116&lt;=AK116),"OK","CHECK")),IF(AG116="","INFO",IF(ABS(AG116)&lt;=Inputs!$B$54,"OK","CHECK")))))</f>
        <v/>
      </c>
      <c r="AI116" s="17">
        <f>IF(A116="","",IF(E116="","",IFERROR(INDEX($B$4:$B$204,MATCH(E116,$A$4:$A$204,0)),"")))</f>
        <v/>
      </c>
      <c r="AJ116" s="17">
        <f>IF(A116="","",IF(OR(AND(UPPER(TRIM(B116))="SWALE",UPPER(TRIM(AI116))="PIPE"),AND(UPPER(TRIM(B116))="TRENCH",UPPER(TRIM(AI116))="PIPE")),Inputs!$B$55,0))</f>
        <v/>
      </c>
      <c r="AK116" s="17">
        <f>IF(A116="","",IF(OR(AND(UPPER(TRIM(B116))="SWALE",UPPER(TRIM(AI116))="PIPE"),AND(UPPER(TRIM(B116))="TRENCH",UPPER(TRIM(AI116))="PIPE")),Inputs!$B$56,Inputs!$B$54))</f>
        <v/>
      </c>
      <c r="AL116" s="4">
        <f>IF(A116="","",IF(E116="","TERMINAL",IF(OR(AND(UPPER(TRIM(B116))="SWALE",UPPER(TRIM(AI116))="PIPE"),AND(UPPER(TRIM(B116))="TRENCH",UPPER(TRIM(AI116))="PIPE")),IF(OR(AG116="",AJ116="",AK116=""),"INFO",IF(AND(AG116&gt;=AJ116,AG116&lt;=AK116),"OK","CHECK")),"N/A")))</f>
        <v/>
      </c>
    </row>
    <row r="117">
      <c r="A117" s="4" t="n"/>
      <c r="B117" s="4" t="n"/>
      <c r="C117" s="4" t="n"/>
      <c r="D117" s="4" t="n"/>
      <c r="E117" s="4" t="n"/>
      <c r="F117" s="7" t="n"/>
      <c r="G117" s="7" t="n"/>
      <c r="H117" s="7" t="n"/>
      <c r="I117" s="8">
        <f>IF(A117="","",IF(H117&lt;&gt;"",H117,IF(UPPER(TRIM(B117))="PIPE",Inputs!$B$7,IF(UPPER(TRIM(B117))="SWALE",Inputs!$B$8,Inputs!$B$9))))</f>
        <v/>
      </c>
      <c r="J117" s="7" t="n"/>
      <c r="K117" s="7" t="n"/>
      <c r="L117" s="7" t="n"/>
      <c r="M117" s="7" t="n"/>
      <c r="N117" s="7" t="n">
        <v>0</v>
      </c>
      <c r="O117" s="8">
        <f>IF(A117="","",SUMIFS(Zones_tributaires!$I:$I,Zones_tributaires!$J:$J,$A117))</f>
        <v/>
      </c>
      <c r="P117" s="8">
        <f>IF(A117="","",SUMIFS($Q$4:$Q$204,$E$4:$E$204,$A117))</f>
        <v/>
      </c>
      <c r="Q117" s="8">
        <f>IF(A117="","",(O117+P117)*Inputs!$B$6)</f>
        <v/>
      </c>
      <c r="R117" s="8">
        <f>IF(A117="","",IF(UPPER(TRIM(B117))="PIPE",PI()*(J117/1000)^2/4,IF(OR(K117="",L117=""),"",L117*(K117+M117*L117))))</f>
        <v/>
      </c>
      <c r="S117" s="8">
        <f>IF(A117="","",IF(UPPER(TRIM(B117))="PIPE",(J117/1000)/4,IF(OR(R117="",K117="",L117=""),"",R117/(K117+2*L117*SQRT(1+M117^2)))))</f>
        <v/>
      </c>
      <c r="T117" s="8">
        <f>IF(A117="","",IF(OR(I117="",R117="",S117="",G117=""),"",(1/I117)*R117*(S117^(2/3))*SQRT(G117)))</f>
        <v/>
      </c>
      <c r="U117" s="8">
        <f>IF(OR(T117="",Q117=""),"",Q117/(T117*Inputs!$B$19))</f>
        <v/>
      </c>
      <c r="V117" s="8">
        <f>IF(OR(R117="",Q117=""),"",Q117/R117)</f>
        <v/>
      </c>
      <c r="W117" s="8">
        <f>IF(OR(R117="",T117=""),"",T117/R117)</f>
        <v/>
      </c>
      <c r="X117" s="8">
        <f>IF(A117="","",IF(OR(UPPER(TRIM(Inputs!$B$15))="MANNING",UPPER(TRIM(Inputs!$B$15))="M"),W117,IF(OR(UPPER(TRIM(Inputs!$B$15))="MAX",UPPER(TRIM(Inputs!$B$15))="X"),MAX(V117,W117),V117)))</f>
        <v/>
      </c>
      <c r="Y117" s="8">
        <f>IF(A117="","",IF(UPPER(TRIM(B117))="TRENCH",K117*L117*N117,IF(UPPER(TRIM(B117))="SWALE",K117*L117,0)))</f>
        <v/>
      </c>
      <c r="Z117" s="8">
        <f>IF(OR(Y117="",F117=""),"",Y117*F117)</f>
        <v/>
      </c>
      <c r="AA117" s="4">
        <f>IF(A117="","",IF(OR(U117&gt;1,AND(X117&lt;&gt;"",X117&lt;Inputs!$B$16),AND(X117&lt;&gt;"",X117&gt;Inputs!$B$17),G117&lt;Inputs!$B$18,AH117="CHECK"),"CHECK","OK"))</f>
        <v/>
      </c>
      <c r="AB117" s="4" t="n"/>
      <c r="AC117" s="7" t="n"/>
      <c r="AD117" s="8">
        <f>IF(A117="","",IF(AC117&lt;&gt;"",AC117,IF(E117="",Inputs!$B$38,IFERROR(INDEX($AE$4:$AE$204,MATCH(E117,$A$4:$A$204,0))+IF(OR(AND(UPPER(TRIM(B117))="SWALE",UPPER(TRIM(AI117))="PIPE"),AND(UPPER(TRIM(B117))="TRENCH",UPPER(TRIM(AI117))="PIPE")),Inputs!$B$57,0),""))))</f>
        <v/>
      </c>
      <c r="AE117" s="8">
        <f>IF(OR(AD117="",F117="",G117=""),"",AD117+F117*G117)</f>
        <v/>
      </c>
      <c r="AF117" s="8">
        <f>IF(OR(E117="",A117=""),"",IFERROR(INDEX($AE$4:$AE$204,MATCH(E117,$A$4:$A$204,0)),""))</f>
        <v/>
      </c>
      <c r="AG117" s="8">
        <f>IF(OR(AD117="",AF117=""),"",AD117-AF117)</f>
        <v/>
      </c>
      <c r="AH117" s="4">
        <f>IF(A117="","",IF(E117="","TERMINAL",IF(OR(AND(UPPER(TRIM(B117))="SWALE",UPPER(TRIM(AI117))="PIPE"),AND(UPPER(TRIM(B117))="TRENCH",UPPER(TRIM(AI117))="PIPE")),IF(OR(AG117="",AJ117="",AK117=""),"INFO",IF(AND(AG117&gt;=AJ117,AG117&lt;=AK117),"OK","CHECK")),IF(AG117="","INFO",IF(ABS(AG117)&lt;=Inputs!$B$54,"OK","CHECK")))))</f>
        <v/>
      </c>
      <c r="AI117" s="17">
        <f>IF(A117="","",IF(E117="","",IFERROR(INDEX($B$4:$B$204,MATCH(E117,$A$4:$A$204,0)),"")))</f>
        <v/>
      </c>
      <c r="AJ117" s="17">
        <f>IF(A117="","",IF(OR(AND(UPPER(TRIM(B117))="SWALE",UPPER(TRIM(AI117))="PIPE"),AND(UPPER(TRIM(B117))="TRENCH",UPPER(TRIM(AI117))="PIPE")),Inputs!$B$55,0))</f>
        <v/>
      </c>
      <c r="AK117" s="17">
        <f>IF(A117="","",IF(OR(AND(UPPER(TRIM(B117))="SWALE",UPPER(TRIM(AI117))="PIPE"),AND(UPPER(TRIM(B117))="TRENCH",UPPER(TRIM(AI117))="PIPE")),Inputs!$B$56,Inputs!$B$54))</f>
        <v/>
      </c>
      <c r="AL117" s="4">
        <f>IF(A117="","",IF(E117="","TERMINAL",IF(OR(AND(UPPER(TRIM(B117))="SWALE",UPPER(TRIM(AI117))="PIPE"),AND(UPPER(TRIM(B117))="TRENCH",UPPER(TRIM(AI117))="PIPE")),IF(OR(AG117="",AJ117="",AK117=""),"INFO",IF(AND(AG117&gt;=AJ117,AG117&lt;=AK117),"OK","CHECK")),"N/A")))</f>
        <v/>
      </c>
    </row>
    <row r="118">
      <c r="A118" s="4" t="n"/>
      <c r="B118" s="4" t="n"/>
      <c r="C118" s="4" t="n"/>
      <c r="D118" s="4" t="n"/>
      <c r="E118" s="4" t="n"/>
      <c r="F118" s="7" t="n"/>
      <c r="G118" s="7" t="n"/>
      <c r="H118" s="7" t="n"/>
      <c r="I118" s="8">
        <f>IF(A118="","",IF(H118&lt;&gt;"",H118,IF(UPPER(TRIM(B118))="PIPE",Inputs!$B$7,IF(UPPER(TRIM(B118))="SWALE",Inputs!$B$8,Inputs!$B$9))))</f>
        <v/>
      </c>
      <c r="J118" s="7" t="n"/>
      <c r="K118" s="7" t="n"/>
      <c r="L118" s="7" t="n"/>
      <c r="M118" s="7" t="n"/>
      <c r="N118" s="7" t="n">
        <v>0</v>
      </c>
      <c r="O118" s="8">
        <f>IF(A118="","",SUMIFS(Zones_tributaires!$I:$I,Zones_tributaires!$J:$J,$A118))</f>
        <v/>
      </c>
      <c r="P118" s="8">
        <f>IF(A118="","",SUMIFS($Q$4:$Q$204,$E$4:$E$204,$A118))</f>
        <v/>
      </c>
      <c r="Q118" s="8">
        <f>IF(A118="","",(O118+P118)*Inputs!$B$6)</f>
        <v/>
      </c>
      <c r="R118" s="8">
        <f>IF(A118="","",IF(UPPER(TRIM(B118))="PIPE",PI()*(J118/1000)^2/4,IF(OR(K118="",L118=""),"",L118*(K118+M118*L118))))</f>
        <v/>
      </c>
      <c r="S118" s="8">
        <f>IF(A118="","",IF(UPPER(TRIM(B118))="PIPE",(J118/1000)/4,IF(OR(R118="",K118="",L118=""),"",R118/(K118+2*L118*SQRT(1+M118^2)))))</f>
        <v/>
      </c>
      <c r="T118" s="8">
        <f>IF(A118="","",IF(OR(I118="",R118="",S118="",G118=""),"",(1/I118)*R118*(S118^(2/3))*SQRT(G118)))</f>
        <v/>
      </c>
      <c r="U118" s="8">
        <f>IF(OR(T118="",Q118=""),"",Q118/(T118*Inputs!$B$19))</f>
        <v/>
      </c>
      <c r="V118" s="8">
        <f>IF(OR(R118="",Q118=""),"",Q118/R118)</f>
        <v/>
      </c>
      <c r="W118" s="8">
        <f>IF(OR(R118="",T118=""),"",T118/R118)</f>
        <v/>
      </c>
      <c r="X118" s="8">
        <f>IF(A118="","",IF(OR(UPPER(TRIM(Inputs!$B$15))="MANNING",UPPER(TRIM(Inputs!$B$15))="M"),W118,IF(OR(UPPER(TRIM(Inputs!$B$15))="MAX",UPPER(TRIM(Inputs!$B$15))="X"),MAX(V118,W118),V118)))</f>
        <v/>
      </c>
      <c r="Y118" s="8">
        <f>IF(A118="","",IF(UPPER(TRIM(B118))="TRENCH",K118*L118*N118,IF(UPPER(TRIM(B118))="SWALE",K118*L118,0)))</f>
        <v/>
      </c>
      <c r="Z118" s="8">
        <f>IF(OR(Y118="",F118=""),"",Y118*F118)</f>
        <v/>
      </c>
      <c r="AA118" s="4">
        <f>IF(A118="","",IF(OR(U118&gt;1,AND(X118&lt;&gt;"",X118&lt;Inputs!$B$16),AND(X118&lt;&gt;"",X118&gt;Inputs!$B$17),G118&lt;Inputs!$B$18,AH118="CHECK"),"CHECK","OK"))</f>
        <v/>
      </c>
      <c r="AB118" s="4" t="n"/>
      <c r="AC118" s="7" t="n"/>
      <c r="AD118" s="8">
        <f>IF(A118="","",IF(AC118&lt;&gt;"",AC118,IF(E118="",Inputs!$B$38,IFERROR(INDEX($AE$4:$AE$204,MATCH(E118,$A$4:$A$204,0))+IF(OR(AND(UPPER(TRIM(B118))="SWALE",UPPER(TRIM(AI118))="PIPE"),AND(UPPER(TRIM(B118))="TRENCH",UPPER(TRIM(AI118))="PIPE")),Inputs!$B$57,0),""))))</f>
        <v/>
      </c>
      <c r="AE118" s="8">
        <f>IF(OR(AD118="",F118="",G118=""),"",AD118+F118*G118)</f>
        <v/>
      </c>
      <c r="AF118" s="8">
        <f>IF(OR(E118="",A118=""),"",IFERROR(INDEX($AE$4:$AE$204,MATCH(E118,$A$4:$A$204,0)),""))</f>
        <v/>
      </c>
      <c r="AG118" s="8">
        <f>IF(OR(AD118="",AF118=""),"",AD118-AF118)</f>
        <v/>
      </c>
      <c r="AH118" s="4">
        <f>IF(A118="","",IF(E118="","TERMINAL",IF(OR(AND(UPPER(TRIM(B118))="SWALE",UPPER(TRIM(AI118))="PIPE"),AND(UPPER(TRIM(B118))="TRENCH",UPPER(TRIM(AI118))="PIPE")),IF(OR(AG118="",AJ118="",AK118=""),"INFO",IF(AND(AG118&gt;=AJ118,AG118&lt;=AK118),"OK","CHECK")),IF(AG118="","INFO",IF(ABS(AG118)&lt;=Inputs!$B$54,"OK","CHECK")))))</f>
        <v/>
      </c>
      <c r="AI118" s="17">
        <f>IF(A118="","",IF(E118="","",IFERROR(INDEX($B$4:$B$204,MATCH(E118,$A$4:$A$204,0)),"")))</f>
        <v/>
      </c>
      <c r="AJ118" s="17">
        <f>IF(A118="","",IF(OR(AND(UPPER(TRIM(B118))="SWALE",UPPER(TRIM(AI118))="PIPE"),AND(UPPER(TRIM(B118))="TRENCH",UPPER(TRIM(AI118))="PIPE")),Inputs!$B$55,0))</f>
        <v/>
      </c>
      <c r="AK118" s="17">
        <f>IF(A118="","",IF(OR(AND(UPPER(TRIM(B118))="SWALE",UPPER(TRIM(AI118))="PIPE"),AND(UPPER(TRIM(B118))="TRENCH",UPPER(TRIM(AI118))="PIPE")),Inputs!$B$56,Inputs!$B$54))</f>
        <v/>
      </c>
      <c r="AL118" s="4">
        <f>IF(A118="","",IF(E118="","TERMINAL",IF(OR(AND(UPPER(TRIM(B118))="SWALE",UPPER(TRIM(AI118))="PIPE"),AND(UPPER(TRIM(B118))="TRENCH",UPPER(TRIM(AI118))="PIPE")),IF(OR(AG118="",AJ118="",AK118=""),"INFO",IF(AND(AG118&gt;=AJ118,AG118&lt;=AK118),"OK","CHECK")),"N/A")))</f>
        <v/>
      </c>
    </row>
    <row r="119">
      <c r="A119" s="4" t="n"/>
      <c r="B119" s="4" t="n"/>
      <c r="C119" s="4" t="n"/>
      <c r="D119" s="4" t="n"/>
      <c r="E119" s="4" t="n"/>
      <c r="F119" s="7" t="n"/>
      <c r="G119" s="7" t="n"/>
      <c r="H119" s="7" t="n"/>
      <c r="I119" s="8">
        <f>IF(A119="","",IF(H119&lt;&gt;"",H119,IF(UPPER(TRIM(B119))="PIPE",Inputs!$B$7,IF(UPPER(TRIM(B119))="SWALE",Inputs!$B$8,Inputs!$B$9))))</f>
        <v/>
      </c>
      <c r="J119" s="7" t="n"/>
      <c r="K119" s="7" t="n"/>
      <c r="L119" s="7" t="n"/>
      <c r="M119" s="7" t="n"/>
      <c r="N119" s="7" t="n">
        <v>0</v>
      </c>
      <c r="O119" s="8">
        <f>IF(A119="","",SUMIFS(Zones_tributaires!$I:$I,Zones_tributaires!$J:$J,$A119))</f>
        <v/>
      </c>
      <c r="P119" s="8">
        <f>IF(A119="","",SUMIFS($Q$4:$Q$204,$E$4:$E$204,$A119))</f>
        <v/>
      </c>
      <c r="Q119" s="8">
        <f>IF(A119="","",(O119+P119)*Inputs!$B$6)</f>
        <v/>
      </c>
      <c r="R119" s="8">
        <f>IF(A119="","",IF(UPPER(TRIM(B119))="PIPE",PI()*(J119/1000)^2/4,IF(OR(K119="",L119=""),"",L119*(K119+M119*L119))))</f>
        <v/>
      </c>
      <c r="S119" s="8">
        <f>IF(A119="","",IF(UPPER(TRIM(B119))="PIPE",(J119/1000)/4,IF(OR(R119="",K119="",L119=""),"",R119/(K119+2*L119*SQRT(1+M119^2)))))</f>
        <v/>
      </c>
      <c r="T119" s="8">
        <f>IF(A119="","",IF(OR(I119="",R119="",S119="",G119=""),"",(1/I119)*R119*(S119^(2/3))*SQRT(G119)))</f>
        <v/>
      </c>
      <c r="U119" s="8">
        <f>IF(OR(T119="",Q119=""),"",Q119/(T119*Inputs!$B$19))</f>
        <v/>
      </c>
      <c r="V119" s="8">
        <f>IF(OR(R119="",Q119=""),"",Q119/R119)</f>
        <v/>
      </c>
      <c r="W119" s="8">
        <f>IF(OR(R119="",T119=""),"",T119/R119)</f>
        <v/>
      </c>
      <c r="X119" s="8">
        <f>IF(A119="","",IF(OR(UPPER(TRIM(Inputs!$B$15))="MANNING",UPPER(TRIM(Inputs!$B$15))="M"),W119,IF(OR(UPPER(TRIM(Inputs!$B$15))="MAX",UPPER(TRIM(Inputs!$B$15))="X"),MAX(V119,W119),V119)))</f>
        <v/>
      </c>
      <c r="Y119" s="8">
        <f>IF(A119="","",IF(UPPER(TRIM(B119))="TRENCH",K119*L119*N119,IF(UPPER(TRIM(B119))="SWALE",K119*L119,0)))</f>
        <v/>
      </c>
      <c r="Z119" s="8">
        <f>IF(OR(Y119="",F119=""),"",Y119*F119)</f>
        <v/>
      </c>
      <c r="AA119" s="4">
        <f>IF(A119="","",IF(OR(U119&gt;1,AND(X119&lt;&gt;"",X119&lt;Inputs!$B$16),AND(X119&lt;&gt;"",X119&gt;Inputs!$B$17),G119&lt;Inputs!$B$18,AH119="CHECK"),"CHECK","OK"))</f>
        <v/>
      </c>
      <c r="AB119" s="4" t="n"/>
      <c r="AC119" s="7" t="n"/>
      <c r="AD119" s="8">
        <f>IF(A119="","",IF(AC119&lt;&gt;"",AC119,IF(E119="",Inputs!$B$38,IFERROR(INDEX($AE$4:$AE$204,MATCH(E119,$A$4:$A$204,0))+IF(OR(AND(UPPER(TRIM(B119))="SWALE",UPPER(TRIM(AI119))="PIPE"),AND(UPPER(TRIM(B119))="TRENCH",UPPER(TRIM(AI119))="PIPE")),Inputs!$B$57,0),""))))</f>
        <v/>
      </c>
      <c r="AE119" s="8">
        <f>IF(OR(AD119="",F119="",G119=""),"",AD119+F119*G119)</f>
        <v/>
      </c>
      <c r="AF119" s="8">
        <f>IF(OR(E119="",A119=""),"",IFERROR(INDEX($AE$4:$AE$204,MATCH(E119,$A$4:$A$204,0)),""))</f>
        <v/>
      </c>
      <c r="AG119" s="8">
        <f>IF(OR(AD119="",AF119=""),"",AD119-AF119)</f>
        <v/>
      </c>
      <c r="AH119" s="4">
        <f>IF(A119="","",IF(E119="","TERMINAL",IF(OR(AND(UPPER(TRIM(B119))="SWALE",UPPER(TRIM(AI119))="PIPE"),AND(UPPER(TRIM(B119))="TRENCH",UPPER(TRIM(AI119))="PIPE")),IF(OR(AG119="",AJ119="",AK119=""),"INFO",IF(AND(AG119&gt;=AJ119,AG119&lt;=AK119),"OK","CHECK")),IF(AG119="","INFO",IF(ABS(AG119)&lt;=Inputs!$B$54,"OK","CHECK")))))</f>
        <v/>
      </c>
      <c r="AI119" s="17">
        <f>IF(A119="","",IF(E119="","",IFERROR(INDEX($B$4:$B$204,MATCH(E119,$A$4:$A$204,0)),"")))</f>
        <v/>
      </c>
      <c r="AJ119" s="17">
        <f>IF(A119="","",IF(OR(AND(UPPER(TRIM(B119))="SWALE",UPPER(TRIM(AI119))="PIPE"),AND(UPPER(TRIM(B119))="TRENCH",UPPER(TRIM(AI119))="PIPE")),Inputs!$B$55,0))</f>
        <v/>
      </c>
      <c r="AK119" s="17">
        <f>IF(A119="","",IF(OR(AND(UPPER(TRIM(B119))="SWALE",UPPER(TRIM(AI119))="PIPE"),AND(UPPER(TRIM(B119))="TRENCH",UPPER(TRIM(AI119))="PIPE")),Inputs!$B$56,Inputs!$B$54))</f>
        <v/>
      </c>
      <c r="AL119" s="4">
        <f>IF(A119="","",IF(E119="","TERMINAL",IF(OR(AND(UPPER(TRIM(B119))="SWALE",UPPER(TRIM(AI119))="PIPE"),AND(UPPER(TRIM(B119))="TRENCH",UPPER(TRIM(AI119))="PIPE")),IF(OR(AG119="",AJ119="",AK119=""),"INFO",IF(AND(AG119&gt;=AJ119,AG119&lt;=AK119),"OK","CHECK")),"N/A")))</f>
        <v/>
      </c>
    </row>
    <row r="120">
      <c r="A120" s="4" t="n"/>
      <c r="B120" s="4" t="n"/>
      <c r="C120" s="4" t="n"/>
      <c r="D120" s="4" t="n"/>
      <c r="E120" s="4" t="n"/>
      <c r="F120" s="7" t="n"/>
      <c r="G120" s="7" t="n"/>
      <c r="H120" s="7" t="n"/>
      <c r="I120" s="8">
        <f>IF(A120="","",IF(H120&lt;&gt;"",H120,IF(UPPER(TRIM(B120))="PIPE",Inputs!$B$7,IF(UPPER(TRIM(B120))="SWALE",Inputs!$B$8,Inputs!$B$9))))</f>
        <v/>
      </c>
      <c r="J120" s="7" t="n"/>
      <c r="K120" s="7" t="n"/>
      <c r="L120" s="7" t="n"/>
      <c r="M120" s="7" t="n"/>
      <c r="N120" s="7" t="n">
        <v>0</v>
      </c>
      <c r="O120" s="8">
        <f>IF(A120="","",SUMIFS(Zones_tributaires!$I:$I,Zones_tributaires!$J:$J,$A120))</f>
        <v/>
      </c>
      <c r="P120" s="8">
        <f>IF(A120="","",SUMIFS($Q$4:$Q$204,$E$4:$E$204,$A120))</f>
        <v/>
      </c>
      <c r="Q120" s="8">
        <f>IF(A120="","",(O120+P120)*Inputs!$B$6)</f>
        <v/>
      </c>
      <c r="R120" s="8">
        <f>IF(A120="","",IF(UPPER(TRIM(B120))="PIPE",PI()*(J120/1000)^2/4,IF(OR(K120="",L120=""),"",L120*(K120+M120*L120))))</f>
        <v/>
      </c>
      <c r="S120" s="8">
        <f>IF(A120="","",IF(UPPER(TRIM(B120))="PIPE",(J120/1000)/4,IF(OR(R120="",K120="",L120=""),"",R120/(K120+2*L120*SQRT(1+M120^2)))))</f>
        <v/>
      </c>
      <c r="T120" s="8">
        <f>IF(A120="","",IF(OR(I120="",R120="",S120="",G120=""),"",(1/I120)*R120*(S120^(2/3))*SQRT(G120)))</f>
        <v/>
      </c>
      <c r="U120" s="8">
        <f>IF(OR(T120="",Q120=""),"",Q120/(T120*Inputs!$B$19))</f>
        <v/>
      </c>
      <c r="V120" s="8">
        <f>IF(OR(R120="",Q120=""),"",Q120/R120)</f>
        <v/>
      </c>
      <c r="W120" s="8">
        <f>IF(OR(R120="",T120=""),"",T120/R120)</f>
        <v/>
      </c>
      <c r="X120" s="8">
        <f>IF(A120="","",IF(OR(UPPER(TRIM(Inputs!$B$15))="MANNING",UPPER(TRIM(Inputs!$B$15))="M"),W120,IF(OR(UPPER(TRIM(Inputs!$B$15))="MAX",UPPER(TRIM(Inputs!$B$15))="X"),MAX(V120,W120),V120)))</f>
        <v/>
      </c>
      <c r="Y120" s="8">
        <f>IF(A120="","",IF(UPPER(TRIM(B120))="TRENCH",K120*L120*N120,IF(UPPER(TRIM(B120))="SWALE",K120*L120,0)))</f>
        <v/>
      </c>
      <c r="Z120" s="8">
        <f>IF(OR(Y120="",F120=""),"",Y120*F120)</f>
        <v/>
      </c>
      <c r="AA120" s="4">
        <f>IF(A120="","",IF(OR(U120&gt;1,AND(X120&lt;&gt;"",X120&lt;Inputs!$B$16),AND(X120&lt;&gt;"",X120&gt;Inputs!$B$17),G120&lt;Inputs!$B$18,AH120="CHECK"),"CHECK","OK"))</f>
        <v/>
      </c>
      <c r="AB120" s="4" t="n"/>
      <c r="AC120" s="7" t="n"/>
      <c r="AD120" s="8">
        <f>IF(A120="","",IF(AC120&lt;&gt;"",AC120,IF(E120="",Inputs!$B$38,IFERROR(INDEX($AE$4:$AE$204,MATCH(E120,$A$4:$A$204,0))+IF(OR(AND(UPPER(TRIM(B120))="SWALE",UPPER(TRIM(AI120))="PIPE"),AND(UPPER(TRIM(B120))="TRENCH",UPPER(TRIM(AI120))="PIPE")),Inputs!$B$57,0),""))))</f>
        <v/>
      </c>
      <c r="AE120" s="8">
        <f>IF(OR(AD120="",F120="",G120=""),"",AD120+F120*G120)</f>
        <v/>
      </c>
      <c r="AF120" s="8">
        <f>IF(OR(E120="",A120=""),"",IFERROR(INDEX($AE$4:$AE$204,MATCH(E120,$A$4:$A$204,0)),""))</f>
        <v/>
      </c>
      <c r="AG120" s="8">
        <f>IF(OR(AD120="",AF120=""),"",AD120-AF120)</f>
        <v/>
      </c>
      <c r="AH120" s="4">
        <f>IF(A120="","",IF(E120="","TERMINAL",IF(OR(AND(UPPER(TRIM(B120))="SWALE",UPPER(TRIM(AI120))="PIPE"),AND(UPPER(TRIM(B120))="TRENCH",UPPER(TRIM(AI120))="PIPE")),IF(OR(AG120="",AJ120="",AK120=""),"INFO",IF(AND(AG120&gt;=AJ120,AG120&lt;=AK120),"OK","CHECK")),IF(AG120="","INFO",IF(ABS(AG120)&lt;=Inputs!$B$54,"OK","CHECK")))))</f>
        <v/>
      </c>
      <c r="AI120" s="17">
        <f>IF(A120="","",IF(E120="","",IFERROR(INDEX($B$4:$B$204,MATCH(E120,$A$4:$A$204,0)),"")))</f>
        <v/>
      </c>
      <c r="AJ120" s="17">
        <f>IF(A120="","",IF(OR(AND(UPPER(TRIM(B120))="SWALE",UPPER(TRIM(AI120))="PIPE"),AND(UPPER(TRIM(B120))="TRENCH",UPPER(TRIM(AI120))="PIPE")),Inputs!$B$55,0))</f>
        <v/>
      </c>
      <c r="AK120" s="17">
        <f>IF(A120="","",IF(OR(AND(UPPER(TRIM(B120))="SWALE",UPPER(TRIM(AI120))="PIPE"),AND(UPPER(TRIM(B120))="TRENCH",UPPER(TRIM(AI120))="PIPE")),Inputs!$B$56,Inputs!$B$54))</f>
        <v/>
      </c>
      <c r="AL120" s="4">
        <f>IF(A120="","",IF(E120="","TERMINAL",IF(OR(AND(UPPER(TRIM(B120))="SWALE",UPPER(TRIM(AI120))="PIPE"),AND(UPPER(TRIM(B120))="TRENCH",UPPER(TRIM(AI120))="PIPE")),IF(OR(AG120="",AJ120="",AK120=""),"INFO",IF(AND(AG120&gt;=AJ120,AG120&lt;=AK120),"OK","CHECK")),"N/A")))</f>
        <v/>
      </c>
    </row>
    <row r="121">
      <c r="A121" s="4" t="n"/>
      <c r="B121" s="4" t="n"/>
      <c r="C121" s="4" t="n"/>
      <c r="D121" s="4" t="n"/>
      <c r="E121" s="4" t="n"/>
      <c r="F121" s="7" t="n"/>
      <c r="G121" s="7" t="n"/>
      <c r="H121" s="7" t="n"/>
      <c r="I121" s="8">
        <f>IF(A121="","",IF(H121&lt;&gt;"",H121,IF(UPPER(TRIM(B121))="PIPE",Inputs!$B$7,IF(UPPER(TRIM(B121))="SWALE",Inputs!$B$8,Inputs!$B$9))))</f>
        <v/>
      </c>
      <c r="J121" s="7" t="n"/>
      <c r="K121" s="7" t="n"/>
      <c r="L121" s="7" t="n"/>
      <c r="M121" s="7" t="n"/>
      <c r="N121" s="7" t="n">
        <v>0</v>
      </c>
      <c r="O121" s="8">
        <f>IF(A121="","",SUMIFS(Zones_tributaires!$I:$I,Zones_tributaires!$J:$J,$A121))</f>
        <v/>
      </c>
      <c r="P121" s="8">
        <f>IF(A121="","",SUMIFS($Q$4:$Q$204,$E$4:$E$204,$A121))</f>
        <v/>
      </c>
      <c r="Q121" s="8">
        <f>IF(A121="","",(O121+P121)*Inputs!$B$6)</f>
        <v/>
      </c>
      <c r="R121" s="8">
        <f>IF(A121="","",IF(UPPER(TRIM(B121))="PIPE",PI()*(J121/1000)^2/4,IF(OR(K121="",L121=""),"",L121*(K121+M121*L121))))</f>
        <v/>
      </c>
      <c r="S121" s="8">
        <f>IF(A121="","",IF(UPPER(TRIM(B121))="PIPE",(J121/1000)/4,IF(OR(R121="",K121="",L121=""),"",R121/(K121+2*L121*SQRT(1+M121^2)))))</f>
        <v/>
      </c>
      <c r="T121" s="8">
        <f>IF(A121="","",IF(OR(I121="",R121="",S121="",G121=""),"",(1/I121)*R121*(S121^(2/3))*SQRT(G121)))</f>
        <v/>
      </c>
      <c r="U121" s="8">
        <f>IF(OR(T121="",Q121=""),"",Q121/(T121*Inputs!$B$19))</f>
        <v/>
      </c>
      <c r="V121" s="8">
        <f>IF(OR(R121="",Q121=""),"",Q121/R121)</f>
        <v/>
      </c>
      <c r="W121" s="8">
        <f>IF(OR(R121="",T121=""),"",T121/R121)</f>
        <v/>
      </c>
      <c r="X121" s="8">
        <f>IF(A121="","",IF(OR(UPPER(TRIM(Inputs!$B$15))="MANNING",UPPER(TRIM(Inputs!$B$15))="M"),W121,IF(OR(UPPER(TRIM(Inputs!$B$15))="MAX",UPPER(TRIM(Inputs!$B$15))="X"),MAX(V121,W121),V121)))</f>
        <v/>
      </c>
      <c r="Y121" s="8">
        <f>IF(A121="","",IF(UPPER(TRIM(B121))="TRENCH",K121*L121*N121,IF(UPPER(TRIM(B121))="SWALE",K121*L121,0)))</f>
        <v/>
      </c>
      <c r="Z121" s="8">
        <f>IF(OR(Y121="",F121=""),"",Y121*F121)</f>
        <v/>
      </c>
      <c r="AA121" s="4">
        <f>IF(A121="","",IF(OR(U121&gt;1,AND(X121&lt;&gt;"",X121&lt;Inputs!$B$16),AND(X121&lt;&gt;"",X121&gt;Inputs!$B$17),G121&lt;Inputs!$B$18,AH121="CHECK"),"CHECK","OK"))</f>
        <v/>
      </c>
      <c r="AB121" s="4" t="n"/>
      <c r="AC121" s="7" t="n"/>
      <c r="AD121" s="8">
        <f>IF(A121="","",IF(AC121&lt;&gt;"",AC121,IF(E121="",Inputs!$B$38,IFERROR(INDEX($AE$4:$AE$204,MATCH(E121,$A$4:$A$204,0))+IF(OR(AND(UPPER(TRIM(B121))="SWALE",UPPER(TRIM(AI121))="PIPE"),AND(UPPER(TRIM(B121))="TRENCH",UPPER(TRIM(AI121))="PIPE")),Inputs!$B$57,0),""))))</f>
        <v/>
      </c>
      <c r="AE121" s="8">
        <f>IF(OR(AD121="",F121="",G121=""),"",AD121+F121*G121)</f>
        <v/>
      </c>
      <c r="AF121" s="8">
        <f>IF(OR(E121="",A121=""),"",IFERROR(INDEX($AE$4:$AE$204,MATCH(E121,$A$4:$A$204,0)),""))</f>
        <v/>
      </c>
      <c r="AG121" s="8">
        <f>IF(OR(AD121="",AF121=""),"",AD121-AF121)</f>
        <v/>
      </c>
      <c r="AH121" s="4">
        <f>IF(A121="","",IF(E121="","TERMINAL",IF(OR(AND(UPPER(TRIM(B121))="SWALE",UPPER(TRIM(AI121))="PIPE"),AND(UPPER(TRIM(B121))="TRENCH",UPPER(TRIM(AI121))="PIPE")),IF(OR(AG121="",AJ121="",AK121=""),"INFO",IF(AND(AG121&gt;=AJ121,AG121&lt;=AK121),"OK","CHECK")),IF(AG121="","INFO",IF(ABS(AG121)&lt;=Inputs!$B$54,"OK","CHECK")))))</f>
        <v/>
      </c>
      <c r="AI121" s="17">
        <f>IF(A121="","",IF(E121="","",IFERROR(INDEX($B$4:$B$204,MATCH(E121,$A$4:$A$204,0)),"")))</f>
        <v/>
      </c>
      <c r="AJ121" s="17">
        <f>IF(A121="","",IF(OR(AND(UPPER(TRIM(B121))="SWALE",UPPER(TRIM(AI121))="PIPE"),AND(UPPER(TRIM(B121))="TRENCH",UPPER(TRIM(AI121))="PIPE")),Inputs!$B$55,0))</f>
        <v/>
      </c>
      <c r="AK121" s="17">
        <f>IF(A121="","",IF(OR(AND(UPPER(TRIM(B121))="SWALE",UPPER(TRIM(AI121))="PIPE"),AND(UPPER(TRIM(B121))="TRENCH",UPPER(TRIM(AI121))="PIPE")),Inputs!$B$56,Inputs!$B$54))</f>
        <v/>
      </c>
      <c r="AL121" s="4">
        <f>IF(A121="","",IF(E121="","TERMINAL",IF(OR(AND(UPPER(TRIM(B121))="SWALE",UPPER(TRIM(AI121))="PIPE"),AND(UPPER(TRIM(B121))="TRENCH",UPPER(TRIM(AI121))="PIPE")),IF(OR(AG121="",AJ121="",AK121=""),"INFO",IF(AND(AG121&gt;=AJ121,AG121&lt;=AK121),"OK","CHECK")),"N/A")))</f>
        <v/>
      </c>
    </row>
    <row r="122">
      <c r="A122" s="4" t="n"/>
      <c r="B122" s="4" t="n"/>
      <c r="C122" s="4" t="n"/>
      <c r="D122" s="4" t="n"/>
      <c r="E122" s="4" t="n"/>
      <c r="F122" s="7" t="n"/>
      <c r="G122" s="7" t="n"/>
      <c r="H122" s="7" t="n"/>
      <c r="I122" s="8">
        <f>IF(A122="","",IF(H122&lt;&gt;"",H122,IF(UPPER(TRIM(B122))="PIPE",Inputs!$B$7,IF(UPPER(TRIM(B122))="SWALE",Inputs!$B$8,Inputs!$B$9))))</f>
        <v/>
      </c>
      <c r="J122" s="7" t="n"/>
      <c r="K122" s="7" t="n"/>
      <c r="L122" s="7" t="n"/>
      <c r="M122" s="7" t="n"/>
      <c r="N122" s="7" t="n">
        <v>0</v>
      </c>
      <c r="O122" s="8">
        <f>IF(A122="","",SUMIFS(Zones_tributaires!$I:$I,Zones_tributaires!$J:$J,$A122))</f>
        <v/>
      </c>
      <c r="P122" s="8">
        <f>IF(A122="","",SUMIFS($Q$4:$Q$204,$E$4:$E$204,$A122))</f>
        <v/>
      </c>
      <c r="Q122" s="8">
        <f>IF(A122="","",(O122+P122)*Inputs!$B$6)</f>
        <v/>
      </c>
      <c r="R122" s="8">
        <f>IF(A122="","",IF(UPPER(TRIM(B122))="PIPE",PI()*(J122/1000)^2/4,IF(OR(K122="",L122=""),"",L122*(K122+M122*L122))))</f>
        <v/>
      </c>
      <c r="S122" s="8">
        <f>IF(A122="","",IF(UPPER(TRIM(B122))="PIPE",(J122/1000)/4,IF(OR(R122="",K122="",L122=""),"",R122/(K122+2*L122*SQRT(1+M122^2)))))</f>
        <v/>
      </c>
      <c r="T122" s="8">
        <f>IF(A122="","",IF(OR(I122="",R122="",S122="",G122=""),"",(1/I122)*R122*(S122^(2/3))*SQRT(G122)))</f>
        <v/>
      </c>
      <c r="U122" s="8">
        <f>IF(OR(T122="",Q122=""),"",Q122/(T122*Inputs!$B$19))</f>
        <v/>
      </c>
      <c r="V122" s="8">
        <f>IF(OR(R122="",Q122=""),"",Q122/R122)</f>
        <v/>
      </c>
      <c r="W122" s="8">
        <f>IF(OR(R122="",T122=""),"",T122/R122)</f>
        <v/>
      </c>
      <c r="X122" s="8">
        <f>IF(A122="","",IF(OR(UPPER(TRIM(Inputs!$B$15))="MANNING",UPPER(TRIM(Inputs!$B$15))="M"),W122,IF(OR(UPPER(TRIM(Inputs!$B$15))="MAX",UPPER(TRIM(Inputs!$B$15))="X"),MAX(V122,W122),V122)))</f>
        <v/>
      </c>
      <c r="Y122" s="8">
        <f>IF(A122="","",IF(UPPER(TRIM(B122))="TRENCH",K122*L122*N122,IF(UPPER(TRIM(B122))="SWALE",K122*L122,0)))</f>
        <v/>
      </c>
      <c r="Z122" s="8">
        <f>IF(OR(Y122="",F122=""),"",Y122*F122)</f>
        <v/>
      </c>
      <c r="AA122" s="4">
        <f>IF(A122="","",IF(OR(U122&gt;1,AND(X122&lt;&gt;"",X122&lt;Inputs!$B$16),AND(X122&lt;&gt;"",X122&gt;Inputs!$B$17),G122&lt;Inputs!$B$18,AH122="CHECK"),"CHECK","OK"))</f>
        <v/>
      </c>
      <c r="AB122" s="4" t="n"/>
      <c r="AC122" s="7" t="n"/>
      <c r="AD122" s="8">
        <f>IF(A122="","",IF(AC122&lt;&gt;"",AC122,IF(E122="",Inputs!$B$38,IFERROR(INDEX($AE$4:$AE$204,MATCH(E122,$A$4:$A$204,0))+IF(OR(AND(UPPER(TRIM(B122))="SWALE",UPPER(TRIM(AI122))="PIPE"),AND(UPPER(TRIM(B122))="TRENCH",UPPER(TRIM(AI122))="PIPE")),Inputs!$B$57,0),""))))</f>
        <v/>
      </c>
      <c r="AE122" s="8">
        <f>IF(OR(AD122="",F122="",G122=""),"",AD122+F122*G122)</f>
        <v/>
      </c>
      <c r="AF122" s="8">
        <f>IF(OR(E122="",A122=""),"",IFERROR(INDEX($AE$4:$AE$204,MATCH(E122,$A$4:$A$204,0)),""))</f>
        <v/>
      </c>
      <c r="AG122" s="8">
        <f>IF(OR(AD122="",AF122=""),"",AD122-AF122)</f>
        <v/>
      </c>
      <c r="AH122" s="4">
        <f>IF(A122="","",IF(E122="","TERMINAL",IF(OR(AND(UPPER(TRIM(B122))="SWALE",UPPER(TRIM(AI122))="PIPE"),AND(UPPER(TRIM(B122))="TRENCH",UPPER(TRIM(AI122))="PIPE")),IF(OR(AG122="",AJ122="",AK122=""),"INFO",IF(AND(AG122&gt;=AJ122,AG122&lt;=AK122),"OK","CHECK")),IF(AG122="","INFO",IF(ABS(AG122)&lt;=Inputs!$B$54,"OK","CHECK")))))</f>
        <v/>
      </c>
      <c r="AI122" s="17">
        <f>IF(A122="","",IF(E122="","",IFERROR(INDEX($B$4:$B$204,MATCH(E122,$A$4:$A$204,0)),"")))</f>
        <v/>
      </c>
      <c r="AJ122" s="17">
        <f>IF(A122="","",IF(OR(AND(UPPER(TRIM(B122))="SWALE",UPPER(TRIM(AI122))="PIPE"),AND(UPPER(TRIM(B122))="TRENCH",UPPER(TRIM(AI122))="PIPE")),Inputs!$B$55,0))</f>
        <v/>
      </c>
      <c r="AK122" s="17">
        <f>IF(A122="","",IF(OR(AND(UPPER(TRIM(B122))="SWALE",UPPER(TRIM(AI122))="PIPE"),AND(UPPER(TRIM(B122))="TRENCH",UPPER(TRIM(AI122))="PIPE")),Inputs!$B$56,Inputs!$B$54))</f>
        <v/>
      </c>
      <c r="AL122" s="4">
        <f>IF(A122="","",IF(E122="","TERMINAL",IF(OR(AND(UPPER(TRIM(B122))="SWALE",UPPER(TRIM(AI122))="PIPE"),AND(UPPER(TRIM(B122))="TRENCH",UPPER(TRIM(AI122))="PIPE")),IF(OR(AG122="",AJ122="",AK122=""),"INFO",IF(AND(AG122&gt;=AJ122,AG122&lt;=AK122),"OK","CHECK")),"N/A")))</f>
        <v/>
      </c>
    </row>
    <row r="123">
      <c r="A123" s="4" t="n"/>
      <c r="B123" s="4" t="n"/>
      <c r="C123" s="4" t="n"/>
      <c r="D123" s="4" t="n"/>
      <c r="E123" s="4" t="n"/>
      <c r="F123" s="7" t="n"/>
      <c r="G123" s="7" t="n"/>
      <c r="H123" s="7" t="n"/>
      <c r="I123" s="8">
        <f>IF(A123="","",IF(H123&lt;&gt;"",H123,IF(UPPER(TRIM(B123))="PIPE",Inputs!$B$7,IF(UPPER(TRIM(B123))="SWALE",Inputs!$B$8,Inputs!$B$9))))</f>
        <v/>
      </c>
      <c r="J123" s="7" t="n"/>
      <c r="K123" s="7" t="n"/>
      <c r="L123" s="7" t="n"/>
      <c r="M123" s="7" t="n"/>
      <c r="N123" s="7" t="n">
        <v>0</v>
      </c>
      <c r="O123" s="8">
        <f>IF(A123="","",SUMIFS(Zones_tributaires!$I:$I,Zones_tributaires!$J:$J,$A123))</f>
        <v/>
      </c>
      <c r="P123" s="8">
        <f>IF(A123="","",SUMIFS($Q$4:$Q$204,$E$4:$E$204,$A123))</f>
        <v/>
      </c>
      <c r="Q123" s="8">
        <f>IF(A123="","",(O123+P123)*Inputs!$B$6)</f>
        <v/>
      </c>
      <c r="R123" s="8">
        <f>IF(A123="","",IF(UPPER(TRIM(B123))="PIPE",PI()*(J123/1000)^2/4,IF(OR(K123="",L123=""),"",L123*(K123+M123*L123))))</f>
        <v/>
      </c>
      <c r="S123" s="8">
        <f>IF(A123="","",IF(UPPER(TRIM(B123))="PIPE",(J123/1000)/4,IF(OR(R123="",K123="",L123=""),"",R123/(K123+2*L123*SQRT(1+M123^2)))))</f>
        <v/>
      </c>
      <c r="T123" s="8">
        <f>IF(A123="","",IF(OR(I123="",R123="",S123="",G123=""),"",(1/I123)*R123*(S123^(2/3))*SQRT(G123)))</f>
        <v/>
      </c>
      <c r="U123" s="8">
        <f>IF(OR(T123="",Q123=""),"",Q123/(T123*Inputs!$B$19))</f>
        <v/>
      </c>
      <c r="V123" s="8">
        <f>IF(OR(R123="",Q123=""),"",Q123/R123)</f>
        <v/>
      </c>
      <c r="W123" s="8">
        <f>IF(OR(R123="",T123=""),"",T123/R123)</f>
        <v/>
      </c>
      <c r="X123" s="8">
        <f>IF(A123="","",IF(OR(UPPER(TRIM(Inputs!$B$15))="MANNING",UPPER(TRIM(Inputs!$B$15))="M"),W123,IF(OR(UPPER(TRIM(Inputs!$B$15))="MAX",UPPER(TRIM(Inputs!$B$15))="X"),MAX(V123,W123),V123)))</f>
        <v/>
      </c>
      <c r="Y123" s="8">
        <f>IF(A123="","",IF(UPPER(TRIM(B123))="TRENCH",K123*L123*N123,IF(UPPER(TRIM(B123))="SWALE",K123*L123,0)))</f>
        <v/>
      </c>
      <c r="Z123" s="8">
        <f>IF(OR(Y123="",F123=""),"",Y123*F123)</f>
        <v/>
      </c>
      <c r="AA123" s="4">
        <f>IF(A123="","",IF(OR(U123&gt;1,AND(X123&lt;&gt;"",X123&lt;Inputs!$B$16),AND(X123&lt;&gt;"",X123&gt;Inputs!$B$17),G123&lt;Inputs!$B$18,AH123="CHECK"),"CHECK","OK"))</f>
        <v/>
      </c>
      <c r="AB123" s="4" t="n"/>
      <c r="AC123" s="7" t="n"/>
      <c r="AD123" s="8">
        <f>IF(A123="","",IF(AC123&lt;&gt;"",AC123,IF(E123="",Inputs!$B$38,IFERROR(INDEX($AE$4:$AE$204,MATCH(E123,$A$4:$A$204,0))+IF(OR(AND(UPPER(TRIM(B123))="SWALE",UPPER(TRIM(AI123))="PIPE"),AND(UPPER(TRIM(B123))="TRENCH",UPPER(TRIM(AI123))="PIPE")),Inputs!$B$57,0),""))))</f>
        <v/>
      </c>
      <c r="AE123" s="8">
        <f>IF(OR(AD123="",F123="",G123=""),"",AD123+F123*G123)</f>
        <v/>
      </c>
      <c r="AF123" s="8">
        <f>IF(OR(E123="",A123=""),"",IFERROR(INDEX($AE$4:$AE$204,MATCH(E123,$A$4:$A$204,0)),""))</f>
        <v/>
      </c>
      <c r="AG123" s="8">
        <f>IF(OR(AD123="",AF123=""),"",AD123-AF123)</f>
        <v/>
      </c>
      <c r="AH123" s="4">
        <f>IF(A123="","",IF(E123="","TERMINAL",IF(OR(AND(UPPER(TRIM(B123))="SWALE",UPPER(TRIM(AI123))="PIPE"),AND(UPPER(TRIM(B123))="TRENCH",UPPER(TRIM(AI123))="PIPE")),IF(OR(AG123="",AJ123="",AK123=""),"INFO",IF(AND(AG123&gt;=AJ123,AG123&lt;=AK123),"OK","CHECK")),IF(AG123="","INFO",IF(ABS(AG123)&lt;=Inputs!$B$54,"OK","CHECK")))))</f>
        <v/>
      </c>
      <c r="AI123" s="17">
        <f>IF(A123="","",IF(E123="","",IFERROR(INDEX($B$4:$B$204,MATCH(E123,$A$4:$A$204,0)),"")))</f>
        <v/>
      </c>
      <c r="AJ123" s="17">
        <f>IF(A123="","",IF(OR(AND(UPPER(TRIM(B123))="SWALE",UPPER(TRIM(AI123))="PIPE"),AND(UPPER(TRIM(B123))="TRENCH",UPPER(TRIM(AI123))="PIPE")),Inputs!$B$55,0))</f>
        <v/>
      </c>
      <c r="AK123" s="17">
        <f>IF(A123="","",IF(OR(AND(UPPER(TRIM(B123))="SWALE",UPPER(TRIM(AI123))="PIPE"),AND(UPPER(TRIM(B123))="TRENCH",UPPER(TRIM(AI123))="PIPE")),Inputs!$B$56,Inputs!$B$54))</f>
        <v/>
      </c>
      <c r="AL123" s="4">
        <f>IF(A123="","",IF(E123="","TERMINAL",IF(OR(AND(UPPER(TRIM(B123))="SWALE",UPPER(TRIM(AI123))="PIPE"),AND(UPPER(TRIM(B123))="TRENCH",UPPER(TRIM(AI123))="PIPE")),IF(OR(AG123="",AJ123="",AK123=""),"INFO",IF(AND(AG123&gt;=AJ123,AG123&lt;=AK123),"OK","CHECK")),"N/A")))</f>
        <v/>
      </c>
    </row>
    <row r="124">
      <c r="A124" s="4" t="n"/>
      <c r="B124" s="4" t="n"/>
      <c r="C124" s="4" t="n"/>
      <c r="D124" s="4" t="n"/>
      <c r="E124" s="4" t="n"/>
      <c r="F124" s="7" t="n"/>
      <c r="G124" s="7" t="n"/>
      <c r="H124" s="7" t="n"/>
      <c r="I124" s="8">
        <f>IF(A124="","",IF(H124&lt;&gt;"",H124,IF(UPPER(TRIM(B124))="PIPE",Inputs!$B$7,IF(UPPER(TRIM(B124))="SWALE",Inputs!$B$8,Inputs!$B$9))))</f>
        <v/>
      </c>
      <c r="J124" s="7" t="n"/>
      <c r="K124" s="7" t="n"/>
      <c r="L124" s="7" t="n"/>
      <c r="M124" s="7" t="n"/>
      <c r="N124" s="7" t="n">
        <v>0</v>
      </c>
      <c r="O124" s="8">
        <f>IF(A124="","",SUMIFS(Zones_tributaires!$I:$I,Zones_tributaires!$J:$J,$A124))</f>
        <v/>
      </c>
      <c r="P124" s="8">
        <f>IF(A124="","",SUMIFS($Q$4:$Q$204,$E$4:$E$204,$A124))</f>
        <v/>
      </c>
      <c r="Q124" s="8">
        <f>IF(A124="","",(O124+P124)*Inputs!$B$6)</f>
        <v/>
      </c>
      <c r="R124" s="8">
        <f>IF(A124="","",IF(UPPER(TRIM(B124))="PIPE",PI()*(J124/1000)^2/4,IF(OR(K124="",L124=""),"",L124*(K124+M124*L124))))</f>
        <v/>
      </c>
      <c r="S124" s="8">
        <f>IF(A124="","",IF(UPPER(TRIM(B124))="PIPE",(J124/1000)/4,IF(OR(R124="",K124="",L124=""),"",R124/(K124+2*L124*SQRT(1+M124^2)))))</f>
        <v/>
      </c>
      <c r="T124" s="8">
        <f>IF(A124="","",IF(OR(I124="",R124="",S124="",G124=""),"",(1/I124)*R124*(S124^(2/3))*SQRT(G124)))</f>
        <v/>
      </c>
      <c r="U124" s="8">
        <f>IF(OR(T124="",Q124=""),"",Q124/(T124*Inputs!$B$19))</f>
        <v/>
      </c>
      <c r="V124" s="8">
        <f>IF(OR(R124="",Q124=""),"",Q124/R124)</f>
        <v/>
      </c>
      <c r="W124" s="8">
        <f>IF(OR(R124="",T124=""),"",T124/R124)</f>
        <v/>
      </c>
      <c r="X124" s="8">
        <f>IF(A124="","",IF(OR(UPPER(TRIM(Inputs!$B$15))="MANNING",UPPER(TRIM(Inputs!$B$15))="M"),W124,IF(OR(UPPER(TRIM(Inputs!$B$15))="MAX",UPPER(TRIM(Inputs!$B$15))="X"),MAX(V124,W124),V124)))</f>
        <v/>
      </c>
      <c r="Y124" s="8">
        <f>IF(A124="","",IF(UPPER(TRIM(B124))="TRENCH",K124*L124*N124,IF(UPPER(TRIM(B124))="SWALE",K124*L124,0)))</f>
        <v/>
      </c>
      <c r="Z124" s="8">
        <f>IF(OR(Y124="",F124=""),"",Y124*F124)</f>
        <v/>
      </c>
      <c r="AA124" s="4">
        <f>IF(A124="","",IF(OR(U124&gt;1,AND(X124&lt;&gt;"",X124&lt;Inputs!$B$16),AND(X124&lt;&gt;"",X124&gt;Inputs!$B$17),G124&lt;Inputs!$B$18,AH124="CHECK"),"CHECK","OK"))</f>
        <v/>
      </c>
      <c r="AB124" s="4" t="n"/>
      <c r="AC124" s="7" t="n"/>
      <c r="AD124" s="8">
        <f>IF(A124="","",IF(AC124&lt;&gt;"",AC124,IF(E124="",Inputs!$B$38,IFERROR(INDEX($AE$4:$AE$204,MATCH(E124,$A$4:$A$204,0))+IF(OR(AND(UPPER(TRIM(B124))="SWALE",UPPER(TRIM(AI124))="PIPE"),AND(UPPER(TRIM(B124))="TRENCH",UPPER(TRIM(AI124))="PIPE")),Inputs!$B$57,0),""))))</f>
        <v/>
      </c>
      <c r="AE124" s="8">
        <f>IF(OR(AD124="",F124="",G124=""),"",AD124+F124*G124)</f>
        <v/>
      </c>
      <c r="AF124" s="8">
        <f>IF(OR(E124="",A124=""),"",IFERROR(INDEX($AE$4:$AE$204,MATCH(E124,$A$4:$A$204,0)),""))</f>
        <v/>
      </c>
      <c r="AG124" s="8">
        <f>IF(OR(AD124="",AF124=""),"",AD124-AF124)</f>
        <v/>
      </c>
      <c r="AH124" s="4">
        <f>IF(A124="","",IF(E124="","TERMINAL",IF(OR(AND(UPPER(TRIM(B124))="SWALE",UPPER(TRIM(AI124))="PIPE"),AND(UPPER(TRIM(B124))="TRENCH",UPPER(TRIM(AI124))="PIPE")),IF(OR(AG124="",AJ124="",AK124=""),"INFO",IF(AND(AG124&gt;=AJ124,AG124&lt;=AK124),"OK","CHECK")),IF(AG124="","INFO",IF(ABS(AG124)&lt;=Inputs!$B$54,"OK","CHECK")))))</f>
        <v/>
      </c>
      <c r="AI124" s="17">
        <f>IF(A124="","",IF(E124="","",IFERROR(INDEX($B$4:$B$204,MATCH(E124,$A$4:$A$204,0)),"")))</f>
        <v/>
      </c>
      <c r="AJ124" s="17">
        <f>IF(A124="","",IF(OR(AND(UPPER(TRIM(B124))="SWALE",UPPER(TRIM(AI124))="PIPE"),AND(UPPER(TRIM(B124))="TRENCH",UPPER(TRIM(AI124))="PIPE")),Inputs!$B$55,0))</f>
        <v/>
      </c>
      <c r="AK124" s="17">
        <f>IF(A124="","",IF(OR(AND(UPPER(TRIM(B124))="SWALE",UPPER(TRIM(AI124))="PIPE"),AND(UPPER(TRIM(B124))="TRENCH",UPPER(TRIM(AI124))="PIPE")),Inputs!$B$56,Inputs!$B$54))</f>
        <v/>
      </c>
      <c r="AL124" s="4">
        <f>IF(A124="","",IF(E124="","TERMINAL",IF(OR(AND(UPPER(TRIM(B124))="SWALE",UPPER(TRIM(AI124))="PIPE"),AND(UPPER(TRIM(B124))="TRENCH",UPPER(TRIM(AI124))="PIPE")),IF(OR(AG124="",AJ124="",AK124=""),"INFO",IF(AND(AG124&gt;=AJ124,AG124&lt;=AK124),"OK","CHECK")),"N/A")))</f>
        <v/>
      </c>
    </row>
    <row r="125">
      <c r="A125" s="4" t="n"/>
      <c r="B125" s="4" t="n"/>
      <c r="C125" s="4" t="n"/>
      <c r="D125" s="4" t="n"/>
      <c r="E125" s="4" t="n"/>
      <c r="F125" s="7" t="n"/>
      <c r="G125" s="7" t="n"/>
      <c r="H125" s="7" t="n"/>
      <c r="I125" s="8">
        <f>IF(A125="","",IF(H125&lt;&gt;"",H125,IF(UPPER(TRIM(B125))="PIPE",Inputs!$B$7,IF(UPPER(TRIM(B125))="SWALE",Inputs!$B$8,Inputs!$B$9))))</f>
        <v/>
      </c>
      <c r="J125" s="7" t="n"/>
      <c r="K125" s="7" t="n"/>
      <c r="L125" s="7" t="n"/>
      <c r="M125" s="7" t="n"/>
      <c r="N125" s="7" t="n">
        <v>0</v>
      </c>
      <c r="O125" s="8">
        <f>IF(A125="","",SUMIFS(Zones_tributaires!$I:$I,Zones_tributaires!$J:$J,$A125))</f>
        <v/>
      </c>
      <c r="P125" s="8">
        <f>IF(A125="","",SUMIFS($Q$4:$Q$204,$E$4:$E$204,$A125))</f>
        <v/>
      </c>
      <c r="Q125" s="8">
        <f>IF(A125="","",(O125+P125)*Inputs!$B$6)</f>
        <v/>
      </c>
      <c r="R125" s="8">
        <f>IF(A125="","",IF(UPPER(TRIM(B125))="PIPE",PI()*(J125/1000)^2/4,IF(OR(K125="",L125=""),"",L125*(K125+M125*L125))))</f>
        <v/>
      </c>
      <c r="S125" s="8">
        <f>IF(A125="","",IF(UPPER(TRIM(B125))="PIPE",(J125/1000)/4,IF(OR(R125="",K125="",L125=""),"",R125/(K125+2*L125*SQRT(1+M125^2)))))</f>
        <v/>
      </c>
      <c r="T125" s="8">
        <f>IF(A125="","",IF(OR(I125="",R125="",S125="",G125=""),"",(1/I125)*R125*(S125^(2/3))*SQRT(G125)))</f>
        <v/>
      </c>
      <c r="U125" s="8">
        <f>IF(OR(T125="",Q125=""),"",Q125/(T125*Inputs!$B$19))</f>
        <v/>
      </c>
      <c r="V125" s="8">
        <f>IF(OR(R125="",Q125=""),"",Q125/R125)</f>
        <v/>
      </c>
      <c r="W125" s="8">
        <f>IF(OR(R125="",T125=""),"",T125/R125)</f>
        <v/>
      </c>
      <c r="X125" s="8">
        <f>IF(A125="","",IF(OR(UPPER(TRIM(Inputs!$B$15))="MANNING",UPPER(TRIM(Inputs!$B$15))="M"),W125,IF(OR(UPPER(TRIM(Inputs!$B$15))="MAX",UPPER(TRIM(Inputs!$B$15))="X"),MAX(V125,W125),V125)))</f>
        <v/>
      </c>
      <c r="Y125" s="8">
        <f>IF(A125="","",IF(UPPER(TRIM(B125))="TRENCH",K125*L125*N125,IF(UPPER(TRIM(B125))="SWALE",K125*L125,0)))</f>
        <v/>
      </c>
      <c r="Z125" s="8">
        <f>IF(OR(Y125="",F125=""),"",Y125*F125)</f>
        <v/>
      </c>
      <c r="AA125" s="4">
        <f>IF(A125="","",IF(OR(U125&gt;1,AND(X125&lt;&gt;"",X125&lt;Inputs!$B$16),AND(X125&lt;&gt;"",X125&gt;Inputs!$B$17),G125&lt;Inputs!$B$18,AH125="CHECK"),"CHECK","OK"))</f>
        <v/>
      </c>
      <c r="AB125" s="4" t="n"/>
      <c r="AC125" s="7" t="n"/>
      <c r="AD125" s="8">
        <f>IF(A125="","",IF(AC125&lt;&gt;"",AC125,IF(E125="",Inputs!$B$38,IFERROR(INDEX($AE$4:$AE$204,MATCH(E125,$A$4:$A$204,0))+IF(OR(AND(UPPER(TRIM(B125))="SWALE",UPPER(TRIM(AI125))="PIPE"),AND(UPPER(TRIM(B125))="TRENCH",UPPER(TRIM(AI125))="PIPE")),Inputs!$B$57,0),""))))</f>
        <v/>
      </c>
      <c r="AE125" s="8">
        <f>IF(OR(AD125="",F125="",G125=""),"",AD125+F125*G125)</f>
        <v/>
      </c>
      <c r="AF125" s="8">
        <f>IF(OR(E125="",A125=""),"",IFERROR(INDEX($AE$4:$AE$204,MATCH(E125,$A$4:$A$204,0)),""))</f>
        <v/>
      </c>
      <c r="AG125" s="8">
        <f>IF(OR(AD125="",AF125=""),"",AD125-AF125)</f>
        <v/>
      </c>
      <c r="AH125" s="4">
        <f>IF(A125="","",IF(E125="","TERMINAL",IF(OR(AND(UPPER(TRIM(B125))="SWALE",UPPER(TRIM(AI125))="PIPE"),AND(UPPER(TRIM(B125))="TRENCH",UPPER(TRIM(AI125))="PIPE")),IF(OR(AG125="",AJ125="",AK125=""),"INFO",IF(AND(AG125&gt;=AJ125,AG125&lt;=AK125),"OK","CHECK")),IF(AG125="","INFO",IF(ABS(AG125)&lt;=Inputs!$B$54,"OK","CHECK")))))</f>
        <v/>
      </c>
      <c r="AI125" s="17">
        <f>IF(A125="","",IF(E125="","",IFERROR(INDEX($B$4:$B$204,MATCH(E125,$A$4:$A$204,0)),"")))</f>
        <v/>
      </c>
      <c r="AJ125" s="17">
        <f>IF(A125="","",IF(OR(AND(UPPER(TRIM(B125))="SWALE",UPPER(TRIM(AI125))="PIPE"),AND(UPPER(TRIM(B125))="TRENCH",UPPER(TRIM(AI125))="PIPE")),Inputs!$B$55,0))</f>
        <v/>
      </c>
      <c r="AK125" s="17">
        <f>IF(A125="","",IF(OR(AND(UPPER(TRIM(B125))="SWALE",UPPER(TRIM(AI125))="PIPE"),AND(UPPER(TRIM(B125))="TRENCH",UPPER(TRIM(AI125))="PIPE")),Inputs!$B$56,Inputs!$B$54))</f>
        <v/>
      </c>
      <c r="AL125" s="4">
        <f>IF(A125="","",IF(E125="","TERMINAL",IF(OR(AND(UPPER(TRIM(B125))="SWALE",UPPER(TRIM(AI125))="PIPE"),AND(UPPER(TRIM(B125))="TRENCH",UPPER(TRIM(AI125))="PIPE")),IF(OR(AG125="",AJ125="",AK125=""),"INFO",IF(AND(AG125&gt;=AJ125,AG125&lt;=AK125),"OK","CHECK")),"N/A")))</f>
        <v/>
      </c>
    </row>
    <row r="126">
      <c r="A126" s="4" t="n"/>
      <c r="B126" s="4" t="n"/>
      <c r="C126" s="4" t="n"/>
      <c r="D126" s="4" t="n"/>
      <c r="E126" s="4" t="n"/>
      <c r="F126" s="7" t="n"/>
      <c r="G126" s="7" t="n"/>
      <c r="H126" s="7" t="n"/>
      <c r="I126" s="8">
        <f>IF(A126="","",IF(H126&lt;&gt;"",H126,IF(UPPER(TRIM(B126))="PIPE",Inputs!$B$7,IF(UPPER(TRIM(B126))="SWALE",Inputs!$B$8,Inputs!$B$9))))</f>
        <v/>
      </c>
      <c r="J126" s="7" t="n"/>
      <c r="K126" s="7" t="n"/>
      <c r="L126" s="7" t="n"/>
      <c r="M126" s="7" t="n"/>
      <c r="N126" s="7" t="n">
        <v>0</v>
      </c>
      <c r="O126" s="8">
        <f>IF(A126="","",SUMIFS(Zones_tributaires!$I:$I,Zones_tributaires!$J:$J,$A126))</f>
        <v/>
      </c>
      <c r="P126" s="8">
        <f>IF(A126="","",SUMIFS($Q$4:$Q$204,$E$4:$E$204,$A126))</f>
        <v/>
      </c>
      <c r="Q126" s="8">
        <f>IF(A126="","",(O126+P126)*Inputs!$B$6)</f>
        <v/>
      </c>
      <c r="R126" s="8">
        <f>IF(A126="","",IF(UPPER(TRIM(B126))="PIPE",PI()*(J126/1000)^2/4,IF(OR(K126="",L126=""),"",L126*(K126+M126*L126))))</f>
        <v/>
      </c>
      <c r="S126" s="8">
        <f>IF(A126="","",IF(UPPER(TRIM(B126))="PIPE",(J126/1000)/4,IF(OR(R126="",K126="",L126=""),"",R126/(K126+2*L126*SQRT(1+M126^2)))))</f>
        <v/>
      </c>
      <c r="T126" s="8">
        <f>IF(A126="","",IF(OR(I126="",R126="",S126="",G126=""),"",(1/I126)*R126*(S126^(2/3))*SQRT(G126)))</f>
        <v/>
      </c>
      <c r="U126" s="8">
        <f>IF(OR(T126="",Q126=""),"",Q126/(T126*Inputs!$B$19))</f>
        <v/>
      </c>
      <c r="V126" s="8">
        <f>IF(OR(R126="",Q126=""),"",Q126/R126)</f>
        <v/>
      </c>
      <c r="W126" s="8">
        <f>IF(OR(R126="",T126=""),"",T126/R126)</f>
        <v/>
      </c>
      <c r="X126" s="8">
        <f>IF(A126="","",IF(OR(UPPER(TRIM(Inputs!$B$15))="MANNING",UPPER(TRIM(Inputs!$B$15))="M"),W126,IF(OR(UPPER(TRIM(Inputs!$B$15))="MAX",UPPER(TRIM(Inputs!$B$15))="X"),MAX(V126,W126),V126)))</f>
        <v/>
      </c>
      <c r="Y126" s="8">
        <f>IF(A126="","",IF(UPPER(TRIM(B126))="TRENCH",K126*L126*N126,IF(UPPER(TRIM(B126))="SWALE",K126*L126,0)))</f>
        <v/>
      </c>
      <c r="Z126" s="8">
        <f>IF(OR(Y126="",F126=""),"",Y126*F126)</f>
        <v/>
      </c>
      <c r="AA126" s="4">
        <f>IF(A126="","",IF(OR(U126&gt;1,AND(X126&lt;&gt;"",X126&lt;Inputs!$B$16),AND(X126&lt;&gt;"",X126&gt;Inputs!$B$17),G126&lt;Inputs!$B$18,AH126="CHECK"),"CHECK","OK"))</f>
        <v/>
      </c>
      <c r="AB126" s="4" t="n"/>
      <c r="AC126" s="7" t="n"/>
      <c r="AD126" s="8">
        <f>IF(A126="","",IF(AC126&lt;&gt;"",AC126,IF(E126="",Inputs!$B$38,IFERROR(INDEX($AE$4:$AE$204,MATCH(E126,$A$4:$A$204,0))+IF(OR(AND(UPPER(TRIM(B126))="SWALE",UPPER(TRIM(AI126))="PIPE"),AND(UPPER(TRIM(B126))="TRENCH",UPPER(TRIM(AI126))="PIPE")),Inputs!$B$57,0),""))))</f>
        <v/>
      </c>
      <c r="AE126" s="8">
        <f>IF(OR(AD126="",F126="",G126=""),"",AD126+F126*G126)</f>
        <v/>
      </c>
      <c r="AF126" s="8">
        <f>IF(OR(E126="",A126=""),"",IFERROR(INDEX($AE$4:$AE$204,MATCH(E126,$A$4:$A$204,0)),""))</f>
        <v/>
      </c>
      <c r="AG126" s="8">
        <f>IF(OR(AD126="",AF126=""),"",AD126-AF126)</f>
        <v/>
      </c>
      <c r="AH126" s="4">
        <f>IF(A126="","",IF(E126="","TERMINAL",IF(OR(AND(UPPER(TRIM(B126))="SWALE",UPPER(TRIM(AI126))="PIPE"),AND(UPPER(TRIM(B126))="TRENCH",UPPER(TRIM(AI126))="PIPE")),IF(OR(AG126="",AJ126="",AK126=""),"INFO",IF(AND(AG126&gt;=AJ126,AG126&lt;=AK126),"OK","CHECK")),IF(AG126="","INFO",IF(ABS(AG126)&lt;=Inputs!$B$54,"OK","CHECK")))))</f>
        <v/>
      </c>
      <c r="AI126" s="17">
        <f>IF(A126="","",IF(E126="","",IFERROR(INDEX($B$4:$B$204,MATCH(E126,$A$4:$A$204,0)),"")))</f>
        <v/>
      </c>
      <c r="AJ126" s="17">
        <f>IF(A126="","",IF(OR(AND(UPPER(TRIM(B126))="SWALE",UPPER(TRIM(AI126))="PIPE"),AND(UPPER(TRIM(B126))="TRENCH",UPPER(TRIM(AI126))="PIPE")),Inputs!$B$55,0))</f>
        <v/>
      </c>
      <c r="AK126" s="17">
        <f>IF(A126="","",IF(OR(AND(UPPER(TRIM(B126))="SWALE",UPPER(TRIM(AI126))="PIPE"),AND(UPPER(TRIM(B126))="TRENCH",UPPER(TRIM(AI126))="PIPE")),Inputs!$B$56,Inputs!$B$54))</f>
        <v/>
      </c>
      <c r="AL126" s="4">
        <f>IF(A126="","",IF(E126="","TERMINAL",IF(OR(AND(UPPER(TRIM(B126))="SWALE",UPPER(TRIM(AI126))="PIPE"),AND(UPPER(TRIM(B126))="TRENCH",UPPER(TRIM(AI126))="PIPE")),IF(OR(AG126="",AJ126="",AK126=""),"INFO",IF(AND(AG126&gt;=AJ126,AG126&lt;=AK126),"OK","CHECK")),"N/A")))</f>
        <v/>
      </c>
    </row>
    <row r="127">
      <c r="A127" s="4" t="n"/>
      <c r="B127" s="4" t="n"/>
      <c r="C127" s="4" t="n"/>
      <c r="D127" s="4" t="n"/>
      <c r="E127" s="4" t="n"/>
      <c r="F127" s="7" t="n"/>
      <c r="G127" s="7" t="n"/>
      <c r="H127" s="7" t="n"/>
      <c r="I127" s="8">
        <f>IF(A127="","",IF(H127&lt;&gt;"",H127,IF(UPPER(TRIM(B127))="PIPE",Inputs!$B$7,IF(UPPER(TRIM(B127))="SWALE",Inputs!$B$8,Inputs!$B$9))))</f>
        <v/>
      </c>
      <c r="J127" s="7" t="n"/>
      <c r="K127" s="7" t="n"/>
      <c r="L127" s="7" t="n"/>
      <c r="M127" s="7" t="n"/>
      <c r="N127" s="7" t="n">
        <v>0</v>
      </c>
      <c r="O127" s="8">
        <f>IF(A127="","",SUMIFS(Zones_tributaires!$I:$I,Zones_tributaires!$J:$J,$A127))</f>
        <v/>
      </c>
      <c r="P127" s="8">
        <f>IF(A127="","",SUMIFS($Q$4:$Q$204,$E$4:$E$204,$A127))</f>
        <v/>
      </c>
      <c r="Q127" s="8">
        <f>IF(A127="","",(O127+P127)*Inputs!$B$6)</f>
        <v/>
      </c>
      <c r="R127" s="8">
        <f>IF(A127="","",IF(UPPER(TRIM(B127))="PIPE",PI()*(J127/1000)^2/4,IF(OR(K127="",L127=""),"",L127*(K127+M127*L127))))</f>
        <v/>
      </c>
      <c r="S127" s="8">
        <f>IF(A127="","",IF(UPPER(TRIM(B127))="PIPE",(J127/1000)/4,IF(OR(R127="",K127="",L127=""),"",R127/(K127+2*L127*SQRT(1+M127^2)))))</f>
        <v/>
      </c>
      <c r="T127" s="8">
        <f>IF(A127="","",IF(OR(I127="",R127="",S127="",G127=""),"",(1/I127)*R127*(S127^(2/3))*SQRT(G127)))</f>
        <v/>
      </c>
      <c r="U127" s="8">
        <f>IF(OR(T127="",Q127=""),"",Q127/(T127*Inputs!$B$19))</f>
        <v/>
      </c>
      <c r="V127" s="8">
        <f>IF(OR(R127="",Q127=""),"",Q127/R127)</f>
        <v/>
      </c>
      <c r="W127" s="8">
        <f>IF(OR(R127="",T127=""),"",T127/R127)</f>
        <v/>
      </c>
      <c r="X127" s="8">
        <f>IF(A127="","",IF(OR(UPPER(TRIM(Inputs!$B$15))="MANNING",UPPER(TRIM(Inputs!$B$15))="M"),W127,IF(OR(UPPER(TRIM(Inputs!$B$15))="MAX",UPPER(TRIM(Inputs!$B$15))="X"),MAX(V127,W127),V127)))</f>
        <v/>
      </c>
      <c r="Y127" s="8">
        <f>IF(A127="","",IF(UPPER(TRIM(B127))="TRENCH",K127*L127*N127,IF(UPPER(TRIM(B127))="SWALE",K127*L127,0)))</f>
        <v/>
      </c>
      <c r="Z127" s="8">
        <f>IF(OR(Y127="",F127=""),"",Y127*F127)</f>
        <v/>
      </c>
      <c r="AA127" s="4">
        <f>IF(A127="","",IF(OR(U127&gt;1,AND(X127&lt;&gt;"",X127&lt;Inputs!$B$16),AND(X127&lt;&gt;"",X127&gt;Inputs!$B$17),G127&lt;Inputs!$B$18,AH127="CHECK"),"CHECK","OK"))</f>
        <v/>
      </c>
      <c r="AB127" s="4" t="n"/>
      <c r="AC127" s="7" t="n"/>
      <c r="AD127" s="8">
        <f>IF(A127="","",IF(AC127&lt;&gt;"",AC127,IF(E127="",Inputs!$B$38,IFERROR(INDEX($AE$4:$AE$204,MATCH(E127,$A$4:$A$204,0))+IF(OR(AND(UPPER(TRIM(B127))="SWALE",UPPER(TRIM(AI127))="PIPE"),AND(UPPER(TRIM(B127))="TRENCH",UPPER(TRIM(AI127))="PIPE")),Inputs!$B$57,0),""))))</f>
        <v/>
      </c>
      <c r="AE127" s="8">
        <f>IF(OR(AD127="",F127="",G127=""),"",AD127+F127*G127)</f>
        <v/>
      </c>
      <c r="AF127" s="8">
        <f>IF(OR(E127="",A127=""),"",IFERROR(INDEX($AE$4:$AE$204,MATCH(E127,$A$4:$A$204,0)),""))</f>
        <v/>
      </c>
      <c r="AG127" s="8">
        <f>IF(OR(AD127="",AF127=""),"",AD127-AF127)</f>
        <v/>
      </c>
      <c r="AH127" s="4">
        <f>IF(A127="","",IF(E127="","TERMINAL",IF(OR(AND(UPPER(TRIM(B127))="SWALE",UPPER(TRIM(AI127))="PIPE"),AND(UPPER(TRIM(B127))="TRENCH",UPPER(TRIM(AI127))="PIPE")),IF(OR(AG127="",AJ127="",AK127=""),"INFO",IF(AND(AG127&gt;=AJ127,AG127&lt;=AK127),"OK","CHECK")),IF(AG127="","INFO",IF(ABS(AG127)&lt;=Inputs!$B$54,"OK","CHECK")))))</f>
        <v/>
      </c>
      <c r="AI127" s="17">
        <f>IF(A127="","",IF(E127="","",IFERROR(INDEX($B$4:$B$204,MATCH(E127,$A$4:$A$204,0)),"")))</f>
        <v/>
      </c>
      <c r="AJ127" s="17">
        <f>IF(A127="","",IF(OR(AND(UPPER(TRIM(B127))="SWALE",UPPER(TRIM(AI127))="PIPE"),AND(UPPER(TRIM(B127))="TRENCH",UPPER(TRIM(AI127))="PIPE")),Inputs!$B$55,0))</f>
        <v/>
      </c>
      <c r="AK127" s="17">
        <f>IF(A127="","",IF(OR(AND(UPPER(TRIM(B127))="SWALE",UPPER(TRIM(AI127))="PIPE"),AND(UPPER(TRIM(B127))="TRENCH",UPPER(TRIM(AI127))="PIPE")),Inputs!$B$56,Inputs!$B$54))</f>
        <v/>
      </c>
      <c r="AL127" s="4">
        <f>IF(A127="","",IF(E127="","TERMINAL",IF(OR(AND(UPPER(TRIM(B127))="SWALE",UPPER(TRIM(AI127))="PIPE"),AND(UPPER(TRIM(B127))="TRENCH",UPPER(TRIM(AI127))="PIPE")),IF(OR(AG127="",AJ127="",AK127=""),"INFO",IF(AND(AG127&gt;=AJ127,AG127&lt;=AK127),"OK","CHECK")),"N/A")))</f>
        <v/>
      </c>
    </row>
    <row r="128">
      <c r="A128" s="4" t="n"/>
      <c r="B128" s="4" t="n"/>
      <c r="C128" s="4" t="n"/>
      <c r="D128" s="4" t="n"/>
      <c r="E128" s="4" t="n"/>
      <c r="F128" s="7" t="n"/>
      <c r="G128" s="7" t="n"/>
      <c r="H128" s="7" t="n"/>
      <c r="I128" s="8">
        <f>IF(A128="","",IF(H128&lt;&gt;"",H128,IF(UPPER(TRIM(B128))="PIPE",Inputs!$B$7,IF(UPPER(TRIM(B128))="SWALE",Inputs!$B$8,Inputs!$B$9))))</f>
        <v/>
      </c>
      <c r="J128" s="7" t="n"/>
      <c r="K128" s="7" t="n"/>
      <c r="L128" s="7" t="n"/>
      <c r="M128" s="7" t="n"/>
      <c r="N128" s="7" t="n">
        <v>0</v>
      </c>
      <c r="O128" s="8">
        <f>IF(A128="","",SUMIFS(Zones_tributaires!$I:$I,Zones_tributaires!$J:$J,$A128))</f>
        <v/>
      </c>
      <c r="P128" s="8">
        <f>IF(A128="","",SUMIFS($Q$4:$Q$204,$E$4:$E$204,$A128))</f>
        <v/>
      </c>
      <c r="Q128" s="8">
        <f>IF(A128="","",(O128+P128)*Inputs!$B$6)</f>
        <v/>
      </c>
      <c r="R128" s="8">
        <f>IF(A128="","",IF(UPPER(TRIM(B128))="PIPE",PI()*(J128/1000)^2/4,IF(OR(K128="",L128=""),"",L128*(K128+M128*L128))))</f>
        <v/>
      </c>
      <c r="S128" s="8">
        <f>IF(A128="","",IF(UPPER(TRIM(B128))="PIPE",(J128/1000)/4,IF(OR(R128="",K128="",L128=""),"",R128/(K128+2*L128*SQRT(1+M128^2)))))</f>
        <v/>
      </c>
      <c r="T128" s="8">
        <f>IF(A128="","",IF(OR(I128="",R128="",S128="",G128=""),"",(1/I128)*R128*(S128^(2/3))*SQRT(G128)))</f>
        <v/>
      </c>
      <c r="U128" s="8">
        <f>IF(OR(T128="",Q128=""),"",Q128/(T128*Inputs!$B$19))</f>
        <v/>
      </c>
      <c r="V128" s="8">
        <f>IF(OR(R128="",Q128=""),"",Q128/R128)</f>
        <v/>
      </c>
      <c r="W128" s="8">
        <f>IF(OR(R128="",T128=""),"",T128/R128)</f>
        <v/>
      </c>
      <c r="X128" s="8">
        <f>IF(A128="","",IF(OR(UPPER(TRIM(Inputs!$B$15))="MANNING",UPPER(TRIM(Inputs!$B$15))="M"),W128,IF(OR(UPPER(TRIM(Inputs!$B$15))="MAX",UPPER(TRIM(Inputs!$B$15))="X"),MAX(V128,W128),V128)))</f>
        <v/>
      </c>
      <c r="Y128" s="8">
        <f>IF(A128="","",IF(UPPER(TRIM(B128))="TRENCH",K128*L128*N128,IF(UPPER(TRIM(B128))="SWALE",K128*L128,0)))</f>
        <v/>
      </c>
      <c r="Z128" s="8">
        <f>IF(OR(Y128="",F128=""),"",Y128*F128)</f>
        <v/>
      </c>
      <c r="AA128" s="4">
        <f>IF(A128="","",IF(OR(U128&gt;1,AND(X128&lt;&gt;"",X128&lt;Inputs!$B$16),AND(X128&lt;&gt;"",X128&gt;Inputs!$B$17),G128&lt;Inputs!$B$18,AH128="CHECK"),"CHECK","OK"))</f>
        <v/>
      </c>
      <c r="AB128" s="4" t="n"/>
      <c r="AC128" s="7" t="n"/>
      <c r="AD128" s="8">
        <f>IF(A128="","",IF(AC128&lt;&gt;"",AC128,IF(E128="",Inputs!$B$38,IFERROR(INDEX($AE$4:$AE$204,MATCH(E128,$A$4:$A$204,0))+IF(OR(AND(UPPER(TRIM(B128))="SWALE",UPPER(TRIM(AI128))="PIPE"),AND(UPPER(TRIM(B128))="TRENCH",UPPER(TRIM(AI128))="PIPE")),Inputs!$B$57,0),""))))</f>
        <v/>
      </c>
      <c r="AE128" s="8">
        <f>IF(OR(AD128="",F128="",G128=""),"",AD128+F128*G128)</f>
        <v/>
      </c>
      <c r="AF128" s="8">
        <f>IF(OR(E128="",A128=""),"",IFERROR(INDEX($AE$4:$AE$204,MATCH(E128,$A$4:$A$204,0)),""))</f>
        <v/>
      </c>
      <c r="AG128" s="8">
        <f>IF(OR(AD128="",AF128=""),"",AD128-AF128)</f>
        <v/>
      </c>
      <c r="AH128" s="4">
        <f>IF(A128="","",IF(E128="","TERMINAL",IF(OR(AND(UPPER(TRIM(B128))="SWALE",UPPER(TRIM(AI128))="PIPE"),AND(UPPER(TRIM(B128))="TRENCH",UPPER(TRIM(AI128))="PIPE")),IF(OR(AG128="",AJ128="",AK128=""),"INFO",IF(AND(AG128&gt;=AJ128,AG128&lt;=AK128),"OK","CHECK")),IF(AG128="","INFO",IF(ABS(AG128)&lt;=Inputs!$B$54,"OK","CHECK")))))</f>
        <v/>
      </c>
      <c r="AI128" s="17">
        <f>IF(A128="","",IF(E128="","",IFERROR(INDEX($B$4:$B$204,MATCH(E128,$A$4:$A$204,0)),"")))</f>
        <v/>
      </c>
      <c r="AJ128" s="17">
        <f>IF(A128="","",IF(OR(AND(UPPER(TRIM(B128))="SWALE",UPPER(TRIM(AI128))="PIPE"),AND(UPPER(TRIM(B128))="TRENCH",UPPER(TRIM(AI128))="PIPE")),Inputs!$B$55,0))</f>
        <v/>
      </c>
      <c r="AK128" s="17">
        <f>IF(A128="","",IF(OR(AND(UPPER(TRIM(B128))="SWALE",UPPER(TRIM(AI128))="PIPE"),AND(UPPER(TRIM(B128))="TRENCH",UPPER(TRIM(AI128))="PIPE")),Inputs!$B$56,Inputs!$B$54))</f>
        <v/>
      </c>
      <c r="AL128" s="4">
        <f>IF(A128="","",IF(E128="","TERMINAL",IF(OR(AND(UPPER(TRIM(B128))="SWALE",UPPER(TRIM(AI128))="PIPE"),AND(UPPER(TRIM(B128))="TRENCH",UPPER(TRIM(AI128))="PIPE")),IF(OR(AG128="",AJ128="",AK128=""),"INFO",IF(AND(AG128&gt;=AJ128,AG128&lt;=AK128),"OK","CHECK")),"N/A")))</f>
        <v/>
      </c>
    </row>
    <row r="129">
      <c r="A129" s="4" t="n"/>
      <c r="B129" s="4" t="n"/>
      <c r="C129" s="4" t="n"/>
      <c r="D129" s="4" t="n"/>
      <c r="E129" s="4" t="n"/>
      <c r="F129" s="7" t="n"/>
      <c r="G129" s="7" t="n"/>
      <c r="H129" s="7" t="n"/>
      <c r="I129" s="8">
        <f>IF(A129="","",IF(H129&lt;&gt;"",H129,IF(UPPER(TRIM(B129))="PIPE",Inputs!$B$7,IF(UPPER(TRIM(B129))="SWALE",Inputs!$B$8,Inputs!$B$9))))</f>
        <v/>
      </c>
      <c r="J129" s="7" t="n"/>
      <c r="K129" s="7" t="n"/>
      <c r="L129" s="7" t="n"/>
      <c r="M129" s="7" t="n"/>
      <c r="N129" s="7" t="n">
        <v>0</v>
      </c>
      <c r="O129" s="8">
        <f>IF(A129="","",SUMIFS(Zones_tributaires!$I:$I,Zones_tributaires!$J:$J,$A129))</f>
        <v/>
      </c>
      <c r="P129" s="8">
        <f>IF(A129="","",SUMIFS($Q$4:$Q$204,$E$4:$E$204,$A129))</f>
        <v/>
      </c>
      <c r="Q129" s="8">
        <f>IF(A129="","",(O129+P129)*Inputs!$B$6)</f>
        <v/>
      </c>
      <c r="R129" s="8">
        <f>IF(A129="","",IF(UPPER(TRIM(B129))="PIPE",PI()*(J129/1000)^2/4,IF(OR(K129="",L129=""),"",L129*(K129+M129*L129))))</f>
        <v/>
      </c>
      <c r="S129" s="8">
        <f>IF(A129="","",IF(UPPER(TRIM(B129))="PIPE",(J129/1000)/4,IF(OR(R129="",K129="",L129=""),"",R129/(K129+2*L129*SQRT(1+M129^2)))))</f>
        <v/>
      </c>
      <c r="T129" s="8">
        <f>IF(A129="","",IF(OR(I129="",R129="",S129="",G129=""),"",(1/I129)*R129*(S129^(2/3))*SQRT(G129)))</f>
        <v/>
      </c>
      <c r="U129" s="8">
        <f>IF(OR(T129="",Q129=""),"",Q129/(T129*Inputs!$B$19))</f>
        <v/>
      </c>
      <c r="V129" s="8">
        <f>IF(OR(R129="",Q129=""),"",Q129/R129)</f>
        <v/>
      </c>
      <c r="W129" s="8">
        <f>IF(OR(R129="",T129=""),"",T129/R129)</f>
        <v/>
      </c>
      <c r="X129" s="8">
        <f>IF(A129="","",IF(OR(UPPER(TRIM(Inputs!$B$15))="MANNING",UPPER(TRIM(Inputs!$B$15))="M"),W129,IF(OR(UPPER(TRIM(Inputs!$B$15))="MAX",UPPER(TRIM(Inputs!$B$15))="X"),MAX(V129,W129),V129)))</f>
        <v/>
      </c>
      <c r="Y129" s="8">
        <f>IF(A129="","",IF(UPPER(TRIM(B129))="TRENCH",K129*L129*N129,IF(UPPER(TRIM(B129))="SWALE",K129*L129,0)))</f>
        <v/>
      </c>
      <c r="Z129" s="8">
        <f>IF(OR(Y129="",F129=""),"",Y129*F129)</f>
        <v/>
      </c>
      <c r="AA129" s="4">
        <f>IF(A129="","",IF(OR(U129&gt;1,AND(X129&lt;&gt;"",X129&lt;Inputs!$B$16),AND(X129&lt;&gt;"",X129&gt;Inputs!$B$17),G129&lt;Inputs!$B$18,AH129="CHECK"),"CHECK","OK"))</f>
        <v/>
      </c>
      <c r="AB129" s="4" t="n"/>
      <c r="AC129" s="7" t="n"/>
      <c r="AD129" s="8">
        <f>IF(A129="","",IF(AC129&lt;&gt;"",AC129,IF(E129="",Inputs!$B$38,IFERROR(INDEX($AE$4:$AE$204,MATCH(E129,$A$4:$A$204,0))+IF(OR(AND(UPPER(TRIM(B129))="SWALE",UPPER(TRIM(AI129))="PIPE"),AND(UPPER(TRIM(B129))="TRENCH",UPPER(TRIM(AI129))="PIPE")),Inputs!$B$57,0),""))))</f>
        <v/>
      </c>
      <c r="AE129" s="8">
        <f>IF(OR(AD129="",F129="",G129=""),"",AD129+F129*G129)</f>
        <v/>
      </c>
      <c r="AF129" s="8">
        <f>IF(OR(E129="",A129=""),"",IFERROR(INDEX($AE$4:$AE$204,MATCH(E129,$A$4:$A$204,0)),""))</f>
        <v/>
      </c>
      <c r="AG129" s="8">
        <f>IF(OR(AD129="",AF129=""),"",AD129-AF129)</f>
        <v/>
      </c>
      <c r="AH129" s="4">
        <f>IF(A129="","",IF(E129="","TERMINAL",IF(OR(AND(UPPER(TRIM(B129))="SWALE",UPPER(TRIM(AI129))="PIPE"),AND(UPPER(TRIM(B129))="TRENCH",UPPER(TRIM(AI129))="PIPE")),IF(OR(AG129="",AJ129="",AK129=""),"INFO",IF(AND(AG129&gt;=AJ129,AG129&lt;=AK129),"OK","CHECK")),IF(AG129="","INFO",IF(ABS(AG129)&lt;=Inputs!$B$54,"OK","CHECK")))))</f>
        <v/>
      </c>
      <c r="AI129" s="17">
        <f>IF(A129="","",IF(E129="","",IFERROR(INDEX($B$4:$B$204,MATCH(E129,$A$4:$A$204,0)),"")))</f>
        <v/>
      </c>
      <c r="AJ129" s="17">
        <f>IF(A129="","",IF(OR(AND(UPPER(TRIM(B129))="SWALE",UPPER(TRIM(AI129))="PIPE"),AND(UPPER(TRIM(B129))="TRENCH",UPPER(TRIM(AI129))="PIPE")),Inputs!$B$55,0))</f>
        <v/>
      </c>
      <c r="AK129" s="17">
        <f>IF(A129="","",IF(OR(AND(UPPER(TRIM(B129))="SWALE",UPPER(TRIM(AI129))="PIPE"),AND(UPPER(TRIM(B129))="TRENCH",UPPER(TRIM(AI129))="PIPE")),Inputs!$B$56,Inputs!$B$54))</f>
        <v/>
      </c>
      <c r="AL129" s="4">
        <f>IF(A129="","",IF(E129="","TERMINAL",IF(OR(AND(UPPER(TRIM(B129))="SWALE",UPPER(TRIM(AI129))="PIPE"),AND(UPPER(TRIM(B129))="TRENCH",UPPER(TRIM(AI129))="PIPE")),IF(OR(AG129="",AJ129="",AK129=""),"INFO",IF(AND(AG129&gt;=AJ129,AG129&lt;=AK129),"OK","CHECK")),"N/A")))</f>
        <v/>
      </c>
    </row>
    <row r="130">
      <c r="A130" s="4" t="n"/>
      <c r="B130" s="4" t="n"/>
      <c r="C130" s="4" t="n"/>
      <c r="D130" s="4" t="n"/>
      <c r="E130" s="4" t="n"/>
      <c r="F130" s="7" t="n"/>
      <c r="G130" s="7" t="n"/>
      <c r="H130" s="7" t="n"/>
      <c r="I130" s="8">
        <f>IF(A130="","",IF(H130&lt;&gt;"",H130,IF(UPPER(TRIM(B130))="PIPE",Inputs!$B$7,IF(UPPER(TRIM(B130))="SWALE",Inputs!$B$8,Inputs!$B$9))))</f>
        <v/>
      </c>
      <c r="J130" s="7" t="n"/>
      <c r="K130" s="7" t="n"/>
      <c r="L130" s="7" t="n"/>
      <c r="M130" s="7" t="n"/>
      <c r="N130" s="7" t="n">
        <v>0</v>
      </c>
      <c r="O130" s="8">
        <f>IF(A130="","",SUMIFS(Zones_tributaires!$I:$I,Zones_tributaires!$J:$J,$A130))</f>
        <v/>
      </c>
      <c r="P130" s="8">
        <f>IF(A130="","",SUMIFS($Q$4:$Q$204,$E$4:$E$204,$A130))</f>
        <v/>
      </c>
      <c r="Q130" s="8">
        <f>IF(A130="","",(O130+P130)*Inputs!$B$6)</f>
        <v/>
      </c>
      <c r="R130" s="8">
        <f>IF(A130="","",IF(UPPER(TRIM(B130))="PIPE",PI()*(J130/1000)^2/4,IF(OR(K130="",L130=""),"",L130*(K130+M130*L130))))</f>
        <v/>
      </c>
      <c r="S130" s="8">
        <f>IF(A130="","",IF(UPPER(TRIM(B130))="PIPE",(J130/1000)/4,IF(OR(R130="",K130="",L130=""),"",R130/(K130+2*L130*SQRT(1+M130^2)))))</f>
        <v/>
      </c>
      <c r="T130" s="8">
        <f>IF(A130="","",IF(OR(I130="",R130="",S130="",G130=""),"",(1/I130)*R130*(S130^(2/3))*SQRT(G130)))</f>
        <v/>
      </c>
      <c r="U130" s="8">
        <f>IF(OR(T130="",Q130=""),"",Q130/(T130*Inputs!$B$19))</f>
        <v/>
      </c>
      <c r="V130" s="8">
        <f>IF(OR(R130="",Q130=""),"",Q130/R130)</f>
        <v/>
      </c>
      <c r="W130" s="8">
        <f>IF(OR(R130="",T130=""),"",T130/R130)</f>
        <v/>
      </c>
      <c r="X130" s="8">
        <f>IF(A130="","",IF(OR(UPPER(TRIM(Inputs!$B$15))="MANNING",UPPER(TRIM(Inputs!$B$15))="M"),W130,IF(OR(UPPER(TRIM(Inputs!$B$15))="MAX",UPPER(TRIM(Inputs!$B$15))="X"),MAX(V130,W130),V130)))</f>
        <v/>
      </c>
      <c r="Y130" s="8">
        <f>IF(A130="","",IF(UPPER(TRIM(B130))="TRENCH",K130*L130*N130,IF(UPPER(TRIM(B130))="SWALE",K130*L130,0)))</f>
        <v/>
      </c>
      <c r="Z130" s="8">
        <f>IF(OR(Y130="",F130=""),"",Y130*F130)</f>
        <v/>
      </c>
      <c r="AA130" s="4">
        <f>IF(A130="","",IF(OR(U130&gt;1,AND(X130&lt;&gt;"",X130&lt;Inputs!$B$16),AND(X130&lt;&gt;"",X130&gt;Inputs!$B$17),G130&lt;Inputs!$B$18,AH130="CHECK"),"CHECK","OK"))</f>
        <v/>
      </c>
      <c r="AB130" s="4" t="n"/>
      <c r="AC130" s="7" t="n"/>
      <c r="AD130" s="8">
        <f>IF(A130="","",IF(AC130&lt;&gt;"",AC130,IF(E130="",Inputs!$B$38,IFERROR(INDEX($AE$4:$AE$204,MATCH(E130,$A$4:$A$204,0))+IF(OR(AND(UPPER(TRIM(B130))="SWALE",UPPER(TRIM(AI130))="PIPE"),AND(UPPER(TRIM(B130))="TRENCH",UPPER(TRIM(AI130))="PIPE")),Inputs!$B$57,0),""))))</f>
        <v/>
      </c>
      <c r="AE130" s="8">
        <f>IF(OR(AD130="",F130="",G130=""),"",AD130+F130*G130)</f>
        <v/>
      </c>
      <c r="AF130" s="8">
        <f>IF(OR(E130="",A130=""),"",IFERROR(INDEX($AE$4:$AE$204,MATCH(E130,$A$4:$A$204,0)),""))</f>
        <v/>
      </c>
      <c r="AG130" s="8">
        <f>IF(OR(AD130="",AF130=""),"",AD130-AF130)</f>
        <v/>
      </c>
      <c r="AH130" s="4">
        <f>IF(A130="","",IF(E130="","TERMINAL",IF(OR(AND(UPPER(TRIM(B130))="SWALE",UPPER(TRIM(AI130))="PIPE"),AND(UPPER(TRIM(B130))="TRENCH",UPPER(TRIM(AI130))="PIPE")),IF(OR(AG130="",AJ130="",AK130=""),"INFO",IF(AND(AG130&gt;=AJ130,AG130&lt;=AK130),"OK","CHECK")),IF(AG130="","INFO",IF(ABS(AG130)&lt;=Inputs!$B$54,"OK","CHECK")))))</f>
        <v/>
      </c>
      <c r="AI130" s="17">
        <f>IF(A130="","",IF(E130="","",IFERROR(INDEX($B$4:$B$204,MATCH(E130,$A$4:$A$204,0)),"")))</f>
        <v/>
      </c>
      <c r="AJ130" s="17">
        <f>IF(A130="","",IF(OR(AND(UPPER(TRIM(B130))="SWALE",UPPER(TRIM(AI130))="PIPE"),AND(UPPER(TRIM(B130))="TRENCH",UPPER(TRIM(AI130))="PIPE")),Inputs!$B$55,0))</f>
        <v/>
      </c>
      <c r="AK130" s="17">
        <f>IF(A130="","",IF(OR(AND(UPPER(TRIM(B130))="SWALE",UPPER(TRIM(AI130))="PIPE"),AND(UPPER(TRIM(B130))="TRENCH",UPPER(TRIM(AI130))="PIPE")),Inputs!$B$56,Inputs!$B$54))</f>
        <v/>
      </c>
      <c r="AL130" s="4">
        <f>IF(A130="","",IF(E130="","TERMINAL",IF(OR(AND(UPPER(TRIM(B130))="SWALE",UPPER(TRIM(AI130))="PIPE"),AND(UPPER(TRIM(B130))="TRENCH",UPPER(TRIM(AI130))="PIPE")),IF(OR(AG130="",AJ130="",AK130=""),"INFO",IF(AND(AG130&gt;=AJ130,AG130&lt;=AK130),"OK","CHECK")),"N/A")))</f>
        <v/>
      </c>
    </row>
    <row r="131">
      <c r="A131" s="4" t="n"/>
      <c r="B131" s="4" t="n"/>
      <c r="C131" s="4" t="n"/>
      <c r="D131" s="4" t="n"/>
      <c r="E131" s="4" t="n"/>
      <c r="F131" s="7" t="n"/>
      <c r="G131" s="7" t="n"/>
      <c r="H131" s="7" t="n"/>
      <c r="I131" s="8">
        <f>IF(A131="","",IF(H131&lt;&gt;"",H131,IF(UPPER(TRIM(B131))="PIPE",Inputs!$B$7,IF(UPPER(TRIM(B131))="SWALE",Inputs!$B$8,Inputs!$B$9))))</f>
        <v/>
      </c>
      <c r="J131" s="7" t="n"/>
      <c r="K131" s="7" t="n"/>
      <c r="L131" s="7" t="n"/>
      <c r="M131" s="7" t="n"/>
      <c r="N131" s="7" t="n">
        <v>0</v>
      </c>
      <c r="O131" s="8">
        <f>IF(A131="","",SUMIFS(Zones_tributaires!$I:$I,Zones_tributaires!$J:$J,$A131))</f>
        <v/>
      </c>
      <c r="P131" s="8">
        <f>IF(A131="","",SUMIFS($Q$4:$Q$204,$E$4:$E$204,$A131))</f>
        <v/>
      </c>
      <c r="Q131" s="8">
        <f>IF(A131="","",(O131+P131)*Inputs!$B$6)</f>
        <v/>
      </c>
      <c r="R131" s="8">
        <f>IF(A131="","",IF(UPPER(TRIM(B131))="PIPE",PI()*(J131/1000)^2/4,IF(OR(K131="",L131=""),"",L131*(K131+M131*L131))))</f>
        <v/>
      </c>
      <c r="S131" s="8">
        <f>IF(A131="","",IF(UPPER(TRIM(B131))="PIPE",(J131/1000)/4,IF(OR(R131="",K131="",L131=""),"",R131/(K131+2*L131*SQRT(1+M131^2)))))</f>
        <v/>
      </c>
      <c r="T131" s="8">
        <f>IF(A131="","",IF(OR(I131="",R131="",S131="",G131=""),"",(1/I131)*R131*(S131^(2/3))*SQRT(G131)))</f>
        <v/>
      </c>
      <c r="U131" s="8">
        <f>IF(OR(T131="",Q131=""),"",Q131/(T131*Inputs!$B$19))</f>
        <v/>
      </c>
      <c r="V131" s="8">
        <f>IF(OR(R131="",Q131=""),"",Q131/R131)</f>
        <v/>
      </c>
      <c r="W131" s="8">
        <f>IF(OR(R131="",T131=""),"",T131/R131)</f>
        <v/>
      </c>
      <c r="X131" s="8">
        <f>IF(A131="","",IF(OR(UPPER(TRIM(Inputs!$B$15))="MANNING",UPPER(TRIM(Inputs!$B$15))="M"),W131,IF(OR(UPPER(TRIM(Inputs!$B$15))="MAX",UPPER(TRIM(Inputs!$B$15))="X"),MAX(V131,W131),V131)))</f>
        <v/>
      </c>
      <c r="Y131" s="8">
        <f>IF(A131="","",IF(UPPER(TRIM(B131))="TRENCH",K131*L131*N131,IF(UPPER(TRIM(B131))="SWALE",K131*L131,0)))</f>
        <v/>
      </c>
      <c r="Z131" s="8">
        <f>IF(OR(Y131="",F131=""),"",Y131*F131)</f>
        <v/>
      </c>
      <c r="AA131" s="4">
        <f>IF(A131="","",IF(OR(U131&gt;1,AND(X131&lt;&gt;"",X131&lt;Inputs!$B$16),AND(X131&lt;&gt;"",X131&gt;Inputs!$B$17),G131&lt;Inputs!$B$18,AH131="CHECK"),"CHECK","OK"))</f>
        <v/>
      </c>
      <c r="AB131" s="4" t="n"/>
      <c r="AC131" s="7" t="n"/>
      <c r="AD131" s="8">
        <f>IF(A131="","",IF(AC131&lt;&gt;"",AC131,IF(E131="",Inputs!$B$38,IFERROR(INDEX($AE$4:$AE$204,MATCH(E131,$A$4:$A$204,0))+IF(OR(AND(UPPER(TRIM(B131))="SWALE",UPPER(TRIM(AI131))="PIPE"),AND(UPPER(TRIM(B131))="TRENCH",UPPER(TRIM(AI131))="PIPE")),Inputs!$B$57,0),""))))</f>
        <v/>
      </c>
      <c r="AE131" s="8">
        <f>IF(OR(AD131="",F131="",G131=""),"",AD131+F131*G131)</f>
        <v/>
      </c>
      <c r="AF131" s="8">
        <f>IF(OR(E131="",A131=""),"",IFERROR(INDEX($AE$4:$AE$204,MATCH(E131,$A$4:$A$204,0)),""))</f>
        <v/>
      </c>
      <c r="AG131" s="8">
        <f>IF(OR(AD131="",AF131=""),"",AD131-AF131)</f>
        <v/>
      </c>
      <c r="AH131" s="4">
        <f>IF(A131="","",IF(E131="","TERMINAL",IF(OR(AND(UPPER(TRIM(B131))="SWALE",UPPER(TRIM(AI131))="PIPE"),AND(UPPER(TRIM(B131))="TRENCH",UPPER(TRIM(AI131))="PIPE")),IF(OR(AG131="",AJ131="",AK131=""),"INFO",IF(AND(AG131&gt;=AJ131,AG131&lt;=AK131),"OK","CHECK")),IF(AG131="","INFO",IF(ABS(AG131)&lt;=Inputs!$B$54,"OK","CHECK")))))</f>
        <v/>
      </c>
      <c r="AI131" s="17">
        <f>IF(A131="","",IF(E131="","",IFERROR(INDEX($B$4:$B$204,MATCH(E131,$A$4:$A$204,0)),"")))</f>
        <v/>
      </c>
      <c r="AJ131" s="17">
        <f>IF(A131="","",IF(OR(AND(UPPER(TRIM(B131))="SWALE",UPPER(TRIM(AI131))="PIPE"),AND(UPPER(TRIM(B131))="TRENCH",UPPER(TRIM(AI131))="PIPE")),Inputs!$B$55,0))</f>
        <v/>
      </c>
      <c r="AK131" s="17">
        <f>IF(A131="","",IF(OR(AND(UPPER(TRIM(B131))="SWALE",UPPER(TRIM(AI131))="PIPE"),AND(UPPER(TRIM(B131))="TRENCH",UPPER(TRIM(AI131))="PIPE")),Inputs!$B$56,Inputs!$B$54))</f>
        <v/>
      </c>
      <c r="AL131" s="4">
        <f>IF(A131="","",IF(E131="","TERMINAL",IF(OR(AND(UPPER(TRIM(B131))="SWALE",UPPER(TRIM(AI131))="PIPE"),AND(UPPER(TRIM(B131))="TRENCH",UPPER(TRIM(AI131))="PIPE")),IF(OR(AG131="",AJ131="",AK131=""),"INFO",IF(AND(AG131&gt;=AJ131,AG131&lt;=AK131),"OK","CHECK")),"N/A")))</f>
        <v/>
      </c>
    </row>
    <row r="132">
      <c r="A132" s="4" t="n"/>
      <c r="B132" s="4" t="n"/>
      <c r="C132" s="4" t="n"/>
      <c r="D132" s="4" t="n"/>
      <c r="E132" s="4" t="n"/>
      <c r="F132" s="7" t="n"/>
      <c r="G132" s="7" t="n"/>
      <c r="H132" s="7" t="n"/>
      <c r="I132" s="8">
        <f>IF(A132="","",IF(H132&lt;&gt;"",H132,IF(UPPER(TRIM(B132))="PIPE",Inputs!$B$7,IF(UPPER(TRIM(B132))="SWALE",Inputs!$B$8,Inputs!$B$9))))</f>
        <v/>
      </c>
      <c r="J132" s="7" t="n"/>
      <c r="K132" s="7" t="n"/>
      <c r="L132" s="7" t="n"/>
      <c r="M132" s="7" t="n"/>
      <c r="N132" s="7" t="n">
        <v>0</v>
      </c>
      <c r="O132" s="8">
        <f>IF(A132="","",SUMIFS(Zones_tributaires!$I:$I,Zones_tributaires!$J:$J,$A132))</f>
        <v/>
      </c>
      <c r="P132" s="8">
        <f>IF(A132="","",SUMIFS($Q$4:$Q$204,$E$4:$E$204,$A132))</f>
        <v/>
      </c>
      <c r="Q132" s="8">
        <f>IF(A132="","",(O132+P132)*Inputs!$B$6)</f>
        <v/>
      </c>
      <c r="R132" s="8">
        <f>IF(A132="","",IF(UPPER(TRIM(B132))="PIPE",PI()*(J132/1000)^2/4,IF(OR(K132="",L132=""),"",L132*(K132+M132*L132))))</f>
        <v/>
      </c>
      <c r="S132" s="8">
        <f>IF(A132="","",IF(UPPER(TRIM(B132))="PIPE",(J132/1000)/4,IF(OR(R132="",K132="",L132=""),"",R132/(K132+2*L132*SQRT(1+M132^2)))))</f>
        <v/>
      </c>
      <c r="T132" s="8">
        <f>IF(A132="","",IF(OR(I132="",R132="",S132="",G132=""),"",(1/I132)*R132*(S132^(2/3))*SQRT(G132)))</f>
        <v/>
      </c>
      <c r="U132" s="8">
        <f>IF(OR(T132="",Q132=""),"",Q132/(T132*Inputs!$B$19))</f>
        <v/>
      </c>
      <c r="V132" s="8">
        <f>IF(OR(R132="",Q132=""),"",Q132/R132)</f>
        <v/>
      </c>
      <c r="W132" s="8">
        <f>IF(OR(R132="",T132=""),"",T132/R132)</f>
        <v/>
      </c>
      <c r="X132" s="8">
        <f>IF(A132="","",IF(OR(UPPER(TRIM(Inputs!$B$15))="MANNING",UPPER(TRIM(Inputs!$B$15))="M"),W132,IF(OR(UPPER(TRIM(Inputs!$B$15))="MAX",UPPER(TRIM(Inputs!$B$15))="X"),MAX(V132,W132),V132)))</f>
        <v/>
      </c>
      <c r="Y132" s="8">
        <f>IF(A132="","",IF(UPPER(TRIM(B132))="TRENCH",K132*L132*N132,IF(UPPER(TRIM(B132))="SWALE",K132*L132,0)))</f>
        <v/>
      </c>
      <c r="Z132" s="8">
        <f>IF(OR(Y132="",F132=""),"",Y132*F132)</f>
        <v/>
      </c>
      <c r="AA132" s="4">
        <f>IF(A132="","",IF(OR(U132&gt;1,AND(X132&lt;&gt;"",X132&lt;Inputs!$B$16),AND(X132&lt;&gt;"",X132&gt;Inputs!$B$17),G132&lt;Inputs!$B$18,AH132="CHECK"),"CHECK","OK"))</f>
        <v/>
      </c>
      <c r="AB132" s="4" t="n"/>
      <c r="AC132" s="7" t="n"/>
      <c r="AD132" s="8">
        <f>IF(A132="","",IF(AC132&lt;&gt;"",AC132,IF(E132="",Inputs!$B$38,IFERROR(INDEX($AE$4:$AE$204,MATCH(E132,$A$4:$A$204,0))+IF(OR(AND(UPPER(TRIM(B132))="SWALE",UPPER(TRIM(AI132))="PIPE"),AND(UPPER(TRIM(B132))="TRENCH",UPPER(TRIM(AI132))="PIPE")),Inputs!$B$57,0),""))))</f>
        <v/>
      </c>
      <c r="AE132" s="8">
        <f>IF(OR(AD132="",F132="",G132=""),"",AD132+F132*G132)</f>
        <v/>
      </c>
      <c r="AF132" s="8">
        <f>IF(OR(E132="",A132=""),"",IFERROR(INDEX($AE$4:$AE$204,MATCH(E132,$A$4:$A$204,0)),""))</f>
        <v/>
      </c>
      <c r="AG132" s="8">
        <f>IF(OR(AD132="",AF132=""),"",AD132-AF132)</f>
        <v/>
      </c>
      <c r="AH132" s="4">
        <f>IF(A132="","",IF(E132="","TERMINAL",IF(OR(AND(UPPER(TRIM(B132))="SWALE",UPPER(TRIM(AI132))="PIPE"),AND(UPPER(TRIM(B132))="TRENCH",UPPER(TRIM(AI132))="PIPE")),IF(OR(AG132="",AJ132="",AK132=""),"INFO",IF(AND(AG132&gt;=AJ132,AG132&lt;=AK132),"OK","CHECK")),IF(AG132="","INFO",IF(ABS(AG132)&lt;=Inputs!$B$54,"OK","CHECK")))))</f>
        <v/>
      </c>
      <c r="AI132" s="17">
        <f>IF(A132="","",IF(E132="","",IFERROR(INDEX($B$4:$B$204,MATCH(E132,$A$4:$A$204,0)),"")))</f>
        <v/>
      </c>
      <c r="AJ132" s="17">
        <f>IF(A132="","",IF(OR(AND(UPPER(TRIM(B132))="SWALE",UPPER(TRIM(AI132))="PIPE"),AND(UPPER(TRIM(B132))="TRENCH",UPPER(TRIM(AI132))="PIPE")),Inputs!$B$55,0))</f>
        <v/>
      </c>
      <c r="AK132" s="17">
        <f>IF(A132="","",IF(OR(AND(UPPER(TRIM(B132))="SWALE",UPPER(TRIM(AI132))="PIPE"),AND(UPPER(TRIM(B132))="TRENCH",UPPER(TRIM(AI132))="PIPE")),Inputs!$B$56,Inputs!$B$54))</f>
        <v/>
      </c>
      <c r="AL132" s="4">
        <f>IF(A132="","",IF(E132="","TERMINAL",IF(OR(AND(UPPER(TRIM(B132))="SWALE",UPPER(TRIM(AI132))="PIPE"),AND(UPPER(TRIM(B132))="TRENCH",UPPER(TRIM(AI132))="PIPE")),IF(OR(AG132="",AJ132="",AK132=""),"INFO",IF(AND(AG132&gt;=AJ132,AG132&lt;=AK132),"OK","CHECK")),"N/A")))</f>
        <v/>
      </c>
    </row>
    <row r="133">
      <c r="A133" s="4" t="n"/>
      <c r="B133" s="4" t="n"/>
      <c r="C133" s="4" t="n"/>
      <c r="D133" s="4" t="n"/>
      <c r="E133" s="4" t="n"/>
      <c r="F133" s="7" t="n"/>
      <c r="G133" s="7" t="n"/>
      <c r="H133" s="7" t="n"/>
      <c r="I133" s="8">
        <f>IF(A133="","",IF(H133&lt;&gt;"",H133,IF(UPPER(TRIM(B133))="PIPE",Inputs!$B$7,IF(UPPER(TRIM(B133))="SWALE",Inputs!$B$8,Inputs!$B$9))))</f>
        <v/>
      </c>
      <c r="J133" s="7" t="n"/>
      <c r="K133" s="7" t="n"/>
      <c r="L133" s="7" t="n"/>
      <c r="M133" s="7" t="n"/>
      <c r="N133" s="7" t="n">
        <v>0</v>
      </c>
      <c r="O133" s="8">
        <f>IF(A133="","",SUMIFS(Zones_tributaires!$I:$I,Zones_tributaires!$J:$J,$A133))</f>
        <v/>
      </c>
      <c r="P133" s="8">
        <f>IF(A133="","",SUMIFS($Q$4:$Q$204,$E$4:$E$204,$A133))</f>
        <v/>
      </c>
      <c r="Q133" s="8">
        <f>IF(A133="","",(O133+P133)*Inputs!$B$6)</f>
        <v/>
      </c>
      <c r="R133" s="8">
        <f>IF(A133="","",IF(UPPER(TRIM(B133))="PIPE",PI()*(J133/1000)^2/4,IF(OR(K133="",L133=""),"",L133*(K133+M133*L133))))</f>
        <v/>
      </c>
      <c r="S133" s="8">
        <f>IF(A133="","",IF(UPPER(TRIM(B133))="PIPE",(J133/1000)/4,IF(OR(R133="",K133="",L133=""),"",R133/(K133+2*L133*SQRT(1+M133^2)))))</f>
        <v/>
      </c>
      <c r="T133" s="8">
        <f>IF(A133="","",IF(OR(I133="",R133="",S133="",G133=""),"",(1/I133)*R133*(S133^(2/3))*SQRT(G133)))</f>
        <v/>
      </c>
      <c r="U133" s="8">
        <f>IF(OR(T133="",Q133=""),"",Q133/(T133*Inputs!$B$19))</f>
        <v/>
      </c>
      <c r="V133" s="8">
        <f>IF(OR(R133="",Q133=""),"",Q133/R133)</f>
        <v/>
      </c>
      <c r="W133" s="8">
        <f>IF(OR(R133="",T133=""),"",T133/R133)</f>
        <v/>
      </c>
      <c r="X133" s="8">
        <f>IF(A133="","",IF(OR(UPPER(TRIM(Inputs!$B$15))="MANNING",UPPER(TRIM(Inputs!$B$15))="M"),W133,IF(OR(UPPER(TRIM(Inputs!$B$15))="MAX",UPPER(TRIM(Inputs!$B$15))="X"),MAX(V133,W133),V133)))</f>
        <v/>
      </c>
      <c r="Y133" s="8">
        <f>IF(A133="","",IF(UPPER(TRIM(B133))="TRENCH",K133*L133*N133,IF(UPPER(TRIM(B133))="SWALE",K133*L133,0)))</f>
        <v/>
      </c>
      <c r="Z133" s="8">
        <f>IF(OR(Y133="",F133=""),"",Y133*F133)</f>
        <v/>
      </c>
      <c r="AA133" s="4">
        <f>IF(A133="","",IF(OR(U133&gt;1,AND(X133&lt;&gt;"",X133&lt;Inputs!$B$16),AND(X133&lt;&gt;"",X133&gt;Inputs!$B$17),G133&lt;Inputs!$B$18,AH133="CHECK"),"CHECK","OK"))</f>
        <v/>
      </c>
      <c r="AB133" s="4" t="n"/>
      <c r="AC133" s="7" t="n"/>
      <c r="AD133" s="8">
        <f>IF(A133="","",IF(AC133&lt;&gt;"",AC133,IF(E133="",Inputs!$B$38,IFERROR(INDEX($AE$4:$AE$204,MATCH(E133,$A$4:$A$204,0))+IF(OR(AND(UPPER(TRIM(B133))="SWALE",UPPER(TRIM(AI133))="PIPE"),AND(UPPER(TRIM(B133))="TRENCH",UPPER(TRIM(AI133))="PIPE")),Inputs!$B$57,0),""))))</f>
        <v/>
      </c>
      <c r="AE133" s="8">
        <f>IF(OR(AD133="",F133="",G133=""),"",AD133+F133*G133)</f>
        <v/>
      </c>
      <c r="AF133" s="8">
        <f>IF(OR(E133="",A133=""),"",IFERROR(INDEX($AE$4:$AE$204,MATCH(E133,$A$4:$A$204,0)),""))</f>
        <v/>
      </c>
      <c r="AG133" s="8">
        <f>IF(OR(AD133="",AF133=""),"",AD133-AF133)</f>
        <v/>
      </c>
      <c r="AH133" s="4">
        <f>IF(A133="","",IF(E133="","TERMINAL",IF(OR(AND(UPPER(TRIM(B133))="SWALE",UPPER(TRIM(AI133))="PIPE"),AND(UPPER(TRIM(B133))="TRENCH",UPPER(TRIM(AI133))="PIPE")),IF(OR(AG133="",AJ133="",AK133=""),"INFO",IF(AND(AG133&gt;=AJ133,AG133&lt;=AK133),"OK","CHECK")),IF(AG133="","INFO",IF(ABS(AG133)&lt;=Inputs!$B$54,"OK","CHECK")))))</f>
        <v/>
      </c>
      <c r="AI133" s="17">
        <f>IF(A133="","",IF(E133="","",IFERROR(INDEX($B$4:$B$204,MATCH(E133,$A$4:$A$204,0)),"")))</f>
        <v/>
      </c>
      <c r="AJ133" s="17">
        <f>IF(A133="","",IF(OR(AND(UPPER(TRIM(B133))="SWALE",UPPER(TRIM(AI133))="PIPE"),AND(UPPER(TRIM(B133))="TRENCH",UPPER(TRIM(AI133))="PIPE")),Inputs!$B$55,0))</f>
        <v/>
      </c>
      <c r="AK133" s="17">
        <f>IF(A133="","",IF(OR(AND(UPPER(TRIM(B133))="SWALE",UPPER(TRIM(AI133))="PIPE"),AND(UPPER(TRIM(B133))="TRENCH",UPPER(TRIM(AI133))="PIPE")),Inputs!$B$56,Inputs!$B$54))</f>
        <v/>
      </c>
      <c r="AL133" s="4">
        <f>IF(A133="","",IF(E133="","TERMINAL",IF(OR(AND(UPPER(TRIM(B133))="SWALE",UPPER(TRIM(AI133))="PIPE"),AND(UPPER(TRIM(B133))="TRENCH",UPPER(TRIM(AI133))="PIPE")),IF(OR(AG133="",AJ133="",AK133=""),"INFO",IF(AND(AG133&gt;=AJ133,AG133&lt;=AK133),"OK","CHECK")),"N/A")))</f>
        <v/>
      </c>
    </row>
    <row r="134">
      <c r="A134" s="4" t="n"/>
      <c r="B134" s="4" t="n"/>
      <c r="C134" s="4" t="n"/>
      <c r="D134" s="4" t="n"/>
      <c r="E134" s="4" t="n"/>
      <c r="F134" s="7" t="n"/>
      <c r="G134" s="7" t="n"/>
      <c r="H134" s="7" t="n"/>
      <c r="I134" s="8">
        <f>IF(A134="","",IF(H134&lt;&gt;"",H134,IF(UPPER(TRIM(B134))="PIPE",Inputs!$B$7,IF(UPPER(TRIM(B134))="SWALE",Inputs!$B$8,Inputs!$B$9))))</f>
        <v/>
      </c>
      <c r="J134" s="7" t="n"/>
      <c r="K134" s="7" t="n"/>
      <c r="L134" s="7" t="n"/>
      <c r="M134" s="7" t="n"/>
      <c r="N134" s="7" t="n">
        <v>0</v>
      </c>
      <c r="O134" s="8">
        <f>IF(A134="","",SUMIFS(Zones_tributaires!$I:$I,Zones_tributaires!$J:$J,$A134))</f>
        <v/>
      </c>
      <c r="P134" s="8">
        <f>IF(A134="","",SUMIFS($Q$4:$Q$204,$E$4:$E$204,$A134))</f>
        <v/>
      </c>
      <c r="Q134" s="8">
        <f>IF(A134="","",(O134+P134)*Inputs!$B$6)</f>
        <v/>
      </c>
      <c r="R134" s="8">
        <f>IF(A134="","",IF(UPPER(TRIM(B134))="PIPE",PI()*(J134/1000)^2/4,IF(OR(K134="",L134=""),"",L134*(K134+M134*L134))))</f>
        <v/>
      </c>
      <c r="S134" s="8">
        <f>IF(A134="","",IF(UPPER(TRIM(B134))="PIPE",(J134/1000)/4,IF(OR(R134="",K134="",L134=""),"",R134/(K134+2*L134*SQRT(1+M134^2)))))</f>
        <v/>
      </c>
      <c r="T134" s="8">
        <f>IF(A134="","",IF(OR(I134="",R134="",S134="",G134=""),"",(1/I134)*R134*(S134^(2/3))*SQRT(G134)))</f>
        <v/>
      </c>
      <c r="U134" s="8">
        <f>IF(OR(T134="",Q134=""),"",Q134/(T134*Inputs!$B$19))</f>
        <v/>
      </c>
      <c r="V134" s="8">
        <f>IF(OR(R134="",Q134=""),"",Q134/R134)</f>
        <v/>
      </c>
      <c r="W134" s="8">
        <f>IF(OR(R134="",T134=""),"",T134/R134)</f>
        <v/>
      </c>
      <c r="X134" s="8">
        <f>IF(A134="","",IF(OR(UPPER(TRIM(Inputs!$B$15))="MANNING",UPPER(TRIM(Inputs!$B$15))="M"),W134,IF(OR(UPPER(TRIM(Inputs!$B$15))="MAX",UPPER(TRIM(Inputs!$B$15))="X"),MAX(V134,W134),V134)))</f>
        <v/>
      </c>
      <c r="Y134" s="8">
        <f>IF(A134="","",IF(UPPER(TRIM(B134))="TRENCH",K134*L134*N134,IF(UPPER(TRIM(B134))="SWALE",K134*L134,0)))</f>
        <v/>
      </c>
      <c r="Z134" s="8">
        <f>IF(OR(Y134="",F134=""),"",Y134*F134)</f>
        <v/>
      </c>
      <c r="AA134" s="4">
        <f>IF(A134="","",IF(OR(U134&gt;1,AND(X134&lt;&gt;"",X134&lt;Inputs!$B$16),AND(X134&lt;&gt;"",X134&gt;Inputs!$B$17),G134&lt;Inputs!$B$18,AH134="CHECK"),"CHECK","OK"))</f>
        <v/>
      </c>
      <c r="AB134" s="4" t="n"/>
      <c r="AC134" s="7" t="n"/>
      <c r="AD134" s="8">
        <f>IF(A134="","",IF(AC134&lt;&gt;"",AC134,IF(E134="",Inputs!$B$38,IFERROR(INDEX($AE$4:$AE$204,MATCH(E134,$A$4:$A$204,0))+IF(OR(AND(UPPER(TRIM(B134))="SWALE",UPPER(TRIM(AI134))="PIPE"),AND(UPPER(TRIM(B134))="TRENCH",UPPER(TRIM(AI134))="PIPE")),Inputs!$B$57,0),""))))</f>
        <v/>
      </c>
      <c r="AE134" s="8">
        <f>IF(OR(AD134="",F134="",G134=""),"",AD134+F134*G134)</f>
        <v/>
      </c>
      <c r="AF134" s="8">
        <f>IF(OR(E134="",A134=""),"",IFERROR(INDEX($AE$4:$AE$204,MATCH(E134,$A$4:$A$204,0)),""))</f>
        <v/>
      </c>
      <c r="AG134" s="8">
        <f>IF(OR(AD134="",AF134=""),"",AD134-AF134)</f>
        <v/>
      </c>
      <c r="AH134" s="4">
        <f>IF(A134="","",IF(E134="","TERMINAL",IF(OR(AND(UPPER(TRIM(B134))="SWALE",UPPER(TRIM(AI134))="PIPE"),AND(UPPER(TRIM(B134))="TRENCH",UPPER(TRIM(AI134))="PIPE")),IF(OR(AG134="",AJ134="",AK134=""),"INFO",IF(AND(AG134&gt;=AJ134,AG134&lt;=AK134),"OK","CHECK")),IF(AG134="","INFO",IF(ABS(AG134)&lt;=Inputs!$B$54,"OK","CHECK")))))</f>
        <v/>
      </c>
      <c r="AI134" s="17">
        <f>IF(A134="","",IF(E134="","",IFERROR(INDEX($B$4:$B$204,MATCH(E134,$A$4:$A$204,0)),"")))</f>
        <v/>
      </c>
      <c r="AJ134" s="17">
        <f>IF(A134="","",IF(OR(AND(UPPER(TRIM(B134))="SWALE",UPPER(TRIM(AI134))="PIPE"),AND(UPPER(TRIM(B134))="TRENCH",UPPER(TRIM(AI134))="PIPE")),Inputs!$B$55,0))</f>
        <v/>
      </c>
      <c r="AK134" s="17">
        <f>IF(A134="","",IF(OR(AND(UPPER(TRIM(B134))="SWALE",UPPER(TRIM(AI134))="PIPE"),AND(UPPER(TRIM(B134))="TRENCH",UPPER(TRIM(AI134))="PIPE")),Inputs!$B$56,Inputs!$B$54))</f>
        <v/>
      </c>
      <c r="AL134" s="4">
        <f>IF(A134="","",IF(E134="","TERMINAL",IF(OR(AND(UPPER(TRIM(B134))="SWALE",UPPER(TRIM(AI134))="PIPE"),AND(UPPER(TRIM(B134))="TRENCH",UPPER(TRIM(AI134))="PIPE")),IF(OR(AG134="",AJ134="",AK134=""),"INFO",IF(AND(AG134&gt;=AJ134,AG134&lt;=AK134),"OK","CHECK")),"N/A")))</f>
        <v/>
      </c>
    </row>
    <row r="135">
      <c r="A135" s="4" t="n"/>
      <c r="B135" s="4" t="n"/>
      <c r="C135" s="4" t="n"/>
      <c r="D135" s="4" t="n"/>
      <c r="E135" s="4" t="n"/>
      <c r="F135" s="7" t="n"/>
      <c r="G135" s="7" t="n"/>
      <c r="H135" s="7" t="n"/>
      <c r="I135" s="8">
        <f>IF(A135="","",IF(H135&lt;&gt;"",H135,IF(UPPER(TRIM(B135))="PIPE",Inputs!$B$7,IF(UPPER(TRIM(B135))="SWALE",Inputs!$B$8,Inputs!$B$9))))</f>
        <v/>
      </c>
      <c r="J135" s="7" t="n"/>
      <c r="K135" s="7" t="n"/>
      <c r="L135" s="7" t="n"/>
      <c r="M135" s="7" t="n"/>
      <c r="N135" s="7" t="n">
        <v>0</v>
      </c>
      <c r="O135" s="8">
        <f>IF(A135="","",SUMIFS(Zones_tributaires!$I:$I,Zones_tributaires!$J:$J,$A135))</f>
        <v/>
      </c>
      <c r="P135" s="8">
        <f>IF(A135="","",SUMIFS($Q$4:$Q$204,$E$4:$E$204,$A135))</f>
        <v/>
      </c>
      <c r="Q135" s="8">
        <f>IF(A135="","",(O135+P135)*Inputs!$B$6)</f>
        <v/>
      </c>
      <c r="R135" s="8">
        <f>IF(A135="","",IF(UPPER(TRIM(B135))="PIPE",PI()*(J135/1000)^2/4,IF(OR(K135="",L135=""),"",L135*(K135+M135*L135))))</f>
        <v/>
      </c>
      <c r="S135" s="8">
        <f>IF(A135="","",IF(UPPER(TRIM(B135))="PIPE",(J135/1000)/4,IF(OR(R135="",K135="",L135=""),"",R135/(K135+2*L135*SQRT(1+M135^2)))))</f>
        <v/>
      </c>
      <c r="T135" s="8">
        <f>IF(A135="","",IF(OR(I135="",R135="",S135="",G135=""),"",(1/I135)*R135*(S135^(2/3))*SQRT(G135)))</f>
        <v/>
      </c>
      <c r="U135" s="8">
        <f>IF(OR(T135="",Q135=""),"",Q135/(T135*Inputs!$B$19))</f>
        <v/>
      </c>
      <c r="V135" s="8">
        <f>IF(OR(R135="",Q135=""),"",Q135/R135)</f>
        <v/>
      </c>
      <c r="W135" s="8">
        <f>IF(OR(R135="",T135=""),"",T135/R135)</f>
        <v/>
      </c>
      <c r="X135" s="8">
        <f>IF(A135="","",IF(OR(UPPER(TRIM(Inputs!$B$15))="MANNING",UPPER(TRIM(Inputs!$B$15))="M"),W135,IF(OR(UPPER(TRIM(Inputs!$B$15))="MAX",UPPER(TRIM(Inputs!$B$15))="X"),MAX(V135,W135),V135)))</f>
        <v/>
      </c>
      <c r="Y135" s="8">
        <f>IF(A135="","",IF(UPPER(TRIM(B135))="TRENCH",K135*L135*N135,IF(UPPER(TRIM(B135))="SWALE",K135*L135,0)))</f>
        <v/>
      </c>
      <c r="Z135" s="8">
        <f>IF(OR(Y135="",F135=""),"",Y135*F135)</f>
        <v/>
      </c>
      <c r="AA135" s="4">
        <f>IF(A135="","",IF(OR(U135&gt;1,AND(X135&lt;&gt;"",X135&lt;Inputs!$B$16),AND(X135&lt;&gt;"",X135&gt;Inputs!$B$17),G135&lt;Inputs!$B$18,AH135="CHECK"),"CHECK","OK"))</f>
        <v/>
      </c>
      <c r="AB135" s="4" t="n"/>
      <c r="AC135" s="7" t="n"/>
      <c r="AD135" s="8">
        <f>IF(A135="","",IF(AC135&lt;&gt;"",AC135,IF(E135="",Inputs!$B$38,IFERROR(INDEX($AE$4:$AE$204,MATCH(E135,$A$4:$A$204,0))+IF(OR(AND(UPPER(TRIM(B135))="SWALE",UPPER(TRIM(AI135))="PIPE"),AND(UPPER(TRIM(B135))="TRENCH",UPPER(TRIM(AI135))="PIPE")),Inputs!$B$57,0),""))))</f>
        <v/>
      </c>
      <c r="AE135" s="8">
        <f>IF(OR(AD135="",F135="",G135=""),"",AD135+F135*G135)</f>
        <v/>
      </c>
      <c r="AF135" s="8">
        <f>IF(OR(E135="",A135=""),"",IFERROR(INDEX($AE$4:$AE$204,MATCH(E135,$A$4:$A$204,0)),""))</f>
        <v/>
      </c>
      <c r="AG135" s="8">
        <f>IF(OR(AD135="",AF135=""),"",AD135-AF135)</f>
        <v/>
      </c>
      <c r="AH135" s="4">
        <f>IF(A135="","",IF(E135="","TERMINAL",IF(OR(AND(UPPER(TRIM(B135))="SWALE",UPPER(TRIM(AI135))="PIPE"),AND(UPPER(TRIM(B135))="TRENCH",UPPER(TRIM(AI135))="PIPE")),IF(OR(AG135="",AJ135="",AK135=""),"INFO",IF(AND(AG135&gt;=AJ135,AG135&lt;=AK135),"OK","CHECK")),IF(AG135="","INFO",IF(ABS(AG135)&lt;=Inputs!$B$54,"OK","CHECK")))))</f>
        <v/>
      </c>
      <c r="AI135" s="17">
        <f>IF(A135="","",IF(E135="","",IFERROR(INDEX($B$4:$B$204,MATCH(E135,$A$4:$A$204,0)),"")))</f>
        <v/>
      </c>
      <c r="AJ135" s="17">
        <f>IF(A135="","",IF(OR(AND(UPPER(TRIM(B135))="SWALE",UPPER(TRIM(AI135))="PIPE"),AND(UPPER(TRIM(B135))="TRENCH",UPPER(TRIM(AI135))="PIPE")),Inputs!$B$55,0))</f>
        <v/>
      </c>
      <c r="AK135" s="17">
        <f>IF(A135="","",IF(OR(AND(UPPER(TRIM(B135))="SWALE",UPPER(TRIM(AI135))="PIPE"),AND(UPPER(TRIM(B135))="TRENCH",UPPER(TRIM(AI135))="PIPE")),Inputs!$B$56,Inputs!$B$54))</f>
        <v/>
      </c>
      <c r="AL135" s="4">
        <f>IF(A135="","",IF(E135="","TERMINAL",IF(OR(AND(UPPER(TRIM(B135))="SWALE",UPPER(TRIM(AI135))="PIPE"),AND(UPPER(TRIM(B135))="TRENCH",UPPER(TRIM(AI135))="PIPE")),IF(OR(AG135="",AJ135="",AK135=""),"INFO",IF(AND(AG135&gt;=AJ135,AG135&lt;=AK135),"OK","CHECK")),"N/A")))</f>
        <v/>
      </c>
    </row>
    <row r="136">
      <c r="A136" s="4" t="n"/>
      <c r="B136" s="4" t="n"/>
      <c r="C136" s="4" t="n"/>
      <c r="D136" s="4" t="n"/>
      <c r="E136" s="4" t="n"/>
      <c r="F136" s="7" t="n"/>
      <c r="G136" s="7" t="n"/>
      <c r="H136" s="7" t="n"/>
      <c r="I136" s="8">
        <f>IF(A136="","",IF(H136&lt;&gt;"",H136,IF(UPPER(TRIM(B136))="PIPE",Inputs!$B$7,IF(UPPER(TRIM(B136))="SWALE",Inputs!$B$8,Inputs!$B$9))))</f>
        <v/>
      </c>
      <c r="J136" s="7" t="n"/>
      <c r="K136" s="7" t="n"/>
      <c r="L136" s="7" t="n"/>
      <c r="M136" s="7" t="n"/>
      <c r="N136" s="7" t="n">
        <v>0</v>
      </c>
      <c r="O136" s="8">
        <f>IF(A136="","",SUMIFS(Zones_tributaires!$I:$I,Zones_tributaires!$J:$J,$A136))</f>
        <v/>
      </c>
      <c r="P136" s="8">
        <f>IF(A136="","",SUMIFS($Q$4:$Q$204,$E$4:$E$204,$A136))</f>
        <v/>
      </c>
      <c r="Q136" s="8">
        <f>IF(A136="","",(O136+P136)*Inputs!$B$6)</f>
        <v/>
      </c>
      <c r="R136" s="8">
        <f>IF(A136="","",IF(UPPER(TRIM(B136))="PIPE",PI()*(J136/1000)^2/4,IF(OR(K136="",L136=""),"",L136*(K136+M136*L136))))</f>
        <v/>
      </c>
      <c r="S136" s="8">
        <f>IF(A136="","",IF(UPPER(TRIM(B136))="PIPE",(J136/1000)/4,IF(OR(R136="",K136="",L136=""),"",R136/(K136+2*L136*SQRT(1+M136^2)))))</f>
        <v/>
      </c>
      <c r="T136" s="8">
        <f>IF(A136="","",IF(OR(I136="",R136="",S136="",G136=""),"",(1/I136)*R136*(S136^(2/3))*SQRT(G136)))</f>
        <v/>
      </c>
      <c r="U136" s="8">
        <f>IF(OR(T136="",Q136=""),"",Q136/(T136*Inputs!$B$19))</f>
        <v/>
      </c>
      <c r="V136" s="8">
        <f>IF(OR(R136="",Q136=""),"",Q136/R136)</f>
        <v/>
      </c>
      <c r="W136" s="8">
        <f>IF(OR(R136="",T136=""),"",T136/R136)</f>
        <v/>
      </c>
      <c r="X136" s="8">
        <f>IF(A136="","",IF(OR(UPPER(TRIM(Inputs!$B$15))="MANNING",UPPER(TRIM(Inputs!$B$15))="M"),W136,IF(OR(UPPER(TRIM(Inputs!$B$15))="MAX",UPPER(TRIM(Inputs!$B$15))="X"),MAX(V136,W136),V136)))</f>
        <v/>
      </c>
      <c r="Y136" s="8">
        <f>IF(A136="","",IF(UPPER(TRIM(B136))="TRENCH",K136*L136*N136,IF(UPPER(TRIM(B136))="SWALE",K136*L136,0)))</f>
        <v/>
      </c>
      <c r="Z136" s="8">
        <f>IF(OR(Y136="",F136=""),"",Y136*F136)</f>
        <v/>
      </c>
      <c r="AA136" s="4">
        <f>IF(A136="","",IF(OR(U136&gt;1,AND(X136&lt;&gt;"",X136&lt;Inputs!$B$16),AND(X136&lt;&gt;"",X136&gt;Inputs!$B$17),G136&lt;Inputs!$B$18,AH136="CHECK"),"CHECK","OK"))</f>
        <v/>
      </c>
      <c r="AB136" s="4" t="n"/>
      <c r="AC136" s="7" t="n"/>
      <c r="AD136" s="8">
        <f>IF(A136="","",IF(AC136&lt;&gt;"",AC136,IF(E136="",Inputs!$B$38,IFERROR(INDEX($AE$4:$AE$204,MATCH(E136,$A$4:$A$204,0))+IF(OR(AND(UPPER(TRIM(B136))="SWALE",UPPER(TRIM(AI136))="PIPE"),AND(UPPER(TRIM(B136))="TRENCH",UPPER(TRIM(AI136))="PIPE")),Inputs!$B$57,0),""))))</f>
        <v/>
      </c>
      <c r="AE136" s="8">
        <f>IF(OR(AD136="",F136="",G136=""),"",AD136+F136*G136)</f>
        <v/>
      </c>
      <c r="AF136" s="8">
        <f>IF(OR(E136="",A136=""),"",IFERROR(INDEX($AE$4:$AE$204,MATCH(E136,$A$4:$A$204,0)),""))</f>
        <v/>
      </c>
      <c r="AG136" s="8">
        <f>IF(OR(AD136="",AF136=""),"",AD136-AF136)</f>
        <v/>
      </c>
      <c r="AH136" s="4">
        <f>IF(A136="","",IF(E136="","TERMINAL",IF(OR(AND(UPPER(TRIM(B136))="SWALE",UPPER(TRIM(AI136))="PIPE"),AND(UPPER(TRIM(B136))="TRENCH",UPPER(TRIM(AI136))="PIPE")),IF(OR(AG136="",AJ136="",AK136=""),"INFO",IF(AND(AG136&gt;=AJ136,AG136&lt;=AK136),"OK","CHECK")),IF(AG136="","INFO",IF(ABS(AG136)&lt;=Inputs!$B$54,"OK","CHECK")))))</f>
        <v/>
      </c>
      <c r="AI136" s="17">
        <f>IF(A136="","",IF(E136="","",IFERROR(INDEX($B$4:$B$204,MATCH(E136,$A$4:$A$204,0)),"")))</f>
        <v/>
      </c>
      <c r="AJ136" s="17">
        <f>IF(A136="","",IF(OR(AND(UPPER(TRIM(B136))="SWALE",UPPER(TRIM(AI136))="PIPE"),AND(UPPER(TRIM(B136))="TRENCH",UPPER(TRIM(AI136))="PIPE")),Inputs!$B$55,0))</f>
        <v/>
      </c>
      <c r="AK136" s="17">
        <f>IF(A136="","",IF(OR(AND(UPPER(TRIM(B136))="SWALE",UPPER(TRIM(AI136))="PIPE"),AND(UPPER(TRIM(B136))="TRENCH",UPPER(TRIM(AI136))="PIPE")),Inputs!$B$56,Inputs!$B$54))</f>
        <v/>
      </c>
      <c r="AL136" s="4">
        <f>IF(A136="","",IF(E136="","TERMINAL",IF(OR(AND(UPPER(TRIM(B136))="SWALE",UPPER(TRIM(AI136))="PIPE"),AND(UPPER(TRIM(B136))="TRENCH",UPPER(TRIM(AI136))="PIPE")),IF(OR(AG136="",AJ136="",AK136=""),"INFO",IF(AND(AG136&gt;=AJ136,AG136&lt;=AK136),"OK","CHECK")),"N/A")))</f>
        <v/>
      </c>
    </row>
    <row r="137">
      <c r="A137" s="4" t="n"/>
      <c r="B137" s="4" t="n"/>
      <c r="C137" s="4" t="n"/>
      <c r="D137" s="4" t="n"/>
      <c r="E137" s="4" t="n"/>
      <c r="F137" s="7" t="n"/>
      <c r="G137" s="7" t="n"/>
      <c r="H137" s="7" t="n"/>
      <c r="I137" s="8">
        <f>IF(A137="","",IF(H137&lt;&gt;"",H137,IF(UPPER(TRIM(B137))="PIPE",Inputs!$B$7,IF(UPPER(TRIM(B137))="SWALE",Inputs!$B$8,Inputs!$B$9))))</f>
        <v/>
      </c>
      <c r="J137" s="7" t="n"/>
      <c r="K137" s="7" t="n"/>
      <c r="L137" s="7" t="n"/>
      <c r="M137" s="7" t="n"/>
      <c r="N137" s="7" t="n">
        <v>0</v>
      </c>
      <c r="O137" s="8">
        <f>IF(A137="","",SUMIFS(Zones_tributaires!$I:$I,Zones_tributaires!$J:$J,$A137))</f>
        <v/>
      </c>
      <c r="P137" s="8">
        <f>IF(A137="","",SUMIFS($Q$4:$Q$204,$E$4:$E$204,$A137))</f>
        <v/>
      </c>
      <c r="Q137" s="8">
        <f>IF(A137="","",(O137+P137)*Inputs!$B$6)</f>
        <v/>
      </c>
      <c r="R137" s="8">
        <f>IF(A137="","",IF(UPPER(TRIM(B137))="PIPE",PI()*(J137/1000)^2/4,IF(OR(K137="",L137=""),"",L137*(K137+M137*L137))))</f>
        <v/>
      </c>
      <c r="S137" s="8">
        <f>IF(A137="","",IF(UPPER(TRIM(B137))="PIPE",(J137/1000)/4,IF(OR(R137="",K137="",L137=""),"",R137/(K137+2*L137*SQRT(1+M137^2)))))</f>
        <v/>
      </c>
      <c r="T137" s="8">
        <f>IF(A137="","",IF(OR(I137="",R137="",S137="",G137=""),"",(1/I137)*R137*(S137^(2/3))*SQRT(G137)))</f>
        <v/>
      </c>
      <c r="U137" s="8">
        <f>IF(OR(T137="",Q137=""),"",Q137/(T137*Inputs!$B$19))</f>
        <v/>
      </c>
      <c r="V137" s="8">
        <f>IF(OR(R137="",Q137=""),"",Q137/R137)</f>
        <v/>
      </c>
      <c r="W137" s="8">
        <f>IF(OR(R137="",T137=""),"",T137/R137)</f>
        <v/>
      </c>
      <c r="X137" s="8">
        <f>IF(A137="","",IF(OR(UPPER(TRIM(Inputs!$B$15))="MANNING",UPPER(TRIM(Inputs!$B$15))="M"),W137,IF(OR(UPPER(TRIM(Inputs!$B$15))="MAX",UPPER(TRIM(Inputs!$B$15))="X"),MAX(V137,W137),V137)))</f>
        <v/>
      </c>
      <c r="Y137" s="8">
        <f>IF(A137="","",IF(UPPER(TRIM(B137))="TRENCH",K137*L137*N137,IF(UPPER(TRIM(B137))="SWALE",K137*L137,0)))</f>
        <v/>
      </c>
      <c r="Z137" s="8">
        <f>IF(OR(Y137="",F137=""),"",Y137*F137)</f>
        <v/>
      </c>
      <c r="AA137" s="4">
        <f>IF(A137="","",IF(OR(U137&gt;1,AND(X137&lt;&gt;"",X137&lt;Inputs!$B$16),AND(X137&lt;&gt;"",X137&gt;Inputs!$B$17),G137&lt;Inputs!$B$18,AH137="CHECK"),"CHECK","OK"))</f>
        <v/>
      </c>
      <c r="AB137" s="4" t="n"/>
      <c r="AC137" s="7" t="n"/>
      <c r="AD137" s="8">
        <f>IF(A137="","",IF(AC137&lt;&gt;"",AC137,IF(E137="",Inputs!$B$38,IFERROR(INDEX($AE$4:$AE$204,MATCH(E137,$A$4:$A$204,0))+IF(OR(AND(UPPER(TRIM(B137))="SWALE",UPPER(TRIM(AI137))="PIPE"),AND(UPPER(TRIM(B137))="TRENCH",UPPER(TRIM(AI137))="PIPE")),Inputs!$B$57,0),""))))</f>
        <v/>
      </c>
      <c r="AE137" s="8">
        <f>IF(OR(AD137="",F137="",G137=""),"",AD137+F137*G137)</f>
        <v/>
      </c>
      <c r="AF137" s="8">
        <f>IF(OR(E137="",A137=""),"",IFERROR(INDEX($AE$4:$AE$204,MATCH(E137,$A$4:$A$204,0)),""))</f>
        <v/>
      </c>
      <c r="AG137" s="8">
        <f>IF(OR(AD137="",AF137=""),"",AD137-AF137)</f>
        <v/>
      </c>
      <c r="AH137" s="4">
        <f>IF(A137="","",IF(E137="","TERMINAL",IF(OR(AND(UPPER(TRIM(B137))="SWALE",UPPER(TRIM(AI137))="PIPE"),AND(UPPER(TRIM(B137))="TRENCH",UPPER(TRIM(AI137))="PIPE")),IF(OR(AG137="",AJ137="",AK137=""),"INFO",IF(AND(AG137&gt;=AJ137,AG137&lt;=AK137),"OK","CHECK")),IF(AG137="","INFO",IF(ABS(AG137)&lt;=Inputs!$B$54,"OK","CHECK")))))</f>
        <v/>
      </c>
      <c r="AI137" s="17">
        <f>IF(A137="","",IF(E137="","",IFERROR(INDEX($B$4:$B$204,MATCH(E137,$A$4:$A$204,0)),"")))</f>
        <v/>
      </c>
      <c r="AJ137" s="17">
        <f>IF(A137="","",IF(OR(AND(UPPER(TRIM(B137))="SWALE",UPPER(TRIM(AI137))="PIPE"),AND(UPPER(TRIM(B137))="TRENCH",UPPER(TRIM(AI137))="PIPE")),Inputs!$B$55,0))</f>
        <v/>
      </c>
      <c r="AK137" s="17">
        <f>IF(A137="","",IF(OR(AND(UPPER(TRIM(B137))="SWALE",UPPER(TRIM(AI137))="PIPE"),AND(UPPER(TRIM(B137))="TRENCH",UPPER(TRIM(AI137))="PIPE")),Inputs!$B$56,Inputs!$B$54))</f>
        <v/>
      </c>
      <c r="AL137" s="4">
        <f>IF(A137="","",IF(E137="","TERMINAL",IF(OR(AND(UPPER(TRIM(B137))="SWALE",UPPER(TRIM(AI137))="PIPE"),AND(UPPER(TRIM(B137))="TRENCH",UPPER(TRIM(AI137))="PIPE")),IF(OR(AG137="",AJ137="",AK137=""),"INFO",IF(AND(AG137&gt;=AJ137,AG137&lt;=AK137),"OK","CHECK")),"N/A")))</f>
        <v/>
      </c>
    </row>
    <row r="138">
      <c r="A138" s="4" t="n"/>
      <c r="B138" s="4" t="n"/>
      <c r="C138" s="4" t="n"/>
      <c r="D138" s="4" t="n"/>
      <c r="E138" s="4" t="n"/>
      <c r="F138" s="7" t="n"/>
      <c r="G138" s="7" t="n"/>
      <c r="H138" s="7" t="n"/>
      <c r="I138" s="8">
        <f>IF(A138="","",IF(H138&lt;&gt;"",H138,IF(UPPER(TRIM(B138))="PIPE",Inputs!$B$7,IF(UPPER(TRIM(B138))="SWALE",Inputs!$B$8,Inputs!$B$9))))</f>
        <v/>
      </c>
      <c r="J138" s="7" t="n"/>
      <c r="K138" s="7" t="n"/>
      <c r="L138" s="7" t="n"/>
      <c r="M138" s="7" t="n"/>
      <c r="N138" s="7" t="n">
        <v>0</v>
      </c>
      <c r="O138" s="8">
        <f>IF(A138="","",SUMIFS(Zones_tributaires!$I:$I,Zones_tributaires!$J:$J,$A138))</f>
        <v/>
      </c>
      <c r="P138" s="8">
        <f>IF(A138="","",SUMIFS($Q$4:$Q$204,$E$4:$E$204,$A138))</f>
        <v/>
      </c>
      <c r="Q138" s="8">
        <f>IF(A138="","",(O138+P138)*Inputs!$B$6)</f>
        <v/>
      </c>
      <c r="R138" s="8">
        <f>IF(A138="","",IF(UPPER(TRIM(B138))="PIPE",PI()*(J138/1000)^2/4,IF(OR(K138="",L138=""),"",L138*(K138+M138*L138))))</f>
        <v/>
      </c>
      <c r="S138" s="8">
        <f>IF(A138="","",IF(UPPER(TRIM(B138))="PIPE",(J138/1000)/4,IF(OR(R138="",K138="",L138=""),"",R138/(K138+2*L138*SQRT(1+M138^2)))))</f>
        <v/>
      </c>
      <c r="T138" s="8">
        <f>IF(A138="","",IF(OR(I138="",R138="",S138="",G138=""),"",(1/I138)*R138*(S138^(2/3))*SQRT(G138)))</f>
        <v/>
      </c>
      <c r="U138" s="8">
        <f>IF(OR(T138="",Q138=""),"",Q138/(T138*Inputs!$B$19))</f>
        <v/>
      </c>
      <c r="V138" s="8">
        <f>IF(OR(R138="",Q138=""),"",Q138/R138)</f>
        <v/>
      </c>
      <c r="W138" s="8">
        <f>IF(OR(R138="",T138=""),"",T138/R138)</f>
        <v/>
      </c>
      <c r="X138" s="8">
        <f>IF(A138="","",IF(OR(UPPER(TRIM(Inputs!$B$15))="MANNING",UPPER(TRIM(Inputs!$B$15))="M"),W138,IF(OR(UPPER(TRIM(Inputs!$B$15))="MAX",UPPER(TRIM(Inputs!$B$15))="X"),MAX(V138,W138),V138)))</f>
        <v/>
      </c>
      <c r="Y138" s="8">
        <f>IF(A138="","",IF(UPPER(TRIM(B138))="TRENCH",K138*L138*N138,IF(UPPER(TRIM(B138))="SWALE",K138*L138,0)))</f>
        <v/>
      </c>
      <c r="Z138" s="8">
        <f>IF(OR(Y138="",F138=""),"",Y138*F138)</f>
        <v/>
      </c>
      <c r="AA138" s="4">
        <f>IF(A138="","",IF(OR(U138&gt;1,AND(X138&lt;&gt;"",X138&lt;Inputs!$B$16),AND(X138&lt;&gt;"",X138&gt;Inputs!$B$17),G138&lt;Inputs!$B$18,AH138="CHECK"),"CHECK","OK"))</f>
        <v/>
      </c>
      <c r="AB138" s="4" t="n"/>
      <c r="AC138" s="7" t="n"/>
      <c r="AD138" s="8">
        <f>IF(A138="","",IF(AC138&lt;&gt;"",AC138,IF(E138="",Inputs!$B$38,IFERROR(INDEX($AE$4:$AE$204,MATCH(E138,$A$4:$A$204,0))+IF(OR(AND(UPPER(TRIM(B138))="SWALE",UPPER(TRIM(AI138))="PIPE"),AND(UPPER(TRIM(B138))="TRENCH",UPPER(TRIM(AI138))="PIPE")),Inputs!$B$57,0),""))))</f>
        <v/>
      </c>
      <c r="AE138" s="8">
        <f>IF(OR(AD138="",F138="",G138=""),"",AD138+F138*G138)</f>
        <v/>
      </c>
      <c r="AF138" s="8">
        <f>IF(OR(E138="",A138=""),"",IFERROR(INDEX($AE$4:$AE$204,MATCH(E138,$A$4:$A$204,0)),""))</f>
        <v/>
      </c>
      <c r="AG138" s="8">
        <f>IF(OR(AD138="",AF138=""),"",AD138-AF138)</f>
        <v/>
      </c>
      <c r="AH138" s="4">
        <f>IF(A138="","",IF(E138="","TERMINAL",IF(OR(AND(UPPER(TRIM(B138))="SWALE",UPPER(TRIM(AI138))="PIPE"),AND(UPPER(TRIM(B138))="TRENCH",UPPER(TRIM(AI138))="PIPE")),IF(OR(AG138="",AJ138="",AK138=""),"INFO",IF(AND(AG138&gt;=AJ138,AG138&lt;=AK138),"OK","CHECK")),IF(AG138="","INFO",IF(ABS(AG138)&lt;=Inputs!$B$54,"OK","CHECK")))))</f>
        <v/>
      </c>
      <c r="AI138" s="17">
        <f>IF(A138="","",IF(E138="","",IFERROR(INDEX($B$4:$B$204,MATCH(E138,$A$4:$A$204,0)),"")))</f>
        <v/>
      </c>
      <c r="AJ138" s="17">
        <f>IF(A138="","",IF(OR(AND(UPPER(TRIM(B138))="SWALE",UPPER(TRIM(AI138))="PIPE"),AND(UPPER(TRIM(B138))="TRENCH",UPPER(TRIM(AI138))="PIPE")),Inputs!$B$55,0))</f>
        <v/>
      </c>
      <c r="AK138" s="17">
        <f>IF(A138="","",IF(OR(AND(UPPER(TRIM(B138))="SWALE",UPPER(TRIM(AI138))="PIPE"),AND(UPPER(TRIM(B138))="TRENCH",UPPER(TRIM(AI138))="PIPE")),Inputs!$B$56,Inputs!$B$54))</f>
        <v/>
      </c>
      <c r="AL138" s="4">
        <f>IF(A138="","",IF(E138="","TERMINAL",IF(OR(AND(UPPER(TRIM(B138))="SWALE",UPPER(TRIM(AI138))="PIPE"),AND(UPPER(TRIM(B138))="TRENCH",UPPER(TRIM(AI138))="PIPE")),IF(OR(AG138="",AJ138="",AK138=""),"INFO",IF(AND(AG138&gt;=AJ138,AG138&lt;=AK138),"OK","CHECK")),"N/A")))</f>
        <v/>
      </c>
    </row>
    <row r="139">
      <c r="A139" s="4" t="n"/>
      <c r="B139" s="4" t="n"/>
      <c r="C139" s="4" t="n"/>
      <c r="D139" s="4" t="n"/>
      <c r="E139" s="4" t="n"/>
      <c r="F139" s="7" t="n"/>
      <c r="G139" s="7" t="n"/>
      <c r="H139" s="7" t="n"/>
      <c r="I139" s="8">
        <f>IF(A139="","",IF(H139&lt;&gt;"",H139,IF(UPPER(TRIM(B139))="PIPE",Inputs!$B$7,IF(UPPER(TRIM(B139))="SWALE",Inputs!$B$8,Inputs!$B$9))))</f>
        <v/>
      </c>
      <c r="J139" s="7" t="n"/>
      <c r="K139" s="7" t="n"/>
      <c r="L139" s="7" t="n"/>
      <c r="M139" s="7" t="n"/>
      <c r="N139" s="7" t="n">
        <v>0</v>
      </c>
      <c r="O139" s="8">
        <f>IF(A139="","",SUMIFS(Zones_tributaires!$I:$I,Zones_tributaires!$J:$J,$A139))</f>
        <v/>
      </c>
      <c r="P139" s="8">
        <f>IF(A139="","",SUMIFS($Q$4:$Q$204,$E$4:$E$204,$A139))</f>
        <v/>
      </c>
      <c r="Q139" s="8">
        <f>IF(A139="","",(O139+P139)*Inputs!$B$6)</f>
        <v/>
      </c>
      <c r="R139" s="8">
        <f>IF(A139="","",IF(UPPER(TRIM(B139))="PIPE",PI()*(J139/1000)^2/4,IF(OR(K139="",L139=""),"",L139*(K139+M139*L139))))</f>
        <v/>
      </c>
      <c r="S139" s="8">
        <f>IF(A139="","",IF(UPPER(TRIM(B139))="PIPE",(J139/1000)/4,IF(OR(R139="",K139="",L139=""),"",R139/(K139+2*L139*SQRT(1+M139^2)))))</f>
        <v/>
      </c>
      <c r="T139" s="8">
        <f>IF(A139="","",IF(OR(I139="",R139="",S139="",G139=""),"",(1/I139)*R139*(S139^(2/3))*SQRT(G139)))</f>
        <v/>
      </c>
      <c r="U139" s="8">
        <f>IF(OR(T139="",Q139=""),"",Q139/(T139*Inputs!$B$19))</f>
        <v/>
      </c>
      <c r="V139" s="8">
        <f>IF(OR(R139="",Q139=""),"",Q139/R139)</f>
        <v/>
      </c>
      <c r="W139" s="8">
        <f>IF(OR(R139="",T139=""),"",T139/R139)</f>
        <v/>
      </c>
      <c r="X139" s="8">
        <f>IF(A139="","",IF(OR(UPPER(TRIM(Inputs!$B$15))="MANNING",UPPER(TRIM(Inputs!$B$15))="M"),W139,IF(OR(UPPER(TRIM(Inputs!$B$15))="MAX",UPPER(TRIM(Inputs!$B$15))="X"),MAX(V139,W139),V139)))</f>
        <v/>
      </c>
      <c r="Y139" s="8">
        <f>IF(A139="","",IF(UPPER(TRIM(B139))="TRENCH",K139*L139*N139,IF(UPPER(TRIM(B139))="SWALE",K139*L139,0)))</f>
        <v/>
      </c>
      <c r="Z139" s="8">
        <f>IF(OR(Y139="",F139=""),"",Y139*F139)</f>
        <v/>
      </c>
      <c r="AA139" s="4">
        <f>IF(A139="","",IF(OR(U139&gt;1,AND(X139&lt;&gt;"",X139&lt;Inputs!$B$16),AND(X139&lt;&gt;"",X139&gt;Inputs!$B$17),G139&lt;Inputs!$B$18,AH139="CHECK"),"CHECK","OK"))</f>
        <v/>
      </c>
      <c r="AB139" s="4" t="n"/>
      <c r="AC139" s="7" t="n"/>
      <c r="AD139" s="8">
        <f>IF(A139="","",IF(AC139&lt;&gt;"",AC139,IF(E139="",Inputs!$B$38,IFERROR(INDEX($AE$4:$AE$204,MATCH(E139,$A$4:$A$204,0))+IF(OR(AND(UPPER(TRIM(B139))="SWALE",UPPER(TRIM(AI139))="PIPE"),AND(UPPER(TRIM(B139))="TRENCH",UPPER(TRIM(AI139))="PIPE")),Inputs!$B$57,0),""))))</f>
        <v/>
      </c>
      <c r="AE139" s="8">
        <f>IF(OR(AD139="",F139="",G139=""),"",AD139+F139*G139)</f>
        <v/>
      </c>
      <c r="AF139" s="8">
        <f>IF(OR(E139="",A139=""),"",IFERROR(INDEX($AE$4:$AE$204,MATCH(E139,$A$4:$A$204,0)),""))</f>
        <v/>
      </c>
      <c r="AG139" s="8">
        <f>IF(OR(AD139="",AF139=""),"",AD139-AF139)</f>
        <v/>
      </c>
      <c r="AH139" s="4">
        <f>IF(A139="","",IF(E139="","TERMINAL",IF(OR(AND(UPPER(TRIM(B139))="SWALE",UPPER(TRIM(AI139))="PIPE"),AND(UPPER(TRIM(B139))="TRENCH",UPPER(TRIM(AI139))="PIPE")),IF(OR(AG139="",AJ139="",AK139=""),"INFO",IF(AND(AG139&gt;=AJ139,AG139&lt;=AK139),"OK","CHECK")),IF(AG139="","INFO",IF(ABS(AG139)&lt;=Inputs!$B$54,"OK","CHECK")))))</f>
        <v/>
      </c>
      <c r="AI139" s="17">
        <f>IF(A139="","",IF(E139="","",IFERROR(INDEX($B$4:$B$204,MATCH(E139,$A$4:$A$204,0)),"")))</f>
        <v/>
      </c>
      <c r="AJ139" s="17">
        <f>IF(A139="","",IF(OR(AND(UPPER(TRIM(B139))="SWALE",UPPER(TRIM(AI139))="PIPE"),AND(UPPER(TRIM(B139))="TRENCH",UPPER(TRIM(AI139))="PIPE")),Inputs!$B$55,0))</f>
        <v/>
      </c>
      <c r="AK139" s="17">
        <f>IF(A139="","",IF(OR(AND(UPPER(TRIM(B139))="SWALE",UPPER(TRIM(AI139))="PIPE"),AND(UPPER(TRIM(B139))="TRENCH",UPPER(TRIM(AI139))="PIPE")),Inputs!$B$56,Inputs!$B$54))</f>
        <v/>
      </c>
      <c r="AL139" s="4">
        <f>IF(A139="","",IF(E139="","TERMINAL",IF(OR(AND(UPPER(TRIM(B139))="SWALE",UPPER(TRIM(AI139))="PIPE"),AND(UPPER(TRIM(B139))="TRENCH",UPPER(TRIM(AI139))="PIPE")),IF(OR(AG139="",AJ139="",AK139=""),"INFO",IF(AND(AG139&gt;=AJ139,AG139&lt;=AK139),"OK","CHECK")),"N/A")))</f>
        <v/>
      </c>
    </row>
    <row r="140">
      <c r="A140" s="4" t="n"/>
      <c r="B140" s="4" t="n"/>
      <c r="C140" s="4" t="n"/>
      <c r="D140" s="4" t="n"/>
      <c r="E140" s="4" t="n"/>
      <c r="F140" s="7" t="n"/>
      <c r="G140" s="7" t="n"/>
      <c r="H140" s="7" t="n"/>
      <c r="I140" s="8">
        <f>IF(A140="","",IF(H140&lt;&gt;"",H140,IF(UPPER(TRIM(B140))="PIPE",Inputs!$B$7,IF(UPPER(TRIM(B140))="SWALE",Inputs!$B$8,Inputs!$B$9))))</f>
        <v/>
      </c>
      <c r="J140" s="7" t="n"/>
      <c r="K140" s="7" t="n"/>
      <c r="L140" s="7" t="n"/>
      <c r="M140" s="7" t="n"/>
      <c r="N140" s="7" t="n">
        <v>0</v>
      </c>
      <c r="O140" s="8">
        <f>IF(A140="","",SUMIFS(Zones_tributaires!$I:$I,Zones_tributaires!$J:$J,$A140))</f>
        <v/>
      </c>
      <c r="P140" s="8">
        <f>IF(A140="","",SUMIFS($Q$4:$Q$204,$E$4:$E$204,$A140))</f>
        <v/>
      </c>
      <c r="Q140" s="8">
        <f>IF(A140="","",(O140+P140)*Inputs!$B$6)</f>
        <v/>
      </c>
      <c r="R140" s="8">
        <f>IF(A140="","",IF(UPPER(TRIM(B140))="PIPE",PI()*(J140/1000)^2/4,IF(OR(K140="",L140=""),"",L140*(K140+M140*L140))))</f>
        <v/>
      </c>
      <c r="S140" s="8">
        <f>IF(A140="","",IF(UPPER(TRIM(B140))="PIPE",(J140/1000)/4,IF(OR(R140="",K140="",L140=""),"",R140/(K140+2*L140*SQRT(1+M140^2)))))</f>
        <v/>
      </c>
      <c r="T140" s="8">
        <f>IF(A140="","",IF(OR(I140="",R140="",S140="",G140=""),"",(1/I140)*R140*(S140^(2/3))*SQRT(G140)))</f>
        <v/>
      </c>
      <c r="U140" s="8">
        <f>IF(OR(T140="",Q140=""),"",Q140/(T140*Inputs!$B$19))</f>
        <v/>
      </c>
      <c r="V140" s="8">
        <f>IF(OR(R140="",Q140=""),"",Q140/R140)</f>
        <v/>
      </c>
      <c r="W140" s="8">
        <f>IF(OR(R140="",T140=""),"",T140/R140)</f>
        <v/>
      </c>
      <c r="X140" s="8">
        <f>IF(A140="","",IF(OR(UPPER(TRIM(Inputs!$B$15))="MANNING",UPPER(TRIM(Inputs!$B$15))="M"),W140,IF(OR(UPPER(TRIM(Inputs!$B$15))="MAX",UPPER(TRIM(Inputs!$B$15))="X"),MAX(V140,W140),V140)))</f>
        <v/>
      </c>
      <c r="Y140" s="8">
        <f>IF(A140="","",IF(UPPER(TRIM(B140))="TRENCH",K140*L140*N140,IF(UPPER(TRIM(B140))="SWALE",K140*L140,0)))</f>
        <v/>
      </c>
      <c r="Z140" s="8">
        <f>IF(OR(Y140="",F140=""),"",Y140*F140)</f>
        <v/>
      </c>
      <c r="AA140" s="4">
        <f>IF(A140="","",IF(OR(U140&gt;1,AND(X140&lt;&gt;"",X140&lt;Inputs!$B$16),AND(X140&lt;&gt;"",X140&gt;Inputs!$B$17),G140&lt;Inputs!$B$18,AH140="CHECK"),"CHECK","OK"))</f>
        <v/>
      </c>
      <c r="AB140" s="4" t="n"/>
      <c r="AC140" s="7" t="n"/>
      <c r="AD140" s="8">
        <f>IF(A140="","",IF(AC140&lt;&gt;"",AC140,IF(E140="",Inputs!$B$38,IFERROR(INDEX($AE$4:$AE$204,MATCH(E140,$A$4:$A$204,0))+IF(OR(AND(UPPER(TRIM(B140))="SWALE",UPPER(TRIM(AI140))="PIPE"),AND(UPPER(TRIM(B140))="TRENCH",UPPER(TRIM(AI140))="PIPE")),Inputs!$B$57,0),""))))</f>
        <v/>
      </c>
      <c r="AE140" s="8">
        <f>IF(OR(AD140="",F140="",G140=""),"",AD140+F140*G140)</f>
        <v/>
      </c>
      <c r="AF140" s="8">
        <f>IF(OR(E140="",A140=""),"",IFERROR(INDEX($AE$4:$AE$204,MATCH(E140,$A$4:$A$204,0)),""))</f>
        <v/>
      </c>
      <c r="AG140" s="8">
        <f>IF(OR(AD140="",AF140=""),"",AD140-AF140)</f>
        <v/>
      </c>
      <c r="AH140" s="4">
        <f>IF(A140="","",IF(E140="","TERMINAL",IF(OR(AND(UPPER(TRIM(B140))="SWALE",UPPER(TRIM(AI140))="PIPE"),AND(UPPER(TRIM(B140))="TRENCH",UPPER(TRIM(AI140))="PIPE")),IF(OR(AG140="",AJ140="",AK140=""),"INFO",IF(AND(AG140&gt;=AJ140,AG140&lt;=AK140),"OK","CHECK")),IF(AG140="","INFO",IF(ABS(AG140)&lt;=Inputs!$B$54,"OK","CHECK")))))</f>
        <v/>
      </c>
      <c r="AI140" s="17">
        <f>IF(A140="","",IF(E140="","",IFERROR(INDEX($B$4:$B$204,MATCH(E140,$A$4:$A$204,0)),"")))</f>
        <v/>
      </c>
      <c r="AJ140" s="17">
        <f>IF(A140="","",IF(OR(AND(UPPER(TRIM(B140))="SWALE",UPPER(TRIM(AI140))="PIPE"),AND(UPPER(TRIM(B140))="TRENCH",UPPER(TRIM(AI140))="PIPE")),Inputs!$B$55,0))</f>
        <v/>
      </c>
      <c r="AK140" s="17">
        <f>IF(A140="","",IF(OR(AND(UPPER(TRIM(B140))="SWALE",UPPER(TRIM(AI140))="PIPE"),AND(UPPER(TRIM(B140))="TRENCH",UPPER(TRIM(AI140))="PIPE")),Inputs!$B$56,Inputs!$B$54))</f>
        <v/>
      </c>
      <c r="AL140" s="4">
        <f>IF(A140="","",IF(E140="","TERMINAL",IF(OR(AND(UPPER(TRIM(B140))="SWALE",UPPER(TRIM(AI140))="PIPE"),AND(UPPER(TRIM(B140))="TRENCH",UPPER(TRIM(AI140))="PIPE")),IF(OR(AG140="",AJ140="",AK140=""),"INFO",IF(AND(AG140&gt;=AJ140,AG140&lt;=AK140),"OK","CHECK")),"N/A")))</f>
        <v/>
      </c>
    </row>
    <row r="141">
      <c r="A141" s="4" t="n"/>
      <c r="B141" s="4" t="n"/>
      <c r="C141" s="4" t="n"/>
      <c r="D141" s="4" t="n"/>
      <c r="E141" s="4" t="n"/>
      <c r="F141" s="7" t="n"/>
      <c r="G141" s="7" t="n"/>
      <c r="H141" s="7" t="n"/>
      <c r="I141" s="8">
        <f>IF(A141="","",IF(H141&lt;&gt;"",H141,IF(UPPER(TRIM(B141))="PIPE",Inputs!$B$7,IF(UPPER(TRIM(B141))="SWALE",Inputs!$B$8,Inputs!$B$9))))</f>
        <v/>
      </c>
      <c r="J141" s="7" t="n"/>
      <c r="K141" s="7" t="n"/>
      <c r="L141" s="7" t="n"/>
      <c r="M141" s="7" t="n"/>
      <c r="N141" s="7" t="n">
        <v>0</v>
      </c>
      <c r="O141" s="8">
        <f>IF(A141="","",SUMIFS(Zones_tributaires!$I:$I,Zones_tributaires!$J:$J,$A141))</f>
        <v/>
      </c>
      <c r="P141" s="8">
        <f>IF(A141="","",SUMIFS($Q$4:$Q$204,$E$4:$E$204,$A141))</f>
        <v/>
      </c>
      <c r="Q141" s="8">
        <f>IF(A141="","",(O141+P141)*Inputs!$B$6)</f>
        <v/>
      </c>
      <c r="R141" s="8">
        <f>IF(A141="","",IF(UPPER(TRIM(B141))="PIPE",PI()*(J141/1000)^2/4,IF(OR(K141="",L141=""),"",L141*(K141+M141*L141))))</f>
        <v/>
      </c>
      <c r="S141" s="8">
        <f>IF(A141="","",IF(UPPER(TRIM(B141))="PIPE",(J141/1000)/4,IF(OR(R141="",K141="",L141=""),"",R141/(K141+2*L141*SQRT(1+M141^2)))))</f>
        <v/>
      </c>
      <c r="T141" s="8">
        <f>IF(A141="","",IF(OR(I141="",R141="",S141="",G141=""),"",(1/I141)*R141*(S141^(2/3))*SQRT(G141)))</f>
        <v/>
      </c>
      <c r="U141" s="8">
        <f>IF(OR(T141="",Q141=""),"",Q141/(T141*Inputs!$B$19))</f>
        <v/>
      </c>
      <c r="V141" s="8">
        <f>IF(OR(R141="",Q141=""),"",Q141/R141)</f>
        <v/>
      </c>
      <c r="W141" s="8">
        <f>IF(OR(R141="",T141=""),"",T141/R141)</f>
        <v/>
      </c>
      <c r="X141" s="8">
        <f>IF(A141="","",IF(OR(UPPER(TRIM(Inputs!$B$15))="MANNING",UPPER(TRIM(Inputs!$B$15))="M"),W141,IF(OR(UPPER(TRIM(Inputs!$B$15))="MAX",UPPER(TRIM(Inputs!$B$15))="X"),MAX(V141,W141),V141)))</f>
        <v/>
      </c>
      <c r="Y141" s="8">
        <f>IF(A141="","",IF(UPPER(TRIM(B141))="TRENCH",K141*L141*N141,IF(UPPER(TRIM(B141))="SWALE",K141*L141,0)))</f>
        <v/>
      </c>
      <c r="Z141" s="8">
        <f>IF(OR(Y141="",F141=""),"",Y141*F141)</f>
        <v/>
      </c>
      <c r="AA141" s="4">
        <f>IF(A141="","",IF(OR(U141&gt;1,AND(X141&lt;&gt;"",X141&lt;Inputs!$B$16),AND(X141&lt;&gt;"",X141&gt;Inputs!$B$17),G141&lt;Inputs!$B$18,AH141="CHECK"),"CHECK","OK"))</f>
        <v/>
      </c>
      <c r="AB141" s="4" t="n"/>
      <c r="AC141" s="7" t="n"/>
      <c r="AD141" s="8">
        <f>IF(A141="","",IF(AC141&lt;&gt;"",AC141,IF(E141="",Inputs!$B$38,IFERROR(INDEX($AE$4:$AE$204,MATCH(E141,$A$4:$A$204,0))+IF(OR(AND(UPPER(TRIM(B141))="SWALE",UPPER(TRIM(AI141))="PIPE"),AND(UPPER(TRIM(B141))="TRENCH",UPPER(TRIM(AI141))="PIPE")),Inputs!$B$57,0),""))))</f>
        <v/>
      </c>
      <c r="AE141" s="8">
        <f>IF(OR(AD141="",F141="",G141=""),"",AD141+F141*G141)</f>
        <v/>
      </c>
      <c r="AF141" s="8">
        <f>IF(OR(E141="",A141=""),"",IFERROR(INDEX($AE$4:$AE$204,MATCH(E141,$A$4:$A$204,0)),""))</f>
        <v/>
      </c>
      <c r="AG141" s="8">
        <f>IF(OR(AD141="",AF141=""),"",AD141-AF141)</f>
        <v/>
      </c>
      <c r="AH141" s="4">
        <f>IF(A141="","",IF(E141="","TERMINAL",IF(OR(AND(UPPER(TRIM(B141))="SWALE",UPPER(TRIM(AI141))="PIPE"),AND(UPPER(TRIM(B141))="TRENCH",UPPER(TRIM(AI141))="PIPE")),IF(OR(AG141="",AJ141="",AK141=""),"INFO",IF(AND(AG141&gt;=AJ141,AG141&lt;=AK141),"OK","CHECK")),IF(AG141="","INFO",IF(ABS(AG141)&lt;=Inputs!$B$54,"OK","CHECK")))))</f>
        <v/>
      </c>
      <c r="AI141" s="17">
        <f>IF(A141="","",IF(E141="","",IFERROR(INDEX($B$4:$B$204,MATCH(E141,$A$4:$A$204,0)),"")))</f>
        <v/>
      </c>
      <c r="AJ141" s="17">
        <f>IF(A141="","",IF(OR(AND(UPPER(TRIM(B141))="SWALE",UPPER(TRIM(AI141))="PIPE"),AND(UPPER(TRIM(B141))="TRENCH",UPPER(TRIM(AI141))="PIPE")),Inputs!$B$55,0))</f>
        <v/>
      </c>
      <c r="AK141" s="17">
        <f>IF(A141="","",IF(OR(AND(UPPER(TRIM(B141))="SWALE",UPPER(TRIM(AI141))="PIPE"),AND(UPPER(TRIM(B141))="TRENCH",UPPER(TRIM(AI141))="PIPE")),Inputs!$B$56,Inputs!$B$54))</f>
        <v/>
      </c>
      <c r="AL141" s="4">
        <f>IF(A141="","",IF(E141="","TERMINAL",IF(OR(AND(UPPER(TRIM(B141))="SWALE",UPPER(TRIM(AI141))="PIPE"),AND(UPPER(TRIM(B141))="TRENCH",UPPER(TRIM(AI141))="PIPE")),IF(OR(AG141="",AJ141="",AK141=""),"INFO",IF(AND(AG141&gt;=AJ141,AG141&lt;=AK141),"OK","CHECK")),"N/A")))</f>
        <v/>
      </c>
    </row>
    <row r="142">
      <c r="A142" s="4" t="n"/>
      <c r="B142" s="4" t="n"/>
      <c r="C142" s="4" t="n"/>
      <c r="D142" s="4" t="n"/>
      <c r="E142" s="4" t="n"/>
      <c r="F142" s="7" t="n"/>
      <c r="G142" s="7" t="n"/>
      <c r="H142" s="7" t="n"/>
      <c r="I142" s="8">
        <f>IF(A142="","",IF(H142&lt;&gt;"",H142,IF(UPPER(TRIM(B142))="PIPE",Inputs!$B$7,IF(UPPER(TRIM(B142))="SWALE",Inputs!$B$8,Inputs!$B$9))))</f>
        <v/>
      </c>
      <c r="J142" s="7" t="n"/>
      <c r="K142" s="7" t="n"/>
      <c r="L142" s="7" t="n"/>
      <c r="M142" s="7" t="n"/>
      <c r="N142" s="7" t="n">
        <v>0</v>
      </c>
      <c r="O142" s="8">
        <f>IF(A142="","",SUMIFS(Zones_tributaires!$I:$I,Zones_tributaires!$J:$J,$A142))</f>
        <v/>
      </c>
      <c r="P142" s="8">
        <f>IF(A142="","",SUMIFS($Q$4:$Q$204,$E$4:$E$204,$A142))</f>
        <v/>
      </c>
      <c r="Q142" s="8">
        <f>IF(A142="","",(O142+P142)*Inputs!$B$6)</f>
        <v/>
      </c>
      <c r="R142" s="8">
        <f>IF(A142="","",IF(UPPER(TRIM(B142))="PIPE",PI()*(J142/1000)^2/4,IF(OR(K142="",L142=""),"",L142*(K142+M142*L142))))</f>
        <v/>
      </c>
      <c r="S142" s="8">
        <f>IF(A142="","",IF(UPPER(TRIM(B142))="PIPE",(J142/1000)/4,IF(OR(R142="",K142="",L142=""),"",R142/(K142+2*L142*SQRT(1+M142^2)))))</f>
        <v/>
      </c>
      <c r="T142" s="8">
        <f>IF(A142="","",IF(OR(I142="",R142="",S142="",G142=""),"",(1/I142)*R142*(S142^(2/3))*SQRT(G142)))</f>
        <v/>
      </c>
      <c r="U142" s="8">
        <f>IF(OR(T142="",Q142=""),"",Q142/(T142*Inputs!$B$19))</f>
        <v/>
      </c>
      <c r="V142" s="8">
        <f>IF(OR(R142="",Q142=""),"",Q142/R142)</f>
        <v/>
      </c>
      <c r="W142" s="8">
        <f>IF(OR(R142="",T142=""),"",T142/R142)</f>
        <v/>
      </c>
      <c r="X142" s="8">
        <f>IF(A142="","",IF(OR(UPPER(TRIM(Inputs!$B$15))="MANNING",UPPER(TRIM(Inputs!$B$15))="M"),W142,IF(OR(UPPER(TRIM(Inputs!$B$15))="MAX",UPPER(TRIM(Inputs!$B$15))="X"),MAX(V142,W142),V142)))</f>
        <v/>
      </c>
      <c r="Y142" s="8">
        <f>IF(A142="","",IF(UPPER(TRIM(B142))="TRENCH",K142*L142*N142,IF(UPPER(TRIM(B142))="SWALE",K142*L142,0)))</f>
        <v/>
      </c>
      <c r="Z142" s="8">
        <f>IF(OR(Y142="",F142=""),"",Y142*F142)</f>
        <v/>
      </c>
      <c r="AA142" s="4">
        <f>IF(A142="","",IF(OR(U142&gt;1,AND(X142&lt;&gt;"",X142&lt;Inputs!$B$16),AND(X142&lt;&gt;"",X142&gt;Inputs!$B$17),G142&lt;Inputs!$B$18,AH142="CHECK"),"CHECK","OK"))</f>
        <v/>
      </c>
      <c r="AB142" s="4" t="n"/>
      <c r="AC142" s="7" t="n"/>
      <c r="AD142" s="8">
        <f>IF(A142="","",IF(AC142&lt;&gt;"",AC142,IF(E142="",Inputs!$B$38,IFERROR(INDEX($AE$4:$AE$204,MATCH(E142,$A$4:$A$204,0))+IF(OR(AND(UPPER(TRIM(B142))="SWALE",UPPER(TRIM(AI142))="PIPE"),AND(UPPER(TRIM(B142))="TRENCH",UPPER(TRIM(AI142))="PIPE")),Inputs!$B$57,0),""))))</f>
        <v/>
      </c>
      <c r="AE142" s="8">
        <f>IF(OR(AD142="",F142="",G142=""),"",AD142+F142*G142)</f>
        <v/>
      </c>
      <c r="AF142" s="8">
        <f>IF(OR(E142="",A142=""),"",IFERROR(INDEX($AE$4:$AE$204,MATCH(E142,$A$4:$A$204,0)),""))</f>
        <v/>
      </c>
      <c r="AG142" s="8">
        <f>IF(OR(AD142="",AF142=""),"",AD142-AF142)</f>
        <v/>
      </c>
      <c r="AH142" s="4">
        <f>IF(A142="","",IF(E142="","TERMINAL",IF(OR(AND(UPPER(TRIM(B142))="SWALE",UPPER(TRIM(AI142))="PIPE"),AND(UPPER(TRIM(B142))="TRENCH",UPPER(TRIM(AI142))="PIPE")),IF(OR(AG142="",AJ142="",AK142=""),"INFO",IF(AND(AG142&gt;=AJ142,AG142&lt;=AK142),"OK","CHECK")),IF(AG142="","INFO",IF(ABS(AG142)&lt;=Inputs!$B$54,"OK","CHECK")))))</f>
        <v/>
      </c>
      <c r="AI142" s="17">
        <f>IF(A142="","",IF(E142="","",IFERROR(INDEX($B$4:$B$204,MATCH(E142,$A$4:$A$204,0)),"")))</f>
        <v/>
      </c>
      <c r="AJ142" s="17">
        <f>IF(A142="","",IF(OR(AND(UPPER(TRIM(B142))="SWALE",UPPER(TRIM(AI142))="PIPE"),AND(UPPER(TRIM(B142))="TRENCH",UPPER(TRIM(AI142))="PIPE")),Inputs!$B$55,0))</f>
        <v/>
      </c>
      <c r="AK142" s="17">
        <f>IF(A142="","",IF(OR(AND(UPPER(TRIM(B142))="SWALE",UPPER(TRIM(AI142))="PIPE"),AND(UPPER(TRIM(B142))="TRENCH",UPPER(TRIM(AI142))="PIPE")),Inputs!$B$56,Inputs!$B$54))</f>
        <v/>
      </c>
      <c r="AL142" s="4">
        <f>IF(A142="","",IF(E142="","TERMINAL",IF(OR(AND(UPPER(TRIM(B142))="SWALE",UPPER(TRIM(AI142))="PIPE"),AND(UPPER(TRIM(B142))="TRENCH",UPPER(TRIM(AI142))="PIPE")),IF(OR(AG142="",AJ142="",AK142=""),"INFO",IF(AND(AG142&gt;=AJ142,AG142&lt;=AK142),"OK","CHECK")),"N/A")))</f>
        <v/>
      </c>
    </row>
    <row r="143">
      <c r="A143" s="4" t="n"/>
      <c r="B143" s="4" t="n"/>
      <c r="C143" s="4" t="n"/>
      <c r="D143" s="4" t="n"/>
      <c r="E143" s="4" t="n"/>
      <c r="F143" s="7" t="n"/>
      <c r="G143" s="7" t="n"/>
      <c r="H143" s="7" t="n"/>
      <c r="I143" s="8">
        <f>IF(A143="","",IF(H143&lt;&gt;"",H143,IF(UPPER(TRIM(B143))="PIPE",Inputs!$B$7,IF(UPPER(TRIM(B143))="SWALE",Inputs!$B$8,Inputs!$B$9))))</f>
        <v/>
      </c>
      <c r="J143" s="7" t="n"/>
      <c r="K143" s="7" t="n"/>
      <c r="L143" s="7" t="n"/>
      <c r="M143" s="7" t="n"/>
      <c r="N143" s="7" t="n">
        <v>0</v>
      </c>
      <c r="O143" s="8">
        <f>IF(A143="","",SUMIFS(Zones_tributaires!$I:$I,Zones_tributaires!$J:$J,$A143))</f>
        <v/>
      </c>
      <c r="P143" s="8">
        <f>IF(A143="","",SUMIFS($Q$4:$Q$204,$E$4:$E$204,$A143))</f>
        <v/>
      </c>
      <c r="Q143" s="8">
        <f>IF(A143="","",(O143+P143)*Inputs!$B$6)</f>
        <v/>
      </c>
      <c r="R143" s="8">
        <f>IF(A143="","",IF(UPPER(TRIM(B143))="PIPE",PI()*(J143/1000)^2/4,IF(OR(K143="",L143=""),"",L143*(K143+M143*L143))))</f>
        <v/>
      </c>
      <c r="S143" s="8">
        <f>IF(A143="","",IF(UPPER(TRIM(B143))="PIPE",(J143/1000)/4,IF(OR(R143="",K143="",L143=""),"",R143/(K143+2*L143*SQRT(1+M143^2)))))</f>
        <v/>
      </c>
      <c r="T143" s="8">
        <f>IF(A143="","",IF(OR(I143="",R143="",S143="",G143=""),"",(1/I143)*R143*(S143^(2/3))*SQRT(G143)))</f>
        <v/>
      </c>
      <c r="U143" s="8">
        <f>IF(OR(T143="",Q143=""),"",Q143/(T143*Inputs!$B$19))</f>
        <v/>
      </c>
      <c r="V143" s="8">
        <f>IF(OR(R143="",Q143=""),"",Q143/R143)</f>
        <v/>
      </c>
      <c r="W143" s="8">
        <f>IF(OR(R143="",T143=""),"",T143/R143)</f>
        <v/>
      </c>
      <c r="X143" s="8">
        <f>IF(A143="","",IF(OR(UPPER(TRIM(Inputs!$B$15))="MANNING",UPPER(TRIM(Inputs!$B$15))="M"),W143,IF(OR(UPPER(TRIM(Inputs!$B$15))="MAX",UPPER(TRIM(Inputs!$B$15))="X"),MAX(V143,W143),V143)))</f>
        <v/>
      </c>
      <c r="Y143" s="8">
        <f>IF(A143="","",IF(UPPER(TRIM(B143))="TRENCH",K143*L143*N143,IF(UPPER(TRIM(B143))="SWALE",K143*L143,0)))</f>
        <v/>
      </c>
      <c r="Z143" s="8">
        <f>IF(OR(Y143="",F143=""),"",Y143*F143)</f>
        <v/>
      </c>
      <c r="AA143" s="4">
        <f>IF(A143="","",IF(OR(U143&gt;1,AND(X143&lt;&gt;"",X143&lt;Inputs!$B$16),AND(X143&lt;&gt;"",X143&gt;Inputs!$B$17),G143&lt;Inputs!$B$18,AH143="CHECK"),"CHECK","OK"))</f>
        <v/>
      </c>
      <c r="AB143" s="4" t="n"/>
      <c r="AC143" s="7" t="n"/>
      <c r="AD143" s="8">
        <f>IF(A143="","",IF(AC143&lt;&gt;"",AC143,IF(E143="",Inputs!$B$38,IFERROR(INDEX($AE$4:$AE$204,MATCH(E143,$A$4:$A$204,0))+IF(OR(AND(UPPER(TRIM(B143))="SWALE",UPPER(TRIM(AI143))="PIPE"),AND(UPPER(TRIM(B143))="TRENCH",UPPER(TRIM(AI143))="PIPE")),Inputs!$B$57,0),""))))</f>
        <v/>
      </c>
      <c r="AE143" s="8">
        <f>IF(OR(AD143="",F143="",G143=""),"",AD143+F143*G143)</f>
        <v/>
      </c>
      <c r="AF143" s="8">
        <f>IF(OR(E143="",A143=""),"",IFERROR(INDEX($AE$4:$AE$204,MATCH(E143,$A$4:$A$204,0)),""))</f>
        <v/>
      </c>
      <c r="AG143" s="8">
        <f>IF(OR(AD143="",AF143=""),"",AD143-AF143)</f>
        <v/>
      </c>
      <c r="AH143" s="4">
        <f>IF(A143="","",IF(E143="","TERMINAL",IF(OR(AND(UPPER(TRIM(B143))="SWALE",UPPER(TRIM(AI143))="PIPE"),AND(UPPER(TRIM(B143))="TRENCH",UPPER(TRIM(AI143))="PIPE")),IF(OR(AG143="",AJ143="",AK143=""),"INFO",IF(AND(AG143&gt;=AJ143,AG143&lt;=AK143),"OK","CHECK")),IF(AG143="","INFO",IF(ABS(AG143)&lt;=Inputs!$B$54,"OK","CHECK")))))</f>
        <v/>
      </c>
      <c r="AI143" s="17">
        <f>IF(A143="","",IF(E143="","",IFERROR(INDEX($B$4:$B$204,MATCH(E143,$A$4:$A$204,0)),"")))</f>
        <v/>
      </c>
      <c r="AJ143" s="17">
        <f>IF(A143="","",IF(OR(AND(UPPER(TRIM(B143))="SWALE",UPPER(TRIM(AI143))="PIPE"),AND(UPPER(TRIM(B143))="TRENCH",UPPER(TRIM(AI143))="PIPE")),Inputs!$B$55,0))</f>
        <v/>
      </c>
      <c r="AK143" s="17">
        <f>IF(A143="","",IF(OR(AND(UPPER(TRIM(B143))="SWALE",UPPER(TRIM(AI143))="PIPE"),AND(UPPER(TRIM(B143))="TRENCH",UPPER(TRIM(AI143))="PIPE")),Inputs!$B$56,Inputs!$B$54))</f>
        <v/>
      </c>
      <c r="AL143" s="4">
        <f>IF(A143="","",IF(E143="","TERMINAL",IF(OR(AND(UPPER(TRIM(B143))="SWALE",UPPER(TRIM(AI143))="PIPE"),AND(UPPER(TRIM(B143))="TRENCH",UPPER(TRIM(AI143))="PIPE")),IF(OR(AG143="",AJ143="",AK143=""),"INFO",IF(AND(AG143&gt;=AJ143,AG143&lt;=AK143),"OK","CHECK")),"N/A")))</f>
        <v/>
      </c>
    </row>
    <row r="144">
      <c r="A144" s="4" t="n"/>
      <c r="B144" s="4" t="n"/>
      <c r="C144" s="4" t="n"/>
      <c r="D144" s="4" t="n"/>
      <c r="E144" s="4" t="n"/>
      <c r="F144" s="7" t="n"/>
      <c r="G144" s="7" t="n"/>
      <c r="H144" s="7" t="n"/>
      <c r="I144" s="8">
        <f>IF(A144="","",IF(H144&lt;&gt;"",H144,IF(UPPER(TRIM(B144))="PIPE",Inputs!$B$7,IF(UPPER(TRIM(B144))="SWALE",Inputs!$B$8,Inputs!$B$9))))</f>
        <v/>
      </c>
      <c r="J144" s="7" t="n"/>
      <c r="K144" s="7" t="n"/>
      <c r="L144" s="7" t="n"/>
      <c r="M144" s="7" t="n"/>
      <c r="N144" s="7" t="n">
        <v>0</v>
      </c>
      <c r="O144" s="8">
        <f>IF(A144="","",SUMIFS(Zones_tributaires!$I:$I,Zones_tributaires!$J:$J,$A144))</f>
        <v/>
      </c>
      <c r="P144" s="8">
        <f>IF(A144="","",SUMIFS($Q$4:$Q$204,$E$4:$E$204,$A144))</f>
        <v/>
      </c>
      <c r="Q144" s="8">
        <f>IF(A144="","",(O144+P144)*Inputs!$B$6)</f>
        <v/>
      </c>
      <c r="R144" s="8">
        <f>IF(A144="","",IF(UPPER(TRIM(B144))="PIPE",PI()*(J144/1000)^2/4,IF(OR(K144="",L144=""),"",L144*(K144+M144*L144))))</f>
        <v/>
      </c>
      <c r="S144" s="8">
        <f>IF(A144="","",IF(UPPER(TRIM(B144))="PIPE",(J144/1000)/4,IF(OR(R144="",K144="",L144=""),"",R144/(K144+2*L144*SQRT(1+M144^2)))))</f>
        <v/>
      </c>
      <c r="T144" s="8">
        <f>IF(A144="","",IF(OR(I144="",R144="",S144="",G144=""),"",(1/I144)*R144*(S144^(2/3))*SQRT(G144)))</f>
        <v/>
      </c>
      <c r="U144" s="8">
        <f>IF(OR(T144="",Q144=""),"",Q144/(T144*Inputs!$B$19))</f>
        <v/>
      </c>
      <c r="V144" s="8">
        <f>IF(OR(R144="",Q144=""),"",Q144/R144)</f>
        <v/>
      </c>
      <c r="W144" s="8">
        <f>IF(OR(R144="",T144=""),"",T144/R144)</f>
        <v/>
      </c>
      <c r="X144" s="8">
        <f>IF(A144="","",IF(OR(UPPER(TRIM(Inputs!$B$15))="MANNING",UPPER(TRIM(Inputs!$B$15))="M"),W144,IF(OR(UPPER(TRIM(Inputs!$B$15))="MAX",UPPER(TRIM(Inputs!$B$15))="X"),MAX(V144,W144),V144)))</f>
        <v/>
      </c>
      <c r="Y144" s="8">
        <f>IF(A144="","",IF(UPPER(TRIM(B144))="TRENCH",K144*L144*N144,IF(UPPER(TRIM(B144))="SWALE",K144*L144,0)))</f>
        <v/>
      </c>
      <c r="Z144" s="8">
        <f>IF(OR(Y144="",F144=""),"",Y144*F144)</f>
        <v/>
      </c>
      <c r="AA144" s="4">
        <f>IF(A144="","",IF(OR(U144&gt;1,AND(X144&lt;&gt;"",X144&lt;Inputs!$B$16),AND(X144&lt;&gt;"",X144&gt;Inputs!$B$17),G144&lt;Inputs!$B$18,AH144="CHECK"),"CHECK","OK"))</f>
        <v/>
      </c>
      <c r="AB144" s="4" t="n"/>
      <c r="AC144" s="7" t="n"/>
      <c r="AD144" s="8">
        <f>IF(A144="","",IF(AC144&lt;&gt;"",AC144,IF(E144="",Inputs!$B$38,IFERROR(INDEX($AE$4:$AE$204,MATCH(E144,$A$4:$A$204,0))+IF(OR(AND(UPPER(TRIM(B144))="SWALE",UPPER(TRIM(AI144))="PIPE"),AND(UPPER(TRIM(B144))="TRENCH",UPPER(TRIM(AI144))="PIPE")),Inputs!$B$57,0),""))))</f>
        <v/>
      </c>
      <c r="AE144" s="8">
        <f>IF(OR(AD144="",F144="",G144=""),"",AD144+F144*G144)</f>
        <v/>
      </c>
      <c r="AF144" s="8">
        <f>IF(OR(E144="",A144=""),"",IFERROR(INDEX($AE$4:$AE$204,MATCH(E144,$A$4:$A$204,0)),""))</f>
        <v/>
      </c>
      <c r="AG144" s="8">
        <f>IF(OR(AD144="",AF144=""),"",AD144-AF144)</f>
        <v/>
      </c>
      <c r="AH144" s="4">
        <f>IF(A144="","",IF(E144="","TERMINAL",IF(OR(AND(UPPER(TRIM(B144))="SWALE",UPPER(TRIM(AI144))="PIPE"),AND(UPPER(TRIM(B144))="TRENCH",UPPER(TRIM(AI144))="PIPE")),IF(OR(AG144="",AJ144="",AK144=""),"INFO",IF(AND(AG144&gt;=AJ144,AG144&lt;=AK144),"OK","CHECK")),IF(AG144="","INFO",IF(ABS(AG144)&lt;=Inputs!$B$54,"OK","CHECK")))))</f>
        <v/>
      </c>
      <c r="AI144" s="17">
        <f>IF(A144="","",IF(E144="","",IFERROR(INDEX($B$4:$B$204,MATCH(E144,$A$4:$A$204,0)),"")))</f>
        <v/>
      </c>
      <c r="AJ144" s="17">
        <f>IF(A144="","",IF(OR(AND(UPPER(TRIM(B144))="SWALE",UPPER(TRIM(AI144))="PIPE"),AND(UPPER(TRIM(B144))="TRENCH",UPPER(TRIM(AI144))="PIPE")),Inputs!$B$55,0))</f>
        <v/>
      </c>
      <c r="AK144" s="17">
        <f>IF(A144="","",IF(OR(AND(UPPER(TRIM(B144))="SWALE",UPPER(TRIM(AI144))="PIPE"),AND(UPPER(TRIM(B144))="TRENCH",UPPER(TRIM(AI144))="PIPE")),Inputs!$B$56,Inputs!$B$54))</f>
        <v/>
      </c>
      <c r="AL144" s="4">
        <f>IF(A144="","",IF(E144="","TERMINAL",IF(OR(AND(UPPER(TRIM(B144))="SWALE",UPPER(TRIM(AI144))="PIPE"),AND(UPPER(TRIM(B144))="TRENCH",UPPER(TRIM(AI144))="PIPE")),IF(OR(AG144="",AJ144="",AK144=""),"INFO",IF(AND(AG144&gt;=AJ144,AG144&lt;=AK144),"OK","CHECK")),"N/A")))</f>
        <v/>
      </c>
    </row>
    <row r="145">
      <c r="A145" s="4" t="n"/>
      <c r="B145" s="4" t="n"/>
      <c r="C145" s="4" t="n"/>
      <c r="D145" s="4" t="n"/>
      <c r="E145" s="4" t="n"/>
      <c r="F145" s="7" t="n"/>
      <c r="G145" s="7" t="n"/>
      <c r="H145" s="7" t="n"/>
      <c r="I145" s="8">
        <f>IF(A145="","",IF(H145&lt;&gt;"",H145,IF(UPPER(TRIM(B145))="PIPE",Inputs!$B$7,IF(UPPER(TRIM(B145))="SWALE",Inputs!$B$8,Inputs!$B$9))))</f>
        <v/>
      </c>
      <c r="J145" s="7" t="n"/>
      <c r="K145" s="7" t="n"/>
      <c r="L145" s="7" t="n"/>
      <c r="M145" s="7" t="n"/>
      <c r="N145" s="7" t="n">
        <v>0</v>
      </c>
      <c r="O145" s="8">
        <f>IF(A145="","",SUMIFS(Zones_tributaires!$I:$I,Zones_tributaires!$J:$J,$A145))</f>
        <v/>
      </c>
      <c r="P145" s="8">
        <f>IF(A145="","",SUMIFS($Q$4:$Q$204,$E$4:$E$204,$A145))</f>
        <v/>
      </c>
      <c r="Q145" s="8">
        <f>IF(A145="","",(O145+P145)*Inputs!$B$6)</f>
        <v/>
      </c>
      <c r="R145" s="8">
        <f>IF(A145="","",IF(UPPER(TRIM(B145))="PIPE",PI()*(J145/1000)^2/4,IF(OR(K145="",L145=""),"",L145*(K145+M145*L145))))</f>
        <v/>
      </c>
      <c r="S145" s="8">
        <f>IF(A145="","",IF(UPPER(TRIM(B145))="PIPE",(J145/1000)/4,IF(OR(R145="",K145="",L145=""),"",R145/(K145+2*L145*SQRT(1+M145^2)))))</f>
        <v/>
      </c>
      <c r="T145" s="8">
        <f>IF(A145="","",IF(OR(I145="",R145="",S145="",G145=""),"",(1/I145)*R145*(S145^(2/3))*SQRT(G145)))</f>
        <v/>
      </c>
      <c r="U145" s="8">
        <f>IF(OR(T145="",Q145=""),"",Q145/(T145*Inputs!$B$19))</f>
        <v/>
      </c>
      <c r="V145" s="8">
        <f>IF(OR(R145="",Q145=""),"",Q145/R145)</f>
        <v/>
      </c>
      <c r="W145" s="8">
        <f>IF(OR(R145="",T145=""),"",T145/R145)</f>
        <v/>
      </c>
      <c r="X145" s="8">
        <f>IF(A145="","",IF(OR(UPPER(TRIM(Inputs!$B$15))="MANNING",UPPER(TRIM(Inputs!$B$15))="M"),W145,IF(OR(UPPER(TRIM(Inputs!$B$15))="MAX",UPPER(TRIM(Inputs!$B$15))="X"),MAX(V145,W145),V145)))</f>
        <v/>
      </c>
      <c r="Y145" s="8">
        <f>IF(A145="","",IF(UPPER(TRIM(B145))="TRENCH",K145*L145*N145,IF(UPPER(TRIM(B145))="SWALE",K145*L145,0)))</f>
        <v/>
      </c>
      <c r="Z145" s="8">
        <f>IF(OR(Y145="",F145=""),"",Y145*F145)</f>
        <v/>
      </c>
      <c r="AA145" s="4">
        <f>IF(A145="","",IF(OR(U145&gt;1,AND(X145&lt;&gt;"",X145&lt;Inputs!$B$16),AND(X145&lt;&gt;"",X145&gt;Inputs!$B$17),G145&lt;Inputs!$B$18,AH145="CHECK"),"CHECK","OK"))</f>
        <v/>
      </c>
      <c r="AB145" s="4" t="n"/>
      <c r="AC145" s="7" t="n"/>
      <c r="AD145" s="8">
        <f>IF(A145="","",IF(AC145&lt;&gt;"",AC145,IF(E145="",Inputs!$B$38,IFERROR(INDEX($AE$4:$AE$204,MATCH(E145,$A$4:$A$204,0))+IF(OR(AND(UPPER(TRIM(B145))="SWALE",UPPER(TRIM(AI145))="PIPE"),AND(UPPER(TRIM(B145))="TRENCH",UPPER(TRIM(AI145))="PIPE")),Inputs!$B$57,0),""))))</f>
        <v/>
      </c>
      <c r="AE145" s="8">
        <f>IF(OR(AD145="",F145="",G145=""),"",AD145+F145*G145)</f>
        <v/>
      </c>
      <c r="AF145" s="8">
        <f>IF(OR(E145="",A145=""),"",IFERROR(INDEX($AE$4:$AE$204,MATCH(E145,$A$4:$A$204,0)),""))</f>
        <v/>
      </c>
      <c r="AG145" s="8">
        <f>IF(OR(AD145="",AF145=""),"",AD145-AF145)</f>
        <v/>
      </c>
      <c r="AH145" s="4">
        <f>IF(A145="","",IF(E145="","TERMINAL",IF(OR(AND(UPPER(TRIM(B145))="SWALE",UPPER(TRIM(AI145))="PIPE"),AND(UPPER(TRIM(B145))="TRENCH",UPPER(TRIM(AI145))="PIPE")),IF(OR(AG145="",AJ145="",AK145=""),"INFO",IF(AND(AG145&gt;=AJ145,AG145&lt;=AK145),"OK","CHECK")),IF(AG145="","INFO",IF(ABS(AG145)&lt;=Inputs!$B$54,"OK","CHECK")))))</f>
        <v/>
      </c>
      <c r="AI145" s="17">
        <f>IF(A145="","",IF(E145="","",IFERROR(INDEX($B$4:$B$204,MATCH(E145,$A$4:$A$204,0)),"")))</f>
        <v/>
      </c>
      <c r="AJ145" s="17">
        <f>IF(A145="","",IF(OR(AND(UPPER(TRIM(B145))="SWALE",UPPER(TRIM(AI145))="PIPE"),AND(UPPER(TRIM(B145))="TRENCH",UPPER(TRIM(AI145))="PIPE")),Inputs!$B$55,0))</f>
        <v/>
      </c>
      <c r="AK145" s="17">
        <f>IF(A145="","",IF(OR(AND(UPPER(TRIM(B145))="SWALE",UPPER(TRIM(AI145))="PIPE"),AND(UPPER(TRIM(B145))="TRENCH",UPPER(TRIM(AI145))="PIPE")),Inputs!$B$56,Inputs!$B$54))</f>
        <v/>
      </c>
      <c r="AL145" s="4">
        <f>IF(A145="","",IF(E145="","TERMINAL",IF(OR(AND(UPPER(TRIM(B145))="SWALE",UPPER(TRIM(AI145))="PIPE"),AND(UPPER(TRIM(B145))="TRENCH",UPPER(TRIM(AI145))="PIPE")),IF(OR(AG145="",AJ145="",AK145=""),"INFO",IF(AND(AG145&gt;=AJ145,AG145&lt;=AK145),"OK","CHECK")),"N/A")))</f>
        <v/>
      </c>
    </row>
    <row r="146">
      <c r="A146" s="4" t="n"/>
      <c r="B146" s="4" t="n"/>
      <c r="C146" s="4" t="n"/>
      <c r="D146" s="4" t="n"/>
      <c r="E146" s="4" t="n"/>
      <c r="F146" s="7" t="n"/>
      <c r="G146" s="7" t="n"/>
      <c r="H146" s="7" t="n"/>
      <c r="I146" s="8">
        <f>IF(A146="","",IF(H146&lt;&gt;"",H146,IF(UPPER(TRIM(B146))="PIPE",Inputs!$B$7,IF(UPPER(TRIM(B146))="SWALE",Inputs!$B$8,Inputs!$B$9))))</f>
        <v/>
      </c>
      <c r="J146" s="7" t="n"/>
      <c r="K146" s="7" t="n"/>
      <c r="L146" s="7" t="n"/>
      <c r="M146" s="7" t="n"/>
      <c r="N146" s="7" t="n">
        <v>0</v>
      </c>
      <c r="O146" s="8">
        <f>IF(A146="","",SUMIFS(Zones_tributaires!$I:$I,Zones_tributaires!$J:$J,$A146))</f>
        <v/>
      </c>
      <c r="P146" s="8">
        <f>IF(A146="","",SUMIFS($Q$4:$Q$204,$E$4:$E$204,$A146))</f>
        <v/>
      </c>
      <c r="Q146" s="8">
        <f>IF(A146="","",(O146+P146)*Inputs!$B$6)</f>
        <v/>
      </c>
      <c r="R146" s="8">
        <f>IF(A146="","",IF(UPPER(TRIM(B146))="PIPE",PI()*(J146/1000)^2/4,IF(OR(K146="",L146=""),"",L146*(K146+M146*L146))))</f>
        <v/>
      </c>
      <c r="S146" s="8">
        <f>IF(A146="","",IF(UPPER(TRIM(B146))="PIPE",(J146/1000)/4,IF(OR(R146="",K146="",L146=""),"",R146/(K146+2*L146*SQRT(1+M146^2)))))</f>
        <v/>
      </c>
      <c r="T146" s="8">
        <f>IF(A146="","",IF(OR(I146="",R146="",S146="",G146=""),"",(1/I146)*R146*(S146^(2/3))*SQRT(G146)))</f>
        <v/>
      </c>
      <c r="U146" s="8">
        <f>IF(OR(T146="",Q146=""),"",Q146/(T146*Inputs!$B$19))</f>
        <v/>
      </c>
      <c r="V146" s="8">
        <f>IF(OR(R146="",Q146=""),"",Q146/R146)</f>
        <v/>
      </c>
      <c r="W146" s="8">
        <f>IF(OR(R146="",T146=""),"",T146/R146)</f>
        <v/>
      </c>
      <c r="X146" s="8">
        <f>IF(A146="","",IF(OR(UPPER(TRIM(Inputs!$B$15))="MANNING",UPPER(TRIM(Inputs!$B$15))="M"),W146,IF(OR(UPPER(TRIM(Inputs!$B$15))="MAX",UPPER(TRIM(Inputs!$B$15))="X"),MAX(V146,W146),V146)))</f>
        <v/>
      </c>
      <c r="Y146" s="8">
        <f>IF(A146="","",IF(UPPER(TRIM(B146))="TRENCH",K146*L146*N146,IF(UPPER(TRIM(B146))="SWALE",K146*L146,0)))</f>
        <v/>
      </c>
      <c r="Z146" s="8">
        <f>IF(OR(Y146="",F146=""),"",Y146*F146)</f>
        <v/>
      </c>
      <c r="AA146" s="4">
        <f>IF(A146="","",IF(OR(U146&gt;1,AND(X146&lt;&gt;"",X146&lt;Inputs!$B$16),AND(X146&lt;&gt;"",X146&gt;Inputs!$B$17),G146&lt;Inputs!$B$18,AH146="CHECK"),"CHECK","OK"))</f>
        <v/>
      </c>
      <c r="AB146" s="4" t="n"/>
      <c r="AC146" s="7" t="n"/>
      <c r="AD146" s="8">
        <f>IF(A146="","",IF(AC146&lt;&gt;"",AC146,IF(E146="",Inputs!$B$38,IFERROR(INDEX($AE$4:$AE$204,MATCH(E146,$A$4:$A$204,0))+IF(OR(AND(UPPER(TRIM(B146))="SWALE",UPPER(TRIM(AI146))="PIPE"),AND(UPPER(TRIM(B146))="TRENCH",UPPER(TRIM(AI146))="PIPE")),Inputs!$B$57,0),""))))</f>
        <v/>
      </c>
      <c r="AE146" s="8">
        <f>IF(OR(AD146="",F146="",G146=""),"",AD146+F146*G146)</f>
        <v/>
      </c>
      <c r="AF146" s="8">
        <f>IF(OR(E146="",A146=""),"",IFERROR(INDEX($AE$4:$AE$204,MATCH(E146,$A$4:$A$204,0)),""))</f>
        <v/>
      </c>
      <c r="AG146" s="8">
        <f>IF(OR(AD146="",AF146=""),"",AD146-AF146)</f>
        <v/>
      </c>
      <c r="AH146" s="4">
        <f>IF(A146="","",IF(E146="","TERMINAL",IF(OR(AND(UPPER(TRIM(B146))="SWALE",UPPER(TRIM(AI146))="PIPE"),AND(UPPER(TRIM(B146))="TRENCH",UPPER(TRIM(AI146))="PIPE")),IF(OR(AG146="",AJ146="",AK146=""),"INFO",IF(AND(AG146&gt;=AJ146,AG146&lt;=AK146),"OK","CHECK")),IF(AG146="","INFO",IF(ABS(AG146)&lt;=Inputs!$B$54,"OK","CHECK")))))</f>
        <v/>
      </c>
      <c r="AI146" s="17">
        <f>IF(A146="","",IF(E146="","",IFERROR(INDEX($B$4:$B$204,MATCH(E146,$A$4:$A$204,0)),"")))</f>
        <v/>
      </c>
      <c r="AJ146" s="17">
        <f>IF(A146="","",IF(OR(AND(UPPER(TRIM(B146))="SWALE",UPPER(TRIM(AI146))="PIPE"),AND(UPPER(TRIM(B146))="TRENCH",UPPER(TRIM(AI146))="PIPE")),Inputs!$B$55,0))</f>
        <v/>
      </c>
      <c r="AK146" s="17">
        <f>IF(A146="","",IF(OR(AND(UPPER(TRIM(B146))="SWALE",UPPER(TRIM(AI146))="PIPE"),AND(UPPER(TRIM(B146))="TRENCH",UPPER(TRIM(AI146))="PIPE")),Inputs!$B$56,Inputs!$B$54))</f>
        <v/>
      </c>
      <c r="AL146" s="4">
        <f>IF(A146="","",IF(E146="","TERMINAL",IF(OR(AND(UPPER(TRIM(B146))="SWALE",UPPER(TRIM(AI146))="PIPE"),AND(UPPER(TRIM(B146))="TRENCH",UPPER(TRIM(AI146))="PIPE")),IF(OR(AG146="",AJ146="",AK146=""),"INFO",IF(AND(AG146&gt;=AJ146,AG146&lt;=AK146),"OK","CHECK")),"N/A")))</f>
        <v/>
      </c>
    </row>
    <row r="147">
      <c r="A147" s="4" t="n"/>
      <c r="B147" s="4" t="n"/>
      <c r="C147" s="4" t="n"/>
      <c r="D147" s="4" t="n"/>
      <c r="E147" s="4" t="n"/>
      <c r="F147" s="7" t="n"/>
      <c r="G147" s="7" t="n"/>
      <c r="H147" s="7" t="n"/>
      <c r="I147" s="8">
        <f>IF(A147="","",IF(H147&lt;&gt;"",H147,IF(UPPER(TRIM(B147))="PIPE",Inputs!$B$7,IF(UPPER(TRIM(B147))="SWALE",Inputs!$B$8,Inputs!$B$9))))</f>
        <v/>
      </c>
      <c r="J147" s="7" t="n"/>
      <c r="K147" s="7" t="n"/>
      <c r="L147" s="7" t="n"/>
      <c r="M147" s="7" t="n"/>
      <c r="N147" s="7" t="n">
        <v>0</v>
      </c>
      <c r="O147" s="8">
        <f>IF(A147="","",SUMIFS(Zones_tributaires!$I:$I,Zones_tributaires!$J:$J,$A147))</f>
        <v/>
      </c>
      <c r="P147" s="8">
        <f>IF(A147="","",SUMIFS($Q$4:$Q$204,$E$4:$E$204,$A147))</f>
        <v/>
      </c>
      <c r="Q147" s="8">
        <f>IF(A147="","",(O147+P147)*Inputs!$B$6)</f>
        <v/>
      </c>
      <c r="R147" s="8">
        <f>IF(A147="","",IF(UPPER(TRIM(B147))="PIPE",PI()*(J147/1000)^2/4,IF(OR(K147="",L147=""),"",L147*(K147+M147*L147))))</f>
        <v/>
      </c>
      <c r="S147" s="8">
        <f>IF(A147="","",IF(UPPER(TRIM(B147))="PIPE",(J147/1000)/4,IF(OR(R147="",K147="",L147=""),"",R147/(K147+2*L147*SQRT(1+M147^2)))))</f>
        <v/>
      </c>
      <c r="T147" s="8">
        <f>IF(A147="","",IF(OR(I147="",R147="",S147="",G147=""),"",(1/I147)*R147*(S147^(2/3))*SQRT(G147)))</f>
        <v/>
      </c>
      <c r="U147" s="8">
        <f>IF(OR(T147="",Q147=""),"",Q147/(T147*Inputs!$B$19))</f>
        <v/>
      </c>
      <c r="V147" s="8">
        <f>IF(OR(R147="",Q147=""),"",Q147/R147)</f>
        <v/>
      </c>
      <c r="W147" s="8">
        <f>IF(OR(R147="",T147=""),"",T147/R147)</f>
        <v/>
      </c>
      <c r="X147" s="8">
        <f>IF(A147="","",IF(OR(UPPER(TRIM(Inputs!$B$15))="MANNING",UPPER(TRIM(Inputs!$B$15))="M"),W147,IF(OR(UPPER(TRIM(Inputs!$B$15))="MAX",UPPER(TRIM(Inputs!$B$15))="X"),MAX(V147,W147),V147)))</f>
        <v/>
      </c>
      <c r="Y147" s="8">
        <f>IF(A147="","",IF(UPPER(TRIM(B147))="TRENCH",K147*L147*N147,IF(UPPER(TRIM(B147))="SWALE",K147*L147,0)))</f>
        <v/>
      </c>
      <c r="Z147" s="8">
        <f>IF(OR(Y147="",F147=""),"",Y147*F147)</f>
        <v/>
      </c>
      <c r="AA147" s="4">
        <f>IF(A147="","",IF(OR(U147&gt;1,AND(X147&lt;&gt;"",X147&lt;Inputs!$B$16),AND(X147&lt;&gt;"",X147&gt;Inputs!$B$17),G147&lt;Inputs!$B$18,AH147="CHECK"),"CHECK","OK"))</f>
        <v/>
      </c>
      <c r="AB147" s="4" t="n"/>
      <c r="AC147" s="7" t="n"/>
      <c r="AD147" s="8">
        <f>IF(A147="","",IF(AC147&lt;&gt;"",AC147,IF(E147="",Inputs!$B$38,IFERROR(INDEX($AE$4:$AE$204,MATCH(E147,$A$4:$A$204,0))+IF(OR(AND(UPPER(TRIM(B147))="SWALE",UPPER(TRIM(AI147))="PIPE"),AND(UPPER(TRIM(B147))="TRENCH",UPPER(TRIM(AI147))="PIPE")),Inputs!$B$57,0),""))))</f>
        <v/>
      </c>
      <c r="AE147" s="8">
        <f>IF(OR(AD147="",F147="",G147=""),"",AD147+F147*G147)</f>
        <v/>
      </c>
      <c r="AF147" s="8">
        <f>IF(OR(E147="",A147=""),"",IFERROR(INDEX($AE$4:$AE$204,MATCH(E147,$A$4:$A$204,0)),""))</f>
        <v/>
      </c>
      <c r="AG147" s="8">
        <f>IF(OR(AD147="",AF147=""),"",AD147-AF147)</f>
        <v/>
      </c>
      <c r="AH147" s="4">
        <f>IF(A147="","",IF(E147="","TERMINAL",IF(OR(AND(UPPER(TRIM(B147))="SWALE",UPPER(TRIM(AI147))="PIPE"),AND(UPPER(TRIM(B147))="TRENCH",UPPER(TRIM(AI147))="PIPE")),IF(OR(AG147="",AJ147="",AK147=""),"INFO",IF(AND(AG147&gt;=AJ147,AG147&lt;=AK147),"OK","CHECK")),IF(AG147="","INFO",IF(ABS(AG147)&lt;=Inputs!$B$54,"OK","CHECK")))))</f>
        <v/>
      </c>
      <c r="AI147" s="17">
        <f>IF(A147="","",IF(E147="","",IFERROR(INDEX($B$4:$B$204,MATCH(E147,$A$4:$A$204,0)),"")))</f>
        <v/>
      </c>
      <c r="AJ147" s="17">
        <f>IF(A147="","",IF(OR(AND(UPPER(TRIM(B147))="SWALE",UPPER(TRIM(AI147))="PIPE"),AND(UPPER(TRIM(B147))="TRENCH",UPPER(TRIM(AI147))="PIPE")),Inputs!$B$55,0))</f>
        <v/>
      </c>
      <c r="AK147" s="17">
        <f>IF(A147="","",IF(OR(AND(UPPER(TRIM(B147))="SWALE",UPPER(TRIM(AI147))="PIPE"),AND(UPPER(TRIM(B147))="TRENCH",UPPER(TRIM(AI147))="PIPE")),Inputs!$B$56,Inputs!$B$54))</f>
        <v/>
      </c>
      <c r="AL147" s="4">
        <f>IF(A147="","",IF(E147="","TERMINAL",IF(OR(AND(UPPER(TRIM(B147))="SWALE",UPPER(TRIM(AI147))="PIPE"),AND(UPPER(TRIM(B147))="TRENCH",UPPER(TRIM(AI147))="PIPE")),IF(OR(AG147="",AJ147="",AK147=""),"INFO",IF(AND(AG147&gt;=AJ147,AG147&lt;=AK147),"OK","CHECK")),"N/A")))</f>
        <v/>
      </c>
    </row>
    <row r="148">
      <c r="A148" s="4" t="n"/>
      <c r="B148" s="4" t="n"/>
      <c r="C148" s="4" t="n"/>
      <c r="D148" s="4" t="n"/>
      <c r="E148" s="4" t="n"/>
      <c r="F148" s="7" t="n"/>
      <c r="G148" s="7" t="n"/>
      <c r="H148" s="7" t="n"/>
      <c r="I148" s="8">
        <f>IF(A148="","",IF(H148&lt;&gt;"",H148,IF(UPPER(TRIM(B148))="PIPE",Inputs!$B$7,IF(UPPER(TRIM(B148))="SWALE",Inputs!$B$8,Inputs!$B$9))))</f>
        <v/>
      </c>
      <c r="J148" s="7" t="n"/>
      <c r="K148" s="7" t="n"/>
      <c r="L148" s="7" t="n"/>
      <c r="M148" s="7" t="n"/>
      <c r="N148" s="7" t="n">
        <v>0</v>
      </c>
      <c r="O148" s="8">
        <f>IF(A148="","",SUMIFS(Zones_tributaires!$I:$I,Zones_tributaires!$J:$J,$A148))</f>
        <v/>
      </c>
      <c r="P148" s="8">
        <f>IF(A148="","",SUMIFS($Q$4:$Q$204,$E$4:$E$204,$A148))</f>
        <v/>
      </c>
      <c r="Q148" s="8">
        <f>IF(A148="","",(O148+P148)*Inputs!$B$6)</f>
        <v/>
      </c>
      <c r="R148" s="8">
        <f>IF(A148="","",IF(UPPER(TRIM(B148))="PIPE",PI()*(J148/1000)^2/4,IF(OR(K148="",L148=""),"",L148*(K148+M148*L148))))</f>
        <v/>
      </c>
      <c r="S148" s="8">
        <f>IF(A148="","",IF(UPPER(TRIM(B148))="PIPE",(J148/1000)/4,IF(OR(R148="",K148="",L148=""),"",R148/(K148+2*L148*SQRT(1+M148^2)))))</f>
        <v/>
      </c>
      <c r="T148" s="8">
        <f>IF(A148="","",IF(OR(I148="",R148="",S148="",G148=""),"",(1/I148)*R148*(S148^(2/3))*SQRT(G148)))</f>
        <v/>
      </c>
      <c r="U148" s="8">
        <f>IF(OR(T148="",Q148=""),"",Q148/(T148*Inputs!$B$19))</f>
        <v/>
      </c>
      <c r="V148" s="8">
        <f>IF(OR(R148="",Q148=""),"",Q148/R148)</f>
        <v/>
      </c>
      <c r="W148" s="8">
        <f>IF(OR(R148="",T148=""),"",T148/R148)</f>
        <v/>
      </c>
      <c r="X148" s="8">
        <f>IF(A148="","",IF(OR(UPPER(TRIM(Inputs!$B$15))="MANNING",UPPER(TRIM(Inputs!$B$15))="M"),W148,IF(OR(UPPER(TRIM(Inputs!$B$15))="MAX",UPPER(TRIM(Inputs!$B$15))="X"),MAX(V148,W148),V148)))</f>
        <v/>
      </c>
      <c r="Y148" s="8">
        <f>IF(A148="","",IF(UPPER(TRIM(B148))="TRENCH",K148*L148*N148,IF(UPPER(TRIM(B148))="SWALE",K148*L148,0)))</f>
        <v/>
      </c>
      <c r="Z148" s="8">
        <f>IF(OR(Y148="",F148=""),"",Y148*F148)</f>
        <v/>
      </c>
      <c r="AA148" s="4">
        <f>IF(A148="","",IF(OR(U148&gt;1,AND(X148&lt;&gt;"",X148&lt;Inputs!$B$16),AND(X148&lt;&gt;"",X148&gt;Inputs!$B$17),G148&lt;Inputs!$B$18,AH148="CHECK"),"CHECK","OK"))</f>
        <v/>
      </c>
      <c r="AB148" s="4" t="n"/>
      <c r="AC148" s="7" t="n"/>
      <c r="AD148" s="8">
        <f>IF(A148="","",IF(AC148&lt;&gt;"",AC148,IF(E148="",Inputs!$B$38,IFERROR(INDEX($AE$4:$AE$204,MATCH(E148,$A$4:$A$204,0))+IF(OR(AND(UPPER(TRIM(B148))="SWALE",UPPER(TRIM(AI148))="PIPE"),AND(UPPER(TRIM(B148))="TRENCH",UPPER(TRIM(AI148))="PIPE")),Inputs!$B$57,0),""))))</f>
        <v/>
      </c>
      <c r="AE148" s="8">
        <f>IF(OR(AD148="",F148="",G148=""),"",AD148+F148*G148)</f>
        <v/>
      </c>
      <c r="AF148" s="8">
        <f>IF(OR(E148="",A148=""),"",IFERROR(INDEX($AE$4:$AE$204,MATCH(E148,$A$4:$A$204,0)),""))</f>
        <v/>
      </c>
      <c r="AG148" s="8">
        <f>IF(OR(AD148="",AF148=""),"",AD148-AF148)</f>
        <v/>
      </c>
      <c r="AH148" s="4">
        <f>IF(A148="","",IF(E148="","TERMINAL",IF(OR(AND(UPPER(TRIM(B148))="SWALE",UPPER(TRIM(AI148))="PIPE"),AND(UPPER(TRIM(B148))="TRENCH",UPPER(TRIM(AI148))="PIPE")),IF(OR(AG148="",AJ148="",AK148=""),"INFO",IF(AND(AG148&gt;=AJ148,AG148&lt;=AK148),"OK","CHECK")),IF(AG148="","INFO",IF(ABS(AG148)&lt;=Inputs!$B$54,"OK","CHECK")))))</f>
        <v/>
      </c>
      <c r="AI148" s="17">
        <f>IF(A148="","",IF(E148="","",IFERROR(INDEX($B$4:$B$204,MATCH(E148,$A$4:$A$204,0)),"")))</f>
        <v/>
      </c>
      <c r="AJ148" s="17">
        <f>IF(A148="","",IF(OR(AND(UPPER(TRIM(B148))="SWALE",UPPER(TRIM(AI148))="PIPE"),AND(UPPER(TRIM(B148))="TRENCH",UPPER(TRIM(AI148))="PIPE")),Inputs!$B$55,0))</f>
        <v/>
      </c>
      <c r="AK148" s="17">
        <f>IF(A148="","",IF(OR(AND(UPPER(TRIM(B148))="SWALE",UPPER(TRIM(AI148))="PIPE"),AND(UPPER(TRIM(B148))="TRENCH",UPPER(TRIM(AI148))="PIPE")),Inputs!$B$56,Inputs!$B$54))</f>
        <v/>
      </c>
      <c r="AL148" s="4">
        <f>IF(A148="","",IF(E148="","TERMINAL",IF(OR(AND(UPPER(TRIM(B148))="SWALE",UPPER(TRIM(AI148))="PIPE"),AND(UPPER(TRIM(B148))="TRENCH",UPPER(TRIM(AI148))="PIPE")),IF(OR(AG148="",AJ148="",AK148=""),"INFO",IF(AND(AG148&gt;=AJ148,AG148&lt;=AK148),"OK","CHECK")),"N/A")))</f>
        <v/>
      </c>
    </row>
    <row r="149">
      <c r="A149" s="4" t="n"/>
      <c r="B149" s="4" t="n"/>
      <c r="C149" s="4" t="n"/>
      <c r="D149" s="4" t="n"/>
      <c r="E149" s="4" t="n"/>
      <c r="F149" s="7" t="n"/>
      <c r="G149" s="7" t="n"/>
      <c r="H149" s="7" t="n"/>
      <c r="I149" s="8">
        <f>IF(A149="","",IF(H149&lt;&gt;"",H149,IF(UPPER(TRIM(B149))="PIPE",Inputs!$B$7,IF(UPPER(TRIM(B149))="SWALE",Inputs!$B$8,Inputs!$B$9))))</f>
        <v/>
      </c>
      <c r="J149" s="7" t="n"/>
      <c r="K149" s="7" t="n"/>
      <c r="L149" s="7" t="n"/>
      <c r="M149" s="7" t="n"/>
      <c r="N149" s="7" t="n">
        <v>0</v>
      </c>
      <c r="O149" s="8">
        <f>IF(A149="","",SUMIFS(Zones_tributaires!$I:$I,Zones_tributaires!$J:$J,$A149))</f>
        <v/>
      </c>
      <c r="P149" s="8">
        <f>IF(A149="","",SUMIFS($Q$4:$Q$204,$E$4:$E$204,$A149))</f>
        <v/>
      </c>
      <c r="Q149" s="8">
        <f>IF(A149="","",(O149+P149)*Inputs!$B$6)</f>
        <v/>
      </c>
      <c r="R149" s="8">
        <f>IF(A149="","",IF(UPPER(TRIM(B149))="PIPE",PI()*(J149/1000)^2/4,IF(OR(K149="",L149=""),"",L149*(K149+M149*L149))))</f>
        <v/>
      </c>
      <c r="S149" s="8">
        <f>IF(A149="","",IF(UPPER(TRIM(B149))="PIPE",(J149/1000)/4,IF(OR(R149="",K149="",L149=""),"",R149/(K149+2*L149*SQRT(1+M149^2)))))</f>
        <v/>
      </c>
      <c r="T149" s="8">
        <f>IF(A149="","",IF(OR(I149="",R149="",S149="",G149=""),"",(1/I149)*R149*(S149^(2/3))*SQRT(G149)))</f>
        <v/>
      </c>
      <c r="U149" s="8">
        <f>IF(OR(T149="",Q149=""),"",Q149/(T149*Inputs!$B$19))</f>
        <v/>
      </c>
      <c r="V149" s="8">
        <f>IF(OR(R149="",Q149=""),"",Q149/R149)</f>
        <v/>
      </c>
      <c r="W149" s="8">
        <f>IF(OR(R149="",T149=""),"",T149/R149)</f>
        <v/>
      </c>
      <c r="X149" s="8">
        <f>IF(A149="","",IF(OR(UPPER(TRIM(Inputs!$B$15))="MANNING",UPPER(TRIM(Inputs!$B$15))="M"),W149,IF(OR(UPPER(TRIM(Inputs!$B$15))="MAX",UPPER(TRIM(Inputs!$B$15))="X"),MAX(V149,W149),V149)))</f>
        <v/>
      </c>
      <c r="Y149" s="8">
        <f>IF(A149="","",IF(UPPER(TRIM(B149))="TRENCH",K149*L149*N149,IF(UPPER(TRIM(B149))="SWALE",K149*L149,0)))</f>
        <v/>
      </c>
      <c r="Z149" s="8">
        <f>IF(OR(Y149="",F149=""),"",Y149*F149)</f>
        <v/>
      </c>
      <c r="AA149" s="4">
        <f>IF(A149="","",IF(OR(U149&gt;1,AND(X149&lt;&gt;"",X149&lt;Inputs!$B$16),AND(X149&lt;&gt;"",X149&gt;Inputs!$B$17),G149&lt;Inputs!$B$18,AH149="CHECK"),"CHECK","OK"))</f>
        <v/>
      </c>
      <c r="AB149" s="4" t="n"/>
      <c r="AC149" s="7" t="n"/>
      <c r="AD149" s="8">
        <f>IF(A149="","",IF(AC149&lt;&gt;"",AC149,IF(E149="",Inputs!$B$38,IFERROR(INDEX($AE$4:$AE$204,MATCH(E149,$A$4:$A$204,0))+IF(OR(AND(UPPER(TRIM(B149))="SWALE",UPPER(TRIM(AI149))="PIPE"),AND(UPPER(TRIM(B149))="TRENCH",UPPER(TRIM(AI149))="PIPE")),Inputs!$B$57,0),""))))</f>
        <v/>
      </c>
      <c r="AE149" s="8">
        <f>IF(OR(AD149="",F149="",G149=""),"",AD149+F149*G149)</f>
        <v/>
      </c>
      <c r="AF149" s="8">
        <f>IF(OR(E149="",A149=""),"",IFERROR(INDEX($AE$4:$AE$204,MATCH(E149,$A$4:$A$204,0)),""))</f>
        <v/>
      </c>
      <c r="AG149" s="8">
        <f>IF(OR(AD149="",AF149=""),"",AD149-AF149)</f>
        <v/>
      </c>
      <c r="AH149" s="4">
        <f>IF(A149="","",IF(E149="","TERMINAL",IF(OR(AND(UPPER(TRIM(B149))="SWALE",UPPER(TRIM(AI149))="PIPE"),AND(UPPER(TRIM(B149))="TRENCH",UPPER(TRIM(AI149))="PIPE")),IF(OR(AG149="",AJ149="",AK149=""),"INFO",IF(AND(AG149&gt;=AJ149,AG149&lt;=AK149),"OK","CHECK")),IF(AG149="","INFO",IF(ABS(AG149)&lt;=Inputs!$B$54,"OK","CHECK")))))</f>
        <v/>
      </c>
      <c r="AI149" s="17">
        <f>IF(A149="","",IF(E149="","",IFERROR(INDEX($B$4:$B$204,MATCH(E149,$A$4:$A$204,0)),"")))</f>
        <v/>
      </c>
      <c r="AJ149" s="17">
        <f>IF(A149="","",IF(OR(AND(UPPER(TRIM(B149))="SWALE",UPPER(TRIM(AI149))="PIPE"),AND(UPPER(TRIM(B149))="TRENCH",UPPER(TRIM(AI149))="PIPE")),Inputs!$B$55,0))</f>
        <v/>
      </c>
      <c r="AK149" s="17">
        <f>IF(A149="","",IF(OR(AND(UPPER(TRIM(B149))="SWALE",UPPER(TRIM(AI149))="PIPE"),AND(UPPER(TRIM(B149))="TRENCH",UPPER(TRIM(AI149))="PIPE")),Inputs!$B$56,Inputs!$B$54))</f>
        <v/>
      </c>
      <c r="AL149" s="4">
        <f>IF(A149="","",IF(E149="","TERMINAL",IF(OR(AND(UPPER(TRIM(B149))="SWALE",UPPER(TRIM(AI149))="PIPE"),AND(UPPER(TRIM(B149))="TRENCH",UPPER(TRIM(AI149))="PIPE")),IF(OR(AG149="",AJ149="",AK149=""),"INFO",IF(AND(AG149&gt;=AJ149,AG149&lt;=AK149),"OK","CHECK")),"N/A")))</f>
        <v/>
      </c>
    </row>
    <row r="150">
      <c r="A150" s="4" t="n"/>
      <c r="B150" s="4" t="n"/>
      <c r="C150" s="4" t="n"/>
      <c r="D150" s="4" t="n"/>
      <c r="E150" s="4" t="n"/>
      <c r="F150" s="7" t="n"/>
      <c r="G150" s="7" t="n"/>
      <c r="H150" s="7" t="n"/>
      <c r="I150" s="8">
        <f>IF(A150="","",IF(H150&lt;&gt;"",H150,IF(UPPER(TRIM(B150))="PIPE",Inputs!$B$7,IF(UPPER(TRIM(B150))="SWALE",Inputs!$B$8,Inputs!$B$9))))</f>
        <v/>
      </c>
      <c r="J150" s="7" t="n"/>
      <c r="K150" s="7" t="n"/>
      <c r="L150" s="7" t="n"/>
      <c r="M150" s="7" t="n"/>
      <c r="N150" s="7" t="n">
        <v>0</v>
      </c>
      <c r="O150" s="8">
        <f>IF(A150="","",SUMIFS(Zones_tributaires!$I:$I,Zones_tributaires!$J:$J,$A150))</f>
        <v/>
      </c>
      <c r="P150" s="8">
        <f>IF(A150="","",SUMIFS($Q$4:$Q$204,$E$4:$E$204,$A150))</f>
        <v/>
      </c>
      <c r="Q150" s="8">
        <f>IF(A150="","",(O150+P150)*Inputs!$B$6)</f>
        <v/>
      </c>
      <c r="R150" s="8">
        <f>IF(A150="","",IF(UPPER(TRIM(B150))="PIPE",PI()*(J150/1000)^2/4,IF(OR(K150="",L150=""),"",L150*(K150+M150*L150))))</f>
        <v/>
      </c>
      <c r="S150" s="8">
        <f>IF(A150="","",IF(UPPER(TRIM(B150))="PIPE",(J150/1000)/4,IF(OR(R150="",K150="",L150=""),"",R150/(K150+2*L150*SQRT(1+M150^2)))))</f>
        <v/>
      </c>
      <c r="T150" s="8">
        <f>IF(A150="","",IF(OR(I150="",R150="",S150="",G150=""),"",(1/I150)*R150*(S150^(2/3))*SQRT(G150)))</f>
        <v/>
      </c>
      <c r="U150" s="8">
        <f>IF(OR(T150="",Q150=""),"",Q150/(T150*Inputs!$B$19))</f>
        <v/>
      </c>
      <c r="V150" s="8">
        <f>IF(OR(R150="",Q150=""),"",Q150/R150)</f>
        <v/>
      </c>
      <c r="W150" s="8">
        <f>IF(OR(R150="",T150=""),"",T150/R150)</f>
        <v/>
      </c>
      <c r="X150" s="8">
        <f>IF(A150="","",IF(OR(UPPER(TRIM(Inputs!$B$15))="MANNING",UPPER(TRIM(Inputs!$B$15))="M"),W150,IF(OR(UPPER(TRIM(Inputs!$B$15))="MAX",UPPER(TRIM(Inputs!$B$15))="X"),MAX(V150,W150),V150)))</f>
        <v/>
      </c>
      <c r="Y150" s="8">
        <f>IF(A150="","",IF(UPPER(TRIM(B150))="TRENCH",K150*L150*N150,IF(UPPER(TRIM(B150))="SWALE",K150*L150,0)))</f>
        <v/>
      </c>
      <c r="Z150" s="8">
        <f>IF(OR(Y150="",F150=""),"",Y150*F150)</f>
        <v/>
      </c>
      <c r="AA150" s="4">
        <f>IF(A150="","",IF(OR(U150&gt;1,AND(X150&lt;&gt;"",X150&lt;Inputs!$B$16),AND(X150&lt;&gt;"",X150&gt;Inputs!$B$17),G150&lt;Inputs!$B$18,AH150="CHECK"),"CHECK","OK"))</f>
        <v/>
      </c>
      <c r="AB150" s="4" t="n"/>
      <c r="AC150" s="7" t="n"/>
      <c r="AD150" s="8">
        <f>IF(A150="","",IF(AC150&lt;&gt;"",AC150,IF(E150="",Inputs!$B$38,IFERROR(INDEX($AE$4:$AE$204,MATCH(E150,$A$4:$A$204,0))+IF(OR(AND(UPPER(TRIM(B150))="SWALE",UPPER(TRIM(AI150))="PIPE"),AND(UPPER(TRIM(B150))="TRENCH",UPPER(TRIM(AI150))="PIPE")),Inputs!$B$57,0),""))))</f>
        <v/>
      </c>
      <c r="AE150" s="8">
        <f>IF(OR(AD150="",F150="",G150=""),"",AD150+F150*G150)</f>
        <v/>
      </c>
      <c r="AF150" s="8">
        <f>IF(OR(E150="",A150=""),"",IFERROR(INDEX($AE$4:$AE$204,MATCH(E150,$A$4:$A$204,0)),""))</f>
        <v/>
      </c>
      <c r="AG150" s="8">
        <f>IF(OR(AD150="",AF150=""),"",AD150-AF150)</f>
        <v/>
      </c>
      <c r="AH150" s="4">
        <f>IF(A150="","",IF(E150="","TERMINAL",IF(OR(AND(UPPER(TRIM(B150))="SWALE",UPPER(TRIM(AI150))="PIPE"),AND(UPPER(TRIM(B150))="TRENCH",UPPER(TRIM(AI150))="PIPE")),IF(OR(AG150="",AJ150="",AK150=""),"INFO",IF(AND(AG150&gt;=AJ150,AG150&lt;=AK150),"OK","CHECK")),IF(AG150="","INFO",IF(ABS(AG150)&lt;=Inputs!$B$54,"OK","CHECK")))))</f>
        <v/>
      </c>
      <c r="AI150" s="17">
        <f>IF(A150="","",IF(E150="","",IFERROR(INDEX($B$4:$B$204,MATCH(E150,$A$4:$A$204,0)),"")))</f>
        <v/>
      </c>
      <c r="AJ150" s="17">
        <f>IF(A150="","",IF(OR(AND(UPPER(TRIM(B150))="SWALE",UPPER(TRIM(AI150))="PIPE"),AND(UPPER(TRIM(B150))="TRENCH",UPPER(TRIM(AI150))="PIPE")),Inputs!$B$55,0))</f>
        <v/>
      </c>
      <c r="AK150" s="17">
        <f>IF(A150="","",IF(OR(AND(UPPER(TRIM(B150))="SWALE",UPPER(TRIM(AI150))="PIPE"),AND(UPPER(TRIM(B150))="TRENCH",UPPER(TRIM(AI150))="PIPE")),Inputs!$B$56,Inputs!$B$54))</f>
        <v/>
      </c>
      <c r="AL150" s="4">
        <f>IF(A150="","",IF(E150="","TERMINAL",IF(OR(AND(UPPER(TRIM(B150))="SWALE",UPPER(TRIM(AI150))="PIPE"),AND(UPPER(TRIM(B150))="TRENCH",UPPER(TRIM(AI150))="PIPE")),IF(OR(AG150="",AJ150="",AK150=""),"INFO",IF(AND(AG150&gt;=AJ150,AG150&lt;=AK150),"OK","CHECK")),"N/A")))</f>
        <v/>
      </c>
    </row>
    <row r="151">
      <c r="A151" s="4" t="n"/>
      <c r="B151" s="4" t="n"/>
      <c r="C151" s="4" t="n"/>
      <c r="D151" s="4" t="n"/>
      <c r="E151" s="4" t="n"/>
      <c r="F151" s="7" t="n"/>
      <c r="G151" s="7" t="n"/>
      <c r="H151" s="7" t="n"/>
      <c r="I151" s="8">
        <f>IF(A151="","",IF(H151&lt;&gt;"",H151,IF(UPPER(TRIM(B151))="PIPE",Inputs!$B$7,IF(UPPER(TRIM(B151))="SWALE",Inputs!$B$8,Inputs!$B$9))))</f>
        <v/>
      </c>
      <c r="J151" s="7" t="n"/>
      <c r="K151" s="7" t="n"/>
      <c r="L151" s="7" t="n"/>
      <c r="M151" s="7" t="n"/>
      <c r="N151" s="7" t="n">
        <v>0</v>
      </c>
      <c r="O151" s="8">
        <f>IF(A151="","",SUMIFS(Zones_tributaires!$I:$I,Zones_tributaires!$J:$J,$A151))</f>
        <v/>
      </c>
      <c r="P151" s="8">
        <f>IF(A151="","",SUMIFS($Q$4:$Q$204,$E$4:$E$204,$A151))</f>
        <v/>
      </c>
      <c r="Q151" s="8">
        <f>IF(A151="","",(O151+P151)*Inputs!$B$6)</f>
        <v/>
      </c>
      <c r="R151" s="8">
        <f>IF(A151="","",IF(UPPER(TRIM(B151))="PIPE",PI()*(J151/1000)^2/4,IF(OR(K151="",L151=""),"",L151*(K151+M151*L151))))</f>
        <v/>
      </c>
      <c r="S151" s="8">
        <f>IF(A151="","",IF(UPPER(TRIM(B151))="PIPE",(J151/1000)/4,IF(OR(R151="",K151="",L151=""),"",R151/(K151+2*L151*SQRT(1+M151^2)))))</f>
        <v/>
      </c>
      <c r="T151" s="8">
        <f>IF(A151="","",IF(OR(I151="",R151="",S151="",G151=""),"",(1/I151)*R151*(S151^(2/3))*SQRT(G151)))</f>
        <v/>
      </c>
      <c r="U151" s="8">
        <f>IF(OR(T151="",Q151=""),"",Q151/(T151*Inputs!$B$19))</f>
        <v/>
      </c>
      <c r="V151" s="8">
        <f>IF(OR(R151="",Q151=""),"",Q151/R151)</f>
        <v/>
      </c>
      <c r="W151" s="8">
        <f>IF(OR(R151="",T151=""),"",T151/R151)</f>
        <v/>
      </c>
      <c r="X151" s="8">
        <f>IF(A151="","",IF(OR(UPPER(TRIM(Inputs!$B$15))="MANNING",UPPER(TRIM(Inputs!$B$15))="M"),W151,IF(OR(UPPER(TRIM(Inputs!$B$15))="MAX",UPPER(TRIM(Inputs!$B$15))="X"),MAX(V151,W151),V151)))</f>
        <v/>
      </c>
      <c r="Y151" s="8">
        <f>IF(A151="","",IF(UPPER(TRIM(B151))="TRENCH",K151*L151*N151,IF(UPPER(TRIM(B151))="SWALE",K151*L151,0)))</f>
        <v/>
      </c>
      <c r="Z151" s="8">
        <f>IF(OR(Y151="",F151=""),"",Y151*F151)</f>
        <v/>
      </c>
      <c r="AA151" s="4">
        <f>IF(A151="","",IF(OR(U151&gt;1,AND(X151&lt;&gt;"",X151&lt;Inputs!$B$16),AND(X151&lt;&gt;"",X151&gt;Inputs!$B$17),G151&lt;Inputs!$B$18,AH151="CHECK"),"CHECK","OK"))</f>
        <v/>
      </c>
      <c r="AB151" s="4" t="n"/>
      <c r="AC151" s="7" t="n"/>
      <c r="AD151" s="8">
        <f>IF(A151="","",IF(AC151&lt;&gt;"",AC151,IF(E151="",Inputs!$B$38,IFERROR(INDEX($AE$4:$AE$204,MATCH(E151,$A$4:$A$204,0))+IF(OR(AND(UPPER(TRIM(B151))="SWALE",UPPER(TRIM(AI151))="PIPE"),AND(UPPER(TRIM(B151))="TRENCH",UPPER(TRIM(AI151))="PIPE")),Inputs!$B$57,0),""))))</f>
        <v/>
      </c>
      <c r="AE151" s="8">
        <f>IF(OR(AD151="",F151="",G151=""),"",AD151+F151*G151)</f>
        <v/>
      </c>
      <c r="AF151" s="8">
        <f>IF(OR(E151="",A151=""),"",IFERROR(INDEX($AE$4:$AE$204,MATCH(E151,$A$4:$A$204,0)),""))</f>
        <v/>
      </c>
      <c r="AG151" s="8">
        <f>IF(OR(AD151="",AF151=""),"",AD151-AF151)</f>
        <v/>
      </c>
      <c r="AH151" s="4">
        <f>IF(A151="","",IF(E151="","TERMINAL",IF(OR(AND(UPPER(TRIM(B151))="SWALE",UPPER(TRIM(AI151))="PIPE"),AND(UPPER(TRIM(B151))="TRENCH",UPPER(TRIM(AI151))="PIPE")),IF(OR(AG151="",AJ151="",AK151=""),"INFO",IF(AND(AG151&gt;=AJ151,AG151&lt;=AK151),"OK","CHECK")),IF(AG151="","INFO",IF(ABS(AG151)&lt;=Inputs!$B$54,"OK","CHECK")))))</f>
        <v/>
      </c>
      <c r="AI151" s="17">
        <f>IF(A151="","",IF(E151="","",IFERROR(INDEX($B$4:$B$204,MATCH(E151,$A$4:$A$204,0)),"")))</f>
        <v/>
      </c>
      <c r="AJ151" s="17">
        <f>IF(A151="","",IF(OR(AND(UPPER(TRIM(B151))="SWALE",UPPER(TRIM(AI151))="PIPE"),AND(UPPER(TRIM(B151))="TRENCH",UPPER(TRIM(AI151))="PIPE")),Inputs!$B$55,0))</f>
        <v/>
      </c>
      <c r="AK151" s="17">
        <f>IF(A151="","",IF(OR(AND(UPPER(TRIM(B151))="SWALE",UPPER(TRIM(AI151))="PIPE"),AND(UPPER(TRIM(B151))="TRENCH",UPPER(TRIM(AI151))="PIPE")),Inputs!$B$56,Inputs!$B$54))</f>
        <v/>
      </c>
      <c r="AL151" s="4">
        <f>IF(A151="","",IF(E151="","TERMINAL",IF(OR(AND(UPPER(TRIM(B151))="SWALE",UPPER(TRIM(AI151))="PIPE"),AND(UPPER(TRIM(B151))="TRENCH",UPPER(TRIM(AI151))="PIPE")),IF(OR(AG151="",AJ151="",AK151=""),"INFO",IF(AND(AG151&gt;=AJ151,AG151&lt;=AK151),"OK","CHECK")),"N/A")))</f>
        <v/>
      </c>
    </row>
    <row r="152">
      <c r="A152" s="4" t="n"/>
      <c r="B152" s="4" t="n"/>
      <c r="C152" s="4" t="n"/>
      <c r="D152" s="4" t="n"/>
      <c r="E152" s="4" t="n"/>
      <c r="F152" s="7" t="n"/>
      <c r="G152" s="7" t="n"/>
      <c r="H152" s="7" t="n"/>
      <c r="I152" s="8">
        <f>IF(A152="","",IF(H152&lt;&gt;"",H152,IF(UPPER(TRIM(B152))="PIPE",Inputs!$B$7,IF(UPPER(TRIM(B152))="SWALE",Inputs!$B$8,Inputs!$B$9))))</f>
        <v/>
      </c>
      <c r="J152" s="7" t="n"/>
      <c r="K152" s="7" t="n"/>
      <c r="L152" s="7" t="n"/>
      <c r="M152" s="7" t="n"/>
      <c r="N152" s="7" t="n">
        <v>0</v>
      </c>
      <c r="O152" s="8">
        <f>IF(A152="","",SUMIFS(Zones_tributaires!$I:$I,Zones_tributaires!$J:$J,$A152))</f>
        <v/>
      </c>
      <c r="P152" s="8">
        <f>IF(A152="","",SUMIFS($Q$4:$Q$204,$E$4:$E$204,$A152))</f>
        <v/>
      </c>
      <c r="Q152" s="8">
        <f>IF(A152="","",(O152+P152)*Inputs!$B$6)</f>
        <v/>
      </c>
      <c r="R152" s="8">
        <f>IF(A152="","",IF(UPPER(TRIM(B152))="PIPE",PI()*(J152/1000)^2/4,IF(OR(K152="",L152=""),"",L152*(K152+M152*L152))))</f>
        <v/>
      </c>
      <c r="S152" s="8">
        <f>IF(A152="","",IF(UPPER(TRIM(B152))="PIPE",(J152/1000)/4,IF(OR(R152="",K152="",L152=""),"",R152/(K152+2*L152*SQRT(1+M152^2)))))</f>
        <v/>
      </c>
      <c r="T152" s="8">
        <f>IF(A152="","",IF(OR(I152="",R152="",S152="",G152=""),"",(1/I152)*R152*(S152^(2/3))*SQRT(G152)))</f>
        <v/>
      </c>
      <c r="U152" s="8">
        <f>IF(OR(T152="",Q152=""),"",Q152/(T152*Inputs!$B$19))</f>
        <v/>
      </c>
      <c r="V152" s="8">
        <f>IF(OR(R152="",Q152=""),"",Q152/R152)</f>
        <v/>
      </c>
      <c r="W152" s="8">
        <f>IF(OR(R152="",T152=""),"",T152/R152)</f>
        <v/>
      </c>
      <c r="X152" s="8">
        <f>IF(A152="","",IF(OR(UPPER(TRIM(Inputs!$B$15))="MANNING",UPPER(TRIM(Inputs!$B$15))="M"),W152,IF(OR(UPPER(TRIM(Inputs!$B$15))="MAX",UPPER(TRIM(Inputs!$B$15))="X"),MAX(V152,W152),V152)))</f>
        <v/>
      </c>
      <c r="Y152" s="8">
        <f>IF(A152="","",IF(UPPER(TRIM(B152))="TRENCH",K152*L152*N152,IF(UPPER(TRIM(B152))="SWALE",K152*L152,0)))</f>
        <v/>
      </c>
      <c r="Z152" s="8">
        <f>IF(OR(Y152="",F152=""),"",Y152*F152)</f>
        <v/>
      </c>
      <c r="AA152" s="4">
        <f>IF(A152="","",IF(OR(U152&gt;1,AND(X152&lt;&gt;"",X152&lt;Inputs!$B$16),AND(X152&lt;&gt;"",X152&gt;Inputs!$B$17),G152&lt;Inputs!$B$18,AH152="CHECK"),"CHECK","OK"))</f>
        <v/>
      </c>
      <c r="AB152" s="4" t="n"/>
      <c r="AC152" s="7" t="n"/>
      <c r="AD152" s="8">
        <f>IF(A152="","",IF(AC152&lt;&gt;"",AC152,IF(E152="",Inputs!$B$38,IFERROR(INDEX($AE$4:$AE$204,MATCH(E152,$A$4:$A$204,0))+IF(OR(AND(UPPER(TRIM(B152))="SWALE",UPPER(TRIM(AI152))="PIPE"),AND(UPPER(TRIM(B152))="TRENCH",UPPER(TRIM(AI152))="PIPE")),Inputs!$B$57,0),""))))</f>
        <v/>
      </c>
      <c r="AE152" s="8">
        <f>IF(OR(AD152="",F152="",G152=""),"",AD152+F152*G152)</f>
        <v/>
      </c>
      <c r="AF152" s="8">
        <f>IF(OR(E152="",A152=""),"",IFERROR(INDEX($AE$4:$AE$204,MATCH(E152,$A$4:$A$204,0)),""))</f>
        <v/>
      </c>
      <c r="AG152" s="8">
        <f>IF(OR(AD152="",AF152=""),"",AD152-AF152)</f>
        <v/>
      </c>
      <c r="AH152" s="4">
        <f>IF(A152="","",IF(E152="","TERMINAL",IF(OR(AND(UPPER(TRIM(B152))="SWALE",UPPER(TRIM(AI152))="PIPE"),AND(UPPER(TRIM(B152))="TRENCH",UPPER(TRIM(AI152))="PIPE")),IF(OR(AG152="",AJ152="",AK152=""),"INFO",IF(AND(AG152&gt;=AJ152,AG152&lt;=AK152),"OK","CHECK")),IF(AG152="","INFO",IF(ABS(AG152)&lt;=Inputs!$B$54,"OK","CHECK")))))</f>
        <v/>
      </c>
      <c r="AI152" s="17">
        <f>IF(A152="","",IF(E152="","",IFERROR(INDEX($B$4:$B$204,MATCH(E152,$A$4:$A$204,0)),"")))</f>
        <v/>
      </c>
      <c r="AJ152" s="17">
        <f>IF(A152="","",IF(OR(AND(UPPER(TRIM(B152))="SWALE",UPPER(TRIM(AI152))="PIPE"),AND(UPPER(TRIM(B152))="TRENCH",UPPER(TRIM(AI152))="PIPE")),Inputs!$B$55,0))</f>
        <v/>
      </c>
      <c r="AK152" s="17">
        <f>IF(A152="","",IF(OR(AND(UPPER(TRIM(B152))="SWALE",UPPER(TRIM(AI152))="PIPE"),AND(UPPER(TRIM(B152))="TRENCH",UPPER(TRIM(AI152))="PIPE")),Inputs!$B$56,Inputs!$B$54))</f>
        <v/>
      </c>
      <c r="AL152" s="4">
        <f>IF(A152="","",IF(E152="","TERMINAL",IF(OR(AND(UPPER(TRIM(B152))="SWALE",UPPER(TRIM(AI152))="PIPE"),AND(UPPER(TRIM(B152))="TRENCH",UPPER(TRIM(AI152))="PIPE")),IF(OR(AG152="",AJ152="",AK152=""),"INFO",IF(AND(AG152&gt;=AJ152,AG152&lt;=AK152),"OK","CHECK")),"N/A")))</f>
        <v/>
      </c>
    </row>
    <row r="153">
      <c r="A153" s="4" t="n"/>
      <c r="B153" s="4" t="n"/>
      <c r="C153" s="4" t="n"/>
      <c r="D153" s="4" t="n"/>
      <c r="E153" s="4" t="n"/>
      <c r="F153" s="7" t="n"/>
      <c r="G153" s="7" t="n"/>
      <c r="H153" s="7" t="n"/>
      <c r="I153" s="8">
        <f>IF(A153="","",IF(H153&lt;&gt;"",H153,IF(UPPER(TRIM(B153))="PIPE",Inputs!$B$7,IF(UPPER(TRIM(B153))="SWALE",Inputs!$B$8,Inputs!$B$9))))</f>
        <v/>
      </c>
      <c r="J153" s="7" t="n"/>
      <c r="K153" s="7" t="n"/>
      <c r="L153" s="7" t="n"/>
      <c r="M153" s="7" t="n"/>
      <c r="N153" s="7" t="n">
        <v>0</v>
      </c>
      <c r="O153" s="8">
        <f>IF(A153="","",SUMIFS(Zones_tributaires!$I:$I,Zones_tributaires!$J:$J,$A153))</f>
        <v/>
      </c>
      <c r="P153" s="8">
        <f>IF(A153="","",SUMIFS($Q$4:$Q$204,$E$4:$E$204,$A153))</f>
        <v/>
      </c>
      <c r="Q153" s="8">
        <f>IF(A153="","",(O153+P153)*Inputs!$B$6)</f>
        <v/>
      </c>
      <c r="R153" s="8">
        <f>IF(A153="","",IF(UPPER(TRIM(B153))="PIPE",PI()*(J153/1000)^2/4,IF(OR(K153="",L153=""),"",L153*(K153+M153*L153))))</f>
        <v/>
      </c>
      <c r="S153" s="8">
        <f>IF(A153="","",IF(UPPER(TRIM(B153))="PIPE",(J153/1000)/4,IF(OR(R153="",K153="",L153=""),"",R153/(K153+2*L153*SQRT(1+M153^2)))))</f>
        <v/>
      </c>
      <c r="T153" s="8">
        <f>IF(A153="","",IF(OR(I153="",R153="",S153="",G153=""),"",(1/I153)*R153*(S153^(2/3))*SQRT(G153)))</f>
        <v/>
      </c>
      <c r="U153" s="8">
        <f>IF(OR(T153="",Q153=""),"",Q153/(T153*Inputs!$B$19))</f>
        <v/>
      </c>
      <c r="V153" s="8">
        <f>IF(OR(R153="",Q153=""),"",Q153/R153)</f>
        <v/>
      </c>
      <c r="W153" s="8">
        <f>IF(OR(R153="",T153=""),"",T153/R153)</f>
        <v/>
      </c>
      <c r="X153" s="8">
        <f>IF(A153="","",IF(OR(UPPER(TRIM(Inputs!$B$15))="MANNING",UPPER(TRIM(Inputs!$B$15))="M"),W153,IF(OR(UPPER(TRIM(Inputs!$B$15))="MAX",UPPER(TRIM(Inputs!$B$15))="X"),MAX(V153,W153),V153)))</f>
        <v/>
      </c>
      <c r="Y153" s="8">
        <f>IF(A153="","",IF(UPPER(TRIM(B153))="TRENCH",K153*L153*N153,IF(UPPER(TRIM(B153))="SWALE",K153*L153,0)))</f>
        <v/>
      </c>
      <c r="Z153" s="8">
        <f>IF(OR(Y153="",F153=""),"",Y153*F153)</f>
        <v/>
      </c>
      <c r="AA153" s="4">
        <f>IF(A153="","",IF(OR(U153&gt;1,AND(X153&lt;&gt;"",X153&lt;Inputs!$B$16),AND(X153&lt;&gt;"",X153&gt;Inputs!$B$17),G153&lt;Inputs!$B$18,AH153="CHECK"),"CHECK","OK"))</f>
        <v/>
      </c>
      <c r="AB153" s="4" t="n"/>
      <c r="AC153" s="7" t="n"/>
      <c r="AD153" s="8">
        <f>IF(A153="","",IF(AC153&lt;&gt;"",AC153,IF(E153="",Inputs!$B$38,IFERROR(INDEX($AE$4:$AE$204,MATCH(E153,$A$4:$A$204,0))+IF(OR(AND(UPPER(TRIM(B153))="SWALE",UPPER(TRIM(AI153))="PIPE"),AND(UPPER(TRIM(B153))="TRENCH",UPPER(TRIM(AI153))="PIPE")),Inputs!$B$57,0),""))))</f>
        <v/>
      </c>
      <c r="AE153" s="8">
        <f>IF(OR(AD153="",F153="",G153=""),"",AD153+F153*G153)</f>
        <v/>
      </c>
      <c r="AF153" s="8">
        <f>IF(OR(E153="",A153=""),"",IFERROR(INDEX($AE$4:$AE$204,MATCH(E153,$A$4:$A$204,0)),""))</f>
        <v/>
      </c>
      <c r="AG153" s="8">
        <f>IF(OR(AD153="",AF153=""),"",AD153-AF153)</f>
        <v/>
      </c>
      <c r="AH153" s="4">
        <f>IF(A153="","",IF(E153="","TERMINAL",IF(OR(AND(UPPER(TRIM(B153))="SWALE",UPPER(TRIM(AI153))="PIPE"),AND(UPPER(TRIM(B153))="TRENCH",UPPER(TRIM(AI153))="PIPE")),IF(OR(AG153="",AJ153="",AK153=""),"INFO",IF(AND(AG153&gt;=AJ153,AG153&lt;=AK153),"OK","CHECK")),IF(AG153="","INFO",IF(ABS(AG153)&lt;=Inputs!$B$54,"OK","CHECK")))))</f>
        <v/>
      </c>
      <c r="AI153" s="17">
        <f>IF(A153="","",IF(E153="","",IFERROR(INDEX($B$4:$B$204,MATCH(E153,$A$4:$A$204,0)),"")))</f>
        <v/>
      </c>
      <c r="AJ153" s="17">
        <f>IF(A153="","",IF(OR(AND(UPPER(TRIM(B153))="SWALE",UPPER(TRIM(AI153))="PIPE"),AND(UPPER(TRIM(B153))="TRENCH",UPPER(TRIM(AI153))="PIPE")),Inputs!$B$55,0))</f>
        <v/>
      </c>
      <c r="AK153" s="17">
        <f>IF(A153="","",IF(OR(AND(UPPER(TRIM(B153))="SWALE",UPPER(TRIM(AI153))="PIPE"),AND(UPPER(TRIM(B153))="TRENCH",UPPER(TRIM(AI153))="PIPE")),Inputs!$B$56,Inputs!$B$54))</f>
        <v/>
      </c>
      <c r="AL153" s="4">
        <f>IF(A153="","",IF(E153="","TERMINAL",IF(OR(AND(UPPER(TRIM(B153))="SWALE",UPPER(TRIM(AI153))="PIPE"),AND(UPPER(TRIM(B153))="TRENCH",UPPER(TRIM(AI153))="PIPE")),IF(OR(AG153="",AJ153="",AK153=""),"INFO",IF(AND(AG153&gt;=AJ153,AG153&lt;=AK153),"OK","CHECK")),"N/A")))</f>
        <v/>
      </c>
    </row>
    <row r="154">
      <c r="A154" s="4" t="n"/>
      <c r="B154" s="4" t="n"/>
      <c r="C154" s="4" t="n"/>
      <c r="D154" s="4" t="n"/>
      <c r="E154" s="4" t="n"/>
      <c r="F154" s="7" t="n"/>
      <c r="G154" s="7" t="n"/>
      <c r="H154" s="7" t="n"/>
      <c r="I154" s="8">
        <f>IF(A154="","",IF(H154&lt;&gt;"",H154,IF(UPPER(TRIM(B154))="PIPE",Inputs!$B$7,IF(UPPER(TRIM(B154))="SWALE",Inputs!$B$8,Inputs!$B$9))))</f>
        <v/>
      </c>
      <c r="J154" s="7" t="n"/>
      <c r="K154" s="7" t="n"/>
      <c r="L154" s="7" t="n"/>
      <c r="M154" s="7" t="n"/>
      <c r="N154" s="7" t="n">
        <v>0</v>
      </c>
      <c r="O154" s="8">
        <f>IF(A154="","",SUMIFS(Zones_tributaires!$I:$I,Zones_tributaires!$J:$J,$A154))</f>
        <v/>
      </c>
      <c r="P154" s="8">
        <f>IF(A154="","",SUMIFS($Q$4:$Q$204,$E$4:$E$204,$A154))</f>
        <v/>
      </c>
      <c r="Q154" s="8">
        <f>IF(A154="","",(O154+P154)*Inputs!$B$6)</f>
        <v/>
      </c>
      <c r="R154" s="8">
        <f>IF(A154="","",IF(UPPER(TRIM(B154))="PIPE",PI()*(J154/1000)^2/4,IF(OR(K154="",L154=""),"",L154*(K154+M154*L154))))</f>
        <v/>
      </c>
      <c r="S154" s="8">
        <f>IF(A154="","",IF(UPPER(TRIM(B154))="PIPE",(J154/1000)/4,IF(OR(R154="",K154="",L154=""),"",R154/(K154+2*L154*SQRT(1+M154^2)))))</f>
        <v/>
      </c>
      <c r="T154" s="8">
        <f>IF(A154="","",IF(OR(I154="",R154="",S154="",G154=""),"",(1/I154)*R154*(S154^(2/3))*SQRT(G154)))</f>
        <v/>
      </c>
      <c r="U154" s="8">
        <f>IF(OR(T154="",Q154=""),"",Q154/(T154*Inputs!$B$19))</f>
        <v/>
      </c>
      <c r="V154" s="8">
        <f>IF(OR(R154="",Q154=""),"",Q154/R154)</f>
        <v/>
      </c>
      <c r="W154" s="8">
        <f>IF(OR(R154="",T154=""),"",T154/R154)</f>
        <v/>
      </c>
      <c r="X154" s="8">
        <f>IF(A154="","",IF(OR(UPPER(TRIM(Inputs!$B$15))="MANNING",UPPER(TRIM(Inputs!$B$15))="M"),W154,IF(OR(UPPER(TRIM(Inputs!$B$15))="MAX",UPPER(TRIM(Inputs!$B$15))="X"),MAX(V154,W154),V154)))</f>
        <v/>
      </c>
      <c r="Y154" s="8">
        <f>IF(A154="","",IF(UPPER(TRIM(B154))="TRENCH",K154*L154*N154,IF(UPPER(TRIM(B154))="SWALE",K154*L154,0)))</f>
        <v/>
      </c>
      <c r="Z154" s="8">
        <f>IF(OR(Y154="",F154=""),"",Y154*F154)</f>
        <v/>
      </c>
      <c r="AA154" s="4">
        <f>IF(A154="","",IF(OR(U154&gt;1,AND(X154&lt;&gt;"",X154&lt;Inputs!$B$16),AND(X154&lt;&gt;"",X154&gt;Inputs!$B$17),G154&lt;Inputs!$B$18,AH154="CHECK"),"CHECK","OK"))</f>
        <v/>
      </c>
      <c r="AB154" s="4" t="n"/>
      <c r="AC154" s="7" t="n"/>
      <c r="AD154" s="8">
        <f>IF(A154="","",IF(AC154&lt;&gt;"",AC154,IF(E154="",Inputs!$B$38,IFERROR(INDEX($AE$4:$AE$204,MATCH(E154,$A$4:$A$204,0))+IF(OR(AND(UPPER(TRIM(B154))="SWALE",UPPER(TRIM(AI154))="PIPE"),AND(UPPER(TRIM(B154))="TRENCH",UPPER(TRIM(AI154))="PIPE")),Inputs!$B$57,0),""))))</f>
        <v/>
      </c>
      <c r="AE154" s="8">
        <f>IF(OR(AD154="",F154="",G154=""),"",AD154+F154*G154)</f>
        <v/>
      </c>
      <c r="AF154" s="8">
        <f>IF(OR(E154="",A154=""),"",IFERROR(INDEX($AE$4:$AE$204,MATCH(E154,$A$4:$A$204,0)),""))</f>
        <v/>
      </c>
      <c r="AG154" s="8">
        <f>IF(OR(AD154="",AF154=""),"",AD154-AF154)</f>
        <v/>
      </c>
      <c r="AH154" s="4">
        <f>IF(A154="","",IF(E154="","TERMINAL",IF(OR(AND(UPPER(TRIM(B154))="SWALE",UPPER(TRIM(AI154))="PIPE"),AND(UPPER(TRIM(B154))="TRENCH",UPPER(TRIM(AI154))="PIPE")),IF(OR(AG154="",AJ154="",AK154=""),"INFO",IF(AND(AG154&gt;=AJ154,AG154&lt;=AK154),"OK","CHECK")),IF(AG154="","INFO",IF(ABS(AG154)&lt;=Inputs!$B$54,"OK","CHECK")))))</f>
        <v/>
      </c>
      <c r="AI154" s="17">
        <f>IF(A154="","",IF(E154="","",IFERROR(INDEX($B$4:$B$204,MATCH(E154,$A$4:$A$204,0)),"")))</f>
        <v/>
      </c>
      <c r="AJ154" s="17">
        <f>IF(A154="","",IF(OR(AND(UPPER(TRIM(B154))="SWALE",UPPER(TRIM(AI154))="PIPE"),AND(UPPER(TRIM(B154))="TRENCH",UPPER(TRIM(AI154))="PIPE")),Inputs!$B$55,0))</f>
        <v/>
      </c>
      <c r="AK154" s="17">
        <f>IF(A154="","",IF(OR(AND(UPPER(TRIM(B154))="SWALE",UPPER(TRIM(AI154))="PIPE"),AND(UPPER(TRIM(B154))="TRENCH",UPPER(TRIM(AI154))="PIPE")),Inputs!$B$56,Inputs!$B$54))</f>
        <v/>
      </c>
      <c r="AL154" s="4">
        <f>IF(A154="","",IF(E154="","TERMINAL",IF(OR(AND(UPPER(TRIM(B154))="SWALE",UPPER(TRIM(AI154))="PIPE"),AND(UPPER(TRIM(B154))="TRENCH",UPPER(TRIM(AI154))="PIPE")),IF(OR(AG154="",AJ154="",AK154=""),"INFO",IF(AND(AG154&gt;=AJ154,AG154&lt;=AK154),"OK","CHECK")),"N/A")))</f>
        <v/>
      </c>
    </row>
    <row r="155">
      <c r="A155" s="4" t="n"/>
      <c r="B155" s="4" t="n"/>
      <c r="C155" s="4" t="n"/>
      <c r="D155" s="4" t="n"/>
      <c r="E155" s="4" t="n"/>
      <c r="F155" s="7" t="n"/>
      <c r="G155" s="7" t="n"/>
      <c r="H155" s="7" t="n"/>
      <c r="I155" s="8">
        <f>IF(A155="","",IF(H155&lt;&gt;"",H155,IF(UPPER(TRIM(B155))="PIPE",Inputs!$B$7,IF(UPPER(TRIM(B155))="SWALE",Inputs!$B$8,Inputs!$B$9))))</f>
        <v/>
      </c>
      <c r="J155" s="7" t="n"/>
      <c r="K155" s="7" t="n"/>
      <c r="L155" s="7" t="n"/>
      <c r="M155" s="7" t="n"/>
      <c r="N155" s="7" t="n">
        <v>0</v>
      </c>
      <c r="O155" s="8">
        <f>IF(A155="","",SUMIFS(Zones_tributaires!$I:$I,Zones_tributaires!$J:$J,$A155))</f>
        <v/>
      </c>
      <c r="P155" s="8">
        <f>IF(A155="","",SUMIFS($Q$4:$Q$204,$E$4:$E$204,$A155))</f>
        <v/>
      </c>
      <c r="Q155" s="8">
        <f>IF(A155="","",(O155+P155)*Inputs!$B$6)</f>
        <v/>
      </c>
      <c r="R155" s="8">
        <f>IF(A155="","",IF(UPPER(TRIM(B155))="PIPE",PI()*(J155/1000)^2/4,IF(OR(K155="",L155=""),"",L155*(K155+M155*L155))))</f>
        <v/>
      </c>
      <c r="S155" s="8">
        <f>IF(A155="","",IF(UPPER(TRIM(B155))="PIPE",(J155/1000)/4,IF(OR(R155="",K155="",L155=""),"",R155/(K155+2*L155*SQRT(1+M155^2)))))</f>
        <v/>
      </c>
      <c r="T155" s="8">
        <f>IF(A155="","",IF(OR(I155="",R155="",S155="",G155=""),"",(1/I155)*R155*(S155^(2/3))*SQRT(G155)))</f>
        <v/>
      </c>
      <c r="U155" s="8">
        <f>IF(OR(T155="",Q155=""),"",Q155/(T155*Inputs!$B$19))</f>
        <v/>
      </c>
      <c r="V155" s="8">
        <f>IF(OR(R155="",Q155=""),"",Q155/R155)</f>
        <v/>
      </c>
      <c r="W155" s="8">
        <f>IF(OR(R155="",T155=""),"",T155/R155)</f>
        <v/>
      </c>
      <c r="X155" s="8">
        <f>IF(A155="","",IF(OR(UPPER(TRIM(Inputs!$B$15))="MANNING",UPPER(TRIM(Inputs!$B$15))="M"),W155,IF(OR(UPPER(TRIM(Inputs!$B$15))="MAX",UPPER(TRIM(Inputs!$B$15))="X"),MAX(V155,W155),V155)))</f>
        <v/>
      </c>
      <c r="Y155" s="8">
        <f>IF(A155="","",IF(UPPER(TRIM(B155))="TRENCH",K155*L155*N155,IF(UPPER(TRIM(B155))="SWALE",K155*L155,0)))</f>
        <v/>
      </c>
      <c r="Z155" s="8">
        <f>IF(OR(Y155="",F155=""),"",Y155*F155)</f>
        <v/>
      </c>
      <c r="AA155" s="4">
        <f>IF(A155="","",IF(OR(U155&gt;1,AND(X155&lt;&gt;"",X155&lt;Inputs!$B$16),AND(X155&lt;&gt;"",X155&gt;Inputs!$B$17),G155&lt;Inputs!$B$18,AH155="CHECK"),"CHECK","OK"))</f>
        <v/>
      </c>
      <c r="AB155" s="4" t="n"/>
      <c r="AC155" s="7" t="n"/>
      <c r="AD155" s="8">
        <f>IF(A155="","",IF(AC155&lt;&gt;"",AC155,IF(E155="",Inputs!$B$38,IFERROR(INDEX($AE$4:$AE$204,MATCH(E155,$A$4:$A$204,0))+IF(OR(AND(UPPER(TRIM(B155))="SWALE",UPPER(TRIM(AI155))="PIPE"),AND(UPPER(TRIM(B155))="TRENCH",UPPER(TRIM(AI155))="PIPE")),Inputs!$B$57,0),""))))</f>
        <v/>
      </c>
      <c r="AE155" s="8">
        <f>IF(OR(AD155="",F155="",G155=""),"",AD155+F155*G155)</f>
        <v/>
      </c>
      <c r="AF155" s="8">
        <f>IF(OR(E155="",A155=""),"",IFERROR(INDEX($AE$4:$AE$204,MATCH(E155,$A$4:$A$204,0)),""))</f>
        <v/>
      </c>
      <c r="AG155" s="8">
        <f>IF(OR(AD155="",AF155=""),"",AD155-AF155)</f>
        <v/>
      </c>
      <c r="AH155" s="4">
        <f>IF(A155="","",IF(E155="","TERMINAL",IF(OR(AND(UPPER(TRIM(B155))="SWALE",UPPER(TRIM(AI155))="PIPE"),AND(UPPER(TRIM(B155))="TRENCH",UPPER(TRIM(AI155))="PIPE")),IF(OR(AG155="",AJ155="",AK155=""),"INFO",IF(AND(AG155&gt;=AJ155,AG155&lt;=AK155),"OK","CHECK")),IF(AG155="","INFO",IF(ABS(AG155)&lt;=Inputs!$B$54,"OK","CHECK")))))</f>
        <v/>
      </c>
      <c r="AI155" s="17">
        <f>IF(A155="","",IF(E155="","",IFERROR(INDEX($B$4:$B$204,MATCH(E155,$A$4:$A$204,0)),"")))</f>
        <v/>
      </c>
      <c r="AJ155" s="17">
        <f>IF(A155="","",IF(OR(AND(UPPER(TRIM(B155))="SWALE",UPPER(TRIM(AI155))="PIPE"),AND(UPPER(TRIM(B155))="TRENCH",UPPER(TRIM(AI155))="PIPE")),Inputs!$B$55,0))</f>
        <v/>
      </c>
      <c r="AK155" s="17">
        <f>IF(A155="","",IF(OR(AND(UPPER(TRIM(B155))="SWALE",UPPER(TRIM(AI155))="PIPE"),AND(UPPER(TRIM(B155))="TRENCH",UPPER(TRIM(AI155))="PIPE")),Inputs!$B$56,Inputs!$B$54))</f>
        <v/>
      </c>
      <c r="AL155" s="4">
        <f>IF(A155="","",IF(E155="","TERMINAL",IF(OR(AND(UPPER(TRIM(B155))="SWALE",UPPER(TRIM(AI155))="PIPE"),AND(UPPER(TRIM(B155))="TRENCH",UPPER(TRIM(AI155))="PIPE")),IF(OR(AG155="",AJ155="",AK155=""),"INFO",IF(AND(AG155&gt;=AJ155,AG155&lt;=AK155),"OK","CHECK")),"N/A")))</f>
        <v/>
      </c>
    </row>
    <row r="156">
      <c r="A156" s="4" t="n"/>
      <c r="B156" s="4" t="n"/>
      <c r="C156" s="4" t="n"/>
      <c r="D156" s="4" t="n"/>
      <c r="E156" s="4" t="n"/>
      <c r="F156" s="7" t="n"/>
      <c r="G156" s="7" t="n"/>
      <c r="H156" s="7" t="n"/>
      <c r="I156" s="8">
        <f>IF(A156="","",IF(H156&lt;&gt;"",H156,IF(UPPER(TRIM(B156))="PIPE",Inputs!$B$7,IF(UPPER(TRIM(B156))="SWALE",Inputs!$B$8,Inputs!$B$9))))</f>
        <v/>
      </c>
      <c r="J156" s="7" t="n"/>
      <c r="K156" s="7" t="n"/>
      <c r="L156" s="7" t="n"/>
      <c r="M156" s="7" t="n"/>
      <c r="N156" s="7" t="n">
        <v>0</v>
      </c>
      <c r="O156" s="8">
        <f>IF(A156="","",SUMIFS(Zones_tributaires!$I:$I,Zones_tributaires!$J:$J,$A156))</f>
        <v/>
      </c>
      <c r="P156" s="8">
        <f>IF(A156="","",SUMIFS($Q$4:$Q$204,$E$4:$E$204,$A156))</f>
        <v/>
      </c>
      <c r="Q156" s="8">
        <f>IF(A156="","",(O156+P156)*Inputs!$B$6)</f>
        <v/>
      </c>
      <c r="R156" s="8">
        <f>IF(A156="","",IF(UPPER(TRIM(B156))="PIPE",PI()*(J156/1000)^2/4,IF(OR(K156="",L156=""),"",L156*(K156+M156*L156))))</f>
        <v/>
      </c>
      <c r="S156" s="8">
        <f>IF(A156="","",IF(UPPER(TRIM(B156))="PIPE",(J156/1000)/4,IF(OR(R156="",K156="",L156=""),"",R156/(K156+2*L156*SQRT(1+M156^2)))))</f>
        <v/>
      </c>
      <c r="T156" s="8">
        <f>IF(A156="","",IF(OR(I156="",R156="",S156="",G156=""),"",(1/I156)*R156*(S156^(2/3))*SQRT(G156)))</f>
        <v/>
      </c>
      <c r="U156" s="8">
        <f>IF(OR(T156="",Q156=""),"",Q156/(T156*Inputs!$B$19))</f>
        <v/>
      </c>
      <c r="V156" s="8">
        <f>IF(OR(R156="",Q156=""),"",Q156/R156)</f>
        <v/>
      </c>
      <c r="W156" s="8">
        <f>IF(OR(R156="",T156=""),"",T156/R156)</f>
        <v/>
      </c>
      <c r="X156" s="8">
        <f>IF(A156="","",IF(OR(UPPER(TRIM(Inputs!$B$15))="MANNING",UPPER(TRIM(Inputs!$B$15))="M"),W156,IF(OR(UPPER(TRIM(Inputs!$B$15))="MAX",UPPER(TRIM(Inputs!$B$15))="X"),MAX(V156,W156),V156)))</f>
        <v/>
      </c>
      <c r="Y156" s="8">
        <f>IF(A156="","",IF(UPPER(TRIM(B156))="TRENCH",K156*L156*N156,IF(UPPER(TRIM(B156))="SWALE",K156*L156,0)))</f>
        <v/>
      </c>
      <c r="Z156" s="8">
        <f>IF(OR(Y156="",F156=""),"",Y156*F156)</f>
        <v/>
      </c>
      <c r="AA156" s="4">
        <f>IF(A156="","",IF(OR(U156&gt;1,AND(X156&lt;&gt;"",X156&lt;Inputs!$B$16),AND(X156&lt;&gt;"",X156&gt;Inputs!$B$17),G156&lt;Inputs!$B$18,AH156="CHECK"),"CHECK","OK"))</f>
        <v/>
      </c>
      <c r="AB156" s="4" t="n"/>
      <c r="AC156" s="7" t="n"/>
      <c r="AD156" s="8">
        <f>IF(A156="","",IF(AC156&lt;&gt;"",AC156,IF(E156="",Inputs!$B$38,IFERROR(INDEX($AE$4:$AE$204,MATCH(E156,$A$4:$A$204,0))+IF(OR(AND(UPPER(TRIM(B156))="SWALE",UPPER(TRIM(AI156))="PIPE"),AND(UPPER(TRIM(B156))="TRENCH",UPPER(TRIM(AI156))="PIPE")),Inputs!$B$57,0),""))))</f>
        <v/>
      </c>
      <c r="AE156" s="8">
        <f>IF(OR(AD156="",F156="",G156=""),"",AD156+F156*G156)</f>
        <v/>
      </c>
      <c r="AF156" s="8">
        <f>IF(OR(E156="",A156=""),"",IFERROR(INDEX($AE$4:$AE$204,MATCH(E156,$A$4:$A$204,0)),""))</f>
        <v/>
      </c>
      <c r="AG156" s="8">
        <f>IF(OR(AD156="",AF156=""),"",AD156-AF156)</f>
        <v/>
      </c>
      <c r="AH156" s="4">
        <f>IF(A156="","",IF(E156="","TERMINAL",IF(OR(AND(UPPER(TRIM(B156))="SWALE",UPPER(TRIM(AI156))="PIPE"),AND(UPPER(TRIM(B156))="TRENCH",UPPER(TRIM(AI156))="PIPE")),IF(OR(AG156="",AJ156="",AK156=""),"INFO",IF(AND(AG156&gt;=AJ156,AG156&lt;=AK156),"OK","CHECK")),IF(AG156="","INFO",IF(ABS(AG156)&lt;=Inputs!$B$54,"OK","CHECK")))))</f>
        <v/>
      </c>
      <c r="AI156" s="17">
        <f>IF(A156="","",IF(E156="","",IFERROR(INDEX($B$4:$B$204,MATCH(E156,$A$4:$A$204,0)),"")))</f>
        <v/>
      </c>
      <c r="AJ156" s="17">
        <f>IF(A156="","",IF(OR(AND(UPPER(TRIM(B156))="SWALE",UPPER(TRIM(AI156))="PIPE"),AND(UPPER(TRIM(B156))="TRENCH",UPPER(TRIM(AI156))="PIPE")),Inputs!$B$55,0))</f>
        <v/>
      </c>
      <c r="AK156" s="17">
        <f>IF(A156="","",IF(OR(AND(UPPER(TRIM(B156))="SWALE",UPPER(TRIM(AI156))="PIPE"),AND(UPPER(TRIM(B156))="TRENCH",UPPER(TRIM(AI156))="PIPE")),Inputs!$B$56,Inputs!$B$54))</f>
        <v/>
      </c>
      <c r="AL156" s="4">
        <f>IF(A156="","",IF(E156="","TERMINAL",IF(OR(AND(UPPER(TRIM(B156))="SWALE",UPPER(TRIM(AI156))="PIPE"),AND(UPPER(TRIM(B156))="TRENCH",UPPER(TRIM(AI156))="PIPE")),IF(OR(AG156="",AJ156="",AK156=""),"INFO",IF(AND(AG156&gt;=AJ156,AG156&lt;=AK156),"OK","CHECK")),"N/A")))</f>
        <v/>
      </c>
    </row>
    <row r="157">
      <c r="A157" s="4" t="n"/>
      <c r="B157" s="4" t="n"/>
      <c r="C157" s="4" t="n"/>
      <c r="D157" s="4" t="n"/>
      <c r="E157" s="4" t="n"/>
      <c r="F157" s="7" t="n"/>
      <c r="G157" s="7" t="n"/>
      <c r="H157" s="7" t="n"/>
      <c r="I157" s="8">
        <f>IF(A157="","",IF(H157&lt;&gt;"",H157,IF(UPPER(TRIM(B157))="PIPE",Inputs!$B$7,IF(UPPER(TRIM(B157))="SWALE",Inputs!$B$8,Inputs!$B$9))))</f>
        <v/>
      </c>
      <c r="J157" s="7" t="n"/>
      <c r="K157" s="7" t="n"/>
      <c r="L157" s="7" t="n"/>
      <c r="M157" s="7" t="n"/>
      <c r="N157" s="7" t="n">
        <v>0</v>
      </c>
      <c r="O157" s="8">
        <f>IF(A157="","",SUMIFS(Zones_tributaires!$I:$I,Zones_tributaires!$J:$J,$A157))</f>
        <v/>
      </c>
      <c r="P157" s="8">
        <f>IF(A157="","",SUMIFS($Q$4:$Q$204,$E$4:$E$204,$A157))</f>
        <v/>
      </c>
      <c r="Q157" s="8">
        <f>IF(A157="","",(O157+P157)*Inputs!$B$6)</f>
        <v/>
      </c>
      <c r="R157" s="8">
        <f>IF(A157="","",IF(UPPER(TRIM(B157))="PIPE",PI()*(J157/1000)^2/4,IF(OR(K157="",L157=""),"",L157*(K157+M157*L157))))</f>
        <v/>
      </c>
      <c r="S157" s="8">
        <f>IF(A157="","",IF(UPPER(TRIM(B157))="PIPE",(J157/1000)/4,IF(OR(R157="",K157="",L157=""),"",R157/(K157+2*L157*SQRT(1+M157^2)))))</f>
        <v/>
      </c>
      <c r="T157" s="8">
        <f>IF(A157="","",IF(OR(I157="",R157="",S157="",G157=""),"",(1/I157)*R157*(S157^(2/3))*SQRT(G157)))</f>
        <v/>
      </c>
      <c r="U157" s="8">
        <f>IF(OR(T157="",Q157=""),"",Q157/(T157*Inputs!$B$19))</f>
        <v/>
      </c>
      <c r="V157" s="8">
        <f>IF(OR(R157="",Q157=""),"",Q157/R157)</f>
        <v/>
      </c>
      <c r="W157" s="8">
        <f>IF(OR(R157="",T157=""),"",T157/R157)</f>
        <v/>
      </c>
      <c r="X157" s="8">
        <f>IF(A157="","",IF(OR(UPPER(TRIM(Inputs!$B$15))="MANNING",UPPER(TRIM(Inputs!$B$15))="M"),W157,IF(OR(UPPER(TRIM(Inputs!$B$15))="MAX",UPPER(TRIM(Inputs!$B$15))="X"),MAX(V157,W157),V157)))</f>
        <v/>
      </c>
      <c r="Y157" s="8">
        <f>IF(A157="","",IF(UPPER(TRIM(B157))="TRENCH",K157*L157*N157,IF(UPPER(TRIM(B157))="SWALE",K157*L157,0)))</f>
        <v/>
      </c>
      <c r="Z157" s="8">
        <f>IF(OR(Y157="",F157=""),"",Y157*F157)</f>
        <v/>
      </c>
      <c r="AA157" s="4">
        <f>IF(A157="","",IF(OR(U157&gt;1,AND(X157&lt;&gt;"",X157&lt;Inputs!$B$16),AND(X157&lt;&gt;"",X157&gt;Inputs!$B$17),G157&lt;Inputs!$B$18,AH157="CHECK"),"CHECK","OK"))</f>
        <v/>
      </c>
      <c r="AB157" s="4" t="n"/>
      <c r="AC157" s="7" t="n"/>
      <c r="AD157" s="8">
        <f>IF(A157="","",IF(AC157&lt;&gt;"",AC157,IF(E157="",Inputs!$B$38,IFERROR(INDEX($AE$4:$AE$204,MATCH(E157,$A$4:$A$204,0))+IF(OR(AND(UPPER(TRIM(B157))="SWALE",UPPER(TRIM(AI157))="PIPE"),AND(UPPER(TRIM(B157))="TRENCH",UPPER(TRIM(AI157))="PIPE")),Inputs!$B$57,0),""))))</f>
        <v/>
      </c>
      <c r="AE157" s="8">
        <f>IF(OR(AD157="",F157="",G157=""),"",AD157+F157*G157)</f>
        <v/>
      </c>
      <c r="AF157" s="8">
        <f>IF(OR(E157="",A157=""),"",IFERROR(INDEX($AE$4:$AE$204,MATCH(E157,$A$4:$A$204,0)),""))</f>
        <v/>
      </c>
      <c r="AG157" s="8">
        <f>IF(OR(AD157="",AF157=""),"",AD157-AF157)</f>
        <v/>
      </c>
      <c r="AH157" s="4">
        <f>IF(A157="","",IF(E157="","TERMINAL",IF(OR(AND(UPPER(TRIM(B157))="SWALE",UPPER(TRIM(AI157))="PIPE"),AND(UPPER(TRIM(B157))="TRENCH",UPPER(TRIM(AI157))="PIPE")),IF(OR(AG157="",AJ157="",AK157=""),"INFO",IF(AND(AG157&gt;=AJ157,AG157&lt;=AK157),"OK","CHECK")),IF(AG157="","INFO",IF(ABS(AG157)&lt;=Inputs!$B$54,"OK","CHECK")))))</f>
        <v/>
      </c>
      <c r="AI157" s="17">
        <f>IF(A157="","",IF(E157="","",IFERROR(INDEX($B$4:$B$204,MATCH(E157,$A$4:$A$204,0)),"")))</f>
        <v/>
      </c>
      <c r="AJ157" s="17">
        <f>IF(A157="","",IF(OR(AND(UPPER(TRIM(B157))="SWALE",UPPER(TRIM(AI157))="PIPE"),AND(UPPER(TRIM(B157))="TRENCH",UPPER(TRIM(AI157))="PIPE")),Inputs!$B$55,0))</f>
        <v/>
      </c>
      <c r="AK157" s="17">
        <f>IF(A157="","",IF(OR(AND(UPPER(TRIM(B157))="SWALE",UPPER(TRIM(AI157))="PIPE"),AND(UPPER(TRIM(B157))="TRENCH",UPPER(TRIM(AI157))="PIPE")),Inputs!$B$56,Inputs!$B$54))</f>
        <v/>
      </c>
      <c r="AL157" s="4">
        <f>IF(A157="","",IF(E157="","TERMINAL",IF(OR(AND(UPPER(TRIM(B157))="SWALE",UPPER(TRIM(AI157))="PIPE"),AND(UPPER(TRIM(B157))="TRENCH",UPPER(TRIM(AI157))="PIPE")),IF(OR(AG157="",AJ157="",AK157=""),"INFO",IF(AND(AG157&gt;=AJ157,AG157&lt;=AK157),"OK","CHECK")),"N/A")))</f>
        <v/>
      </c>
    </row>
    <row r="158">
      <c r="A158" s="4" t="n"/>
      <c r="B158" s="4" t="n"/>
      <c r="C158" s="4" t="n"/>
      <c r="D158" s="4" t="n"/>
      <c r="E158" s="4" t="n"/>
      <c r="F158" s="7" t="n"/>
      <c r="G158" s="7" t="n"/>
      <c r="H158" s="7" t="n"/>
      <c r="I158" s="8">
        <f>IF(A158="","",IF(H158&lt;&gt;"",H158,IF(UPPER(TRIM(B158))="PIPE",Inputs!$B$7,IF(UPPER(TRIM(B158))="SWALE",Inputs!$B$8,Inputs!$B$9))))</f>
        <v/>
      </c>
      <c r="J158" s="7" t="n"/>
      <c r="K158" s="7" t="n"/>
      <c r="L158" s="7" t="n"/>
      <c r="M158" s="7" t="n"/>
      <c r="N158" s="7" t="n">
        <v>0</v>
      </c>
      <c r="O158" s="8">
        <f>IF(A158="","",SUMIFS(Zones_tributaires!$I:$I,Zones_tributaires!$J:$J,$A158))</f>
        <v/>
      </c>
      <c r="P158" s="8">
        <f>IF(A158="","",SUMIFS($Q$4:$Q$204,$E$4:$E$204,$A158))</f>
        <v/>
      </c>
      <c r="Q158" s="8">
        <f>IF(A158="","",(O158+P158)*Inputs!$B$6)</f>
        <v/>
      </c>
      <c r="R158" s="8">
        <f>IF(A158="","",IF(UPPER(TRIM(B158))="PIPE",PI()*(J158/1000)^2/4,IF(OR(K158="",L158=""),"",L158*(K158+M158*L158))))</f>
        <v/>
      </c>
      <c r="S158" s="8">
        <f>IF(A158="","",IF(UPPER(TRIM(B158))="PIPE",(J158/1000)/4,IF(OR(R158="",K158="",L158=""),"",R158/(K158+2*L158*SQRT(1+M158^2)))))</f>
        <v/>
      </c>
      <c r="T158" s="8">
        <f>IF(A158="","",IF(OR(I158="",R158="",S158="",G158=""),"",(1/I158)*R158*(S158^(2/3))*SQRT(G158)))</f>
        <v/>
      </c>
      <c r="U158" s="8">
        <f>IF(OR(T158="",Q158=""),"",Q158/(T158*Inputs!$B$19))</f>
        <v/>
      </c>
      <c r="V158" s="8">
        <f>IF(OR(R158="",Q158=""),"",Q158/R158)</f>
        <v/>
      </c>
      <c r="W158" s="8">
        <f>IF(OR(R158="",T158=""),"",T158/R158)</f>
        <v/>
      </c>
      <c r="X158" s="8">
        <f>IF(A158="","",IF(OR(UPPER(TRIM(Inputs!$B$15))="MANNING",UPPER(TRIM(Inputs!$B$15))="M"),W158,IF(OR(UPPER(TRIM(Inputs!$B$15))="MAX",UPPER(TRIM(Inputs!$B$15))="X"),MAX(V158,W158),V158)))</f>
        <v/>
      </c>
      <c r="Y158" s="8">
        <f>IF(A158="","",IF(UPPER(TRIM(B158))="TRENCH",K158*L158*N158,IF(UPPER(TRIM(B158))="SWALE",K158*L158,0)))</f>
        <v/>
      </c>
      <c r="Z158" s="8">
        <f>IF(OR(Y158="",F158=""),"",Y158*F158)</f>
        <v/>
      </c>
      <c r="AA158" s="4">
        <f>IF(A158="","",IF(OR(U158&gt;1,AND(X158&lt;&gt;"",X158&lt;Inputs!$B$16),AND(X158&lt;&gt;"",X158&gt;Inputs!$B$17),G158&lt;Inputs!$B$18,AH158="CHECK"),"CHECK","OK"))</f>
        <v/>
      </c>
      <c r="AB158" s="4" t="n"/>
      <c r="AC158" s="7" t="n"/>
      <c r="AD158" s="8">
        <f>IF(A158="","",IF(AC158&lt;&gt;"",AC158,IF(E158="",Inputs!$B$38,IFERROR(INDEX($AE$4:$AE$204,MATCH(E158,$A$4:$A$204,0))+IF(OR(AND(UPPER(TRIM(B158))="SWALE",UPPER(TRIM(AI158))="PIPE"),AND(UPPER(TRIM(B158))="TRENCH",UPPER(TRIM(AI158))="PIPE")),Inputs!$B$57,0),""))))</f>
        <v/>
      </c>
      <c r="AE158" s="8">
        <f>IF(OR(AD158="",F158="",G158=""),"",AD158+F158*G158)</f>
        <v/>
      </c>
      <c r="AF158" s="8">
        <f>IF(OR(E158="",A158=""),"",IFERROR(INDEX($AE$4:$AE$204,MATCH(E158,$A$4:$A$204,0)),""))</f>
        <v/>
      </c>
      <c r="AG158" s="8">
        <f>IF(OR(AD158="",AF158=""),"",AD158-AF158)</f>
        <v/>
      </c>
      <c r="AH158" s="4">
        <f>IF(A158="","",IF(E158="","TERMINAL",IF(OR(AND(UPPER(TRIM(B158))="SWALE",UPPER(TRIM(AI158))="PIPE"),AND(UPPER(TRIM(B158))="TRENCH",UPPER(TRIM(AI158))="PIPE")),IF(OR(AG158="",AJ158="",AK158=""),"INFO",IF(AND(AG158&gt;=AJ158,AG158&lt;=AK158),"OK","CHECK")),IF(AG158="","INFO",IF(ABS(AG158)&lt;=Inputs!$B$54,"OK","CHECK")))))</f>
        <v/>
      </c>
      <c r="AI158" s="17">
        <f>IF(A158="","",IF(E158="","",IFERROR(INDEX($B$4:$B$204,MATCH(E158,$A$4:$A$204,0)),"")))</f>
        <v/>
      </c>
      <c r="AJ158" s="17">
        <f>IF(A158="","",IF(OR(AND(UPPER(TRIM(B158))="SWALE",UPPER(TRIM(AI158))="PIPE"),AND(UPPER(TRIM(B158))="TRENCH",UPPER(TRIM(AI158))="PIPE")),Inputs!$B$55,0))</f>
        <v/>
      </c>
      <c r="AK158" s="17">
        <f>IF(A158="","",IF(OR(AND(UPPER(TRIM(B158))="SWALE",UPPER(TRIM(AI158))="PIPE"),AND(UPPER(TRIM(B158))="TRENCH",UPPER(TRIM(AI158))="PIPE")),Inputs!$B$56,Inputs!$B$54))</f>
        <v/>
      </c>
      <c r="AL158" s="4">
        <f>IF(A158="","",IF(E158="","TERMINAL",IF(OR(AND(UPPER(TRIM(B158))="SWALE",UPPER(TRIM(AI158))="PIPE"),AND(UPPER(TRIM(B158))="TRENCH",UPPER(TRIM(AI158))="PIPE")),IF(OR(AG158="",AJ158="",AK158=""),"INFO",IF(AND(AG158&gt;=AJ158,AG158&lt;=AK158),"OK","CHECK")),"N/A")))</f>
        <v/>
      </c>
    </row>
    <row r="159">
      <c r="A159" s="4" t="n"/>
      <c r="B159" s="4" t="n"/>
      <c r="C159" s="4" t="n"/>
      <c r="D159" s="4" t="n"/>
      <c r="E159" s="4" t="n"/>
      <c r="F159" s="7" t="n"/>
      <c r="G159" s="7" t="n"/>
      <c r="H159" s="7" t="n"/>
      <c r="I159" s="8">
        <f>IF(A159="","",IF(H159&lt;&gt;"",H159,IF(UPPER(TRIM(B159))="PIPE",Inputs!$B$7,IF(UPPER(TRIM(B159))="SWALE",Inputs!$B$8,Inputs!$B$9))))</f>
        <v/>
      </c>
      <c r="J159" s="7" t="n"/>
      <c r="K159" s="7" t="n"/>
      <c r="L159" s="7" t="n"/>
      <c r="M159" s="7" t="n"/>
      <c r="N159" s="7" t="n">
        <v>0</v>
      </c>
      <c r="O159" s="8">
        <f>IF(A159="","",SUMIFS(Zones_tributaires!$I:$I,Zones_tributaires!$J:$J,$A159))</f>
        <v/>
      </c>
      <c r="P159" s="8">
        <f>IF(A159="","",SUMIFS($Q$4:$Q$204,$E$4:$E$204,$A159))</f>
        <v/>
      </c>
      <c r="Q159" s="8">
        <f>IF(A159="","",(O159+P159)*Inputs!$B$6)</f>
        <v/>
      </c>
      <c r="R159" s="8">
        <f>IF(A159="","",IF(UPPER(TRIM(B159))="PIPE",PI()*(J159/1000)^2/4,IF(OR(K159="",L159=""),"",L159*(K159+M159*L159))))</f>
        <v/>
      </c>
      <c r="S159" s="8">
        <f>IF(A159="","",IF(UPPER(TRIM(B159))="PIPE",(J159/1000)/4,IF(OR(R159="",K159="",L159=""),"",R159/(K159+2*L159*SQRT(1+M159^2)))))</f>
        <v/>
      </c>
      <c r="T159" s="8">
        <f>IF(A159="","",IF(OR(I159="",R159="",S159="",G159=""),"",(1/I159)*R159*(S159^(2/3))*SQRT(G159)))</f>
        <v/>
      </c>
      <c r="U159" s="8">
        <f>IF(OR(T159="",Q159=""),"",Q159/(T159*Inputs!$B$19))</f>
        <v/>
      </c>
      <c r="V159" s="8">
        <f>IF(OR(R159="",Q159=""),"",Q159/R159)</f>
        <v/>
      </c>
      <c r="W159" s="8">
        <f>IF(OR(R159="",T159=""),"",T159/R159)</f>
        <v/>
      </c>
      <c r="X159" s="8">
        <f>IF(A159="","",IF(OR(UPPER(TRIM(Inputs!$B$15))="MANNING",UPPER(TRIM(Inputs!$B$15))="M"),W159,IF(OR(UPPER(TRIM(Inputs!$B$15))="MAX",UPPER(TRIM(Inputs!$B$15))="X"),MAX(V159,W159),V159)))</f>
        <v/>
      </c>
      <c r="Y159" s="8">
        <f>IF(A159="","",IF(UPPER(TRIM(B159))="TRENCH",K159*L159*N159,IF(UPPER(TRIM(B159))="SWALE",K159*L159,0)))</f>
        <v/>
      </c>
      <c r="Z159" s="8">
        <f>IF(OR(Y159="",F159=""),"",Y159*F159)</f>
        <v/>
      </c>
      <c r="AA159" s="4">
        <f>IF(A159="","",IF(OR(U159&gt;1,AND(X159&lt;&gt;"",X159&lt;Inputs!$B$16),AND(X159&lt;&gt;"",X159&gt;Inputs!$B$17),G159&lt;Inputs!$B$18,AH159="CHECK"),"CHECK","OK"))</f>
        <v/>
      </c>
      <c r="AB159" s="4" t="n"/>
      <c r="AC159" s="7" t="n"/>
      <c r="AD159" s="8">
        <f>IF(A159="","",IF(AC159&lt;&gt;"",AC159,IF(E159="",Inputs!$B$38,IFERROR(INDEX($AE$4:$AE$204,MATCH(E159,$A$4:$A$204,0))+IF(OR(AND(UPPER(TRIM(B159))="SWALE",UPPER(TRIM(AI159))="PIPE"),AND(UPPER(TRIM(B159))="TRENCH",UPPER(TRIM(AI159))="PIPE")),Inputs!$B$57,0),""))))</f>
        <v/>
      </c>
      <c r="AE159" s="8">
        <f>IF(OR(AD159="",F159="",G159=""),"",AD159+F159*G159)</f>
        <v/>
      </c>
      <c r="AF159" s="8">
        <f>IF(OR(E159="",A159=""),"",IFERROR(INDEX($AE$4:$AE$204,MATCH(E159,$A$4:$A$204,0)),""))</f>
        <v/>
      </c>
      <c r="AG159" s="8">
        <f>IF(OR(AD159="",AF159=""),"",AD159-AF159)</f>
        <v/>
      </c>
      <c r="AH159" s="4">
        <f>IF(A159="","",IF(E159="","TERMINAL",IF(OR(AND(UPPER(TRIM(B159))="SWALE",UPPER(TRIM(AI159))="PIPE"),AND(UPPER(TRIM(B159))="TRENCH",UPPER(TRIM(AI159))="PIPE")),IF(OR(AG159="",AJ159="",AK159=""),"INFO",IF(AND(AG159&gt;=AJ159,AG159&lt;=AK159),"OK","CHECK")),IF(AG159="","INFO",IF(ABS(AG159)&lt;=Inputs!$B$54,"OK","CHECK")))))</f>
        <v/>
      </c>
      <c r="AI159" s="17">
        <f>IF(A159="","",IF(E159="","",IFERROR(INDEX($B$4:$B$204,MATCH(E159,$A$4:$A$204,0)),"")))</f>
        <v/>
      </c>
      <c r="AJ159" s="17">
        <f>IF(A159="","",IF(OR(AND(UPPER(TRIM(B159))="SWALE",UPPER(TRIM(AI159))="PIPE"),AND(UPPER(TRIM(B159))="TRENCH",UPPER(TRIM(AI159))="PIPE")),Inputs!$B$55,0))</f>
        <v/>
      </c>
      <c r="AK159" s="17">
        <f>IF(A159="","",IF(OR(AND(UPPER(TRIM(B159))="SWALE",UPPER(TRIM(AI159))="PIPE"),AND(UPPER(TRIM(B159))="TRENCH",UPPER(TRIM(AI159))="PIPE")),Inputs!$B$56,Inputs!$B$54))</f>
        <v/>
      </c>
      <c r="AL159" s="4">
        <f>IF(A159="","",IF(E159="","TERMINAL",IF(OR(AND(UPPER(TRIM(B159))="SWALE",UPPER(TRIM(AI159))="PIPE"),AND(UPPER(TRIM(B159))="TRENCH",UPPER(TRIM(AI159))="PIPE")),IF(OR(AG159="",AJ159="",AK159=""),"INFO",IF(AND(AG159&gt;=AJ159,AG159&lt;=AK159),"OK","CHECK")),"N/A")))</f>
        <v/>
      </c>
    </row>
    <row r="160">
      <c r="A160" s="4" t="n"/>
      <c r="B160" s="4" t="n"/>
      <c r="C160" s="4" t="n"/>
      <c r="D160" s="4" t="n"/>
      <c r="E160" s="4" t="n"/>
      <c r="F160" s="7" t="n"/>
      <c r="G160" s="7" t="n"/>
      <c r="H160" s="7" t="n"/>
      <c r="I160" s="8">
        <f>IF(A160="","",IF(H160&lt;&gt;"",H160,IF(UPPER(TRIM(B160))="PIPE",Inputs!$B$7,IF(UPPER(TRIM(B160))="SWALE",Inputs!$B$8,Inputs!$B$9))))</f>
        <v/>
      </c>
      <c r="J160" s="7" t="n"/>
      <c r="K160" s="7" t="n"/>
      <c r="L160" s="7" t="n"/>
      <c r="M160" s="7" t="n"/>
      <c r="N160" s="7" t="n">
        <v>0</v>
      </c>
      <c r="O160" s="8">
        <f>IF(A160="","",SUMIFS(Zones_tributaires!$I:$I,Zones_tributaires!$J:$J,$A160))</f>
        <v/>
      </c>
      <c r="P160" s="8">
        <f>IF(A160="","",SUMIFS($Q$4:$Q$204,$E$4:$E$204,$A160))</f>
        <v/>
      </c>
      <c r="Q160" s="8">
        <f>IF(A160="","",(O160+P160)*Inputs!$B$6)</f>
        <v/>
      </c>
      <c r="R160" s="8">
        <f>IF(A160="","",IF(UPPER(TRIM(B160))="PIPE",PI()*(J160/1000)^2/4,IF(OR(K160="",L160=""),"",L160*(K160+M160*L160))))</f>
        <v/>
      </c>
      <c r="S160" s="8">
        <f>IF(A160="","",IF(UPPER(TRIM(B160))="PIPE",(J160/1000)/4,IF(OR(R160="",K160="",L160=""),"",R160/(K160+2*L160*SQRT(1+M160^2)))))</f>
        <v/>
      </c>
      <c r="T160" s="8">
        <f>IF(A160="","",IF(OR(I160="",R160="",S160="",G160=""),"",(1/I160)*R160*(S160^(2/3))*SQRT(G160)))</f>
        <v/>
      </c>
      <c r="U160" s="8">
        <f>IF(OR(T160="",Q160=""),"",Q160/(T160*Inputs!$B$19))</f>
        <v/>
      </c>
      <c r="V160" s="8">
        <f>IF(OR(R160="",Q160=""),"",Q160/R160)</f>
        <v/>
      </c>
      <c r="W160" s="8">
        <f>IF(OR(R160="",T160=""),"",T160/R160)</f>
        <v/>
      </c>
      <c r="X160" s="8">
        <f>IF(A160="","",IF(OR(UPPER(TRIM(Inputs!$B$15))="MANNING",UPPER(TRIM(Inputs!$B$15))="M"),W160,IF(OR(UPPER(TRIM(Inputs!$B$15))="MAX",UPPER(TRIM(Inputs!$B$15))="X"),MAX(V160,W160),V160)))</f>
        <v/>
      </c>
      <c r="Y160" s="8">
        <f>IF(A160="","",IF(UPPER(TRIM(B160))="TRENCH",K160*L160*N160,IF(UPPER(TRIM(B160))="SWALE",K160*L160,0)))</f>
        <v/>
      </c>
      <c r="Z160" s="8">
        <f>IF(OR(Y160="",F160=""),"",Y160*F160)</f>
        <v/>
      </c>
      <c r="AA160" s="4">
        <f>IF(A160="","",IF(OR(U160&gt;1,AND(X160&lt;&gt;"",X160&lt;Inputs!$B$16),AND(X160&lt;&gt;"",X160&gt;Inputs!$B$17),G160&lt;Inputs!$B$18,AH160="CHECK"),"CHECK","OK"))</f>
        <v/>
      </c>
      <c r="AB160" s="4" t="n"/>
      <c r="AC160" s="7" t="n"/>
      <c r="AD160" s="8">
        <f>IF(A160="","",IF(AC160&lt;&gt;"",AC160,IF(E160="",Inputs!$B$38,IFERROR(INDEX($AE$4:$AE$204,MATCH(E160,$A$4:$A$204,0))+IF(OR(AND(UPPER(TRIM(B160))="SWALE",UPPER(TRIM(AI160))="PIPE"),AND(UPPER(TRIM(B160))="TRENCH",UPPER(TRIM(AI160))="PIPE")),Inputs!$B$57,0),""))))</f>
        <v/>
      </c>
      <c r="AE160" s="8">
        <f>IF(OR(AD160="",F160="",G160=""),"",AD160+F160*G160)</f>
        <v/>
      </c>
      <c r="AF160" s="8">
        <f>IF(OR(E160="",A160=""),"",IFERROR(INDEX($AE$4:$AE$204,MATCH(E160,$A$4:$A$204,0)),""))</f>
        <v/>
      </c>
      <c r="AG160" s="8">
        <f>IF(OR(AD160="",AF160=""),"",AD160-AF160)</f>
        <v/>
      </c>
      <c r="AH160" s="4">
        <f>IF(A160="","",IF(E160="","TERMINAL",IF(OR(AND(UPPER(TRIM(B160))="SWALE",UPPER(TRIM(AI160))="PIPE"),AND(UPPER(TRIM(B160))="TRENCH",UPPER(TRIM(AI160))="PIPE")),IF(OR(AG160="",AJ160="",AK160=""),"INFO",IF(AND(AG160&gt;=AJ160,AG160&lt;=AK160),"OK","CHECK")),IF(AG160="","INFO",IF(ABS(AG160)&lt;=Inputs!$B$54,"OK","CHECK")))))</f>
        <v/>
      </c>
      <c r="AI160" s="17">
        <f>IF(A160="","",IF(E160="","",IFERROR(INDEX($B$4:$B$204,MATCH(E160,$A$4:$A$204,0)),"")))</f>
        <v/>
      </c>
      <c r="AJ160" s="17">
        <f>IF(A160="","",IF(OR(AND(UPPER(TRIM(B160))="SWALE",UPPER(TRIM(AI160))="PIPE"),AND(UPPER(TRIM(B160))="TRENCH",UPPER(TRIM(AI160))="PIPE")),Inputs!$B$55,0))</f>
        <v/>
      </c>
      <c r="AK160" s="17">
        <f>IF(A160="","",IF(OR(AND(UPPER(TRIM(B160))="SWALE",UPPER(TRIM(AI160))="PIPE"),AND(UPPER(TRIM(B160))="TRENCH",UPPER(TRIM(AI160))="PIPE")),Inputs!$B$56,Inputs!$B$54))</f>
        <v/>
      </c>
      <c r="AL160" s="4">
        <f>IF(A160="","",IF(E160="","TERMINAL",IF(OR(AND(UPPER(TRIM(B160))="SWALE",UPPER(TRIM(AI160))="PIPE"),AND(UPPER(TRIM(B160))="TRENCH",UPPER(TRIM(AI160))="PIPE")),IF(OR(AG160="",AJ160="",AK160=""),"INFO",IF(AND(AG160&gt;=AJ160,AG160&lt;=AK160),"OK","CHECK")),"N/A")))</f>
        <v/>
      </c>
    </row>
    <row r="161">
      <c r="A161" s="4" t="n"/>
      <c r="B161" s="4" t="n"/>
      <c r="C161" s="4" t="n"/>
      <c r="D161" s="4" t="n"/>
      <c r="E161" s="4" t="n"/>
      <c r="F161" s="7" t="n"/>
      <c r="G161" s="7" t="n"/>
      <c r="H161" s="7" t="n"/>
      <c r="I161" s="8">
        <f>IF(A161="","",IF(H161&lt;&gt;"",H161,IF(UPPER(TRIM(B161))="PIPE",Inputs!$B$7,IF(UPPER(TRIM(B161))="SWALE",Inputs!$B$8,Inputs!$B$9))))</f>
        <v/>
      </c>
      <c r="J161" s="7" t="n"/>
      <c r="K161" s="7" t="n"/>
      <c r="L161" s="7" t="n"/>
      <c r="M161" s="7" t="n"/>
      <c r="N161" s="7" t="n">
        <v>0</v>
      </c>
      <c r="O161" s="8">
        <f>IF(A161="","",SUMIFS(Zones_tributaires!$I:$I,Zones_tributaires!$J:$J,$A161))</f>
        <v/>
      </c>
      <c r="P161" s="8">
        <f>IF(A161="","",SUMIFS($Q$4:$Q$204,$E$4:$E$204,$A161))</f>
        <v/>
      </c>
      <c r="Q161" s="8">
        <f>IF(A161="","",(O161+P161)*Inputs!$B$6)</f>
        <v/>
      </c>
      <c r="R161" s="8">
        <f>IF(A161="","",IF(UPPER(TRIM(B161))="PIPE",PI()*(J161/1000)^2/4,IF(OR(K161="",L161=""),"",L161*(K161+M161*L161))))</f>
        <v/>
      </c>
      <c r="S161" s="8">
        <f>IF(A161="","",IF(UPPER(TRIM(B161))="PIPE",(J161/1000)/4,IF(OR(R161="",K161="",L161=""),"",R161/(K161+2*L161*SQRT(1+M161^2)))))</f>
        <v/>
      </c>
      <c r="T161" s="8">
        <f>IF(A161="","",IF(OR(I161="",R161="",S161="",G161=""),"",(1/I161)*R161*(S161^(2/3))*SQRT(G161)))</f>
        <v/>
      </c>
      <c r="U161" s="8">
        <f>IF(OR(T161="",Q161=""),"",Q161/(T161*Inputs!$B$19))</f>
        <v/>
      </c>
      <c r="V161" s="8">
        <f>IF(OR(R161="",Q161=""),"",Q161/R161)</f>
        <v/>
      </c>
      <c r="W161" s="8">
        <f>IF(OR(R161="",T161=""),"",T161/R161)</f>
        <v/>
      </c>
      <c r="X161" s="8">
        <f>IF(A161="","",IF(OR(UPPER(TRIM(Inputs!$B$15))="MANNING",UPPER(TRIM(Inputs!$B$15))="M"),W161,IF(OR(UPPER(TRIM(Inputs!$B$15))="MAX",UPPER(TRIM(Inputs!$B$15))="X"),MAX(V161,W161),V161)))</f>
        <v/>
      </c>
      <c r="Y161" s="8">
        <f>IF(A161="","",IF(UPPER(TRIM(B161))="TRENCH",K161*L161*N161,IF(UPPER(TRIM(B161))="SWALE",K161*L161,0)))</f>
        <v/>
      </c>
      <c r="Z161" s="8">
        <f>IF(OR(Y161="",F161=""),"",Y161*F161)</f>
        <v/>
      </c>
      <c r="AA161" s="4">
        <f>IF(A161="","",IF(OR(U161&gt;1,AND(X161&lt;&gt;"",X161&lt;Inputs!$B$16),AND(X161&lt;&gt;"",X161&gt;Inputs!$B$17),G161&lt;Inputs!$B$18,AH161="CHECK"),"CHECK","OK"))</f>
        <v/>
      </c>
      <c r="AB161" s="4" t="n"/>
      <c r="AC161" s="7" t="n"/>
      <c r="AD161" s="8">
        <f>IF(A161="","",IF(AC161&lt;&gt;"",AC161,IF(E161="",Inputs!$B$38,IFERROR(INDEX($AE$4:$AE$204,MATCH(E161,$A$4:$A$204,0))+IF(OR(AND(UPPER(TRIM(B161))="SWALE",UPPER(TRIM(AI161))="PIPE"),AND(UPPER(TRIM(B161))="TRENCH",UPPER(TRIM(AI161))="PIPE")),Inputs!$B$57,0),""))))</f>
        <v/>
      </c>
      <c r="AE161" s="8">
        <f>IF(OR(AD161="",F161="",G161=""),"",AD161+F161*G161)</f>
        <v/>
      </c>
      <c r="AF161" s="8">
        <f>IF(OR(E161="",A161=""),"",IFERROR(INDEX($AE$4:$AE$204,MATCH(E161,$A$4:$A$204,0)),""))</f>
        <v/>
      </c>
      <c r="AG161" s="8">
        <f>IF(OR(AD161="",AF161=""),"",AD161-AF161)</f>
        <v/>
      </c>
      <c r="AH161" s="4">
        <f>IF(A161="","",IF(E161="","TERMINAL",IF(OR(AND(UPPER(TRIM(B161))="SWALE",UPPER(TRIM(AI161))="PIPE"),AND(UPPER(TRIM(B161))="TRENCH",UPPER(TRIM(AI161))="PIPE")),IF(OR(AG161="",AJ161="",AK161=""),"INFO",IF(AND(AG161&gt;=AJ161,AG161&lt;=AK161),"OK","CHECK")),IF(AG161="","INFO",IF(ABS(AG161)&lt;=Inputs!$B$54,"OK","CHECK")))))</f>
        <v/>
      </c>
      <c r="AI161" s="17">
        <f>IF(A161="","",IF(E161="","",IFERROR(INDEX($B$4:$B$204,MATCH(E161,$A$4:$A$204,0)),"")))</f>
        <v/>
      </c>
      <c r="AJ161" s="17">
        <f>IF(A161="","",IF(OR(AND(UPPER(TRIM(B161))="SWALE",UPPER(TRIM(AI161))="PIPE"),AND(UPPER(TRIM(B161))="TRENCH",UPPER(TRIM(AI161))="PIPE")),Inputs!$B$55,0))</f>
        <v/>
      </c>
      <c r="AK161" s="17">
        <f>IF(A161="","",IF(OR(AND(UPPER(TRIM(B161))="SWALE",UPPER(TRIM(AI161))="PIPE"),AND(UPPER(TRIM(B161))="TRENCH",UPPER(TRIM(AI161))="PIPE")),Inputs!$B$56,Inputs!$B$54))</f>
        <v/>
      </c>
      <c r="AL161" s="4">
        <f>IF(A161="","",IF(E161="","TERMINAL",IF(OR(AND(UPPER(TRIM(B161))="SWALE",UPPER(TRIM(AI161))="PIPE"),AND(UPPER(TRIM(B161))="TRENCH",UPPER(TRIM(AI161))="PIPE")),IF(OR(AG161="",AJ161="",AK161=""),"INFO",IF(AND(AG161&gt;=AJ161,AG161&lt;=AK161),"OK","CHECK")),"N/A")))</f>
        <v/>
      </c>
    </row>
    <row r="162">
      <c r="A162" s="4" t="n"/>
      <c r="B162" s="4" t="n"/>
      <c r="C162" s="4" t="n"/>
      <c r="D162" s="4" t="n"/>
      <c r="E162" s="4" t="n"/>
      <c r="F162" s="7" t="n"/>
      <c r="G162" s="7" t="n"/>
      <c r="H162" s="7" t="n"/>
      <c r="I162" s="8">
        <f>IF(A162="","",IF(H162&lt;&gt;"",H162,IF(UPPER(TRIM(B162))="PIPE",Inputs!$B$7,IF(UPPER(TRIM(B162))="SWALE",Inputs!$B$8,Inputs!$B$9))))</f>
        <v/>
      </c>
      <c r="J162" s="7" t="n"/>
      <c r="K162" s="7" t="n"/>
      <c r="L162" s="7" t="n"/>
      <c r="M162" s="7" t="n"/>
      <c r="N162" s="7" t="n">
        <v>0</v>
      </c>
      <c r="O162" s="8">
        <f>IF(A162="","",SUMIFS(Zones_tributaires!$I:$I,Zones_tributaires!$J:$J,$A162))</f>
        <v/>
      </c>
      <c r="P162" s="8">
        <f>IF(A162="","",SUMIFS($Q$4:$Q$204,$E$4:$E$204,$A162))</f>
        <v/>
      </c>
      <c r="Q162" s="8">
        <f>IF(A162="","",(O162+P162)*Inputs!$B$6)</f>
        <v/>
      </c>
      <c r="R162" s="8">
        <f>IF(A162="","",IF(UPPER(TRIM(B162))="PIPE",PI()*(J162/1000)^2/4,IF(OR(K162="",L162=""),"",L162*(K162+M162*L162))))</f>
        <v/>
      </c>
      <c r="S162" s="8">
        <f>IF(A162="","",IF(UPPER(TRIM(B162))="PIPE",(J162/1000)/4,IF(OR(R162="",K162="",L162=""),"",R162/(K162+2*L162*SQRT(1+M162^2)))))</f>
        <v/>
      </c>
      <c r="T162" s="8">
        <f>IF(A162="","",IF(OR(I162="",R162="",S162="",G162=""),"",(1/I162)*R162*(S162^(2/3))*SQRT(G162)))</f>
        <v/>
      </c>
      <c r="U162" s="8">
        <f>IF(OR(T162="",Q162=""),"",Q162/(T162*Inputs!$B$19))</f>
        <v/>
      </c>
      <c r="V162" s="8">
        <f>IF(OR(R162="",Q162=""),"",Q162/R162)</f>
        <v/>
      </c>
      <c r="W162" s="8">
        <f>IF(OR(R162="",T162=""),"",T162/R162)</f>
        <v/>
      </c>
      <c r="X162" s="8">
        <f>IF(A162="","",IF(OR(UPPER(TRIM(Inputs!$B$15))="MANNING",UPPER(TRIM(Inputs!$B$15))="M"),W162,IF(OR(UPPER(TRIM(Inputs!$B$15))="MAX",UPPER(TRIM(Inputs!$B$15))="X"),MAX(V162,W162),V162)))</f>
        <v/>
      </c>
      <c r="Y162" s="8">
        <f>IF(A162="","",IF(UPPER(TRIM(B162))="TRENCH",K162*L162*N162,IF(UPPER(TRIM(B162))="SWALE",K162*L162,0)))</f>
        <v/>
      </c>
      <c r="Z162" s="8">
        <f>IF(OR(Y162="",F162=""),"",Y162*F162)</f>
        <v/>
      </c>
      <c r="AA162" s="4">
        <f>IF(A162="","",IF(OR(U162&gt;1,AND(X162&lt;&gt;"",X162&lt;Inputs!$B$16),AND(X162&lt;&gt;"",X162&gt;Inputs!$B$17),G162&lt;Inputs!$B$18,AH162="CHECK"),"CHECK","OK"))</f>
        <v/>
      </c>
      <c r="AB162" s="4" t="n"/>
      <c r="AC162" s="7" t="n"/>
      <c r="AD162" s="8">
        <f>IF(A162="","",IF(AC162&lt;&gt;"",AC162,IF(E162="",Inputs!$B$38,IFERROR(INDEX($AE$4:$AE$204,MATCH(E162,$A$4:$A$204,0))+IF(OR(AND(UPPER(TRIM(B162))="SWALE",UPPER(TRIM(AI162))="PIPE"),AND(UPPER(TRIM(B162))="TRENCH",UPPER(TRIM(AI162))="PIPE")),Inputs!$B$57,0),""))))</f>
        <v/>
      </c>
      <c r="AE162" s="8">
        <f>IF(OR(AD162="",F162="",G162=""),"",AD162+F162*G162)</f>
        <v/>
      </c>
      <c r="AF162" s="8">
        <f>IF(OR(E162="",A162=""),"",IFERROR(INDEX($AE$4:$AE$204,MATCH(E162,$A$4:$A$204,0)),""))</f>
        <v/>
      </c>
      <c r="AG162" s="8">
        <f>IF(OR(AD162="",AF162=""),"",AD162-AF162)</f>
        <v/>
      </c>
      <c r="AH162" s="4">
        <f>IF(A162="","",IF(E162="","TERMINAL",IF(OR(AND(UPPER(TRIM(B162))="SWALE",UPPER(TRIM(AI162))="PIPE"),AND(UPPER(TRIM(B162))="TRENCH",UPPER(TRIM(AI162))="PIPE")),IF(OR(AG162="",AJ162="",AK162=""),"INFO",IF(AND(AG162&gt;=AJ162,AG162&lt;=AK162),"OK","CHECK")),IF(AG162="","INFO",IF(ABS(AG162)&lt;=Inputs!$B$54,"OK","CHECK")))))</f>
        <v/>
      </c>
      <c r="AI162" s="17">
        <f>IF(A162="","",IF(E162="","",IFERROR(INDEX($B$4:$B$204,MATCH(E162,$A$4:$A$204,0)),"")))</f>
        <v/>
      </c>
      <c r="AJ162" s="17">
        <f>IF(A162="","",IF(OR(AND(UPPER(TRIM(B162))="SWALE",UPPER(TRIM(AI162))="PIPE"),AND(UPPER(TRIM(B162))="TRENCH",UPPER(TRIM(AI162))="PIPE")),Inputs!$B$55,0))</f>
        <v/>
      </c>
      <c r="AK162" s="17">
        <f>IF(A162="","",IF(OR(AND(UPPER(TRIM(B162))="SWALE",UPPER(TRIM(AI162))="PIPE"),AND(UPPER(TRIM(B162))="TRENCH",UPPER(TRIM(AI162))="PIPE")),Inputs!$B$56,Inputs!$B$54))</f>
        <v/>
      </c>
      <c r="AL162" s="4">
        <f>IF(A162="","",IF(E162="","TERMINAL",IF(OR(AND(UPPER(TRIM(B162))="SWALE",UPPER(TRIM(AI162))="PIPE"),AND(UPPER(TRIM(B162))="TRENCH",UPPER(TRIM(AI162))="PIPE")),IF(OR(AG162="",AJ162="",AK162=""),"INFO",IF(AND(AG162&gt;=AJ162,AG162&lt;=AK162),"OK","CHECK")),"N/A")))</f>
        <v/>
      </c>
    </row>
    <row r="163">
      <c r="A163" s="4" t="n"/>
      <c r="B163" s="4" t="n"/>
      <c r="C163" s="4" t="n"/>
      <c r="D163" s="4" t="n"/>
      <c r="E163" s="4" t="n"/>
      <c r="F163" s="7" t="n"/>
      <c r="G163" s="7" t="n"/>
      <c r="H163" s="7" t="n"/>
      <c r="I163" s="8">
        <f>IF(A163="","",IF(H163&lt;&gt;"",H163,IF(UPPER(TRIM(B163))="PIPE",Inputs!$B$7,IF(UPPER(TRIM(B163))="SWALE",Inputs!$B$8,Inputs!$B$9))))</f>
        <v/>
      </c>
      <c r="J163" s="7" t="n"/>
      <c r="K163" s="7" t="n"/>
      <c r="L163" s="7" t="n"/>
      <c r="M163" s="7" t="n"/>
      <c r="N163" s="7" t="n">
        <v>0</v>
      </c>
      <c r="O163" s="8">
        <f>IF(A163="","",SUMIFS(Zones_tributaires!$I:$I,Zones_tributaires!$J:$J,$A163))</f>
        <v/>
      </c>
      <c r="P163" s="8">
        <f>IF(A163="","",SUMIFS($Q$4:$Q$204,$E$4:$E$204,$A163))</f>
        <v/>
      </c>
      <c r="Q163" s="8">
        <f>IF(A163="","",(O163+P163)*Inputs!$B$6)</f>
        <v/>
      </c>
      <c r="R163" s="8">
        <f>IF(A163="","",IF(UPPER(TRIM(B163))="PIPE",PI()*(J163/1000)^2/4,IF(OR(K163="",L163=""),"",L163*(K163+M163*L163))))</f>
        <v/>
      </c>
      <c r="S163" s="8">
        <f>IF(A163="","",IF(UPPER(TRIM(B163))="PIPE",(J163/1000)/4,IF(OR(R163="",K163="",L163=""),"",R163/(K163+2*L163*SQRT(1+M163^2)))))</f>
        <v/>
      </c>
      <c r="T163" s="8">
        <f>IF(A163="","",IF(OR(I163="",R163="",S163="",G163=""),"",(1/I163)*R163*(S163^(2/3))*SQRT(G163)))</f>
        <v/>
      </c>
      <c r="U163" s="8">
        <f>IF(OR(T163="",Q163=""),"",Q163/(T163*Inputs!$B$19))</f>
        <v/>
      </c>
      <c r="V163" s="8">
        <f>IF(OR(R163="",Q163=""),"",Q163/R163)</f>
        <v/>
      </c>
      <c r="W163" s="8">
        <f>IF(OR(R163="",T163=""),"",T163/R163)</f>
        <v/>
      </c>
      <c r="X163" s="8">
        <f>IF(A163="","",IF(OR(UPPER(TRIM(Inputs!$B$15))="MANNING",UPPER(TRIM(Inputs!$B$15))="M"),W163,IF(OR(UPPER(TRIM(Inputs!$B$15))="MAX",UPPER(TRIM(Inputs!$B$15))="X"),MAX(V163,W163),V163)))</f>
        <v/>
      </c>
      <c r="Y163" s="8">
        <f>IF(A163="","",IF(UPPER(TRIM(B163))="TRENCH",K163*L163*N163,IF(UPPER(TRIM(B163))="SWALE",K163*L163,0)))</f>
        <v/>
      </c>
      <c r="Z163" s="8">
        <f>IF(OR(Y163="",F163=""),"",Y163*F163)</f>
        <v/>
      </c>
      <c r="AA163" s="4">
        <f>IF(A163="","",IF(OR(U163&gt;1,AND(X163&lt;&gt;"",X163&lt;Inputs!$B$16),AND(X163&lt;&gt;"",X163&gt;Inputs!$B$17),G163&lt;Inputs!$B$18,AH163="CHECK"),"CHECK","OK"))</f>
        <v/>
      </c>
      <c r="AB163" s="4" t="n"/>
      <c r="AC163" s="7" t="n"/>
      <c r="AD163" s="8">
        <f>IF(A163="","",IF(AC163&lt;&gt;"",AC163,IF(E163="",Inputs!$B$38,IFERROR(INDEX($AE$4:$AE$204,MATCH(E163,$A$4:$A$204,0))+IF(OR(AND(UPPER(TRIM(B163))="SWALE",UPPER(TRIM(AI163))="PIPE"),AND(UPPER(TRIM(B163))="TRENCH",UPPER(TRIM(AI163))="PIPE")),Inputs!$B$57,0),""))))</f>
        <v/>
      </c>
      <c r="AE163" s="8">
        <f>IF(OR(AD163="",F163="",G163=""),"",AD163+F163*G163)</f>
        <v/>
      </c>
      <c r="AF163" s="8">
        <f>IF(OR(E163="",A163=""),"",IFERROR(INDEX($AE$4:$AE$204,MATCH(E163,$A$4:$A$204,0)),""))</f>
        <v/>
      </c>
      <c r="AG163" s="8">
        <f>IF(OR(AD163="",AF163=""),"",AD163-AF163)</f>
        <v/>
      </c>
      <c r="AH163" s="4">
        <f>IF(A163="","",IF(E163="","TERMINAL",IF(OR(AND(UPPER(TRIM(B163))="SWALE",UPPER(TRIM(AI163))="PIPE"),AND(UPPER(TRIM(B163))="TRENCH",UPPER(TRIM(AI163))="PIPE")),IF(OR(AG163="",AJ163="",AK163=""),"INFO",IF(AND(AG163&gt;=AJ163,AG163&lt;=AK163),"OK","CHECK")),IF(AG163="","INFO",IF(ABS(AG163)&lt;=Inputs!$B$54,"OK","CHECK")))))</f>
        <v/>
      </c>
      <c r="AI163" s="17">
        <f>IF(A163="","",IF(E163="","",IFERROR(INDEX($B$4:$B$204,MATCH(E163,$A$4:$A$204,0)),"")))</f>
        <v/>
      </c>
      <c r="AJ163" s="17">
        <f>IF(A163="","",IF(OR(AND(UPPER(TRIM(B163))="SWALE",UPPER(TRIM(AI163))="PIPE"),AND(UPPER(TRIM(B163))="TRENCH",UPPER(TRIM(AI163))="PIPE")),Inputs!$B$55,0))</f>
        <v/>
      </c>
      <c r="AK163" s="17">
        <f>IF(A163="","",IF(OR(AND(UPPER(TRIM(B163))="SWALE",UPPER(TRIM(AI163))="PIPE"),AND(UPPER(TRIM(B163))="TRENCH",UPPER(TRIM(AI163))="PIPE")),Inputs!$B$56,Inputs!$B$54))</f>
        <v/>
      </c>
      <c r="AL163" s="4">
        <f>IF(A163="","",IF(E163="","TERMINAL",IF(OR(AND(UPPER(TRIM(B163))="SWALE",UPPER(TRIM(AI163))="PIPE"),AND(UPPER(TRIM(B163))="TRENCH",UPPER(TRIM(AI163))="PIPE")),IF(OR(AG163="",AJ163="",AK163=""),"INFO",IF(AND(AG163&gt;=AJ163,AG163&lt;=AK163),"OK","CHECK")),"N/A")))</f>
        <v/>
      </c>
    </row>
    <row r="164">
      <c r="A164" s="4" t="n"/>
      <c r="B164" s="4" t="n"/>
      <c r="C164" s="4" t="n"/>
      <c r="D164" s="4" t="n"/>
      <c r="E164" s="4" t="n"/>
      <c r="F164" s="7" t="n"/>
      <c r="G164" s="7" t="n"/>
      <c r="H164" s="7" t="n"/>
      <c r="I164" s="8">
        <f>IF(A164="","",IF(H164&lt;&gt;"",H164,IF(UPPER(TRIM(B164))="PIPE",Inputs!$B$7,IF(UPPER(TRIM(B164))="SWALE",Inputs!$B$8,Inputs!$B$9))))</f>
        <v/>
      </c>
      <c r="J164" s="7" t="n"/>
      <c r="K164" s="7" t="n"/>
      <c r="L164" s="7" t="n"/>
      <c r="M164" s="7" t="n"/>
      <c r="N164" s="7" t="n">
        <v>0</v>
      </c>
      <c r="O164" s="8">
        <f>IF(A164="","",SUMIFS(Zones_tributaires!$I:$I,Zones_tributaires!$J:$J,$A164))</f>
        <v/>
      </c>
      <c r="P164" s="8">
        <f>IF(A164="","",SUMIFS($Q$4:$Q$204,$E$4:$E$204,$A164))</f>
        <v/>
      </c>
      <c r="Q164" s="8">
        <f>IF(A164="","",(O164+P164)*Inputs!$B$6)</f>
        <v/>
      </c>
      <c r="R164" s="8">
        <f>IF(A164="","",IF(UPPER(TRIM(B164))="PIPE",PI()*(J164/1000)^2/4,IF(OR(K164="",L164=""),"",L164*(K164+M164*L164))))</f>
        <v/>
      </c>
      <c r="S164" s="8">
        <f>IF(A164="","",IF(UPPER(TRIM(B164))="PIPE",(J164/1000)/4,IF(OR(R164="",K164="",L164=""),"",R164/(K164+2*L164*SQRT(1+M164^2)))))</f>
        <v/>
      </c>
      <c r="T164" s="8">
        <f>IF(A164="","",IF(OR(I164="",R164="",S164="",G164=""),"",(1/I164)*R164*(S164^(2/3))*SQRT(G164)))</f>
        <v/>
      </c>
      <c r="U164" s="8">
        <f>IF(OR(T164="",Q164=""),"",Q164/(T164*Inputs!$B$19))</f>
        <v/>
      </c>
      <c r="V164" s="8">
        <f>IF(OR(R164="",Q164=""),"",Q164/R164)</f>
        <v/>
      </c>
      <c r="W164" s="8">
        <f>IF(OR(R164="",T164=""),"",T164/R164)</f>
        <v/>
      </c>
      <c r="X164" s="8">
        <f>IF(A164="","",IF(OR(UPPER(TRIM(Inputs!$B$15))="MANNING",UPPER(TRIM(Inputs!$B$15))="M"),W164,IF(OR(UPPER(TRIM(Inputs!$B$15))="MAX",UPPER(TRIM(Inputs!$B$15))="X"),MAX(V164,W164),V164)))</f>
        <v/>
      </c>
      <c r="Y164" s="8">
        <f>IF(A164="","",IF(UPPER(TRIM(B164))="TRENCH",K164*L164*N164,IF(UPPER(TRIM(B164))="SWALE",K164*L164,0)))</f>
        <v/>
      </c>
      <c r="Z164" s="8">
        <f>IF(OR(Y164="",F164=""),"",Y164*F164)</f>
        <v/>
      </c>
      <c r="AA164" s="4">
        <f>IF(A164="","",IF(OR(U164&gt;1,AND(X164&lt;&gt;"",X164&lt;Inputs!$B$16),AND(X164&lt;&gt;"",X164&gt;Inputs!$B$17),G164&lt;Inputs!$B$18,AH164="CHECK"),"CHECK","OK"))</f>
        <v/>
      </c>
      <c r="AB164" s="4" t="n"/>
      <c r="AC164" s="7" t="n"/>
      <c r="AD164" s="8">
        <f>IF(A164="","",IF(AC164&lt;&gt;"",AC164,IF(E164="",Inputs!$B$38,IFERROR(INDEX($AE$4:$AE$204,MATCH(E164,$A$4:$A$204,0))+IF(OR(AND(UPPER(TRIM(B164))="SWALE",UPPER(TRIM(AI164))="PIPE"),AND(UPPER(TRIM(B164))="TRENCH",UPPER(TRIM(AI164))="PIPE")),Inputs!$B$57,0),""))))</f>
        <v/>
      </c>
      <c r="AE164" s="8">
        <f>IF(OR(AD164="",F164="",G164=""),"",AD164+F164*G164)</f>
        <v/>
      </c>
      <c r="AF164" s="8">
        <f>IF(OR(E164="",A164=""),"",IFERROR(INDEX($AE$4:$AE$204,MATCH(E164,$A$4:$A$204,0)),""))</f>
        <v/>
      </c>
      <c r="AG164" s="8">
        <f>IF(OR(AD164="",AF164=""),"",AD164-AF164)</f>
        <v/>
      </c>
      <c r="AH164" s="4">
        <f>IF(A164="","",IF(E164="","TERMINAL",IF(OR(AND(UPPER(TRIM(B164))="SWALE",UPPER(TRIM(AI164))="PIPE"),AND(UPPER(TRIM(B164))="TRENCH",UPPER(TRIM(AI164))="PIPE")),IF(OR(AG164="",AJ164="",AK164=""),"INFO",IF(AND(AG164&gt;=AJ164,AG164&lt;=AK164),"OK","CHECK")),IF(AG164="","INFO",IF(ABS(AG164)&lt;=Inputs!$B$54,"OK","CHECK")))))</f>
        <v/>
      </c>
      <c r="AI164" s="17">
        <f>IF(A164="","",IF(E164="","",IFERROR(INDEX($B$4:$B$204,MATCH(E164,$A$4:$A$204,0)),"")))</f>
        <v/>
      </c>
      <c r="AJ164" s="17">
        <f>IF(A164="","",IF(OR(AND(UPPER(TRIM(B164))="SWALE",UPPER(TRIM(AI164))="PIPE"),AND(UPPER(TRIM(B164))="TRENCH",UPPER(TRIM(AI164))="PIPE")),Inputs!$B$55,0))</f>
        <v/>
      </c>
      <c r="AK164" s="17">
        <f>IF(A164="","",IF(OR(AND(UPPER(TRIM(B164))="SWALE",UPPER(TRIM(AI164))="PIPE"),AND(UPPER(TRIM(B164))="TRENCH",UPPER(TRIM(AI164))="PIPE")),Inputs!$B$56,Inputs!$B$54))</f>
        <v/>
      </c>
      <c r="AL164" s="4">
        <f>IF(A164="","",IF(E164="","TERMINAL",IF(OR(AND(UPPER(TRIM(B164))="SWALE",UPPER(TRIM(AI164))="PIPE"),AND(UPPER(TRIM(B164))="TRENCH",UPPER(TRIM(AI164))="PIPE")),IF(OR(AG164="",AJ164="",AK164=""),"INFO",IF(AND(AG164&gt;=AJ164,AG164&lt;=AK164),"OK","CHECK")),"N/A")))</f>
        <v/>
      </c>
    </row>
    <row r="165">
      <c r="A165" s="4" t="n"/>
      <c r="B165" s="4" t="n"/>
      <c r="C165" s="4" t="n"/>
      <c r="D165" s="4" t="n"/>
      <c r="E165" s="4" t="n"/>
      <c r="F165" s="7" t="n"/>
      <c r="G165" s="7" t="n"/>
      <c r="H165" s="7" t="n"/>
      <c r="I165" s="8">
        <f>IF(A165="","",IF(H165&lt;&gt;"",H165,IF(UPPER(TRIM(B165))="PIPE",Inputs!$B$7,IF(UPPER(TRIM(B165))="SWALE",Inputs!$B$8,Inputs!$B$9))))</f>
        <v/>
      </c>
      <c r="J165" s="7" t="n"/>
      <c r="K165" s="7" t="n"/>
      <c r="L165" s="7" t="n"/>
      <c r="M165" s="7" t="n"/>
      <c r="N165" s="7" t="n">
        <v>0</v>
      </c>
      <c r="O165" s="8">
        <f>IF(A165="","",SUMIFS(Zones_tributaires!$I:$I,Zones_tributaires!$J:$J,$A165))</f>
        <v/>
      </c>
      <c r="P165" s="8">
        <f>IF(A165="","",SUMIFS($Q$4:$Q$204,$E$4:$E$204,$A165))</f>
        <v/>
      </c>
      <c r="Q165" s="8">
        <f>IF(A165="","",(O165+P165)*Inputs!$B$6)</f>
        <v/>
      </c>
      <c r="R165" s="8">
        <f>IF(A165="","",IF(UPPER(TRIM(B165))="PIPE",PI()*(J165/1000)^2/4,IF(OR(K165="",L165=""),"",L165*(K165+M165*L165))))</f>
        <v/>
      </c>
      <c r="S165" s="8">
        <f>IF(A165="","",IF(UPPER(TRIM(B165))="PIPE",(J165/1000)/4,IF(OR(R165="",K165="",L165=""),"",R165/(K165+2*L165*SQRT(1+M165^2)))))</f>
        <v/>
      </c>
      <c r="T165" s="8">
        <f>IF(A165="","",IF(OR(I165="",R165="",S165="",G165=""),"",(1/I165)*R165*(S165^(2/3))*SQRT(G165)))</f>
        <v/>
      </c>
      <c r="U165" s="8">
        <f>IF(OR(T165="",Q165=""),"",Q165/(T165*Inputs!$B$19))</f>
        <v/>
      </c>
      <c r="V165" s="8">
        <f>IF(OR(R165="",Q165=""),"",Q165/R165)</f>
        <v/>
      </c>
      <c r="W165" s="8">
        <f>IF(OR(R165="",T165=""),"",T165/R165)</f>
        <v/>
      </c>
      <c r="X165" s="8">
        <f>IF(A165="","",IF(OR(UPPER(TRIM(Inputs!$B$15))="MANNING",UPPER(TRIM(Inputs!$B$15))="M"),W165,IF(OR(UPPER(TRIM(Inputs!$B$15))="MAX",UPPER(TRIM(Inputs!$B$15))="X"),MAX(V165,W165),V165)))</f>
        <v/>
      </c>
      <c r="Y165" s="8">
        <f>IF(A165="","",IF(UPPER(TRIM(B165))="TRENCH",K165*L165*N165,IF(UPPER(TRIM(B165))="SWALE",K165*L165,0)))</f>
        <v/>
      </c>
      <c r="Z165" s="8">
        <f>IF(OR(Y165="",F165=""),"",Y165*F165)</f>
        <v/>
      </c>
      <c r="AA165" s="4">
        <f>IF(A165="","",IF(OR(U165&gt;1,AND(X165&lt;&gt;"",X165&lt;Inputs!$B$16),AND(X165&lt;&gt;"",X165&gt;Inputs!$B$17),G165&lt;Inputs!$B$18,AH165="CHECK"),"CHECK","OK"))</f>
        <v/>
      </c>
      <c r="AB165" s="4" t="n"/>
      <c r="AC165" s="7" t="n"/>
      <c r="AD165" s="8">
        <f>IF(A165="","",IF(AC165&lt;&gt;"",AC165,IF(E165="",Inputs!$B$38,IFERROR(INDEX($AE$4:$AE$204,MATCH(E165,$A$4:$A$204,0))+IF(OR(AND(UPPER(TRIM(B165))="SWALE",UPPER(TRIM(AI165))="PIPE"),AND(UPPER(TRIM(B165))="TRENCH",UPPER(TRIM(AI165))="PIPE")),Inputs!$B$57,0),""))))</f>
        <v/>
      </c>
      <c r="AE165" s="8">
        <f>IF(OR(AD165="",F165="",G165=""),"",AD165+F165*G165)</f>
        <v/>
      </c>
      <c r="AF165" s="8">
        <f>IF(OR(E165="",A165=""),"",IFERROR(INDEX($AE$4:$AE$204,MATCH(E165,$A$4:$A$204,0)),""))</f>
        <v/>
      </c>
      <c r="AG165" s="8">
        <f>IF(OR(AD165="",AF165=""),"",AD165-AF165)</f>
        <v/>
      </c>
      <c r="AH165" s="4">
        <f>IF(A165="","",IF(E165="","TERMINAL",IF(OR(AND(UPPER(TRIM(B165))="SWALE",UPPER(TRIM(AI165))="PIPE"),AND(UPPER(TRIM(B165))="TRENCH",UPPER(TRIM(AI165))="PIPE")),IF(OR(AG165="",AJ165="",AK165=""),"INFO",IF(AND(AG165&gt;=AJ165,AG165&lt;=AK165),"OK","CHECK")),IF(AG165="","INFO",IF(ABS(AG165)&lt;=Inputs!$B$54,"OK","CHECK")))))</f>
        <v/>
      </c>
      <c r="AI165" s="17">
        <f>IF(A165="","",IF(E165="","",IFERROR(INDEX($B$4:$B$204,MATCH(E165,$A$4:$A$204,0)),"")))</f>
        <v/>
      </c>
      <c r="AJ165" s="17">
        <f>IF(A165="","",IF(OR(AND(UPPER(TRIM(B165))="SWALE",UPPER(TRIM(AI165))="PIPE"),AND(UPPER(TRIM(B165))="TRENCH",UPPER(TRIM(AI165))="PIPE")),Inputs!$B$55,0))</f>
        <v/>
      </c>
      <c r="AK165" s="17">
        <f>IF(A165="","",IF(OR(AND(UPPER(TRIM(B165))="SWALE",UPPER(TRIM(AI165))="PIPE"),AND(UPPER(TRIM(B165))="TRENCH",UPPER(TRIM(AI165))="PIPE")),Inputs!$B$56,Inputs!$B$54))</f>
        <v/>
      </c>
      <c r="AL165" s="4">
        <f>IF(A165="","",IF(E165="","TERMINAL",IF(OR(AND(UPPER(TRIM(B165))="SWALE",UPPER(TRIM(AI165))="PIPE"),AND(UPPER(TRIM(B165))="TRENCH",UPPER(TRIM(AI165))="PIPE")),IF(OR(AG165="",AJ165="",AK165=""),"INFO",IF(AND(AG165&gt;=AJ165,AG165&lt;=AK165),"OK","CHECK")),"N/A")))</f>
        <v/>
      </c>
    </row>
    <row r="166">
      <c r="A166" s="4" t="n"/>
      <c r="B166" s="4" t="n"/>
      <c r="C166" s="4" t="n"/>
      <c r="D166" s="4" t="n"/>
      <c r="E166" s="4" t="n"/>
      <c r="F166" s="7" t="n"/>
      <c r="G166" s="7" t="n"/>
      <c r="H166" s="7" t="n"/>
      <c r="I166" s="8">
        <f>IF(A166="","",IF(H166&lt;&gt;"",H166,IF(UPPER(TRIM(B166))="PIPE",Inputs!$B$7,IF(UPPER(TRIM(B166))="SWALE",Inputs!$B$8,Inputs!$B$9))))</f>
        <v/>
      </c>
      <c r="J166" s="7" t="n"/>
      <c r="K166" s="7" t="n"/>
      <c r="L166" s="7" t="n"/>
      <c r="M166" s="7" t="n"/>
      <c r="N166" s="7" t="n">
        <v>0</v>
      </c>
      <c r="O166" s="8">
        <f>IF(A166="","",SUMIFS(Zones_tributaires!$I:$I,Zones_tributaires!$J:$J,$A166))</f>
        <v/>
      </c>
      <c r="P166" s="8">
        <f>IF(A166="","",SUMIFS($Q$4:$Q$204,$E$4:$E$204,$A166))</f>
        <v/>
      </c>
      <c r="Q166" s="8">
        <f>IF(A166="","",(O166+P166)*Inputs!$B$6)</f>
        <v/>
      </c>
      <c r="R166" s="8">
        <f>IF(A166="","",IF(UPPER(TRIM(B166))="PIPE",PI()*(J166/1000)^2/4,IF(OR(K166="",L166=""),"",L166*(K166+M166*L166))))</f>
        <v/>
      </c>
      <c r="S166" s="8">
        <f>IF(A166="","",IF(UPPER(TRIM(B166))="PIPE",(J166/1000)/4,IF(OR(R166="",K166="",L166=""),"",R166/(K166+2*L166*SQRT(1+M166^2)))))</f>
        <v/>
      </c>
      <c r="T166" s="8">
        <f>IF(A166="","",IF(OR(I166="",R166="",S166="",G166=""),"",(1/I166)*R166*(S166^(2/3))*SQRT(G166)))</f>
        <v/>
      </c>
      <c r="U166" s="8">
        <f>IF(OR(T166="",Q166=""),"",Q166/(T166*Inputs!$B$19))</f>
        <v/>
      </c>
      <c r="V166" s="8">
        <f>IF(OR(R166="",Q166=""),"",Q166/R166)</f>
        <v/>
      </c>
      <c r="W166" s="8">
        <f>IF(OR(R166="",T166=""),"",T166/R166)</f>
        <v/>
      </c>
      <c r="X166" s="8">
        <f>IF(A166="","",IF(OR(UPPER(TRIM(Inputs!$B$15))="MANNING",UPPER(TRIM(Inputs!$B$15))="M"),W166,IF(OR(UPPER(TRIM(Inputs!$B$15))="MAX",UPPER(TRIM(Inputs!$B$15))="X"),MAX(V166,W166),V166)))</f>
        <v/>
      </c>
      <c r="Y166" s="8">
        <f>IF(A166="","",IF(UPPER(TRIM(B166))="TRENCH",K166*L166*N166,IF(UPPER(TRIM(B166))="SWALE",K166*L166,0)))</f>
        <v/>
      </c>
      <c r="Z166" s="8">
        <f>IF(OR(Y166="",F166=""),"",Y166*F166)</f>
        <v/>
      </c>
      <c r="AA166" s="4">
        <f>IF(A166="","",IF(OR(U166&gt;1,AND(X166&lt;&gt;"",X166&lt;Inputs!$B$16),AND(X166&lt;&gt;"",X166&gt;Inputs!$B$17),G166&lt;Inputs!$B$18,AH166="CHECK"),"CHECK","OK"))</f>
        <v/>
      </c>
      <c r="AB166" s="4" t="n"/>
      <c r="AC166" s="7" t="n"/>
      <c r="AD166" s="8">
        <f>IF(A166="","",IF(AC166&lt;&gt;"",AC166,IF(E166="",Inputs!$B$38,IFERROR(INDEX($AE$4:$AE$204,MATCH(E166,$A$4:$A$204,0))+IF(OR(AND(UPPER(TRIM(B166))="SWALE",UPPER(TRIM(AI166))="PIPE"),AND(UPPER(TRIM(B166))="TRENCH",UPPER(TRIM(AI166))="PIPE")),Inputs!$B$57,0),""))))</f>
        <v/>
      </c>
      <c r="AE166" s="8">
        <f>IF(OR(AD166="",F166="",G166=""),"",AD166+F166*G166)</f>
        <v/>
      </c>
      <c r="AF166" s="8">
        <f>IF(OR(E166="",A166=""),"",IFERROR(INDEX($AE$4:$AE$204,MATCH(E166,$A$4:$A$204,0)),""))</f>
        <v/>
      </c>
      <c r="AG166" s="8">
        <f>IF(OR(AD166="",AF166=""),"",AD166-AF166)</f>
        <v/>
      </c>
      <c r="AH166" s="4">
        <f>IF(A166="","",IF(E166="","TERMINAL",IF(OR(AND(UPPER(TRIM(B166))="SWALE",UPPER(TRIM(AI166))="PIPE"),AND(UPPER(TRIM(B166))="TRENCH",UPPER(TRIM(AI166))="PIPE")),IF(OR(AG166="",AJ166="",AK166=""),"INFO",IF(AND(AG166&gt;=AJ166,AG166&lt;=AK166),"OK","CHECK")),IF(AG166="","INFO",IF(ABS(AG166)&lt;=Inputs!$B$54,"OK","CHECK")))))</f>
        <v/>
      </c>
      <c r="AI166" s="17">
        <f>IF(A166="","",IF(E166="","",IFERROR(INDEX($B$4:$B$204,MATCH(E166,$A$4:$A$204,0)),"")))</f>
        <v/>
      </c>
      <c r="AJ166" s="17">
        <f>IF(A166="","",IF(OR(AND(UPPER(TRIM(B166))="SWALE",UPPER(TRIM(AI166))="PIPE"),AND(UPPER(TRIM(B166))="TRENCH",UPPER(TRIM(AI166))="PIPE")),Inputs!$B$55,0))</f>
        <v/>
      </c>
      <c r="AK166" s="17">
        <f>IF(A166="","",IF(OR(AND(UPPER(TRIM(B166))="SWALE",UPPER(TRIM(AI166))="PIPE"),AND(UPPER(TRIM(B166))="TRENCH",UPPER(TRIM(AI166))="PIPE")),Inputs!$B$56,Inputs!$B$54))</f>
        <v/>
      </c>
      <c r="AL166" s="4">
        <f>IF(A166="","",IF(E166="","TERMINAL",IF(OR(AND(UPPER(TRIM(B166))="SWALE",UPPER(TRIM(AI166))="PIPE"),AND(UPPER(TRIM(B166))="TRENCH",UPPER(TRIM(AI166))="PIPE")),IF(OR(AG166="",AJ166="",AK166=""),"INFO",IF(AND(AG166&gt;=AJ166,AG166&lt;=AK166),"OK","CHECK")),"N/A")))</f>
        <v/>
      </c>
    </row>
    <row r="167">
      <c r="A167" s="4" t="n"/>
      <c r="B167" s="4" t="n"/>
      <c r="C167" s="4" t="n"/>
      <c r="D167" s="4" t="n"/>
      <c r="E167" s="4" t="n"/>
      <c r="F167" s="7" t="n"/>
      <c r="G167" s="7" t="n"/>
      <c r="H167" s="7" t="n"/>
      <c r="I167" s="8">
        <f>IF(A167="","",IF(H167&lt;&gt;"",H167,IF(UPPER(TRIM(B167))="PIPE",Inputs!$B$7,IF(UPPER(TRIM(B167))="SWALE",Inputs!$B$8,Inputs!$B$9))))</f>
        <v/>
      </c>
      <c r="J167" s="7" t="n"/>
      <c r="K167" s="7" t="n"/>
      <c r="L167" s="7" t="n"/>
      <c r="M167" s="7" t="n"/>
      <c r="N167" s="7" t="n">
        <v>0</v>
      </c>
      <c r="O167" s="8">
        <f>IF(A167="","",SUMIFS(Zones_tributaires!$I:$I,Zones_tributaires!$J:$J,$A167))</f>
        <v/>
      </c>
      <c r="P167" s="8">
        <f>IF(A167="","",SUMIFS($Q$4:$Q$204,$E$4:$E$204,$A167))</f>
        <v/>
      </c>
      <c r="Q167" s="8">
        <f>IF(A167="","",(O167+P167)*Inputs!$B$6)</f>
        <v/>
      </c>
      <c r="R167" s="8">
        <f>IF(A167="","",IF(UPPER(TRIM(B167))="PIPE",PI()*(J167/1000)^2/4,IF(OR(K167="",L167=""),"",L167*(K167+M167*L167))))</f>
        <v/>
      </c>
      <c r="S167" s="8">
        <f>IF(A167="","",IF(UPPER(TRIM(B167))="PIPE",(J167/1000)/4,IF(OR(R167="",K167="",L167=""),"",R167/(K167+2*L167*SQRT(1+M167^2)))))</f>
        <v/>
      </c>
      <c r="T167" s="8">
        <f>IF(A167="","",IF(OR(I167="",R167="",S167="",G167=""),"",(1/I167)*R167*(S167^(2/3))*SQRT(G167)))</f>
        <v/>
      </c>
      <c r="U167" s="8">
        <f>IF(OR(T167="",Q167=""),"",Q167/(T167*Inputs!$B$19))</f>
        <v/>
      </c>
      <c r="V167" s="8">
        <f>IF(OR(R167="",Q167=""),"",Q167/R167)</f>
        <v/>
      </c>
      <c r="W167" s="8">
        <f>IF(OR(R167="",T167=""),"",T167/R167)</f>
        <v/>
      </c>
      <c r="X167" s="8">
        <f>IF(A167="","",IF(OR(UPPER(TRIM(Inputs!$B$15))="MANNING",UPPER(TRIM(Inputs!$B$15))="M"),W167,IF(OR(UPPER(TRIM(Inputs!$B$15))="MAX",UPPER(TRIM(Inputs!$B$15))="X"),MAX(V167,W167),V167)))</f>
        <v/>
      </c>
      <c r="Y167" s="8">
        <f>IF(A167="","",IF(UPPER(TRIM(B167))="TRENCH",K167*L167*N167,IF(UPPER(TRIM(B167))="SWALE",K167*L167,0)))</f>
        <v/>
      </c>
      <c r="Z167" s="8">
        <f>IF(OR(Y167="",F167=""),"",Y167*F167)</f>
        <v/>
      </c>
      <c r="AA167" s="4">
        <f>IF(A167="","",IF(OR(U167&gt;1,AND(X167&lt;&gt;"",X167&lt;Inputs!$B$16),AND(X167&lt;&gt;"",X167&gt;Inputs!$B$17),G167&lt;Inputs!$B$18,AH167="CHECK"),"CHECK","OK"))</f>
        <v/>
      </c>
      <c r="AB167" s="4" t="n"/>
      <c r="AC167" s="7" t="n"/>
      <c r="AD167" s="8">
        <f>IF(A167="","",IF(AC167&lt;&gt;"",AC167,IF(E167="",Inputs!$B$38,IFERROR(INDEX($AE$4:$AE$204,MATCH(E167,$A$4:$A$204,0))+IF(OR(AND(UPPER(TRIM(B167))="SWALE",UPPER(TRIM(AI167))="PIPE"),AND(UPPER(TRIM(B167))="TRENCH",UPPER(TRIM(AI167))="PIPE")),Inputs!$B$57,0),""))))</f>
        <v/>
      </c>
      <c r="AE167" s="8">
        <f>IF(OR(AD167="",F167="",G167=""),"",AD167+F167*G167)</f>
        <v/>
      </c>
      <c r="AF167" s="8">
        <f>IF(OR(E167="",A167=""),"",IFERROR(INDEX($AE$4:$AE$204,MATCH(E167,$A$4:$A$204,0)),""))</f>
        <v/>
      </c>
      <c r="AG167" s="8">
        <f>IF(OR(AD167="",AF167=""),"",AD167-AF167)</f>
        <v/>
      </c>
      <c r="AH167" s="4">
        <f>IF(A167="","",IF(E167="","TERMINAL",IF(OR(AND(UPPER(TRIM(B167))="SWALE",UPPER(TRIM(AI167))="PIPE"),AND(UPPER(TRIM(B167))="TRENCH",UPPER(TRIM(AI167))="PIPE")),IF(OR(AG167="",AJ167="",AK167=""),"INFO",IF(AND(AG167&gt;=AJ167,AG167&lt;=AK167),"OK","CHECK")),IF(AG167="","INFO",IF(ABS(AG167)&lt;=Inputs!$B$54,"OK","CHECK")))))</f>
        <v/>
      </c>
      <c r="AI167" s="17">
        <f>IF(A167="","",IF(E167="","",IFERROR(INDEX($B$4:$B$204,MATCH(E167,$A$4:$A$204,0)),"")))</f>
        <v/>
      </c>
      <c r="AJ167" s="17">
        <f>IF(A167="","",IF(OR(AND(UPPER(TRIM(B167))="SWALE",UPPER(TRIM(AI167))="PIPE"),AND(UPPER(TRIM(B167))="TRENCH",UPPER(TRIM(AI167))="PIPE")),Inputs!$B$55,0))</f>
        <v/>
      </c>
      <c r="AK167" s="17">
        <f>IF(A167="","",IF(OR(AND(UPPER(TRIM(B167))="SWALE",UPPER(TRIM(AI167))="PIPE"),AND(UPPER(TRIM(B167))="TRENCH",UPPER(TRIM(AI167))="PIPE")),Inputs!$B$56,Inputs!$B$54))</f>
        <v/>
      </c>
      <c r="AL167" s="4">
        <f>IF(A167="","",IF(E167="","TERMINAL",IF(OR(AND(UPPER(TRIM(B167))="SWALE",UPPER(TRIM(AI167))="PIPE"),AND(UPPER(TRIM(B167))="TRENCH",UPPER(TRIM(AI167))="PIPE")),IF(OR(AG167="",AJ167="",AK167=""),"INFO",IF(AND(AG167&gt;=AJ167,AG167&lt;=AK167),"OK","CHECK")),"N/A")))</f>
        <v/>
      </c>
    </row>
    <row r="168">
      <c r="A168" s="4" t="n"/>
      <c r="B168" s="4" t="n"/>
      <c r="C168" s="4" t="n"/>
      <c r="D168" s="4" t="n"/>
      <c r="E168" s="4" t="n"/>
      <c r="F168" s="7" t="n"/>
      <c r="G168" s="7" t="n"/>
      <c r="H168" s="7" t="n"/>
      <c r="I168" s="8">
        <f>IF(A168="","",IF(H168&lt;&gt;"",H168,IF(UPPER(TRIM(B168))="PIPE",Inputs!$B$7,IF(UPPER(TRIM(B168))="SWALE",Inputs!$B$8,Inputs!$B$9))))</f>
        <v/>
      </c>
      <c r="J168" s="7" t="n"/>
      <c r="K168" s="7" t="n"/>
      <c r="L168" s="7" t="n"/>
      <c r="M168" s="7" t="n"/>
      <c r="N168" s="7" t="n">
        <v>0</v>
      </c>
      <c r="O168" s="8">
        <f>IF(A168="","",SUMIFS(Zones_tributaires!$I:$I,Zones_tributaires!$J:$J,$A168))</f>
        <v/>
      </c>
      <c r="P168" s="8">
        <f>IF(A168="","",SUMIFS($Q$4:$Q$204,$E$4:$E$204,$A168))</f>
        <v/>
      </c>
      <c r="Q168" s="8">
        <f>IF(A168="","",(O168+P168)*Inputs!$B$6)</f>
        <v/>
      </c>
      <c r="R168" s="8">
        <f>IF(A168="","",IF(UPPER(TRIM(B168))="PIPE",PI()*(J168/1000)^2/4,IF(OR(K168="",L168=""),"",L168*(K168+M168*L168))))</f>
        <v/>
      </c>
      <c r="S168" s="8">
        <f>IF(A168="","",IF(UPPER(TRIM(B168))="PIPE",(J168/1000)/4,IF(OR(R168="",K168="",L168=""),"",R168/(K168+2*L168*SQRT(1+M168^2)))))</f>
        <v/>
      </c>
      <c r="T168" s="8">
        <f>IF(A168="","",IF(OR(I168="",R168="",S168="",G168=""),"",(1/I168)*R168*(S168^(2/3))*SQRT(G168)))</f>
        <v/>
      </c>
      <c r="U168" s="8">
        <f>IF(OR(T168="",Q168=""),"",Q168/(T168*Inputs!$B$19))</f>
        <v/>
      </c>
      <c r="V168" s="8">
        <f>IF(OR(R168="",Q168=""),"",Q168/R168)</f>
        <v/>
      </c>
      <c r="W168" s="8">
        <f>IF(OR(R168="",T168=""),"",T168/R168)</f>
        <v/>
      </c>
      <c r="X168" s="8">
        <f>IF(A168="","",IF(OR(UPPER(TRIM(Inputs!$B$15))="MANNING",UPPER(TRIM(Inputs!$B$15))="M"),W168,IF(OR(UPPER(TRIM(Inputs!$B$15))="MAX",UPPER(TRIM(Inputs!$B$15))="X"),MAX(V168,W168),V168)))</f>
        <v/>
      </c>
      <c r="Y168" s="8">
        <f>IF(A168="","",IF(UPPER(TRIM(B168))="TRENCH",K168*L168*N168,IF(UPPER(TRIM(B168))="SWALE",K168*L168,0)))</f>
        <v/>
      </c>
      <c r="Z168" s="8">
        <f>IF(OR(Y168="",F168=""),"",Y168*F168)</f>
        <v/>
      </c>
      <c r="AA168" s="4">
        <f>IF(A168="","",IF(OR(U168&gt;1,AND(X168&lt;&gt;"",X168&lt;Inputs!$B$16),AND(X168&lt;&gt;"",X168&gt;Inputs!$B$17),G168&lt;Inputs!$B$18,AH168="CHECK"),"CHECK","OK"))</f>
        <v/>
      </c>
      <c r="AB168" s="4" t="n"/>
      <c r="AC168" s="7" t="n"/>
      <c r="AD168" s="8">
        <f>IF(A168="","",IF(AC168&lt;&gt;"",AC168,IF(E168="",Inputs!$B$38,IFERROR(INDEX($AE$4:$AE$204,MATCH(E168,$A$4:$A$204,0))+IF(OR(AND(UPPER(TRIM(B168))="SWALE",UPPER(TRIM(AI168))="PIPE"),AND(UPPER(TRIM(B168))="TRENCH",UPPER(TRIM(AI168))="PIPE")),Inputs!$B$57,0),""))))</f>
        <v/>
      </c>
      <c r="AE168" s="8">
        <f>IF(OR(AD168="",F168="",G168=""),"",AD168+F168*G168)</f>
        <v/>
      </c>
      <c r="AF168" s="8">
        <f>IF(OR(E168="",A168=""),"",IFERROR(INDEX($AE$4:$AE$204,MATCH(E168,$A$4:$A$204,0)),""))</f>
        <v/>
      </c>
      <c r="AG168" s="8">
        <f>IF(OR(AD168="",AF168=""),"",AD168-AF168)</f>
        <v/>
      </c>
      <c r="AH168" s="4">
        <f>IF(A168="","",IF(E168="","TERMINAL",IF(OR(AND(UPPER(TRIM(B168))="SWALE",UPPER(TRIM(AI168))="PIPE"),AND(UPPER(TRIM(B168))="TRENCH",UPPER(TRIM(AI168))="PIPE")),IF(OR(AG168="",AJ168="",AK168=""),"INFO",IF(AND(AG168&gt;=AJ168,AG168&lt;=AK168),"OK","CHECK")),IF(AG168="","INFO",IF(ABS(AG168)&lt;=Inputs!$B$54,"OK","CHECK")))))</f>
        <v/>
      </c>
      <c r="AI168" s="17">
        <f>IF(A168="","",IF(E168="","",IFERROR(INDEX($B$4:$B$204,MATCH(E168,$A$4:$A$204,0)),"")))</f>
        <v/>
      </c>
      <c r="AJ168" s="17">
        <f>IF(A168="","",IF(OR(AND(UPPER(TRIM(B168))="SWALE",UPPER(TRIM(AI168))="PIPE"),AND(UPPER(TRIM(B168))="TRENCH",UPPER(TRIM(AI168))="PIPE")),Inputs!$B$55,0))</f>
        <v/>
      </c>
      <c r="AK168" s="17">
        <f>IF(A168="","",IF(OR(AND(UPPER(TRIM(B168))="SWALE",UPPER(TRIM(AI168))="PIPE"),AND(UPPER(TRIM(B168))="TRENCH",UPPER(TRIM(AI168))="PIPE")),Inputs!$B$56,Inputs!$B$54))</f>
        <v/>
      </c>
      <c r="AL168" s="4">
        <f>IF(A168="","",IF(E168="","TERMINAL",IF(OR(AND(UPPER(TRIM(B168))="SWALE",UPPER(TRIM(AI168))="PIPE"),AND(UPPER(TRIM(B168))="TRENCH",UPPER(TRIM(AI168))="PIPE")),IF(OR(AG168="",AJ168="",AK168=""),"INFO",IF(AND(AG168&gt;=AJ168,AG168&lt;=AK168),"OK","CHECK")),"N/A")))</f>
        <v/>
      </c>
    </row>
    <row r="169">
      <c r="A169" s="4" t="n"/>
      <c r="B169" s="4" t="n"/>
      <c r="C169" s="4" t="n"/>
      <c r="D169" s="4" t="n"/>
      <c r="E169" s="4" t="n"/>
      <c r="F169" s="7" t="n"/>
      <c r="G169" s="7" t="n"/>
      <c r="H169" s="7" t="n"/>
      <c r="I169" s="8">
        <f>IF(A169="","",IF(H169&lt;&gt;"",H169,IF(UPPER(TRIM(B169))="PIPE",Inputs!$B$7,IF(UPPER(TRIM(B169))="SWALE",Inputs!$B$8,Inputs!$B$9))))</f>
        <v/>
      </c>
      <c r="J169" s="7" t="n"/>
      <c r="K169" s="7" t="n"/>
      <c r="L169" s="7" t="n"/>
      <c r="M169" s="7" t="n"/>
      <c r="N169" s="7" t="n">
        <v>0</v>
      </c>
      <c r="O169" s="8">
        <f>IF(A169="","",SUMIFS(Zones_tributaires!$I:$I,Zones_tributaires!$J:$J,$A169))</f>
        <v/>
      </c>
      <c r="P169" s="8">
        <f>IF(A169="","",SUMIFS($Q$4:$Q$204,$E$4:$E$204,$A169))</f>
        <v/>
      </c>
      <c r="Q169" s="8">
        <f>IF(A169="","",(O169+P169)*Inputs!$B$6)</f>
        <v/>
      </c>
      <c r="R169" s="8">
        <f>IF(A169="","",IF(UPPER(TRIM(B169))="PIPE",PI()*(J169/1000)^2/4,IF(OR(K169="",L169=""),"",L169*(K169+M169*L169))))</f>
        <v/>
      </c>
      <c r="S169" s="8">
        <f>IF(A169="","",IF(UPPER(TRIM(B169))="PIPE",(J169/1000)/4,IF(OR(R169="",K169="",L169=""),"",R169/(K169+2*L169*SQRT(1+M169^2)))))</f>
        <v/>
      </c>
      <c r="T169" s="8">
        <f>IF(A169="","",IF(OR(I169="",R169="",S169="",G169=""),"",(1/I169)*R169*(S169^(2/3))*SQRT(G169)))</f>
        <v/>
      </c>
      <c r="U169" s="8">
        <f>IF(OR(T169="",Q169=""),"",Q169/(T169*Inputs!$B$19))</f>
        <v/>
      </c>
      <c r="V169" s="8">
        <f>IF(OR(R169="",Q169=""),"",Q169/R169)</f>
        <v/>
      </c>
      <c r="W169" s="8">
        <f>IF(OR(R169="",T169=""),"",T169/R169)</f>
        <v/>
      </c>
      <c r="X169" s="8">
        <f>IF(A169="","",IF(OR(UPPER(TRIM(Inputs!$B$15))="MANNING",UPPER(TRIM(Inputs!$B$15))="M"),W169,IF(OR(UPPER(TRIM(Inputs!$B$15))="MAX",UPPER(TRIM(Inputs!$B$15))="X"),MAX(V169,W169),V169)))</f>
        <v/>
      </c>
      <c r="Y169" s="8">
        <f>IF(A169="","",IF(UPPER(TRIM(B169))="TRENCH",K169*L169*N169,IF(UPPER(TRIM(B169))="SWALE",K169*L169,0)))</f>
        <v/>
      </c>
      <c r="Z169" s="8">
        <f>IF(OR(Y169="",F169=""),"",Y169*F169)</f>
        <v/>
      </c>
      <c r="AA169" s="4">
        <f>IF(A169="","",IF(OR(U169&gt;1,AND(X169&lt;&gt;"",X169&lt;Inputs!$B$16),AND(X169&lt;&gt;"",X169&gt;Inputs!$B$17),G169&lt;Inputs!$B$18,AH169="CHECK"),"CHECK","OK"))</f>
        <v/>
      </c>
      <c r="AB169" s="4" t="n"/>
      <c r="AC169" s="7" t="n"/>
      <c r="AD169" s="8">
        <f>IF(A169="","",IF(AC169&lt;&gt;"",AC169,IF(E169="",Inputs!$B$38,IFERROR(INDEX($AE$4:$AE$204,MATCH(E169,$A$4:$A$204,0))+IF(OR(AND(UPPER(TRIM(B169))="SWALE",UPPER(TRIM(AI169))="PIPE"),AND(UPPER(TRIM(B169))="TRENCH",UPPER(TRIM(AI169))="PIPE")),Inputs!$B$57,0),""))))</f>
        <v/>
      </c>
      <c r="AE169" s="8">
        <f>IF(OR(AD169="",F169="",G169=""),"",AD169+F169*G169)</f>
        <v/>
      </c>
      <c r="AF169" s="8">
        <f>IF(OR(E169="",A169=""),"",IFERROR(INDEX($AE$4:$AE$204,MATCH(E169,$A$4:$A$204,0)),""))</f>
        <v/>
      </c>
      <c r="AG169" s="8">
        <f>IF(OR(AD169="",AF169=""),"",AD169-AF169)</f>
        <v/>
      </c>
      <c r="AH169" s="4">
        <f>IF(A169="","",IF(E169="","TERMINAL",IF(OR(AND(UPPER(TRIM(B169))="SWALE",UPPER(TRIM(AI169))="PIPE"),AND(UPPER(TRIM(B169))="TRENCH",UPPER(TRIM(AI169))="PIPE")),IF(OR(AG169="",AJ169="",AK169=""),"INFO",IF(AND(AG169&gt;=AJ169,AG169&lt;=AK169),"OK","CHECK")),IF(AG169="","INFO",IF(ABS(AG169)&lt;=Inputs!$B$54,"OK","CHECK")))))</f>
        <v/>
      </c>
      <c r="AI169" s="17">
        <f>IF(A169="","",IF(E169="","",IFERROR(INDEX($B$4:$B$204,MATCH(E169,$A$4:$A$204,0)),"")))</f>
        <v/>
      </c>
      <c r="AJ169" s="17">
        <f>IF(A169="","",IF(OR(AND(UPPER(TRIM(B169))="SWALE",UPPER(TRIM(AI169))="PIPE"),AND(UPPER(TRIM(B169))="TRENCH",UPPER(TRIM(AI169))="PIPE")),Inputs!$B$55,0))</f>
        <v/>
      </c>
      <c r="AK169" s="17">
        <f>IF(A169="","",IF(OR(AND(UPPER(TRIM(B169))="SWALE",UPPER(TRIM(AI169))="PIPE"),AND(UPPER(TRIM(B169))="TRENCH",UPPER(TRIM(AI169))="PIPE")),Inputs!$B$56,Inputs!$B$54))</f>
        <v/>
      </c>
      <c r="AL169" s="4">
        <f>IF(A169="","",IF(E169="","TERMINAL",IF(OR(AND(UPPER(TRIM(B169))="SWALE",UPPER(TRIM(AI169))="PIPE"),AND(UPPER(TRIM(B169))="TRENCH",UPPER(TRIM(AI169))="PIPE")),IF(OR(AG169="",AJ169="",AK169=""),"INFO",IF(AND(AG169&gt;=AJ169,AG169&lt;=AK169),"OK","CHECK")),"N/A")))</f>
        <v/>
      </c>
    </row>
    <row r="170">
      <c r="A170" s="4" t="n"/>
      <c r="B170" s="4" t="n"/>
      <c r="C170" s="4" t="n"/>
      <c r="D170" s="4" t="n"/>
      <c r="E170" s="4" t="n"/>
      <c r="F170" s="7" t="n"/>
      <c r="G170" s="7" t="n"/>
      <c r="H170" s="7" t="n"/>
      <c r="I170" s="8">
        <f>IF(A170="","",IF(H170&lt;&gt;"",H170,IF(UPPER(TRIM(B170))="PIPE",Inputs!$B$7,IF(UPPER(TRIM(B170))="SWALE",Inputs!$B$8,Inputs!$B$9))))</f>
        <v/>
      </c>
      <c r="J170" s="7" t="n"/>
      <c r="K170" s="7" t="n"/>
      <c r="L170" s="7" t="n"/>
      <c r="M170" s="7" t="n"/>
      <c r="N170" s="7" t="n">
        <v>0</v>
      </c>
      <c r="O170" s="8">
        <f>IF(A170="","",SUMIFS(Zones_tributaires!$I:$I,Zones_tributaires!$J:$J,$A170))</f>
        <v/>
      </c>
      <c r="P170" s="8">
        <f>IF(A170="","",SUMIFS($Q$4:$Q$204,$E$4:$E$204,$A170))</f>
        <v/>
      </c>
      <c r="Q170" s="8">
        <f>IF(A170="","",(O170+P170)*Inputs!$B$6)</f>
        <v/>
      </c>
      <c r="R170" s="8">
        <f>IF(A170="","",IF(UPPER(TRIM(B170))="PIPE",PI()*(J170/1000)^2/4,IF(OR(K170="",L170=""),"",L170*(K170+M170*L170))))</f>
        <v/>
      </c>
      <c r="S170" s="8">
        <f>IF(A170="","",IF(UPPER(TRIM(B170))="PIPE",(J170/1000)/4,IF(OR(R170="",K170="",L170=""),"",R170/(K170+2*L170*SQRT(1+M170^2)))))</f>
        <v/>
      </c>
      <c r="T170" s="8">
        <f>IF(A170="","",IF(OR(I170="",R170="",S170="",G170=""),"",(1/I170)*R170*(S170^(2/3))*SQRT(G170)))</f>
        <v/>
      </c>
      <c r="U170" s="8">
        <f>IF(OR(T170="",Q170=""),"",Q170/(T170*Inputs!$B$19))</f>
        <v/>
      </c>
      <c r="V170" s="8">
        <f>IF(OR(R170="",Q170=""),"",Q170/R170)</f>
        <v/>
      </c>
      <c r="W170" s="8">
        <f>IF(OR(R170="",T170=""),"",T170/R170)</f>
        <v/>
      </c>
      <c r="X170" s="8">
        <f>IF(A170="","",IF(OR(UPPER(TRIM(Inputs!$B$15))="MANNING",UPPER(TRIM(Inputs!$B$15))="M"),W170,IF(OR(UPPER(TRIM(Inputs!$B$15))="MAX",UPPER(TRIM(Inputs!$B$15))="X"),MAX(V170,W170),V170)))</f>
        <v/>
      </c>
      <c r="Y170" s="8">
        <f>IF(A170="","",IF(UPPER(TRIM(B170))="TRENCH",K170*L170*N170,IF(UPPER(TRIM(B170))="SWALE",K170*L170,0)))</f>
        <v/>
      </c>
      <c r="Z170" s="8">
        <f>IF(OR(Y170="",F170=""),"",Y170*F170)</f>
        <v/>
      </c>
      <c r="AA170" s="4">
        <f>IF(A170="","",IF(OR(U170&gt;1,AND(X170&lt;&gt;"",X170&lt;Inputs!$B$16),AND(X170&lt;&gt;"",X170&gt;Inputs!$B$17),G170&lt;Inputs!$B$18,AH170="CHECK"),"CHECK","OK"))</f>
        <v/>
      </c>
      <c r="AB170" s="4" t="n"/>
      <c r="AC170" s="7" t="n"/>
      <c r="AD170" s="8">
        <f>IF(A170="","",IF(AC170&lt;&gt;"",AC170,IF(E170="",Inputs!$B$38,IFERROR(INDEX($AE$4:$AE$204,MATCH(E170,$A$4:$A$204,0))+IF(OR(AND(UPPER(TRIM(B170))="SWALE",UPPER(TRIM(AI170))="PIPE"),AND(UPPER(TRIM(B170))="TRENCH",UPPER(TRIM(AI170))="PIPE")),Inputs!$B$57,0),""))))</f>
        <v/>
      </c>
      <c r="AE170" s="8">
        <f>IF(OR(AD170="",F170="",G170=""),"",AD170+F170*G170)</f>
        <v/>
      </c>
      <c r="AF170" s="8">
        <f>IF(OR(E170="",A170=""),"",IFERROR(INDEX($AE$4:$AE$204,MATCH(E170,$A$4:$A$204,0)),""))</f>
        <v/>
      </c>
      <c r="AG170" s="8">
        <f>IF(OR(AD170="",AF170=""),"",AD170-AF170)</f>
        <v/>
      </c>
      <c r="AH170" s="4">
        <f>IF(A170="","",IF(E170="","TERMINAL",IF(OR(AND(UPPER(TRIM(B170))="SWALE",UPPER(TRIM(AI170))="PIPE"),AND(UPPER(TRIM(B170))="TRENCH",UPPER(TRIM(AI170))="PIPE")),IF(OR(AG170="",AJ170="",AK170=""),"INFO",IF(AND(AG170&gt;=AJ170,AG170&lt;=AK170),"OK","CHECK")),IF(AG170="","INFO",IF(ABS(AG170)&lt;=Inputs!$B$54,"OK","CHECK")))))</f>
        <v/>
      </c>
      <c r="AI170" s="17">
        <f>IF(A170="","",IF(E170="","",IFERROR(INDEX($B$4:$B$204,MATCH(E170,$A$4:$A$204,0)),"")))</f>
        <v/>
      </c>
      <c r="AJ170" s="17">
        <f>IF(A170="","",IF(OR(AND(UPPER(TRIM(B170))="SWALE",UPPER(TRIM(AI170))="PIPE"),AND(UPPER(TRIM(B170))="TRENCH",UPPER(TRIM(AI170))="PIPE")),Inputs!$B$55,0))</f>
        <v/>
      </c>
      <c r="AK170" s="17">
        <f>IF(A170="","",IF(OR(AND(UPPER(TRIM(B170))="SWALE",UPPER(TRIM(AI170))="PIPE"),AND(UPPER(TRIM(B170))="TRENCH",UPPER(TRIM(AI170))="PIPE")),Inputs!$B$56,Inputs!$B$54))</f>
        <v/>
      </c>
      <c r="AL170" s="4">
        <f>IF(A170="","",IF(E170="","TERMINAL",IF(OR(AND(UPPER(TRIM(B170))="SWALE",UPPER(TRIM(AI170))="PIPE"),AND(UPPER(TRIM(B170))="TRENCH",UPPER(TRIM(AI170))="PIPE")),IF(OR(AG170="",AJ170="",AK170=""),"INFO",IF(AND(AG170&gt;=AJ170,AG170&lt;=AK170),"OK","CHECK")),"N/A")))</f>
        <v/>
      </c>
    </row>
    <row r="171">
      <c r="A171" s="4" t="n"/>
      <c r="B171" s="4" t="n"/>
      <c r="C171" s="4" t="n"/>
      <c r="D171" s="4" t="n"/>
      <c r="E171" s="4" t="n"/>
      <c r="F171" s="7" t="n"/>
      <c r="G171" s="7" t="n"/>
      <c r="H171" s="7" t="n"/>
      <c r="I171" s="8">
        <f>IF(A171="","",IF(H171&lt;&gt;"",H171,IF(UPPER(TRIM(B171))="PIPE",Inputs!$B$7,IF(UPPER(TRIM(B171))="SWALE",Inputs!$B$8,Inputs!$B$9))))</f>
        <v/>
      </c>
      <c r="J171" s="7" t="n"/>
      <c r="K171" s="7" t="n"/>
      <c r="L171" s="7" t="n"/>
      <c r="M171" s="7" t="n"/>
      <c r="N171" s="7" t="n">
        <v>0</v>
      </c>
      <c r="O171" s="8">
        <f>IF(A171="","",SUMIFS(Zones_tributaires!$I:$I,Zones_tributaires!$J:$J,$A171))</f>
        <v/>
      </c>
      <c r="P171" s="8">
        <f>IF(A171="","",SUMIFS($Q$4:$Q$204,$E$4:$E$204,$A171))</f>
        <v/>
      </c>
      <c r="Q171" s="8">
        <f>IF(A171="","",(O171+P171)*Inputs!$B$6)</f>
        <v/>
      </c>
      <c r="R171" s="8">
        <f>IF(A171="","",IF(UPPER(TRIM(B171))="PIPE",PI()*(J171/1000)^2/4,IF(OR(K171="",L171=""),"",L171*(K171+M171*L171))))</f>
        <v/>
      </c>
      <c r="S171" s="8">
        <f>IF(A171="","",IF(UPPER(TRIM(B171))="PIPE",(J171/1000)/4,IF(OR(R171="",K171="",L171=""),"",R171/(K171+2*L171*SQRT(1+M171^2)))))</f>
        <v/>
      </c>
      <c r="T171" s="8">
        <f>IF(A171="","",IF(OR(I171="",R171="",S171="",G171=""),"",(1/I171)*R171*(S171^(2/3))*SQRT(G171)))</f>
        <v/>
      </c>
      <c r="U171" s="8">
        <f>IF(OR(T171="",Q171=""),"",Q171/(T171*Inputs!$B$19))</f>
        <v/>
      </c>
      <c r="V171" s="8">
        <f>IF(OR(R171="",Q171=""),"",Q171/R171)</f>
        <v/>
      </c>
      <c r="W171" s="8">
        <f>IF(OR(R171="",T171=""),"",T171/R171)</f>
        <v/>
      </c>
      <c r="X171" s="8">
        <f>IF(A171="","",IF(OR(UPPER(TRIM(Inputs!$B$15))="MANNING",UPPER(TRIM(Inputs!$B$15))="M"),W171,IF(OR(UPPER(TRIM(Inputs!$B$15))="MAX",UPPER(TRIM(Inputs!$B$15))="X"),MAX(V171,W171),V171)))</f>
        <v/>
      </c>
      <c r="Y171" s="8">
        <f>IF(A171="","",IF(UPPER(TRIM(B171))="TRENCH",K171*L171*N171,IF(UPPER(TRIM(B171))="SWALE",K171*L171,0)))</f>
        <v/>
      </c>
      <c r="Z171" s="8">
        <f>IF(OR(Y171="",F171=""),"",Y171*F171)</f>
        <v/>
      </c>
      <c r="AA171" s="4">
        <f>IF(A171="","",IF(OR(U171&gt;1,AND(X171&lt;&gt;"",X171&lt;Inputs!$B$16),AND(X171&lt;&gt;"",X171&gt;Inputs!$B$17),G171&lt;Inputs!$B$18,AH171="CHECK"),"CHECK","OK"))</f>
        <v/>
      </c>
      <c r="AB171" s="4" t="n"/>
      <c r="AC171" s="7" t="n"/>
      <c r="AD171" s="8">
        <f>IF(A171="","",IF(AC171&lt;&gt;"",AC171,IF(E171="",Inputs!$B$38,IFERROR(INDEX($AE$4:$AE$204,MATCH(E171,$A$4:$A$204,0))+IF(OR(AND(UPPER(TRIM(B171))="SWALE",UPPER(TRIM(AI171))="PIPE"),AND(UPPER(TRIM(B171))="TRENCH",UPPER(TRIM(AI171))="PIPE")),Inputs!$B$57,0),""))))</f>
        <v/>
      </c>
      <c r="AE171" s="8">
        <f>IF(OR(AD171="",F171="",G171=""),"",AD171+F171*G171)</f>
        <v/>
      </c>
      <c r="AF171" s="8">
        <f>IF(OR(E171="",A171=""),"",IFERROR(INDEX($AE$4:$AE$204,MATCH(E171,$A$4:$A$204,0)),""))</f>
        <v/>
      </c>
      <c r="AG171" s="8">
        <f>IF(OR(AD171="",AF171=""),"",AD171-AF171)</f>
        <v/>
      </c>
      <c r="AH171" s="4">
        <f>IF(A171="","",IF(E171="","TERMINAL",IF(OR(AND(UPPER(TRIM(B171))="SWALE",UPPER(TRIM(AI171))="PIPE"),AND(UPPER(TRIM(B171))="TRENCH",UPPER(TRIM(AI171))="PIPE")),IF(OR(AG171="",AJ171="",AK171=""),"INFO",IF(AND(AG171&gt;=AJ171,AG171&lt;=AK171),"OK","CHECK")),IF(AG171="","INFO",IF(ABS(AG171)&lt;=Inputs!$B$54,"OK","CHECK")))))</f>
        <v/>
      </c>
      <c r="AI171" s="17">
        <f>IF(A171="","",IF(E171="","",IFERROR(INDEX($B$4:$B$204,MATCH(E171,$A$4:$A$204,0)),"")))</f>
        <v/>
      </c>
      <c r="AJ171" s="17">
        <f>IF(A171="","",IF(OR(AND(UPPER(TRIM(B171))="SWALE",UPPER(TRIM(AI171))="PIPE"),AND(UPPER(TRIM(B171))="TRENCH",UPPER(TRIM(AI171))="PIPE")),Inputs!$B$55,0))</f>
        <v/>
      </c>
      <c r="AK171" s="17">
        <f>IF(A171="","",IF(OR(AND(UPPER(TRIM(B171))="SWALE",UPPER(TRIM(AI171))="PIPE"),AND(UPPER(TRIM(B171))="TRENCH",UPPER(TRIM(AI171))="PIPE")),Inputs!$B$56,Inputs!$B$54))</f>
        <v/>
      </c>
      <c r="AL171" s="4">
        <f>IF(A171="","",IF(E171="","TERMINAL",IF(OR(AND(UPPER(TRIM(B171))="SWALE",UPPER(TRIM(AI171))="PIPE"),AND(UPPER(TRIM(B171))="TRENCH",UPPER(TRIM(AI171))="PIPE")),IF(OR(AG171="",AJ171="",AK171=""),"INFO",IF(AND(AG171&gt;=AJ171,AG171&lt;=AK171),"OK","CHECK")),"N/A")))</f>
        <v/>
      </c>
    </row>
    <row r="172">
      <c r="A172" s="4" t="n"/>
      <c r="B172" s="4" t="n"/>
      <c r="C172" s="4" t="n"/>
      <c r="D172" s="4" t="n"/>
      <c r="E172" s="4" t="n"/>
      <c r="F172" s="7" t="n"/>
      <c r="G172" s="7" t="n"/>
      <c r="H172" s="7" t="n"/>
      <c r="I172" s="8">
        <f>IF(A172="","",IF(H172&lt;&gt;"",H172,IF(UPPER(TRIM(B172))="PIPE",Inputs!$B$7,IF(UPPER(TRIM(B172))="SWALE",Inputs!$B$8,Inputs!$B$9))))</f>
        <v/>
      </c>
      <c r="J172" s="7" t="n"/>
      <c r="K172" s="7" t="n"/>
      <c r="L172" s="7" t="n"/>
      <c r="M172" s="7" t="n"/>
      <c r="N172" s="7" t="n">
        <v>0</v>
      </c>
      <c r="O172" s="8">
        <f>IF(A172="","",SUMIFS(Zones_tributaires!$I:$I,Zones_tributaires!$J:$J,$A172))</f>
        <v/>
      </c>
      <c r="P172" s="8">
        <f>IF(A172="","",SUMIFS($Q$4:$Q$204,$E$4:$E$204,$A172))</f>
        <v/>
      </c>
      <c r="Q172" s="8">
        <f>IF(A172="","",(O172+P172)*Inputs!$B$6)</f>
        <v/>
      </c>
      <c r="R172" s="8">
        <f>IF(A172="","",IF(UPPER(TRIM(B172))="PIPE",PI()*(J172/1000)^2/4,IF(OR(K172="",L172=""),"",L172*(K172+M172*L172))))</f>
        <v/>
      </c>
      <c r="S172" s="8">
        <f>IF(A172="","",IF(UPPER(TRIM(B172))="PIPE",(J172/1000)/4,IF(OR(R172="",K172="",L172=""),"",R172/(K172+2*L172*SQRT(1+M172^2)))))</f>
        <v/>
      </c>
      <c r="T172" s="8">
        <f>IF(A172="","",IF(OR(I172="",R172="",S172="",G172=""),"",(1/I172)*R172*(S172^(2/3))*SQRT(G172)))</f>
        <v/>
      </c>
      <c r="U172" s="8">
        <f>IF(OR(T172="",Q172=""),"",Q172/(T172*Inputs!$B$19))</f>
        <v/>
      </c>
      <c r="V172" s="8">
        <f>IF(OR(R172="",Q172=""),"",Q172/R172)</f>
        <v/>
      </c>
      <c r="W172" s="8">
        <f>IF(OR(R172="",T172=""),"",T172/R172)</f>
        <v/>
      </c>
      <c r="X172" s="8">
        <f>IF(A172="","",IF(OR(UPPER(TRIM(Inputs!$B$15))="MANNING",UPPER(TRIM(Inputs!$B$15))="M"),W172,IF(OR(UPPER(TRIM(Inputs!$B$15))="MAX",UPPER(TRIM(Inputs!$B$15))="X"),MAX(V172,W172),V172)))</f>
        <v/>
      </c>
      <c r="Y172" s="8">
        <f>IF(A172="","",IF(UPPER(TRIM(B172))="TRENCH",K172*L172*N172,IF(UPPER(TRIM(B172))="SWALE",K172*L172,0)))</f>
        <v/>
      </c>
      <c r="Z172" s="8">
        <f>IF(OR(Y172="",F172=""),"",Y172*F172)</f>
        <v/>
      </c>
      <c r="AA172" s="4">
        <f>IF(A172="","",IF(OR(U172&gt;1,AND(X172&lt;&gt;"",X172&lt;Inputs!$B$16),AND(X172&lt;&gt;"",X172&gt;Inputs!$B$17),G172&lt;Inputs!$B$18,AH172="CHECK"),"CHECK","OK"))</f>
        <v/>
      </c>
      <c r="AB172" s="4" t="n"/>
      <c r="AC172" s="7" t="n"/>
      <c r="AD172" s="8">
        <f>IF(A172="","",IF(AC172&lt;&gt;"",AC172,IF(E172="",Inputs!$B$38,IFERROR(INDEX($AE$4:$AE$204,MATCH(E172,$A$4:$A$204,0))+IF(OR(AND(UPPER(TRIM(B172))="SWALE",UPPER(TRIM(AI172))="PIPE"),AND(UPPER(TRIM(B172))="TRENCH",UPPER(TRIM(AI172))="PIPE")),Inputs!$B$57,0),""))))</f>
        <v/>
      </c>
      <c r="AE172" s="8">
        <f>IF(OR(AD172="",F172="",G172=""),"",AD172+F172*G172)</f>
        <v/>
      </c>
      <c r="AF172" s="8">
        <f>IF(OR(E172="",A172=""),"",IFERROR(INDEX($AE$4:$AE$204,MATCH(E172,$A$4:$A$204,0)),""))</f>
        <v/>
      </c>
      <c r="AG172" s="8">
        <f>IF(OR(AD172="",AF172=""),"",AD172-AF172)</f>
        <v/>
      </c>
      <c r="AH172" s="4">
        <f>IF(A172="","",IF(E172="","TERMINAL",IF(OR(AND(UPPER(TRIM(B172))="SWALE",UPPER(TRIM(AI172))="PIPE"),AND(UPPER(TRIM(B172))="TRENCH",UPPER(TRIM(AI172))="PIPE")),IF(OR(AG172="",AJ172="",AK172=""),"INFO",IF(AND(AG172&gt;=AJ172,AG172&lt;=AK172),"OK","CHECK")),IF(AG172="","INFO",IF(ABS(AG172)&lt;=Inputs!$B$54,"OK","CHECK")))))</f>
        <v/>
      </c>
      <c r="AI172" s="17">
        <f>IF(A172="","",IF(E172="","",IFERROR(INDEX($B$4:$B$204,MATCH(E172,$A$4:$A$204,0)),"")))</f>
        <v/>
      </c>
      <c r="AJ172" s="17">
        <f>IF(A172="","",IF(OR(AND(UPPER(TRIM(B172))="SWALE",UPPER(TRIM(AI172))="PIPE"),AND(UPPER(TRIM(B172))="TRENCH",UPPER(TRIM(AI172))="PIPE")),Inputs!$B$55,0))</f>
        <v/>
      </c>
      <c r="AK172" s="17">
        <f>IF(A172="","",IF(OR(AND(UPPER(TRIM(B172))="SWALE",UPPER(TRIM(AI172))="PIPE"),AND(UPPER(TRIM(B172))="TRENCH",UPPER(TRIM(AI172))="PIPE")),Inputs!$B$56,Inputs!$B$54))</f>
        <v/>
      </c>
      <c r="AL172" s="4">
        <f>IF(A172="","",IF(E172="","TERMINAL",IF(OR(AND(UPPER(TRIM(B172))="SWALE",UPPER(TRIM(AI172))="PIPE"),AND(UPPER(TRIM(B172))="TRENCH",UPPER(TRIM(AI172))="PIPE")),IF(OR(AG172="",AJ172="",AK172=""),"INFO",IF(AND(AG172&gt;=AJ172,AG172&lt;=AK172),"OK","CHECK")),"N/A")))</f>
        <v/>
      </c>
    </row>
    <row r="173">
      <c r="A173" s="4" t="n"/>
      <c r="B173" s="4" t="n"/>
      <c r="C173" s="4" t="n"/>
      <c r="D173" s="4" t="n"/>
      <c r="E173" s="4" t="n"/>
      <c r="F173" s="7" t="n"/>
      <c r="G173" s="7" t="n"/>
      <c r="H173" s="7" t="n"/>
      <c r="I173" s="8">
        <f>IF(A173="","",IF(H173&lt;&gt;"",H173,IF(UPPER(TRIM(B173))="PIPE",Inputs!$B$7,IF(UPPER(TRIM(B173))="SWALE",Inputs!$B$8,Inputs!$B$9))))</f>
        <v/>
      </c>
      <c r="J173" s="7" t="n"/>
      <c r="K173" s="7" t="n"/>
      <c r="L173" s="7" t="n"/>
      <c r="M173" s="7" t="n"/>
      <c r="N173" s="7" t="n">
        <v>0</v>
      </c>
      <c r="O173" s="8">
        <f>IF(A173="","",SUMIFS(Zones_tributaires!$I:$I,Zones_tributaires!$J:$J,$A173))</f>
        <v/>
      </c>
      <c r="P173" s="8">
        <f>IF(A173="","",SUMIFS($Q$4:$Q$204,$E$4:$E$204,$A173))</f>
        <v/>
      </c>
      <c r="Q173" s="8">
        <f>IF(A173="","",(O173+P173)*Inputs!$B$6)</f>
        <v/>
      </c>
      <c r="R173" s="8">
        <f>IF(A173="","",IF(UPPER(TRIM(B173))="PIPE",PI()*(J173/1000)^2/4,IF(OR(K173="",L173=""),"",L173*(K173+M173*L173))))</f>
        <v/>
      </c>
      <c r="S173" s="8">
        <f>IF(A173="","",IF(UPPER(TRIM(B173))="PIPE",(J173/1000)/4,IF(OR(R173="",K173="",L173=""),"",R173/(K173+2*L173*SQRT(1+M173^2)))))</f>
        <v/>
      </c>
      <c r="T173" s="8">
        <f>IF(A173="","",IF(OR(I173="",R173="",S173="",G173=""),"",(1/I173)*R173*(S173^(2/3))*SQRT(G173)))</f>
        <v/>
      </c>
      <c r="U173" s="8">
        <f>IF(OR(T173="",Q173=""),"",Q173/(T173*Inputs!$B$19))</f>
        <v/>
      </c>
      <c r="V173" s="8">
        <f>IF(OR(R173="",Q173=""),"",Q173/R173)</f>
        <v/>
      </c>
      <c r="W173" s="8">
        <f>IF(OR(R173="",T173=""),"",T173/R173)</f>
        <v/>
      </c>
      <c r="X173" s="8">
        <f>IF(A173="","",IF(OR(UPPER(TRIM(Inputs!$B$15))="MANNING",UPPER(TRIM(Inputs!$B$15))="M"),W173,IF(OR(UPPER(TRIM(Inputs!$B$15))="MAX",UPPER(TRIM(Inputs!$B$15))="X"),MAX(V173,W173),V173)))</f>
        <v/>
      </c>
      <c r="Y173" s="8">
        <f>IF(A173="","",IF(UPPER(TRIM(B173))="TRENCH",K173*L173*N173,IF(UPPER(TRIM(B173))="SWALE",K173*L173,0)))</f>
        <v/>
      </c>
      <c r="Z173" s="8">
        <f>IF(OR(Y173="",F173=""),"",Y173*F173)</f>
        <v/>
      </c>
      <c r="AA173" s="4">
        <f>IF(A173="","",IF(OR(U173&gt;1,AND(X173&lt;&gt;"",X173&lt;Inputs!$B$16),AND(X173&lt;&gt;"",X173&gt;Inputs!$B$17),G173&lt;Inputs!$B$18,AH173="CHECK"),"CHECK","OK"))</f>
        <v/>
      </c>
      <c r="AB173" s="4" t="n"/>
      <c r="AC173" s="7" t="n"/>
      <c r="AD173" s="8">
        <f>IF(A173="","",IF(AC173&lt;&gt;"",AC173,IF(E173="",Inputs!$B$38,IFERROR(INDEX($AE$4:$AE$204,MATCH(E173,$A$4:$A$204,0))+IF(OR(AND(UPPER(TRIM(B173))="SWALE",UPPER(TRIM(AI173))="PIPE"),AND(UPPER(TRIM(B173))="TRENCH",UPPER(TRIM(AI173))="PIPE")),Inputs!$B$57,0),""))))</f>
        <v/>
      </c>
      <c r="AE173" s="8">
        <f>IF(OR(AD173="",F173="",G173=""),"",AD173+F173*G173)</f>
        <v/>
      </c>
      <c r="AF173" s="8">
        <f>IF(OR(E173="",A173=""),"",IFERROR(INDEX($AE$4:$AE$204,MATCH(E173,$A$4:$A$204,0)),""))</f>
        <v/>
      </c>
      <c r="AG173" s="8">
        <f>IF(OR(AD173="",AF173=""),"",AD173-AF173)</f>
        <v/>
      </c>
      <c r="AH173" s="4">
        <f>IF(A173="","",IF(E173="","TERMINAL",IF(OR(AND(UPPER(TRIM(B173))="SWALE",UPPER(TRIM(AI173))="PIPE"),AND(UPPER(TRIM(B173))="TRENCH",UPPER(TRIM(AI173))="PIPE")),IF(OR(AG173="",AJ173="",AK173=""),"INFO",IF(AND(AG173&gt;=AJ173,AG173&lt;=AK173),"OK","CHECK")),IF(AG173="","INFO",IF(ABS(AG173)&lt;=Inputs!$B$54,"OK","CHECK")))))</f>
        <v/>
      </c>
      <c r="AI173" s="17">
        <f>IF(A173="","",IF(E173="","",IFERROR(INDEX($B$4:$B$204,MATCH(E173,$A$4:$A$204,0)),"")))</f>
        <v/>
      </c>
      <c r="AJ173" s="17">
        <f>IF(A173="","",IF(OR(AND(UPPER(TRIM(B173))="SWALE",UPPER(TRIM(AI173))="PIPE"),AND(UPPER(TRIM(B173))="TRENCH",UPPER(TRIM(AI173))="PIPE")),Inputs!$B$55,0))</f>
        <v/>
      </c>
      <c r="AK173" s="17">
        <f>IF(A173="","",IF(OR(AND(UPPER(TRIM(B173))="SWALE",UPPER(TRIM(AI173))="PIPE"),AND(UPPER(TRIM(B173))="TRENCH",UPPER(TRIM(AI173))="PIPE")),Inputs!$B$56,Inputs!$B$54))</f>
        <v/>
      </c>
      <c r="AL173" s="4">
        <f>IF(A173="","",IF(E173="","TERMINAL",IF(OR(AND(UPPER(TRIM(B173))="SWALE",UPPER(TRIM(AI173))="PIPE"),AND(UPPER(TRIM(B173))="TRENCH",UPPER(TRIM(AI173))="PIPE")),IF(OR(AG173="",AJ173="",AK173=""),"INFO",IF(AND(AG173&gt;=AJ173,AG173&lt;=AK173),"OK","CHECK")),"N/A")))</f>
        <v/>
      </c>
    </row>
    <row r="174">
      <c r="A174" s="4" t="n"/>
      <c r="B174" s="4" t="n"/>
      <c r="C174" s="4" t="n"/>
      <c r="D174" s="4" t="n"/>
      <c r="E174" s="4" t="n"/>
      <c r="F174" s="7" t="n"/>
      <c r="G174" s="7" t="n"/>
      <c r="H174" s="7" t="n"/>
      <c r="I174" s="8">
        <f>IF(A174="","",IF(H174&lt;&gt;"",H174,IF(UPPER(TRIM(B174))="PIPE",Inputs!$B$7,IF(UPPER(TRIM(B174))="SWALE",Inputs!$B$8,Inputs!$B$9))))</f>
        <v/>
      </c>
      <c r="J174" s="7" t="n"/>
      <c r="K174" s="7" t="n"/>
      <c r="L174" s="7" t="n"/>
      <c r="M174" s="7" t="n"/>
      <c r="N174" s="7" t="n">
        <v>0</v>
      </c>
      <c r="O174" s="8">
        <f>IF(A174="","",SUMIFS(Zones_tributaires!$I:$I,Zones_tributaires!$J:$J,$A174))</f>
        <v/>
      </c>
      <c r="P174" s="8">
        <f>IF(A174="","",SUMIFS($Q$4:$Q$204,$E$4:$E$204,$A174))</f>
        <v/>
      </c>
      <c r="Q174" s="8">
        <f>IF(A174="","",(O174+P174)*Inputs!$B$6)</f>
        <v/>
      </c>
      <c r="R174" s="8">
        <f>IF(A174="","",IF(UPPER(TRIM(B174))="PIPE",PI()*(J174/1000)^2/4,IF(OR(K174="",L174=""),"",L174*(K174+M174*L174))))</f>
        <v/>
      </c>
      <c r="S174" s="8">
        <f>IF(A174="","",IF(UPPER(TRIM(B174))="PIPE",(J174/1000)/4,IF(OR(R174="",K174="",L174=""),"",R174/(K174+2*L174*SQRT(1+M174^2)))))</f>
        <v/>
      </c>
      <c r="T174" s="8">
        <f>IF(A174="","",IF(OR(I174="",R174="",S174="",G174=""),"",(1/I174)*R174*(S174^(2/3))*SQRT(G174)))</f>
        <v/>
      </c>
      <c r="U174" s="8">
        <f>IF(OR(T174="",Q174=""),"",Q174/(T174*Inputs!$B$19))</f>
        <v/>
      </c>
      <c r="V174" s="8">
        <f>IF(OR(R174="",Q174=""),"",Q174/R174)</f>
        <v/>
      </c>
      <c r="W174" s="8">
        <f>IF(OR(R174="",T174=""),"",T174/R174)</f>
        <v/>
      </c>
      <c r="X174" s="8">
        <f>IF(A174="","",IF(OR(UPPER(TRIM(Inputs!$B$15))="MANNING",UPPER(TRIM(Inputs!$B$15))="M"),W174,IF(OR(UPPER(TRIM(Inputs!$B$15))="MAX",UPPER(TRIM(Inputs!$B$15))="X"),MAX(V174,W174),V174)))</f>
        <v/>
      </c>
      <c r="Y174" s="8">
        <f>IF(A174="","",IF(UPPER(TRIM(B174))="TRENCH",K174*L174*N174,IF(UPPER(TRIM(B174))="SWALE",K174*L174,0)))</f>
        <v/>
      </c>
      <c r="Z174" s="8">
        <f>IF(OR(Y174="",F174=""),"",Y174*F174)</f>
        <v/>
      </c>
      <c r="AA174" s="4">
        <f>IF(A174="","",IF(OR(U174&gt;1,AND(X174&lt;&gt;"",X174&lt;Inputs!$B$16),AND(X174&lt;&gt;"",X174&gt;Inputs!$B$17),G174&lt;Inputs!$B$18,AH174="CHECK"),"CHECK","OK"))</f>
        <v/>
      </c>
      <c r="AB174" s="4" t="n"/>
      <c r="AC174" s="7" t="n"/>
      <c r="AD174" s="8">
        <f>IF(A174="","",IF(AC174&lt;&gt;"",AC174,IF(E174="",Inputs!$B$38,IFERROR(INDEX($AE$4:$AE$204,MATCH(E174,$A$4:$A$204,0))+IF(OR(AND(UPPER(TRIM(B174))="SWALE",UPPER(TRIM(AI174))="PIPE"),AND(UPPER(TRIM(B174))="TRENCH",UPPER(TRIM(AI174))="PIPE")),Inputs!$B$57,0),""))))</f>
        <v/>
      </c>
      <c r="AE174" s="8">
        <f>IF(OR(AD174="",F174="",G174=""),"",AD174+F174*G174)</f>
        <v/>
      </c>
      <c r="AF174" s="8">
        <f>IF(OR(E174="",A174=""),"",IFERROR(INDEX($AE$4:$AE$204,MATCH(E174,$A$4:$A$204,0)),""))</f>
        <v/>
      </c>
      <c r="AG174" s="8">
        <f>IF(OR(AD174="",AF174=""),"",AD174-AF174)</f>
        <v/>
      </c>
      <c r="AH174" s="4">
        <f>IF(A174="","",IF(E174="","TERMINAL",IF(OR(AND(UPPER(TRIM(B174))="SWALE",UPPER(TRIM(AI174))="PIPE"),AND(UPPER(TRIM(B174))="TRENCH",UPPER(TRIM(AI174))="PIPE")),IF(OR(AG174="",AJ174="",AK174=""),"INFO",IF(AND(AG174&gt;=AJ174,AG174&lt;=AK174),"OK","CHECK")),IF(AG174="","INFO",IF(ABS(AG174)&lt;=Inputs!$B$54,"OK","CHECK")))))</f>
        <v/>
      </c>
      <c r="AI174" s="17">
        <f>IF(A174="","",IF(E174="","",IFERROR(INDEX($B$4:$B$204,MATCH(E174,$A$4:$A$204,0)),"")))</f>
        <v/>
      </c>
      <c r="AJ174" s="17">
        <f>IF(A174="","",IF(OR(AND(UPPER(TRIM(B174))="SWALE",UPPER(TRIM(AI174))="PIPE"),AND(UPPER(TRIM(B174))="TRENCH",UPPER(TRIM(AI174))="PIPE")),Inputs!$B$55,0))</f>
        <v/>
      </c>
      <c r="AK174" s="17">
        <f>IF(A174="","",IF(OR(AND(UPPER(TRIM(B174))="SWALE",UPPER(TRIM(AI174))="PIPE"),AND(UPPER(TRIM(B174))="TRENCH",UPPER(TRIM(AI174))="PIPE")),Inputs!$B$56,Inputs!$B$54))</f>
        <v/>
      </c>
      <c r="AL174" s="4">
        <f>IF(A174="","",IF(E174="","TERMINAL",IF(OR(AND(UPPER(TRIM(B174))="SWALE",UPPER(TRIM(AI174))="PIPE"),AND(UPPER(TRIM(B174))="TRENCH",UPPER(TRIM(AI174))="PIPE")),IF(OR(AG174="",AJ174="",AK174=""),"INFO",IF(AND(AG174&gt;=AJ174,AG174&lt;=AK174),"OK","CHECK")),"N/A")))</f>
        <v/>
      </c>
    </row>
    <row r="175">
      <c r="A175" s="4" t="n"/>
      <c r="B175" s="4" t="n"/>
      <c r="C175" s="4" t="n"/>
      <c r="D175" s="4" t="n"/>
      <c r="E175" s="4" t="n"/>
      <c r="F175" s="7" t="n"/>
      <c r="G175" s="7" t="n"/>
      <c r="H175" s="7" t="n"/>
      <c r="I175" s="8">
        <f>IF(A175="","",IF(H175&lt;&gt;"",H175,IF(UPPER(TRIM(B175))="PIPE",Inputs!$B$7,IF(UPPER(TRIM(B175))="SWALE",Inputs!$B$8,Inputs!$B$9))))</f>
        <v/>
      </c>
      <c r="J175" s="7" t="n"/>
      <c r="K175" s="7" t="n"/>
      <c r="L175" s="7" t="n"/>
      <c r="M175" s="7" t="n"/>
      <c r="N175" s="7" t="n">
        <v>0</v>
      </c>
      <c r="O175" s="8">
        <f>IF(A175="","",SUMIFS(Zones_tributaires!$I:$I,Zones_tributaires!$J:$J,$A175))</f>
        <v/>
      </c>
      <c r="P175" s="8">
        <f>IF(A175="","",SUMIFS($Q$4:$Q$204,$E$4:$E$204,$A175))</f>
        <v/>
      </c>
      <c r="Q175" s="8">
        <f>IF(A175="","",(O175+P175)*Inputs!$B$6)</f>
        <v/>
      </c>
      <c r="R175" s="8">
        <f>IF(A175="","",IF(UPPER(TRIM(B175))="PIPE",PI()*(J175/1000)^2/4,IF(OR(K175="",L175=""),"",L175*(K175+M175*L175))))</f>
        <v/>
      </c>
      <c r="S175" s="8">
        <f>IF(A175="","",IF(UPPER(TRIM(B175))="PIPE",(J175/1000)/4,IF(OR(R175="",K175="",L175=""),"",R175/(K175+2*L175*SQRT(1+M175^2)))))</f>
        <v/>
      </c>
      <c r="T175" s="8">
        <f>IF(A175="","",IF(OR(I175="",R175="",S175="",G175=""),"",(1/I175)*R175*(S175^(2/3))*SQRT(G175)))</f>
        <v/>
      </c>
      <c r="U175" s="8">
        <f>IF(OR(T175="",Q175=""),"",Q175/(T175*Inputs!$B$19))</f>
        <v/>
      </c>
      <c r="V175" s="8">
        <f>IF(OR(R175="",Q175=""),"",Q175/R175)</f>
        <v/>
      </c>
      <c r="W175" s="8">
        <f>IF(OR(R175="",T175=""),"",T175/R175)</f>
        <v/>
      </c>
      <c r="X175" s="8">
        <f>IF(A175="","",IF(OR(UPPER(TRIM(Inputs!$B$15))="MANNING",UPPER(TRIM(Inputs!$B$15))="M"),W175,IF(OR(UPPER(TRIM(Inputs!$B$15))="MAX",UPPER(TRIM(Inputs!$B$15))="X"),MAX(V175,W175),V175)))</f>
        <v/>
      </c>
      <c r="Y175" s="8">
        <f>IF(A175="","",IF(UPPER(TRIM(B175))="TRENCH",K175*L175*N175,IF(UPPER(TRIM(B175))="SWALE",K175*L175,0)))</f>
        <v/>
      </c>
      <c r="Z175" s="8">
        <f>IF(OR(Y175="",F175=""),"",Y175*F175)</f>
        <v/>
      </c>
      <c r="AA175" s="4">
        <f>IF(A175="","",IF(OR(U175&gt;1,AND(X175&lt;&gt;"",X175&lt;Inputs!$B$16),AND(X175&lt;&gt;"",X175&gt;Inputs!$B$17),G175&lt;Inputs!$B$18,AH175="CHECK"),"CHECK","OK"))</f>
        <v/>
      </c>
      <c r="AB175" s="4" t="n"/>
      <c r="AC175" s="7" t="n"/>
      <c r="AD175" s="8">
        <f>IF(A175="","",IF(AC175&lt;&gt;"",AC175,IF(E175="",Inputs!$B$38,IFERROR(INDEX($AE$4:$AE$204,MATCH(E175,$A$4:$A$204,0))+IF(OR(AND(UPPER(TRIM(B175))="SWALE",UPPER(TRIM(AI175))="PIPE"),AND(UPPER(TRIM(B175))="TRENCH",UPPER(TRIM(AI175))="PIPE")),Inputs!$B$57,0),""))))</f>
        <v/>
      </c>
      <c r="AE175" s="8">
        <f>IF(OR(AD175="",F175="",G175=""),"",AD175+F175*G175)</f>
        <v/>
      </c>
      <c r="AF175" s="8">
        <f>IF(OR(E175="",A175=""),"",IFERROR(INDEX($AE$4:$AE$204,MATCH(E175,$A$4:$A$204,0)),""))</f>
        <v/>
      </c>
      <c r="AG175" s="8">
        <f>IF(OR(AD175="",AF175=""),"",AD175-AF175)</f>
        <v/>
      </c>
      <c r="AH175" s="4">
        <f>IF(A175="","",IF(E175="","TERMINAL",IF(OR(AND(UPPER(TRIM(B175))="SWALE",UPPER(TRIM(AI175))="PIPE"),AND(UPPER(TRIM(B175))="TRENCH",UPPER(TRIM(AI175))="PIPE")),IF(OR(AG175="",AJ175="",AK175=""),"INFO",IF(AND(AG175&gt;=AJ175,AG175&lt;=AK175),"OK","CHECK")),IF(AG175="","INFO",IF(ABS(AG175)&lt;=Inputs!$B$54,"OK","CHECK")))))</f>
        <v/>
      </c>
      <c r="AI175" s="17">
        <f>IF(A175="","",IF(E175="","",IFERROR(INDEX($B$4:$B$204,MATCH(E175,$A$4:$A$204,0)),"")))</f>
        <v/>
      </c>
      <c r="AJ175" s="17">
        <f>IF(A175="","",IF(OR(AND(UPPER(TRIM(B175))="SWALE",UPPER(TRIM(AI175))="PIPE"),AND(UPPER(TRIM(B175))="TRENCH",UPPER(TRIM(AI175))="PIPE")),Inputs!$B$55,0))</f>
        <v/>
      </c>
      <c r="AK175" s="17">
        <f>IF(A175="","",IF(OR(AND(UPPER(TRIM(B175))="SWALE",UPPER(TRIM(AI175))="PIPE"),AND(UPPER(TRIM(B175))="TRENCH",UPPER(TRIM(AI175))="PIPE")),Inputs!$B$56,Inputs!$B$54))</f>
        <v/>
      </c>
      <c r="AL175" s="4">
        <f>IF(A175="","",IF(E175="","TERMINAL",IF(OR(AND(UPPER(TRIM(B175))="SWALE",UPPER(TRIM(AI175))="PIPE"),AND(UPPER(TRIM(B175))="TRENCH",UPPER(TRIM(AI175))="PIPE")),IF(OR(AG175="",AJ175="",AK175=""),"INFO",IF(AND(AG175&gt;=AJ175,AG175&lt;=AK175),"OK","CHECK")),"N/A")))</f>
        <v/>
      </c>
    </row>
    <row r="176">
      <c r="A176" s="4" t="n"/>
      <c r="B176" s="4" t="n"/>
      <c r="C176" s="4" t="n"/>
      <c r="D176" s="4" t="n"/>
      <c r="E176" s="4" t="n"/>
      <c r="F176" s="7" t="n"/>
      <c r="G176" s="7" t="n"/>
      <c r="H176" s="7" t="n"/>
      <c r="I176" s="8">
        <f>IF(A176="","",IF(H176&lt;&gt;"",H176,IF(UPPER(TRIM(B176))="PIPE",Inputs!$B$7,IF(UPPER(TRIM(B176))="SWALE",Inputs!$B$8,Inputs!$B$9))))</f>
        <v/>
      </c>
      <c r="J176" s="7" t="n"/>
      <c r="K176" s="7" t="n"/>
      <c r="L176" s="7" t="n"/>
      <c r="M176" s="7" t="n"/>
      <c r="N176" s="7" t="n">
        <v>0</v>
      </c>
      <c r="O176" s="8">
        <f>IF(A176="","",SUMIFS(Zones_tributaires!$I:$I,Zones_tributaires!$J:$J,$A176))</f>
        <v/>
      </c>
      <c r="P176" s="8">
        <f>IF(A176="","",SUMIFS($Q$4:$Q$204,$E$4:$E$204,$A176))</f>
        <v/>
      </c>
      <c r="Q176" s="8">
        <f>IF(A176="","",(O176+P176)*Inputs!$B$6)</f>
        <v/>
      </c>
      <c r="R176" s="8">
        <f>IF(A176="","",IF(UPPER(TRIM(B176))="PIPE",PI()*(J176/1000)^2/4,IF(OR(K176="",L176=""),"",L176*(K176+M176*L176))))</f>
        <v/>
      </c>
      <c r="S176" s="8">
        <f>IF(A176="","",IF(UPPER(TRIM(B176))="PIPE",(J176/1000)/4,IF(OR(R176="",K176="",L176=""),"",R176/(K176+2*L176*SQRT(1+M176^2)))))</f>
        <v/>
      </c>
      <c r="T176" s="8">
        <f>IF(A176="","",IF(OR(I176="",R176="",S176="",G176=""),"",(1/I176)*R176*(S176^(2/3))*SQRT(G176)))</f>
        <v/>
      </c>
      <c r="U176" s="8">
        <f>IF(OR(T176="",Q176=""),"",Q176/(T176*Inputs!$B$19))</f>
        <v/>
      </c>
      <c r="V176" s="8">
        <f>IF(OR(R176="",Q176=""),"",Q176/R176)</f>
        <v/>
      </c>
      <c r="W176" s="8">
        <f>IF(OR(R176="",T176=""),"",T176/R176)</f>
        <v/>
      </c>
      <c r="X176" s="8">
        <f>IF(A176="","",IF(OR(UPPER(TRIM(Inputs!$B$15))="MANNING",UPPER(TRIM(Inputs!$B$15))="M"),W176,IF(OR(UPPER(TRIM(Inputs!$B$15))="MAX",UPPER(TRIM(Inputs!$B$15))="X"),MAX(V176,W176),V176)))</f>
        <v/>
      </c>
      <c r="Y176" s="8">
        <f>IF(A176="","",IF(UPPER(TRIM(B176))="TRENCH",K176*L176*N176,IF(UPPER(TRIM(B176))="SWALE",K176*L176,0)))</f>
        <v/>
      </c>
      <c r="Z176" s="8">
        <f>IF(OR(Y176="",F176=""),"",Y176*F176)</f>
        <v/>
      </c>
      <c r="AA176" s="4">
        <f>IF(A176="","",IF(OR(U176&gt;1,AND(X176&lt;&gt;"",X176&lt;Inputs!$B$16),AND(X176&lt;&gt;"",X176&gt;Inputs!$B$17),G176&lt;Inputs!$B$18,AH176="CHECK"),"CHECK","OK"))</f>
        <v/>
      </c>
      <c r="AB176" s="4" t="n"/>
      <c r="AC176" s="7" t="n"/>
      <c r="AD176" s="8">
        <f>IF(A176="","",IF(AC176&lt;&gt;"",AC176,IF(E176="",Inputs!$B$38,IFERROR(INDEX($AE$4:$AE$204,MATCH(E176,$A$4:$A$204,0))+IF(OR(AND(UPPER(TRIM(B176))="SWALE",UPPER(TRIM(AI176))="PIPE"),AND(UPPER(TRIM(B176))="TRENCH",UPPER(TRIM(AI176))="PIPE")),Inputs!$B$57,0),""))))</f>
        <v/>
      </c>
      <c r="AE176" s="8">
        <f>IF(OR(AD176="",F176="",G176=""),"",AD176+F176*G176)</f>
        <v/>
      </c>
      <c r="AF176" s="8">
        <f>IF(OR(E176="",A176=""),"",IFERROR(INDEX($AE$4:$AE$204,MATCH(E176,$A$4:$A$204,0)),""))</f>
        <v/>
      </c>
      <c r="AG176" s="8">
        <f>IF(OR(AD176="",AF176=""),"",AD176-AF176)</f>
        <v/>
      </c>
      <c r="AH176" s="4">
        <f>IF(A176="","",IF(E176="","TERMINAL",IF(OR(AND(UPPER(TRIM(B176))="SWALE",UPPER(TRIM(AI176))="PIPE"),AND(UPPER(TRIM(B176))="TRENCH",UPPER(TRIM(AI176))="PIPE")),IF(OR(AG176="",AJ176="",AK176=""),"INFO",IF(AND(AG176&gt;=AJ176,AG176&lt;=AK176),"OK","CHECK")),IF(AG176="","INFO",IF(ABS(AG176)&lt;=Inputs!$B$54,"OK","CHECK")))))</f>
        <v/>
      </c>
      <c r="AI176" s="17">
        <f>IF(A176="","",IF(E176="","",IFERROR(INDEX($B$4:$B$204,MATCH(E176,$A$4:$A$204,0)),"")))</f>
        <v/>
      </c>
      <c r="AJ176" s="17">
        <f>IF(A176="","",IF(OR(AND(UPPER(TRIM(B176))="SWALE",UPPER(TRIM(AI176))="PIPE"),AND(UPPER(TRIM(B176))="TRENCH",UPPER(TRIM(AI176))="PIPE")),Inputs!$B$55,0))</f>
        <v/>
      </c>
      <c r="AK176" s="17">
        <f>IF(A176="","",IF(OR(AND(UPPER(TRIM(B176))="SWALE",UPPER(TRIM(AI176))="PIPE"),AND(UPPER(TRIM(B176))="TRENCH",UPPER(TRIM(AI176))="PIPE")),Inputs!$B$56,Inputs!$B$54))</f>
        <v/>
      </c>
      <c r="AL176" s="4">
        <f>IF(A176="","",IF(E176="","TERMINAL",IF(OR(AND(UPPER(TRIM(B176))="SWALE",UPPER(TRIM(AI176))="PIPE"),AND(UPPER(TRIM(B176))="TRENCH",UPPER(TRIM(AI176))="PIPE")),IF(OR(AG176="",AJ176="",AK176=""),"INFO",IF(AND(AG176&gt;=AJ176,AG176&lt;=AK176),"OK","CHECK")),"N/A")))</f>
        <v/>
      </c>
    </row>
    <row r="177">
      <c r="A177" s="4" t="n"/>
      <c r="B177" s="4" t="n"/>
      <c r="C177" s="4" t="n"/>
      <c r="D177" s="4" t="n"/>
      <c r="E177" s="4" t="n"/>
      <c r="F177" s="7" t="n"/>
      <c r="G177" s="7" t="n"/>
      <c r="H177" s="7" t="n"/>
      <c r="I177" s="8">
        <f>IF(A177="","",IF(H177&lt;&gt;"",H177,IF(UPPER(TRIM(B177))="PIPE",Inputs!$B$7,IF(UPPER(TRIM(B177))="SWALE",Inputs!$B$8,Inputs!$B$9))))</f>
        <v/>
      </c>
      <c r="J177" s="7" t="n"/>
      <c r="K177" s="7" t="n"/>
      <c r="L177" s="7" t="n"/>
      <c r="M177" s="7" t="n"/>
      <c r="N177" s="7" t="n">
        <v>0</v>
      </c>
      <c r="O177" s="8">
        <f>IF(A177="","",SUMIFS(Zones_tributaires!$I:$I,Zones_tributaires!$J:$J,$A177))</f>
        <v/>
      </c>
      <c r="P177" s="8">
        <f>IF(A177="","",SUMIFS($Q$4:$Q$204,$E$4:$E$204,$A177))</f>
        <v/>
      </c>
      <c r="Q177" s="8">
        <f>IF(A177="","",(O177+P177)*Inputs!$B$6)</f>
        <v/>
      </c>
      <c r="R177" s="8">
        <f>IF(A177="","",IF(UPPER(TRIM(B177))="PIPE",PI()*(J177/1000)^2/4,IF(OR(K177="",L177=""),"",L177*(K177+M177*L177))))</f>
        <v/>
      </c>
      <c r="S177" s="8">
        <f>IF(A177="","",IF(UPPER(TRIM(B177))="PIPE",(J177/1000)/4,IF(OR(R177="",K177="",L177=""),"",R177/(K177+2*L177*SQRT(1+M177^2)))))</f>
        <v/>
      </c>
      <c r="T177" s="8">
        <f>IF(A177="","",IF(OR(I177="",R177="",S177="",G177=""),"",(1/I177)*R177*(S177^(2/3))*SQRT(G177)))</f>
        <v/>
      </c>
      <c r="U177" s="8">
        <f>IF(OR(T177="",Q177=""),"",Q177/(T177*Inputs!$B$19))</f>
        <v/>
      </c>
      <c r="V177" s="8">
        <f>IF(OR(R177="",Q177=""),"",Q177/R177)</f>
        <v/>
      </c>
      <c r="W177" s="8">
        <f>IF(OR(R177="",T177=""),"",T177/R177)</f>
        <v/>
      </c>
      <c r="X177" s="8">
        <f>IF(A177="","",IF(OR(UPPER(TRIM(Inputs!$B$15))="MANNING",UPPER(TRIM(Inputs!$B$15))="M"),W177,IF(OR(UPPER(TRIM(Inputs!$B$15))="MAX",UPPER(TRIM(Inputs!$B$15))="X"),MAX(V177,W177),V177)))</f>
        <v/>
      </c>
      <c r="Y177" s="8">
        <f>IF(A177="","",IF(UPPER(TRIM(B177))="TRENCH",K177*L177*N177,IF(UPPER(TRIM(B177))="SWALE",K177*L177,0)))</f>
        <v/>
      </c>
      <c r="Z177" s="8">
        <f>IF(OR(Y177="",F177=""),"",Y177*F177)</f>
        <v/>
      </c>
      <c r="AA177" s="4">
        <f>IF(A177="","",IF(OR(U177&gt;1,AND(X177&lt;&gt;"",X177&lt;Inputs!$B$16),AND(X177&lt;&gt;"",X177&gt;Inputs!$B$17),G177&lt;Inputs!$B$18,AH177="CHECK"),"CHECK","OK"))</f>
        <v/>
      </c>
      <c r="AB177" s="4" t="n"/>
      <c r="AC177" s="7" t="n"/>
      <c r="AD177" s="8">
        <f>IF(A177="","",IF(AC177&lt;&gt;"",AC177,IF(E177="",Inputs!$B$38,IFERROR(INDEX($AE$4:$AE$204,MATCH(E177,$A$4:$A$204,0))+IF(OR(AND(UPPER(TRIM(B177))="SWALE",UPPER(TRIM(AI177))="PIPE"),AND(UPPER(TRIM(B177))="TRENCH",UPPER(TRIM(AI177))="PIPE")),Inputs!$B$57,0),""))))</f>
        <v/>
      </c>
      <c r="AE177" s="8">
        <f>IF(OR(AD177="",F177="",G177=""),"",AD177+F177*G177)</f>
        <v/>
      </c>
      <c r="AF177" s="8">
        <f>IF(OR(E177="",A177=""),"",IFERROR(INDEX($AE$4:$AE$204,MATCH(E177,$A$4:$A$204,0)),""))</f>
        <v/>
      </c>
      <c r="AG177" s="8">
        <f>IF(OR(AD177="",AF177=""),"",AD177-AF177)</f>
        <v/>
      </c>
      <c r="AH177" s="4">
        <f>IF(A177="","",IF(E177="","TERMINAL",IF(OR(AND(UPPER(TRIM(B177))="SWALE",UPPER(TRIM(AI177))="PIPE"),AND(UPPER(TRIM(B177))="TRENCH",UPPER(TRIM(AI177))="PIPE")),IF(OR(AG177="",AJ177="",AK177=""),"INFO",IF(AND(AG177&gt;=AJ177,AG177&lt;=AK177),"OK","CHECK")),IF(AG177="","INFO",IF(ABS(AG177)&lt;=Inputs!$B$54,"OK","CHECK")))))</f>
        <v/>
      </c>
      <c r="AI177" s="17">
        <f>IF(A177="","",IF(E177="","",IFERROR(INDEX($B$4:$B$204,MATCH(E177,$A$4:$A$204,0)),"")))</f>
        <v/>
      </c>
      <c r="AJ177" s="17">
        <f>IF(A177="","",IF(OR(AND(UPPER(TRIM(B177))="SWALE",UPPER(TRIM(AI177))="PIPE"),AND(UPPER(TRIM(B177))="TRENCH",UPPER(TRIM(AI177))="PIPE")),Inputs!$B$55,0))</f>
        <v/>
      </c>
      <c r="AK177" s="17">
        <f>IF(A177="","",IF(OR(AND(UPPER(TRIM(B177))="SWALE",UPPER(TRIM(AI177))="PIPE"),AND(UPPER(TRIM(B177))="TRENCH",UPPER(TRIM(AI177))="PIPE")),Inputs!$B$56,Inputs!$B$54))</f>
        <v/>
      </c>
      <c r="AL177" s="4">
        <f>IF(A177="","",IF(E177="","TERMINAL",IF(OR(AND(UPPER(TRIM(B177))="SWALE",UPPER(TRIM(AI177))="PIPE"),AND(UPPER(TRIM(B177))="TRENCH",UPPER(TRIM(AI177))="PIPE")),IF(OR(AG177="",AJ177="",AK177=""),"INFO",IF(AND(AG177&gt;=AJ177,AG177&lt;=AK177),"OK","CHECK")),"N/A")))</f>
        <v/>
      </c>
    </row>
    <row r="178">
      <c r="A178" s="4" t="n"/>
      <c r="B178" s="4" t="n"/>
      <c r="C178" s="4" t="n"/>
      <c r="D178" s="4" t="n"/>
      <c r="E178" s="4" t="n"/>
      <c r="F178" s="7" t="n"/>
      <c r="G178" s="7" t="n"/>
      <c r="H178" s="7" t="n"/>
      <c r="I178" s="8">
        <f>IF(A178="","",IF(H178&lt;&gt;"",H178,IF(UPPER(TRIM(B178))="PIPE",Inputs!$B$7,IF(UPPER(TRIM(B178))="SWALE",Inputs!$B$8,Inputs!$B$9))))</f>
        <v/>
      </c>
      <c r="J178" s="7" t="n"/>
      <c r="K178" s="7" t="n"/>
      <c r="L178" s="7" t="n"/>
      <c r="M178" s="7" t="n"/>
      <c r="N178" s="7" t="n">
        <v>0</v>
      </c>
      <c r="O178" s="8">
        <f>IF(A178="","",SUMIFS(Zones_tributaires!$I:$I,Zones_tributaires!$J:$J,$A178))</f>
        <v/>
      </c>
      <c r="P178" s="8">
        <f>IF(A178="","",SUMIFS($Q$4:$Q$204,$E$4:$E$204,$A178))</f>
        <v/>
      </c>
      <c r="Q178" s="8">
        <f>IF(A178="","",(O178+P178)*Inputs!$B$6)</f>
        <v/>
      </c>
      <c r="R178" s="8">
        <f>IF(A178="","",IF(UPPER(TRIM(B178))="PIPE",PI()*(J178/1000)^2/4,IF(OR(K178="",L178=""),"",L178*(K178+M178*L178))))</f>
        <v/>
      </c>
      <c r="S178" s="8">
        <f>IF(A178="","",IF(UPPER(TRIM(B178))="PIPE",(J178/1000)/4,IF(OR(R178="",K178="",L178=""),"",R178/(K178+2*L178*SQRT(1+M178^2)))))</f>
        <v/>
      </c>
      <c r="T178" s="8">
        <f>IF(A178="","",IF(OR(I178="",R178="",S178="",G178=""),"",(1/I178)*R178*(S178^(2/3))*SQRT(G178)))</f>
        <v/>
      </c>
      <c r="U178" s="8">
        <f>IF(OR(T178="",Q178=""),"",Q178/(T178*Inputs!$B$19))</f>
        <v/>
      </c>
      <c r="V178" s="8">
        <f>IF(OR(R178="",Q178=""),"",Q178/R178)</f>
        <v/>
      </c>
      <c r="W178" s="8">
        <f>IF(OR(R178="",T178=""),"",T178/R178)</f>
        <v/>
      </c>
      <c r="X178" s="8">
        <f>IF(A178="","",IF(OR(UPPER(TRIM(Inputs!$B$15))="MANNING",UPPER(TRIM(Inputs!$B$15))="M"),W178,IF(OR(UPPER(TRIM(Inputs!$B$15))="MAX",UPPER(TRIM(Inputs!$B$15))="X"),MAX(V178,W178),V178)))</f>
        <v/>
      </c>
      <c r="Y178" s="8">
        <f>IF(A178="","",IF(UPPER(TRIM(B178))="TRENCH",K178*L178*N178,IF(UPPER(TRIM(B178))="SWALE",K178*L178,0)))</f>
        <v/>
      </c>
      <c r="Z178" s="8">
        <f>IF(OR(Y178="",F178=""),"",Y178*F178)</f>
        <v/>
      </c>
      <c r="AA178" s="4">
        <f>IF(A178="","",IF(OR(U178&gt;1,AND(X178&lt;&gt;"",X178&lt;Inputs!$B$16),AND(X178&lt;&gt;"",X178&gt;Inputs!$B$17),G178&lt;Inputs!$B$18,AH178="CHECK"),"CHECK","OK"))</f>
        <v/>
      </c>
      <c r="AB178" s="4" t="n"/>
      <c r="AC178" s="7" t="n"/>
      <c r="AD178" s="8">
        <f>IF(A178="","",IF(AC178&lt;&gt;"",AC178,IF(E178="",Inputs!$B$38,IFERROR(INDEX($AE$4:$AE$204,MATCH(E178,$A$4:$A$204,0))+IF(OR(AND(UPPER(TRIM(B178))="SWALE",UPPER(TRIM(AI178))="PIPE"),AND(UPPER(TRIM(B178))="TRENCH",UPPER(TRIM(AI178))="PIPE")),Inputs!$B$57,0),""))))</f>
        <v/>
      </c>
      <c r="AE178" s="8">
        <f>IF(OR(AD178="",F178="",G178=""),"",AD178+F178*G178)</f>
        <v/>
      </c>
      <c r="AF178" s="8">
        <f>IF(OR(E178="",A178=""),"",IFERROR(INDEX($AE$4:$AE$204,MATCH(E178,$A$4:$A$204,0)),""))</f>
        <v/>
      </c>
      <c r="AG178" s="8">
        <f>IF(OR(AD178="",AF178=""),"",AD178-AF178)</f>
        <v/>
      </c>
      <c r="AH178" s="4">
        <f>IF(A178="","",IF(E178="","TERMINAL",IF(OR(AND(UPPER(TRIM(B178))="SWALE",UPPER(TRIM(AI178))="PIPE"),AND(UPPER(TRIM(B178))="TRENCH",UPPER(TRIM(AI178))="PIPE")),IF(OR(AG178="",AJ178="",AK178=""),"INFO",IF(AND(AG178&gt;=AJ178,AG178&lt;=AK178),"OK","CHECK")),IF(AG178="","INFO",IF(ABS(AG178)&lt;=Inputs!$B$54,"OK","CHECK")))))</f>
        <v/>
      </c>
      <c r="AI178" s="17">
        <f>IF(A178="","",IF(E178="","",IFERROR(INDEX($B$4:$B$204,MATCH(E178,$A$4:$A$204,0)),"")))</f>
        <v/>
      </c>
      <c r="AJ178" s="17">
        <f>IF(A178="","",IF(OR(AND(UPPER(TRIM(B178))="SWALE",UPPER(TRIM(AI178))="PIPE"),AND(UPPER(TRIM(B178))="TRENCH",UPPER(TRIM(AI178))="PIPE")),Inputs!$B$55,0))</f>
        <v/>
      </c>
      <c r="AK178" s="17">
        <f>IF(A178="","",IF(OR(AND(UPPER(TRIM(B178))="SWALE",UPPER(TRIM(AI178))="PIPE"),AND(UPPER(TRIM(B178))="TRENCH",UPPER(TRIM(AI178))="PIPE")),Inputs!$B$56,Inputs!$B$54))</f>
        <v/>
      </c>
      <c r="AL178" s="4">
        <f>IF(A178="","",IF(E178="","TERMINAL",IF(OR(AND(UPPER(TRIM(B178))="SWALE",UPPER(TRIM(AI178))="PIPE"),AND(UPPER(TRIM(B178))="TRENCH",UPPER(TRIM(AI178))="PIPE")),IF(OR(AG178="",AJ178="",AK178=""),"INFO",IF(AND(AG178&gt;=AJ178,AG178&lt;=AK178),"OK","CHECK")),"N/A")))</f>
        <v/>
      </c>
    </row>
    <row r="179">
      <c r="A179" s="4" t="n"/>
      <c r="B179" s="4" t="n"/>
      <c r="C179" s="4" t="n"/>
      <c r="D179" s="4" t="n"/>
      <c r="E179" s="4" t="n"/>
      <c r="F179" s="7" t="n"/>
      <c r="G179" s="7" t="n"/>
      <c r="H179" s="7" t="n"/>
      <c r="I179" s="8">
        <f>IF(A179="","",IF(H179&lt;&gt;"",H179,IF(UPPER(TRIM(B179))="PIPE",Inputs!$B$7,IF(UPPER(TRIM(B179))="SWALE",Inputs!$B$8,Inputs!$B$9))))</f>
        <v/>
      </c>
      <c r="J179" s="7" t="n"/>
      <c r="K179" s="7" t="n"/>
      <c r="L179" s="7" t="n"/>
      <c r="M179" s="7" t="n"/>
      <c r="N179" s="7" t="n">
        <v>0</v>
      </c>
      <c r="O179" s="8">
        <f>IF(A179="","",SUMIFS(Zones_tributaires!$I:$I,Zones_tributaires!$J:$J,$A179))</f>
        <v/>
      </c>
      <c r="P179" s="8">
        <f>IF(A179="","",SUMIFS($Q$4:$Q$204,$E$4:$E$204,$A179))</f>
        <v/>
      </c>
      <c r="Q179" s="8">
        <f>IF(A179="","",(O179+P179)*Inputs!$B$6)</f>
        <v/>
      </c>
      <c r="R179" s="8">
        <f>IF(A179="","",IF(UPPER(TRIM(B179))="PIPE",PI()*(J179/1000)^2/4,IF(OR(K179="",L179=""),"",L179*(K179+M179*L179))))</f>
        <v/>
      </c>
      <c r="S179" s="8">
        <f>IF(A179="","",IF(UPPER(TRIM(B179))="PIPE",(J179/1000)/4,IF(OR(R179="",K179="",L179=""),"",R179/(K179+2*L179*SQRT(1+M179^2)))))</f>
        <v/>
      </c>
      <c r="T179" s="8">
        <f>IF(A179="","",IF(OR(I179="",R179="",S179="",G179=""),"",(1/I179)*R179*(S179^(2/3))*SQRT(G179)))</f>
        <v/>
      </c>
      <c r="U179" s="8">
        <f>IF(OR(T179="",Q179=""),"",Q179/(T179*Inputs!$B$19))</f>
        <v/>
      </c>
      <c r="V179" s="8">
        <f>IF(OR(R179="",Q179=""),"",Q179/R179)</f>
        <v/>
      </c>
      <c r="W179" s="8">
        <f>IF(OR(R179="",T179=""),"",T179/R179)</f>
        <v/>
      </c>
      <c r="X179" s="8">
        <f>IF(A179="","",IF(OR(UPPER(TRIM(Inputs!$B$15))="MANNING",UPPER(TRIM(Inputs!$B$15))="M"),W179,IF(OR(UPPER(TRIM(Inputs!$B$15))="MAX",UPPER(TRIM(Inputs!$B$15))="X"),MAX(V179,W179),V179)))</f>
        <v/>
      </c>
      <c r="Y179" s="8">
        <f>IF(A179="","",IF(UPPER(TRIM(B179))="TRENCH",K179*L179*N179,IF(UPPER(TRIM(B179))="SWALE",K179*L179,0)))</f>
        <v/>
      </c>
      <c r="Z179" s="8">
        <f>IF(OR(Y179="",F179=""),"",Y179*F179)</f>
        <v/>
      </c>
      <c r="AA179" s="4">
        <f>IF(A179="","",IF(OR(U179&gt;1,AND(X179&lt;&gt;"",X179&lt;Inputs!$B$16),AND(X179&lt;&gt;"",X179&gt;Inputs!$B$17),G179&lt;Inputs!$B$18,AH179="CHECK"),"CHECK","OK"))</f>
        <v/>
      </c>
      <c r="AB179" s="4" t="n"/>
      <c r="AC179" s="7" t="n"/>
      <c r="AD179" s="8">
        <f>IF(A179="","",IF(AC179&lt;&gt;"",AC179,IF(E179="",Inputs!$B$38,IFERROR(INDEX($AE$4:$AE$204,MATCH(E179,$A$4:$A$204,0))+IF(OR(AND(UPPER(TRIM(B179))="SWALE",UPPER(TRIM(AI179))="PIPE"),AND(UPPER(TRIM(B179))="TRENCH",UPPER(TRIM(AI179))="PIPE")),Inputs!$B$57,0),""))))</f>
        <v/>
      </c>
      <c r="AE179" s="8">
        <f>IF(OR(AD179="",F179="",G179=""),"",AD179+F179*G179)</f>
        <v/>
      </c>
      <c r="AF179" s="8">
        <f>IF(OR(E179="",A179=""),"",IFERROR(INDEX($AE$4:$AE$204,MATCH(E179,$A$4:$A$204,0)),""))</f>
        <v/>
      </c>
      <c r="AG179" s="8">
        <f>IF(OR(AD179="",AF179=""),"",AD179-AF179)</f>
        <v/>
      </c>
      <c r="AH179" s="4">
        <f>IF(A179="","",IF(E179="","TERMINAL",IF(OR(AND(UPPER(TRIM(B179))="SWALE",UPPER(TRIM(AI179))="PIPE"),AND(UPPER(TRIM(B179))="TRENCH",UPPER(TRIM(AI179))="PIPE")),IF(OR(AG179="",AJ179="",AK179=""),"INFO",IF(AND(AG179&gt;=AJ179,AG179&lt;=AK179),"OK","CHECK")),IF(AG179="","INFO",IF(ABS(AG179)&lt;=Inputs!$B$54,"OK","CHECK")))))</f>
        <v/>
      </c>
      <c r="AI179" s="17">
        <f>IF(A179="","",IF(E179="","",IFERROR(INDEX($B$4:$B$204,MATCH(E179,$A$4:$A$204,0)),"")))</f>
        <v/>
      </c>
      <c r="AJ179" s="17">
        <f>IF(A179="","",IF(OR(AND(UPPER(TRIM(B179))="SWALE",UPPER(TRIM(AI179))="PIPE"),AND(UPPER(TRIM(B179))="TRENCH",UPPER(TRIM(AI179))="PIPE")),Inputs!$B$55,0))</f>
        <v/>
      </c>
      <c r="AK179" s="17">
        <f>IF(A179="","",IF(OR(AND(UPPER(TRIM(B179))="SWALE",UPPER(TRIM(AI179))="PIPE"),AND(UPPER(TRIM(B179))="TRENCH",UPPER(TRIM(AI179))="PIPE")),Inputs!$B$56,Inputs!$B$54))</f>
        <v/>
      </c>
      <c r="AL179" s="4">
        <f>IF(A179="","",IF(E179="","TERMINAL",IF(OR(AND(UPPER(TRIM(B179))="SWALE",UPPER(TRIM(AI179))="PIPE"),AND(UPPER(TRIM(B179))="TRENCH",UPPER(TRIM(AI179))="PIPE")),IF(OR(AG179="",AJ179="",AK179=""),"INFO",IF(AND(AG179&gt;=AJ179,AG179&lt;=AK179),"OK","CHECK")),"N/A")))</f>
        <v/>
      </c>
    </row>
    <row r="180">
      <c r="A180" s="4" t="n"/>
      <c r="B180" s="4" t="n"/>
      <c r="C180" s="4" t="n"/>
      <c r="D180" s="4" t="n"/>
      <c r="E180" s="4" t="n"/>
      <c r="F180" s="7" t="n"/>
      <c r="G180" s="7" t="n"/>
      <c r="H180" s="7" t="n"/>
      <c r="I180" s="8">
        <f>IF(A180="","",IF(H180&lt;&gt;"",H180,IF(UPPER(TRIM(B180))="PIPE",Inputs!$B$7,IF(UPPER(TRIM(B180))="SWALE",Inputs!$B$8,Inputs!$B$9))))</f>
        <v/>
      </c>
      <c r="J180" s="7" t="n"/>
      <c r="K180" s="7" t="n"/>
      <c r="L180" s="7" t="n"/>
      <c r="M180" s="7" t="n"/>
      <c r="N180" s="7" t="n">
        <v>0</v>
      </c>
      <c r="O180" s="8">
        <f>IF(A180="","",SUMIFS(Zones_tributaires!$I:$I,Zones_tributaires!$J:$J,$A180))</f>
        <v/>
      </c>
      <c r="P180" s="8">
        <f>IF(A180="","",SUMIFS($Q$4:$Q$204,$E$4:$E$204,$A180))</f>
        <v/>
      </c>
      <c r="Q180" s="8">
        <f>IF(A180="","",(O180+P180)*Inputs!$B$6)</f>
        <v/>
      </c>
      <c r="R180" s="8">
        <f>IF(A180="","",IF(UPPER(TRIM(B180))="PIPE",PI()*(J180/1000)^2/4,IF(OR(K180="",L180=""),"",L180*(K180+M180*L180))))</f>
        <v/>
      </c>
      <c r="S180" s="8">
        <f>IF(A180="","",IF(UPPER(TRIM(B180))="PIPE",(J180/1000)/4,IF(OR(R180="",K180="",L180=""),"",R180/(K180+2*L180*SQRT(1+M180^2)))))</f>
        <v/>
      </c>
      <c r="T180" s="8">
        <f>IF(A180="","",IF(OR(I180="",R180="",S180="",G180=""),"",(1/I180)*R180*(S180^(2/3))*SQRT(G180)))</f>
        <v/>
      </c>
      <c r="U180" s="8">
        <f>IF(OR(T180="",Q180=""),"",Q180/(T180*Inputs!$B$19))</f>
        <v/>
      </c>
      <c r="V180" s="8">
        <f>IF(OR(R180="",Q180=""),"",Q180/R180)</f>
        <v/>
      </c>
      <c r="W180" s="8">
        <f>IF(OR(R180="",T180=""),"",T180/R180)</f>
        <v/>
      </c>
      <c r="X180" s="8">
        <f>IF(A180="","",IF(OR(UPPER(TRIM(Inputs!$B$15))="MANNING",UPPER(TRIM(Inputs!$B$15))="M"),W180,IF(OR(UPPER(TRIM(Inputs!$B$15))="MAX",UPPER(TRIM(Inputs!$B$15))="X"),MAX(V180,W180),V180)))</f>
        <v/>
      </c>
      <c r="Y180" s="8">
        <f>IF(A180="","",IF(UPPER(TRIM(B180))="TRENCH",K180*L180*N180,IF(UPPER(TRIM(B180))="SWALE",K180*L180,0)))</f>
        <v/>
      </c>
      <c r="Z180" s="8">
        <f>IF(OR(Y180="",F180=""),"",Y180*F180)</f>
        <v/>
      </c>
      <c r="AA180" s="4">
        <f>IF(A180="","",IF(OR(U180&gt;1,AND(X180&lt;&gt;"",X180&lt;Inputs!$B$16),AND(X180&lt;&gt;"",X180&gt;Inputs!$B$17),G180&lt;Inputs!$B$18,AH180="CHECK"),"CHECK","OK"))</f>
        <v/>
      </c>
      <c r="AB180" s="4" t="n"/>
      <c r="AC180" s="7" t="n"/>
      <c r="AD180" s="8">
        <f>IF(A180="","",IF(AC180&lt;&gt;"",AC180,IF(E180="",Inputs!$B$38,IFERROR(INDEX($AE$4:$AE$204,MATCH(E180,$A$4:$A$204,0))+IF(OR(AND(UPPER(TRIM(B180))="SWALE",UPPER(TRIM(AI180))="PIPE"),AND(UPPER(TRIM(B180))="TRENCH",UPPER(TRIM(AI180))="PIPE")),Inputs!$B$57,0),""))))</f>
        <v/>
      </c>
      <c r="AE180" s="8">
        <f>IF(OR(AD180="",F180="",G180=""),"",AD180+F180*G180)</f>
        <v/>
      </c>
      <c r="AF180" s="8">
        <f>IF(OR(E180="",A180=""),"",IFERROR(INDEX($AE$4:$AE$204,MATCH(E180,$A$4:$A$204,0)),""))</f>
        <v/>
      </c>
      <c r="AG180" s="8">
        <f>IF(OR(AD180="",AF180=""),"",AD180-AF180)</f>
        <v/>
      </c>
      <c r="AH180" s="4">
        <f>IF(A180="","",IF(E180="","TERMINAL",IF(OR(AND(UPPER(TRIM(B180))="SWALE",UPPER(TRIM(AI180))="PIPE"),AND(UPPER(TRIM(B180))="TRENCH",UPPER(TRIM(AI180))="PIPE")),IF(OR(AG180="",AJ180="",AK180=""),"INFO",IF(AND(AG180&gt;=AJ180,AG180&lt;=AK180),"OK","CHECK")),IF(AG180="","INFO",IF(ABS(AG180)&lt;=Inputs!$B$54,"OK","CHECK")))))</f>
        <v/>
      </c>
      <c r="AI180" s="17">
        <f>IF(A180="","",IF(E180="","",IFERROR(INDEX($B$4:$B$204,MATCH(E180,$A$4:$A$204,0)),"")))</f>
        <v/>
      </c>
      <c r="AJ180" s="17">
        <f>IF(A180="","",IF(OR(AND(UPPER(TRIM(B180))="SWALE",UPPER(TRIM(AI180))="PIPE"),AND(UPPER(TRIM(B180))="TRENCH",UPPER(TRIM(AI180))="PIPE")),Inputs!$B$55,0))</f>
        <v/>
      </c>
      <c r="AK180" s="17">
        <f>IF(A180="","",IF(OR(AND(UPPER(TRIM(B180))="SWALE",UPPER(TRIM(AI180))="PIPE"),AND(UPPER(TRIM(B180))="TRENCH",UPPER(TRIM(AI180))="PIPE")),Inputs!$B$56,Inputs!$B$54))</f>
        <v/>
      </c>
      <c r="AL180" s="4">
        <f>IF(A180="","",IF(E180="","TERMINAL",IF(OR(AND(UPPER(TRIM(B180))="SWALE",UPPER(TRIM(AI180))="PIPE"),AND(UPPER(TRIM(B180))="TRENCH",UPPER(TRIM(AI180))="PIPE")),IF(OR(AG180="",AJ180="",AK180=""),"INFO",IF(AND(AG180&gt;=AJ180,AG180&lt;=AK180),"OK","CHECK")),"N/A")))</f>
        <v/>
      </c>
    </row>
    <row r="181">
      <c r="A181" s="4" t="n"/>
      <c r="B181" s="4" t="n"/>
      <c r="C181" s="4" t="n"/>
      <c r="D181" s="4" t="n"/>
      <c r="E181" s="4" t="n"/>
      <c r="F181" s="7" t="n"/>
      <c r="G181" s="7" t="n"/>
      <c r="H181" s="7" t="n"/>
      <c r="I181" s="8">
        <f>IF(A181="","",IF(H181&lt;&gt;"",H181,IF(UPPER(TRIM(B181))="PIPE",Inputs!$B$7,IF(UPPER(TRIM(B181))="SWALE",Inputs!$B$8,Inputs!$B$9))))</f>
        <v/>
      </c>
      <c r="J181" s="7" t="n"/>
      <c r="K181" s="7" t="n"/>
      <c r="L181" s="7" t="n"/>
      <c r="M181" s="7" t="n"/>
      <c r="N181" s="7" t="n">
        <v>0</v>
      </c>
      <c r="O181" s="8">
        <f>IF(A181="","",SUMIFS(Zones_tributaires!$I:$I,Zones_tributaires!$J:$J,$A181))</f>
        <v/>
      </c>
      <c r="P181" s="8">
        <f>IF(A181="","",SUMIFS($Q$4:$Q$204,$E$4:$E$204,$A181))</f>
        <v/>
      </c>
      <c r="Q181" s="8">
        <f>IF(A181="","",(O181+P181)*Inputs!$B$6)</f>
        <v/>
      </c>
      <c r="R181" s="8">
        <f>IF(A181="","",IF(UPPER(TRIM(B181))="PIPE",PI()*(J181/1000)^2/4,IF(OR(K181="",L181=""),"",L181*(K181+M181*L181))))</f>
        <v/>
      </c>
      <c r="S181" s="8">
        <f>IF(A181="","",IF(UPPER(TRIM(B181))="PIPE",(J181/1000)/4,IF(OR(R181="",K181="",L181=""),"",R181/(K181+2*L181*SQRT(1+M181^2)))))</f>
        <v/>
      </c>
      <c r="T181" s="8">
        <f>IF(A181="","",IF(OR(I181="",R181="",S181="",G181=""),"",(1/I181)*R181*(S181^(2/3))*SQRT(G181)))</f>
        <v/>
      </c>
      <c r="U181" s="8">
        <f>IF(OR(T181="",Q181=""),"",Q181/(T181*Inputs!$B$19))</f>
        <v/>
      </c>
      <c r="V181" s="8">
        <f>IF(OR(R181="",Q181=""),"",Q181/R181)</f>
        <v/>
      </c>
      <c r="W181" s="8">
        <f>IF(OR(R181="",T181=""),"",T181/R181)</f>
        <v/>
      </c>
      <c r="X181" s="8">
        <f>IF(A181="","",IF(OR(UPPER(TRIM(Inputs!$B$15))="MANNING",UPPER(TRIM(Inputs!$B$15))="M"),W181,IF(OR(UPPER(TRIM(Inputs!$B$15))="MAX",UPPER(TRIM(Inputs!$B$15))="X"),MAX(V181,W181),V181)))</f>
        <v/>
      </c>
      <c r="Y181" s="8">
        <f>IF(A181="","",IF(UPPER(TRIM(B181))="TRENCH",K181*L181*N181,IF(UPPER(TRIM(B181))="SWALE",K181*L181,0)))</f>
        <v/>
      </c>
      <c r="Z181" s="8">
        <f>IF(OR(Y181="",F181=""),"",Y181*F181)</f>
        <v/>
      </c>
      <c r="AA181" s="4">
        <f>IF(A181="","",IF(OR(U181&gt;1,AND(X181&lt;&gt;"",X181&lt;Inputs!$B$16),AND(X181&lt;&gt;"",X181&gt;Inputs!$B$17),G181&lt;Inputs!$B$18,AH181="CHECK"),"CHECK","OK"))</f>
        <v/>
      </c>
      <c r="AB181" s="4" t="n"/>
      <c r="AC181" s="7" t="n"/>
      <c r="AD181" s="8">
        <f>IF(A181="","",IF(AC181&lt;&gt;"",AC181,IF(E181="",Inputs!$B$38,IFERROR(INDEX($AE$4:$AE$204,MATCH(E181,$A$4:$A$204,0))+IF(OR(AND(UPPER(TRIM(B181))="SWALE",UPPER(TRIM(AI181))="PIPE"),AND(UPPER(TRIM(B181))="TRENCH",UPPER(TRIM(AI181))="PIPE")),Inputs!$B$57,0),""))))</f>
        <v/>
      </c>
      <c r="AE181" s="8">
        <f>IF(OR(AD181="",F181="",G181=""),"",AD181+F181*G181)</f>
        <v/>
      </c>
      <c r="AF181" s="8">
        <f>IF(OR(E181="",A181=""),"",IFERROR(INDEX($AE$4:$AE$204,MATCH(E181,$A$4:$A$204,0)),""))</f>
        <v/>
      </c>
      <c r="AG181" s="8">
        <f>IF(OR(AD181="",AF181=""),"",AD181-AF181)</f>
        <v/>
      </c>
      <c r="AH181" s="4">
        <f>IF(A181="","",IF(E181="","TERMINAL",IF(OR(AND(UPPER(TRIM(B181))="SWALE",UPPER(TRIM(AI181))="PIPE"),AND(UPPER(TRIM(B181))="TRENCH",UPPER(TRIM(AI181))="PIPE")),IF(OR(AG181="",AJ181="",AK181=""),"INFO",IF(AND(AG181&gt;=AJ181,AG181&lt;=AK181),"OK","CHECK")),IF(AG181="","INFO",IF(ABS(AG181)&lt;=Inputs!$B$54,"OK","CHECK")))))</f>
        <v/>
      </c>
      <c r="AI181" s="17">
        <f>IF(A181="","",IF(E181="","",IFERROR(INDEX($B$4:$B$204,MATCH(E181,$A$4:$A$204,0)),"")))</f>
        <v/>
      </c>
      <c r="AJ181" s="17">
        <f>IF(A181="","",IF(OR(AND(UPPER(TRIM(B181))="SWALE",UPPER(TRIM(AI181))="PIPE"),AND(UPPER(TRIM(B181))="TRENCH",UPPER(TRIM(AI181))="PIPE")),Inputs!$B$55,0))</f>
        <v/>
      </c>
      <c r="AK181" s="17">
        <f>IF(A181="","",IF(OR(AND(UPPER(TRIM(B181))="SWALE",UPPER(TRIM(AI181))="PIPE"),AND(UPPER(TRIM(B181))="TRENCH",UPPER(TRIM(AI181))="PIPE")),Inputs!$B$56,Inputs!$B$54))</f>
        <v/>
      </c>
      <c r="AL181" s="4">
        <f>IF(A181="","",IF(E181="","TERMINAL",IF(OR(AND(UPPER(TRIM(B181))="SWALE",UPPER(TRIM(AI181))="PIPE"),AND(UPPER(TRIM(B181))="TRENCH",UPPER(TRIM(AI181))="PIPE")),IF(OR(AG181="",AJ181="",AK181=""),"INFO",IF(AND(AG181&gt;=AJ181,AG181&lt;=AK181),"OK","CHECK")),"N/A")))</f>
        <v/>
      </c>
    </row>
    <row r="182">
      <c r="A182" s="4" t="n"/>
      <c r="B182" s="4" t="n"/>
      <c r="C182" s="4" t="n"/>
      <c r="D182" s="4" t="n"/>
      <c r="E182" s="4" t="n"/>
      <c r="F182" s="7" t="n"/>
      <c r="G182" s="7" t="n"/>
      <c r="H182" s="7" t="n"/>
      <c r="I182" s="8">
        <f>IF(A182="","",IF(H182&lt;&gt;"",H182,IF(UPPER(TRIM(B182))="PIPE",Inputs!$B$7,IF(UPPER(TRIM(B182))="SWALE",Inputs!$B$8,Inputs!$B$9))))</f>
        <v/>
      </c>
      <c r="J182" s="7" t="n"/>
      <c r="K182" s="7" t="n"/>
      <c r="L182" s="7" t="n"/>
      <c r="M182" s="7" t="n"/>
      <c r="N182" s="7" t="n">
        <v>0</v>
      </c>
      <c r="O182" s="8">
        <f>IF(A182="","",SUMIFS(Zones_tributaires!$I:$I,Zones_tributaires!$J:$J,$A182))</f>
        <v/>
      </c>
      <c r="P182" s="8">
        <f>IF(A182="","",SUMIFS($Q$4:$Q$204,$E$4:$E$204,$A182))</f>
        <v/>
      </c>
      <c r="Q182" s="8">
        <f>IF(A182="","",(O182+P182)*Inputs!$B$6)</f>
        <v/>
      </c>
      <c r="R182" s="8">
        <f>IF(A182="","",IF(UPPER(TRIM(B182))="PIPE",PI()*(J182/1000)^2/4,IF(OR(K182="",L182=""),"",L182*(K182+M182*L182))))</f>
        <v/>
      </c>
      <c r="S182" s="8">
        <f>IF(A182="","",IF(UPPER(TRIM(B182))="PIPE",(J182/1000)/4,IF(OR(R182="",K182="",L182=""),"",R182/(K182+2*L182*SQRT(1+M182^2)))))</f>
        <v/>
      </c>
      <c r="T182" s="8">
        <f>IF(A182="","",IF(OR(I182="",R182="",S182="",G182=""),"",(1/I182)*R182*(S182^(2/3))*SQRT(G182)))</f>
        <v/>
      </c>
      <c r="U182" s="8">
        <f>IF(OR(T182="",Q182=""),"",Q182/(T182*Inputs!$B$19))</f>
        <v/>
      </c>
      <c r="V182" s="8">
        <f>IF(OR(R182="",Q182=""),"",Q182/R182)</f>
        <v/>
      </c>
      <c r="W182" s="8">
        <f>IF(OR(R182="",T182=""),"",T182/R182)</f>
        <v/>
      </c>
      <c r="X182" s="8">
        <f>IF(A182="","",IF(OR(UPPER(TRIM(Inputs!$B$15))="MANNING",UPPER(TRIM(Inputs!$B$15))="M"),W182,IF(OR(UPPER(TRIM(Inputs!$B$15))="MAX",UPPER(TRIM(Inputs!$B$15))="X"),MAX(V182,W182),V182)))</f>
        <v/>
      </c>
      <c r="Y182" s="8">
        <f>IF(A182="","",IF(UPPER(TRIM(B182))="TRENCH",K182*L182*N182,IF(UPPER(TRIM(B182))="SWALE",K182*L182,0)))</f>
        <v/>
      </c>
      <c r="Z182" s="8">
        <f>IF(OR(Y182="",F182=""),"",Y182*F182)</f>
        <v/>
      </c>
      <c r="AA182" s="4">
        <f>IF(A182="","",IF(OR(U182&gt;1,AND(X182&lt;&gt;"",X182&lt;Inputs!$B$16),AND(X182&lt;&gt;"",X182&gt;Inputs!$B$17),G182&lt;Inputs!$B$18,AH182="CHECK"),"CHECK","OK"))</f>
        <v/>
      </c>
      <c r="AB182" s="4" t="n"/>
      <c r="AC182" s="7" t="n"/>
      <c r="AD182" s="8">
        <f>IF(A182="","",IF(AC182&lt;&gt;"",AC182,IF(E182="",Inputs!$B$38,IFERROR(INDEX($AE$4:$AE$204,MATCH(E182,$A$4:$A$204,0))+IF(OR(AND(UPPER(TRIM(B182))="SWALE",UPPER(TRIM(AI182))="PIPE"),AND(UPPER(TRIM(B182))="TRENCH",UPPER(TRIM(AI182))="PIPE")),Inputs!$B$57,0),""))))</f>
        <v/>
      </c>
      <c r="AE182" s="8">
        <f>IF(OR(AD182="",F182="",G182=""),"",AD182+F182*G182)</f>
        <v/>
      </c>
      <c r="AF182" s="8">
        <f>IF(OR(E182="",A182=""),"",IFERROR(INDEX($AE$4:$AE$204,MATCH(E182,$A$4:$A$204,0)),""))</f>
        <v/>
      </c>
      <c r="AG182" s="8">
        <f>IF(OR(AD182="",AF182=""),"",AD182-AF182)</f>
        <v/>
      </c>
      <c r="AH182" s="4">
        <f>IF(A182="","",IF(E182="","TERMINAL",IF(OR(AND(UPPER(TRIM(B182))="SWALE",UPPER(TRIM(AI182))="PIPE"),AND(UPPER(TRIM(B182))="TRENCH",UPPER(TRIM(AI182))="PIPE")),IF(OR(AG182="",AJ182="",AK182=""),"INFO",IF(AND(AG182&gt;=AJ182,AG182&lt;=AK182),"OK","CHECK")),IF(AG182="","INFO",IF(ABS(AG182)&lt;=Inputs!$B$54,"OK","CHECK")))))</f>
        <v/>
      </c>
      <c r="AI182" s="17">
        <f>IF(A182="","",IF(E182="","",IFERROR(INDEX($B$4:$B$204,MATCH(E182,$A$4:$A$204,0)),"")))</f>
        <v/>
      </c>
      <c r="AJ182" s="17">
        <f>IF(A182="","",IF(OR(AND(UPPER(TRIM(B182))="SWALE",UPPER(TRIM(AI182))="PIPE"),AND(UPPER(TRIM(B182))="TRENCH",UPPER(TRIM(AI182))="PIPE")),Inputs!$B$55,0))</f>
        <v/>
      </c>
      <c r="AK182" s="17">
        <f>IF(A182="","",IF(OR(AND(UPPER(TRIM(B182))="SWALE",UPPER(TRIM(AI182))="PIPE"),AND(UPPER(TRIM(B182))="TRENCH",UPPER(TRIM(AI182))="PIPE")),Inputs!$B$56,Inputs!$B$54))</f>
        <v/>
      </c>
      <c r="AL182" s="4">
        <f>IF(A182="","",IF(E182="","TERMINAL",IF(OR(AND(UPPER(TRIM(B182))="SWALE",UPPER(TRIM(AI182))="PIPE"),AND(UPPER(TRIM(B182))="TRENCH",UPPER(TRIM(AI182))="PIPE")),IF(OR(AG182="",AJ182="",AK182=""),"INFO",IF(AND(AG182&gt;=AJ182,AG182&lt;=AK182),"OK","CHECK")),"N/A")))</f>
        <v/>
      </c>
    </row>
    <row r="183">
      <c r="A183" s="4" t="n"/>
      <c r="B183" s="4" t="n"/>
      <c r="C183" s="4" t="n"/>
      <c r="D183" s="4" t="n"/>
      <c r="E183" s="4" t="n"/>
      <c r="F183" s="7" t="n"/>
      <c r="G183" s="7" t="n"/>
      <c r="H183" s="7" t="n"/>
      <c r="I183" s="8">
        <f>IF(A183="","",IF(H183&lt;&gt;"",H183,IF(UPPER(TRIM(B183))="PIPE",Inputs!$B$7,IF(UPPER(TRIM(B183))="SWALE",Inputs!$B$8,Inputs!$B$9))))</f>
        <v/>
      </c>
      <c r="J183" s="7" t="n"/>
      <c r="K183" s="7" t="n"/>
      <c r="L183" s="7" t="n"/>
      <c r="M183" s="7" t="n"/>
      <c r="N183" s="7" t="n">
        <v>0</v>
      </c>
      <c r="O183" s="8">
        <f>IF(A183="","",SUMIFS(Zones_tributaires!$I:$I,Zones_tributaires!$J:$J,$A183))</f>
        <v/>
      </c>
      <c r="P183" s="8">
        <f>IF(A183="","",SUMIFS($Q$4:$Q$204,$E$4:$E$204,$A183))</f>
        <v/>
      </c>
      <c r="Q183" s="8">
        <f>IF(A183="","",(O183+P183)*Inputs!$B$6)</f>
        <v/>
      </c>
      <c r="R183" s="8">
        <f>IF(A183="","",IF(UPPER(TRIM(B183))="PIPE",PI()*(J183/1000)^2/4,IF(OR(K183="",L183=""),"",L183*(K183+M183*L183))))</f>
        <v/>
      </c>
      <c r="S183" s="8">
        <f>IF(A183="","",IF(UPPER(TRIM(B183))="PIPE",(J183/1000)/4,IF(OR(R183="",K183="",L183=""),"",R183/(K183+2*L183*SQRT(1+M183^2)))))</f>
        <v/>
      </c>
      <c r="T183" s="8">
        <f>IF(A183="","",IF(OR(I183="",R183="",S183="",G183=""),"",(1/I183)*R183*(S183^(2/3))*SQRT(G183)))</f>
        <v/>
      </c>
      <c r="U183" s="8">
        <f>IF(OR(T183="",Q183=""),"",Q183/(T183*Inputs!$B$19))</f>
        <v/>
      </c>
      <c r="V183" s="8">
        <f>IF(OR(R183="",Q183=""),"",Q183/R183)</f>
        <v/>
      </c>
      <c r="W183" s="8">
        <f>IF(OR(R183="",T183=""),"",T183/R183)</f>
        <v/>
      </c>
      <c r="X183" s="8">
        <f>IF(A183="","",IF(OR(UPPER(TRIM(Inputs!$B$15))="MANNING",UPPER(TRIM(Inputs!$B$15))="M"),W183,IF(OR(UPPER(TRIM(Inputs!$B$15))="MAX",UPPER(TRIM(Inputs!$B$15))="X"),MAX(V183,W183),V183)))</f>
        <v/>
      </c>
      <c r="Y183" s="8">
        <f>IF(A183="","",IF(UPPER(TRIM(B183))="TRENCH",K183*L183*N183,IF(UPPER(TRIM(B183))="SWALE",K183*L183,0)))</f>
        <v/>
      </c>
      <c r="Z183" s="8">
        <f>IF(OR(Y183="",F183=""),"",Y183*F183)</f>
        <v/>
      </c>
      <c r="AA183" s="4">
        <f>IF(A183="","",IF(OR(U183&gt;1,AND(X183&lt;&gt;"",X183&lt;Inputs!$B$16),AND(X183&lt;&gt;"",X183&gt;Inputs!$B$17),G183&lt;Inputs!$B$18,AH183="CHECK"),"CHECK","OK"))</f>
        <v/>
      </c>
      <c r="AB183" s="4" t="n"/>
      <c r="AC183" s="7" t="n"/>
      <c r="AD183" s="8">
        <f>IF(A183="","",IF(AC183&lt;&gt;"",AC183,IF(E183="",Inputs!$B$38,IFERROR(INDEX($AE$4:$AE$204,MATCH(E183,$A$4:$A$204,0))+IF(OR(AND(UPPER(TRIM(B183))="SWALE",UPPER(TRIM(AI183))="PIPE"),AND(UPPER(TRIM(B183))="TRENCH",UPPER(TRIM(AI183))="PIPE")),Inputs!$B$57,0),""))))</f>
        <v/>
      </c>
      <c r="AE183" s="8">
        <f>IF(OR(AD183="",F183="",G183=""),"",AD183+F183*G183)</f>
        <v/>
      </c>
      <c r="AF183" s="8">
        <f>IF(OR(E183="",A183=""),"",IFERROR(INDEX($AE$4:$AE$204,MATCH(E183,$A$4:$A$204,0)),""))</f>
        <v/>
      </c>
      <c r="AG183" s="8">
        <f>IF(OR(AD183="",AF183=""),"",AD183-AF183)</f>
        <v/>
      </c>
      <c r="AH183" s="4">
        <f>IF(A183="","",IF(E183="","TERMINAL",IF(OR(AND(UPPER(TRIM(B183))="SWALE",UPPER(TRIM(AI183))="PIPE"),AND(UPPER(TRIM(B183))="TRENCH",UPPER(TRIM(AI183))="PIPE")),IF(OR(AG183="",AJ183="",AK183=""),"INFO",IF(AND(AG183&gt;=AJ183,AG183&lt;=AK183),"OK","CHECK")),IF(AG183="","INFO",IF(ABS(AG183)&lt;=Inputs!$B$54,"OK","CHECK")))))</f>
        <v/>
      </c>
      <c r="AI183" s="17">
        <f>IF(A183="","",IF(E183="","",IFERROR(INDEX($B$4:$B$204,MATCH(E183,$A$4:$A$204,0)),"")))</f>
        <v/>
      </c>
      <c r="AJ183" s="17">
        <f>IF(A183="","",IF(OR(AND(UPPER(TRIM(B183))="SWALE",UPPER(TRIM(AI183))="PIPE"),AND(UPPER(TRIM(B183))="TRENCH",UPPER(TRIM(AI183))="PIPE")),Inputs!$B$55,0))</f>
        <v/>
      </c>
      <c r="AK183" s="17">
        <f>IF(A183="","",IF(OR(AND(UPPER(TRIM(B183))="SWALE",UPPER(TRIM(AI183))="PIPE"),AND(UPPER(TRIM(B183))="TRENCH",UPPER(TRIM(AI183))="PIPE")),Inputs!$B$56,Inputs!$B$54))</f>
        <v/>
      </c>
      <c r="AL183" s="4">
        <f>IF(A183="","",IF(E183="","TERMINAL",IF(OR(AND(UPPER(TRIM(B183))="SWALE",UPPER(TRIM(AI183))="PIPE"),AND(UPPER(TRIM(B183))="TRENCH",UPPER(TRIM(AI183))="PIPE")),IF(OR(AG183="",AJ183="",AK183=""),"INFO",IF(AND(AG183&gt;=AJ183,AG183&lt;=AK183),"OK","CHECK")),"N/A")))</f>
        <v/>
      </c>
    </row>
    <row r="184">
      <c r="A184" s="4" t="n"/>
      <c r="B184" s="4" t="n"/>
      <c r="C184" s="4" t="n"/>
      <c r="D184" s="4" t="n"/>
      <c r="E184" s="4" t="n"/>
      <c r="F184" s="7" t="n"/>
      <c r="G184" s="7" t="n"/>
      <c r="H184" s="7" t="n"/>
      <c r="I184" s="8">
        <f>IF(A184="","",IF(H184&lt;&gt;"",H184,IF(UPPER(TRIM(B184))="PIPE",Inputs!$B$7,IF(UPPER(TRIM(B184))="SWALE",Inputs!$B$8,Inputs!$B$9))))</f>
        <v/>
      </c>
      <c r="J184" s="7" t="n"/>
      <c r="K184" s="7" t="n"/>
      <c r="L184" s="7" t="n"/>
      <c r="M184" s="7" t="n"/>
      <c r="N184" s="7" t="n">
        <v>0</v>
      </c>
      <c r="O184" s="8">
        <f>IF(A184="","",SUMIFS(Zones_tributaires!$I:$I,Zones_tributaires!$J:$J,$A184))</f>
        <v/>
      </c>
      <c r="P184" s="8">
        <f>IF(A184="","",SUMIFS($Q$4:$Q$204,$E$4:$E$204,$A184))</f>
        <v/>
      </c>
      <c r="Q184" s="8">
        <f>IF(A184="","",(O184+P184)*Inputs!$B$6)</f>
        <v/>
      </c>
      <c r="R184" s="8">
        <f>IF(A184="","",IF(UPPER(TRIM(B184))="PIPE",PI()*(J184/1000)^2/4,IF(OR(K184="",L184=""),"",L184*(K184+M184*L184))))</f>
        <v/>
      </c>
      <c r="S184" s="8">
        <f>IF(A184="","",IF(UPPER(TRIM(B184))="PIPE",(J184/1000)/4,IF(OR(R184="",K184="",L184=""),"",R184/(K184+2*L184*SQRT(1+M184^2)))))</f>
        <v/>
      </c>
      <c r="T184" s="8">
        <f>IF(A184="","",IF(OR(I184="",R184="",S184="",G184=""),"",(1/I184)*R184*(S184^(2/3))*SQRT(G184)))</f>
        <v/>
      </c>
      <c r="U184" s="8">
        <f>IF(OR(T184="",Q184=""),"",Q184/(T184*Inputs!$B$19))</f>
        <v/>
      </c>
      <c r="V184" s="8">
        <f>IF(OR(R184="",Q184=""),"",Q184/R184)</f>
        <v/>
      </c>
      <c r="W184" s="8">
        <f>IF(OR(R184="",T184=""),"",T184/R184)</f>
        <v/>
      </c>
      <c r="X184" s="8">
        <f>IF(A184="","",IF(OR(UPPER(TRIM(Inputs!$B$15))="MANNING",UPPER(TRIM(Inputs!$B$15))="M"),W184,IF(OR(UPPER(TRIM(Inputs!$B$15))="MAX",UPPER(TRIM(Inputs!$B$15))="X"),MAX(V184,W184),V184)))</f>
        <v/>
      </c>
      <c r="Y184" s="8">
        <f>IF(A184="","",IF(UPPER(TRIM(B184))="TRENCH",K184*L184*N184,IF(UPPER(TRIM(B184))="SWALE",K184*L184,0)))</f>
        <v/>
      </c>
      <c r="Z184" s="8">
        <f>IF(OR(Y184="",F184=""),"",Y184*F184)</f>
        <v/>
      </c>
      <c r="AA184" s="4">
        <f>IF(A184="","",IF(OR(U184&gt;1,AND(X184&lt;&gt;"",X184&lt;Inputs!$B$16),AND(X184&lt;&gt;"",X184&gt;Inputs!$B$17),G184&lt;Inputs!$B$18,AH184="CHECK"),"CHECK","OK"))</f>
        <v/>
      </c>
      <c r="AB184" s="4" t="n"/>
      <c r="AC184" s="7" t="n"/>
      <c r="AD184" s="8">
        <f>IF(A184="","",IF(AC184&lt;&gt;"",AC184,IF(E184="",Inputs!$B$38,IFERROR(INDEX($AE$4:$AE$204,MATCH(E184,$A$4:$A$204,0))+IF(OR(AND(UPPER(TRIM(B184))="SWALE",UPPER(TRIM(AI184))="PIPE"),AND(UPPER(TRIM(B184))="TRENCH",UPPER(TRIM(AI184))="PIPE")),Inputs!$B$57,0),""))))</f>
        <v/>
      </c>
      <c r="AE184" s="8">
        <f>IF(OR(AD184="",F184="",G184=""),"",AD184+F184*G184)</f>
        <v/>
      </c>
      <c r="AF184" s="8">
        <f>IF(OR(E184="",A184=""),"",IFERROR(INDEX($AE$4:$AE$204,MATCH(E184,$A$4:$A$204,0)),""))</f>
        <v/>
      </c>
      <c r="AG184" s="8">
        <f>IF(OR(AD184="",AF184=""),"",AD184-AF184)</f>
        <v/>
      </c>
      <c r="AH184" s="4">
        <f>IF(A184="","",IF(E184="","TERMINAL",IF(OR(AND(UPPER(TRIM(B184))="SWALE",UPPER(TRIM(AI184))="PIPE"),AND(UPPER(TRIM(B184))="TRENCH",UPPER(TRIM(AI184))="PIPE")),IF(OR(AG184="",AJ184="",AK184=""),"INFO",IF(AND(AG184&gt;=AJ184,AG184&lt;=AK184),"OK","CHECK")),IF(AG184="","INFO",IF(ABS(AG184)&lt;=Inputs!$B$54,"OK","CHECK")))))</f>
        <v/>
      </c>
      <c r="AI184" s="17">
        <f>IF(A184="","",IF(E184="","",IFERROR(INDEX($B$4:$B$204,MATCH(E184,$A$4:$A$204,0)),"")))</f>
        <v/>
      </c>
      <c r="AJ184" s="17">
        <f>IF(A184="","",IF(OR(AND(UPPER(TRIM(B184))="SWALE",UPPER(TRIM(AI184))="PIPE"),AND(UPPER(TRIM(B184))="TRENCH",UPPER(TRIM(AI184))="PIPE")),Inputs!$B$55,0))</f>
        <v/>
      </c>
      <c r="AK184" s="17">
        <f>IF(A184="","",IF(OR(AND(UPPER(TRIM(B184))="SWALE",UPPER(TRIM(AI184))="PIPE"),AND(UPPER(TRIM(B184))="TRENCH",UPPER(TRIM(AI184))="PIPE")),Inputs!$B$56,Inputs!$B$54))</f>
        <v/>
      </c>
      <c r="AL184" s="4">
        <f>IF(A184="","",IF(E184="","TERMINAL",IF(OR(AND(UPPER(TRIM(B184))="SWALE",UPPER(TRIM(AI184))="PIPE"),AND(UPPER(TRIM(B184))="TRENCH",UPPER(TRIM(AI184))="PIPE")),IF(OR(AG184="",AJ184="",AK184=""),"INFO",IF(AND(AG184&gt;=AJ184,AG184&lt;=AK184),"OK","CHECK")),"N/A")))</f>
        <v/>
      </c>
    </row>
    <row r="185">
      <c r="A185" s="4" t="n"/>
      <c r="B185" s="4" t="n"/>
      <c r="C185" s="4" t="n"/>
      <c r="D185" s="4" t="n"/>
      <c r="E185" s="4" t="n"/>
      <c r="F185" s="7" t="n"/>
      <c r="G185" s="7" t="n"/>
      <c r="H185" s="7" t="n"/>
      <c r="I185" s="8">
        <f>IF(A185="","",IF(H185&lt;&gt;"",H185,IF(UPPER(TRIM(B185))="PIPE",Inputs!$B$7,IF(UPPER(TRIM(B185))="SWALE",Inputs!$B$8,Inputs!$B$9))))</f>
        <v/>
      </c>
      <c r="J185" s="7" t="n"/>
      <c r="K185" s="7" t="n"/>
      <c r="L185" s="7" t="n"/>
      <c r="M185" s="7" t="n"/>
      <c r="N185" s="7" t="n">
        <v>0</v>
      </c>
      <c r="O185" s="8">
        <f>IF(A185="","",SUMIFS(Zones_tributaires!$I:$I,Zones_tributaires!$J:$J,$A185))</f>
        <v/>
      </c>
      <c r="P185" s="8">
        <f>IF(A185="","",SUMIFS($Q$4:$Q$204,$E$4:$E$204,$A185))</f>
        <v/>
      </c>
      <c r="Q185" s="8">
        <f>IF(A185="","",(O185+P185)*Inputs!$B$6)</f>
        <v/>
      </c>
      <c r="R185" s="8">
        <f>IF(A185="","",IF(UPPER(TRIM(B185))="PIPE",PI()*(J185/1000)^2/4,IF(OR(K185="",L185=""),"",L185*(K185+M185*L185))))</f>
        <v/>
      </c>
      <c r="S185" s="8">
        <f>IF(A185="","",IF(UPPER(TRIM(B185))="PIPE",(J185/1000)/4,IF(OR(R185="",K185="",L185=""),"",R185/(K185+2*L185*SQRT(1+M185^2)))))</f>
        <v/>
      </c>
      <c r="T185" s="8">
        <f>IF(A185="","",IF(OR(I185="",R185="",S185="",G185=""),"",(1/I185)*R185*(S185^(2/3))*SQRT(G185)))</f>
        <v/>
      </c>
      <c r="U185" s="8">
        <f>IF(OR(T185="",Q185=""),"",Q185/(T185*Inputs!$B$19))</f>
        <v/>
      </c>
      <c r="V185" s="8">
        <f>IF(OR(R185="",Q185=""),"",Q185/R185)</f>
        <v/>
      </c>
      <c r="W185" s="8">
        <f>IF(OR(R185="",T185=""),"",T185/R185)</f>
        <v/>
      </c>
      <c r="X185" s="8">
        <f>IF(A185="","",IF(OR(UPPER(TRIM(Inputs!$B$15))="MANNING",UPPER(TRIM(Inputs!$B$15))="M"),W185,IF(OR(UPPER(TRIM(Inputs!$B$15))="MAX",UPPER(TRIM(Inputs!$B$15))="X"),MAX(V185,W185),V185)))</f>
        <v/>
      </c>
      <c r="Y185" s="8">
        <f>IF(A185="","",IF(UPPER(TRIM(B185))="TRENCH",K185*L185*N185,IF(UPPER(TRIM(B185))="SWALE",K185*L185,0)))</f>
        <v/>
      </c>
      <c r="Z185" s="8">
        <f>IF(OR(Y185="",F185=""),"",Y185*F185)</f>
        <v/>
      </c>
      <c r="AA185" s="4">
        <f>IF(A185="","",IF(OR(U185&gt;1,AND(X185&lt;&gt;"",X185&lt;Inputs!$B$16),AND(X185&lt;&gt;"",X185&gt;Inputs!$B$17),G185&lt;Inputs!$B$18,AH185="CHECK"),"CHECK","OK"))</f>
        <v/>
      </c>
      <c r="AB185" s="4" t="n"/>
      <c r="AC185" s="7" t="n"/>
      <c r="AD185" s="8">
        <f>IF(A185="","",IF(AC185&lt;&gt;"",AC185,IF(E185="",Inputs!$B$38,IFERROR(INDEX($AE$4:$AE$204,MATCH(E185,$A$4:$A$204,0))+IF(OR(AND(UPPER(TRIM(B185))="SWALE",UPPER(TRIM(AI185))="PIPE"),AND(UPPER(TRIM(B185))="TRENCH",UPPER(TRIM(AI185))="PIPE")),Inputs!$B$57,0),""))))</f>
        <v/>
      </c>
      <c r="AE185" s="8">
        <f>IF(OR(AD185="",F185="",G185=""),"",AD185+F185*G185)</f>
        <v/>
      </c>
      <c r="AF185" s="8">
        <f>IF(OR(E185="",A185=""),"",IFERROR(INDEX($AE$4:$AE$204,MATCH(E185,$A$4:$A$204,0)),""))</f>
        <v/>
      </c>
      <c r="AG185" s="8">
        <f>IF(OR(AD185="",AF185=""),"",AD185-AF185)</f>
        <v/>
      </c>
      <c r="AH185" s="4">
        <f>IF(A185="","",IF(E185="","TERMINAL",IF(OR(AND(UPPER(TRIM(B185))="SWALE",UPPER(TRIM(AI185))="PIPE"),AND(UPPER(TRIM(B185))="TRENCH",UPPER(TRIM(AI185))="PIPE")),IF(OR(AG185="",AJ185="",AK185=""),"INFO",IF(AND(AG185&gt;=AJ185,AG185&lt;=AK185),"OK","CHECK")),IF(AG185="","INFO",IF(ABS(AG185)&lt;=Inputs!$B$54,"OK","CHECK")))))</f>
        <v/>
      </c>
      <c r="AI185" s="17">
        <f>IF(A185="","",IF(E185="","",IFERROR(INDEX($B$4:$B$204,MATCH(E185,$A$4:$A$204,0)),"")))</f>
        <v/>
      </c>
      <c r="AJ185" s="17">
        <f>IF(A185="","",IF(OR(AND(UPPER(TRIM(B185))="SWALE",UPPER(TRIM(AI185))="PIPE"),AND(UPPER(TRIM(B185))="TRENCH",UPPER(TRIM(AI185))="PIPE")),Inputs!$B$55,0))</f>
        <v/>
      </c>
      <c r="AK185" s="17">
        <f>IF(A185="","",IF(OR(AND(UPPER(TRIM(B185))="SWALE",UPPER(TRIM(AI185))="PIPE"),AND(UPPER(TRIM(B185))="TRENCH",UPPER(TRIM(AI185))="PIPE")),Inputs!$B$56,Inputs!$B$54))</f>
        <v/>
      </c>
      <c r="AL185" s="4">
        <f>IF(A185="","",IF(E185="","TERMINAL",IF(OR(AND(UPPER(TRIM(B185))="SWALE",UPPER(TRIM(AI185))="PIPE"),AND(UPPER(TRIM(B185))="TRENCH",UPPER(TRIM(AI185))="PIPE")),IF(OR(AG185="",AJ185="",AK185=""),"INFO",IF(AND(AG185&gt;=AJ185,AG185&lt;=AK185),"OK","CHECK")),"N/A")))</f>
        <v/>
      </c>
    </row>
    <row r="186">
      <c r="A186" s="4" t="n"/>
      <c r="B186" s="4" t="n"/>
      <c r="C186" s="4" t="n"/>
      <c r="D186" s="4" t="n"/>
      <c r="E186" s="4" t="n"/>
      <c r="F186" s="7" t="n"/>
      <c r="G186" s="7" t="n"/>
      <c r="H186" s="7" t="n"/>
      <c r="I186" s="8">
        <f>IF(A186="","",IF(H186&lt;&gt;"",H186,IF(UPPER(TRIM(B186))="PIPE",Inputs!$B$7,IF(UPPER(TRIM(B186))="SWALE",Inputs!$B$8,Inputs!$B$9))))</f>
        <v/>
      </c>
      <c r="J186" s="7" t="n"/>
      <c r="K186" s="7" t="n"/>
      <c r="L186" s="7" t="n"/>
      <c r="M186" s="7" t="n"/>
      <c r="N186" s="7" t="n">
        <v>0</v>
      </c>
      <c r="O186" s="8">
        <f>IF(A186="","",SUMIFS(Zones_tributaires!$I:$I,Zones_tributaires!$J:$J,$A186))</f>
        <v/>
      </c>
      <c r="P186" s="8">
        <f>IF(A186="","",SUMIFS($Q$4:$Q$204,$E$4:$E$204,$A186))</f>
        <v/>
      </c>
      <c r="Q186" s="8">
        <f>IF(A186="","",(O186+P186)*Inputs!$B$6)</f>
        <v/>
      </c>
      <c r="R186" s="8">
        <f>IF(A186="","",IF(UPPER(TRIM(B186))="PIPE",PI()*(J186/1000)^2/4,IF(OR(K186="",L186=""),"",L186*(K186+M186*L186))))</f>
        <v/>
      </c>
      <c r="S186" s="8">
        <f>IF(A186="","",IF(UPPER(TRIM(B186))="PIPE",(J186/1000)/4,IF(OR(R186="",K186="",L186=""),"",R186/(K186+2*L186*SQRT(1+M186^2)))))</f>
        <v/>
      </c>
      <c r="T186" s="8">
        <f>IF(A186="","",IF(OR(I186="",R186="",S186="",G186=""),"",(1/I186)*R186*(S186^(2/3))*SQRT(G186)))</f>
        <v/>
      </c>
      <c r="U186" s="8">
        <f>IF(OR(T186="",Q186=""),"",Q186/(T186*Inputs!$B$19))</f>
        <v/>
      </c>
      <c r="V186" s="8">
        <f>IF(OR(R186="",Q186=""),"",Q186/R186)</f>
        <v/>
      </c>
      <c r="W186" s="8">
        <f>IF(OR(R186="",T186=""),"",T186/R186)</f>
        <v/>
      </c>
      <c r="X186" s="8">
        <f>IF(A186="","",IF(OR(UPPER(TRIM(Inputs!$B$15))="MANNING",UPPER(TRIM(Inputs!$B$15))="M"),W186,IF(OR(UPPER(TRIM(Inputs!$B$15))="MAX",UPPER(TRIM(Inputs!$B$15))="X"),MAX(V186,W186),V186)))</f>
        <v/>
      </c>
      <c r="Y186" s="8">
        <f>IF(A186="","",IF(UPPER(TRIM(B186))="TRENCH",K186*L186*N186,IF(UPPER(TRIM(B186))="SWALE",K186*L186,0)))</f>
        <v/>
      </c>
      <c r="Z186" s="8">
        <f>IF(OR(Y186="",F186=""),"",Y186*F186)</f>
        <v/>
      </c>
      <c r="AA186" s="4">
        <f>IF(A186="","",IF(OR(U186&gt;1,AND(X186&lt;&gt;"",X186&lt;Inputs!$B$16),AND(X186&lt;&gt;"",X186&gt;Inputs!$B$17),G186&lt;Inputs!$B$18,AH186="CHECK"),"CHECK","OK"))</f>
        <v/>
      </c>
      <c r="AB186" s="4" t="n"/>
      <c r="AC186" s="7" t="n"/>
      <c r="AD186" s="8">
        <f>IF(A186="","",IF(AC186&lt;&gt;"",AC186,IF(E186="",Inputs!$B$38,IFERROR(INDEX($AE$4:$AE$204,MATCH(E186,$A$4:$A$204,0))+IF(OR(AND(UPPER(TRIM(B186))="SWALE",UPPER(TRIM(AI186))="PIPE"),AND(UPPER(TRIM(B186))="TRENCH",UPPER(TRIM(AI186))="PIPE")),Inputs!$B$57,0),""))))</f>
        <v/>
      </c>
      <c r="AE186" s="8">
        <f>IF(OR(AD186="",F186="",G186=""),"",AD186+F186*G186)</f>
        <v/>
      </c>
      <c r="AF186" s="8">
        <f>IF(OR(E186="",A186=""),"",IFERROR(INDEX($AE$4:$AE$204,MATCH(E186,$A$4:$A$204,0)),""))</f>
        <v/>
      </c>
      <c r="AG186" s="8">
        <f>IF(OR(AD186="",AF186=""),"",AD186-AF186)</f>
        <v/>
      </c>
      <c r="AH186" s="4">
        <f>IF(A186="","",IF(E186="","TERMINAL",IF(OR(AND(UPPER(TRIM(B186))="SWALE",UPPER(TRIM(AI186))="PIPE"),AND(UPPER(TRIM(B186))="TRENCH",UPPER(TRIM(AI186))="PIPE")),IF(OR(AG186="",AJ186="",AK186=""),"INFO",IF(AND(AG186&gt;=AJ186,AG186&lt;=AK186),"OK","CHECK")),IF(AG186="","INFO",IF(ABS(AG186)&lt;=Inputs!$B$54,"OK","CHECK")))))</f>
        <v/>
      </c>
      <c r="AI186" s="17">
        <f>IF(A186="","",IF(E186="","",IFERROR(INDEX($B$4:$B$204,MATCH(E186,$A$4:$A$204,0)),"")))</f>
        <v/>
      </c>
      <c r="AJ186" s="17">
        <f>IF(A186="","",IF(OR(AND(UPPER(TRIM(B186))="SWALE",UPPER(TRIM(AI186))="PIPE"),AND(UPPER(TRIM(B186))="TRENCH",UPPER(TRIM(AI186))="PIPE")),Inputs!$B$55,0))</f>
        <v/>
      </c>
      <c r="AK186" s="17">
        <f>IF(A186="","",IF(OR(AND(UPPER(TRIM(B186))="SWALE",UPPER(TRIM(AI186))="PIPE"),AND(UPPER(TRIM(B186))="TRENCH",UPPER(TRIM(AI186))="PIPE")),Inputs!$B$56,Inputs!$B$54))</f>
        <v/>
      </c>
      <c r="AL186" s="4">
        <f>IF(A186="","",IF(E186="","TERMINAL",IF(OR(AND(UPPER(TRIM(B186))="SWALE",UPPER(TRIM(AI186))="PIPE"),AND(UPPER(TRIM(B186))="TRENCH",UPPER(TRIM(AI186))="PIPE")),IF(OR(AG186="",AJ186="",AK186=""),"INFO",IF(AND(AG186&gt;=AJ186,AG186&lt;=AK186),"OK","CHECK")),"N/A")))</f>
        <v/>
      </c>
    </row>
    <row r="187">
      <c r="A187" s="4" t="n"/>
      <c r="B187" s="4" t="n"/>
      <c r="C187" s="4" t="n"/>
      <c r="D187" s="4" t="n"/>
      <c r="E187" s="4" t="n"/>
      <c r="F187" s="7" t="n"/>
      <c r="G187" s="7" t="n"/>
      <c r="H187" s="7" t="n"/>
      <c r="I187" s="8">
        <f>IF(A187="","",IF(H187&lt;&gt;"",H187,IF(UPPER(TRIM(B187))="PIPE",Inputs!$B$7,IF(UPPER(TRIM(B187))="SWALE",Inputs!$B$8,Inputs!$B$9))))</f>
        <v/>
      </c>
      <c r="J187" s="7" t="n"/>
      <c r="K187" s="7" t="n"/>
      <c r="L187" s="7" t="n"/>
      <c r="M187" s="7" t="n"/>
      <c r="N187" s="7" t="n">
        <v>0</v>
      </c>
      <c r="O187" s="8">
        <f>IF(A187="","",SUMIFS(Zones_tributaires!$I:$I,Zones_tributaires!$J:$J,$A187))</f>
        <v/>
      </c>
      <c r="P187" s="8">
        <f>IF(A187="","",SUMIFS($Q$4:$Q$204,$E$4:$E$204,$A187))</f>
        <v/>
      </c>
      <c r="Q187" s="8">
        <f>IF(A187="","",(O187+P187)*Inputs!$B$6)</f>
        <v/>
      </c>
      <c r="R187" s="8">
        <f>IF(A187="","",IF(UPPER(TRIM(B187))="PIPE",PI()*(J187/1000)^2/4,IF(OR(K187="",L187=""),"",L187*(K187+M187*L187))))</f>
        <v/>
      </c>
      <c r="S187" s="8">
        <f>IF(A187="","",IF(UPPER(TRIM(B187))="PIPE",(J187/1000)/4,IF(OR(R187="",K187="",L187=""),"",R187/(K187+2*L187*SQRT(1+M187^2)))))</f>
        <v/>
      </c>
      <c r="T187" s="8">
        <f>IF(A187="","",IF(OR(I187="",R187="",S187="",G187=""),"",(1/I187)*R187*(S187^(2/3))*SQRT(G187)))</f>
        <v/>
      </c>
      <c r="U187" s="8">
        <f>IF(OR(T187="",Q187=""),"",Q187/(T187*Inputs!$B$19))</f>
        <v/>
      </c>
      <c r="V187" s="8">
        <f>IF(OR(R187="",Q187=""),"",Q187/R187)</f>
        <v/>
      </c>
      <c r="W187" s="8">
        <f>IF(OR(R187="",T187=""),"",T187/R187)</f>
        <v/>
      </c>
      <c r="X187" s="8">
        <f>IF(A187="","",IF(OR(UPPER(TRIM(Inputs!$B$15))="MANNING",UPPER(TRIM(Inputs!$B$15))="M"),W187,IF(OR(UPPER(TRIM(Inputs!$B$15))="MAX",UPPER(TRIM(Inputs!$B$15))="X"),MAX(V187,W187),V187)))</f>
        <v/>
      </c>
      <c r="Y187" s="8">
        <f>IF(A187="","",IF(UPPER(TRIM(B187))="TRENCH",K187*L187*N187,IF(UPPER(TRIM(B187))="SWALE",K187*L187,0)))</f>
        <v/>
      </c>
      <c r="Z187" s="8">
        <f>IF(OR(Y187="",F187=""),"",Y187*F187)</f>
        <v/>
      </c>
      <c r="AA187" s="4">
        <f>IF(A187="","",IF(OR(U187&gt;1,AND(X187&lt;&gt;"",X187&lt;Inputs!$B$16),AND(X187&lt;&gt;"",X187&gt;Inputs!$B$17),G187&lt;Inputs!$B$18,AH187="CHECK"),"CHECK","OK"))</f>
        <v/>
      </c>
      <c r="AB187" s="4" t="n"/>
      <c r="AC187" s="7" t="n"/>
      <c r="AD187" s="8">
        <f>IF(A187="","",IF(AC187&lt;&gt;"",AC187,IF(E187="",Inputs!$B$38,IFERROR(INDEX($AE$4:$AE$204,MATCH(E187,$A$4:$A$204,0))+IF(OR(AND(UPPER(TRIM(B187))="SWALE",UPPER(TRIM(AI187))="PIPE"),AND(UPPER(TRIM(B187))="TRENCH",UPPER(TRIM(AI187))="PIPE")),Inputs!$B$57,0),""))))</f>
        <v/>
      </c>
      <c r="AE187" s="8">
        <f>IF(OR(AD187="",F187="",G187=""),"",AD187+F187*G187)</f>
        <v/>
      </c>
      <c r="AF187" s="8">
        <f>IF(OR(E187="",A187=""),"",IFERROR(INDEX($AE$4:$AE$204,MATCH(E187,$A$4:$A$204,0)),""))</f>
        <v/>
      </c>
      <c r="AG187" s="8">
        <f>IF(OR(AD187="",AF187=""),"",AD187-AF187)</f>
        <v/>
      </c>
      <c r="AH187" s="4">
        <f>IF(A187="","",IF(E187="","TERMINAL",IF(OR(AND(UPPER(TRIM(B187))="SWALE",UPPER(TRIM(AI187))="PIPE"),AND(UPPER(TRIM(B187))="TRENCH",UPPER(TRIM(AI187))="PIPE")),IF(OR(AG187="",AJ187="",AK187=""),"INFO",IF(AND(AG187&gt;=AJ187,AG187&lt;=AK187),"OK","CHECK")),IF(AG187="","INFO",IF(ABS(AG187)&lt;=Inputs!$B$54,"OK","CHECK")))))</f>
        <v/>
      </c>
      <c r="AI187" s="17">
        <f>IF(A187="","",IF(E187="","",IFERROR(INDEX($B$4:$B$204,MATCH(E187,$A$4:$A$204,0)),"")))</f>
        <v/>
      </c>
      <c r="AJ187" s="17">
        <f>IF(A187="","",IF(OR(AND(UPPER(TRIM(B187))="SWALE",UPPER(TRIM(AI187))="PIPE"),AND(UPPER(TRIM(B187))="TRENCH",UPPER(TRIM(AI187))="PIPE")),Inputs!$B$55,0))</f>
        <v/>
      </c>
      <c r="AK187" s="17">
        <f>IF(A187="","",IF(OR(AND(UPPER(TRIM(B187))="SWALE",UPPER(TRIM(AI187))="PIPE"),AND(UPPER(TRIM(B187))="TRENCH",UPPER(TRIM(AI187))="PIPE")),Inputs!$B$56,Inputs!$B$54))</f>
        <v/>
      </c>
      <c r="AL187" s="4">
        <f>IF(A187="","",IF(E187="","TERMINAL",IF(OR(AND(UPPER(TRIM(B187))="SWALE",UPPER(TRIM(AI187))="PIPE"),AND(UPPER(TRIM(B187))="TRENCH",UPPER(TRIM(AI187))="PIPE")),IF(OR(AG187="",AJ187="",AK187=""),"INFO",IF(AND(AG187&gt;=AJ187,AG187&lt;=AK187),"OK","CHECK")),"N/A")))</f>
        <v/>
      </c>
    </row>
    <row r="188">
      <c r="A188" s="4" t="n"/>
      <c r="B188" s="4" t="n"/>
      <c r="C188" s="4" t="n"/>
      <c r="D188" s="4" t="n"/>
      <c r="E188" s="4" t="n"/>
      <c r="F188" s="7" t="n"/>
      <c r="G188" s="7" t="n"/>
      <c r="H188" s="7" t="n"/>
      <c r="I188" s="8">
        <f>IF(A188="","",IF(H188&lt;&gt;"",H188,IF(UPPER(TRIM(B188))="PIPE",Inputs!$B$7,IF(UPPER(TRIM(B188))="SWALE",Inputs!$B$8,Inputs!$B$9))))</f>
        <v/>
      </c>
      <c r="J188" s="7" t="n"/>
      <c r="K188" s="7" t="n"/>
      <c r="L188" s="7" t="n"/>
      <c r="M188" s="7" t="n"/>
      <c r="N188" s="7" t="n">
        <v>0</v>
      </c>
      <c r="O188" s="8">
        <f>IF(A188="","",SUMIFS(Zones_tributaires!$I:$I,Zones_tributaires!$J:$J,$A188))</f>
        <v/>
      </c>
      <c r="P188" s="8">
        <f>IF(A188="","",SUMIFS($Q$4:$Q$204,$E$4:$E$204,$A188))</f>
        <v/>
      </c>
      <c r="Q188" s="8">
        <f>IF(A188="","",(O188+P188)*Inputs!$B$6)</f>
        <v/>
      </c>
      <c r="R188" s="8">
        <f>IF(A188="","",IF(UPPER(TRIM(B188))="PIPE",PI()*(J188/1000)^2/4,IF(OR(K188="",L188=""),"",L188*(K188+M188*L188))))</f>
        <v/>
      </c>
      <c r="S188" s="8">
        <f>IF(A188="","",IF(UPPER(TRIM(B188))="PIPE",(J188/1000)/4,IF(OR(R188="",K188="",L188=""),"",R188/(K188+2*L188*SQRT(1+M188^2)))))</f>
        <v/>
      </c>
      <c r="T188" s="8">
        <f>IF(A188="","",IF(OR(I188="",R188="",S188="",G188=""),"",(1/I188)*R188*(S188^(2/3))*SQRT(G188)))</f>
        <v/>
      </c>
      <c r="U188" s="8">
        <f>IF(OR(T188="",Q188=""),"",Q188/(T188*Inputs!$B$19))</f>
        <v/>
      </c>
      <c r="V188" s="8">
        <f>IF(OR(R188="",Q188=""),"",Q188/R188)</f>
        <v/>
      </c>
      <c r="W188" s="8">
        <f>IF(OR(R188="",T188=""),"",T188/R188)</f>
        <v/>
      </c>
      <c r="X188" s="8">
        <f>IF(A188="","",IF(OR(UPPER(TRIM(Inputs!$B$15))="MANNING",UPPER(TRIM(Inputs!$B$15))="M"),W188,IF(OR(UPPER(TRIM(Inputs!$B$15))="MAX",UPPER(TRIM(Inputs!$B$15))="X"),MAX(V188,W188),V188)))</f>
        <v/>
      </c>
      <c r="Y188" s="8">
        <f>IF(A188="","",IF(UPPER(TRIM(B188))="TRENCH",K188*L188*N188,IF(UPPER(TRIM(B188))="SWALE",K188*L188,0)))</f>
        <v/>
      </c>
      <c r="Z188" s="8">
        <f>IF(OR(Y188="",F188=""),"",Y188*F188)</f>
        <v/>
      </c>
      <c r="AA188" s="4">
        <f>IF(A188="","",IF(OR(U188&gt;1,AND(X188&lt;&gt;"",X188&lt;Inputs!$B$16),AND(X188&lt;&gt;"",X188&gt;Inputs!$B$17),G188&lt;Inputs!$B$18,AH188="CHECK"),"CHECK","OK"))</f>
        <v/>
      </c>
      <c r="AB188" s="4" t="n"/>
      <c r="AC188" s="7" t="n"/>
      <c r="AD188" s="8">
        <f>IF(A188="","",IF(AC188&lt;&gt;"",AC188,IF(E188="",Inputs!$B$38,IFERROR(INDEX($AE$4:$AE$204,MATCH(E188,$A$4:$A$204,0))+IF(OR(AND(UPPER(TRIM(B188))="SWALE",UPPER(TRIM(AI188))="PIPE"),AND(UPPER(TRIM(B188))="TRENCH",UPPER(TRIM(AI188))="PIPE")),Inputs!$B$57,0),""))))</f>
        <v/>
      </c>
      <c r="AE188" s="8">
        <f>IF(OR(AD188="",F188="",G188=""),"",AD188+F188*G188)</f>
        <v/>
      </c>
      <c r="AF188" s="8">
        <f>IF(OR(E188="",A188=""),"",IFERROR(INDEX($AE$4:$AE$204,MATCH(E188,$A$4:$A$204,0)),""))</f>
        <v/>
      </c>
      <c r="AG188" s="8">
        <f>IF(OR(AD188="",AF188=""),"",AD188-AF188)</f>
        <v/>
      </c>
      <c r="AH188" s="4">
        <f>IF(A188="","",IF(E188="","TERMINAL",IF(OR(AND(UPPER(TRIM(B188))="SWALE",UPPER(TRIM(AI188))="PIPE"),AND(UPPER(TRIM(B188))="TRENCH",UPPER(TRIM(AI188))="PIPE")),IF(OR(AG188="",AJ188="",AK188=""),"INFO",IF(AND(AG188&gt;=AJ188,AG188&lt;=AK188),"OK","CHECK")),IF(AG188="","INFO",IF(ABS(AG188)&lt;=Inputs!$B$54,"OK","CHECK")))))</f>
        <v/>
      </c>
      <c r="AI188" s="17">
        <f>IF(A188="","",IF(E188="","",IFERROR(INDEX($B$4:$B$204,MATCH(E188,$A$4:$A$204,0)),"")))</f>
        <v/>
      </c>
      <c r="AJ188" s="17">
        <f>IF(A188="","",IF(OR(AND(UPPER(TRIM(B188))="SWALE",UPPER(TRIM(AI188))="PIPE"),AND(UPPER(TRIM(B188))="TRENCH",UPPER(TRIM(AI188))="PIPE")),Inputs!$B$55,0))</f>
        <v/>
      </c>
      <c r="AK188" s="17">
        <f>IF(A188="","",IF(OR(AND(UPPER(TRIM(B188))="SWALE",UPPER(TRIM(AI188))="PIPE"),AND(UPPER(TRIM(B188))="TRENCH",UPPER(TRIM(AI188))="PIPE")),Inputs!$B$56,Inputs!$B$54))</f>
        <v/>
      </c>
      <c r="AL188" s="4">
        <f>IF(A188="","",IF(E188="","TERMINAL",IF(OR(AND(UPPER(TRIM(B188))="SWALE",UPPER(TRIM(AI188))="PIPE"),AND(UPPER(TRIM(B188))="TRENCH",UPPER(TRIM(AI188))="PIPE")),IF(OR(AG188="",AJ188="",AK188=""),"INFO",IF(AND(AG188&gt;=AJ188,AG188&lt;=AK188),"OK","CHECK")),"N/A")))</f>
        <v/>
      </c>
    </row>
    <row r="189">
      <c r="A189" s="4" t="n"/>
      <c r="B189" s="4" t="n"/>
      <c r="C189" s="4" t="n"/>
      <c r="D189" s="4" t="n"/>
      <c r="E189" s="4" t="n"/>
      <c r="F189" s="7" t="n"/>
      <c r="G189" s="7" t="n"/>
      <c r="H189" s="7" t="n"/>
      <c r="I189" s="8">
        <f>IF(A189="","",IF(H189&lt;&gt;"",H189,IF(UPPER(TRIM(B189))="PIPE",Inputs!$B$7,IF(UPPER(TRIM(B189))="SWALE",Inputs!$B$8,Inputs!$B$9))))</f>
        <v/>
      </c>
      <c r="J189" s="7" t="n"/>
      <c r="K189" s="7" t="n"/>
      <c r="L189" s="7" t="n"/>
      <c r="M189" s="7" t="n"/>
      <c r="N189" s="7" t="n">
        <v>0</v>
      </c>
      <c r="O189" s="8">
        <f>IF(A189="","",SUMIFS(Zones_tributaires!$I:$I,Zones_tributaires!$J:$J,$A189))</f>
        <v/>
      </c>
      <c r="P189" s="8">
        <f>IF(A189="","",SUMIFS($Q$4:$Q$204,$E$4:$E$204,$A189))</f>
        <v/>
      </c>
      <c r="Q189" s="8">
        <f>IF(A189="","",(O189+P189)*Inputs!$B$6)</f>
        <v/>
      </c>
      <c r="R189" s="8">
        <f>IF(A189="","",IF(UPPER(TRIM(B189))="PIPE",PI()*(J189/1000)^2/4,IF(OR(K189="",L189=""),"",L189*(K189+M189*L189))))</f>
        <v/>
      </c>
      <c r="S189" s="8">
        <f>IF(A189="","",IF(UPPER(TRIM(B189))="PIPE",(J189/1000)/4,IF(OR(R189="",K189="",L189=""),"",R189/(K189+2*L189*SQRT(1+M189^2)))))</f>
        <v/>
      </c>
      <c r="T189" s="8">
        <f>IF(A189="","",IF(OR(I189="",R189="",S189="",G189=""),"",(1/I189)*R189*(S189^(2/3))*SQRT(G189)))</f>
        <v/>
      </c>
      <c r="U189" s="8">
        <f>IF(OR(T189="",Q189=""),"",Q189/(T189*Inputs!$B$19))</f>
        <v/>
      </c>
      <c r="V189" s="8">
        <f>IF(OR(R189="",Q189=""),"",Q189/R189)</f>
        <v/>
      </c>
      <c r="W189" s="8">
        <f>IF(OR(R189="",T189=""),"",T189/R189)</f>
        <v/>
      </c>
      <c r="X189" s="8">
        <f>IF(A189="","",IF(OR(UPPER(TRIM(Inputs!$B$15))="MANNING",UPPER(TRIM(Inputs!$B$15))="M"),W189,IF(OR(UPPER(TRIM(Inputs!$B$15))="MAX",UPPER(TRIM(Inputs!$B$15))="X"),MAX(V189,W189),V189)))</f>
        <v/>
      </c>
      <c r="Y189" s="8">
        <f>IF(A189="","",IF(UPPER(TRIM(B189))="TRENCH",K189*L189*N189,IF(UPPER(TRIM(B189))="SWALE",K189*L189,0)))</f>
        <v/>
      </c>
      <c r="Z189" s="8">
        <f>IF(OR(Y189="",F189=""),"",Y189*F189)</f>
        <v/>
      </c>
      <c r="AA189" s="4">
        <f>IF(A189="","",IF(OR(U189&gt;1,AND(X189&lt;&gt;"",X189&lt;Inputs!$B$16),AND(X189&lt;&gt;"",X189&gt;Inputs!$B$17),G189&lt;Inputs!$B$18,AH189="CHECK"),"CHECK","OK"))</f>
        <v/>
      </c>
      <c r="AB189" s="4" t="n"/>
      <c r="AC189" s="7" t="n"/>
      <c r="AD189" s="8">
        <f>IF(A189="","",IF(AC189&lt;&gt;"",AC189,IF(E189="",Inputs!$B$38,IFERROR(INDEX($AE$4:$AE$204,MATCH(E189,$A$4:$A$204,0))+IF(OR(AND(UPPER(TRIM(B189))="SWALE",UPPER(TRIM(AI189))="PIPE"),AND(UPPER(TRIM(B189))="TRENCH",UPPER(TRIM(AI189))="PIPE")),Inputs!$B$57,0),""))))</f>
        <v/>
      </c>
      <c r="AE189" s="8">
        <f>IF(OR(AD189="",F189="",G189=""),"",AD189+F189*G189)</f>
        <v/>
      </c>
      <c r="AF189" s="8">
        <f>IF(OR(E189="",A189=""),"",IFERROR(INDEX($AE$4:$AE$204,MATCH(E189,$A$4:$A$204,0)),""))</f>
        <v/>
      </c>
      <c r="AG189" s="8">
        <f>IF(OR(AD189="",AF189=""),"",AD189-AF189)</f>
        <v/>
      </c>
      <c r="AH189" s="4">
        <f>IF(A189="","",IF(E189="","TERMINAL",IF(OR(AND(UPPER(TRIM(B189))="SWALE",UPPER(TRIM(AI189))="PIPE"),AND(UPPER(TRIM(B189))="TRENCH",UPPER(TRIM(AI189))="PIPE")),IF(OR(AG189="",AJ189="",AK189=""),"INFO",IF(AND(AG189&gt;=AJ189,AG189&lt;=AK189),"OK","CHECK")),IF(AG189="","INFO",IF(ABS(AG189)&lt;=Inputs!$B$54,"OK","CHECK")))))</f>
        <v/>
      </c>
      <c r="AI189" s="17">
        <f>IF(A189="","",IF(E189="","",IFERROR(INDEX($B$4:$B$204,MATCH(E189,$A$4:$A$204,0)),"")))</f>
        <v/>
      </c>
      <c r="AJ189" s="17">
        <f>IF(A189="","",IF(OR(AND(UPPER(TRIM(B189))="SWALE",UPPER(TRIM(AI189))="PIPE"),AND(UPPER(TRIM(B189))="TRENCH",UPPER(TRIM(AI189))="PIPE")),Inputs!$B$55,0))</f>
        <v/>
      </c>
      <c r="AK189" s="17">
        <f>IF(A189="","",IF(OR(AND(UPPER(TRIM(B189))="SWALE",UPPER(TRIM(AI189))="PIPE"),AND(UPPER(TRIM(B189))="TRENCH",UPPER(TRIM(AI189))="PIPE")),Inputs!$B$56,Inputs!$B$54))</f>
        <v/>
      </c>
      <c r="AL189" s="4">
        <f>IF(A189="","",IF(E189="","TERMINAL",IF(OR(AND(UPPER(TRIM(B189))="SWALE",UPPER(TRIM(AI189))="PIPE"),AND(UPPER(TRIM(B189))="TRENCH",UPPER(TRIM(AI189))="PIPE")),IF(OR(AG189="",AJ189="",AK189=""),"INFO",IF(AND(AG189&gt;=AJ189,AG189&lt;=AK189),"OK","CHECK")),"N/A")))</f>
        <v/>
      </c>
    </row>
    <row r="190">
      <c r="A190" s="4" t="n"/>
      <c r="B190" s="4" t="n"/>
      <c r="C190" s="4" t="n"/>
      <c r="D190" s="4" t="n"/>
      <c r="E190" s="4" t="n"/>
      <c r="F190" s="7" t="n"/>
      <c r="G190" s="7" t="n"/>
      <c r="H190" s="7" t="n"/>
      <c r="I190" s="8">
        <f>IF(A190="","",IF(H190&lt;&gt;"",H190,IF(UPPER(TRIM(B190))="PIPE",Inputs!$B$7,IF(UPPER(TRIM(B190))="SWALE",Inputs!$B$8,Inputs!$B$9))))</f>
        <v/>
      </c>
      <c r="J190" s="7" t="n"/>
      <c r="K190" s="7" t="n"/>
      <c r="L190" s="7" t="n"/>
      <c r="M190" s="7" t="n"/>
      <c r="N190" s="7" t="n">
        <v>0</v>
      </c>
      <c r="O190" s="8">
        <f>IF(A190="","",SUMIFS(Zones_tributaires!$I:$I,Zones_tributaires!$J:$J,$A190))</f>
        <v/>
      </c>
      <c r="P190" s="8">
        <f>IF(A190="","",SUMIFS($Q$4:$Q$204,$E$4:$E$204,$A190))</f>
        <v/>
      </c>
      <c r="Q190" s="8">
        <f>IF(A190="","",(O190+P190)*Inputs!$B$6)</f>
        <v/>
      </c>
      <c r="R190" s="8">
        <f>IF(A190="","",IF(UPPER(TRIM(B190))="PIPE",PI()*(J190/1000)^2/4,IF(OR(K190="",L190=""),"",L190*(K190+M190*L190))))</f>
        <v/>
      </c>
      <c r="S190" s="8">
        <f>IF(A190="","",IF(UPPER(TRIM(B190))="PIPE",(J190/1000)/4,IF(OR(R190="",K190="",L190=""),"",R190/(K190+2*L190*SQRT(1+M190^2)))))</f>
        <v/>
      </c>
      <c r="T190" s="8">
        <f>IF(A190="","",IF(OR(I190="",R190="",S190="",G190=""),"",(1/I190)*R190*(S190^(2/3))*SQRT(G190)))</f>
        <v/>
      </c>
      <c r="U190" s="8">
        <f>IF(OR(T190="",Q190=""),"",Q190/(T190*Inputs!$B$19))</f>
        <v/>
      </c>
      <c r="V190" s="8">
        <f>IF(OR(R190="",Q190=""),"",Q190/R190)</f>
        <v/>
      </c>
      <c r="W190" s="8">
        <f>IF(OR(R190="",T190=""),"",T190/R190)</f>
        <v/>
      </c>
      <c r="X190" s="8">
        <f>IF(A190="","",IF(OR(UPPER(TRIM(Inputs!$B$15))="MANNING",UPPER(TRIM(Inputs!$B$15))="M"),W190,IF(OR(UPPER(TRIM(Inputs!$B$15))="MAX",UPPER(TRIM(Inputs!$B$15))="X"),MAX(V190,W190),V190)))</f>
        <v/>
      </c>
      <c r="Y190" s="8">
        <f>IF(A190="","",IF(UPPER(TRIM(B190))="TRENCH",K190*L190*N190,IF(UPPER(TRIM(B190))="SWALE",K190*L190,0)))</f>
        <v/>
      </c>
      <c r="Z190" s="8">
        <f>IF(OR(Y190="",F190=""),"",Y190*F190)</f>
        <v/>
      </c>
      <c r="AA190" s="4">
        <f>IF(A190="","",IF(OR(U190&gt;1,AND(X190&lt;&gt;"",X190&lt;Inputs!$B$16),AND(X190&lt;&gt;"",X190&gt;Inputs!$B$17),G190&lt;Inputs!$B$18,AH190="CHECK"),"CHECK","OK"))</f>
        <v/>
      </c>
      <c r="AB190" s="4" t="n"/>
      <c r="AC190" s="7" t="n"/>
      <c r="AD190" s="8">
        <f>IF(A190="","",IF(AC190&lt;&gt;"",AC190,IF(E190="",Inputs!$B$38,IFERROR(INDEX($AE$4:$AE$204,MATCH(E190,$A$4:$A$204,0))+IF(OR(AND(UPPER(TRIM(B190))="SWALE",UPPER(TRIM(AI190))="PIPE"),AND(UPPER(TRIM(B190))="TRENCH",UPPER(TRIM(AI190))="PIPE")),Inputs!$B$57,0),""))))</f>
        <v/>
      </c>
      <c r="AE190" s="8">
        <f>IF(OR(AD190="",F190="",G190=""),"",AD190+F190*G190)</f>
        <v/>
      </c>
      <c r="AF190" s="8">
        <f>IF(OR(E190="",A190=""),"",IFERROR(INDEX($AE$4:$AE$204,MATCH(E190,$A$4:$A$204,0)),""))</f>
        <v/>
      </c>
      <c r="AG190" s="8">
        <f>IF(OR(AD190="",AF190=""),"",AD190-AF190)</f>
        <v/>
      </c>
      <c r="AH190" s="4">
        <f>IF(A190="","",IF(E190="","TERMINAL",IF(OR(AND(UPPER(TRIM(B190))="SWALE",UPPER(TRIM(AI190))="PIPE"),AND(UPPER(TRIM(B190))="TRENCH",UPPER(TRIM(AI190))="PIPE")),IF(OR(AG190="",AJ190="",AK190=""),"INFO",IF(AND(AG190&gt;=AJ190,AG190&lt;=AK190),"OK","CHECK")),IF(AG190="","INFO",IF(ABS(AG190)&lt;=Inputs!$B$54,"OK","CHECK")))))</f>
        <v/>
      </c>
      <c r="AI190" s="17">
        <f>IF(A190="","",IF(E190="","",IFERROR(INDEX($B$4:$B$204,MATCH(E190,$A$4:$A$204,0)),"")))</f>
        <v/>
      </c>
      <c r="AJ190" s="17">
        <f>IF(A190="","",IF(OR(AND(UPPER(TRIM(B190))="SWALE",UPPER(TRIM(AI190))="PIPE"),AND(UPPER(TRIM(B190))="TRENCH",UPPER(TRIM(AI190))="PIPE")),Inputs!$B$55,0))</f>
        <v/>
      </c>
      <c r="AK190" s="17">
        <f>IF(A190="","",IF(OR(AND(UPPER(TRIM(B190))="SWALE",UPPER(TRIM(AI190))="PIPE"),AND(UPPER(TRIM(B190))="TRENCH",UPPER(TRIM(AI190))="PIPE")),Inputs!$B$56,Inputs!$B$54))</f>
        <v/>
      </c>
      <c r="AL190" s="4">
        <f>IF(A190="","",IF(E190="","TERMINAL",IF(OR(AND(UPPER(TRIM(B190))="SWALE",UPPER(TRIM(AI190))="PIPE"),AND(UPPER(TRIM(B190))="TRENCH",UPPER(TRIM(AI190))="PIPE")),IF(OR(AG190="",AJ190="",AK190=""),"INFO",IF(AND(AG190&gt;=AJ190,AG190&lt;=AK190),"OK","CHECK")),"N/A")))</f>
        <v/>
      </c>
    </row>
    <row r="191">
      <c r="A191" s="4" t="n"/>
      <c r="B191" s="4" t="n"/>
      <c r="C191" s="4" t="n"/>
      <c r="D191" s="4" t="n"/>
      <c r="E191" s="4" t="n"/>
      <c r="F191" s="7" t="n"/>
      <c r="G191" s="7" t="n"/>
      <c r="H191" s="7" t="n"/>
      <c r="I191" s="8">
        <f>IF(A191="","",IF(H191&lt;&gt;"",H191,IF(UPPER(TRIM(B191))="PIPE",Inputs!$B$7,IF(UPPER(TRIM(B191))="SWALE",Inputs!$B$8,Inputs!$B$9))))</f>
        <v/>
      </c>
      <c r="J191" s="7" t="n"/>
      <c r="K191" s="7" t="n"/>
      <c r="L191" s="7" t="n"/>
      <c r="M191" s="7" t="n"/>
      <c r="N191" s="7" t="n">
        <v>0</v>
      </c>
      <c r="O191" s="8">
        <f>IF(A191="","",SUMIFS(Zones_tributaires!$I:$I,Zones_tributaires!$J:$J,$A191))</f>
        <v/>
      </c>
      <c r="P191" s="8">
        <f>IF(A191="","",SUMIFS($Q$4:$Q$204,$E$4:$E$204,$A191))</f>
        <v/>
      </c>
      <c r="Q191" s="8">
        <f>IF(A191="","",(O191+P191)*Inputs!$B$6)</f>
        <v/>
      </c>
      <c r="R191" s="8">
        <f>IF(A191="","",IF(UPPER(TRIM(B191))="PIPE",PI()*(J191/1000)^2/4,IF(OR(K191="",L191=""),"",L191*(K191+M191*L191))))</f>
        <v/>
      </c>
      <c r="S191" s="8">
        <f>IF(A191="","",IF(UPPER(TRIM(B191))="PIPE",(J191/1000)/4,IF(OR(R191="",K191="",L191=""),"",R191/(K191+2*L191*SQRT(1+M191^2)))))</f>
        <v/>
      </c>
      <c r="T191" s="8">
        <f>IF(A191="","",IF(OR(I191="",R191="",S191="",G191=""),"",(1/I191)*R191*(S191^(2/3))*SQRT(G191)))</f>
        <v/>
      </c>
      <c r="U191" s="8">
        <f>IF(OR(T191="",Q191=""),"",Q191/(T191*Inputs!$B$19))</f>
        <v/>
      </c>
      <c r="V191" s="8">
        <f>IF(OR(R191="",Q191=""),"",Q191/R191)</f>
        <v/>
      </c>
      <c r="W191" s="8">
        <f>IF(OR(R191="",T191=""),"",T191/R191)</f>
        <v/>
      </c>
      <c r="X191" s="8">
        <f>IF(A191="","",IF(OR(UPPER(TRIM(Inputs!$B$15))="MANNING",UPPER(TRIM(Inputs!$B$15))="M"),W191,IF(OR(UPPER(TRIM(Inputs!$B$15))="MAX",UPPER(TRIM(Inputs!$B$15))="X"),MAX(V191,W191),V191)))</f>
        <v/>
      </c>
      <c r="Y191" s="8">
        <f>IF(A191="","",IF(UPPER(TRIM(B191))="TRENCH",K191*L191*N191,IF(UPPER(TRIM(B191))="SWALE",K191*L191,0)))</f>
        <v/>
      </c>
      <c r="Z191" s="8">
        <f>IF(OR(Y191="",F191=""),"",Y191*F191)</f>
        <v/>
      </c>
      <c r="AA191" s="4">
        <f>IF(A191="","",IF(OR(U191&gt;1,AND(X191&lt;&gt;"",X191&lt;Inputs!$B$16),AND(X191&lt;&gt;"",X191&gt;Inputs!$B$17),G191&lt;Inputs!$B$18,AH191="CHECK"),"CHECK","OK"))</f>
        <v/>
      </c>
      <c r="AB191" s="4" t="n"/>
      <c r="AC191" s="7" t="n"/>
      <c r="AD191" s="8">
        <f>IF(A191="","",IF(AC191&lt;&gt;"",AC191,IF(E191="",Inputs!$B$38,IFERROR(INDEX($AE$4:$AE$204,MATCH(E191,$A$4:$A$204,0))+IF(OR(AND(UPPER(TRIM(B191))="SWALE",UPPER(TRIM(AI191))="PIPE"),AND(UPPER(TRIM(B191))="TRENCH",UPPER(TRIM(AI191))="PIPE")),Inputs!$B$57,0),""))))</f>
        <v/>
      </c>
      <c r="AE191" s="8">
        <f>IF(OR(AD191="",F191="",G191=""),"",AD191+F191*G191)</f>
        <v/>
      </c>
      <c r="AF191" s="8">
        <f>IF(OR(E191="",A191=""),"",IFERROR(INDEX($AE$4:$AE$204,MATCH(E191,$A$4:$A$204,0)),""))</f>
        <v/>
      </c>
      <c r="AG191" s="8">
        <f>IF(OR(AD191="",AF191=""),"",AD191-AF191)</f>
        <v/>
      </c>
      <c r="AH191" s="4">
        <f>IF(A191="","",IF(E191="","TERMINAL",IF(OR(AND(UPPER(TRIM(B191))="SWALE",UPPER(TRIM(AI191))="PIPE"),AND(UPPER(TRIM(B191))="TRENCH",UPPER(TRIM(AI191))="PIPE")),IF(OR(AG191="",AJ191="",AK191=""),"INFO",IF(AND(AG191&gt;=AJ191,AG191&lt;=AK191),"OK","CHECK")),IF(AG191="","INFO",IF(ABS(AG191)&lt;=Inputs!$B$54,"OK","CHECK")))))</f>
        <v/>
      </c>
      <c r="AI191" s="17">
        <f>IF(A191="","",IF(E191="","",IFERROR(INDEX($B$4:$B$204,MATCH(E191,$A$4:$A$204,0)),"")))</f>
        <v/>
      </c>
      <c r="AJ191" s="17">
        <f>IF(A191="","",IF(OR(AND(UPPER(TRIM(B191))="SWALE",UPPER(TRIM(AI191))="PIPE"),AND(UPPER(TRIM(B191))="TRENCH",UPPER(TRIM(AI191))="PIPE")),Inputs!$B$55,0))</f>
        <v/>
      </c>
      <c r="AK191" s="17">
        <f>IF(A191="","",IF(OR(AND(UPPER(TRIM(B191))="SWALE",UPPER(TRIM(AI191))="PIPE"),AND(UPPER(TRIM(B191))="TRENCH",UPPER(TRIM(AI191))="PIPE")),Inputs!$B$56,Inputs!$B$54))</f>
        <v/>
      </c>
      <c r="AL191" s="4">
        <f>IF(A191="","",IF(E191="","TERMINAL",IF(OR(AND(UPPER(TRIM(B191))="SWALE",UPPER(TRIM(AI191))="PIPE"),AND(UPPER(TRIM(B191))="TRENCH",UPPER(TRIM(AI191))="PIPE")),IF(OR(AG191="",AJ191="",AK191=""),"INFO",IF(AND(AG191&gt;=AJ191,AG191&lt;=AK191),"OK","CHECK")),"N/A")))</f>
        <v/>
      </c>
    </row>
    <row r="192">
      <c r="A192" s="4" t="n"/>
      <c r="B192" s="4" t="n"/>
      <c r="C192" s="4" t="n"/>
      <c r="D192" s="4" t="n"/>
      <c r="E192" s="4" t="n"/>
      <c r="F192" s="7" t="n"/>
      <c r="G192" s="7" t="n"/>
      <c r="H192" s="7" t="n"/>
      <c r="I192" s="8">
        <f>IF(A192="","",IF(H192&lt;&gt;"",H192,IF(UPPER(TRIM(B192))="PIPE",Inputs!$B$7,IF(UPPER(TRIM(B192))="SWALE",Inputs!$B$8,Inputs!$B$9))))</f>
        <v/>
      </c>
      <c r="J192" s="7" t="n"/>
      <c r="K192" s="7" t="n"/>
      <c r="L192" s="7" t="n"/>
      <c r="M192" s="7" t="n"/>
      <c r="N192" s="7" t="n">
        <v>0</v>
      </c>
      <c r="O192" s="8">
        <f>IF(A192="","",SUMIFS(Zones_tributaires!$I:$I,Zones_tributaires!$J:$J,$A192))</f>
        <v/>
      </c>
      <c r="P192" s="8">
        <f>IF(A192="","",SUMIFS($Q$4:$Q$204,$E$4:$E$204,$A192))</f>
        <v/>
      </c>
      <c r="Q192" s="8">
        <f>IF(A192="","",(O192+P192)*Inputs!$B$6)</f>
        <v/>
      </c>
      <c r="R192" s="8">
        <f>IF(A192="","",IF(UPPER(TRIM(B192))="PIPE",PI()*(J192/1000)^2/4,IF(OR(K192="",L192=""),"",L192*(K192+M192*L192))))</f>
        <v/>
      </c>
      <c r="S192" s="8">
        <f>IF(A192="","",IF(UPPER(TRIM(B192))="PIPE",(J192/1000)/4,IF(OR(R192="",K192="",L192=""),"",R192/(K192+2*L192*SQRT(1+M192^2)))))</f>
        <v/>
      </c>
      <c r="T192" s="8">
        <f>IF(A192="","",IF(OR(I192="",R192="",S192="",G192=""),"",(1/I192)*R192*(S192^(2/3))*SQRT(G192)))</f>
        <v/>
      </c>
      <c r="U192" s="8">
        <f>IF(OR(T192="",Q192=""),"",Q192/(T192*Inputs!$B$19))</f>
        <v/>
      </c>
      <c r="V192" s="8">
        <f>IF(OR(R192="",Q192=""),"",Q192/R192)</f>
        <v/>
      </c>
      <c r="W192" s="8">
        <f>IF(OR(R192="",T192=""),"",T192/R192)</f>
        <v/>
      </c>
      <c r="X192" s="8">
        <f>IF(A192="","",IF(OR(UPPER(TRIM(Inputs!$B$15))="MANNING",UPPER(TRIM(Inputs!$B$15))="M"),W192,IF(OR(UPPER(TRIM(Inputs!$B$15))="MAX",UPPER(TRIM(Inputs!$B$15))="X"),MAX(V192,W192),V192)))</f>
        <v/>
      </c>
      <c r="Y192" s="8">
        <f>IF(A192="","",IF(UPPER(TRIM(B192))="TRENCH",K192*L192*N192,IF(UPPER(TRIM(B192))="SWALE",K192*L192,0)))</f>
        <v/>
      </c>
      <c r="Z192" s="8">
        <f>IF(OR(Y192="",F192=""),"",Y192*F192)</f>
        <v/>
      </c>
      <c r="AA192" s="4">
        <f>IF(A192="","",IF(OR(U192&gt;1,AND(X192&lt;&gt;"",X192&lt;Inputs!$B$16),AND(X192&lt;&gt;"",X192&gt;Inputs!$B$17),G192&lt;Inputs!$B$18,AH192="CHECK"),"CHECK","OK"))</f>
        <v/>
      </c>
      <c r="AB192" s="4" t="n"/>
      <c r="AC192" s="7" t="n"/>
      <c r="AD192" s="8">
        <f>IF(A192="","",IF(AC192&lt;&gt;"",AC192,IF(E192="",Inputs!$B$38,IFERROR(INDEX($AE$4:$AE$204,MATCH(E192,$A$4:$A$204,0))+IF(OR(AND(UPPER(TRIM(B192))="SWALE",UPPER(TRIM(AI192))="PIPE"),AND(UPPER(TRIM(B192))="TRENCH",UPPER(TRIM(AI192))="PIPE")),Inputs!$B$57,0),""))))</f>
        <v/>
      </c>
      <c r="AE192" s="8">
        <f>IF(OR(AD192="",F192="",G192=""),"",AD192+F192*G192)</f>
        <v/>
      </c>
      <c r="AF192" s="8">
        <f>IF(OR(E192="",A192=""),"",IFERROR(INDEX($AE$4:$AE$204,MATCH(E192,$A$4:$A$204,0)),""))</f>
        <v/>
      </c>
      <c r="AG192" s="8">
        <f>IF(OR(AD192="",AF192=""),"",AD192-AF192)</f>
        <v/>
      </c>
      <c r="AH192" s="4">
        <f>IF(A192="","",IF(E192="","TERMINAL",IF(OR(AND(UPPER(TRIM(B192))="SWALE",UPPER(TRIM(AI192))="PIPE"),AND(UPPER(TRIM(B192))="TRENCH",UPPER(TRIM(AI192))="PIPE")),IF(OR(AG192="",AJ192="",AK192=""),"INFO",IF(AND(AG192&gt;=AJ192,AG192&lt;=AK192),"OK","CHECK")),IF(AG192="","INFO",IF(ABS(AG192)&lt;=Inputs!$B$54,"OK","CHECK")))))</f>
        <v/>
      </c>
      <c r="AI192" s="17">
        <f>IF(A192="","",IF(E192="","",IFERROR(INDEX($B$4:$B$204,MATCH(E192,$A$4:$A$204,0)),"")))</f>
        <v/>
      </c>
      <c r="AJ192" s="17">
        <f>IF(A192="","",IF(OR(AND(UPPER(TRIM(B192))="SWALE",UPPER(TRIM(AI192))="PIPE"),AND(UPPER(TRIM(B192))="TRENCH",UPPER(TRIM(AI192))="PIPE")),Inputs!$B$55,0))</f>
        <v/>
      </c>
      <c r="AK192" s="17">
        <f>IF(A192="","",IF(OR(AND(UPPER(TRIM(B192))="SWALE",UPPER(TRIM(AI192))="PIPE"),AND(UPPER(TRIM(B192))="TRENCH",UPPER(TRIM(AI192))="PIPE")),Inputs!$B$56,Inputs!$B$54))</f>
        <v/>
      </c>
      <c r="AL192" s="4">
        <f>IF(A192="","",IF(E192="","TERMINAL",IF(OR(AND(UPPER(TRIM(B192))="SWALE",UPPER(TRIM(AI192))="PIPE"),AND(UPPER(TRIM(B192))="TRENCH",UPPER(TRIM(AI192))="PIPE")),IF(OR(AG192="",AJ192="",AK192=""),"INFO",IF(AND(AG192&gt;=AJ192,AG192&lt;=AK192),"OK","CHECK")),"N/A")))</f>
        <v/>
      </c>
    </row>
    <row r="193">
      <c r="A193" s="4" t="n"/>
      <c r="B193" s="4" t="n"/>
      <c r="C193" s="4" t="n"/>
      <c r="D193" s="4" t="n"/>
      <c r="E193" s="4" t="n"/>
      <c r="F193" s="7" t="n"/>
      <c r="G193" s="7" t="n"/>
      <c r="H193" s="7" t="n"/>
      <c r="I193" s="8">
        <f>IF(A193="","",IF(H193&lt;&gt;"",H193,IF(UPPER(TRIM(B193))="PIPE",Inputs!$B$7,IF(UPPER(TRIM(B193))="SWALE",Inputs!$B$8,Inputs!$B$9))))</f>
        <v/>
      </c>
      <c r="J193" s="7" t="n"/>
      <c r="K193" s="7" t="n"/>
      <c r="L193" s="7" t="n"/>
      <c r="M193" s="7" t="n"/>
      <c r="N193" s="7" t="n">
        <v>0</v>
      </c>
      <c r="O193" s="8">
        <f>IF(A193="","",SUMIFS(Zones_tributaires!$I:$I,Zones_tributaires!$J:$J,$A193))</f>
        <v/>
      </c>
      <c r="P193" s="8">
        <f>IF(A193="","",SUMIFS($Q$4:$Q$204,$E$4:$E$204,$A193))</f>
        <v/>
      </c>
      <c r="Q193" s="8">
        <f>IF(A193="","",(O193+P193)*Inputs!$B$6)</f>
        <v/>
      </c>
      <c r="R193" s="8">
        <f>IF(A193="","",IF(UPPER(TRIM(B193))="PIPE",PI()*(J193/1000)^2/4,IF(OR(K193="",L193=""),"",L193*(K193+M193*L193))))</f>
        <v/>
      </c>
      <c r="S193" s="8">
        <f>IF(A193="","",IF(UPPER(TRIM(B193))="PIPE",(J193/1000)/4,IF(OR(R193="",K193="",L193=""),"",R193/(K193+2*L193*SQRT(1+M193^2)))))</f>
        <v/>
      </c>
      <c r="T193" s="8">
        <f>IF(A193="","",IF(OR(I193="",R193="",S193="",G193=""),"",(1/I193)*R193*(S193^(2/3))*SQRT(G193)))</f>
        <v/>
      </c>
      <c r="U193" s="8">
        <f>IF(OR(T193="",Q193=""),"",Q193/(T193*Inputs!$B$19))</f>
        <v/>
      </c>
      <c r="V193" s="8">
        <f>IF(OR(R193="",Q193=""),"",Q193/R193)</f>
        <v/>
      </c>
      <c r="W193" s="8">
        <f>IF(OR(R193="",T193=""),"",T193/R193)</f>
        <v/>
      </c>
      <c r="X193" s="8">
        <f>IF(A193="","",IF(OR(UPPER(TRIM(Inputs!$B$15))="MANNING",UPPER(TRIM(Inputs!$B$15))="M"),W193,IF(OR(UPPER(TRIM(Inputs!$B$15))="MAX",UPPER(TRIM(Inputs!$B$15))="X"),MAX(V193,W193),V193)))</f>
        <v/>
      </c>
      <c r="Y193" s="8">
        <f>IF(A193="","",IF(UPPER(TRIM(B193))="TRENCH",K193*L193*N193,IF(UPPER(TRIM(B193))="SWALE",K193*L193,0)))</f>
        <v/>
      </c>
      <c r="Z193" s="8">
        <f>IF(OR(Y193="",F193=""),"",Y193*F193)</f>
        <v/>
      </c>
      <c r="AA193" s="4">
        <f>IF(A193="","",IF(OR(U193&gt;1,AND(X193&lt;&gt;"",X193&lt;Inputs!$B$16),AND(X193&lt;&gt;"",X193&gt;Inputs!$B$17),G193&lt;Inputs!$B$18,AH193="CHECK"),"CHECK","OK"))</f>
        <v/>
      </c>
      <c r="AB193" s="4" t="n"/>
      <c r="AC193" s="7" t="n"/>
      <c r="AD193" s="8">
        <f>IF(A193="","",IF(AC193&lt;&gt;"",AC193,IF(E193="",Inputs!$B$38,IFERROR(INDEX($AE$4:$AE$204,MATCH(E193,$A$4:$A$204,0))+IF(OR(AND(UPPER(TRIM(B193))="SWALE",UPPER(TRIM(AI193))="PIPE"),AND(UPPER(TRIM(B193))="TRENCH",UPPER(TRIM(AI193))="PIPE")),Inputs!$B$57,0),""))))</f>
        <v/>
      </c>
      <c r="AE193" s="8">
        <f>IF(OR(AD193="",F193="",G193=""),"",AD193+F193*G193)</f>
        <v/>
      </c>
      <c r="AF193" s="8">
        <f>IF(OR(E193="",A193=""),"",IFERROR(INDEX($AE$4:$AE$204,MATCH(E193,$A$4:$A$204,0)),""))</f>
        <v/>
      </c>
      <c r="AG193" s="8">
        <f>IF(OR(AD193="",AF193=""),"",AD193-AF193)</f>
        <v/>
      </c>
      <c r="AH193" s="4">
        <f>IF(A193="","",IF(E193="","TERMINAL",IF(OR(AND(UPPER(TRIM(B193))="SWALE",UPPER(TRIM(AI193))="PIPE"),AND(UPPER(TRIM(B193))="TRENCH",UPPER(TRIM(AI193))="PIPE")),IF(OR(AG193="",AJ193="",AK193=""),"INFO",IF(AND(AG193&gt;=AJ193,AG193&lt;=AK193),"OK","CHECK")),IF(AG193="","INFO",IF(ABS(AG193)&lt;=Inputs!$B$54,"OK","CHECK")))))</f>
        <v/>
      </c>
      <c r="AI193" s="17">
        <f>IF(A193="","",IF(E193="","",IFERROR(INDEX($B$4:$B$204,MATCH(E193,$A$4:$A$204,0)),"")))</f>
        <v/>
      </c>
      <c r="AJ193" s="17">
        <f>IF(A193="","",IF(OR(AND(UPPER(TRIM(B193))="SWALE",UPPER(TRIM(AI193))="PIPE"),AND(UPPER(TRIM(B193))="TRENCH",UPPER(TRIM(AI193))="PIPE")),Inputs!$B$55,0))</f>
        <v/>
      </c>
      <c r="AK193" s="17">
        <f>IF(A193="","",IF(OR(AND(UPPER(TRIM(B193))="SWALE",UPPER(TRIM(AI193))="PIPE"),AND(UPPER(TRIM(B193))="TRENCH",UPPER(TRIM(AI193))="PIPE")),Inputs!$B$56,Inputs!$B$54))</f>
        <v/>
      </c>
      <c r="AL193" s="4">
        <f>IF(A193="","",IF(E193="","TERMINAL",IF(OR(AND(UPPER(TRIM(B193))="SWALE",UPPER(TRIM(AI193))="PIPE"),AND(UPPER(TRIM(B193))="TRENCH",UPPER(TRIM(AI193))="PIPE")),IF(OR(AG193="",AJ193="",AK193=""),"INFO",IF(AND(AG193&gt;=AJ193,AG193&lt;=AK193),"OK","CHECK")),"N/A")))</f>
        <v/>
      </c>
    </row>
    <row r="194">
      <c r="A194" s="4" t="n"/>
      <c r="B194" s="4" t="n"/>
      <c r="C194" s="4" t="n"/>
      <c r="D194" s="4" t="n"/>
      <c r="E194" s="4" t="n"/>
      <c r="F194" s="7" t="n"/>
      <c r="G194" s="7" t="n"/>
      <c r="H194" s="7" t="n"/>
      <c r="I194" s="8">
        <f>IF(A194="","",IF(H194&lt;&gt;"",H194,IF(UPPER(TRIM(B194))="PIPE",Inputs!$B$7,IF(UPPER(TRIM(B194))="SWALE",Inputs!$B$8,Inputs!$B$9))))</f>
        <v/>
      </c>
      <c r="J194" s="7" t="n"/>
      <c r="K194" s="7" t="n"/>
      <c r="L194" s="7" t="n"/>
      <c r="M194" s="7" t="n"/>
      <c r="N194" s="7" t="n">
        <v>0</v>
      </c>
      <c r="O194" s="8">
        <f>IF(A194="","",SUMIFS(Zones_tributaires!$I:$I,Zones_tributaires!$J:$J,$A194))</f>
        <v/>
      </c>
      <c r="P194" s="8">
        <f>IF(A194="","",SUMIFS($Q$4:$Q$204,$E$4:$E$204,$A194))</f>
        <v/>
      </c>
      <c r="Q194" s="8">
        <f>IF(A194="","",(O194+P194)*Inputs!$B$6)</f>
        <v/>
      </c>
      <c r="R194" s="8">
        <f>IF(A194="","",IF(UPPER(TRIM(B194))="PIPE",PI()*(J194/1000)^2/4,IF(OR(K194="",L194=""),"",L194*(K194+M194*L194))))</f>
        <v/>
      </c>
      <c r="S194" s="8">
        <f>IF(A194="","",IF(UPPER(TRIM(B194))="PIPE",(J194/1000)/4,IF(OR(R194="",K194="",L194=""),"",R194/(K194+2*L194*SQRT(1+M194^2)))))</f>
        <v/>
      </c>
      <c r="T194" s="8">
        <f>IF(A194="","",IF(OR(I194="",R194="",S194="",G194=""),"",(1/I194)*R194*(S194^(2/3))*SQRT(G194)))</f>
        <v/>
      </c>
      <c r="U194" s="8">
        <f>IF(OR(T194="",Q194=""),"",Q194/(T194*Inputs!$B$19))</f>
        <v/>
      </c>
      <c r="V194" s="8">
        <f>IF(OR(R194="",Q194=""),"",Q194/R194)</f>
        <v/>
      </c>
      <c r="W194" s="8">
        <f>IF(OR(R194="",T194=""),"",T194/R194)</f>
        <v/>
      </c>
      <c r="X194" s="8">
        <f>IF(A194="","",IF(OR(UPPER(TRIM(Inputs!$B$15))="MANNING",UPPER(TRIM(Inputs!$B$15))="M"),W194,IF(OR(UPPER(TRIM(Inputs!$B$15))="MAX",UPPER(TRIM(Inputs!$B$15))="X"),MAX(V194,W194),V194)))</f>
        <v/>
      </c>
      <c r="Y194" s="8">
        <f>IF(A194="","",IF(UPPER(TRIM(B194))="TRENCH",K194*L194*N194,IF(UPPER(TRIM(B194))="SWALE",K194*L194,0)))</f>
        <v/>
      </c>
      <c r="Z194" s="8">
        <f>IF(OR(Y194="",F194=""),"",Y194*F194)</f>
        <v/>
      </c>
      <c r="AA194" s="4">
        <f>IF(A194="","",IF(OR(U194&gt;1,AND(X194&lt;&gt;"",X194&lt;Inputs!$B$16),AND(X194&lt;&gt;"",X194&gt;Inputs!$B$17),G194&lt;Inputs!$B$18,AH194="CHECK"),"CHECK","OK"))</f>
        <v/>
      </c>
      <c r="AB194" s="4" t="n"/>
      <c r="AC194" s="7" t="n"/>
      <c r="AD194" s="8">
        <f>IF(A194="","",IF(AC194&lt;&gt;"",AC194,IF(E194="",Inputs!$B$38,IFERROR(INDEX($AE$4:$AE$204,MATCH(E194,$A$4:$A$204,0))+IF(OR(AND(UPPER(TRIM(B194))="SWALE",UPPER(TRIM(AI194))="PIPE"),AND(UPPER(TRIM(B194))="TRENCH",UPPER(TRIM(AI194))="PIPE")),Inputs!$B$57,0),""))))</f>
        <v/>
      </c>
      <c r="AE194" s="8">
        <f>IF(OR(AD194="",F194="",G194=""),"",AD194+F194*G194)</f>
        <v/>
      </c>
      <c r="AF194" s="8">
        <f>IF(OR(E194="",A194=""),"",IFERROR(INDEX($AE$4:$AE$204,MATCH(E194,$A$4:$A$204,0)),""))</f>
        <v/>
      </c>
      <c r="AG194" s="8">
        <f>IF(OR(AD194="",AF194=""),"",AD194-AF194)</f>
        <v/>
      </c>
      <c r="AH194" s="4">
        <f>IF(A194="","",IF(E194="","TERMINAL",IF(OR(AND(UPPER(TRIM(B194))="SWALE",UPPER(TRIM(AI194))="PIPE"),AND(UPPER(TRIM(B194))="TRENCH",UPPER(TRIM(AI194))="PIPE")),IF(OR(AG194="",AJ194="",AK194=""),"INFO",IF(AND(AG194&gt;=AJ194,AG194&lt;=AK194),"OK","CHECK")),IF(AG194="","INFO",IF(ABS(AG194)&lt;=Inputs!$B$54,"OK","CHECK")))))</f>
        <v/>
      </c>
      <c r="AI194" s="17">
        <f>IF(A194="","",IF(E194="","",IFERROR(INDEX($B$4:$B$204,MATCH(E194,$A$4:$A$204,0)),"")))</f>
        <v/>
      </c>
      <c r="AJ194" s="17">
        <f>IF(A194="","",IF(OR(AND(UPPER(TRIM(B194))="SWALE",UPPER(TRIM(AI194))="PIPE"),AND(UPPER(TRIM(B194))="TRENCH",UPPER(TRIM(AI194))="PIPE")),Inputs!$B$55,0))</f>
        <v/>
      </c>
      <c r="AK194" s="17">
        <f>IF(A194="","",IF(OR(AND(UPPER(TRIM(B194))="SWALE",UPPER(TRIM(AI194))="PIPE"),AND(UPPER(TRIM(B194))="TRENCH",UPPER(TRIM(AI194))="PIPE")),Inputs!$B$56,Inputs!$B$54))</f>
        <v/>
      </c>
      <c r="AL194" s="4">
        <f>IF(A194="","",IF(E194="","TERMINAL",IF(OR(AND(UPPER(TRIM(B194))="SWALE",UPPER(TRIM(AI194))="PIPE"),AND(UPPER(TRIM(B194))="TRENCH",UPPER(TRIM(AI194))="PIPE")),IF(OR(AG194="",AJ194="",AK194=""),"INFO",IF(AND(AG194&gt;=AJ194,AG194&lt;=AK194),"OK","CHECK")),"N/A")))</f>
        <v/>
      </c>
    </row>
    <row r="195">
      <c r="A195" s="4" t="n"/>
      <c r="B195" s="4" t="n"/>
      <c r="C195" s="4" t="n"/>
      <c r="D195" s="4" t="n"/>
      <c r="E195" s="4" t="n"/>
      <c r="F195" s="7" t="n"/>
      <c r="G195" s="7" t="n"/>
      <c r="H195" s="7" t="n"/>
      <c r="I195" s="8">
        <f>IF(A195="","",IF(H195&lt;&gt;"",H195,IF(UPPER(TRIM(B195))="PIPE",Inputs!$B$7,IF(UPPER(TRIM(B195))="SWALE",Inputs!$B$8,Inputs!$B$9))))</f>
        <v/>
      </c>
      <c r="J195" s="7" t="n"/>
      <c r="K195" s="7" t="n"/>
      <c r="L195" s="7" t="n"/>
      <c r="M195" s="7" t="n"/>
      <c r="N195" s="7" t="n">
        <v>0</v>
      </c>
      <c r="O195" s="8">
        <f>IF(A195="","",SUMIFS(Zones_tributaires!$I:$I,Zones_tributaires!$J:$J,$A195))</f>
        <v/>
      </c>
      <c r="P195" s="8">
        <f>IF(A195="","",SUMIFS($Q$4:$Q$204,$E$4:$E$204,$A195))</f>
        <v/>
      </c>
      <c r="Q195" s="8">
        <f>IF(A195="","",(O195+P195)*Inputs!$B$6)</f>
        <v/>
      </c>
      <c r="R195" s="8">
        <f>IF(A195="","",IF(UPPER(TRIM(B195))="PIPE",PI()*(J195/1000)^2/4,IF(OR(K195="",L195=""),"",L195*(K195+M195*L195))))</f>
        <v/>
      </c>
      <c r="S195" s="8">
        <f>IF(A195="","",IF(UPPER(TRIM(B195))="PIPE",(J195/1000)/4,IF(OR(R195="",K195="",L195=""),"",R195/(K195+2*L195*SQRT(1+M195^2)))))</f>
        <v/>
      </c>
      <c r="T195" s="8">
        <f>IF(A195="","",IF(OR(I195="",R195="",S195="",G195=""),"",(1/I195)*R195*(S195^(2/3))*SQRT(G195)))</f>
        <v/>
      </c>
      <c r="U195" s="8">
        <f>IF(OR(T195="",Q195=""),"",Q195/(T195*Inputs!$B$19))</f>
        <v/>
      </c>
      <c r="V195" s="8">
        <f>IF(OR(R195="",Q195=""),"",Q195/R195)</f>
        <v/>
      </c>
      <c r="W195" s="8">
        <f>IF(OR(R195="",T195=""),"",T195/R195)</f>
        <v/>
      </c>
      <c r="X195" s="8">
        <f>IF(A195="","",IF(OR(UPPER(TRIM(Inputs!$B$15))="MANNING",UPPER(TRIM(Inputs!$B$15))="M"),W195,IF(OR(UPPER(TRIM(Inputs!$B$15))="MAX",UPPER(TRIM(Inputs!$B$15))="X"),MAX(V195,W195),V195)))</f>
        <v/>
      </c>
      <c r="Y195" s="8">
        <f>IF(A195="","",IF(UPPER(TRIM(B195))="TRENCH",K195*L195*N195,IF(UPPER(TRIM(B195))="SWALE",K195*L195,0)))</f>
        <v/>
      </c>
      <c r="Z195" s="8">
        <f>IF(OR(Y195="",F195=""),"",Y195*F195)</f>
        <v/>
      </c>
      <c r="AA195" s="4">
        <f>IF(A195="","",IF(OR(U195&gt;1,AND(X195&lt;&gt;"",X195&lt;Inputs!$B$16),AND(X195&lt;&gt;"",X195&gt;Inputs!$B$17),G195&lt;Inputs!$B$18,AH195="CHECK"),"CHECK","OK"))</f>
        <v/>
      </c>
      <c r="AB195" s="4" t="n"/>
      <c r="AC195" s="7" t="n"/>
      <c r="AD195" s="8">
        <f>IF(A195="","",IF(AC195&lt;&gt;"",AC195,IF(E195="",Inputs!$B$38,IFERROR(INDEX($AE$4:$AE$204,MATCH(E195,$A$4:$A$204,0))+IF(OR(AND(UPPER(TRIM(B195))="SWALE",UPPER(TRIM(AI195))="PIPE"),AND(UPPER(TRIM(B195))="TRENCH",UPPER(TRIM(AI195))="PIPE")),Inputs!$B$57,0),""))))</f>
        <v/>
      </c>
      <c r="AE195" s="8">
        <f>IF(OR(AD195="",F195="",G195=""),"",AD195+F195*G195)</f>
        <v/>
      </c>
      <c r="AF195" s="8">
        <f>IF(OR(E195="",A195=""),"",IFERROR(INDEX($AE$4:$AE$204,MATCH(E195,$A$4:$A$204,0)),""))</f>
        <v/>
      </c>
      <c r="AG195" s="8">
        <f>IF(OR(AD195="",AF195=""),"",AD195-AF195)</f>
        <v/>
      </c>
      <c r="AH195" s="4">
        <f>IF(A195="","",IF(E195="","TERMINAL",IF(OR(AND(UPPER(TRIM(B195))="SWALE",UPPER(TRIM(AI195))="PIPE"),AND(UPPER(TRIM(B195))="TRENCH",UPPER(TRIM(AI195))="PIPE")),IF(OR(AG195="",AJ195="",AK195=""),"INFO",IF(AND(AG195&gt;=AJ195,AG195&lt;=AK195),"OK","CHECK")),IF(AG195="","INFO",IF(ABS(AG195)&lt;=Inputs!$B$54,"OK","CHECK")))))</f>
        <v/>
      </c>
      <c r="AI195" s="17">
        <f>IF(A195="","",IF(E195="","",IFERROR(INDEX($B$4:$B$204,MATCH(E195,$A$4:$A$204,0)),"")))</f>
        <v/>
      </c>
      <c r="AJ195" s="17">
        <f>IF(A195="","",IF(OR(AND(UPPER(TRIM(B195))="SWALE",UPPER(TRIM(AI195))="PIPE"),AND(UPPER(TRIM(B195))="TRENCH",UPPER(TRIM(AI195))="PIPE")),Inputs!$B$55,0))</f>
        <v/>
      </c>
      <c r="AK195" s="17">
        <f>IF(A195="","",IF(OR(AND(UPPER(TRIM(B195))="SWALE",UPPER(TRIM(AI195))="PIPE"),AND(UPPER(TRIM(B195))="TRENCH",UPPER(TRIM(AI195))="PIPE")),Inputs!$B$56,Inputs!$B$54))</f>
        <v/>
      </c>
      <c r="AL195" s="4">
        <f>IF(A195="","",IF(E195="","TERMINAL",IF(OR(AND(UPPER(TRIM(B195))="SWALE",UPPER(TRIM(AI195))="PIPE"),AND(UPPER(TRIM(B195))="TRENCH",UPPER(TRIM(AI195))="PIPE")),IF(OR(AG195="",AJ195="",AK195=""),"INFO",IF(AND(AG195&gt;=AJ195,AG195&lt;=AK195),"OK","CHECK")),"N/A")))</f>
        <v/>
      </c>
    </row>
    <row r="196">
      <c r="A196" s="4" t="n"/>
      <c r="B196" s="4" t="n"/>
      <c r="C196" s="4" t="n"/>
      <c r="D196" s="4" t="n"/>
      <c r="E196" s="4" t="n"/>
      <c r="F196" s="7" t="n"/>
      <c r="G196" s="7" t="n"/>
      <c r="H196" s="7" t="n"/>
      <c r="I196" s="8">
        <f>IF(A196="","",IF(H196&lt;&gt;"",H196,IF(UPPER(TRIM(B196))="PIPE",Inputs!$B$7,IF(UPPER(TRIM(B196))="SWALE",Inputs!$B$8,Inputs!$B$9))))</f>
        <v/>
      </c>
      <c r="J196" s="7" t="n"/>
      <c r="K196" s="7" t="n"/>
      <c r="L196" s="7" t="n"/>
      <c r="M196" s="7" t="n"/>
      <c r="N196" s="7" t="n">
        <v>0</v>
      </c>
      <c r="O196" s="8">
        <f>IF(A196="","",SUMIFS(Zones_tributaires!$I:$I,Zones_tributaires!$J:$J,$A196))</f>
        <v/>
      </c>
      <c r="P196" s="8">
        <f>IF(A196="","",SUMIFS($Q$4:$Q$204,$E$4:$E$204,$A196))</f>
        <v/>
      </c>
      <c r="Q196" s="8">
        <f>IF(A196="","",(O196+P196)*Inputs!$B$6)</f>
        <v/>
      </c>
      <c r="R196" s="8">
        <f>IF(A196="","",IF(UPPER(TRIM(B196))="PIPE",PI()*(J196/1000)^2/4,IF(OR(K196="",L196=""),"",L196*(K196+M196*L196))))</f>
        <v/>
      </c>
      <c r="S196" s="8">
        <f>IF(A196="","",IF(UPPER(TRIM(B196))="PIPE",(J196/1000)/4,IF(OR(R196="",K196="",L196=""),"",R196/(K196+2*L196*SQRT(1+M196^2)))))</f>
        <v/>
      </c>
      <c r="T196" s="8">
        <f>IF(A196="","",IF(OR(I196="",R196="",S196="",G196=""),"",(1/I196)*R196*(S196^(2/3))*SQRT(G196)))</f>
        <v/>
      </c>
      <c r="U196" s="8">
        <f>IF(OR(T196="",Q196=""),"",Q196/(T196*Inputs!$B$19))</f>
        <v/>
      </c>
      <c r="V196" s="8">
        <f>IF(OR(R196="",Q196=""),"",Q196/R196)</f>
        <v/>
      </c>
      <c r="W196" s="8">
        <f>IF(OR(R196="",T196=""),"",T196/R196)</f>
        <v/>
      </c>
      <c r="X196" s="8">
        <f>IF(A196="","",IF(OR(UPPER(TRIM(Inputs!$B$15))="MANNING",UPPER(TRIM(Inputs!$B$15))="M"),W196,IF(OR(UPPER(TRIM(Inputs!$B$15))="MAX",UPPER(TRIM(Inputs!$B$15))="X"),MAX(V196,W196),V196)))</f>
        <v/>
      </c>
      <c r="Y196" s="8">
        <f>IF(A196="","",IF(UPPER(TRIM(B196))="TRENCH",K196*L196*N196,IF(UPPER(TRIM(B196))="SWALE",K196*L196,0)))</f>
        <v/>
      </c>
      <c r="Z196" s="8">
        <f>IF(OR(Y196="",F196=""),"",Y196*F196)</f>
        <v/>
      </c>
      <c r="AA196" s="4">
        <f>IF(A196="","",IF(OR(U196&gt;1,AND(X196&lt;&gt;"",X196&lt;Inputs!$B$16),AND(X196&lt;&gt;"",X196&gt;Inputs!$B$17),G196&lt;Inputs!$B$18,AH196="CHECK"),"CHECK","OK"))</f>
        <v/>
      </c>
      <c r="AB196" s="4" t="n"/>
      <c r="AC196" s="7" t="n"/>
      <c r="AD196" s="8">
        <f>IF(A196="","",IF(AC196&lt;&gt;"",AC196,IF(E196="",Inputs!$B$38,IFERROR(INDEX($AE$4:$AE$204,MATCH(E196,$A$4:$A$204,0))+IF(OR(AND(UPPER(TRIM(B196))="SWALE",UPPER(TRIM(AI196))="PIPE"),AND(UPPER(TRIM(B196))="TRENCH",UPPER(TRIM(AI196))="PIPE")),Inputs!$B$57,0),""))))</f>
        <v/>
      </c>
      <c r="AE196" s="8">
        <f>IF(OR(AD196="",F196="",G196=""),"",AD196+F196*G196)</f>
        <v/>
      </c>
      <c r="AF196" s="8">
        <f>IF(OR(E196="",A196=""),"",IFERROR(INDEX($AE$4:$AE$204,MATCH(E196,$A$4:$A$204,0)),""))</f>
        <v/>
      </c>
      <c r="AG196" s="8">
        <f>IF(OR(AD196="",AF196=""),"",AD196-AF196)</f>
        <v/>
      </c>
      <c r="AH196" s="4">
        <f>IF(A196="","",IF(E196="","TERMINAL",IF(OR(AND(UPPER(TRIM(B196))="SWALE",UPPER(TRIM(AI196))="PIPE"),AND(UPPER(TRIM(B196))="TRENCH",UPPER(TRIM(AI196))="PIPE")),IF(OR(AG196="",AJ196="",AK196=""),"INFO",IF(AND(AG196&gt;=AJ196,AG196&lt;=AK196),"OK","CHECK")),IF(AG196="","INFO",IF(ABS(AG196)&lt;=Inputs!$B$54,"OK","CHECK")))))</f>
        <v/>
      </c>
      <c r="AI196" s="17">
        <f>IF(A196="","",IF(E196="","",IFERROR(INDEX($B$4:$B$204,MATCH(E196,$A$4:$A$204,0)),"")))</f>
        <v/>
      </c>
      <c r="AJ196" s="17">
        <f>IF(A196="","",IF(OR(AND(UPPER(TRIM(B196))="SWALE",UPPER(TRIM(AI196))="PIPE"),AND(UPPER(TRIM(B196))="TRENCH",UPPER(TRIM(AI196))="PIPE")),Inputs!$B$55,0))</f>
        <v/>
      </c>
      <c r="AK196" s="17">
        <f>IF(A196="","",IF(OR(AND(UPPER(TRIM(B196))="SWALE",UPPER(TRIM(AI196))="PIPE"),AND(UPPER(TRIM(B196))="TRENCH",UPPER(TRIM(AI196))="PIPE")),Inputs!$B$56,Inputs!$B$54))</f>
        <v/>
      </c>
      <c r="AL196" s="4">
        <f>IF(A196="","",IF(E196="","TERMINAL",IF(OR(AND(UPPER(TRIM(B196))="SWALE",UPPER(TRIM(AI196))="PIPE"),AND(UPPER(TRIM(B196))="TRENCH",UPPER(TRIM(AI196))="PIPE")),IF(OR(AG196="",AJ196="",AK196=""),"INFO",IF(AND(AG196&gt;=AJ196,AG196&lt;=AK196),"OK","CHECK")),"N/A")))</f>
        <v/>
      </c>
    </row>
    <row r="197">
      <c r="A197" s="4" t="n"/>
      <c r="B197" s="4" t="n"/>
      <c r="C197" s="4" t="n"/>
      <c r="D197" s="4" t="n"/>
      <c r="E197" s="4" t="n"/>
      <c r="F197" s="7" t="n"/>
      <c r="G197" s="7" t="n"/>
      <c r="H197" s="7" t="n"/>
      <c r="I197" s="8">
        <f>IF(A197="","",IF(H197&lt;&gt;"",H197,IF(UPPER(TRIM(B197))="PIPE",Inputs!$B$7,IF(UPPER(TRIM(B197))="SWALE",Inputs!$B$8,Inputs!$B$9))))</f>
        <v/>
      </c>
      <c r="J197" s="7" t="n"/>
      <c r="K197" s="7" t="n"/>
      <c r="L197" s="7" t="n"/>
      <c r="M197" s="7" t="n"/>
      <c r="N197" s="7" t="n">
        <v>0</v>
      </c>
      <c r="O197" s="8">
        <f>IF(A197="","",SUMIFS(Zones_tributaires!$I:$I,Zones_tributaires!$J:$J,$A197))</f>
        <v/>
      </c>
      <c r="P197" s="8">
        <f>IF(A197="","",SUMIFS($Q$4:$Q$204,$E$4:$E$204,$A197))</f>
        <v/>
      </c>
      <c r="Q197" s="8">
        <f>IF(A197="","",(O197+P197)*Inputs!$B$6)</f>
        <v/>
      </c>
      <c r="R197" s="8">
        <f>IF(A197="","",IF(UPPER(TRIM(B197))="PIPE",PI()*(J197/1000)^2/4,IF(OR(K197="",L197=""),"",L197*(K197+M197*L197))))</f>
        <v/>
      </c>
      <c r="S197" s="8">
        <f>IF(A197="","",IF(UPPER(TRIM(B197))="PIPE",(J197/1000)/4,IF(OR(R197="",K197="",L197=""),"",R197/(K197+2*L197*SQRT(1+M197^2)))))</f>
        <v/>
      </c>
      <c r="T197" s="8">
        <f>IF(A197="","",IF(OR(I197="",R197="",S197="",G197=""),"",(1/I197)*R197*(S197^(2/3))*SQRT(G197)))</f>
        <v/>
      </c>
      <c r="U197" s="8">
        <f>IF(OR(T197="",Q197=""),"",Q197/(T197*Inputs!$B$19))</f>
        <v/>
      </c>
      <c r="V197" s="8">
        <f>IF(OR(R197="",Q197=""),"",Q197/R197)</f>
        <v/>
      </c>
      <c r="W197" s="8">
        <f>IF(OR(R197="",T197=""),"",T197/R197)</f>
        <v/>
      </c>
      <c r="X197" s="8">
        <f>IF(A197="","",IF(OR(UPPER(TRIM(Inputs!$B$15))="MANNING",UPPER(TRIM(Inputs!$B$15))="M"),W197,IF(OR(UPPER(TRIM(Inputs!$B$15))="MAX",UPPER(TRIM(Inputs!$B$15))="X"),MAX(V197,W197),V197)))</f>
        <v/>
      </c>
      <c r="Y197" s="8">
        <f>IF(A197="","",IF(UPPER(TRIM(B197))="TRENCH",K197*L197*N197,IF(UPPER(TRIM(B197))="SWALE",K197*L197,0)))</f>
        <v/>
      </c>
      <c r="Z197" s="8">
        <f>IF(OR(Y197="",F197=""),"",Y197*F197)</f>
        <v/>
      </c>
      <c r="AA197" s="4">
        <f>IF(A197="","",IF(OR(U197&gt;1,AND(X197&lt;&gt;"",X197&lt;Inputs!$B$16),AND(X197&lt;&gt;"",X197&gt;Inputs!$B$17),G197&lt;Inputs!$B$18,AH197="CHECK"),"CHECK","OK"))</f>
        <v/>
      </c>
      <c r="AB197" s="4" t="n"/>
      <c r="AC197" s="7" t="n"/>
      <c r="AD197" s="8">
        <f>IF(A197="","",IF(AC197&lt;&gt;"",AC197,IF(E197="",Inputs!$B$38,IFERROR(INDEX($AE$4:$AE$204,MATCH(E197,$A$4:$A$204,0))+IF(OR(AND(UPPER(TRIM(B197))="SWALE",UPPER(TRIM(AI197))="PIPE"),AND(UPPER(TRIM(B197))="TRENCH",UPPER(TRIM(AI197))="PIPE")),Inputs!$B$57,0),""))))</f>
        <v/>
      </c>
      <c r="AE197" s="8">
        <f>IF(OR(AD197="",F197="",G197=""),"",AD197+F197*G197)</f>
        <v/>
      </c>
      <c r="AF197" s="8">
        <f>IF(OR(E197="",A197=""),"",IFERROR(INDEX($AE$4:$AE$204,MATCH(E197,$A$4:$A$204,0)),""))</f>
        <v/>
      </c>
      <c r="AG197" s="8">
        <f>IF(OR(AD197="",AF197=""),"",AD197-AF197)</f>
        <v/>
      </c>
      <c r="AH197" s="4">
        <f>IF(A197="","",IF(E197="","TERMINAL",IF(OR(AND(UPPER(TRIM(B197))="SWALE",UPPER(TRIM(AI197))="PIPE"),AND(UPPER(TRIM(B197))="TRENCH",UPPER(TRIM(AI197))="PIPE")),IF(OR(AG197="",AJ197="",AK197=""),"INFO",IF(AND(AG197&gt;=AJ197,AG197&lt;=AK197),"OK","CHECK")),IF(AG197="","INFO",IF(ABS(AG197)&lt;=Inputs!$B$54,"OK","CHECK")))))</f>
        <v/>
      </c>
      <c r="AI197" s="17">
        <f>IF(A197="","",IF(E197="","",IFERROR(INDEX($B$4:$B$204,MATCH(E197,$A$4:$A$204,0)),"")))</f>
        <v/>
      </c>
      <c r="AJ197" s="17">
        <f>IF(A197="","",IF(OR(AND(UPPER(TRIM(B197))="SWALE",UPPER(TRIM(AI197))="PIPE"),AND(UPPER(TRIM(B197))="TRENCH",UPPER(TRIM(AI197))="PIPE")),Inputs!$B$55,0))</f>
        <v/>
      </c>
      <c r="AK197" s="17">
        <f>IF(A197="","",IF(OR(AND(UPPER(TRIM(B197))="SWALE",UPPER(TRIM(AI197))="PIPE"),AND(UPPER(TRIM(B197))="TRENCH",UPPER(TRIM(AI197))="PIPE")),Inputs!$B$56,Inputs!$B$54))</f>
        <v/>
      </c>
      <c r="AL197" s="4">
        <f>IF(A197="","",IF(E197="","TERMINAL",IF(OR(AND(UPPER(TRIM(B197))="SWALE",UPPER(TRIM(AI197))="PIPE"),AND(UPPER(TRIM(B197))="TRENCH",UPPER(TRIM(AI197))="PIPE")),IF(OR(AG197="",AJ197="",AK197=""),"INFO",IF(AND(AG197&gt;=AJ197,AG197&lt;=AK197),"OK","CHECK")),"N/A")))</f>
        <v/>
      </c>
    </row>
    <row r="198">
      <c r="A198" s="4" t="n"/>
      <c r="B198" s="4" t="n"/>
      <c r="C198" s="4" t="n"/>
      <c r="D198" s="4" t="n"/>
      <c r="E198" s="4" t="n"/>
      <c r="F198" s="7" t="n"/>
      <c r="G198" s="7" t="n"/>
      <c r="H198" s="7" t="n"/>
      <c r="I198" s="8">
        <f>IF(A198="","",IF(H198&lt;&gt;"",H198,IF(UPPER(TRIM(B198))="PIPE",Inputs!$B$7,IF(UPPER(TRIM(B198))="SWALE",Inputs!$B$8,Inputs!$B$9))))</f>
        <v/>
      </c>
      <c r="J198" s="7" t="n"/>
      <c r="K198" s="7" t="n"/>
      <c r="L198" s="7" t="n"/>
      <c r="M198" s="7" t="n"/>
      <c r="N198" s="7" t="n">
        <v>0</v>
      </c>
      <c r="O198" s="8">
        <f>IF(A198="","",SUMIFS(Zones_tributaires!$I:$I,Zones_tributaires!$J:$J,$A198))</f>
        <v/>
      </c>
      <c r="P198" s="8">
        <f>IF(A198="","",SUMIFS($Q$4:$Q$204,$E$4:$E$204,$A198))</f>
        <v/>
      </c>
      <c r="Q198" s="8">
        <f>IF(A198="","",(O198+P198)*Inputs!$B$6)</f>
        <v/>
      </c>
      <c r="R198" s="8">
        <f>IF(A198="","",IF(UPPER(TRIM(B198))="PIPE",PI()*(J198/1000)^2/4,IF(OR(K198="",L198=""),"",L198*(K198+M198*L198))))</f>
        <v/>
      </c>
      <c r="S198" s="8">
        <f>IF(A198="","",IF(UPPER(TRIM(B198))="PIPE",(J198/1000)/4,IF(OR(R198="",K198="",L198=""),"",R198/(K198+2*L198*SQRT(1+M198^2)))))</f>
        <v/>
      </c>
      <c r="T198" s="8">
        <f>IF(A198="","",IF(OR(I198="",R198="",S198="",G198=""),"",(1/I198)*R198*(S198^(2/3))*SQRT(G198)))</f>
        <v/>
      </c>
      <c r="U198" s="8">
        <f>IF(OR(T198="",Q198=""),"",Q198/(T198*Inputs!$B$19))</f>
        <v/>
      </c>
      <c r="V198" s="8">
        <f>IF(OR(R198="",Q198=""),"",Q198/R198)</f>
        <v/>
      </c>
      <c r="W198" s="8">
        <f>IF(OR(R198="",T198=""),"",T198/R198)</f>
        <v/>
      </c>
      <c r="X198" s="8">
        <f>IF(A198="","",IF(OR(UPPER(TRIM(Inputs!$B$15))="MANNING",UPPER(TRIM(Inputs!$B$15))="M"),W198,IF(OR(UPPER(TRIM(Inputs!$B$15))="MAX",UPPER(TRIM(Inputs!$B$15))="X"),MAX(V198,W198),V198)))</f>
        <v/>
      </c>
      <c r="Y198" s="8">
        <f>IF(A198="","",IF(UPPER(TRIM(B198))="TRENCH",K198*L198*N198,IF(UPPER(TRIM(B198))="SWALE",K198*L198,0)))</f>
        <v/>
      </c>
      <c r="Z198" s="8">
        <f>IF(OR(Y198="",F198=""),"",Y198*F198)</f>
        <v/>
      </c>
      <c r="AA198" s="4">
        <f>IF(A198="","",IF(OR(U198&gt;1,AND(X198&lt;&gt;"",X198&lt;Inputs!$B$16),AND(X198&lt;&gt;"",X198&gt;Inputs!$B$17),G198&lt;Inputs!$B$18,AH198="CHECK"),"CHECK","OK"))</f>
        <v/>
      </c>
      <c r="AB198" s="4" t="n"/>
      <c r="AC198" s="7" t="n"/>
      <c r="AD198" s="8">
        <f>IF(A198="","",IF(AC198&lt;&gt;"",AC198,IF(E198="",Inputs!$B$38,IFERROR(INDEX($AE$4:$AE$204,MATCH(E198,$A$4:$A$204,0))+IF(OR(AND(UPPER(TRIM(B198))="SWALE",UPPER(TRIM(AI198))="PIPE"),AND(UPPER(TRIM(B198))="TRENCH",UPPER(TRIM(AI198))="PIPE")),Inputs!$B$57,0),""))))</f>
        <v/>
      </c>
      <c r="AE198" s="8">
        <f>IF(OR(AD198="",F198="",G198=""),"",AD198+F198*G198)</f>
        <v/>
      </c>
      <c r="AF198" s="8">
        <f>IF(OR(E198="",A198=""),"",IFERROR(INDEX($AE$4:$AE$204,MATCH(E198,$A$4:$A$204,0)),""))</f>
        <v/>
      </c>
      <c r="AG198" s="8">
        <f>IF(OR(AD198="",AF198=""),"",AD198-AF198)</f>
        <v/>
      </c>
      <c r="AH198" s="4">
        <f>IF(A198="","",IF(E198="","TERMINAL",IF(OR(AND(UPPER(TRIM(B198))="SWALE",UPPER(TRIM(AI198))="PIPE"),AND(UPPER(TRIM(B198))="TRENCH",UPPER(TRIM(AI198))="PIPE")),IF(OR(AG198="",AJ198="",AK198=""),"INFO",IF(AND(AG198&gt;=AJ198,AG198&lt;=AK198),"OK","CHECK")),IF(AG198="","INFO",IF(ABS(AG198)&lt;=Inputs!$B$54,"OK","CHECK")))))</f>
        <v/>
      </c>
      <c r="AI198" s="17">
        <f>IF(A198="","",IF(E198="","",IFERROR(INDEX($B$4:$B$204,MATCH(E198,$A$4:$A$204,0)),"")))</f>
        <v/>
      </c>
      <c r="AJ198" s="17">
        <f>IF(A198="","",IF(OR(AND(UPPER(TRIM(B198))="SWALE",UPPER(TRIM(AI198))="PIPE"),AND(UPPER(TRIM(B198))="TRENCH",UPPER(TRIM(AI198))="PIPE")),Inputs!$B$55,0))</f>
        <v/>
      </c>
      <c r="AK198" s="17">
        <f>IF(A198="","",IF(OR(AND(UPPER(TRIM(B198))="SWALE",UPPER(TRIM(AI198))="PIPE"),AND(UPPER(TRIM(B198))="TRENCH",UPPER(TRIM(AI198))="PIPE")),Inputs!$B$56,Inputs!$B$54))</f>
        <v/>
      </c>
      <c r="AL198" s="4">
        <f>IF(A198="","",IF(E198="","TERMINAL",IF(OR(AND(UPPER(TRIM(B198))="SWALE",UPPER(TRIM(AI198))="PIPE"),AND(UPPER(TRIM(B198))="TRENCH",UPPER(TRIM(AI198))="PIPE")),IF(OR(AG198="",AJ198="",AK198=""),"INFO",IF(AND(AG198&gt;=AJ198,AG198&lt;=AK198),"OK","CHECK")),"N/A")))</f>
        <v/>
      </c>
    </row>
    <row r="199">
      <c r="A199" s="4" t="n"/>
      <c r="B199" s="4" t="n"/>
      <c r="C199" s="4" t="n"/>
      <c r="D199" s="4" t="n"/>
      <c r="E199" s="4" t="n"/>
      <c r="F199" s="7" t="n"/>
      <c r="G199" s="7" t="n"/>
      <c r="H199" s="7" t="n"/>
      <c r="I199" s="8">
        <f>IF(A199="","",IF(H199&lt;&gt;"",H199,IF(UPPER(TRIM(B199))="PIPE",Inputs!$B$7,IF(UPPER(TRIM(B199))="SWALE",Inputs!$B$8,Inputs!$B$9))))</f>
        <v/>
      </c>
      <c r="J199" s="7" t="n"/>
      <c r="K199" s="7" t="n"/>
      <c r="L199" s="7" t="n"/>
      <c r="M199" s="7" t="n"/>
      <c r="N199" s="7" t="n">
        <v>0</v>
      </c>
      <c r="O199" s="8">
        <f>IF(A199="","",SUMIFS(Zones_tributaires!$I:$I,Zones_tributaires!$J:$J,$A199))</f>
        <v/>
      </c>
      <c r="P199" s="8">
        <f>IF(A199="","",SUMIFS($Q$4:$Q$204,$E$4:$E$204,$A199))</f>
        <v/>
      </c>
      <c r="Q199" s="8">
        <f>IF(A199="","",(O199+P199)*Inputs!$B$6)</f>
        <v/>
      </c>
      <c r="R199" s="8">
        <f>IF(A199="","",IF(UPPER(TRIM(B199))="PIPE",PI()*(J199/1000)^2/4,IF(OR(K199="",L199=""),"",L199*(K199+M199*L199))))</f>
        <v/>
      </c>
      <c r="S199" s="8">
        <f>IF(A199="","",IF(UPPER(TRIM(B199))="PIPE",(J199/1000)/4,IF(OR(R199="",K199="",L199=""),"",R199/(K199+2*L199*SQRT(1+M199^2)))))</f>
        <v/>
      </c>
      <c r="T199" s="8">
        <f>IF(A199="","",IF(OR(I199="",R199="",S199="",G199=""),"",(1/I199)*R199*(S199^(2/3))*SQRT(G199)))</f>
        <v/>
      </c>
      <c r="U199" s="8">
        <f>IF(OR(T199="",Q199=""),"",Q199/(T199*Inputs!$B$19))</f>
        <v/>
      </c>
      <c r="V199" s="8">
        <f>IF(OR(R199="",Q199=""),"",Q199/R199)</f>
        <v/>
      </c>
      <c r="W199" s="8">
        <f>IF(OR(R199="",T199=""),"",T199/R199)</f>
        <v/>
      </c>
      <c r="X199" s="8">
        <f>IF(A199="","",IF(OR(UPPER(TRIM(Inputs!$B$15))="MANNING",UPPER(TRIM(Inputs!$B$15))="M"),W199,IF(OR(UPPER(TRIM(Inputs!$B$15))="MAX",UPPER(TRIM(Inputs!$B$15))="X"),MAX(V199,W199),V199)))</f>
        <v/>
      </c>
      <c r="Y199" s="8">
        <f>IF(A199="","",IF(UPPER(TRIM(B199))="TRENCH",K199*L199*N199,IF(UPPER(TRIM(B199))="SWALE",K199*L199,0)))</f>
        <v/>
      </c>
      <c r="Z199" s="8">
        <f>IF(OR(Y199="",F199=""),"",Y199*F199)</f>
        <v/>
      </c>
      <c r="AA199" s="4">
        <f>IF(A199="","",IF(OR(U199&gt;1,AND(X199&lt;&gt;"",X199&lt;Inputs!$B$16),AND(X199&lt;&gt;"",X199&gt;Inputs!$B$17),G199&lt;Inputs!$B$18,AH199="CHECK"),"CHECK","OK"))</f>
        <v/>
      </c>
      <c r="AB199" s="4" t="n"/>
      <c r="AC199" s="7" t="n"/>
      <c r="AD199" s="8">
        <f>IF(A199="","",IF(AC199&lt;&gt;"",AC199,IF(E199="",Inputs!$B$38,IFERROR(INDEX($AE$4:$AE$204,MATCH(E199,$A$4:$A$204,0))+IF(OR(AND(UPPER(TRIM(B199))="SWALE",UPPER(TRIM(AI199))="PIPE"),AND(UPPER(TRIM(B199))="TRENCH",UPPER(TRIM(AI199))="PIPE")),Inputs!$B$57,0),""))))</f>
        <v/>
      </c>
      <c r="AE199" s="8">
        <f>IF(OR(AD199="",F199="",G199=""),"",AD199+F199*G199)</f>
        <v/>
      </c>
      <c r="AF199" s="8">
        <f>IF(OR(E199="",A199=""),"",IFERROR(INDEX($AE$4:$AE$204,MATCH(E199,$A$4:$A$204,0)),""))</f>
        <v/>
      </c>
      <c r="AG199" s="8">
        <f>IF(OR(AD199="",AF199=""),"",AD199-AF199)</f>
        <v/>
      </c>
      <c r="AH199" s="4">
        <f>IF(A199="","",IF(E199="","TERMINAL",IF(OR(AND(UPPER(TRIM(B199))="SWALE",UPPER(TRIM(AI199))="PIPE"),AND(UPPER(TRIM(B199))="TRENCH",UPPER(TRIM(AI199))="PIPE")),IF(OR(AG199="",AJ199="",AK199=""),"INFO",IF(AND(AG199&gt;=AJ199,AG199&lt;=AK199),"OK","CHECK")),IF(AG199="","INFO",IF(ABS(AG199)&lt;=Inputs!$B$54,"OK","CHECK")))))</f>
        <v/>
      </c>
      <c r="AI199" s="17">
        <f>IF(A199="","",IF(E199="","",IFERROR(INDEX($B$4:$B$204,MATCH(E199,$A$4:$A$204,0)),"")))</f>
        <v/>
      </c>
      <c r="AJ199" s="17">
        <f>IF(A199="","",IF(OR(AND(UPPER(TRIM(B199))="SWALE",UPPER(TRIM(AI199))="PIPE"),AND(UPPER(TRIM(B199))="TRENCH",UPPER(TRIM(AI199))="PIPE")),Inputs!$B$55,0))</f>
        <v/>
      </c>
      <c r="AK199" s="17">
        <f>IF(A199="","",IF(OR(AND(UPPER(TRIM(B199))="SWALE",UPPER(TRIM(AI199))="PIPE"),AND(UPPER(TRIM(B199))="TRENCH",UPPER(TRIM(AI199))="PIPE")),Inputs!$B$56,Inputs!$B$54))</f>
        <v/>
      </c>
      <c r="AL199" s="4">
        <f>IF(A199="","",IF(E199="","TERMINAL",IF(OR(AND(UPPER(TRIM(B199))="SWALE",UPPER(TRIM(AI199))="PIPE"),AND(UPPER(TRIM(B199))="TRENCH",UPPER(TRIM(AI199))="PIPE")),IF(OR(AG199="",AJ199="",AK199=""),"INFO",IF(AND(AG199&gt;=AJ199,AG199&lt;=AK199),"OK","CHECK")),"N/A")))</f>
        <v/>
      </c>
    </row>
    <row r="200">
      <c r="A200" s="4" t="n"/>
      <c r="B200" s="4" t="n"/>
      <c r="C200" s="4" t="n"/>
      <c r="D200" s="4" t="n"/>
      <c r="E200" s="4" t="n"/>
      <c r="F200" s="7" t="n"/>
      <c r="G200" s="7" t="n"/>
      <c r="H200" s="7" t="n"/>
      <c r="I200" s="8">
        <f>IF(A200="","",IF(H200&lt;&gt;"",H200,IF(UPPER(TRIM(B200))="PIPE",Inputs!$B$7,IF(UPPER(TRIM(B200))="SWALE",Inputs!$B$8,Inputs!$B$9))))</f>
        <v/>
      </c>
      <c r="J200" s="7" t="n"/>
      <c r="K200" s="7" t="n"/>
      <c r="L200" s="7" t="n"/>
      <c r="M200" s="7" t="n"/>
      <c r="N200" s="7" t="n">
        <v>0</v>
      </c>
      <c r="O200" s="8">
        <f>IF(A200="","",SUMIFS(Zones_tributaires!$I:$I,Zones_tributaires!$J:$J,$A200))</f>
        <v/>
      </c>
      <c r="P200" s="8">
        <f>IF(A200="","",SUMIFS($Q$4:$Q$204,$E$4:$E$204,$A200))</f>
        <v/>
      </c>
      <c r="Q200" s="8">
        <f>IF(A200="","",(O200+P200)*Inputs!$B$6)</f>
        <v/>
      </c>
      <c r="R200" s="8">
        <f>IF(A200="","",IF(UPPER(TRIM(B200))="PIPE",PI()*(J200/1000)^2/4,IF(OR(K200="",L200=""),"",L200*(K200+M200*L200))))</f>
        <v/>
      </c>
      <c r="S200" s="8">
        <f>IF(A200="","",IF(UPPER(TRIM(B200))="PIPE",(J200/1000)/4,IF(OR(R200="",K200="",L200=""),"",R200/(K200+2*L200*SQRT(1+M200^2)))))</f>
        <v/>
      </c>
      <c r="T200" s="8">
        <f>IF(A200="","",IF(OR(I200="",R200="",S200="",G200=""),"",(1/I200)*R200*(S200^(2/3))*SQRT(G200)))</f>
        <v/>
      </c>
      <c r="U200" s="8">
        <f>IF(OR(T200="",Q200=""),"",Q200/(T200*Inputs!$B$19))</f>
        <v/>
      </c>
      <c r="V200" s="8">
        <f>IF(OR(R200="",Q200=""),"",Q200/R200)</f>
        <v/>
      </c>
      <c r="W200" s="8">
        <f>IF(OR(R200="",T200=""),"",T200/R200)</f>
        <v/>
      </c>
      <c r="X200" s="8">
        <f>IF(A200="","",IF(OR(UPPER(TRIM(Inputs!$B$15))="MANNING",UPPER(TRIM(Inputs!$B$15))="M"),W200,IF(OR(UPPER(TRIM(Inputs!$B$15))="MAX",UPPER(TRIM(Inputs!$B$15))="X"),MAX(V200,W200),V200)))</f>
        <v/>
      </c>
      <c r="Y200" s="8">
        <f>IF(A200="","",IF(UPPER(TRIM(B200))="TRENCH",K200*L200*N200,IF(UPPER(TRIM(B200))="SWALE",K200*L200,0)))</f>
        <v/>
      </c>
      <c r="Z200" s="8">
        <f>IF(OR(Y200="",F200=""),"",Y200*F200)</f>
        <v/>
      </c>
      <c r="AA200" s="4">
        <f>IF(A200="","",IF(OR(U200&gt;1,AND(X200&lt;&gt;"",X200&lt;Inputs!$B$16),AND(X200&lt;&gt;"",X200&gt;Inputs!$B$17),G200&lt;Inputs!$B$18,AH200="CHECK"),"CHECK","OK"))</f>
        <v/>
      </c>
      <c r="AB200" s="4" t="n"/>
      <c r="AC200" s="7" t="n"/>
      <c r="AD200" s="8">
        <f>IF(A200="","",IF(AC200&lt;&gt;"",AC200,IF(E200="",Inputs!$B$38,IFERROR(INDEX($AE$4:$AE$204,MATCH(E200,$A$4:$A$204,0))+IF(OR(AND(UPPER(TRIM(B200))="SWALE",UPPER(TRIM(AI200))="PIPE"),AND(UPPER(TRIM(B200))="TRENCH",UPPER(TRIM(AI200))="PIPE")),Inputs!$B$57,0),""))))</f>
        <v/>
      </c>
      <c r="AE200" s="8">
        <f>IF(OR(AD200="",F200="",G200=""),"",AD200+F200*G200)</f>
        <v/>
      </c>
      <c r="AF200" s="8">
        <f>IF(OR(E200="",A200=""),"",IFERROR(INDEX($AE$4:$AE$204,MATCH(E200,$A$4:$A$204,0)),""))</f>
        <v/>
      </c>
      <c r="AG200" s="8">
        <f>IF(OR(AD200="",AF200=""),"",AD200-AF200)</f>
        <v/>
      </c>
      <c r="AH200" s="4">
        <f>IF(A200="","",IF(E200="","TERMINAL",IF(OR(AND(UPPER(TRIM(B200))="SWALE",UPPER(TRIM(AI200))="PIPE"),AND(UPPER(TRIM(B200))="TRENCH",UPPER(TRIM(AI200))="PIPE")),IF(OR(AG200="",AJ200="",AK200=""),"INFO",IF(AND(AG200&gt;=AJ200,AG200&lt;=AK200),"OK","CHECK")),IF(AG200="","INFO",IF(ABS(AG200)&lt;=Inputs!$B$54,"OK","CHECK")))))</f>
        <v/>
      </c>
      <c r="AI200" s="17">
        <f>IF(A200="","",IF(E200="","",IFERROR(INDEX($B$4:$B$204,MATCH(E200,$A$4:$A$204,0)),"")))</f>
        <v/>
      </c>
      <c r="AJ200" s="17">
        <f>IF(A200="","",IF(OR(AND(UPPER(TRIM(B200))="SWALE",UPPER(TRIM(AI200))="PIPE"),AND(UPPER(TRIM(B200))="TRENCH",UPPER(TRIM(AI200))="PIPE")),Inputs!$B$55,0))</f>
        <v/>
      </c>
      <c r="AK200" s="17">
        <f>IF(A200="","",IF(OR(AND(UPPER(TRIM(B200))="SWALE",UPPER(TRIM(AI200))="PIPE"),AND(UPPER(TRIM(B200))="TRENCH",UPPER(TRIM(AI200))="PIPE")),Inputs!$B$56,Inputs!$B$54))</f>
        <v/>
      </c>
      <c r="AL200" s="4">
        <f>IF(A200="","",IF(E200="","TERMINAL",IF(OR(AND(UPPER(TRIM(B200))="SWALE",UPPER(TRIM(AI200))="PIPE"),AND(UPPER(TRIM(B200))="TRENCH",UPPER(TRIM(AI200))="PIPE")),IF(OR(AG200="",AJ200="",AK200=""),"INFO",IF(AND(AG200&gt;=AJ200,AG200&lt;=AK200),"OK","CHECK")),"N/A")))</f>
        <v/>
      </c>
    </row>
    <row r="201">
      <c r="A201" s="4" t="n"/>
      <c r="B201" s="4" t="n"/>
      <c r="C201" s="4" t="n"/>
      <c r="D201" s="4" t="n"/>
      <c r="E201" s="4" t="n"/>
      <c r="F201" s="7" t="n"/>
      <c r="G201" s="7" t="n"/>
      <c r="H201" s="7" t="n"/>
      <c r="I201" s="8">
        <f>IF(A201="","",IF(H201&lt;&gt;"",H201,IF(UPPER(TRIM(B201))="PIPE",Inputs!$B$7,IF(UPPER(TRIM(B201))="SWALE",Inputs!$B$8,Inputs!$B$9))))</f>
        <v/>
      </c>
      <c r="J201" s="7" t="n"/>
      <c r="K201" s="7" t="n"/>
      <c r="L201" s="7" t="n"/>
      <c r="M201" s="7" t="n"/>
      <c r="N201" s="7" t="n">
        <v>0</v>
      </c>
      <c r="O201" s="8">
        <f>IF(A201="","",SUMIFS(Zones_tributaires!$I:$I,Zones_tributaires!$J:$J,$A201))</f>
        <v/>
      </c>
      <c r="P201" s="8">
        <f>IF(A201="","",SUMIFS($Q$4:$Q$204,$E$4:$E$204,$A201))</f>
        <v/>
      </c>
      <c r="Q201" s="8">
        <f>IF(A201="","",(O201+P201)*Inputs!$B$6)</f>
        <v/>
      </c>
      <c r="R201" s="8">
        <f>IF(A201="","",IF(UPPER(TRIM(B201))="PIPE",PI()*(J201/1000)^2/4,IF(OR(K201="",L201=""),"",L201*(K201+M201*L201))))</f>
        <v/>
      </c>
      <c r="S201" s="8">
        <f>IF(A201="","",IF(UPPER(TRIM(B201))="PIPE",(J201/1000)/4,IF(OR(R201="",K201="",L201=""),"",R201/(K201+2*L201*SQRT(1+M201^2)))))</f>
        <v/>
      </c>
      <c r="T201" s="8">
        <f>IF(A201="","",IF(OR(I201="",R201="",S201="",G201=""),"",(1/I201)*R201*(S201^(2/3))*SQRT(G201)))</f>
        <v/>
      </c>
      <c r="U201" s="8">
        <f>IF(OR(T201="",Q201=""),"",Q201/(T201*Inputs!$B$19))</f>
        <v/>
      </c>
      <c r="V201" s="8">
        <f>IF(OR(R201="",Q201=""),"",Q201/R201)</f>
        <v/>
      </c>
      <c r="W201" s="8">
        <f>IF(OR(R201="",T201=""),"",T201/R201)</f>
        <v/>
      </c>
      <c r="X201" s="8">
        <f>IF(A201="","",IF(OR(UPPER(TRIM(Inputs!$B$15))="MANNING",UPPER(TRIM(Inputs!$B$15))="M"),W201,IF(OR(UPPER(TRIM(Inputs!$B$15))="MAX",UPPER(TRIM(Inputs!$B$15))="X"),MAX(V201,W201),V201)))</f>
        <v/>
      </c>
      <c r="Y201" s="8">
        <f>IF(A201="","",IF(UPPER(TRIM(B201))="TRENCH",K201*L201*N201,IF(UPPER(TRIM(B201))="SWALE",K201*L201,0)))</f>
        <v/>
      </c>
      <c r="Z201" s="8">
        <f>IF(OR(Y201="",F201=""),"",Y201*F201)</f>
        <v/>
      </c>
      <c r="AA201" s="4">
        <f>IF(A201="","",IF(OR(U201&gt;1,AND(X201&lt;&gt;"",X201&lt;Inputs!$B$16),AND(X201&lt;&gt;"",X201&gt;Inputs!$B$17),G201&lt;Inputs!$B$18,AH201="CHECK"),"CHECK","OK"))</f>
        <v/>
      </c>
      <c r="AB201" s="4" t="n"/>
      <c r="AC201" s="7" t="n"/>
      <c r="AD201" s="8">
        <f>IF(A201="","",IF(AC201&lt;&gt;"",AC201,IF(E201="",Inputs!$B$38,IFERROR(INDEX($AE$4:$AE$204,MATCH(E201,$A$4:$A$204,0))+IF(OR(AND(UPPER(TRIM(B201))="SWALE",UPPER(TRIM(AI201))="PIPE"),AND(UPPER(TRIM(B201))="TRENCH",UPPER(TRIM(AI201))="PIPE")),Inputs!$B$57,0),""))))</f>
        <v/>
      </c>
      <c r="AE201" s="8">
        <f>IF(OR(AD201="",F201="",G201=""),"",AD201+F201*G201)</f>
        <v/>
      </c>
      <c r="AF201" s="8">
        <f>IF(OR(E201="",A201=""),"",IFERROR(INDEX($AE$4:$AE$204,MATCH(E201,$A$4:$A$204,0)),""))</f>
        <v/>
      </c>
      <c r="AG201" s="8">
        <f>IF(OR(AD201="",AF201=""),"",AD201-AF201)</f>
        <v/>
      </c>
      <c r="AH201" s="4">
        <f>IF(A201="","",IF(E201="","TERMINAL",IF(OR(AND(UPPER(TRIM(B201))="SWALE",UPPER(TRIM(AI201))="PIPE"),AND(UPPER(TRIM(B201))="TRENCH",UPPER(TRIM(AI201))="PIPE")),IF(OR(AG201="",AJ201="",AK201=""),"INFO",IF(AND(AG201&gt;=AJ201,AG201&lt;=AK201),"OK","CHECK")),IF(AG201="","INFO",IF(ABS(AG201)&lt;=Inputs!$B$54,"OK","CHECK")))))</f>
        <v/>
      </c>
      <c r="AI201" s="17">
        <f>IF(A201="","",IF(E201="","",IFERROR(INDEX($B$4:$B$204,MATCH(E201,$A$4:$A$204,0)),"")))</f>
        <v/>
      </c>
      <c r="AJ201" s="17">
        <f>IF(A201="","",IF(OR(AND(UPPER(TRIM(B201))="SWALE",UPPER(TRIM(AI201))="PIPE"),AND(UPPER(TRIM(B201))="TRENCH",UPPER(TRIM(AI201))="PIPE")),Inputs!$B$55,0))</f>
        <v/>
      </c>
      <c r="AK201" s="17">
        <f>IF(A201="","",IF(OR(AND(UPPER(TRIM(B201))="SWALE",UPPER(TRIM(AI201))="PIPE"),AND(UPPER(TRIM(B201))="TRENCH",UPPER(TRIM(AI201))="PIPE")),Inputs!$B$56,Inputs!$B$54))</f>
        <v/>
      </c>
      <c r="AL201" s="4">
        <f>IF(A201="","",IF(E201="","TERMINAL",IF(OR(AND(UPPER(TRIM(B201))="SWALE",UPPER(TRIM(AI201))="PIPE"),AND(UPPER(TRIM(B201))="TRENCH",UPPER(TRIM(AI201))="PIPE")),IF(OR(AG201="",AJ201="",AK201=""),"INFO",IF(AND(AG201&gt;=AJ201,AG201&lt;=AK201),"OK","CHECK")),"N/A")))</f>
        <v/>
      </c>
    </row>
    <row r="202">
      <c r="A202" s="4" t="n"/>
      <c r="B202" s="4" t="n"/>
      <c r="C202" s="4" t="n"/>
      <c r="D202" s="4" t="n"/>
      <c r="E202" s="4" t="n"/>
      <c r="F202" s="7" t="n"/>
      <c r="G202" s="7" t="n"/>
      <c r="H202" s="7" t="n"/>
      <c r="I202" s="8">
        <f>IF(A202="","",IF(H202&lt;&gt;"",H202,IF(UPPER(TRIM(B202))="PIPE",Inputs!$B$7,IF(UPPER(TRIM(B202))="SWALE",Inputs!$B$8,Inputs!$B$9))))</f>
        <v/>
      </c>
      <c r="J202" s="7" t="n"/>
      <c r="K202" s="7" t="n"/>
      <c r="L202" s="7" t="n"/>
      <c r="M202" s="7" t="n"/>
      <c r="N202" s="7" t="n">
        <v>0</v>
      </c>
      <c r="O202" s="8">
        <f>IF(A202="","",SUMIFS(Zones_tributaires!$I:$I,Zones_tributaires!$J:$J,$A202))</f>
        <v/>
      </c>
      <c r="P202" s="8">
        <f>IF(A202="","",SUMIFS($Q$4:$Q$204,$E$4:$E$204,$A202))</f>
        <v/>
      </c>
      <c r="Q202" s="8">
        <f>IF(A202="","",(O202+P202)*Inputs!$B$6)</f>
        <v/>
      </c>
      <c r="R202" s="8">
        <f>IF(A202="","",IF(UPPER(TRIM(B202))="PIPE",PI()*(J202/1000)^2/4,IF(OR(K202="",L202=""),"",L202*(K202+M202*L202))))</f>
        <v/>
      </c>
      <c r="S202" s="8">
        <f>IF(A202="","",IF(UPPER(TRIM(B202))="PIPE",(J202/1000)/4,IF(OR(R202="",K202="",L202=""),"",R202/(K202+2*L202*SQRT(1+M202^2)))))</f>
        <v/>
      </c>
      <c r="T202" s="8">
        <f>IF(A202="","",IF(OR(I202="",R202="",S202="",G202=""),"",(1/I202)*R202*(S202^(2/3))*SQRT(G202)))</f>
        <v/>
      </c>
      <c r="U202" s="8">
        <f>IF(OR(T202="",Q202=""),"",Q202/(T202*Inputs!$B$19))</f>
        <v/>
      </c>
      <c r="V202" s="8">
        <f>IF(OR(R202="",Q202=""),"",Q202/R202)</f>
        <v/>
      </c>
      <c r="W202" s="8">
        <f>IF(OR(R202="",T202=""),"",T202/R202)</f>
        <v/>
      </c>
      <c r="X202" s="8">
        <f>IF(A202="","",IF(OR(UPPER(TRIM(Inputs!$B$15))="MANNING",UPPER(TRIM(Inputs!$B$15))="M"),W202,IF(OR(UPPER(TRIM(Inputs!$B$15))="MAX",UPPER(TRIM(Inputs!$B$15))="X"),MAX(V202,W202),V202)))</f>
        <v/>
      </c>
      <c r="Y202" s="8">
        <f>IF(A202="","",IF(UPPER(TRIM(B202))="TRENCH",K202*L202*N202,IF(UPPER(TRIM(B202))="SWALE",K202*L202,0)))</f>
        <v/>
      </c>
      <c r="Z202" s="8">
        <f>IF(OR(Y202="",F202=""),"",Y202*F202)</f>
        <v/>
      </c>
      <c r="AA202" s="4">
        <f>IF(A202="","",IF(OR(U202&gt;1,AND(X202&lt;&gt;"",X202&lt;Inputs!$B$16),AND(X202&lt;&gt;"",X202&gt;Inputs!$B$17),G202&lt;Inputs!$B$18,AH202="CHECK"),"CHECK","OK"))</f>
        <v/>
      </c>
      <c r="AB202" s="4" t="n"/>
      <c r="AC202" s="7" t="n"/>
      <c r="AD202" s="8">
        <f>IF(A202="","",IF(AC202&lt;&gt;"",AC202,IF(E202="",Inputs!$B$38,IFERROR(INDEX($AE$4:$AE$204,MATCH(E202,$A$4:$A$204,0))+IF(OR(AND(UPPER(TRIM(B202))="SWALE",UPPER(TRIM(AI202))="PIPE"),AND(UPPER(TRIM(B202))="TRENCH",UPPER(TRIM(AI202))="PIPE")),Inputs!$B$57,0),""))))</f>
        <v/>
      </c>
      <c r="AE202" s="8">
        <f>IF(OR(AD202="",F202="",G202=""),"",AD202+F202*G202)</f>
        <v/>
      </c>
      <c r="AF202" s="8">
        <f>IF(OR(E202="",A202=""),"",IFERROR(INDEX($AE$4:$AE$204,MATCH(E202,$A$4:$A$204,0)),""))</f>
        <v/>
      </c>
      <c r="AG202" s="8">
        <f>IF(OR(AD202="",AF202=""),"",AD202-AF202)</f>
        <v/>
      </c>
      <c r="AH202" s="4">
        <f>IF(A202="","",IF(E202="","TERMINAL",IF(OR(AND(UPPER(TRIM(B202))="SWALE",UPPER(TRIM(AI202))="PIPE"),AND(UPPER(TRIM(B202))="TRENCH",UPPER(TRIM(AI202))="PIPE")),IF(OR(AG202="",AJ202="",AK202=""),"INFO",IF(AND(AG202&gt;=AJ202,AG202&lt;=AK202),"OK","CHECK")),IF(AG202="","INFO",IF(ABS(AG202)&lt;=Inputs!$B$54,"OK","CHECK")))))</f>
        <v/>
      </c>
      <c r="AI202" s="17">
        <f>IF(A202="","",IF(E202="","",IFERROR(INDEX($B$4:$B$204,MATCH(E202,$A$4:$A$204,0)),"")))</f>
        <v/>
      </c>
      <c r="AJ202" s="17">
        <f>IF(A202="","",IF(OR(AND(UPPER(TRIM(B202))="SWALE",UPPER(TRIM(AI202))="PIPE"),AND(UPPER(TRIM(B202))="TRENCH",UPPER(TRIM(AI202))="PIPE")),Inputs!$B$55,0))</f>
        <v/>
      </c>
      <c r="AK202" s="17">
        <f>IF(A202="","",IF(OR(AND(UPPER(TRIM(B202))="SWALE",UPPER(TRIM(AI202))="PIPE"),AND(UPPER(TRIM(B202))="TRENCH",UPPER(TRIM(AI202))="PIPE")),Inputs!$B$56,Inputs!$B$54))</f>
        <v/>
      </c>
      <c r="AL202" s="4">
        <f>IF(A202="","",IF(E202="","TERMINAL",IF(OR(AND(UPPER(TRIM(B202))="SWALE",UPPER(TRIM(AI202))="PIPE"),AND(UPPER(TRIM(B202))="TRENCH",UPPER(TRIM(AI202))="PIPE")),IF(OR(AG202="",AJ202="",AK202=""),"INFO",IF(AND(AG202&gt;=AJ202,AG202&lt;=AK202),"OK","CHECK")),"N/A")))</f>
        <v/>
      </c>
    </row>
    <row r="203">
      <c r="A203" s="4" t="n"/>
      <c r="B203" s="4" t="n"/>
      <c r="C203" s="4" t="n"/>
      <c r="D203" s="4" t="n"/>
      <c r="E203" s="4" t="n"/>
      <c r="F203" s="7" t="n"/>
      <c r="G203" s="7" t="n"/>
      <c r="H203" s="7" t="n"/>
      <c r="I203" s="8">
        <f>IF(A203="","",IF(H203&lt;&gt;"",H203,IF(UPPER(TRIM(B203))="PIPE",Inputs!$B$7,IF(UPPER(TRIM(B203))="SWALE",Inputs!$B$8,Inputs!$B$9))))</f>
        <v/>
      </c>
      <c r="J203" s="7" t="n"/>
      <c r="K203" s="7" t="n"/>
      <c r="L203" s="7" t="n"/>
      <c r="M203" s="7" t="n"/>
      <c r="N203" s="7" t="n">
        <v>0</v>
      </c>
      <c r="O203" s="8">
        <f>IF(A203="","",SUMIFS(Zones_tributaires!$I:$I,Zones_tributaires!$J:$J,$A203))</f>
        <v/>
      </c>
      <c r="P203" s="8">
        <f>IF(A203="","",SUMIFS($Q$4:$Q$204,$E$4:$E$204,$A203))</f>
        <v/>
      </c>
      <c r="Q203" s="8">
        <f>IF(A203="","",(O203+P203)*Inputs!$B$6)</f>
        <v/>
      </c>
      <c r="R203" s="8">
        <f>IF(A203="","",IF(UPPER(TRIM(B203))="PIPE",PI()*(J203/1000)^2/4,IF(OR(K203="",L203=""),"",L203*(K203+M203*L203))))</f>
        <v/>
      </c>
      <c r="S203" s="8">
        <f>IF(A203="","",IF(UPPER(TRIM(B203))="PIPE",(J203/1000)/4,IF(OR(R203="",K203="",L203=""),"",R203/(K203+2*L203*SQRT(1+M203^2)))))</f>
        <v/>
      </c>
      <c r="T203" s="8">
        <f>IF(A203="","",IF(OR(I203="",R203="",S203="",G203=""),"",(1/I203)*R203*(S203^(2/3))*SQRT(G203)))</f>
        <v/>
      </c>
      <c r="U203" s="8">
        <f>IF(OR(T203="",Q203=""),"",Q203/(T203*Inputs!$B$19))</f>
        <v/>
      </c>
      <c r="V203" s="8">
        <f>IF(OR(R203="",Q203=""),"",Q203/R203)</f>
        <v/>
      </c>
      <c r="W203" s="8">
        <f>IF(OR(R203="",T203=""),"",T203/R203)</f>
        <v/>
      </c>
      <c r="X203" s="8">
        <f>IF(A203="","",IF(OR(UPPER(TRIM(Inputs!$B$15))="MANNING",UPPER(TRIM(Inputs!$B$15))="M"),W203,IF(OR(UPPER(TRIM(Inputs!$B$15))="MAX",UPPER(TRIM(Inputs!$B$15))="X"),MAX(V203,W203),V203)))</f>
        <v/>
      </c>
      <c r="Y203" s="8">
        <f>IF(A203="","",IF(UPPER(TRIM(B203))="TRENCH",K203*L203*N203,IF(UPPER(TRIM(B203))="SWALE",K203*L203,0)))</f>
        <v/>
      </c>
      <c r="Z203" s="8">
        <f>IF(OR(Y203="",F203=""),"",Y203*F203)</f>
        <v/>
      </c>
      <c r="AA203" s="4">
        <f>IF(A203="","",IF(OR(U203&gt;1,AND(X203&lt;&gt;"",X203&lt;Inputs!$B$16),AND(X203&lt;&gt;"",X203&gt;Inputs!$B$17),G203&lt;Inputs!$B$18,AH203="CHECK"),"CHECK","OK"))</f>
        <v/>
      </c>
      <c r="AB203" s="4" t="n"/>
      <c r="AC203" s="7" t="n"/>
      <c r="AD203" s="8">
        <f>IF(A203="","",IF(AC203&lt;&gt;"",AC203,IF(E203="",Inputs!$B$38,IFERROR(INDEX($AE$4:$AE$204,MATCH(E203,$A$4:$A$204,0))+IF(OR(AND(UPPER(TRIM(B203))="SWALE",UPPER(TRIM(AI203))="PIPE"),AND(UPPER(TRIM(B203))="TRENCH",UPPER(TRIM(AI203))="PIPE")),Inputs!$B$57,0),""))))</f>
        <v/>
      </c>
      <c r="AE203" s="8">
        <f>IF(OR(AD203="",F203="",G203=""),"",AD203+F203*G203)</f>
        <v/>
      </c>
      <c r="AF203" s="8">
        <f>IF(OR(E203="",A203=""),"",IFERROR(INDEX($AE$4:$AE$204,MATCH(E203,$A$4:$A$204,0)),""))</f>
        <v/>
      </c>
      <c r="AG203" s="8">
        <f>IF(OR(AD203="",AF203=""),"",AD203-AF203)</f>
        <v/>
      </c>
      <c r="AH203" s="4">
        <f>IF(A203="","",IF(E203="","TERMINAL",IF(OR(AND(UPPER(TRIM(B203))="SWALE",UPPER(TRIM(AI203))="PIPE"),AND(UPPER(TRIM(B203))="TRENCH",UPPER(TRIM(AI203))="PIPE")),IF(OR(AG203="",AJ203="",AK203=""),"INFO",IF(AND(AG203&gt;=AJ203,AG203&lt;=AK203),"OK","CHECK")),IF(AG203="","INFO",IF(ABS(AG203)&lt;=Inputs!$B$54,"OK","CHECK")))))</f>
        <v/>
      </c>
      <c r="AI203" s="17">
        <f>IF(A203="","",IF(E203="","",IFERROR(INDEX($B$4:$B$204,MATCH(E203,$A$4:$A$204,0)),"")))</f>
        <v/>
      </c>
      <c r="AJ203" s="17">
        <f>IF(A203="","",IF(OR(AND(UPPER(TRIM(B203))="SWALE",UPPER(TRIM(AI203))="PIPE"),AND(UPPER(TRIM(B203))="TRENCH",UPPER(TRIM(AI203))="PIPE")),Inputs!$B$55,0))</f>
        <v/>
      </c>
      <c r="AK203" s="17">
        <f>IF(A203="","",IF(OR(AND(UPPER(TRIM(B203))="SWALE",UPPER(TRIM(AI203))="PIPE"),AND(UPPER(TRIM(B203))="TRENCH",UPPER(TRIM(AI203))="PIPE")),Inputs!$B$56,Inputs!$B$54))</f>
        <v/>
      </c>
      <c r="AL203" s="4">
        <f>IF(A203="","",IF(E203="","TERMINAL",IF(OR(AND(UPPER(TRIM(B203))="SWALE",UPPER(TRIM(AI203))="PIPE"),AND(UPPER(TRIM(B203))="TRENCH",UPPER(TRIM(AI203))="PIPE")),IF(OR(AG203="",AJ203="",AK203=""),"INFO",IF(AND(AG203&gt;=AJ203,AG203&lt;=AK203),"OK","CHECK")),"N/A")))</f>
        <v/>
      </c>
    </row>
    <row r="204">
      <c r="A204" s="4" t="n"/>
      <c r="B204" s="4" t="n"/>
      <c r="C204" s="4" t="n"/>
      <c r="D204" s="4" t="n"/>
      <c r="E204" s="4" t="n"/>
      <c r="F204" s="7" t="n"/>
      <c r="G204" s="7" t="n"/>
      <c r="H204" s="7" t="n"/>
      <c r="I204" s="8">
        <f>IF(A204="","",IF(H204&lt;&gt;"",H204,IF(UPPER(TRIM(B204))="PIPE",Inputs!$B$7,IF(UPPER(TRIM(B204))="SWALE",Inputs!$B$8,Inputs!$B$9))))</f>
        <v/>
      </c>
      <c r="J204" s="7" t="n"/>
      <c r="K204" s="7" t="n"/>
      <c r="L204" s="7" t="n"/>
      <c r="M204" s="7" t="n"/>
      <c r="N204" s="7" t="n">
        <v>0</v>
      </c>
      <c r="O204" s="8">
        <f>IF(A204="","",SUMIFS(Zones_tributaires!$I:$I,Zones_tributaires!$J:$J,$A204))</f>
        <v/>
      </c>
      <c r="P204" s="8">
        <f>IF(A204="","",SUMIFS($Q$4:$Q$204,$E$4:$E$204,$A204))</f>
        <v/>
      </c>
      <c r="Q204" s="8">
        <f>IF(A204="","",(O204+P204)*Inputs!$B$6)</f>
        <v/>
      </c>
      <c r="R204" s="8">
        <f>IF(A204="","",IF(UPPER(TRIM(B204))="PIPE",PI()*(J204/1000)^2/4,IF(OR(K204="",L204=""),"",L204*(K204+M204*L204))))</f>
        <v/>
      </c>
      <c r="S204" s="8">
        <f>IF(A204="","",IF(UPPER(TRIM(B204))="PIPE",(J204/1000)/4,IF(OR(R204="",K204="",L204=""),"",R204/(K204+2*L204*SQRT(1+M204^2)))))</f>
        <v/>
      </c>
      <c r="T204" s="8">
        <f>IF(A204="","",IF(OR(I204="",R204="",S204="",G204=""),"",(1/I204)*R204*(S204^(2/3))*SQRT(G204)))</f>
        <v/>
      </c>
      <c r="U204" s="8">
        <f>IF(OR(T204="",Q204=""),"",Q204/(T204*Inputs!$B$19))</f>
        <v/>
      </c>
      <c r="V204" s="8">
        <f>IF(OR(R204="",Q204=""),"",Q204/R204)</f>
        <v/>
      </c>
      <c r="W204" s="8">
        <f>IF(OR(R204="",T204=""),"",T204/R204)</f>
        <v/>
      </c>
      <c r="X204" s="8">
        <f>IF(A204="","",IF(OR(UPPER(TRIM(Inputs!$B$15))="MANNING",UPPER(TRIM(Inputs!$B$15))="M"),W204,IF(OR(UPPER(TRIM(Inputs!$B$15))="MAX",UPPER(TRIM(Inputs!$B$15))="X"),MAX(V204,W204),V204)))</f>
        <v/>
      </c>
      <c r="Y204" s="8">
        <f>IF(A204="","",IF(UPPER(TRIM(B204))="TRENCH",K204*L204*N204,IF(UPPER(TRIM(B204))="SWALE",K204*L204,0)))</f>
        <v/>
      </c>
      <c r="Z204" s="8">
        <f>IF(OR(Y204="",F204=""),"",Y204*F204)</f>
        <v/>
      </c>
      <c r="AA204" s="4">
        <f>IF(A204="","",IF(OR(U204&gt;1,AND(X204&lt;&gt;"",X204&lt;Inputs!$B$16),AND(X204&lt;&gt;"",X204&gt;Inputs!$B$17),G204&lt;Inputs!$B$18,AH204="CHECK"),"CHECK","OK"))</f>
        <v/>
      </c>
      <c r="AB204" s="4" t="n"/>
      <c r="AC204" s="7" t="n"/>
      <c r="AD204" s="8">
        <f>IF(A204="","",IF(AC204&lt;&gt;"",AC204,IF(E204="",Inputs!$B$38,IFERROR(INDEX($AE$4:$AE$204,MATCH(E204,$A$4:$A$204,0))+IF(OR(AND(UPPER(TRIM(B204))="SWALE",UPPER(TRIM(AI204))="PIPE"),AND(UPPER(TRIM(B204))="TRENCH",UPPER(TRIM(AI204))="PIPE")),Inputs!$B$57,0),""))))</f>
        <v/>
      </c>
      <c r="AE204" s="8">
        <f>IF(OR(AD204="",F204="",G204=""),"",AD204+F204*G204)</f>
        <v/>
      </c>
      <c r="AF204" s="8">
        <f>IF(OR(E204="",A204=""),"",IFERROR(INDEX($AE$4:$AE$204,MATCH(E204,$A$4:$A$204,0)),""))</f>
        <v/>
      </c>
      <c r="AG204" s="8">
        <f>IF(OR(AD204="",AF204=""),"",AD204-AF204)</f>
        <v/>
      </c>
      <c r="AH204" s="4">
        <f>IF(A204="","",IF(E204="","TERMINAL",IF(OR(AND(UPPER(TRIM(B204))="SWALE",UPPER(TRIM(AI204))="PIPE"),AND(UPPER(TRIM(B204))="TRENCH",UPPER(TRIM(AI204))="PIPE")),IF(OR(AG204="",AJ204="",AK204=""),"INFO",IF(AND(AG204&gt;=AJ204,AG204&lt;=AK204),"OK","CHECK")),IF(AG204="","INFO",IF(ABS(AG204)&lt;=Inputs!$B$54,"OK","CHECK")))))</f>
        <v/>
      </c>
      <c r="AI204" s="17">
        <f>IF(A204="","",IF(E204="","",IFERROR(INDEX($B$4:$B$204,MATCH(E204,$A$4:$A$204,0)),"")))</f>
        <v/>
      </c>
      <c r="AJ204" s="17">
        <f>IF(A204="","",IF(OR(AND(UPPER(TRIM(B204))="SWALE",UPPER(TRIM(AI204))="PIPE"),AND(UPPER(TRIM(B204))="TRENCH",UPPER(TRIM(AI204))="PIPE")),Inputs!$B$55,0))</f>
        <v/>
      </c>
      <c r="AK204" s="17">
        <f>IF(A204="","",IF(OR(AND(UPPER(TRIM(B204))="SWALE",UPPER(TRIM(AI204))="PIPE"),AND(UPPER(TRIM(B204))="TRENCH",UPPER(TRIM(AI204))="PIPE")),Inputs!$B$56,Inputs!$B$54))</f>
        <v/>
      </c>
      <c r="AL204" s="4">
        <f>IF(A204="","",IF(E204="","TERMINAL",IF(OR(AND(UPPER(TRIM(B204))="SWALE",UPPER(TRIM(AI204))="PIPE"),AND(UPPER(TRIM(B204))="TRENCH",UPPER(TRIM(AI204))="PIPE")),IF(OR(AG204="",AJ204="",AK204=""),"INFO",IF(AND(AG204&gt;=AJ204,AG204&lt;=AK204),"OK","CHECK")),"N/A")))</f>
        <v/>
      </c>
    </row>
  </sheetData>
  <mergeCells count="2">
    <mergeCell ref="A2:AB2"/>
    <mergeCell ref="A1:AB1"/>
  </mergeCells>
  <conditionalFormatting sqref="A4:AH204">
    <cfRule type="expression" priority="6" dxfId="0">
      <formula>=$B4="PIPE"</formula>
    </cfRule>
    <cfRule type="expression" priority="7" dxfId="1">
      <formula>=$B4="SWALE"</formula>
    </cfRule>
    <cfRule type="expression" priority="8" dxfId="2">
      <formula>=$B4="TRENCH"</formula>
    </cfRule>
  </conditionalFormatting>
  <conditionalFormatting sqref="AA4:AA204">
    <cfRule type="expression" priority="9" dxfId="3">
      <formula>=$AA4="CHECK"</formula>
    </cfRule>
  </conditionalFormatting>
  <conditionalFormatting sqref="AH4:AH204">
    <cfRule type="expression" priority="10" dxfId="3">
      <formula>=$AH4="CHECK"</formula>
    </cfRule>
  </conditionalFormatting>
  <conditionalFormatting sqref="AL4:AL204">
    <cfRule type="expression" priority="6" dxfId="3">
      <formula>=$AL4="CHECK"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1" customWidth="1" min="5" max="5"/>
    <col width="10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>
      <c r="A1" s="1" t="inlineStr">
        <is>
          <t>NOEUDS / OUVRAGES - CAPACITE DE STOCKAGE TAMPON</t>
        </is>
      </c>
    </row>
    <row r="3">
      <c r="A3" s="6" t="inlineStr">
        <is>
          <t>Node_ID</t>
        </is>
      </c>
      <c r="B3" s="6" t="inlineStr">
        <is>
          <t>Node_type</t>
        </is>
      </c>
      <c r="C3" s="6" t="inlineStr">
        <is>
          <t>Ground_elev_m</t>
        </is>
      </c>
      <c r="D3" s="6" t="inlineStr">
        <is>
          <t>Invert_elev_m</t>
        </is>
      </c>
      <c r="E3" s="6" t="inlineStr">
        <is>
          <t>Max_depth_m</t>
        </is>
      </c>
      <c r="F3" s="6" t="inlineStr">
        <is>
          <t>Geometry</t>
        </is>
      </c>
      <c r="G3" s="6" t="inlineStr">
        <is>
          <t>Dia_or_width_m</t>
        </is>
      </c>
      <c r="H3" s="6" t="inlineStr">
        <is>
          <t>Length_if_rect_m</t>
        </is>
      </c>
      <c r="I3" s="6" t="inlineStr">
        <is>
          <t>Storage_geom_m3</t>
        </is>
      </c>
      <c r="J3" s="6" t="inlineStr">
        <is>
          <t>Buffer_time_min</t>
        </is>
      </c>
      <c r="K3" s="6" t="inlineStr">
        <is>
          <t>Qin_peak_m3s</t>
        </is>
      </c>
      <c r="L3" s="6" t="inlineStr">
        <is>
          <t>V_required_m3</t>
        </is>
      </c>
      <c r="M3" s="6" t="inlineStr">
        <is>
          <t>Node_check</t>
        </is>
      </c>
    </row>
    <row r="4">
      <c r="A4" s="4" t="inlineStr">
        <is>
          <t>P-01</t>
        </is>
      </c>
      <c r="B4" s="4" t="inlineStr">
        <is>
          <t>CB</t>
        </is>
      </c>
      <c r="C4" s="7" t="n"/>
      <c r="D4" s="7" t="n"/>
      <c r="E4" s="8">
        <f>IF(OR(C4="",D4=""),"",MAX(0,C4-D4))</f>
        <v/>
      </c>
      <c r="F4" s="7" t="inlineStr">
        <is>
          <t>CIRC</t>
        </is>
      </c>
      <c r="G4" s="7" t="n">
        <v>1.2</v>
      </c>
      <c r="H4" s="7" t="inlineStr"/>
      <c r="I4" s="8">
        <f>IF(A4="","",IF(UPPER(TRIM(F4))="CIRC",PI()*(G4/2)^2*E4,IF(UPPER(TRIM(F4))="RECT",G4*H4*E4,"")))</f>
        <v/>
      </c>
      <c r="J4" s="7">
        <f>Inputs!$B$23</f>
        <v/>
      </c>
      <c r="K4" s="8">
        <f>IF(A4="","",SUMIFS(Elements_hybrides!$Q:$Q,Elements_hybrides!$D:$D,$A4))</f>
        <v/>
      </c>
      <c r="L4" s="8">
        <f>IF(OR(K4="",J4=""),"",K4*J4*60)</f>
        <v/>
      </c>
      <c r="M4" s="4">
        <f>IF(A4="","",IF(OR(I4="",L4=""),"",IF(I4&gt;=L4,"OK","CHECK")))</f>
        <v/>
      </c>
    </row>
    <row r="5">
      <c r="A5" s="4" t="inlineStr">
        <is>
          <t>P-02</t>
        </is>
      </c>
      <c r="B5" s="4" t="inlineStr">
        <is>
          <t>CB</t>
        </is>
      </c>
      <c r="C5" s="7" t="n"/>
      <c r="D5" s="7" t="n"/>
      <c r="E5" s="8">
        <f>IF(OR(C5="",D5=""),"",MAX(0,C5-D5))</f>
        <v/>
      </c>
      <c r="F5" s="7" t="inlineStr">
        <is>
          <t>CIRC</t>
        </is>
      </c>
      <c r="G5" s="7" t="n">
        <v>1.2</v>
      </c>
      <c r="H5" s="7" t="inlineStr"/>
      <c r="I5" s="8">
        <f>IF(A5="","",IF(UPPER(TRIM(F5))="CIRC",PI()*(G5/2)^2*E5,IF(UPPER(TRIM(F5))="RECT",G5*H5*E5,"")))</f>
        <v/>
      </c>
      <c r="J5" s="7">
        <f>Inputs!$B$23</f>
        <v/>
      </c>
      <c r="K5" s="8">
        <f>IF(A5="","",SUMIFS(Elements_hybrides!$Q:$Q,Elements_hybrides!$D:$D,$A5))</f>
        <v/>
      </c>
      <c r="L5" s="8">
        <f>IF(OR(K5="",J5=""),"",K5*J5*60)</f>
        <v/>
      </c>
      <c r="M5" s="4">
        <f>IF(A5="","",IF(OR(I5="",L5=""),"",IF(I5&gt;=L5,"OK","CHECK")))</f>
        <v/>
      </c>
    </row>
    <row r="6">
      <c r="A6" s="4" t="inlineStr">
        <is>
          <t>P-03</t>
        </is>
      </c>
      <c r="B6" s="4" t="inlineStr">
        <is>
          <t>CB</t>
        </is>
      </c>
      <c r="C6" s="7" t="n"/>
      <c r="D6" s="7" t="n"/>
      <c r="E6" s="8">
        <f>IF(OR(C6="",D6=""),"",MAX(0,C6-D6))</f>
        <v/>
      </c>
      <c r="F6" s="7" t="inlineStr">
        <is>
          <t>CIRC</t>
        </is>
      </c>
      <c r="G6" s="7" t="n">
        <v>1.2</v>
      </c>
      <c r="H6" s="7" t="inlineStr"/>
      <c r="I6" s="8">
        <f>IF(A6="","",IF(UPPER(TRIM(F6))="CIRC",PI()*(G6/2)^2*E6,IF(UPPER(TRIM(F6))="RECT",G6*H6*E6,"")))</f>
        <v/>
      </c>
      <c r="J6" s="7">
        <f>Inputs!$B$23</f>
        <v/>
      </c>
      <c r="K6" s="8">
        <f>IF(A6="","",SUMIFS(Elements_hybrides!$Q:$Q,Elements_hybrides!$D:$D,$A6))</f>
        <v/>
      </c>
      <c r="L6" s="8">
        <f>IF(OR(K6="",J6=""),"",K6*J6*60)</f>
        <v/>
      </c>
      <c r="M6" s="4">
        <f>IF(A6="","",IF(OR(I6="",L6=""),"",IF(I6&gt;=L6,"OK","CHECK")))</f>
        <v/>
      </c>
    </row>
    <row r="7">
      <c r="A7" s="4" t="inlineStr">
        <is>
          <t>J-SUD-EST</t>
        </is>
      </c>
      <c r="B7" s="4" t="inlineStr">
        <is>
          <t>SWALE_NODE</t>
        </is>
      </c>
      <c r="C7" s="7" t="n"/>
      <c r="D7" s="7" t="n"/>
      <c r="E7" s="8">
        <f>IF(OR(C7="",D7=""),"",MAX(0,C7-D7))</f>
        <v/>
      </c>
      <c r="F7" s="7" t="inlineStr">
        <is>
          <t>RECT</t>
        </is>
      </c>
      <c r="G7" s="7" t="n">
        <v>1</v>
      </c>
      <c r="H7" s="7" t="n">
        <v>1</v>
      </c>
      <c r="I7" s="8">
        <f>IF(A7="","",IF(UPPER(TRIM(F7))="CIRC",PI()*(G7/2)^2*E7,IF(UPPER(TRIM(F7))="RECT",G7*H7*E7,"")))</f>
        <v/>
      </c>
      <c r="J7" s="7">
        <f>Inputs!$B$23</f>
        <v/>
      </c>
      <c r="K7" s="8">
        <f>IF(A7="","",SUMIFS(Elements_hybrides!$Q:$Q,Elements_hybrides!$D:$D,$A7))</f>
        <v/>
      </c>
      <c r="L7" s="8">
        <f>IF(OR(K7="",J7=""),"",K7*J7*60)</f>
        <v/>
      </c>
      <c r="M7" s="4">
        <f>IF(A7="","",IF(OR(I7="",L7=""),"",IF(I7&gt;=L7,"OK","CHECK")))</f>
        <v/>
      </c>
    </row>
    <row r="8">
      <c r="A8" s="4" t="inlineStr">
        <is>
          <t>J-SUD-OUEST</t>
        </is>
      </c>
      <c r="B8" s="4" t="inlineStr">
        <is>
          <t>SWALE_NODE</t>
        </is>
      </c>
      <c r="C8" s="7" t="n"/>
      <c r="D8" s="7" t="n"/>
      <c r="E8" s="8">
        <f>IF(OR(C8="",D8=""),"",MAX(0,C8-D8))</f>
        <v/>
      </c>
      <c r="F8" s="7" t="inlineStr">
        <is>
          <t>RECT</t>
        </is>
      </c>
      <c r="G8" s="7" t="n">
        <v>1.2</v>
      </c>
      <c r="H8" s="7" t="n">
        <v>1.2</v>
      </c>
      <c r="I8" s="8">
        <f>IF(A8="","",IF(UPPER(TRIM(F8))="CIRC",PI()*(G8/2)^2*E8,IF(UPPER(TRIM(F8))="RECT",G8*H8*E8,"")))</f>
        <v/>
      </c>
      <c r="J8" s="7">
        <f>Inputs!$B$23</f>
        <v/>
      </c>
      <c r="K8" s="8">
        <f>IF(A8="","",SUMIFS(Elements_hybrides!$Q:$Q,Elements_hybrides!$D:$D,$A8))</f>
        <v/>
      </c>
      <c r="L8" s="8">
        <f>IF(OR(K8="",J8=""),"",K8*J8*60)</f>
        <v/>
      </c>
      <c r="M8" s="4">
        <f>IF(A8="","",IF(OR(I8="",L8=""),"",IF(I8&gt;=L8,"OK","CHECK")))</f>
        <v/>
      </c>
    </row>
    <row r="9">
      <c r="A9" s="4" t="inlineStr">
        <is>
          <t>J-OUEST-AMONT</t>
        </is>
      </c>
      <c r="B9" s="4" t="inlineStr">
        <is>
          <t>CB</t>
        </is>
      </c>
      <c r="C9" s="7" t="n"/>
      <c r="D9" s="7" t="n"/>
      <c r="E9" s="8">
        <f>IF(OR(C9="",D9=""),"",MAX(0,C9-D9))</f>
        <v/>
      </c>
      <c r="F9" s="7" t="inlineStr">
        <is>
          <t>CIRC</t>
        </is>
      </c>
      <c r="G9" s="7" t="n">
        <v>1</v>
      </c>
      <c r="H9" s="7" t="inlineStr"/>
      <c r="I9" s="8">
        <f>IF(A9="","",IF(UPPER(TRIM(F9))="CIRC",PI()*(G9/2)^2*E9,IF(UPPER(TRIM(F9))="RECT",G9*H9*E9,"")))</f>
        <v/>
      </c>
      <c r="J9" s="7">
        <f>Inputs!$B$23</f>
        <v/>
      </c>
      <c r="K9" s="8">
        <f>IF(A9="","",SUMIFS(Elements_hybrides!$Q:$Q,Elements_hybrides!$D:$D,$A9))</f>
        <v/>
      </c>
      <c r="L9" s="8">
        <f>IF(OR(K9="",J9=""),"",K9*J9*60)</f>
        <v/>
      </c>
      <c r="M9" s="4">
        <f>IF(A9="","",IF(OR(I9="",L9=""),"",IF(I9&gt;=L9,"OK","CHECK")))</f>
        <v/>
      </c>
    </row>
    <row r="10">
      <c r="A10" s="4" t="inlineStr">
        <is>
          <t>J-OUEST-PU1</t>
        </is>
      </c>
      <c r="B10" s="4" t="inlineStr">
        <is>
          <t>MH</t>
        </is>
      </c>
      <c r="C10" s="7" t="n"/>
      <c r="D10" s="7" t="n"/>
      <c r="E10" s="8">
        <f>IF(OR(C10="",D10=""),"",MAX(0,C10-D10))</f>
        <v/>
      </c>
      <c r="F10" s="7" t="inlineStr">
        <is>
          <t>CIRC</t>
        </is>
      </c>
      <c r="G10" s="7" t="n">
        <v>1</v>
      </c>
      <c r="H10" s="7" t="inlineStr"/>
      <c r="I10" s="8">
        <f>IF(A10="","",IF(UPPER(TRIM(F10))="CIRC",PI()*(G10/2)^2*E10,IF(UPPER(TRIM(F10))="RECT",G10*H10*E10,"")))</f>
        <v/>
      </c>
      <c r="J10" s="7">
        <f>Inputs!$B$23</f>
        <v/>
      </c>
      <c r="K10" s="8">
        <f>IF(A10="","",SUMIFS(Elements_hybrides!$Q:$Q,Elements_hybrides!$D:$D,$A10))</f>
        <v/>
      </c>
      <c r="L10" s="8">
        <f>IF(OR(K10="",J10=""),"",K10*J10*60)</f>
        <v/>
      </c>
      <c r="M10" s="4">
        <f>IF(A10="","",IF(OR(I10="",L10=""),"",IF(I10&gt;=L10,"OK","CHECK")))</f>
        <v/>
      </c>
    </row>
    <row r="11">
      <c r="A11" s="4" t="inlineStr">
        <is>
          <t>J-OUEST-PU2</t>
        </is>
      </c>
      <c r="B11" s="4" t="inlineStr">
        <is>
          <t>MH</t>
        </is>
      </c>
      <c r="C11" s="7" t="n"/>
      <c r="D11" s="7" t="n"/>
      <c r="E11" s="8">
        <f>IF(OR(C11="",D11=""),"",MAX(0,C11-D11))</f>
        <v/>
      </c>
      <c r="F11" s="7" t="inlineStr">
        <is>
          <t>CIRC</t>
        </is>
      </c>
      <c r="G11" s="7" t="n">
        <v>1</v>
      </c>
      <c r="H11" s="7" t="inlineStr"/>
      <c r="I11" s="8">
        <f>IF(A11="","",IF(UPPER(TRIM(F11))="CIRC",PI()*(G11/2)^2*E11,IF(UPPER(TRIM(F11))="RECT",G11*H11*E11,"")))</f>
        <v/>
      </c>
      <c r="J11" s="7">
        <f>Inputs!$B$23</f>
        <v/>
      </c>
      <c r="K11" s="8">
        <f>IF(A11="","",SUMIFS(Elements_hybrides!$Q:$Q,Elements_hybrides!$D:$D,$A11))</f>
        <v/>
      </c>
      <c r="L11" s="8">
        <f>IF(OR(K11="",J11=""),"",K11*J11*60)</f>
        <v/>
      </c>
      <c r="M11" s="4">
        <f>IF(A11="","",IF(OR(I11="",L11=""),"",IF(I11&gt;=L11,"OK","CHECK")))</f>
        <v/>
      </c>
    </row>
    <row r="12">
      <c r="A12" s="4" t="inlineStr">
        <is>
          <t>J-OUEST-PU3</t>
        </is>
      </c>
      <c r="B12" s="4" t="inlineStr">
        <is>
          <t>MH</t>
        </is>
      </c>
      <c r="C12" s="7" t="n"/>
      <c r="D12" s="7" t="n"/>
      <c r="E12" s="8">
        <f>IF(OR(C12="",D12=""),"",MAX(0,C12-D12))</f>
        <v/>
      </c>
      <c r="F12" s="7" t="inlineStr">
        <is>
          <t>CIRC</t>
        </is>
      </c>
      <c r="G12" s="7" t="n">
        <v>1</v>
      </c>
      <c r="H12" s="7" t="inlineStr"/>
      <c r="I12" s="8">
        <f>IF(A12="","",IF(UPPER(TRIM(F12))="CIRC",PI()*(G12/2)^2*E12,IF(UPPER(TRIM(F12))="RECT",G12*H12*E12,"")))</f>
        <v/>
      </c>
      <c r="J12" s="7">
        <f>Inputs!$B$23</f>
        <v/>
      </c>
      <c r="K12" s="8">
        <f>IF(A12="","",SUMIFS(Elements_hybrides!$Q:$Q,Elements_hybrides!$D:$D,$A12))</f>
        <v/>
      </c>
      <c r="L12" s="8">
        <f>IF(OR(K12="",J12=""),"",K12*J12*60)</f>
        <v/>
      </c>
      <c r="M12" s="4">
        <f>IF(A12="","",IF(OR(I12="",L12=""),"",IF(I12&gt;=L12,"OK","CHECK")))</f>
        <v/>
      </c>
    </row>
    <row r="13">
      <c r="A13" s="4" t="inlineStr">
        <is>
          <t>J-OUEST-PU4</t>
        </is>
      </c>
      <c r="B13" s="4" t="inlineStr">
        <is>
          <t>MH</t>
        </is>
      </c>
      <c r="C13" s="7" t="n"/>
      <c r="D13" s="7" t="n"/>
      <c r="E13" s="8">
        <f>IF(OR(C13="",D13=""),"",MAX(0,C13-D13))</f>
        <v/>
      </c>
      <c r="F13" s="7" t="inlineStr">
        <is>
          <t>CIRC</t>
        </is>
      </c>
      <c r="G13" s="7" t="n">
        <v>1</v>
      </c>
      <c r="H13" s="7" t="inlineStr"/>
      <c r="I13" s="8">
        <f>IF(A13="","",IF(UPPER(TRIM(F13))="CIRC",PI()*(G13/2)^2*E13,IF(UPPER(TRIM(F13))="RECT",G13*H13*E13,"")))</f>
        <v/>
      </c>
      <c r="J13" s="7">
        <f>Inputs!$B$23</f>
        <v/>
      </c>
      <c r="K13" s="8">
        <f>IF(A13="","",SUMIFS(Elements_hybrides!$Q:$Q,Elements_hybrides!$D:$D,$A13))</f>
        <v/>
      </c>
      <c r="L13" s="8">
        <f>IF(OR(K13="",J13=""),"",K13*J13*60)</f>
        <v/>
      </c>
      <c r="M13" s="4">
        <f>IF(A13="","",IF(OR(I13="",L13=""),"",IF(I13&gt;=L13,"OK","CHECK")))</f>
        <v/>
      </c>
    </row>
    <row r="14">
      <c r="A14" s="4" t="inlineStr">
        <is>
          <t>J-OUEST-AVAL</t>
        </is>
      </c>
      <c r="B14" s="4" t="inlineStr">
        <is>
          <t>CB</t>
        </is>
      </c>
      <c r="C14" s="7" t="n"/>
      <c r="D14" s="7" t="n"/>
      <c r="E14" s="8">
        <f>IF(OR(C14="",D14=""),"",MAX(0,C14-D14))</f>
        <v/>
      </c>
      <c r="F14" s="7" t="inlineStr">
        <is>
          <t>CIRC</t>
        </is>
      </c>
      <c r="G14" s="7" t="n">
        <v>1</v>
      </c>
      <c r="H14" s="7" t="inlineStr"/>
      <c r="I14" s="8">
        <f>IF(A14="","",IF(UPPER(TRIM(F14))="CIRC",PI()*(G14/2)^2*E14,IF(UPPER(TRIM(F14))="RECT",G14*H14*E14,"")))</f>
        <v/>
      </c>
      <c r="J14" s="7">
        <f>Inputs!$B$23</f>
        <v/>
      </c>
      <c r="K14" s="8">
        <f>IF(A14="","",SUMIFS(Elements_hybrides!$Q:$Q,Elements_hybrides!$D:$D,$A14))</f>
        <v/>
      </c>
      <c r="L14" s="8">
        <f>IF(OR(K14="",J14=""),"",K14*J14*60)</f>
        <v/>
      </c>
      <c r="M14" s="4">
        <f>IF(A14="","",IF(OR(I14="",L14=""),"",IF(I14&gt;=L14,"OK","CHECK")))</f>
        <v/>
      </c>
    </row>
    <row r="15">
      <c r="A15" s="4" t="inlineStr">
        <is>
          <t>J-BASSIN-IN</t>
        </is>
      </c>
      <c r="B15" s="4" t="inlineStr">
        <is>
          <t>MH</t>
        </is>
      </c>
      <c r="C15" s="7" t="n"/>
      <c r="D15" s="7" t="n"/>
      <c r="E15" s="8">
        <f>IF(OR(C15="",D15=""),"",MAX(0,C15-D15))</f>
        <v/>
      </c>
      <c r="F15" s="7" t="inlineStr">
        <is>
          <t>CIRC</t>
        </is>
      </c>
      <c r="G15" s="7" t="n">
        <v>1.8</v>
      </c>
      <c r="H15" s="7" t="inlineStr"/>
      <c r="I15" s="8">
        <f>IF(A15="","",IF(UPPER(TRIM(F15))="CIRC",PI()*(G15/2)^2*E15,IF(UPPER(TRIM(F15))="RECT",G15*H15*E15,"")))</f>
        <v/>
      </c>
      <c r="J15" s="7">
        <f>Inputs!$B$23</f>
        <v/>
      </c>
      <c r="K15" s="8">
        <f>IF(A15="","",SUMIFS(Elements_hybrides!$Q:$Q,Elements_hybrides!$D:$D,$A15))</f>
        <v/>
      </c>
      <c r="L15" s="8">
        <f>IF(OR(K15="",J15=""),"",K15*J15*60)</f>
        <v/>
      </c>
      <c r="M15" s="4">
        <f>IF(A15="","",IF(OR(I15="",L15=""),"",IF(I15&gt;=L15,"OK","CHECK")))</f>
        <v/>
      </c>
    </row>
    <row r="16">
      <c r="A16" s="4" t="inlineStr">
        <is>
          <t>BASSIN-RET</t>
        </is>
      </c>
      <c r="B16" s="4" t="inlineStr">
        <is>
          <t>RETENTION</t>
        </is>
      </c>
      <c r="C16" s="7">
        <f>Inputs!$B$37</f>
        <v/>
      </c>
      <c r="D16" s="7">
        <f>Inputs!$B$38</f>
        <v/>
      </c>
      <c r="E16" s="8">
        <f>IF(OR(C16="",D16=""),"",MAX(0,C16-D16))</f>
        <v/>
      </c>
      <c r="F16" s="7" t="inlineStr">
        <is>
          <t>RECT</t>
        </is>
      </c>
      <c r="G16" s="7">
        <f>Inputs!$B$34</f>
        <v/>
      </c>
      <c r="H16" s="7">
        <f>Inputs!$B$35</f>
        <v/>
      </c>
      <c r="I16" s="8">
        <f>IF(A16="","",IF(UPPER(TRIM(F16))="CIRC",PI()*(G16/2)^2*E16,IF(UPPER(TRIM(F16))="RECT",G16*H16*E16,"")))</f>
        <v/>
      </c>
      <c r="J16" s="7" t="n">
        <v>30</v>
      </c>
      <c r="K16" s="8">
        <f>IF(A16="","",SUMIFS(Elements_hybrides!$Q:$Q,Elements_hybrides!$D:$D,$A16))</f>
        <v/>
      </c>
      <c r="L16" s="8">
        <f>IF(OR(K16="",J16=""),"",K16*J16*60)</f>
        <v/>
      </c>
      <c r="M16" s="4">
        <f>IF(A16="","",IF(OR(I16="",L16=""),"",IF(I16&gt;=L16,"OK","CHECK")))</f>
        <v/>
      </c>
    </row>
    <row r="17">
      <c r="A17" s="4" t="inlineStr">
        <is>
          <t>J-BASSIN-OUEST</t>
        </is>
      </c>
      <c r="B17" s="4" t="inlineStr">
        <is>
          <t>MH</t>
        </is>
      </c>
      <c r="C17" s="7" t="n"/>
      <c r="D17" s="7" t="n"/>
      <c r="E17" s="8">
        <f>IF(OR(C17="",D17=""),"",MAX(0,C17-D17))</f>
        <v/>
      </c>
      <c r="F17" s="7" t="inlineStr">
        <is>
          <t>CIRC</t>
        </is>
      </c>
      <c r="G17" s="7" t="n">
        <v>1.2</v>
      </c>
      <c r="H17" s="7" t="inlineStr"/>
      <c r="I17" s="8">
        <f>IF(A17="","",IF(UPPER(TRIM(F17))="CIRC",PI()*(G17/2)^2*E17,IF(UPPER(TRIM(F17))="RECT",G17*H17*E17,"")))</f>
        <v/>
      </c>
      <c r="J17" s="7">
        <f>Inputs!$B$23</f>
        <v/>
      </c>
      <c r="K17" s="8">
        <f>IF(A17="","",SUMIFS(Elements_hybrides!$Q:$Q,Elements_hybrides!$D:$D,$A17))</f>
        <v/>
      </c>
      <c r="L17" s="8">
        <f>IF(OR(K17="",J17=""),"",K17*J17*60)</f>
        <v/>
      </c>
      <c r="M17" s="4">
        <f>IF(A17="","",IF(OR(I17="",L17=""),"",IF(I17&gt;=L17,"OK","CHECK")))</f>
        <v/>
      </c>
    </row>
    <row r="18">
      <c r="A18" s="4" t="inlineStr">
        <is>
          <t>J-MECH-OUT</t>
        </is>
      </c>
      <c r="B18" s="4" t="inlineStr">
        <is>
          <t>MH</t>
        </is>
      </c>
      <c r="C18" s="7" t="n"/>
      <c r="D18" s="7" t="n"/>
      <c r="E18" s="8">
        <f>IF(OR(C18="",D18=""),"",MAX(0,C18-D18))</f>
        <v/>
      </c>
      <c r="F18" s="7" t="inlineStr">
        <is>
          <t>CIRC</t>
        </is>
      </c>
      <c r="G18" s="7" t="n">
        <v>1.2</v>
      </c>
      <c r="H18" s="7" t="inlineStr"/>
      <c r="I18" s="8">
        <f>IF(A18="","",IF(UPPER(TRIM(F18))="CIRC",PI()*(G18/2)^2*E18,IF(UPPER(TRIM(F18))="RECT",G18*H18*E18,"")))</f>
        <v/>
      </c>
      <c r="J18" s="7">
        <f>Inputs!$B$23</f>
        <v/>
      </c>
      <c r="K18" s="8">
        <f>IF(A18="","",SUMIFS(Elements_hybrides!$Q:$Q,Elements_hybrides!$D:$D,$A18))</f>
        <v/>
      </c>
      <c r="L18" s="8">
        <f>IF(OR(K18="",J18=""),"",K18*J18*60)</f>
        <v/>
      </c>
      <c r="M18" s="4">
        <f>IF(A18="","",IF(OR(I18="",L18=""),"",IF(I18&gt;=L18,"OK","CHECK")))</f>
        <v/>
      </c>
    </row>
    <row r="19">
      <c r="A19" s="4" t="n"/>
      <c r="B19" s="4" t="n"/>
      <c r="C19" s="7" t="n"/>
      <c r="D19" s="7" t="n"/>
      <c r="E19" s="8">
        <f>IF(OR(C19="",D19=""),"",MAX(0,C19-D19))</f>
        <v/>
      </c>
      <c r="F19" s="7" t="n"/>
      <c r="G19" s="7" t="n"/>
      <c r="H19" s="7" t="n"/>
      <c r="I19" s="8">
        <f>IF(A19="","",IF(UPPER(TRIM(F19))="CIRC",PI()*(G19/2)^2*E19,IF(UPPER(TRIM(F19))="RECT",G19*H19*E19,"")))</f>
        <v/>
      </c>
      <c r="J19" s="7" t="n"/>
      <c r="K19" s="8">
        <f>IF(A19="","",SUMIFS(Elements_hybrides!$Q:$Q,Elements_hybrides!$D:$D,$A19))</f>
        <v/>
      </c>
      <c r="L19" s="8">
        <f>IF(OR(K19="",J19=""),"",K19*J19*60)</f>
        <v/>
      </c>
      <c r="M19" s="4">
        <f>IF(A19="","",IF(OR(I19="",L19=""),"",IF(I19&gt;=L19,"OK","CHECK")))</f>
        <v/>
      </c>
    </row>
    <row r="20">
      <c r="A20" s="4" t="n"/>
      <c r="B20" s="4" t="n"/>
      <c r="C20" s="7" t="n"/>
      <c r="D20" s="7" t="n"/>
      <c r="E20" s="8">
        <f>IF(OR(C20="",D20=""),"",MAX(0,C20-D20))</f>
        <v/>
      </c>
      <c r="F20" s="7" t="n"/>
      <c r="G20" s="7" t="n"/>
      <c r="H20" s="7" t="n"/>
      <c r="I20" s="8">
        <f>IF(A20="","",IF(UPPER(TRIM(F20))="CIRC",PI()*(G20/2)^2*E20,IF(UPPER(TRIM(F20))="RECT",G20*H20*E20,"")))</f>
        <v/>
      </c>
      <c r="J20" s="7" t="n"/>
      <c r="K20" s="8">
        <f>IF(A20="","",SUMIFS(Elements_hybrides!$Q:$Q,Elements_hybrides!$D:$D,$A20))</f>
        <v/>
      </c>
      <c r="L20" s="8">
        <f>IF(OR(K20="",J20=""),"",K20*J20*60)</f>
        <v/>
      </c>
      <c r="M20" s="4">
        <f>IF(A20="","",IF(OR(I20="",L20=""),"",IF(I20&gt;=L20,"OK","CHECK")))</f>
        <v/>
      </c>
    </row>
    <row r="21">
      <c r="A21" s="4" t="n"/>
      <c r="B21" s="4" t="n"/>
      <c r="C21" s="7" t="n"/>
      <c r="D21" s="7" t="n"/>
      <c r="E21" s="8">
        <f>IF(OR(C21="",D21=""),"",MAX(0,C21-D21))</f>
        <v/>
      </c>
      <c r="F21" s="7" t="n"/>
      <c r="G21" s="7" t="n"/>
      <c r="H21" s="7" t="n"/>
      <c r="I21" s="8">
        <f>IF(A21="","",IF(UPPER(TRIM(F21))="CIRC",PI()*(G21/2)^2*E21,IF(UPPER(TRIM(F21))="RECT",G21*H21*E21,"")))</f>
        <v/>
      </c>
      <c r="J21" s="7" t="n"/>
      <c r="K21" s="8">
        <f>IF(A21="","",SUMIFS(Elements_hybrides!$Q:$Q,Elements_hybrides!$D:$D,$A21))</f>
        <v/>
      </c>
      <c r="L21" s="8">
        <f>IF(OR(K21="",J21=""),"",K21*J21*60)</f>
        <v/>
      </c>
      <c r="M21" s="4">
        <f>IF(A21="","",IF(OR(I21="",L21=""),"",IF(I21&gt;=L21,"OK","CHECK")))</f>
        <v/>
      </c>
    </row>
    <row r="22">
      <c r="A22" s="4" t="n"/>
      <c r="B22" s="4" t="n"/>
      <c r="C22" s="7" t="n"/>
      <c r="D22" s="7" t="n"/>
      <c r="E22" s="8">
        <f>IF(OR(C22="",D22=""),"",MAX(0,C22-D22))</f>
        <v/>
      </c>
      <c r="F22" s="7" t="n"/>
      <c r="G22" s="7" t="n"/>
      <c r="H22" s="7" t="n"/>
      <c r="I22" s="8">
        <f>IF(A22="","",IF(UPPER(TRIM(F22))="CIRC",PI()*(G22/2)^2*E22,IF(UPPER(TRIM(F22))="RECT",G22*H22*E22,"")))</f>
        <v/>
      </c>
      <c r="J22" s="7" t="n"/>
      <c r="K22" s="8">
        <f>IF(A22="","",SUMIFS(Elements_hybrides!$Q:$Q,Elements_hybrides!$D:$D,$A22))</f>
        <v/>
      </c>
      <c r="L22" s="8">
        <f>IF(OR(K22="",J22=""),"",K22*J22*60)</f>
        <v/>
      </c>
      <c r="M22" s="4">
        <f>IF(A22="","",IF(OR(I22="",L22=""),"",IF(I22&gt;=L22,"OK","CHECK")))</f>
        <v/>
      </c>
    </row>
    <row r="23">
      <c r="A23" s="4" t="n"/>
      <c r="B23" s="4" t="n"/>
      <c r="C23" s="7" t="n"/>
      <c r="D23" s="7" t="n"/>
      <c r="E23" s="8">
        <f>IF(OR(C23="",D23=""),"",MAX(0,C23-D23))</f>
        <v/>
      </c>
      <c r="F23" s="7" t="n"/>
      <c r="G23" s="7" t="n"/>
      <c r="H23" s="7" t="n"/>
      <c r="I23" s="8">
        <f>IF(A23="","",IF(UPPER(TRIM(F23))="CIRC",PI()*(G23/2)^2*E23,IF(UPPER(TRIM(F23))="RECT",G23*H23*E23,"")))</f>
        <v/>
      </c>
      <c r="J23" s="7" t="n"/>
      <c r="K23" s="8">
        <f>IF(A23="","",SUMIFS(Elements_hybrides!$Q:$Q,Elements_hybrides!$D:$D,$A23))</f>
        <v/>
      </c>
      <c r="L23" s="8">
        <f>IF(OR(K23="",J23=""),"",K23*J23*60)</f>
        <v/>
      </c>
      <c r="M23" s="4">
        <f>IF(A23="","",IF(OR(I23="",L23=""),"",IF(I23&gt;=L23,"OK","CHECK")))</f>
        <v/>
      </c>
    </row>
    <row r="24">
      <c r="A24" s="4" t="n"/>
      <c r="B24" s="4" t="n"/>
      <c r="C24" s="7" t="n"/>
      <c r="D24" s="7" t="n"/>
      <c r="E24" s="8">
        <f>IF(OR(C24="",D24=""),"",MAX(0,C24-D24))</f>
        <v/>
      </c>
      <c r="F24" s="7" t="n"/>
      <c r="G24" s="7" t="n"/>
      <c r="H24" s="7" t="n"/>
      <c r="I24" s="8">
        <f>IF(A24="","",IF(UPPER(TRIM(F24))="CIRC",PI()*(G24/2)^2*E24,IF(UPPER(TRIM(F24))="RECT",G24*H24*E24,"")))</f>
        <v/>
      </c>
      <c r="J24" s="7" t="n"/>
      <c r="K24" s="8">
        <f>IF(A24="","",SUMIFS(Elements_hybrides!$Q:$Q,Elements_hybrides!$D:$D,$A24))</f>
        <v/>
      </c>
      <c r="L24" s="8">
        <f>IF(OR(K24="",J24=""),"",K24*J24*60)</f>
        <v/>
      </c>
      <c r="M24" s="4">
        <f>IF(A24="","",IF(OR(I24="",L24=""),"",IF(I24&gt;=L24,"OK","CHECK")))</f>
        <v/>
      </c>
    </row>
    <row r="25">
      <c r="A25" s="4" t="n"/>
      <c r="B25" s="4" t="n"/>
      <c r="C25" s="7" t="n"/>
      <c r="D25" s="7" t="n"/>
      <c r="E25" s="8">
        <f>IF(OR(C25="",D25=""),"",MAX(0,C25-D25))</f>
        <v/>
      </c>
      <c r="F25" s="7" t="n"/>
      <c r="G25" s="7" t="n"/>
      <c r="H25" s="7" t="n"/>
      <c r="I25" s="8">
        <f>IF(A25="","",IF(UPPER(TRIM(F25))="CIRC",PI()*(G25/2)^2*E25,IF(UPPER(TRIM(F25))="RECT",G25*H25*E25,"")))</f>
        <v/>
      </c>
      <c r="J25" s="7" t="n"/>
      <c r="K25" s="8">
        <f>IF(A25="","",SUMIFS(Elements_hybrides!$Q:$Q,Elements_hybrides!$D:$D,$A25))</f>
        <v/>
      </c>
      <c r="L25" s="8">
        <f>IF(OR(K25="",J25=""),"",K25*J25*60)</f>
        <v/>
      </c>
      <c r="M25" s="4">
        <f>IF(A25="","",IF(OR(I25="",L25=""),"",IF(I25&gt;=L25,"OK","CHECK")))</f>
        <v/>
      </c>
    </row>
    <row r="26">
      <c r="A26" s="4" t="n"/>
      <c r="B26" s="4" t="n"/>
      <c r="C26" s="7" t="n"/>
      <c r="D26" s="7" t="n"/>
      <c r="E26" s="8">
        <f>IF(OR(C26="",D26=""),"",MAX(0,C26-D26))</f>
        <v/>
      </c>
      <c r="F26" s="7" t="n"/>
      <c r="G26" s="7" t="n"/>
      <c r="H26" s="7" t="n"/>
      <c r="I26" s="8">
        <f>IF(A26="","",IF(UPPER(TRIM(F26))="CIRC",PI()*(G26/2)^2*E26,IF(UPPER(TRIM(F26))="RECT",G26*H26*E26,"")))</f>
        <v/>
      </c>
      <c r="J26" s="7" t="n"/>
      <c r="K26" s="8">
        <f>IF(A26="","",SUMIFS(Elements_hybrides!$Q:$Q,Elements_hybrides!$D:$D,$A26))</f>
        <v/>
      </c>
      <c r="L26" s="8">
        <f>IF(OR(K26="",J26=""),"",K26*J26*60)</f>
        <v/>
      </c>
      <c r="M26" s="4">
        <f>IF(A26="","",IF(OR(I26="",L26=""),"",IF(I26&gt;=L26,"OK","CHECK")))</f>
        <v/>
      </c>
    </row>
    <row r="27">
      <c r="A27" s="4" t="n"/>
      <c r="B27" s="4" t="n"/>
      <c r="C27" s="7" t="n"/>
      <c r="D27" s="7" t="n"/>
      <c r="E27" s="8">
        <f>IF(OR(C27="",D27=""),"",MAX(0,C27-D27))</f>
        <v/>
      </c>
      <c r="F27" s="7" t="n"/>
      <c r="G27" s="7" t="n"/>
      <c r="H27" s="7" t="n"/>
      <c r="I27" s="8">
        <f>IF(A27="","",IF(UPPER(TRIM(F27))="CIRC",PI()*(G27/2)^2*E27,IF(UPPER(TRIM(F27))="RECT",G27*H27*E27,"")))</f>
        <v/>
      </c>
      <c r="J27" s="7" t="n"/>
      <c r="K27" s="8">
        <f>IF(A27="","",SUMIFS(Elements_hybrides!$Q:$Q,Elements_hybrides!$D:$D,$A27))</f>
        <v/>
      </c>
      <c r="L27" s="8">
        <f>IF(OR(K27="",J27=""),"",K27*J27*60)</f>
        <v/>
      </c>
      <c r="M27" s="4">
        <f>IF(A27="","",IF(OR(I27="",L27=""),"",IF(I27&gt;=L27,"OK","CHECK")))</f>
        <v/>
      </c>
    </row>
    <row r="28">
      <c r="A28" s="4" t="n"/>
      <c r="B28" s="4" t="n"/>
      <c r="C28" s="7" t="n"/>
      <c r="D28" s="7" t="n"/>
      <c r="E28" s="8">
        <f>IF(OR(C28="",D28=""),"",MAX(0,C28-D28))</f>
        <v/>
      </c>
      <c r="F28" s="7" t="n"/>
      <c r="G28" s="7" t="n"/>
      <c r="H28" s="7" t="n"/>
      <c r="I28" s="8">
        <f>IF(A28="","",IF(UPPER(TRIM(F28))="CIRC",PI()*(G28/2)^2*E28,IF(UPPER(TRIM(F28))="RECT",G28*H28*E28,"")))</f>
        <v/>
      </c>
      <c r="J28" s="7" t="n"/>
      <c r="K28" s="8">
        <f>IF(A28="","",SUMIFS(Elements_hybrides!$Q:$Q,Elements_hybrides!$D:$D,$A28))</f>
        <v/>
      </c>
      <c r="L28" s="8">
        <f>IF(OR(K28="",J28=""),"",K28*J28*60)</f>
        <v/>
      </c>
      <c r="M28" s="4">
        <f>IF(A28="","",IF(OR(I28="",L28=""),"",IF(I28&gt;=L28,"OK","CHECK")))</f>
        <v/>
      </c>
    </row>
    <row r="29">
      <c r="A29" s="4" t="n"/>
      <c r="B29" s="4" t="n"/>
      <c r="C29" s="7" t="n"/>
      <c r="D29" s="7" t="n"/>
      <c r="E29" s="8">
        <f>IF(OR(C29="",D29=""),"",MAX(0,C29-D29))</f>
        <v/>
      </c>
      <c r="F29" s="7" t="n"/>
      <c r="G29" s="7" t="n"/>
      <c r="H29" s="7" t="n"/>
      <c r="I29" s="8">
        <f>IF(A29="","",IF(UPPER(TRIM(F29))="CIRC",PI()*(G29/2)^2*E29,IF(UPPER(TRIM(F29))="RECT",G29*H29*E29,"")))</f>
        <v/>
      </c>
      <c r="J29" s="7" t="n"/>
      <c r="K29" s="8">
        <f>IF(A29="","",SUMIFS(Elements_hybrides!$Q:$Q,Elements_hybrides!$D:$D,$A29))</f>
        <v/>
      </c>
      <c r="L29" s="8">
        <f>IF(OR(K29="",J29=""),"",K29*J29*60)</f>
        <v/>
      </c>
      <c r="M29" s="4">
        <f>IF(A29="","",IF(OR(I29="",L29=""),"",IF(I29&gt;=L29,"OK","CHECK")))</f>
        <v/>
      </c>
    </row>
    <row r="30">
      <c r="A30" s="4" t="n"/>
      <c r="B30" s="4" t="n"/>
      <c r="C30" s="7" t="n"/>
      <c r="D30" s="7" t="n"/>
      <c r="E30" s="8">
        <f>IF(OR(C30="",D30=""),"",MAX(0,C30-D30))</f>
        <v/>
      </c>
      <c r="F30" s="7" t="n"/>
      <c r="G30" s="7" t="n"/>
      <c r="H30" s="7" t="n"/>
      <c r="I30" s="8">
        <f>IF(A30="","",IF(UPPER(TRIM(F30))="CIRC",PI()*(G30/2)^2*E30,IF(UPPER(TRIM(F30))="RECT",G30*H30*E30,"")))</f>
        <v/>
      </c>
      <c r="J30" s="7" t="n"/>
      <c r="K30" s="8">
        <f>IF(A30="","",SUMIFS(Elements_hybrides!$Q:$Q,Elements_hybrides!$D:$D,$A30))</f>
        <v/>
      </c>
      <c r="L30" s="8">
        <f>IF(OR(K30="",J30=""),"",K30*J30*60)</f>
        <v/>
      </c>
      <c r="M30" s="4">
        <f>IF(A30="","",IF(OR(I30="",L30=""),"",IF(I30&gt;=L30,"OK","CHECK")))</f>
        <v/>
      </c>
    </row>
    <row r="31">
      <c r="A31" s="4" t="n"/>
      <c r="B31" s="4" t="n"/>
      <c r="C31" s="7" t="n"/>
      <c r="D31" s="7" t="n"/>
      <c r="E31" s="8">
        <f>IF(OR(C31="",D31=""),"",MAX(0,C31-D31))</f>
        <v/>
      </c>
      <c r="F31" s="7" t="n"/>
      <c r="G31" s="7" t="n"/>
      <c r="H31" s="7" t="n"/>
      <c r="I31" s="8">
        <f>IF(A31="","",IF(UPPER(TRIM(F31))="CIRC",PI()*(G31/2)^2*E31,IF(UPPER(TRIM(F31))="RECT",G31*H31*E31,"")))</f>
        <v/>
      </c>
      <c r="J31" s="7" t="n"/>
      <c r="K31" s="8">
        <f>IF(A31="","",SUMIFS(Elements_hybrides!$Q:$Q,Elements_hybrides!$D:$D,$A31))</f>
        <v/>
      </c>
      <c r="L31" s="8">
        <f>IF(OR(K31="",J31=""),"",K31*J31*60)</f>
        <v/>
      </c>
      <c r="M31" s="4">
        <f>IF(A31="","",IF(OR(I31="",L31=""),"",IF(I31&gt;=L31,"OK","CHECK")))</f>
        <v/>
      </c>
    </row>
    <row r="32">
      <c r="A32" s="4" t="n"/>
      <c r="B32" s="4" t="n"/>
      <c r="C32" s="7" t="n"/>
      <c r="D32" s="7" t="n"/>
      <c r="E32" s="8">
        <f>IF(OR(C32="",D32=""),"",MAX(0,C32-D32))</f>
        <v/>
      </c>
      <c r="F32" s="7" t="n"/>
      <c r="G32" s="7" t="n"/>
      <c r="H32" s="7" t="n"/>
      <c r="I32" s="8">
        <f>IF(A32="","",IF(UPPER(TRIM(F32))="CIRC",PI()*(G32/2)^2*E32,IF(UPPER(TRIM(F32))="RECT",G32*H32*E32,"")))</f>
        <v/>
      </c>
      <c r="J32" s="7" t="n"/>
      <c r="K32" s="8">
        <f>IF(A32="","",SUMIFS(Elements_hybrides!$Q:$Q,Elements_hybrides!$D:$D,$A32))</f>
        <v/>
      </c>
      <c r="L32" s="8">
        <f>IF(OR(K32="",J32=""),"",K32*J32*60)</f>
        <v/>
      </c>
      <c r="M32" s="4">
        <f>IF(A32="","",IF(OR(I32="",L32=""),"",IF(I32&gt;=L32,"OK","CHECK")))</f>
        <v/>
      </c>
    </row>
    <row r="33">
      <c r="A33" s="4" t="n"/>
      <c r="B33" s="4" t="n"/>
      <c r="C33" s="7" t="n"/>
      <c r="D33" s="7" t="n"/>
      <c r="E33" s="8">
        <f>IF(OR(C33="",D33=""),"",MAX(0,C33-D33))</f>
        <v/>
      </c>
      <c r="F33" s="7" t="n"/>
      <c r="G33" s="7" t="n"/>
      <c r="H33" s="7" t="n"/>
      <c r="I33" s="8">
        <f>IF(A33="","",IF(UPPER(TRIM(F33))="CIRC",PI()*(G33/2)^2*E33,IF(UPPER(TRIM(F33))="RECT",G33*H33*E33,"")))</f>
        <v/>
      </c>
      <c r="J33" s="7" t="n"/>
      <c r="K33" s="8">
        <f>IF(A33="","",SUMIFS(Elements_hybrides!$Q:$Q,Elements_hybrides!$D:$D,$A33))</f>
        <v/>
      </c>
      <c r="L33" s="8">
        <f>IF(OR(K33="",J33=""),"",K33*J33*60)</f>
        <v/>
      </c>
      <c r="M33" s="4">
        <f>IF(A33="","",IF(OR(I33="",L33=""),"",IF(I33&gt;=L33,"OK","CHECK")))</f>
        <v/>
      </c>
    </row>
    <row r="34">
      <c r="A34" s="4" t="n"/>
      <c r="B34" s="4" t="n"/>
      <c r="C34" s="7" t="n"/>
      <c r="D34" s="7" t="n"/>
      <c r="E34" s="8">
        <f>IF(OR(C34="",D34=""),"",MAX(0,C34-D34))</f>
        <v/>
      </c>
      <c r="F34" s="7" t="n"/>
      <c r="G34" s="7" t="n"/>
      <c r="H34" s="7" t="n"/>
      <c r="I34" s="8">
        <f>IF(A34="","",IF(UPPER(TRIM(F34))="CIRC",PI()*(G34/2)^2*E34,IF(UPPER(TRIM(F34))="RECT",G34*H34*E34,"")))</f>
        <v/>
      </c>
      <c r="J34" s="7" t="n"/>
      <c r="K34" s="8">
        <f>IF(A34="","",SUMIFS(Elements_hybrides!$Q:$Q,Elements_hybrides!$D:$D,$A34))</f>
        <v/>
      </c>
      <c r="L34" s="8">
        <f>IF(OR(K34="",J34=""),"",K34*J34*60)</f>
        <v/>
      </c>
      <c r="M34" s="4">
        <f>IF(A34="","",IF(OR(I34="",L34=""),"",IF(I34&gt;=L34,"OK","CHECK")))</f>
        <v/>
      </c>
    </row>
    <row r="35">
      <c r="A35" s="4" t="n"/>
      <c r="B35" s="4" t="n"/>
      <c r="C35" s="7" t="n"/>
      <c r="D35" s="7" t="n"/>
      <c r="E35" s="8">
        <f>IF(OR(C35="",D35=""),"",MAX(0,C35-D35))</f>
        <v/>
      </c>
      <c r="F35" s="7" t="n"/>
      <c r="G35" s="7" t="n"/>
      <c r="H35" s="7" t="n"/>
      <c r="I35" s="8">
        <f>IF(A35="","",IF(UPPER(TRIM(F35))="CIRC",PI()*(G35/2)^2*E35,IF(UPPER(TRIM(F35))="RECT",G35*H35*E35,"")))</f>
        <v/>
      </c>
      <c r="J35" s="7" t="n"/>
      <c r="K35" s="8">
        <f>IF(A35="","",SUMIFS(Elements_hybrides!$Q:$Q,Elements_hybrides!$D:$D,$A35))</f>
        <v/>
      </c>
      <c r="L35" s="8">
        <f>IF(OR(K35="",J35=""),"",K35*J35*60)</f>
        <v/>
      </c>
      <c r="M35" s="4">
        <f>IF(A35="","",IF(OR(I35="",L35=""),"",IF(I35&gt;=L35,"OK","CHECK")))</f>
        <v/>
      </c>
    </row>
    <row r="36">
      <c r="A36" s="4" t="n"/>
      <c r="B36" s="4" t="n"/>
      <c r="C36" s="7" t="n"/>
      <c r="D36" s="7" t="n"/>
      <c r="E36" s="8">
        <f>IF(OR(C36="",D36=""),"",MAX(0,C36-D36))</f>
        <v/>
      </c>
      <c r="F36" s="7" t="n"/>
      <c r="G36" s="7" t="n"/>
      <c r="H36" s="7" t="n"/>
      <c r="I36" s="8">
        <f>IF(A36="","",IF(UPPER(TRIM(F36))="CIRC",PI()*(G36/2)^2*E36,IF(UPPER(TRIM(F36))="RECT",G36*H36*E36,"")))</f>
        <v/>
      </c>
      <c r="J36" s="7" t="n"/>
      <c r="K36" s="8">
        <f>IF(A36="","",SUMIFS(Elements_hybrides!$Q:$Q,Elements_hybrides!$D:$D,$A36))</f>
        <v/>
      </c>
      <c r="L36" s="8">
        <f>IF(OR(K36="",J36=""),"",K36*J36*60)</f>
        <v/>
      </c>
      <c r="M36" s="4">
        <f>IF(A36="","",IF(OR(I36="",L36=""),"",IF(I36&gt;=L36,"OK","CHECK")))</f>
        <v/>
      </c>
    </row>
    <row r="37">
      <c r="A37" s="4" t="n"/>
      <c r="B37" s="4" t="n"/>
      <c r="C37" s="7" t="n"/>
      <c r="D37" s="7" t="n"/>
      <c r="E37" s="8">
        <f>IF(OR(C37="",D37=""),"",MAX(0,C37-D37))</f>
        <v/>
      </c>
      <c r="F37" s="7" t="n"/>
      <c r="G37" s="7" t="n"/>
      <c r="H37" s="7" t="n"/>
      <c r="I37" s="8">
        <f>IF(A37="","",IF(UPPER(TRIM(F37))="CIRC",PI()*(G37/2)^2*E37,IF(UPPER(TRIM(F37))="RECT",G37*H37*E37,"")))</f>
        <v/>
      </c>
      <c r="J37" s="7" t="n"/>
      <c r="K37" s="8">
        <f>IF(A37="","",SUMIFS(Elements_hybrides!$Q:$Q,Elements_hybrides!$D:$D,$A37))</f>
        <v/>
      </c>
      <c r="L37" s="8">
        <f>IF(OR(K37="",J37=""),"",K37*J37*60)</f>
        <v/>
      </c>
      <c r="M37" s="4">
        <f>IF(A37="","",IF(OR(I37="",L37=""),"",IF(I37&gt;=L37,"OK","CHECK")))</f>
        <v/>
      </c>
    </row>
    <row r="38">
      <c r="A38" s="4" t="n"/>
      <c r="B38" s="4" t="n"/>
      <c r="C38" s="7" t="n"/>
      <c r="D38" s="7" t="n"/>
      <c r="E38" s="8">
        <f>IF(OR(C38="",D38=""),"",MAX(0,C38-D38))</f>
        <v/>
      </c>
      <c r="F38" s="7" t="n"/>
      <c r="G38" s="7" t="n"/>
      <c r="H38" s="7" t="n"/>
      <c r="I38" s="8">
        <f>IF(A38="","",IF(UPPER(TRIM(F38))="CIRC",PI()*(G38/2)^2*E38,IF(UPPER(TRIM(F38))="RECT",G38*H38*E38,"")))</f>
        <v/>
      </c>
      <c r="J38" s="7" t="n"/>
      <c r="K38" s="8">
        <f>IF(A38="","",SUMIFS(Elements_hybrides!$Q:$Q,Elements_hybrides!$D:$D,$A38))</f>
        <v/>
      </c>
      <c r="L38" s="8">
        <f>IF(OR(K38="",J38=""),"",K38*J38*60)</f>
        <v/>
      </c>
      <c r="M38" s="4">
        <f>IF(A38="","",IF(OR(I38="",L38=""),"",IF(I38&gt;=L38,"OK","CHECK")))</f>
        <v/>
      </c>
    </row>
    <row r="39">
      <c r="A39" s="4" t="n"/>
      <c r="B39" s="4" t="n"/>
      <c r="C39" s="7" t="n"/>
      <c r="D39" s="7" t="n"/>
      <c r="E39" s="8">
        <f>IF(OR(C39="",D39=""),"",MAX(0,C39-D39))</f>
        <v/>
      </c>
      <c r="F39" s="7" t="n"/>
      <c r="G39" s="7" t="n"/>
      <c r="H39" s="7" t="n"/>
      <c r="I39" s="8">
        <f>IF(A39="","",IF(UPPER(TRIM(F39))="CIRC",PI()*(G39/2)^2*E39,IF(UPPER(TRIM(F39))="RECT",G39*H39*E39,"")))</f>
        <v/>
      </c>
      <c r="J39" s="7" t="n"/>
      <c r="K39" s="8">
        <f>IF(A39="","",SUMIFS(Elements_hybrides!$Q:$Q,Elements_hybrides!$D:$D,$A39))</f>
        <v/>
      </c>
      <c r="L39" s="8">
        <f>IF(OR(K39="",J39=""),"",K39*J39*60)</f>
        <v/>
      </c>
      <c r="M39" s="4">
        <f>IF(A39="","",IF(OR(I39="",L39=""),"",IF(I39&gt;=L39,"OK","CHECK")))</f>
        <v/>
      </c>
    </row>
    <row r="40">
      <c r="A40" s="4" t="n"/>
      <c r="B40" s="4" t="n"/>
      <c r="C40" s="7" t="n"/>
      <c r="D40" s="7" t="n"/>
      <c r="E40" s="8">
        <f>IF(OR(C40="",D40=""),"",MAX(0,C40-D40))</f>
        <v/>
      </c>
      <c r="F40" s="7" t="n"/>
      <c r="G40" s="7" t="n"/>
      <c r="H40" s="7" t="n"/>
      <c r="I40" s="8">
        <f>IF(A40="","",IF(UPPER(TRIM(F40))="CIRC",PI()*(G40/2)^2*E40,IF(UPPER(TRIM(F40))="RECT",G40*H40*E40,"")))</f>
        <v/>
      </c>
      <c r="J40" s="7" t="n"/>
      <c r="K40" s="8">
        <f>IF(A40="","",SUMIFS(Elements_hybrides!$Q:$Q,Elements_hybrides!$D:$D,$A40))</f>
        <v/>
      </c>
      <c r="L40" s="8">
        <f>IF(OR(K40="",J40=""),"",K40*J40*60)</f>
        <v/>
      </c>
      <c r="M40" s="4">
        <f>IF(A40="","",IF(OR(I40="",L40=""),"",IF(I40&gt;=L40,"OK","CHECK")))</f>
        <v/>
      </c>
    </row>
    <row r="41">
      <c r="A41" s="4" t="n"/>
      <c r="B41" s="4" t="n"/>
      <c r="C41" s="7" t="n"/>
      <c r="D41" s="7" t="n"/>
      <c r="E41" s="8">
        <f>IF(OR(C41="",D41=""),"",MAX(0,C41-D41))</f>
        <v/>
      </c>
      <c r="F41" s="7" t="n"/>
      <c r="G41" s="7" t="n"/>
      <c r="H41" s="7" t="n"/>
      <c r="I41" s="8">
        <f>IF(A41="","",IF(UPPER(TRIM(F41))="CIRC",PI()*(G41/2)^2*E41,IF(UPPER(TRIM(F41))="RECT",G41*H41*E41,"")))</f>
        <v/>
      </c>
      <c r="J41" s="7" t="n"/>
      <c r="K41" s="8">
        <f>IF(A41="","",SUMIFS(Elements_hybrides!$Q:$Q,Elements_hybrides!$D:$D,$A41))</f>
        <v/>
      </c>
      <c r="L41" s="8">
        <f>IF(OR(K41="",J41=""),"",K41*J41*60)</f>
        <v/>
      </c>
      <c r="M41" s="4">
        <f>IF(A41="","",IF(OR(I41="",L41=""),"",IF(I41&gt;=L41,"OK","CHECK")))</f>
        <v/>
      </c>
    </row>
    <row r="42">
      <c r="A42" s="4" t="n"/>
      <c r="B42" s="4" t="n"/>
      <c r="C42" s="7" t="n"/>
      <c r="D42" s="7" t="n"/>
      <c r="E42" s="8">
        <f>IF(OR(C42="",D42=""),"",MAX(0,C42-D42))</f>
        <v/>
      </c>
      <c r="F42" s="7" t="n"/>
      <c r="G42" s="7" t="n"/>
      <c r="H42" s="7" t="n"/>
      <c r="I42" s="8">
        <f>IF(A42="","",IF(UPPER(TRIM(F42))="CIRC",PI()*(G42/2)^2*E42,IF(UPPER(TRIM(F42))="RECT",G42*H42*E42,"")))</f>
        <v/>
      </c>
      <c r="J42" s="7" t="n"/>
      <c r="K42" s="8">
        <f>IF(A42="","",SUMIFS(Elements_hybrides!$Q:$Q,Elements_hybrides!$D:$D,$A42))</f>
        <v/>
      </c>
      <c r="L42" s="8">
        <f>IF(OR(K42="",J42=""),"",K42*J42*60)</f>
        <v/>
      </c>
      <c r="M42" s="4">
        <f>IF(A42="","",IF(OR(I42="",L42=""),"",IF(I42&gt;=L42,"OK","CHECK")))</f>
        <v/>
      </c>
    </row>
    <row r="43">
      <c r="A43" s="4" t="n"/>
      <c r="B43" s="4" t="n"/>
      <c r="C43" s="7" t="n"/>
      <c r="D43" s="7" t="n"/>
      <c r="E43" s="8">
        <f>IF(OR(C43="",D43=""),"",MAX(0,C43-D43))</f>
        <v/>
      </c>
      <c r="F43" s="7" t="n"/>
      <c r="G43" s="7" t="n"/>
      <c r="H43" s="7" t="n"/>
      <c r="I43" s="8">
        <f>IF(A43="","",IF(UPPER(TRIM(F43))="CIRC",PI()*(G43/2)^2*E43,IF(UPPER(TRIM(F43))="RECT",G43*H43*E43,"")))</f>
        <v/>
      </c>
      <c r="J43" s="7" t="n"/>
      <c r="K43" s="8">
        <f>IF(A43="","",SUMIFS(Elements_hybrides!$Q:$Q,Elements_hybrides!$D:$D,$A43))</f>
        <v/>
      </c>
      <c r="L43" s="8">
        <f>IF(OR(K43="",J43=""),"",K43*J43*60)</f>
        <v/>
      </c>
      <c r="M43" s="4">
        <f>IF(A43="","",IF(OR(I43="",L43=""),"",IF(I43&gt;=L43,"OK","CHECK")))</f>
        <v/>
      </c>
    </row>
    <row r="44">
      <c r="A44" s="4" t="n"/>
      <c r="B44" s="4" t="n"/>
      <c r="C44" s="7" t="n"/>
      <c r="D44" s="7" t="n"/>
      <c r="E44" s="8">
        <f>IF(OR(C44="",D44=""),"",MAX(0,C44-D44))</f>
        <v/>
      </c>
      <c r="F44" s="7" t="n"/>
      <c r="G44" s="7" t="n"/>
      <c r="H44" s="7" t="n"/>
      <c r="I44" s="8">
        <f>IF(A44="","",IF(UPPER(TRIM(F44))="CIRC",PI()*(G44/2)^2*E44,IF(UPPER(TRIM(F44))="RECT",G44*H44*E44,"")))</f>
        <v/>
      </c>
      <c r="J44" s="7" t="n"/>
      <c r="K44" s="8">
        <f>IF(A44="","",SUMIFS(Elements_hybrides!$Q:$Q,Elements_hybrides!$D:$D,$A44))</f>
        <v/>
      </c>
      <c r="L44" s="8">
        <f>IF(OR(K44="",J44=""),"",K44*J44*60)</f>
        <v/>
      </c>
      <c r="M44" s="4">
        <f>IF(A44="","",IF(OR(I44="",L44=""),"",IF(I44&gt;=L44,"OK","CHECK")))</f>
        <v/>
      </c>
    </row>
    <row r="45">
      <c r="A45" s="4" t="n"/>
      <c r="B45" s="4" t="n"/>
      <c r="C45" s="7" t="n"/>
      <c r="D45" s="7" t="n"/>
      <c r="E45" s="8">
        <f>IF(OR(C45="",D45=""),"",MAX(0,C45-D45))</f>
        <v/>
      </c>
      <c r="F45" s="7" t="n"/>
      <c r="G45" s="7" t="n"/>
      <c r="H45" s="7" t="n"/>
      <c r="I45" s="8">
        <f>IF(A45="","",IF(UPPER(TRIM(F45))="CIRC",PI()*(G45/2)^2*E45,IF(UPPER(TRIM(F45))="RECT",G45*H45*E45,"")))</f>
        <v/>
      </c>
      <c r="J45" s="7" t="n"/>
      <c r="K45" s="8">
        <f>IF(A45="","",SUMIFS(Elements_hybrides!$Q:$Q,Elements_hybrides!$D:$D,$A45))</f>
        <v/>
      </c>
      <c r="L45" s="8">
        <f>IF(OR(K45="",J45=""),"",K45*J45*60)</f>
        <v/>
      </c>
      <c r="M45" s="4">
        <f>IF(A45="","",IF(OR(I45="",L45=""),"",IF(I45&gt;=L45,"OK","CHECK")))</f>
        <v/>
      </c>
    </row>
    <row r="46">
      <c r="A46" s="4" t="n"/>
      <c r="B46" s="4" t="n"/>
      <c r="C46" s="7" t="n"/>
      <c r="D46" s="7" t="n"/>
      <c r="E46" s="8">
        <f>IF(OR(C46="",D46=""),"",MAX(0,C46-D46))</f>
        <v/>
      </c>
      <c r="F46" s="7" t="n"/>
      <c r="G46" s="7" t="n"/>
      <c r="H46" s="7" t="n"/>
      <c r="I46" s="8">
        <f>IF(A46="","",IF(UPPER(TRIM(F46))="CIRC",PI()*(G46/2)^2*E46,IF(UPPER(TRIM(F46))="RECT",G46*H46*E46,"")))</f>
        <v/>
      </c>
      <c r="J46" s="7" t="n"/>
      <c r="K46" s="8">
        <f>IF(A46="","",SUMIFS(Elements_hybrides!$Q:$Q,Elements_hybrides!$D:$D,$A46))</f>
        <v/>
      </c>
      <c r="L46" s="8">
        <f>IF(OR(K46="",J46=""),"",K46*J46*60)</f>
        <v/>
      </c>
      <c r="M46" s="4">
        <f>IF(A46="","",IF(OR(I46="",L46=""),"",IF(I46&gt;=L46,"OK","CHECK")))</f>
        <v/>
      </c>
    </row>
    <row r="47">
      <c r="A47" s="4" t="n"/>
      <c r="B47" s="4" t="n"/>
      <c r="C47" s="7" t="n"/>
      <c r="D47" s="7" t="n"/>
      <c r="E47" s="8">
        <f>IF(OR(C47="",D47=""),"",MAX(0,C47-D47))</f>
        <v/>
      </c>
      <c r="F47" s="7" t="n"/>
      <c r="G47" s="7" t="n"/>
      <c r="H47" s="7" t="n"/>
      <c r="I47" s="8">
        <f>IF(A47="","",IF(UPPER(TRIM(F47))="CIRC",PI()*(G47/2)^2*E47,IF(UPPER(TRIM(F47))="RECT",G47*H47*E47,"")))</f>
        <v/>
      </c>
      <c r="J47" s="7" t="n"/>
      <c r="K47" s="8">
        <f>IF(A47="","",SUMIFS(Elements_hybrides!$Q:$Q,Elements_hybrides!$D:$D,$A47))</f>
        <v/>
      </c>
      <c r="L47" s="8">
        <f>IF(OR(K47="",J47=""),"",K47*J47*60)</f>
        <v/>
      </c>
      <c r="M47" s="4">
        <f>IF(A47="","",IF(OR(I47="",L47=""),"",IF(I47&gt;=L47,"OK","CHECK")))</f>
        <v/>
      </c>
    </row>
    <row r="48">
      <c r="A48" s="4" t="n"/>
      <c r="B48" s="4" t="n"/>
      <c r="C48" s="7" t="n"/>
      <c r="D48" s="7" t="n"/>
      <c r="E48" s="8">
        <f>IF(OR(C48="",D48=""),"",MAX(0,C48-D48))</f>
        <v/>
      </c>
      <c r="F48" s="7" t="n"/>
      <c r="G48" s="7" t="n"/>
      <c r="H48" s="7" t="n"/>
      <c r="I48" s="8">
        <f>IF(A48="","",IF(UPPER(TRIM(F48))="CIRC",PI()*(G48/2)^2*E48,IF(UPPER(TRIM(F48))="RECT",G48*H48*E48,"")))</f>
        <v/>
      </c>
      <c r="J48" s="7" t="n"/>
      <c r="K48" s="8">
        <f>IF(A48="","",SUMIFS(Elements_hybrides!$Q:$Q,Elements_hybrides!$D:$D,$A48))</f>
        <v/>
      </c>
      <c r="L48" s="8">
        <f>IF(OR(K48="",J48=""),"",K48*J48*60)</f>
        <v/>
      </c>
      <c r="M48" s="4">
        <f>IF(A48="","",IF(OR(I48="",L48=""),"",IF(I48&gt;=L48,"OK","CHECK")))</f>
        <v/>
      </c>
    </row>
    <row r="49">
      <c r="A49" s="4" t="n"/>
      <c r="B49" s="4" t="n"/>
      <c r="C49" s="7" t="n"/>
      <c r="D49" s="7" t="n"/>
      <c r="E49" s="8">
        <f>IF(OR(C49="",D49=""),"",MAX(0,C49-D49))</f>
        <v/>
      </c>
      <c r="F49" s="7" t="n"/>
      <c r="G49" s="7" t="n"/>
      <c r="H49" s="7" t="n"/>
      <c r="I49" s="8">
        <f>IF(A49="","",IF(UPPER(TRIM(F49))="CIRC",PI()*(G49/2)^2*E49,IF(UPPER(TRIM(F49))="RECT",G49*H49*E49,"")))</f>
        <v/>
      </c>
      <c r="J49" s="7" t="n"/>
      <c r="K49" s="8">
        <f>IF(A49="","",SUMIFS(Elements_hybrides!$Q:$Q,Elements_hybrides!$D:$D,$A49))</f>
        <v/>
      </c>
      <c r="L49" s="8">
        <f>IF(OR(K49="",J49=""),"",K49*J49*60)</f>
        <v/>
      </c>
      <c r="M49" s="4">
        <f>IF(A49="","",IF(OR(I49="",L49=""),"",IF(I49&gt;=L49,"OK","CHECK")))</f>
        <v/>
      </c>
    </row>
    <row r="50">
      <c r="A50" s="4" t="n"/>
      <c r="B50" s="4" t="n"/>
      <c r="C50" s="7" t="n"/>
      <c r="D50" s="7" t="n"/>
      <c r="E50" s="8">
        <f>IF(OR(C50="",D50=""),"",MAX(0,C50-D50))</f>
        <v/>
      </c>
      <c r="F50" s="7" t="n"/>
      <c r="G50" s="7" t="n"/>
      <c r="H50" s="7" t="n"/>
      <c r="I50" s="8">
        <f>IF(A50="","",IF(UPPER(TRIM(F50))="CIRC",PI()*(G50/2)^2*E50,IF(UPPER(TRIM(F50))="RECT",G50*H50*E50,"")))</f>
        <v/>
      </c>
      <c r="J50" s="7" t="n"/>
      <c r="K50" s="8">
        <f>IF(A50="","",SUMIFS(Elements_hybrides!$Q:$Q,Elements_hybrides!$D:$D,$A50))</f>
        <v/>
      </c>
      <c r="L50" s="8">
        <f>IF(OR(K50="",J50=""),"",K50*J50*60)</f>
        <v/>
      </c>
      <c r="M50" s="4">
        <f>IF(A50="","",IF(OR(I50="",L50=""),"",IF(I50&gt;=L50,"OK","CHECK")))</f>
        <v/>
      </c>
    </row>
    <row r="51">
      <c r="A51" s="4" t="n"/>
      <c r="B51" s="4" t="n"/>
      <c r="C51" s="7" t="n"/>
      <c r="D51" s="7" t="n"/>
      <c r="E51" s="8">
        <f>IF(OR(C51="",D51=""),"",MAX(0,C51-D51))</f>
        <v/>
      </c>
      <c r="F51" s="7" t="n"/>
      <c r="G51" s="7" t="n"/>
      <c r="H51" s="7" t="n"/>
      <c r="I51" s="8">
        <f>IF(A51="","",IF(UPPER(TRIM(F51))="CIRC",PI()*(G51/2)^2*E51,IF(UPPER(TRIM(F51))="RECT",G51*H51*E51,"")))</f>
        <v/>
      </c>
      <c r="J51" s="7" t="n"/>
      <c r="K51" s="8">
        <f>IF(A51="","",SUMIFS(Elements_hybrides!$Q:$Q,Elements_hybrides!$D:$D,$A51))</f>
        <v/>
      </c>
      <c r="L51" s="8">
        <f>IF(OR(K51="",J51=""),"",K51*J51*60)</f>
        <v/>
      </c>
      <c r="M51" s="4">
        <f>IF(A51="","",IF(OR(I51="",L51=""),"",IF(I51&gt;=L51,"OK","CHECK")))</f>
        <v/>
      </c>
    </row>
    <row r="52">
      <c r="A52" s="4" t="n"/>
      <c r="B52" s="4" t="n"/>
      <c r="C52" s="7" t="n"/>
      <c r="D52" s="7" t="n"/>
      <c r="E52" s="8">
        <f>IF(OR(C52="",D52=""),"",MAX(0,C52-D52))</f>
        <v/>
      </c>
      <c r="F52" s="7" t="n"/>
      <c r="G52" s="7" t="n"/>
      <c r="H52" s="7" t="n"/>
      <c r="I52" s="8">
        <f>IF(A52="","",IF(UPPER(TRIM(F52))="CIRC",PI()*(G52/2)^2*E52,IF(UPPER(TRIM(F52))="RECT",G52*H52*E52,"")))</f>
        <v/>
      </c>
      <c r="J52" s="7" t="n"/>
      <c r="K52" s="8">
        <f>IF(A52="","",SUMIFS(Elements_hybrides!$Q:$Q,Elements_hybrides!$D:$D,$A52))</f>
        <v/>
      </c>
      <c r="L52" s="8">
        <f>IF(OR(K52="",J52=""),"",K52*J52*60)</f>
        <v/>
      </c>
      <c r="M52" s="4">
        <f>IF(A52="","",IF(OR(I52="",L52=""),"",IF(I52&gt;=L52,"OK","CHECK")))</f>
        <v/>
      </c>
    </row>
    <row r="53">
      <c r="A53" s="4" t="n"/>
      <c r="B53" s="4" t="n"/>
      <c r="C53" s="7" t="n"/>
      <c r="D53" s="7" t="n"/>
      <c r="E53" s="8">
        <f>IF(OR(C53="",D53=""),"",MAX(0,C53-D53))</f>
        <v/>
      </c>
      <c r="F53" s="7" t="n"/>
      <c r="G53" s="7" t="n"/>
      <c r="H53" s="7" t="n"/>
      <c r="I53" s="8">
        <f>IF(A53="","",IF(UPPER(TRIM(F53))="CIRC",PI()*(G53/2)^2*E53,IF(UPPER(TRIM(F53))="RECT",G53*H53*E53,"")))</f>
        <v/>
      </c>
      <c r="J53" s="7" t="n"/>
      <c r="K53" s="8">
        <f>IF(A53="","",SUMIFS(Elements_hybrides!$Q:$Q,Elements_hybrides!$D:$D,$A53))</f>
        <v/>
      </c>
      <c r="L53" s="8">
        <f>IF(OR(K53="",J53=""),"",K53*J53*60)</f>
        <v/>
      </c>
      <c r="M53" s="4">
        <f>IF(A53="","",IF(OR(I53="",L53=""),"",IF(I53&gt;=L53,"OK","CHECK")))</f>
        <v/>
      </c>
    </row>
    <row r="54">
      <c r="A54" s="4" t="n"/>
      <c r="B54" s="4" t="n"/>
      <c r="C54" s="7" t="n"/>
      <c r="D54" s="7" t="n"/>
      <c r="E54" s="8">
        <f>IF(OR(C54="",D54=""),"",MAX(0,C54-D54))</f>
        <v/>
      </c>
      <c r="F54" s="7" t="n"/>
      <c r="G54" s="7" t="n"/>
      <c r="H54" s="7" t="n"/>
      <c r="I54" s="8">
        <f>IF(A54="","",IF(UPPER(TRIM(F54))="CIRC",PI()*(G54/2)^2*E54,IF(UPPER(TRIM(F54))="RECT",G54*H54*E54,"")))</f>
        <v/>
      </c>
      <c r="J54" s="7" t="n"/>
      <c r="K54" s="8">
        <f>IF(A54="","",SUMIFS(Elements_hybrides!$Q:$Q,Elements_hybrides!$D:$D,$A54))</f>
        <v/>
      </c>
      <c r="L54" s="8">
        <f>IF(OR(K54="",J54=""),"",K54*J54*60)</f>
        <v/>
      </c>
      <c r="M54" s="4">
        <f>IF(A54="","",IF(OR(I54="",L54=""),"",IF(I54&gt;=L54,"OK","CHECK")))</f>
        <v/>
      </c>
    </row>
    <row r="55">
      <c r="A55" s="4" t="n"/>
      <c r="B55" s="4" t="n"/>
      <c r="C55" s="7" t="n"/>
      <c r="D55" s="7" t="n"/>
      <c r="E55" s="8">
        <f>IF(OR(C55="",D55=""),"",MAX(0,C55-D55))</f>
        <v/>
      </c>
      <c r="F55" s="7" t="n"/>
      <c r="G55" s="7" t="n"/>
      <c r="H55" s="7" t="n"/>
      <c r="I55" s="8">
        <f>IF(A55="","",IF(UPPER(TRIM(F55))="CIRC",PI()*(G55/2)^2*E55,IF(UPPER(TRIM(F55))="RECT",G55*H55*E55,"")))</f>
        <v/>
      </c>
      <c r="J55" s="7" t="n"/>
      <c r="K55" s="8">
        <f>IF(A55="","",SUMIFS(Elements_hybrides!$Q:$Q,Elements_hybrides!$D:$D,$A55))</f>
        <v/>
      </c>
      <c r="L55" s="8">
        <f>IF(OR(K55="",J55=""),"",K55*J55*60)</f>
        <v/>
      </c>
      <c r="M55" s="4">
        <f>IF(A55="","",IF(OR(I55="",L55=""),"",IF(I55&gt;=L55,"OK","CHECK")))</f>
        <v/>
      </c>
    </row>
    <row r="56">
      <c r="A56" s="4" t="n"/>
      <c r="B56" s="4" t="n"/>
      <c r="C56" s="7" t="n"/>
      <c r="D56" s="7" t="n"/>
      <c r="E56" s="8">
        <f>IF(OR(C56="",D56=""),"",MAX(0,C56-D56))</f>
        <v/>
      </c>
      <c r="F56" s="7" t="n"/>
      <c r="G56" s="7" t="n"/>
      <c r="H56" s="7" t="n"/>
      <c r="I56" s="8">
        <f>IF(A56="","",IF(UPPER(TRIM(F56))="CIRC",PI()*(G56/2)^2*E56,IF(UPPER(TRIM(F56))="RECT",G56*H56*E56,"")))</f>
        <v/>
      </c>
      <c r="J56" s="7" t="n"/>
      <c r="K56" s="8">
        <f>IF(A56="","",SUMIFS(Elements_hybrides!$Q:$Q,Elements_hybrides!$D:$D,$A56))</f>
        <v/>
      </c>
      <c r="L56" s="8">
        <f>IF(OR(K56="",J56=""),"",K56*J56*60)</f>
        <v/>
      </c>
      <c r="M56" s="4">
        <f>IF(A56="","",IF(OR(I56="",L56=""),"",IF(I56&gt;=L56,"OK","CHECK")))</f>
        <v/>
      </c>
    </row>
    <row r="57">
      <c r="A57" s="4" t="n"/>
      <c r="B57" s="4" t="n"/>
      <c r="C57" s="7" t="n"/>
      <c r="D57" s="7" t="n"/>
      <c r="E57" s="8">
        <f>IF(OR(C57="",D57=""),"",MAX(0,C57-D57))</f>
        <v/>
      </c>
      <c r="F57" s="7" t="n"/>
      <c r="G57" s="7" t="n"/>
      <c r="H57" s="7" t="n"/>
      <c r="I57" s="8">
        <f>IF(A57="","",IF(UPPER(TRIM(F57))="CIRC",PI()*(G57/2)^2*E57,IF(UPPER(TRIM(F57))="RECT",G57*H57*E57,"")))</f>
        <v/>
      </c>
      <c r="J57" s="7" t="n"/>
      <c r="K57" s="8">
        <f>IF(A57="","",SUMIFS(Elements_hybrides!$Q:$Q,Elements_hybrides!$D:$D,$A57))</f>
        <v/>
      </c>
      <c r="L57" s="8">
        <f>IF(OR(K57="",J57=""),"",K57*J57*60)</f>
        <v/>
      </c>
      <c r="M57" s="4">
        <f>IF(A57="","",IF(OR(I57="",L57=""),"",IF(I57&gt;=L57,"OK","CHECK")))</f>
        <v/>
      </c>
    </row>
    <row r="58">
      <c r="A58" s="4" t="n"/>
      <c r="B58" s="4" t="n"/>
      <c r="C58" s="7" t="n"/>
      <c r="D58" s="7" t="n"/>
      <c r="E58" s="8">
        <f>IF(OR(C58="",D58=""),"",MAX(0,C58-D58))</f>
        <v/>
      </c>
      <c r="F58" s="7" t="n"/>
      <c r="G58" s="7" t="n"/>
      <c r="H58" s="7" t="n"/>
      <c r="I58" s="8">
        <f>IF(A58="","",IF(UPPER(TRIM(F58))="CIRC",PI()*(G58/2)^2*E58,IF(UPPER(TRIM(F58))="RECT",G58*H58*E58,"")))</f>
        <v/>
      </c>
      <c r="J58" s="7" t="n"/>
      <c r="K58" s="8">
        <f>IF(A58="","",SUMIFS(Elements_hybrides!$Q:$Q,Elements_hybrides!$D:$D,$A58))</f>
        <v/>
      </c>
      <c r="L58" s="8">
        <f>IF(OR(K58="",J58=""),"",K58*J58*60)</f>
        <v/>
      </c>
      <c r="M58" s="4">
        <f>IF(A58="","",IF(OR(I58="",L58=""),"",IF(I58&gt;=L58,"OK","CHECK")))</f>
        <v/>
      </c>
    </row>
    <row r="59">
      <c r="A59" s="4" t="n"/>
      <c r="B59" s="4" t="n"/>
      <c r="C59" s="7" t="n"/>
      <c r="D59" s="7" t="n"/>
      <c r="E59" s="8">
        <f>IF(OR(C59="",D59=""),"",MAX(0,C59-D59))</f>
        <v/>
      </c>
      <c r="F59" s="7" t="n"/>
      <c r="G59" s="7" t="n"/>
      <c r="H59" s="7" t="n"/>
      <c r="I59" s="8">
        <f>IF(A59="","",IF(UPPER(TRIM(F59))="CIRC",PI()*(G59/2)^2*E59,IF(UPPER(TRIM(F59))="RECT",G59*H59*E59,"")))</f>
        <v/>
      </c>
      <c r="J59" s="7" t="n"/>
      <c r="K59" s="8">
        <f>IF(A59="","",SUMIFS(Elements_hybrides!$Q:$Q,Elements_hybrides!$D:$D,$A59))</f>
        <v/>
      </c>
      <c r="L59" s="8">
        <f>IF(OR(K59="",J59=""),"",K59*J59*60)</f>
        <v/>
      </c>
      <c r="M59" s="4">
        <f>IF(A59="","",IF(OR(I59="",L59=""),"",IF(I59&gt;=L59,"OK","CHECK")))</f>
        <v/>
      </c>
    </row>
    <row r="60">
      <c r="A60" s="4" t="n"/>
      <c r="B60" s="4" t="n"/>
      <c r="C60" s="7" t="n"/>
      <c r="D60" s="7" t="n"/>
      <c r="E60" s="8">
        <f>IF(OR(C60="",D60=""),"",MAX(0,C60-D60))</f>
        <v/>
      </c>
      <c r="F60" s="7" t="n"/>
      <c r="G60" s="7" t="n"/>
      <c r="H60" s="7" t="n"/>
      <c r="I60" s="8">
        <f>IF(A60="","",IF(UPPER(TRIM(F60))="CIRC",PI()*(G60/2)^2*E60,IF(UPPER(TRIM(F60))="RECT",G60*H60*E60,"")))</f>
        <v/>
      </c>
      <c r="J60" s="7" t="n"/>
      <c r="K60" s="8">
        <f>IF(A60="","",SUMIFS(Elements_hybrides!$Q:$Q,Elements_hybrides!$D:$D,$A60))</f>
        <v/>
      </c>
      <c r="L60" s="8">
        <f>IF(OR(K60="",J60=""),"",K60*J60*60)</f>
        <v/>
      </c>
      <c r="M60" s="4">
        <f>IF(A60="","",IF(OR(I60="",L60=""),"",IF(I60&gt;=L60,"OK","CHECK")))</f>
        <v/>
      </c>
    </row>
    <row r="61">
      <c r="A61" s="4" t="n"/>
      <c r="B61" s="4" t="n"/>
      <c r="C61" s="7" t="n"/>
      <c r="D61" s="7" t="n"/>
      <c r="E61" s="8">
        <f>IF(OR(C61="",D61=""),"",MAX(0,C61-D61))</f>
        <v/>
      </c>
      <c r="F61" s="7" t="n"/>
      <c r="G61" s="7" t="n"/>
      <c r="H61" s="7" t="n"/>
      <c r="I61" s="8">
        <f>IF(A61="","",IF(UPPER(TRIM(F61))="CIRC",PI()*(G61/2)^2*E61,IF(UPPER(TRIM(F61))="RECT",G61*H61*E61,"")))</f>
        <v/>
      </c>
      <c r="J61" s="7" t="n"/>
      <c r="K61" s="8">
        <f>IF(A61="","",SUMIFS(Elements_hybrides!$Q:$Q,Elements_hybrides!$D:$D,$A61))</f>
        <v/>
      </c>
      <c r="L61" s="8">
        <f>IF(OR(K61="",J61=""),"",K61*J61*60)</f>
        <v/>
      </c>
      <c r="M61" s="4">
        <f>IF(A61="","",IF(OR(I61="",L61=""),"",IF(I61&gt;=L61,"OK","CHECK")))</f>
        <v/>
      </c>
    </row>
    <row r="62">
      <c r="A62" s="4" t="n"/>
      <c r="B62" s="4" t="n"/>
      <c r="C62" s="7" t="n"/>
      <c r="D62" s="7" t="n"/>
      <c r="E62" s="8">
        <f>IF(OR(C62="",D62=""),"",MAX(0,C62-D62))</f>
        <v/>
      </c>
      <c r="F62" s="7" t="n"/>
      <c r="G62" s="7" t="n"/>
      <c r="H62" s="7" t="n"/>
      <c r="I62" s="8">
        <f>IF(A62="","",IF(UPPER(TRIM(F62))="CIRC",PI()*(G62/2)^2*E62,IF(UPPER(TRIM(F62))="RECT",G62*H62*E62,"")))</f>
        <v/>
      </c>
      <c r="J62" s="7" t="n"/>
      <c r="K62" s="8">
        <f>IF(A62="","",SUMIFS(Elements_hybrides!$Q:$Q,Elements_hybrides!$D:$D,$A62))</f>
        <v/>
      </c>
      <c r="L62" s="8">
        <f>IF(OR(K62="",J62=""),"",K62*J62*60)</f>
        <v/>
      </c>
      <c r="M62" s="4">
        <f>IF(A62="","",IF(OR(I62="",L62=""),"",IF(I62&gt;=L62,"OK","CHECK")))</f>
        <v/>
      </c>
    </row>
    <row r="63">
      <c r="A63" s="4" t="n"/>
      <c r="B63" s="4" t="n"/>
      <c r="C63" s="7" t="n"/>
      <c r="D63" s="7" t="n"/>
      <c r="E63" s="8">
        <f>IF(OR(C63="",D63=""),"",MAX(0,C63-D63))</f>
        <v/>
      </c>
      <c r="F63" s="7" t="n"/>
      <c r="G63" s="7" t="n"/>
      <c r="H63" s="7" t="n"/>
      <c r="I63" s="8">
        <f>IF(A63="","",IF(UPPER(TRIM(F63))="CIRC",PI()*(G63/2)^2*E63,IF(UPPER(TRIM(F63))="RECT",G63*H63*E63,"")))</f>
        <v/>
      </c>
      <c r="J63" s="7" t="n"/>
      <c r="K63" s="8">
        <f>IF(A63="","",SUMIFS(Elements_hybrides!$Q:$Q,Elements_hybrides!$D:$D,$A63))</f>
        <v/>
      </c>
      <c r="L63" s="8">
        <f>IF(OR(K63="",J63=""),"",K63*J63*60)</f>
        <v/>
      </c>
      <c r="M63" s="4">
        <f>IF(A63="","",IF(OR(I63="",L63=""),"",IF(I63&gt;=L63,"OK","CHECK")))</f>
        <v/>
      </c>
    </row>
    <row r="64">
      <c r="A64" s="4" t="n"/>
      <c r="B64" s="4" t="n"/>
      <c r="C64" s="7" t="n"/>
      <c r="D64" s="7" t="n"/>
      <c r="E64" s="8">
        <f>IF(OR(C64="",D64=""),"",MAX(0,C64-D64))</f>
        <v/>
      </c>
      <c r="F64" s="7" t="n"/>
      <c r="G64" s="7" t="n"/>
      <c r="H64" s="7" t="n"/>
      <c r="I64" s="8">
        <f>IF(A64="","",IF(UPPER(TRIM(F64))="CIRC",PI()*(G64/2)^2*E64,IF(UPPER(TRIM(F64))="RECT",G64*H64*E64,"")))</f>
        <v/>
      </c>
      <c r="J64" s="7" t="n"/>
      <c r="K64" s="8">
        <f>IF(A64="","",SUMIFS(Elements_hybrides!$Q:$Q,Elements_hybrides!$D:$D,$A64))</f>
        <v/>
      </c>
      <c r="L64" s="8">
        <f>IF(OR(K64="",J64=""),"",K64*J64*60)</f>
        <v/>
      </c>
      <c r="M64" s="4">
        <f>IF(A64="","",IF(OR(I64="",L64=""),"",IF(I64&gt;=L64,"OK","CHECK")))</f>
        <v/>
      </c>
    </row>
    <row r="65">
      <c r="A65" s="4" t="n"/>
      <c r="B65" s="4" t="n"/>
      <c r="C65" s="7" t="n"/>
      <c r="D65" s="7" t="n"/>
      <c r="E65" s="8">
        <f>IF(OR(C65="",D65=""),"",MAX(0,C65-D65))</f>
        <v/>
      </c>
      <c r="F65" s="7" t="n"/>
      <c r="G65" s="7" t="n"/>
      <c r="H65" s="7" t="n"/>
      <c r="I65" s="8">
        <f>IF(A65="","",IF(UPPER(TRIM(F65))="CIRC",PI()*(G65/2)^2*E65,IF(UPPER(TRIM(F65))="RECT",G65*H65*E65,"")))</f>
        <v/>
      </c>
      <c r="J65" s="7" t="n"/>
      <c r="K65" s="8">
        <f>IF(A65="","",SUMIFS(Elements_hybrides!$Q:$Q,Elements_hybrides!$D:$D,$A65))</f>
        <v/>
      </c>
      <c r="L65" s="8">
        <f>IF(OR(K65="",J65=""),"",K65*J65*60)</f>
        <v/>
      </c>
      <c r="M65" s="4">
        <f>IF(A65="","",IF(OR(I65="",L65=""),"",IF(I65&gt;=L65,"OK","CHECK")))</f>
        <v/>
      </c>
    </row>
    <row r="66">
      <c r="A66" s="4" t="n"/>
      <c r="B66" s="4" t="n"/>
      <c r="C66" s="7" t="n"/>
      <c r="D66" s="7" t="n"/>
      <c r="E66" s="8">
        <f>IF(OR(C66="",D66=""),"",MAX(0,C66-D66))</f>
        <v/>
      </c>
      <c r="F66" s="7" t="n"/>
      <c r="G66" s="7" t="n"/>
      <c r="H66" s="7" t="n"/>
      <c r="I66" s="8">
        <f>IF(A66="","",IF(UPPER(TRIM(F66))="CIRC",PI()*(G66/2)^2*E66,IF(UPPER(TRIM(F66))="RECT",G66*H66*E66,"")))</f>
        <v/>
      </c>
      <c r="J66" s="7" t="n"/>
      <c r="K66" s="8">
        <f>IF(A66="","",SUMIFS(Elements_hybrides!$Q:$Q,Elements_hybrides!$D:$D,$A66))</f>
        <v/>
      </c>
      <c r="L66" s="8">
        <f>IF(OR(K66="",J66=""),"",K66*J66*60)</f>
        <v/>
      </c>
      <c r="M66" s="4">
        <f>IF(A66="","",IF(OR(I66="",L66=""),"",IF(I66&gt;=L66,"OK","CHECK")))</f>
        <v/>
      </c>
    </row>
    <row r="67">
      <c r="A67" s="4" t="n"/>
      <c r="B67" s="4" t="n"/>
      <c r="C67" s="7" t="n"/>
      <c r="D67" s="7" t="n"/>
      <c r="E67" s="8">
        <f>IF(OR(C67="",D67=""),"",MAX(0,C67-D67))</f>
        <v/>
      </c>
      <c r="F67" s="7" t="n"/>
      <c r="G67" s="7" t="n"/>
      <c r="H67" s="7" t="n"/>
      <c r="I67" s="8">
        <f>IF(A67="","",IF(UPPER(TRIM(F67))="CIRC",PI()*(G67/2)^2*E67,IF(UPPER(TRIM(F67))="RECT",G67*H67*E67,"")))</f>
        <v/>
      </c>
      <c r="J67" s="7" t="n"/>
      <c r="K67" s="8">
        <f>IF(A67="","",SUMIFS(Elements_hybrides!$Q:$Q,Elements_hybrides!$D:$D,$A67))</f>
        <v/>
      </c>
      <c r="L67" s="8">
        <f>IF(OR(K67="",J67=""),"",K67*J67*60)</f>
        <v/>
      </c>
      <c r="M67" s="4">
        <f>IF(A67="","",IF(OR(I67="",L67=""),"",IF(I67&gt;=L67,"OK","CHECK")))</f>
        <v/>
      </c>
    </row>
    <row r="68">
      <c r="A68" s="4" t="n"/>
      <c r="B68" s="4" t="n"/>
      <c r="C68" s="7" t="n"/>
      <c r="D68" s="7" t="n"/>
      <c r="E68" s="8">
        <f>IF(OR(C68="",D68=""),"",MAX(0,C68-D68))</f>
        <v/>
      </c>
      <c r="F68" s="7" t="n"/>
      <c r="G68" s="7" t="n"/>
      <c r="H68" s="7" t="n"/>
      <c r="I68" s="8">
        <f>IF(A68="","",IF(UPPER(TRIM(F68))="CIRC",PI()*(G68/2)^2*E68,IF(UPPER(TRIM(F68))="RECT",G68*H68*E68,"")))</f>
        <v/>
      </c>
      <c r="J68" s="7" t="n"/>
      <c r="K68" s="8">
        <f>IF(A68="","",SUMIFS(Elements_hybrides!$Q:$Q,Elements_hybrides!$D:$D,$A68))</f>
        <v/>
      </c>
      <c r="L68" s="8">
        <f>IF(OR(K68="",J68=""),"",K68*J68*60)</f>
        <v/>
      </c>
      <c r="M68" s="4">
        <f>IF(A68="","",IF(OR(I68="",L68=""),"",IF(I68&gt;=L68,"OK","CHECK")))</f>
        <v/>
      </c>
    </row>
    <row r="69">
      <c r="A69" s="4" t="n"/>
      <c r="B69" s="4" t="n"/>
      <c r="C69" s="7" t="n"/>
      <c r="D69" s="7" t="n"/>
      <c r="E69" s="8">
        <f>IF(OR(C69="",D69=""),"",MAX(0,C69-D69))</f>
        <v/>
      </c>
      <c r="F69" s="7" t="n"/>
      <c r="G69" s="7" t="n"/>
      <c r="H69" s="7" t="n"/>
      <c r="I69" s="8">
        <f>IF(A69="","",IF(UPPER(TRIM(F69))="CIRC",PI()*(G69/2)^2*E69,IF(UPPER(TRIM(F69))="RECT",G69*H69*E69,"")))</f>
        <v/>
      </c>
      <c r="J69" s="7" t="n"/>
      <c r="K69" s="8">
        <f>IF(A69="","",SUMIFS(Elements_hybrides!$Q:$Q,Elements_hybrides!$D:$D,$A69))</f>
        <v/>
      </c>
      <c r="L69" s="8">
        <f>IF(OR(K69="",J69=""),"",K69*J69*60)</f>
        <v/>
      </c>
      <c r="M69" s="4">
        <f>IF(A69="","",IF(OR(I69="",L69=""),"",IF(I69&gt;=L69,"OK","CHECK")))</f>
        <v/>
      </c>
    </row>
    <row r="70">
      <c r="A70" s="4" t="n"/>
      <c r="B70" s="4" t="n"/>
      <c r="C70" s="7" t="n"/>
      <c r="D70" s="7" t="n"/>
      <c r="E70" s="8">
        <f>IF(OR(C70="",D70=""),"",MAX(0,C70-D70))</f>
        <v/>
      </c>
      <c r="F70" s="7" t="n"/>
      <c r="G70" s="7" t="n"/>
      <c r="H70" s="7" t="n"/>
      <c r="I70" s="8">
        <f>IF(A70="","",IF(UPPER(TRIM(F70))="CIRC",PI()*(G70/2)^2*E70,IF(UPPER(TRIM(F70))="RECT",G70*H70*E70,"")))</f>
        <v/>
      </c>
      <c r="J70" s="7" t="n"/>
      <c r="K70" s="8">
        <f>IF(A70="","",SUMIFS(Elements_hybrides!$Q:$Q,Elements_hybrides!$D:$D,$A70))</f>
        <v/>
      </c>
      <c r="L70" s="8">
        <f>IF(OR(K70="",J70=""),"",K70*J70*60)</f>
        <v/>
      </c>
      <c r="M70" s="4">
        <f>IF(A70="","",IF(OR(I70="",L70=""),"",IF(I70&gt;=L70,"OK","CHECK")))</f>
        <v/>
      </c>
    </row>
    <row r="71">
      <c r="A71" s="4" t="n"/>
      <c r="B71" s="4" t="n"/>
      <c r="C71" s="7" t="n"/>
      <c r="D71" s="7" t="n"/>
      <c r="E71" s="8">
        <f>IF(OR(C71="",D71=""),"",MAX(0,C71-D71))</f>
        <v/>
      </c>
      <c r="F71" s="7" t="n"/>
      <c r="G71" s="7" t="n"/>
      <c r="H71" s="7" t="n"/>
      <c r="I71" s="8">
        <f>IF(A71="","",IF(UPPER(TRIM(F71))="CIRC",PI()*(G71/2)^2*E71,IF(UPPER(TRIM(F71))="RECT",G71*H71*E71,"")))</f>
        <v/>
      </c>
      <c r="J71" s="7" t="n"/>
      <c r="K71" s="8">
        <f>IF(A71="","",SUMIFS(Elements_hybrides!$Q:$Q,Elements_hybrides!$D:$D,$A71))</f>
        <v/>
      </c>
      <c r="L71" s="8">
        <f>IF(OR(K71="",J71=""),"",K71*J71*60)</f>
        <v/>
      </c>
      <c r="M71" s="4">
        <f>IF(A71="","",IF(OR(I71="",L71=""),"",IF(I71&gt;=L71,"OK","CHECK")))</f>
        <v/>
      </c>
    </row>
    <row r="72">
      <c r="A72" s="4" t="n"/>
      <c r="B72" s="4" t="n"/>
      <c r="C72" s="7" t="n"/>
      <c r="D72" s="7" t="n"/>
      <c r="E72" s="8">
        <f>IF(OR(C72="",D72=""),"",MAX(0,C72-D72))</f>
        <v/>
      </c>
      <c r="F72" s="7" t="n"/>
      <c r="G72" s="7" t="n"/>
      <c r="H72" s="7" t="n"/>
      <c r="I72" s="8">
        <f>IF(A72="","",IF(UPPER(TRIM(F72))="CIRC",PI()*(G72/2)^2*E72,IF(UPPER(TRIM(F72))="RECT",G72*H72*E72,"")))</f>
        <v/>
      </c>
      <c r="J72" s="7" t="n"/>
      <c r="K72" s="8">
        <f>IF(A72="","",SUMIFS(Elements_hybrides!$Q:$Q,Elements_hybrides!$D:$D,$A72))</f>
        <v/>
      </c>
      <c r="L72" s="8">
        <f>IF(OR(K72="",J72=""),"",K72*J72*60)</f>
        <v/>
      </c>
      <c r="M72" s="4">
        <f>IF(A72="","",IF(OR(I72="",L72=""),"",IF(I72&gt;=L72,"OK","CHECK")))</f>
        <v/>
      </c>
    </row>
    <row r="73">
      <c r="A73" s="4" t="n"/>
      <c r="B73" s="4" t="n"/>
      <c r="C73" s="7" t="n"/>
      <c r="D73" s="7" t="n"/>
      <c r="E73" s="8">
        <f>IF(OR(C73="",D73=""),"",MAX(0,C73-D73))</f>
        <v/>
      </c>
      <c r="F73" s="7" t="n"/>
      <c r="G73" s="7" t="n"/>
      <c r="H73" s="7" t="n"/>
      <c r="I73" s="8">
        <f>IF(A73="","",IF(UPPER(TRIM(F73))="CIRC",PI()*(G73/2)^2*E73,IF(UPPER(TRIM(F73))="RECT",G73*H73*E73,"")))</f>
        <v/>
      </c>
      <c r="J73" s="7" t="n"/>
      <c r="K73" s="8">
        <f>IF(A73="","",SUMIFS(Elements_hybrides!$Q:$Q,Elements_hybrides!$D:$D,$A73))</f>
        <v/>
      </c>
      <c r="L73" s="8">
        <f>IF(OR(K73="",J73=""),"",K73*J73*60)</f>
        <v/>
      </c>
      <c r="M73" s="4">
        <f>IF(A73="","",IF(OR(I73="",L73=""),"",IF(I73&gt;=L73,"OK","CHECK")))</f>
        <v/>
      </c>
    </row>
    <row r="74">
      <c r="A74" s="4" t="n"/>
      <c r="B74" s="4" t="n"/>
      <c r="C74" s="7" t="n"/>
      <c r="D74" s="7" t="n"/>
      <c r="E74" s="8">
        <f>IF(OR(C74="",D74=""),"",MAX(0,C74-D74))</f>
        <v/>
      </c>
      <c r="F74" s="7" t="n"/>
      <c r="G74" s="7" t="n"/>
      <c r="H74" s="7" t="n"/>
      <c r="I74" s="8">
        <f>IF(A74="","",IF(UPPER(TRIM(F74))="CIRC",PI()*(G74/2)^2*E74,IF(UPPER(TRIM(F74))="RECT",G74*H74*E74,"")))</f>
        <v/>
      </c>
      <c r="J74" s="7" t="n"/>
      <c r="K74" s="8">
        <f>IF(A74="","",SUMIFS(Elements_hybrides!$Q:$Q,Elements_hybrides!$D:$D,$A74))</f>
        <v/>
      </c>
      <c r="L74" s="8">
        <f>IF(OR(K74="",J74=""),"",K74*J74*60)</f>
        <v/>
      </c>
      <c r="M74" s="4">
        <f>IF(A74="","",IF(OR(I74="",L74=""),"",IF(I74&gt;=L74,"OK","CHECK")))</f>
        <v/>
      </c>
    </row>
    <row r="75">
      <c r="A75" s="4" t="n"/>
      <c r="B75" s="4" t="n"/>
      <c r="C75" s="7" t="n"/>
      <c r="D75" s="7" t="n"/>
      <c r="E75" s="8">
        <f>IF(OR(C75="",D75=""),"",MAX(0,C75-D75))</f>
        <v/>
      </c>
      <c r="F75" s="7" t="n"/>
      <c r="G75" s="7" t="n"/>
      <c r="H75" s="7" t="n"/>
      <c r="I75" s="8">
        <f>IF(A75="","",IF(UPPER(TRIM(F75))="CIRC",PI()*(G75/2)^2*E75,IF(UPPER(TRIM(F75))="RECT",G75*H75*E75,"")))</f>
        <v/>
      </c>
      <c r="J75" s="7" t="n"/>
      <c r="K75" s="8">
        <f>IF(A75="","",SUMIFS(Elements_hybrides!$Q:$Q,Elements_hybrides!$D:$D,$A75))</f>
        <v/>
      </c>
      <c r="L75" s="8">
        <f>IF(OR(K75="",J75=""),"",K75*J75*60)</f>
        <v/>
      </c>
      <c r="M75" s="4">
        <f>IF(A75="","",IF(OR(I75="",L75=""),"",IF(I75&gt;=L75,"OK","CHECK")))</f>
        <v/>
      </c>
    </row>
    <row r="76">
      <c r="A76" s="4" t="n"/>
      <c r="B76" s="4" t="n"/>
      <c r="C76" s="7" t="n"/>
      <c r="D76" s="7" t="n"/>
      <c r="E76" s="8">
        <f>IF(OR(C76="",D76=""),"",MAX(0,C76-D76))</f>
        <v/>
      </c>
      <c r="F76" s="7" t="n"/>
      <c r="G76" s="7" t="n"/>
      <c r="H76" s="7" t="n"/>
      <c r="I76" s="8">
        <f>IF(A76="","",IF(UPPER(TRIM(F76))="CIRC",PI()*(G76/2)^2*E76,IF(UPPER(TRIM(F76))="RECT",G76*H76*E76,"")))</f>
        <v/>
      </c>
      <c r="J76" s="7" t="n"/>
      <c r="K76" s="8">
        <f>IF(A76="","",SUMIFS(Elements_hybrides!$Q:$Q,Elements_hybrides!$D:$D,$A76))</f>
        <v/>
      </c>
      <c r="L76" s="8">
        <f>IF(OR(K76="",J76=""),"",K76*J76*60)</f>
        <v/>
      </c>
      <c r="M76" s="4">
        <f>IF(A76="","",IF(OR(I76="",L76=""),"",IF(I76&gt;=L76,"OK","CHECK")))</f>
        <v/>
      </c>
    </row>
    <row r="77">
      <c r="A77" s="4" t="n"/>
      <c r="B77" s="4" t="n"/>
      <c r="C77" s="7" t="n"/>
      <c r="D77" s="7" t="n"/>
      <c r="E77" s="8">
        <f>IF(OR(C77="",D77=""),"",MAX(0,C77-D77))</f>
        <v/>
      </c>
      <c r="F77" s="7" t="n"/>
      <c r="G77" s="7" t="n"/>
      <c r="H77" s="7" t="n"/>
      <c r="I77" s="8">
        <f>IF(A77="","",IF(UPPER(TRIM(F77))="CIRC",PI()*(G77/2)^2*E77,IF(UPPER(TRIM(F77))="RECT",G77*H77*E77,"")))</f>
        <v/>
      </c>
      <c r="J77" s="7" t="n"/>
      <c r="K77" s="8">
        <f>IF(A77="","",SUMIFS(Elements_hybrides!$Q:$Q,Elements_hybrides!$D:$D,$A77))</f>
        <v/>
      </c>
      <c r="L77" s="8">
        <f>IF(OR(K77="",J77=""),"",K77*J77*60)</f>
        <v/>
      </c>
      <c r="M77" s="4">
        <f>IF(A77="","",IF(OR(I77="",L77=""),"",IF(I77&gt;=L77,"OK","CHECK")))</f>
        <v/>
      </c>
    </row>
    <row r="78">
      <c r="A78" s="4" t="n"/>
      <c r="B78" s="4" t="n"/>
      <c r="C78" s="7" t="n"/>
      <c r="D78" s="7" t="n"/>
      <c r="E78" s="8">
        <f>IF(OR(C78="",D78=""),"",MAX(0,C78-D78))</f>
        <v/>
      </c>
      <c r="F78" s="7" t="n"/>
      <c r="G78" s="7" t="n"/>
      <c r="H78" s="7" t="n"/>
      <c r="I78" s="8">
        <f>IF(A78="","",IF(UPPER(TRIM(F78))="CIRC",PI()*(G78/2)^2*E78,IF(UPPER(TRIM(F78))="RECT",G78*H78*E78,"")))</f>
        <v/>
      </c>
      <c r="J78" s="7" t="n"/>
      <c r="K78" s="8">
        <f>IF(A78="","",SUMIFS(Elements_hybrides!$Q:$Q,Elements_hybrides!$D:$D,$A78))</f>
        <v/>
      </c>
      <c r="L78" s="8">
        <f>IF(OR(K78="",J78=""),"",K78*J78*60)</f>
        <v/>
      </c>
      <c r="M78" s="4">
        <f>IF(A78="","",IF(OR(I78="",L78=""),"",IF(I78&gt;=L78,"OK","CHECK")))</f>
        <v/>
      </c>
    </row>
    <row r="79">
      <c r="A79" s="4" t="n"/>
      <c r="B79" s="4" t="n"/>
      <c r="C79" s="7" t="n"/>
      <c r="D79" s="7" t="n"/>
      <c r="E79" s="8">
        <f>IF(OR(C79="",D79=""),"",MAX(0,C79-D79))</f>
        <v/>
      </c>
      <c r="F79" s="7" t="n"/>
      <c r="G79" s="7" t="n"/>
      <c r="H79" s="7" t="n"/>
      <c r="I79" s="8">
        <f>IF(A79="","",IF(UPPER(TRIM(F79))="CIRC",PI()*(G79/2)^2*E79,IF(UPPER(TRIM(F79))="RECT",G79*H79*E79,"")))</f>
        <v/>
      </c>
      <c r="J79" s="7" t="n"/>
      <c r="K79" s="8">
        <f>IF(A79="","",SUMIFS(Elements_hybrides!$Q:$Q,Elements_hybrides!$D:$D,$A79))</f>
        <v/>
      </c>
      <c r="L79" s="8">
        <f>IF(OR(K79="",J79=""),"",K79*J79*60)</f>
        <v/>
      </c>
      <c r="M79" s="4">
        <f>IF(A79="","",IF(OR(I79="",L79=""),"",IF(I79&gt;=L79,"OK","CHECK")))</f>
        <v/>
      </c>
    </row>
    <row r="80">
      <c r="A80" s="4" t="n"/>
      <c r="B80" s="4" t="n"/>
      <c r="C80" s="7" t="n"/>
      <c r="D80" s="7" t="n"/>
      <c r="E80" s="8">
        <f>IF(OR(C80="",D80=""),"",MAX(0,C80-D80))</f>
        <v/>
      </c>
      <c r="F80" s="7" t="n"/>
      <c r="G80" s="7" t="n"/>
      <c r="H80" s="7" t="n"/>
      <c r="I80" s="8">
        <f>IF(A80="","",IF(UPPER(TRIM(F80))="CIRC",PI()*(G80/2)^2*E80,IF(UPPER(TRIM(F80))="RECT",G80*H80*E80,"")))</f>
        <v/>
      </c>
      <c r="J80" s="7" t="n"/>
      <c r="K80" s="8">
        <f>IF(A80="","",SUMIFS(Elements_hybrides!$Q:$Q,Elements_hybrides!$D:$D,$A80))</f>
        <v/>
      </c>
      <c r="L80" s="8">
        <f>IF(OR(K80="",J80=""),"",K80*J80*60)</f>
        <v/>
      </c>
      <c r="M80" s="4">
        <f>IF(A80="","",IF(OR(I80="",L80=""),"",IF(I80&gt;=L80,"OK","CHECK")))</f>
        <v/>
      </c>
    </row>
    <row r="81">
      <c r="A81" s="4" t="n"/>
      <c r="B81" s="4" t="n"/>
      <c r="C81" s="7" t="n"/>
      <c r="D81" s="7" t="n"/>
      <c r="E81" s="8">
        <f>IF(OR(C81="",D81=""),"",MAX(0,C81-D81))</f>
        <v/>
      </c>
      <c r="F81" s="7" t="n"/>
      <c r="G81" s="7" t="n"/>
      <c r="H81" s="7" t="n"/>
      <c r="I81" s="8">
        <f>IF(A81="","",IF(UPPER(TRIM(F81))="CIRC",PI()*(G81/2)^2*E81,IF(UPPER(TRIM(F81))="RECT",G81*H81*E81,"")))</f>
        <v/>
      </c>
      <c r="J81" s="7" t="n"/>
      <c r="K81" s="8">
        <f>IF(A81="","",SUMIFS(Elements_hybrides!$Q:$Q,Elements_hybrides!$D:$D,$A81))</f>
        <v/>
      </c>
      <c r="L81" s="8">
        <f>IF(OR(K81="",J81=""),"",K81*J81*60)</f>
        <v/>
      </c>
      <c r="M81" s="4">
        <f>IF(A81="","",IF(OR(I81="",L81=""),"",IF(I81&gt;=L81,"OK","CHECK")))</f>
        <v/>
      </c>
    </row>
    <row r="82">
      <c r="A82" s="4" t="n"/>
      <c r="B82" s="4" t="n"/>
      <c r="C82" s="7" t="n"/>
      <c r="D82" s="7" t="n"/>
      <c r="E82" s="8">
        <f>IF(OR(C82="",D82=""),"",MAX(0,C82-D82))</f>
        <v/>
      </c>
      <c r="F82" s="7" t="n"/>
      <c r="G82" s="7" t="n"/>
      <c r="H82" s="7" t="n"/>
      <c r="I82" s="8">
        <f>IF(A82="","",IF(UPPER(TRIM(F82))="CIRC",PI()*(G82/2)^2*E82,IF(UPPER(TRIM(F82))="RECT",G82*H82*E82,"")))</f>
        <v/>
      </c>
      <c r="J82" s="7" t="n"/>
      <c r="K82" s="8">
        <f>IF(A82="","",SUMIFS(Elements_hybrides!$Q:$Q,Elements_hybrides!$D:$D,$A82))</f>
        <v/>
      </c>
      <c r="L82" s="8">
        <f>IF(OR(K82="",J82=""),"",K82*J82*60)</f>
        <v/>
      </c>
      <c r="M82" s="4">
        <f>IF(A82="","",IF(OR(I82="",L82=""),"",IF(I82&gt;=L82,"OK","CHECK")))</f>
        <v/>
      </c>
    </row>
    <row r="83">
      <c r="A83" s="4" t="n"/>
      <c r="B83" s="4" t="n"/>
      <c r="C83" s="7" t="n"/>
      <c r="D83" s="7" t="n"/>
      <c r="E83" s="8">
        <f>IF(OR(C83="",D83=""),"",MAX(0,C83-D83))</f>
        <v/>
      </c>
      <c r="F83" s="7" t="n"/>
      <c r="G83" s="7" t="n"/>
      <c r="H83" s="7" t="n"/>
      <c r="I83" s="8">
        <f>IF(A83="","",IF(UPPER(TRIM(F83))="CIRC",PI()*(G83/2)^2*E83,IF(UPPER(TRIM(F83))="RECT",G83*H83*E83,"")))</f>
        <v/>
      </c>
      <c r="J83" s="7" t="n"/>
      <c r="K83" s="8">
        <f>IF(A83="","",SUMIFS(Elements_hybrides!$Q:$Q,Elements_hybrides!$D:$D,$A83))</f>
        <v/>
      </c>
      <c r="L83" s="8">
        <f>IF(OR(K83="",J83=""),"",K83*J83*60)</f>
        <v/>
      </c>
      <c r="M83" s="4">
        <f>IF(A83="","",IF(OR(I83="",L83=""),"",IF(I83&gt;=L83,"OK","CHECK")))</f>
        <v/>
      </c>
    </row>
    <row r="84">
      <c r="A84" s="4" t="n"/>
      <c r="B84" s="4" t="n"/>
      <c r="C84" s="7" t="n"/>
      <c r="D84" s="7" t="n"/>
      <c r="E84" s="8">
        <f>IF(OR(C84="",D84=""),"",MAX(0,C84-D84))</f>
        <v/>
      </c>
      <c r="F84" s="7" t="n"/>
      <c r="G84" s="7" t="n"/>
      <c r="H84" s="7" t="n"/>
      <c r="I84" s="8">
        <f>IF(A84="","",IF(UPPER(TRIM(F84))="CIRC",PI()*(G84/2)^2*E84,IF(UPPER(TRIM(F84))="RECT",G84*H84*E84,"")))</f>
        <v/>
      </c>
      <c r="J84" s="7" t="n"/>
      <c r="K84" s="8">
        <f>IF(A84="","",SUMIFS(Elements_hybrides!$Q:$Q,Elements_hybrides!$D:$D,$A84))</f>
        <v/>
      </c>
      <c r="L84" s="8">
        <f>IF(OR(K84="",J84=""),"",K84*J84*60)</f>
        <v/>
      </c>
      <c r="M84" s="4">
        <f>IF(A84="","",IF(OR(I84="",L84=""),"",IF(I84&gt;=L84,"OK","CHECK")))</f>
        <v/>
      </c>
    </row>
    <row r="85">
      <c r="A85" s="4" t="n"/>
      <c r="B85" s="4" t="n"/>
      <c r="C85" s="7" t="n"/>
      <c r="D85" s="7" t="n"/>
      <c r="E85" s="8">
        <f>IF(OR(C85="",D85=""),"",MAX(0,C85-D85))</f>
        <v/>
      </c>
      <c r="F85" s="7" t="n"/>
      <c r="G85" s="7" t="n"/>
      <c r="H85" s="7" t="n"/>
      <c r="I85" s="8">
        <f>IF(A85="","",IF(UPPER(TRIM(F85))="CIRC",PI()*(G85/2)^2*E85,IF(UPPER(TRIM(F85))="RECT",G85*H85*E85,"")))</f>
        <v/>
      </c>
      <c r="J85" s="7" t="n"/>
      <c r="K85" s="8">
        <f>IF(A85="","",SUMIFS(Elements_hybrides!$Q:$Q,Elements_hybrides!$D:$D,$A85))</f>
        <v/>
      </c>
      <c r="L85" s="8">
        <f>IF(OR(K85="",J85=""),"",K85*J85*60)</f>
        <v/>
      </c>
      <c r="M85" s="4">
        <f>IF(A85="","",IF(OR(I85="",L85=""),"",IF(I85&gt;=L85,"OK","CHECK")))</f>
        <v/>
      </c>
    </row>
    <row r="86">
      <c r="A86" s="4" t="n"/>
      <c r="B86" s="4" t="n"/>
      <c r="C86" s="7" t="n"/>
      <c r="D86" s="7" t="n"/>
      <c r="E86" s="8">
        <f>IF(OR(C86="",D86=""),"",MAX(0,C86-D86))</f>
        <v/>
      </c>
      <c r="F86" s="7" t="n"/>
      <c r="G86" s="7" t="n"/>
      <c r="H86" s="7" t="n"/>
      <c r="I86" s="8">
        <f>IF(A86="","",IF(UPPER(TRIM(F86))="CIRC",PI()*(G86/2)^2*E86,IF(UPPER(TRIM(F86))="RECT",G86*H86*E86,"")))</f>
        <v/>
      </c>
      <c r="J86" s="7" t="n"/>
      <c r="K86" s="8">
        <f>IF(A86="","",SUMIFS(Elements_hybrides!$Q:$Q,Elements_hybrides!$D:$D,$A86))</f>
        <v/>
      </c>
      <c r="L86" s="8">
        <f>IF(OR(K86="",J86=""),"",K86*J86*60)</f>
        <v/>
      </c>
      <c r="M86" s="4">
        <f>IF(A86="","",IF(OR(I86="",L86=""),"",IF(I86&gt;=L86,"OK","CHECK")))</f>
        <v/>
      </c>
    </row>
    <row r="87">
      <c r="A87" s="4" t="n"/>
      <c r="B87" s="4" t="n"/>
      <c r="C87" s="7" t="n"/>
      <c r="D87" s="7" t="n"/>
      <c r="E87" s="8">
        <f>IF(OR(C87="",D87=""),"",MAX(0,C87-D87))</f>
        <v/>
      </c>
      <c r="F87" s="7" t="n"/>
      <c r="G87" s="7" t="n"/>
      <c r="H87" s="7" t="n"/>
      <c r="I87" s="8">
        <f>IF(A87="","",IF(UPPER(TRIM(F87))="CIRC",PI()*(G87/2)^2*E87,IF(UPPER(TRIM(F87))="RECT",G87*H87*E87,"")))</f>
        <v/>
      </c>
      <c r="J87" s="7" t="n"/>
      <c r="K87" s="8">
        <f>IF(A87="","",SUMIFS(Elements_hybrides!$Q:$Q,Elements_hybrides!$D:$D,$A87))</f>
        <v/>
      </c>
      <c r="L87" s="8">
        <f>IF(OR(K87="",J87=""),"",K87*J87*60)</f>
        <v/>
      </c>
      <c r="M87" s="4">
        <f>IF(A87="","",IF(OR(I87="",L87=""),"",IF(I87&gt;=L87,"OK","CHECK")))</f>
        <v/>
      </c>
    </row>
    <row r="88">
      <c r="A88" s="4" t="n"/>
      <c r="B88" s="4" t="n"/>
      <c r="C88" s="7" t="n"/>
      <c r="D88" s="7" t="n"/>
      <c r="E88" s="8">
        <f>IF(OR(C88="",D88=""),"",MAX(0,C88-D88))</f>
        <v/>
      </c>
      <c r="F88" s="7" t="n"/>
      <c r="G88" s="7" t="n"/>
      <c r="H88" s="7" t="n"/>
      <c r="I88" s="8">
        <f>IF(A88="","",IF(UPPER(TRIM(F88))="CIRC",PI()*(G88/2)^2*E88,IF(UPPER(TRIM(F88))="RECT",G88*H88*E88,"")))</f>
        <v/>
      </c>
      <c r="J88" s="7" t="n"/>
      <c r="K88" s="8">
        <f>IF(A88="","",SUMIFS(Elements_hybrides!$Q:$Q,Elements_hybrides!$D:$D,$A88))</f>
        <v/>
      </c>
      <c r="L88" s="8">
        <f>IF(OR(K88="",J88=""),"",K88*J88*60)</f>
        <v/>
      </c>
      <c r="M88" s="4">
        <f>IF(A88="","",IF(OR(I88="",L88=""),"",IF(I88&gt;=L88,"OK","CHECK")))</f>
        <v/>
      </c>
    </row>
    <row r="89">
      <c r="A89" s="4" t="n"/>
      <c r="B89" s="4" t="n"/>
      <c r="C89" s="7" t="n"/>
      <c r="D89" s="7" t="n"/>
      <c r="E89" s="8">
        <f>IF(OR(C89="",D89=""),"",MAX(0,C89-D89))</f>
        <v/>
      </c>
      <c r="F89" s="7" t="n"/>
      <c r="G89" s="7" t="n"/>
      <c r="H89" s="7" t="n"/>
      <c r="I89" s="8">
        <f>IF(A89="","",IF(UPPER(TRIM(F89))="CIRC",PI()*(G89/2)^2*E89,IF(UPPER(TRIM(F89))="RECT",G89*H89*E89,"")))</f>
        <v/>
      </c>
      <c r="J89" s="7" t="n"/>
      <c r="K89" s="8">
        <f>IF(A89="","",SUMIFS(Elements_hybrides!$Q:$Q,Elements_hybrides!$D:$D,$A89))</f>
        <v/>
      </c>
      <c r="L89" s="8">
        <f>IF(OR(K89="",J89=""),"",K89*J89*60)</f>
        <v/>
      </c>
      <c r="M89" s="4">
        <f>IF(A89="","",IF(OR(I89="",L89=""),"",IF(I89&gt;=L89,"OK","CHECK")))</f>
        <v/>
      </c>
    </row>
    <row r="90">
      <c r="A90" s="4" t="n"/>
      <c r="B90" s="4" t="n"/>
      <c r="C90" s="7" t="n"/>
      <c r="D90" s="7" t="n"/>
      <c r="E90" s="8">
        <f>IF(OR(C90="",D90=""),"",MAX(0,C90-D90))</f>
        <v/>
      </c>
      <c r="F90" s="7" t="n"/>
      <c r="G90" s="7" t="n"/>
      <c r="H90" s="7" t="n"/>
      <c r="I90" s="8">
        <f>IF(A90="","",IF(UPPER(TRIM(F90))="CIRC",PI()*(G90/2)^2*E90,IF(UPPER(TRIM(F90))="RECT",G90*H90*E90,"")))</f>
        <v/>
      </c>
      <c r="J90" s="7" t="n"/>
      <c r="K90" s="8">
        <f>IF(A90="","",SUMIFS(Elements_hybrides!$Q:$Q,Elements_hybrides!$D:$D,$A90))</f>
        <v/>
      </c>
      <c r="L90" s="8">
        <f>IF(OR(K90="",J90=""),"",K90*J90*60)</f>
        <v/>
      </c>
      <c r="M90" s="4">
        <f>IF(A90="","",IF(OR(I90="",L90=""),"",IF(I90&gt;=L90,"OK","CHECK")))</f>
        <v/>
      </c>
    </row>
    <row r="91">
      <c r="A91" s="4" t="n"/>
      <c r="B91" s="4" t="n"/>
      <c r="C91" s="7" t="n"/>
      <c r="D91" s="7" t="n"/>
      <c r="E91" s="8">
        <f>IF(OR(C91="",D91=""),"",MAX(0,C91-D91))</f>
        <v/>
      </c>
      <c r="F91" s="7" t="n"/>
      <c r="G91" s="7" t="n"/>
      <c r="H91" s="7" t="n"/>
      <c r="I91" s="8">
        <f>IF(A91="","",IF(UPPER(TRIM(F91))="CIRC",PI()*(G91/2)^2*E91,IF(UPPER(TRIM(F91))="RECT",G91*H91*E91,"")))</f>
        <v/>
      </c>
      <c r="J91" s="7" t="n"/>
      <c r="K91" s="8">
        <f>IF(A91="","",SUMIFS(Elements_hybrides!$Q:$Q,Elements_hybrides!$D:$D,$A91))</f>
        <v/>
      </c>
      <c r="L91" s="8">
        <f>IF(OR(K91="",J91=""),"",K91*J91*60)</f>
        <v/>
      </c>
      <c r="M91" s="4">
        <f>IF(A91="","",IF(OR(I91="",L91=""),"",IF(I91&gt;=L91,"OK","CHECK")))</f>
        <v/>
      </c>
    </row>
    <row r="92">
      <c r="A92" s="4" t="n"/>
      <c r="B92" s="4" t="n"/>
      <c r="C92" s="7" t="n"/>
      <c r="D92" s="7" t="n"/>
      <c r="E92" s="8">
        <f>IF(OR(C92="",D92=""),"",MAX(0,C92-D92))</f>
        <v/>
      </c>
      <c r="F92" s="7" t="n"/>
      <c r="G92" s="7" t="n"/>
      <c r="H92" s="7" t="n"/>
      <c r="I92" s="8">
        <f>IF(A92="","",IF(UPPER(TRIM(F92))="CIRC",PI()*(G92/2)^2*E92,IF(UPPER(TRIM(F92))="RECT",G92*H92*E92,"")))</f>
        <v/>
      </c>
      <c r="J92" s="7" t="n"/>
      <c r="K92" s="8">
        <f>IF(A92="","",SUMIFS(Elements_hybrides!$Q:$Q,Elements_hybrides!$D:$D,$A92))</f>
        <v/>
      </c>
      <c r="L92" s="8">
        <f>IF(OR(K92="",J92=""),"",K92*J92*60)</f>
        <v/>
      </c>
      <c r="M92" s="4">
        <f>IF(A92="","",IF(OR(I92="",L92=""),"",IF(I92&gt;=L92,"OK","CHECK")))</f>
        <v/>
      </c>
    </row>
    <row r="93">
      <c r="A93" s="4" t="n"/>
      <c r="B93" s="4" t="n"/>
      <c r="C93" s="7" t="n"/>
      <c r="D93" s="7" t="n"/>
      <c r="E93" s="8">
        <f>IF(OR(C93="",D93=""),"",MAX(0,C93-D93))</f>
        <v/>
      </c>
      <c r="F93" s="7" t="n"/>
      <c r="G93" s="7" t="n"/>
      <c r="H93" s="7" t="n"/>
      <c r="I93" s="8">
        <f>IF(A93="","",IF(UPPER(TRIM(F93))="CIRC",PI()*(G93/2)^2*E93,IF(UPPER(TRIM(F93))="RECT",G93*H93*E93,"")))</f>
        <v/>
      </c>
      <c r="J93" s="7" t="n"/>
      <c r="K93" s="8">
        <f>IF(A93="","",SUMIFS(Elements_hybrides!$Q:$Q,Elements_hybrides!$D:$D,$A93))</f>
        <v/>
      </c>
      <c r="L93" s="8">
        <f>IF(OR(K93="",J93=""),"",K93*J93*60)</f>
        <v/>
      </c>
      <c r="M93" s="4">
        <f>IF(A93="","",IF(OR(I93="",L93=""),"",IF(I93&gt;=L93,"OK","CHECK")))</f>
        <v/>
      </c>
    </row>
    <row r="94">
      <c r="A94" s="4" t="n"/>
      <c r="B94" s="4" t="n"/>
      <c r="C94" s="7" t="n"/>
      <c r="D94" s="7" t="n"/>
      <c r="E94" s="8">
        <f>IF(OR(C94="",D94=""),"",MAX(0,C94-D94))</f>
        <v/>
      </c>
      <c r="F94" s="7" t="n"/>
      <c r="G94" s="7" t="n"/>
      <c r="H94" s="7" t="n"/>
      <c r="I94" s="8">
        <f>IF(A94="","",IF(UPPER(TRIM(F94))="CIRC",PI()*(G94/2)^2*E94,IF(UPPER(TRIM(F94))="RECT",G94*H94*E94,"")))</f>
        <v/>
      </c>
      <c r="J94" s="7" t="n"/>
      <c r="K94" s="8">
        <f>IF(A94="","",SUMIFS(Elements_hybrides!$Q:$Q,Elements_hybrides!$D:$D,$A94))</f>
        <v/>
      </c>
      <c r="L94" s="8">
        <f>IF(OR(K94="",J94=""),"",K94*J94*60)</f>
        <v/>
      </c>
      <c r="M94" s="4">
        <f>IF(A94="","",IF(OR(I94="",L94=""),"",IF(I94&gt;=L94,"OK","CHECK")))</f>
        <v/>
      </c>
    </row>
    <row r="95">
      <c r="A95" s="4" t="n"/>
      <c r="B95" s="4" t="n"/>
      <c r="C95" s="7" t="n"/>
      <c r="D95" s="7" t="n"/>
      <c r="E95" s="8">
        <f>IF(OR(C95="",D95=""),"",MAX(0,C95-D95))</f>
        <v/>
      </c>
      <c r="F95" s="7" t="n"/>
      <c r="G95" s="7" t="n"/>
      <c r="H95" s="7" t="n"/>
      <c r="I95" s="8">
        <f>IF(A95="","",IF(UPPER(TRIM(F95))="CIRC",PI()*(G95/2)^2*E95,IF(UPPER(TRIM(F95))="RECT",G95*H95*E95,"")))</f>
        <v/>
      </c>
      <c r="J95" s="7" t="n"/>
      <c r="K95" s="8">
        <f>IF(A95="","",SUMIFS(Elements_hybrides!$Q:$Q,Elements_hybrides!$D:$D,$A95))</f>
        <v/>
      </c>
      <c r="L95" s="8">
        <f>IF(OR(K95="",J95=""),"",K95*J95*60)</f>
        <v/>
      </c>
      <c r="M95" s="4">
        <f>IF(A95="","",IF(OR(I95="",L95=""),"",IF(I95&gt;=L95,"OK","CHECK")))</f>
        <v/>
      </c>
    </row>
    <row r="96">
      <c r="A96" s="4" t="n"/>
      <c r="B96" s="4" t="n"/>
      <c r="C96" s="7" t="n"/>
      <c r="D96" s="7" t="n"/>
      <c r="E96" s="8">
        <f>IF(OR(C96="",D96=""),"",MAX(0,C96-D96))</f>
        <v/>
      </c>
      <c r="F96" s="7" t="n"/>
      <c r="G96" s="7" t="n"/>
      <c r="H96" s="7" t="n"/>
      <c r="I96" s="8">
        <f>IF(A96="","",IF(UPPER(TRIM(F96))="CIRC",PI()*(G96/2)^2*E96,IF(UPPER(TRIM(F96))="RECT",G96*H96*E96,"")))</f>
        <v/>
      </c>
      <c r="J96" s="7" t="n"/>
      <c r="K96" s="8">
        <f>IF(A96="","",SUMIFS(Elements_hybrides!$Q:$Q,Elements_hybrides!$D:$D,$A96))</f>
        <v/>
      </c>
      <c r="L96" s="8">
        <f>IF(OR(K96="",J96=""),"",K96*J96*60)</f>
        <v/>
      </c>
      <c r="M96" s="4">
        <f>IF(A96="","",IF(OR(I96="",L96=""),"",IF(I96&gt;=L96,"OK","CHECK")))</f>
        <v/>
      </c>
    </row>
    <row r="97">
      <c r="A97" s="4" t="n"/>
      <c r="B97" s="4" t="n"/>
      <c r="C97" s="7" t="n"/>
      <c r="D97" s="7" t="n"/>
      <c r="E97" s="8">
        <f>IF(OR(C97="",D97=""),"",MAX(0,C97-D97))</f>
        <v/>
      </c>
      <c r="F97" s="7" t="n"/>
      <c r="G97" s="7" t="n"/>
      <c r="H97" s="7" t="n"/>
      <c r="I97" s="8">
        <f>IF(A97="","",IF(UPPER(TRIM(F97))="CIRC",PI()*(G97/2)^2*E97,IF(UPPER(TRIM(F97))="RECT",G97*H97*E97,"")))</f>
        <v/>
      </c>
      <c r="J97" s="7" t="n"/>
      <c r="K97" s="8">
        <f>IF(A97="","",SUMIFS(Elements_hybrides!$Q:$Q,Elements_hybrides!$D:$D,$A97))</f>
        <v/>
      </c>
      <c r="L97" s="8">
        <f>IF(OR(K97="",J97=""),"",K97*J97*60)</f>
        <v/>
      </c>
      <c r="M97" s="4">
        <f>IF(A97="","",IF(OR(I97="",L97=""),"",IF(I97&gt;=L97,"OK","CHECK")))</f>
        <v/>
      </c>
    </row>
    <row r="98">
      <c r="A98" s="4" t="n"/>
      <c r="B98" s="4" t="n"/>
      <c r="C98" s="7" t="n"/>
      <c r="D98" s="7" t="n"/>
      <c r="E98" s="8">
        <f>IF(OR(C98="",D98=""),"",MAX(0,C98-D98))</f>
        <v/>
      </c>
      <c r="F98" s="7" t="n"/>
      <c r="G98" s="7" t="n"/>
      <c r="H98" s="7" t="n"/>
      <c r="I98" s="8">
        <f>IF(A98="","",IF(UPPER(TRIM(F98))="CIRC",PI()*(G98/2)^2*E98,IF(UPPER(TRIM(F98))="RECT",G98*H98*E98,"")))</f>
        <v/>
      </c>
      <c r="J98" s="7" t="n"/>
      <c r="K98" s="8">
        <f>IF(A98="","",SUMIFS(Elements_hybrides!$Q:$Q,Elements_hybrides!$D:$D,$A98))</f>
        <v/>
      </c>
      <c r="L98" s="8">
        <f>IF(OR(K98="",J98=""),"",K98*J98*60)</f>
        <v/>
      </c>
      <c r="M98" s="4">
        <f>IF(A98="","",IF(OR(I98="",L98=""),"",IF(I98&gt;=L98,"OK","CHECK")))</f>
        <v/>
      </c>
    </row>
    <row r="99">
      <c r="A99" s="4" t="n"/>
      <c r="B99" s="4" t="n"/>
      <c r="C99" s="7" t="n"/>
      <c r="D99" s="7" t="n"/>
      <c r="E99" s="8">
        <f>IF(OR(C99="",D99=""),"",MAX(0,C99-D99))</f>
        <v/>
      </c>
      <c r="F99" s="7" t="n"/>
      <c r="G99" s="7" t="n"/>
      <c r="H99" s="7" t="n"/>
      <c r="I99" s="8">
        <f>IF(A99="","",IF(UPPER(TRIM(F99))="CIRC",PI()*(G99/2)^2*E99,IF(UPPER(TRIM(F99))="RECT",G99*H99*E99,"")))</f>
        <v/>
      </c>
      <c r="J99" s="7" t="n"/>
      <c r="K99" s="8">
        <f>IF(A99="","",SUMIFS(Elements_hybrides!$Q:$Q,Elements_hybrides!$D:$D,$A99))</f>
        <v/>
      </c>
      <c r="L99" s="8">
        <f>IF(OR(K99="",J99=""),"",K99*J99*60)</f>
        <v/>
      </c>
      <c r="M99" s="4">
        <f>IF(A99="","",IF(OR(I99="",L99=""),"",IF(I99&gt;=L99,"OK","CHECK")))</f>
        <v/>
      </c>
    </row>
    <row r="100">
      <c r="A100" s="4" t="n"/>
      <c r="B100" s="4" t="n"/>
      <c r="C100" s="7" t="n"/>
      <c r="D100" s="7" t="n"/>
      <c r="E100" s="8">
        <f>IF(OR(C100="",D100=""),"",MAX(0,C100-D100))</f>
        <v/>
      </c>
      <c r="F100" s="7" t="n"/>
      <c r="G100" s="7" t="n"/>
      <c r="H100" s="7" t="n"/>
      <c r="I100" s="8">
        <f>IF(A100="","",IF(UPPER(TRIM(F100))="CIRC",PI()*(G100/2)^2*E100,IF(UPPER(TRIM(F100))="RECT",G100*H100*E100,"")))</f>
        <v/>
      </c>
      <c r="J100" s="7" t="n"/>
      <c r="K100" s="8">
        <f>IF(A100="","",SUMIFS(Elements_hybrides!$Q:$Q,Elements_hybrides!$D:$D,$A100))</f>
        <v/>
      </c>
      <c r="L100" s="8">
        <f>IF(OR(K100="",J100=""),"",K100*J100*60)</f>
        <v/>
      </c>
      <c r="M100" s="4">
        <f>IF(A100="","",IF(OR(I100="",L100=""),"",IF(I100&gt;=L100,"OK","CHECK")))</f>
        <v/>
      </c>
    </row>
    <row r="101">
      <c r="A101" s="4" t="n"/>
      <c r="B101" s="4" t="n"/>
      <c r="C101" s="7" t="n"/>
      <c r="D101" s="7" t="n"/>
      <c r="E101" s="8">
        <f>IF(OR(C101="",D101=""),"",MAX(0,C101-D101))</f>
        <v/>
      </c>
      <c r="F101" s="7" t="n"/>
      <c r="G101" s="7" t="n"/>
      <c r="H101" s="7" t="n"/>
      <c r="I101" s="8">
        <f>IF(A101="","",IF(UPPER(TRIM(F101))="CIRC",PI()*(G101/2)^2*E101,IF(UPPER(TRIM(F101))="RECT",G101*H101*E101,"")))</f>
        <v/>
      </c>
      <c r="J101" s="7" t="n"/>
      <c r="K101" s="8">
        <f>IF(A101="","",SUMIFS(Elements_hybrides!$Q:$Q,Elements_hybrides!$D:$D,$A101))</f>
        <v/>
      </c>
      <c r="L101" s="8">
        <f>IF(OR(K101="",J101=""),"",K101*J101*60)</f>
        <v/>
      </c>
      <c r="M101" s="4">
        <f>IF(A101="","",IF(OR(I101="",L101=""),"",IF(I101&gt;=L101,"OK","CHECK")))</f>
        <v/>
      </c>
    </row>
    <row r="102">
      <c r="A102" s="4" t="n"/>
      <c r="B102" s="4" t="n"/>
      <c r="C102" s="7" t="n"/>
      <c r="D102" s="7" t="n"/>
      <c r="E102" s="8">
        <f>IF(OR(C102="",D102=""),"",MAX(0,C102-D102))</f>
        <v/>
      </c>
      <c r="F102" s="7" t="n"/>
      <c r="G102" s="7" t="n"/>
      <c r="H102" s="7" t="n"/>
      <c r="I102" s="8">
        <f>IF(A102="","",IF(UPPER(TRIM(F102))="CIRC",PI()*(G102/2)^2*E102,IF(UPPER(TRIM(F102))="RECT",G102*H102*E102,"")))</f>
        <v/>
      </c>
      <c r="J102" s="7" t="n"/>
      <c r="K102" s="8">
        <f>IF(A102="","",SUMIFS(Elements_hybrides!$Q:$Q,Elements_hybrides!$D:$D,$A102))</f>
        <v/>
      </c>
      <c r="L102" s="8">
        <f>IF(OR(K102="",J102=""),"",K102*J102*60)</f>
        <v/>
      </c>
      <c r="M102" s="4">
        <f>IF(A102="","",IF(OR(I102="",L102=""),"",IF(I102&gt;=L102,"OK","CHECK")))</f>
        <v/>
      </c>
    </row>
    <row r="103">
      <c r="A103" s="4" t="n"/>
      <c r="B103" s="4" t="n"/>
      <c r="C103" s="7" t="n"/>
      <c r="D103" s="7" t="n"/>
      <c r="E103" s="8">
        <f>IF(OR(C103="",D103=""),"",MAX(0,C103-D103))</f>
        <v/>
      </c>
      <c r="F103" s="7" t="n"/>
      <c r="G103" s="7" t="n"/>
      <c r="H103" s="7" t="n"/>
      <c r="I103" s="8">
        <f>IF(A103="","",IF(UPPER(TRIM(F103))="CIRC",PI()*(G103/2)^2*E103,IF(UPPER(TRIM(F103))="RECT",G103*H103*E103,"")))</f>
        <v/>
      </c>
      <c r="J103" s="7" t="n"/>
      <c r="K103" s="8">
        <f>IF(A103="","",SUMIFS(Elements_hybrides!$Q:$Q,Elements_hybrides!$D:$D,$A103))</f>
        <v/>
      </c>
      <c r="L103" s="8">
        <f>IF(OR(K103="",J103=""),"",K103*J103*60)</f>
        <v/>
      </c>
      <c r="M103" s="4">
        <f>IF(A103="","",IF(OR(I103="",L103=""),"",IF(I103&gt;=L103,"OK","CHECK")))</f>
        <v/>
      </c>
    </row>
    <row r="104">
      <c r="A104" s="4" t="n"/>
      <c r="B104" s="4" t="n"/>
      <c r="C104" s="7" t="n"/>
      <c r="D104" s="7" t="n"/>
      <c r="E104" s="8">
        <f>IF(OR(C104="",D104=""),"",MAX(0,C104-D104))</f>
        <v/>
      </c>
      <c r="F104" s="7" t="n"/>
      <c r="G104" s="7" t="n"/>
      <c r="H104" s="7" t="n"/>
      <c r="I104" s="8">
        <f>IF(A104="","",IF(UPPER(TRIM(F104))="CIRC",PI()*(G104/2)^2*E104,IF(UPPER(TRIM(F104))="RECT",G104*H104*E104,"")))</f>
        <v/>
      </c>
      <c r="J104" s="7" t="n"/>
      <c r="K104" s="8">
        <f>IF(A104="","",SUMIFS(Elements_hybrides!$Q:$Q,Elements_hybrides!$D:$D,$A104))</f>
        <v/>
      </c>
      <c r="L104" s="8">
        <f>IF(OR(K104="",J104=""),"",K104*J104*60)</f>
        <v/>
      </c>
      <c r="M104" s="4">
        <f>IF(A104="","",IF(OR(I104="",L104=""),"",IF(I104&gt;=L104,"OK","CHECK")))</f>
        <v/>
      </c>
    </row>
    <row r="105">
      <c r="A105" s="4" t="n"/>
      <c r="B105" s="4" t="n"/>
      <c r="C105" s="7" t="n"/>
      <c r="D105" s="7" t="n"/>
      <c r="E105" s="8">
        <f>IF(OR(C105="",D105=""),"",MAX(0,C105-D105))</f>
        <v/>
      </c>
      <c r="F105" s="7" t="n"/>
      <c r="G105" s="7" t="n"/>
      <c r="H105" s="7" t="n"/>
      <c r="I105" s="8">
        <f>IF(A105="","",IF(UPPER(TRIM(F105))="CIRC",PI()*(G105/2)^2*E105,IF(UPPER(TRIM(F105))="RECT",G105*H105*E105,"")))</f>
        <v/>
      </c>
      <c r="J105" s="7" t="n"/>
      <c r="K105" s="8">
        <f>IF(A105="","",SUMIFS(Elements_hybrides!$Q:$Q,Elements_hybrides!$D:$D,$A105))</f>
        <v/>
      </c>
      <c r="L105" s="8">
        <f>IF(OR(K105="",J105=""),"",K105*J105*60)</f>
        <v/>
      </c>
      <c r="M105" s="4">
        <f>IF(A105="","",IF(OR(I105="",L105=""),"",IF(I105&gt;=L105,"OK","CHECK")))</f>
        <v/>
      </c>
    </row>
    <row r="106">
      <c r="A106" s="4" t="n"/>
      <c r="B106" s="4" t="n"/>
      <c r="C106" s="7" t="n"/>
      <c r="D106" s="7" t="n"/>
      <c r="E106" s="8">
        <f>IF(OR(C106="",D106=""),"",MAX(0,C106-D106))</f>
        <v/>
      </c>
      <c r="F106" s="7" t="n"/>
      <c r="G106" s="7" t="n"/>
      <c r="H106" s="7" t="n"/>
      <c r="I106" s="8">
        <f>IF(A106="","",IF(UPPER(TRIM(F106))="CIRC",PI()*(G106/2)^2*E106,IF(UPPER(TRIM(F106))="RECT",G106*H106*E106,"")))</f>
        <v/>
      </c>
      <c r="J106" s="7" t="n"/>
      <c r="K106" s="8">
        <f>IF(A106="","",SUMIFS(Elements_hybrides!$Q:$Q,Elements_hybrides!$D:$D,$A106))</f>
        <v/>
      </c>
      <c r="L106" s="8">
        <f>IF(OR(K106="",J106=""),"",K106*J106*60)</f>
        <v/>
      </c>
      <c r="M106" s="4">
        <f>IF(A106="","",IF(OR(I106="",L106=""),"",IF(I106&gt;=L106,"OK","CHECK")))</f>
        <v/>
      </c>
    </row>
    <row r="107">
      <c r="A107" s="4" t="n"/>
      <c r="B107" s="4" t="n"/>
      <c r="C107" s="7" t="n"/>
      <c r="D107" s="7" t="n"/>
      <c r="E107" s="8">
        <f>IF(OR(C107="",D107=""),"",MAX(0,C107-D107))</f>
        <v/>
      </c>
      <c r="F107" s="7" t="n"/>
      <c r="G107" s="7" t="n"/>
      <c r="H107" s="7" t="n"/>
      <c r="I107" s="8">
        <f>IF(A107="","",IF(UPPER(TRIM(F107))="CIRC",PI()*(G107/2)^2*E107,IF(UPPER(TRIM(F107))="RECT",G107*H107*E107,"")))</f>
        <v/>
      </c>
      <c r="J107" s="7" t="n"/>
      <c r="K107" s="8">
        <f>IF(A107="","",SUMIFS(Elements_hybrides!$Q:$Q,Elements_hybrides!$D:$D,$A107))</f>
        <v/>
      </c>
      <c r="L107" s="8">
        <f>IF(OR(K107="",J107=""),"",K107*J107*60)</f>
        <v/>
      </c>
      <c r="M107" s="4">
        <f>IF(A107="","",IF(OR(I107="",L107=""),"",IF(I107&gt;=L107,"OK","CHECK")))</f>
        <v/>
      </c>
    </row>
    <row r="108">
      <c r="A108" s="4" t="n"/>
      <c r="B108" s="4" t="n"/>
      <c r="C108" s="7" t="n"/>
      <c r="D108" s="7" t="n"/>
      <c r="E108" s="8">
        <f>IF(OR(C108="",D108=""),"",MAX(0,C108-D108))</f>
        <v/>
      </c>
      <c r="F108" s="7" t="n"/>
      <c r="G108" s="7" t="n"/>
      <c r="H108" s="7" t="n"/>
      <c r="I108" s="8">
        <f>IF(A108="","",IF(UPPER(TRIM(F108))="CIRC",PI()*(G108/2)^2*E108,IF(UPPER(TRIM(F108))="RECT",G108*H108*E108,"")))</f>
        <v/>
      </c>
      <c r="J108" s="7" t="n"/>
      <c r="K108" s="8">
        <f>IF(A108="","",SUMIFS(Elements_hybrides!$Q:$Q,Elements_hybrides!$D:$D,$A108))</f>
        <v/>
      </c>
      <c r="L108" s="8">
        <f>IF(OR(K108="",J108=""),"",K108*J108*60)</f>
        <v/>
      </c>
      <c r="M108" s="4">
        <f>IF(A108="","",IF(OR(I108="",L108=""),"",IF(I108&gt;=L108,"OK","CHECK")))</f>
        <v/>
      </c>
    </row>
    <row r="109">
      <c r="A109" s="4" t="n"/>
      <c r="B109" s="4" t="n"/>
      <c r="C109" s="7" t="n"/>
      <c r="D109" s="7" t="n"/>
      <c r="E109" s="8">
        <f>IF(OR(C109="",D109=""),"",MAX(0,C109-D109))</f>
        <v/>
      </c>
      <c r="F109" s="7" t="n"/>
      <c r="G109" s="7" t="n"/>
      <c r="H109" s="7" t="n"/>
      <c r="I109" s="8">
        <f>IF(A109="","",IF(UPPER(TRIM(F109))="CIRC",PI()*(G109/2)^2*E109,IF(UPPER(TRIM(F109))="RECT",G109*H109*E109,"")))</f>
        <v/>
      </c>
      <c r="J109" s="7" t="n"/>
      <c r="K109" s="8">
        <f>IF(A109="","",SUMIFS(Elements_hybrides!$Q:$Q,Elements_hybrides!$D:$D,$A109))</f>
        <v/>
      </c>
      <c r="L109" s="8">
        <f>IF(OR(K109="",J109=""),"",K109*J109*60)</f>
        <v/>
      </c>
      <c r="M109" s="4">
        <f>IF(A109="","",IF(OR(I109="",L109=""),"",IF(I109&gt;=L109,"OK","CHECK")))</f>
        <v/>
      </c>
    </row>
    <row r="110">
      <c r="A110" s="4" t="n"/>
      <c r="B110" s="4" t="n"/>
      <c r="C110" s="7" t="n"/>
      <c r="D110" s="7" t="n"/>
      <c r="E110" s="8">
        <f>IF(OR(C110="",D110=""),"",MAX(0,C110-D110))</f>
        <v/>
      </c>
      <c r="F110" s="7" t="n"/>
      <c r="G110" s="7" t="n"/>
      <c r="H110" s="7" t="n"/>
      <c r="I110" s="8">
        <f>IF(A110="","",IF(UPPER(TRIM(F110))="CIRC",PI()*(G110/2)^2*E110,IF(UPPER(TRIM(F110))="RECT",G110*H110*E110,"")))</f>
        <v/>
      </c>
      <c r="J110" s="7" t="n"/>
      <c r="K110" s="8">
        <f>IF(A110="","",SUMIFS(Elements_hybrides!$Q:$Q,Elements_hybrides!$D:$D,$A110))</f>
        <v/>
      </c>
      <c r="L110" s="8">
        <f>IF(OR(K110="",J110=""),"",K110*J110*60)</f>
        <v/>
      </c>
      <c r="M110" s="4">
        <f>IF(A110="","",IF(OR(I110="",L110=""),"",IF(I110&gt;=L110,"OK","CHECK")))</f>
        <v/>
      </c>
    </row>
    <row r="111">
      <c r="A111" s="4" t="n"/>
      <c r="B111" s="4" t="n"/>
      <c r="C111" s="7" t="n"/>
      <c r="D111" s="7" t="n"/>
      <c r="E111" s="8">
        <f>IF(OR(C111="",D111=""),"",MAX(0,C111-D111))</f>
        <v/>
      </c>
      <c r="F111" s="7" t="n"/>
      <c r="G111" s="7" t="n"/>
      <c r="H111" s="7" t="n"/>
      <c r="I111" s="8">
        <f>IF(A111="","",IF(UPPER(TRIM(F111))="CIRC",PI()*(G111/2)^2*E111,IF(UPPER(TRIM(F111))="RECT",G111*H111*E111,"")))</f>
        <v/>
      </c>
      <c r="J111" s="7" t="n"/>
      <c r="K111" s="8">
        <f>IF(A111="","",SUMIFS(Elements_hybrides!$Q:$Q,Elements_hybrides!$D:$D,$A111))</f>
        <v/>
      </c>
      <c r="L111" s="8">
        <f>IF(OR(K111="",J111=""),"",K111*J111*60)</f>
        <v/>
      </c>
      <c r="M111" s="4">
        <f>IF(A111="","",IF(OR(I111="",L111=""),"",IF(I111&gt;=L111,"OK","CHECK")))</f>
        <v/>
      </c>
    </row>
    <row r="112">
      <c r="A112" s="4" t="n"/>
      <c r="B112" s="4" t="n"/>
      <c r="C112" s="7" t="n"/>
      <c r="D112" s="7" t="n"/>
      <c r="E112" s="8">
        <f>IF(OR(C112="",D112=""),"",MAX(0,C112-D112))</f>
        <v/>
      </c>
      <c r="F112" s="7" t="n"/>
      <c r="G112" s="7" t="n"/>
      <c r="H112" s="7" t="n"/>
      <c r="I112" s="8">
        <f>IF(A112="","",IF(UPPER(TRIM(F112))="CIRC",PI()*(G112/2)^2*E112,IF(UPPER(TRIM(F112))="RECT",G112*H112*E112,"")))</f>
        <v/>
      </c>
      <c r="J112" s="7" t="n"/>
      <c r="K112" s="8">
        <f>IF(A112="","",SUMIFS(Elements_hybrides!$Q:$Q,Elements_hybrides!$D:$D,$A112))</f>
        <v/>
      </c>
      <c r="L112" s="8">
        <f>IF(OR(K112="",J112=""),"",K112*J112*60)</f>
        <v/>
      </c>
      <c r="M112" s="4">
        <f>IF(A112="","",IF(OR(I112="",L112=""),"",IF(I112&gt;=L112,"OK","CHECK")))</f>
        <v/>
      </c>
    </row>
    <row r="113">
      <c r="A113" s="4" t="n"/>
      <c r="B113" s="4" t="n"/>
      <c r="C113" s="7" t="n"/>
      <c r="D113" s="7" t="n"/>
      <c r="E113" s="8">
        <f>IF(OR(C113="",D113=""),"",MAX(0,C113-D113))</f>
        <v/>
      </c>
      <c r="F113" s="7" t="n"/>
      <c r="G113" s="7" t="n"/>
      <c r="H113" s="7" t="n"/>
      <c r="I113" s="8">
        <f>IF(A113="","",IF(UPPER(TRIM(F113))="CIRC",PI()*(G113/2)^2*E113,IF(UPPER(TRIM(F113))="RECT",G113*H113*E113,"")))</f>
        <v/>
      </c>
      <c r="J113" s="7" t="n"/>
      <c r="K113" s="8">
        <f>IF(A113="","",SUMIFS(Elements_hybrides!$Q:$Q,Elements_hybrides!$D:$D,$A113))</f>
        <v/>
      </c>
      <c r="L113" s="8">
        <f>IF(OR(K113="",J113=""),"",K113*J113*60)</f>
        <v/>
      </c>
      <c r="M113" s="4">
        <f>IF(A113="","",IF(OR(I113="",L113=""),"",IF(I113&gt;=L113,"OK","CHECK")))</f>
        <v/>
      </c>
    </row>
    <row r="114">
      <c r="A114" s="4" t="n"/>
      <c r="B114" s="4" t="n"/>
      <c r="C114" s="7" t="n"/>
      <c r="D114" s="7" t="n"/>
      <c r="E114" s="8">
        <f>IF(OR(C114="",D114=""),"",MAX(0,C114-D114))</f>
        <v/>
      </c>
      <c r="F114" s="7" t="n"/>
      <c r="G114" s="7" t="n"/>
      <c r="H114" s="7" t="n"/>
      <c r="I114" s="8">
        <f>IF(A114="","",IF(UPPER(TRIM(F114))="CIRC",PI()*(G114/2)^2*E114,IF(UPPER(TRIM(F114))="RECT",G114*H114*E114,"")))</f>
        <v/>
      </c>
      <c r="J114" s="7" t="n"/>
      <c r="K114" s="8">
        <f>IF(A114="","",SUMIFS(Elements_hybrides!$Q:$Q,Elements_hybrides!$D:$D,$A114))</f>
        <v/>
      </c>
      <c r="L114" s="8">
        <f>IF(OR(K114="",J114=""),"",K114*J114*60)</f>
        <v/>
      </c>
      <c r="M114" s="4">
        <f>IF(A114="","",IF(OR(I114="",L114=""),"",IF(I114&gt;=L114,"OK","CHECK")))</f>
        <v/>
      </c>
    </row>
    <row r="115">
      <c r="A115" s="4" t="n"/>
      <c r="B115" s="4" t="n"/>
      <c r="C115" s="7" t="n"/>
      <c r="D115" s="7" t="n"/>
      <c r="E115" s="8">
        <f>IF(OR(C115="",D115=""),"",MAX(0,C115-D115))</f>
        <v/>
      </c>
      <c r="F115" s="7" t="n"/>
      <c r="G115" s="7" t="n"/>
      <c r="H115" s="7" t="n"/>
      <c r="I115" s="8">
        <f>IF(A115="","",IF(UPPER(TRIM(F115))="CIRC",PI()*(G115/2)^2*E115,IF(UPPER(TRIM(F115))="RECT",G115*H115*E115,"")))</f>
        <v/>
      </c>
      <c r="J115" s="7" t="n"/>
      <c r="K115" s="8">
        <f>IF(A115="","",SUMIFS(Elements_hybrides!$Q:$Q,Elements_hybrides!$D:$D,$A115))</f>
        <v/>
      </c>
      <c r="L115" s="8">
        <f>IF(OR(K115="",J115=""),"",K115*J115*60)</f>
        <v/>
      </c>
      <c r="M115" s="4">
        <f>IF(A115="","",IF(OR(I115="",L115=""),"",IF(I115&gt;=L115,"OK","CHECK")))</f>
        <v/>
      </c>
    </row>
    <row r="116">
      <c r="A116" s="4" t="n"/>
      <c r="B116" s="4" t="n"/>
      <c r="C116" s="7" t="n"/>
      <c r="D116" s="7" t="n"/>
      <c r="E116" s="8">
        <f>IF(OR(C116="",D116=""),"",MAX(0,C116-D116))</f>
        <v/>
      </c>
      <c r="F116" s="7" t="n"/>
      <c r="G116" s="7" t="n"/>
      <c r="H116" s="7" t="n"/>
      <c r="I116" s="8">
        <f>IF(A116="","",IF(UPPER(TRIM(F116))="CIRC",PI()*(G116/2)^2*E116,IF(UPPER(TRIM(F116))="RECT",G116*H116*E116,"")))</f>
        <v/>
      </c>
      <c r="J116" s="7" t="n"/>
      <c r="K116" s="8">
        <f>IF(A116="","",SUMIFS(Elements_hybrides!$Q:$Q,Elements_hybrides!$D:$D,$A116))</f>
        <v/>
      </c>
      <c r="L116" s="8">
        <f>IF(OR(K116="",J116=""),"",K116*J116*60)</f>
        <v/>
      </c>
      <c r="M116" s="4">
        <f>IF(A116="","",IF(OR(I116="",L116=""),"",IF(I116&gt;=L116,"OK","CHECK")))</f>
        <v/>
      </c>
    </row>
    <row r="117">
      <c r="A117" s="4" t="n"/>
      <c r="B117" s="4" t="n"/>
      <c r="C117" s="7" t="n"/>
      <c r="D117" s="7" t="n"/>
      <c r="E117" s="8">
        <f>IF(OR(C117="",D117=""),"",MAX(0,C117-D117))</f>
        <v/>
      </c>
      <c r="F117" s="7" t="n"/>
      <c r="G117" s="7" t="n"/>
      <c r="H117" s="7" t="n"/>
      <c r="I117" s="8">
        <f>IF(A117="","",IF(UPPER(TRIM(F117))="CIRC",PI()*(G117/2)^2*E117,IF(UPPER(TRIM(F117))="RECT",G117*H117*E117,"")))</f>
        <v/>
      </c>
      <c r="J117" s="7" t="n"/>
      <c r="K117" s="8">
        <f>IF(A117="","",SUMIFS(Elements_hybrides!$Q:$Q,Elements_hybrides!$D:$D,$A117))</f>
        <v/>
      </c>
      <c r="L117" s="8">
        <f>IF(OR(K117="",J117=""),"",K117*J117*60)</f>
        <v/>
      </c>
      <c r="M117" s="4">
        <f>IF(A117="","",IF(OR(I117="",L117=""),"",IF(I117&gt;=L117,"OK","CHECK")))</f>
        <v/>
      </c>
    </row>
    <row r="118">
      <c r="A118" s="4" t="n"/>
      <c r="B118" s="4" t="n"/>
      <c r="C118" s="7" t="n"/>
      <c r="D118" s="7" t="n"/>
      <c r="E118" s="8">
        <f>IF(OR(C118="",D118=""),"",MAX(0,C118-D118))</f>
        <v/>
      </c>
      <c r="F118" s="7" t="n"/>
      <c r="G118" s="7" t="n"/>
      <c r="H118" s="7" t="n"/>
      <c r="I118" s="8">
        <f>IF(A118="","",IF(UPPER(TRIM(F118))="CIRC",PI()*(G118/2)^2*E118,IF(UPPER(TRIM(F118))="RECT",G118*H118*E118,"")))</f>
        <v/>
      </c>
      <c r="J118" s="7" t="n"/>
      <c r="K118" s="8">
        <f>IF(A118="","",SUMIFS(Elements_hybrides!$Q:$Q,Elements_hybrides!$D:$D,$A118))</f>
        <v/>
      </c>
      <c r="L118" s="8">
        <f>IF(OR(K118="",J118=""),"",K118*J118*60)</f>
        <v/>
      </c>
      <c r="M118" s="4">
        <f>IF(A118="","",IF(OR(I118="",L118=""),"",IF(I118&gt;=L118,"OK","CHECK")))</f>
        <v/>
      </c>
    </row>
    <row r="119">
      <c r="A119" s="4" t="n"/>
      <c r="B119" s="4" t="n"/>
      <c r="C119" s="7" t="n"/>
      <c r="D119" s="7" t="n"/>
      <c r="E119" s="8">
        <f>IF(OR(C119="",D119=""),"",MAX(0,C119-D119))</f>
        <v/>
      </c>
      <c r="F119" s="7" t="n"/>
      <c r="G119" s="7" t="n"/>
      <c r="H119" s="7" t="n"/>
      <c r="I119" s="8">
        <f>IF(A119="","",IF(UPPER(TRIM(F119))="CIRC",PI()*(G119/2)^2*E119,IF(UPPER(TRIM(F119))="RECT",G119*H119*E119,"")))</f>
        <v/>
      </c>
      <c r="J119" s="7" t="n"/>
      <c r="K119" s="8">
        <f>IF(A119="","",SUMIFS(Elements_hybrides!$Q:$Q,Elements_hybrides!$D:$D,$A119))</f>
        <v/>
      </c>
      <c r="L119" s="8">
        <f>IF(OR(K119="",J119=""),"",K119*J119*60)</f>
        <v/>
      </c>
      <c r="M119" s="4">
        <f>IF(A119="","",IF(OR(I119="",L119=""),"",IF(I119&gt;=L119,"OK","CHECK")))</f>
        <v/>
      </c>
    </row>
    <row r="120">
      <c r="A120" s="4" t="n"/>
      <c r="B120" s="4" t="n"/>
      <c r="C120" s="7" t="n"/>
      <c r="D120" s="7" t="n"/>
      <c r="E120" s="8">
        <f>IF(OR(C120="",D120=""),"",MAX(0,C120-D120))</f>
        <v/>
      </c>
      <c r="F120" s="7" t="n"/>
      <c r="G120" s="7" t="n"/>
      <c r="H120" s="7" t="n"/>
      <c r="I120" s="8">
        <f>IF(A120="","",IF(UPPER(TRIM(F120))="CIRC",PI()*(G120/2)^2*E120,IF(UPPER(TRIM(F120))="RECT",G120*H120*E120,"")))</f>
        <v/>
      </c>
      <c r="J120" s="7" t="n"/>
      <c r="K120" s="8">
        <f>IF(A120="","",SUMIFS(Elements_hybrides!$Q:$Q,Elements_hybrides!$D:$D,$A120))</f>
        <v/>
      </c>
      <c r="L120" s="8">
        <f>IF(OR(K120="",J120=""),"",K120*J120*60)</f>
        <v/>
      </c>
      <c r="M120" s="4">
        <f>IF(A120="","",IF(OR(I120="",L120=""),"",IF(I120&gt;=L120,"OK","CHECK")))</f>
        <v/>
      </c>
    </row>
    <row r="121">
      <c r="A121" s="4" t="n"/>
      <c r="B121" s="4" t="n"/>
      <c r="C121" s="7" t="n"/>
      <c r="D121" s="7" t="n"/>
      <c r="E121" s="8">
        <f>IF(OR(C121="",D121=""),"",MAX(0,C121-D121))</f>
        <v/>
      </c>
      <c r="F121" s="7" t="n"/>
      <c r="G121" s="7" t="n"/>
      <c r="H121" s="7" t="n"/>
      <c r="I121" s="8">
        <f>IF(A121="","",IF(UPPER(TRIM(F121))="CIRC",PI()*(G121/2)^2*E121,IF(UPPER(TRIM(F121))="RECT",G121*H121*E121,"")))</f>
        <v/>
      </c>
      <c r="J121" s="7" t="n"/>
      <c r="K121" s="8">
        <f>IF(A121="","",SUMIFS(Elements_hybrides!$Q:$Q,Elements_hybrides!$D:$D,$A121))</f>
        <v/>
      </c>
      <c r="L121" s="8">
        <f>IF(OR(K121="",J121=""),"",K121*J121*60)</f>
        <v/>
      </c>
      <c r="M121" s="4">
        <f>IF(A121="","",IF(OR(I121="",L121=""),"",IF(I121&gt;=L121,"OK","CHECK")))</f>
        <v/>
      </c>
    </row>
    <row r="122">
      <c r="A122" s="4" t="n"/>
      <c r="B122" s="4" t="n"/>
      <c r="C122" s="7" t="n"/>
      <c r="D122" s="7" t="n"/>
      <c r="E122" s="8">
        <f>IF(OR(C122="",D122=""),"",MAX(0,C122-D122))</f>
        <v/>
      </c>
      <c r="F122" s="7" t="n"/>
      <c r="G122" s="7" t="n"/>
      <c r="H122" s="7" t="n"/>
      <c r="I122" s="8">
        <f>IF(A122="","",IF(UPPER(TRIM(F122))="CIRC",PI()*(G122/2)^2*E122,IF(UPPER(TRIM(F122))="RECT",G122*H122*E122,"")))</f>
        <v/>
      </c>
      <c r="J122" s="7" t="n"/>
      <c r="K122" s="8">
        <f>IF(A122="","",SUMIFS(Elements_hybrides!$Q:$Q,Elements_hybrides!$D:$D,$A122))</f>
        <v/>
      </c>
      <c r="L122" s="8">
        <f>IF(OR(K122="",J122=""),"",K122*J122*60)</f>
        <v/>
      </c>
      <c r="M122" s="4">
        <f>IF(A122="","",IF(OR(I122="",L122=""),"",IF(I122&gt;=L122,"OK","CHECK")))</f>
        <v/>
      </c>
    </row>
    <row r="123">
      <c r="A123" s="4" t="n"/>
      <c r="B123" s="4" t="n"/>
      <c r="C123" s="7" t="n"/>
      <c r="D123" s="7" t="n"/>
      <c r="E123" s="8">
        <f>IF(OR(C123="",D123=""),"",MAX(0,C123-D123))</f>
        <v/>
      </c>
      <c r="F123" s="7" t="n"/>
      <c r="G123" s="7" t="n"/>
      <c r="H123" s="7" t="n"/>
      <c r="I123" s="8">
        <f>IF(A123="","",IF(UPPER(TRIM(F123))="CIRC",PI()*(G123/2)^2*E123,IF(UPPER(TRIM(F123))="RECT",G123*H123*E123,"")))</f>
        <v/>
      </c>
      <c r="J123" s="7" t="n"/>
      <c r="K123" s="8">
        <f>IF(A123="","",SUMIFS(Elements_hybrides!$Q:$Q,Elements_hybrides!$D:$D,$A123))</f>
        <v/>
      </c>
      <c r="L123" s="8">
        <f>IF(OR(K123="",J123=""),"",K123*J123*60)</f>
        <v/>
      </c>
      <c r="M123" s="4">
        <f>IF(A123="","",IF(OR(I123="",L123=""),"",IF(I123&gt;=L123,"OK","CHECK")))</f>
        <v/>
      </c>
    </row>
    <row r="124">
      <c r="A124" s="4" t="n"/>
      <c r="B124" s="4" t="n"/>
      <c r="C124" s="7" t="n"/>
      <c r="D124" s="7" t="n"/>
      <c r="E124" s="8">
        <f>IF(OR(C124="",D124=""),"",MAX(0,C124-D124))</f>
        <v/>
      </c>
      <c r="F124" s="7" t="n"/>
      <c r="G124" s="7" t="n"/>
      <c r="H124" s="7" t="n"/>
      <c r="I124" s="8">
        <f>IF(A124="","",IF(UPPER(TRIM(F124))="CIRC",PI()*(G124/2)^2*E124,IF(UPPER(TRIM(F124))="RECT",G124*H124*E124,"")))</f>
        <v/>
      </c>
      <c r="J124" s="7" t="n"/>
      <c r="K124" s="8">
        <f>IF(A124="","",SUMIFS(Elements_hybrides!$Q:$Q,Elements_hybrides!$D:$D,$A124))</f>
        <v/>
      </c>
      <c r="L124" s="8">
        <f>IF(OR(K124="",J124=""),"",K124*J124*60)</f>
        <v/>
      </c>
      <c r="M124" s="4">
        <f>IF(A124="","",IF(OR(I124="",L124=""),"",IF(I124&gt;=L124,"OK","CHECK")))</f>
        <v/>
      </c>
    </row>
    <row r="125">
      <c r="A125" s="4" t="n"/>
      <c r="B125" s="4" t="n"/>
      <c r="C125" s="7" t="n"/>
      <c r="D125" s="7" t="n"/>
      <c r="E125" s="8">
        <f>IF(OR(C125="",D125=""),"",MAX(0,C125-D125))</f>
        <v/>
      </c>
      <c r="F125" s="7" t="n"/>
      <c r="G125" s="7" t="n"/>
      <c r="H125" s="7" t="n"/>
      <c r="I125" s="8">
        <f>IF(A125="","",IF(UPPER(TRIM(F125))="CIRC",PI()*(G125/2)^2*E125,IF(UPPER(TRIM(F125))="RECT",G125*H125*E125,"")))</f>
        <v/>
      </c>
      <c r="J125" s="7" t="n"/>
      <c r="K125" s="8">
        <f>IF(A125="","",SUMIFS(Elements_hybrides!$Q:$Q,Elements_hybrides!$D:$D,$A125))</f>
        <v/>
      </c>
      <c r="L125" s="8">
        <f>IF(OR(K125="",J125=""),"",K125*J125*60)</f>
        <v/>
      </c>
      <c r="M125" s="4">
        <f>IF(A125="","",IF(OR(I125="",L125=""),"",IF(I125&gt;=L125,"OK","CHECK")))</f>
        <v/>
      </c>
    </row>
    <row r="126">
      <c r="A126" s="4" t="n"/>
      <c r="B126" s="4" t="n"/>
      <c r="C126" s="7" t="n"/>
      <c r="D126" s="7" t="n"/>
      <c r="E126" s="8">
        <f>IF(OR(C126="",D126=""),"",MAX(0,C126-D126))</f>
        <v/>
      </c>
      <c r="F126" s="7" t="n"/>
      <c r="G126" s="7" t="n"/>
      <c r="H126" s="7" t="n"/>
      <c r="I126" s="8">
        <f>IF(A126="","",IF(UPPER(TRIM(F126))="CIRC",PI()*(G126/2)^2*E126,IF(UPPER(TRIM(F126))="RECT",G126*H126*E126,"")))</f>
        <v/>
      </c>
      <c r="J126" s="7" t="n"/>
      <c r="K126" s="8">
        <f>IF(A126="","",SUMIFS(Elements_hybrides!$Q:$Q,Elements_hybrides!$D:$D,$A126))</f>
        <v/>
      </c>
      <c r="L126" s="8">
        <f>IF(OR(K126="",J126=""),"",K126*J126*60)</f>
        <v/>
      </c>
      <c r="M126" s="4">
        <f>IF(A126="","",IF(OR(I126="",L126=""),"",IF(I126&gt;=L126,"OK","CHECK")))</f>
        <v/>
      </c>
    </row>
    <row r="127">
      <c r="A127" s="4" t="n"/>
      <c r="B127" s="4" t="n"/>
      <c r="C127" s="7" t="n"/>
      <c r="D127" s="7" t="n"/>
      <c r="E127" s="8">
        <f>IF(OR(C127="",D127=""),"",MAX(0,C127-D127))</f>
        <v/>
      </c>
      <c r="F127" s="7" t="n"/>
      <c r="G127" s="7" t="n"/>
      <c r="H127" s="7" t="n"/>
      <c r="I127" s="8">
        <f>IF(A127="","",IF(UPPER(TRIM(F127))="CIRC",PI()*(G127/2)^2*E127,IF(UPPER(TRIM(F127))="RECT",G127*H127*E127,"")))</f>
        <v/>
      </c>
      <c r="J127" s="7" t="n"/>
      <c r="K127" s="8">
        <f>IF(A127="","",SUMIFS(Elements_hybrides!$Q:$Q,Elements_hybrides!$D:$D,$A127))</f>
        <v/>
      </c>
      <c r="L127" s="8">
        <f>IF(OR(K127="",J127=""),"",K127*J127*60)</f>
        <v/>
      </c>
      <c r="M127" s="4">
        <f>IF(A127="","",IF(OR(I127="",L127=""),"",IF(I127&gt;=L127,"OK","CHECK")))</f>
        <v/>
      </c>
    </row>
    <row r="128">
      <c r="A128" s="4" t="n"/>
      <c r="B128" s="4" t="n"/>
      <c r="C128" s="7" t="n"/>
      <c r="D128" s="7" t="n"/>
      <c r="E128" s="8">
        <f>IF(OR(C128="",D128=""),"",MAX(0,C128-D128))</f>
        <v/>
      </c>
      <c r="F128" s="7" t="n"/>
      <c r="G128" s="7" t="n"/>
      <c r="H128" s="7" t="n"/>
      <c r="I128" s="8">
        <f>IF(A128="","",IF(UPPER(TRIM(F128))="CIRC",PI()*(G128/2)^2*E128,IF(UPPER(TRIM(F128))="RECT",G128*H128*E128,"")))</f>
        <v/>
      </c>
      <c r="J128" s="7" t="n"/>
      <c r="K128" s="8">
        <f>IF(A128="","",SUMIFS(Elements_hybrides!$Q:$Q,Elements_hybrides!$D:$D,$A128))</f>
        <v/>
      </c>
      <c r="L128" s="8">
        <f>IF(OR(K128="",J128=""),"",K128*J128*60)</f>
        <v/>
      </c>
      <c r="M128" s="4">
        <f>IF(A128="","",IF(OR(I128="",L128=""),"",IF(I128&gt;=L128,"OK","CHECK")))</f>
        <v/>
      </c>
    </row>
    <row r="129">
      <c r="A129" s="4" t="n"/>
      <c r="B129" s="4" t="n"/>
      <c r="C129" s="7" t="n"/>
      <c r="D129" s="7" t="n"/>
      <c r="E129" s="8">
        <f>IF(OR(C129="",D129=""),"",MAX(0,C129-D129))</f>
        <v/>
      </c>
      <c r="F129" s="7" t="n"/>
      <c r="G129" s="7" t="n"/>
      <c r="H129" s="7" t="n"/>
      <c r="I129" s="8">
        <f>IF(A129="","",IF(UPPER(TRIM(F129))="CIRC",PI()*(G129/2)^2*E129,IF(UPPER(TRIM(F129))="RECT",G129*H129*E129,"")))</f>
        <v/>
      </c>
      <c r="J129" s="7" t="n"/>
      <c r="K129" s="8">
        <f>IF(A129="","",SUMIFS(Elements_hybrides!$Q:$Q,Elements_hybrides!$D:$D,$A129))</f>
        <v/>
      </c>
      <c r="L129" s="8">
        <f>IF(OR(K129="",J129=""),"",K129*J129*60)</f>
        <v/>
      </c>
      <c r="M129" s="4">
        <f>IF(A129="","",IF(OR(I129="",L129=""),"",IF(I129&gt;=L129,"OK","CHECK")))</f>
        <v/>
      </c>
    </row>
    <row r="130">
      <c r="A130" s="4" t="n"/>
      <c r="B130" s="4" t="n"/>
      <c r="C130" s="7" t="n"/>
      <c r="D130" s="7" t="n"/>
      <c r="E130" s="8">
        <f>IF(OR(C130="",D130=""),"",MAX(0,C130-D130))</f>
        <v/>
      </c>
      <c r="F130" s="7" t="n"/>
      <c r="G130" s="7" t="n"/>
      <c r="H130" s="7" t="n"/>
      <c r="I130" s="8">
        <f>IF(A130="","",IF(UPPER(TRIM(F130))="CIRC",PI()*(G130/2)^2*E130,IF(UPPER(TRIM(F130))="RECT",G130*H130*E130,"")))</f>
        <v/>
      </c>
      <c r="J130" s="7" t="n"/>
      <c r="K130" s="8">
        <f>IF(A130="","",SUMIFS(Elements_hybrides!$Q:$Q,Elements_hybrides!$D:$D,$A130))</f>
        <v/>
      </c>
      <c r="L130" s="8">
        <f>IF(OR(K130="",J130=""),"",K130*J130*60)</f>
        <v/>
      </c>
      <c r="M130" s="4">
        <f>IF(A130="","",IF(OR(I130="",L130=""),"",IF(I130&gt;=L130,"OK","CHECK")))</f>
        <v/>
      </c>
    </row>
    <row r="131">
      <c r="A131" s="4" t="n"/>
      <c r="B131" s="4" t="n"/>
      <c r="C131" s="7" t="n"/>
      <c r="D131" s="7" t="n"/>
      <c r="E131" s="8">
        <f>IF(OR(C131="",D131=""),"",MAX(0,C131-D131))</f>
        <v/>
      </c>
      <c r="F131" s="7" t="n"/>
      <c r="G131" s="7" t="n"/>
      <c r="H131" s="7" t="n"/>
      <c r="I131" s="8">
        <f>IF(A131="","",IF(UPPER(TRIM(F131))="CIRC",PI()*(G131/2)^2*E131,IF(UPPER(TRIM(F131))="RECT",G131*H131*E131,"")))</f>
        <v/>
      </c>
      <c r="J131" s="7" t="n"/>
      <c r="K131" s="8">
        <f>IF(A131="","",SUMIFS(Elements_hybrides!$Q:$Q,Elements_hybrides!$D:$D,$A131))</f>
        <v/>
      </c>
      <c r="L131" s="8">
        <f>IF(OR(K131="",J131=""),"",K131*J131*60)</f>
        <v/>
      </c>
      <c r="M131" s="4">
        <f>IF(A131="","",IF(OR(I131="",L131=""),"",IF(I131&gt;=L131,"OK","CHECK")))</f>
        <v/>
      </c>
    </row>
    <row r="132">
      <c r="A132" s="4" t="n"/>
      <c r="B132" s="4" t="n"/>
      <c r="C132" s="7" t="n"/>
      <c r="D132" s="7" t="n"/>
      <c r="E132" s="8">
        <f>IF(OR(C132="",D132=""),"",MAX(0,C132-D132))</f>
        <v/>
      </c>
      <c r="F132" s="7" t="n"/>
      <c r="G132" s="7" t="n"/>
      <c r="H132" s="7" t="n"/>
      <c r="I132" s="8">
        <f>IF(A132="","",IF(UPPER(TRIM(F132))="CIRC",PI()*(G132/2)^2*E132,IF(UPPER(TRIM(F132))="RECT",G132*H132*E132,"")))</f>
        <v/>
      </c>
      <c r="J132" s="7" t="n"/>
      <c r="K132" s="8">
        <f>IF(A132="","",SUMIFS(Elements_hybrides!$Q:$Q,Elements_hybrides!$D:$D,$A132))</f>
        <v/>
      </c>
      <c r="L132" s="8">
        <f>IF(OR(K132="",J132=""),"",K132*J132*60)</f>
        <v/>
      </c>
      <c r="M132" s="4">
        <f>IF(A132="","",IF(OR(I132="",L132=""),"",IF(I132&gt;=L132,"OK","CHECK")))</f>
        <v/>
      </c>
    </row>
    <row r="133">
      <c r="A133" s="4" t="n"/>
      <c r="B133" s="4" t="n"/>
      <c r="C133" s="7" t="n"/>
      <c r="D133" s="7" t="n"/>
      <c r="E133" s="8">
        <f>IF(OR(C133="",D133=""),"",MAX(0,C133-D133))</f>
        <v/>
      </c>
      <c r="F133" s="7" t="n"/>
      <c r="G133" s="7" t="n"/>
      <c r="H133" s="7" t="n"/>
      <c r="I133" s="8">
        <f>IF(A133="","",IF(UPPER(TRIM(F133))="CIRC",PI()*(G133/2)^2*E133,IF(UPPER(TRIM(F133))="RECT",G133*H133*E133,"")))</f>
        <v/>
      </c>
      <c r="J133" s="7" t="n"/>
      <c r="K133" s="8">
        <f>IF(A133="","",SUMIFS(Elements_hybrides!$Q:$Q,Elements_hybrides!$D:$D,$A133))</f>
        <v/>
      </c>
      <c r="L133" s="8">
        <f>IF(OR(K133="",J133=""),"",K133*J133*60)</f>
        <v/>
      </c>
      <c r="M133" s="4">
        <f>IF(A133="","",IF(OR(I133="",L133=""),"",IF(I133&gt;=L133,"OK","CHECK")))</f>
        <v/>
      </c>
    </row>
    <row r="134">
      <c r="A134" s="4" t="n"/>
      <c r="B134" s="4" t="n"/>
      <c r="C134" s="7" t="n"/>
      <c r="D134" s="7" t="n"/>
      <c r="E134" s="8">
        <f>IF(OR(C134="",D134=""),"",MAX(0,C134-D134))</f>
        <v/>
      </c>
      <c r="F134" s="7" t="n"/>
      <c r="G134" s="7" t="n"/>
      <c r="H134" s="7" t="n"/>
      <c r="I134" s="8">
        <f>IF(A134="","",IF(UPPER(TRIM(F134))="CIRC",PI()*(G134/2)^2*E134,IF(UPPER(TRIM(F134))="RECT",G134*H134*E134,"")))</f>
        <v/>
      </c>
      <c r="J134" s="7" t="n"/>
      <c r="K134" s="8">
        <f>IF(A134="","",SUMIFS(Elements_hybrides!$Q:$Q,Elements_hybrides!$D:$D,$A134))</f>
        <v/>
      </c>
      <c r="L134" s="8">
        <f>IF(OR(K134="",J134=""),"",K134*J134*60)</f>
        <v/>
      </c>
      <c r="M134" s="4">
        <f>IF(A134="","",IF(OR(I134="",L134=""),"",IF(I134&gt;=L134,"OK","CHECK")))</f>
        <v/>
      </c>
    </row>
    <row r="135">
      <c r="A135" s="4" t="n"/>
      <c r="B135" s="4" t="n"/>
      <c r="C135" s="7" t="n"/>
      <c r="D135" s="7" t="n"/>
      <c r="E135" s="8">
        <f>IF(OR(C135="",D135=""),"",MAX(0,C135-D135))</f>
        <v/>
      </c>
      <c r="F135" s="7" t="n"/>
      <c r="G135" s="7" t="n"/>
      <c r="H135" s="7" t="n"/>
      <c r="I135" s="8">
        <f>IF(A135="","",IF(UPPER(TRIM(F135))="CIRC",PI()*(G135/2)^2*E135,IF(UPPER(TRIM(F135))="RECT",G135*H135*E135,"")))</f>
        <v/>
      </c>
      <c r="J135" s="7" t="n"/>
      <c r="K135" s="8">
        <f>IF(A135="","",SUMIFS(Elements_hybrides!$Q:$Q,Elements_hybrides!$D:$D,$A135))</f>
        <v/>
      </c>
      <c r="L135" s="8">
        <f>IF(OR(K135="",J135=""),"",K135*J135*60)</f>
        <v/>
      </c>
      <c r="M135" s="4">
        <f>IF(A135="","",IF(OR(I135="",L135=""),"",IF(I135&gt;=L135,"OK","CHECK")))</f>
        <v/>
      </c>
    </row>
    <row r="136">
      <c r="A136" s="4" t="n"/>
      <c r="B136" s="4" t="n"/>
      <c r="C136" s="7" t="n"/>
      <c r="D136" s="7" t="n"/>
      <c r="E136" s="8">
        <f>IF(OR(C136="",D136=""),"",MAX(0,C136-D136))</f>
        <v/>
      </c>
      <c r="F136" s="7" t="n"/>
      <c r="G136" s="7" t="n"/>
      <c r="H136" s="7" t="n"/>
      <c r="I136" s="8">
        <f>IF(A136="","",IF(UPPER(TRIM(F136))="CIRC",PI()*(G136/2)^2*E136,IF(UPPER(TRIM(F136))="RECT",G136*H136*E136,"")))</f>
        <v/>
      </c>
      <c r="J136" s="7" t="n"/>
      <c r="K136" s="8">
        <f>IF(A136="","",SUMIFS(Elements_hybrides!$Q:$Q,Elements_hybrides!$D:$D,$A136))</f>
        <v/>
      </c>
      <c r="L136" s="8">
        <f>IF(OR(K136="",J136=""),"",K136*J136*60)</f>
        <v/>
      </c>
      <c r="M136" s="4">
        <f>IF(A136="","",IF(OR(I136="",L136=""),"",IF(I136&gt;=L136,"OK","CHECK")))</f>
        <v/>
      </c>
    </row>
    <row r="137">
      <c r="A137" s="4" t="n"/>
      <c r="B137" s="4" t="n"/>
      <c r="C137" s="7" t="n"/>
      <c r="D137" s="7" t="n"/>
      <c r="E137" s="8">
        <f>IF(OR(C137="",D137=""),"",MAX(0,C137-D137))</f>
        <v/>
      </c>
      <c r="F137" s="7" t="n"/>
      <c r="G137" s="7" t="n"/>
      <c r="H137" s="7" t="n"/>
      <c r="I137" s="8">
        <f>IF(A137="","",IF(UPPER(TRIM(F137))="CIRC",PI()*(G137/2)^2*E137,IF(UPPER(TRIM(F137))="RECT",G137*H137*E137,"")))</f>
        <v/>
      </c>
      <c r="J137" s="7" t="n"/>
      <c r="K137" s="8">
        <f>IF(A137="","",SUMIFS(Elements_hybrides!$Q:$Q,Elements_hybrides!$D:$D,$A137))</f>
        <v/>
      </c>
      <c r="L137" s="8">
        <f>IF(OR(K137="",J137=""),"",K137*J137*60)</f>
        <v/>
      </c>
      <c r="M137" s="4">
        <f>IF(A137="","",IF(OR(I137="",L137=""),"",IF(I137&gt;=L137,"OK","CHECK")))</f>
        <v/>
      </c>
    </row>
    <row r="138">
      <c r="A138" s="4" t="n"/>
      <c r="B138" s="4" t="n"/>
      <c r="C138" s="7" t="n"/>
      <c r="D138" s="7" t="n"/>
      <c r="E138" s="8">
        <f>IF(OR(C138="",D138=""),"",MAX(0,C138-D138))</f>
        <v/>
      </c>
      <c r="F138" s="7" t="n"/>
      <c r="G138" s="7" t="n"/>
      <c r="H138" s="7" t="n"/>
      <c r="I138" s="8">
        <f>IF(A138="","",IF(UPPER(TRIM(F138))="CIRC",PI()*(G138/2)^2*E138,IF(UPPER(TRIM(F138))="RECT",G138*H138*E138,"")))</f>
        <v/>
      </c>
      <c r="J138" s="7" t="n"/>
      <c r="K138" s="8">
        <f>IF(A138="","",SUMIFS(Elements_hybrides!$Q:$Q,Elements_hybrides!$D:$D,$A138))</f>
        <v/>
      </c>
      <c r="L138" s="8">
        <f>IF(OR(K138="",J138=""),"",K138*J138*60)</f>
        <v/>
      </c>
      <c r="M138" s="4">
        <f>IF(A138="","",IF(OR(I138="",L138=""),"",IF(I138&gt;=L138,"OK","CHECK")))</f>
        <v/>
      </c>
    </row>
    <row r="139">
      <c r="A139" s="4" t="n"/>
      <c r="B139" s="4" t="n"/>
      <c r="C139" s="7" t="n"/>
      <c r="D139" s="7" t="n"/>
      <c r="E139" s="8">
        <f>IF(OR(C139="",D139=""),"",MAX(0,C139-D139))</f>
        <v/>
      </c>
      <c r="F139" s="7" t="n"/>
      <c r="G139" s="7" t="n"/>
      <c r="H139" s="7" t="n"/>
      <c r="I139" s="8">
        <f>IF(A139="","",IF(UPPER(TRIM(F139))="CIRC",PI()*(G139/2)^2*E139,IF(UPPER(TRIM(F139))="RECT",G139*H139*E139,"")))</f>
        <v/>
      </c>
      <c r="J139" s="7" t="n"/>
      <c r="K139" s="8">
        <f>IF(A139="","",SUMIFS(Elements_hybrides!$Q:$Q,Elements_hybrides!$D:$D,$A139))</f>
        <v/>
      </c>
      <c r="L139" s="8">
        <f>IF(OR(K139="",J139=""),"",K139*J139*60)</f>
        <v/>
      </c>
      <c r="M139" s="4">
        <f>IF(A139="","",IF(OR(I139="",L139=""),"",IF(I139&gt;=L139,"OK","CHECK")))</f>
        <v/>
      </c>
    </row>
    <row r="140">
      <c r="A140" s="4" t="n"/>
      <c r="B140" s="4" t="n"/>
      <c r="C140" s="7" t="n"/>
      <c r="D140" s="7" t="n"/>
      <c r="E140" s="8">
        <f>IF(OR(C140="",D140=""),"",MAX(0,C140-D140))</f>
        <v/>
      </c>
      <c r="F140" s="7" t="n"/>
      <c r="G140" s="7" t="n"/>
      <c r="H140" s="7" t="n"/>
      <c r="I140" s="8">
        <f>IF(A140="","",IF(UPPER(TRIM(F140))="CIRC",PI()*(G140/2)^2*E140,IF(UPPER(TRIM(F140))="RECT",G140*H140*E140,"")))</f>
        <v/>
      </c>
      <c r="J140" s="7" t="n"/>
      <c r="K140" s="8">
        <f>IF(A140="","",SUMIFS(Elements_hybrides!$Q:$Q,Elements_hybrides!$D:$D,$A140))</f>
        <v/>
      </c>
      <c r="L140" s="8">
        <f>IF(OR(K140="",J140=""),"",K140*J140*60)</f>
        <v/>
      </c>
      <c r="M140" s="4">
        <f>IF(A140="","",IF(OR(I140="",L140=""),"",IF(I140&gt;=L140,"OK","CHECK")))</f>
        <v/>
      </c>
    </row>
    <row r="141">
      <c r="A141" s="4" t="n"/>
      <c r="B141" s="4" t="n"/>
      <c r="C141" s="7" t="n"/>
      <c r="D141" s="7" t="n"/>
      <c r="E141" s="8">
        <f>IF(OR(C141="",D141=""),"",MAX(0,C141-D141))</f>
        <v/>
      </c>
      <c r="F141" s="7" t="n"/>
      <c r="G141" s="7" t="n"/>
      <c r="H141" s="7" t="n"/>
      <c r="I141" s="8">
        <f>IF(A141="","",IF(UPPER(TRIM(F141))="CIRC",PI()*(G141/2)^2*E141,IF(UPPER(TRIM(F141))="RECT",G141*H141*E141,"")))</f>
        <v/>
      </c>
      <c r="J141" s="7" t="n"/>
      <c r="K141" s="8">
        <f>IF(A141="","",SUMIFS(Elements_hybrides!$Q:$Q,Elements_hybrides!$D:$D,$A141))</f>
        <v/>
      </c>
      <c r="L141" s="8">
        <f>IF(OR(K141="",J141=""),"",K141*J141*60)</f>
        <v/>
      </c>
      <c r="M141" s="4">
        <f>IF(A141="","",IF(OR(I141="",L141=""),"",IF(I141&gt;=L141,"OK","CHECK")))</f>
        <v/>
      </c>
    </row>
    <row r="142">
      <c r="A142" s="4" t="n"/>
      <c r="B142" s="4" t="n"/>
      <c r="C142" s="7" t="n"/>
      <c r="D142" s="7" t="n"/>
      <c r="E142" s="8">
        <f>IF(OR(C142="",D142=""),"",MAX(0,C142-D142))</f>
        <v/>
      </c>
      <c r="F142" s="7" t="n"/>
      <c r="G142" s="7" t="n"/>
      <c r="H142" s="7" t="n"/>
      <c r="I142" s="8">
        <f>IF(A142="","",IF(UPPER(TRIM(F142))="CIRC",PI()*(G142/2)^2*E142,IF(UPPER(TRIM(F142))="RECT",G142*H142*E142,"")))</f>
        <v/>
      </c>
      <c r="J142" s="7" t="n"/>
      <c r="K142" s="8">
        <f>IF(A142="","",SUMIFS(Elements_hybrides!$Q:$Q,Elements_hybrides!$D:$D,$A142))</f>
        <v/>
      </c>
      <c r="L142" s="8">
        <f>IF(OR(K142="",J142=""),"",K142*J142*60)</f>
        <v/>
      </c>
      <c r="M142" s="4">
        <f>IF(A142="","",IF(OR(I142="",L142=""),"",IF(I142&gt;=L142,"OK","CHECK")))</f>
        <v/>
      </c>
    </row>
    <row r="143">
      <c r="A143" s="4" t="n"/>
      <c r="B143" s="4" t="n"/>
      <c r="C143" s="7" t="n"/>
      <c r="D143" s="7" t="n"/>
      <c r="E143" s="8">
        <f>IF(OR(C143="",D143=""),"",MAX(0,C143-D143))</f>
        <v/>
      </c>
      <c r="F143" s="7" t="n"/>
      <c r="G143" s="7" t="n"/>
      <c r="H143" s="7" t="n"/>
      <c r="I143" s="8">
        <f>IF(A143="","",IF(UPPER(TRIM(F143))="CIRC",PI()*(G143/2)^2*E143,IF(UPPER(TRIM(F143))="RECT",G143*H143*E143,"")))</f>
        <v/>
      </c>
      <c r="J143" s="7" t="n"/>
      <c r="K143" s="8">
        <f>IF(A143="","",SUMIFS(Elements_hybrides!$Q:$Q,Elements_hybrides!$D:$D,$A143))</f>
        <v/>
      </c>
      <c r="L143" s="8">
        <f>IF(OR(K143="",J143=""),"",K143*J143*60)</f>
        <v/>
      </c>
      <c r="M143" s="4">
        <f>IF(A143="","",IF(OR(I143="",L143=""),"",IF(I143&gt;=L143,"OK","CHECK")))</f>
        <v/>
      </c>
    </row>
    <row r="144">
      <c r="A144" s="4" t="n"/>
      <c r="B144" s="4" t="n"/>
      <c r="C144" s="7" t="n"/>
      <c r="D144" s="7" t="n"/>
      <c r="E144" s="8">
        <f>IF(OR(C144="",D144=""),"",MAX(0,C144-D144))</f>
        <v/>
      </c>
      <c r="F144" s="7" t="n"/>
      <c r="G144" s="7" t="n"/>
      <c r="H144" s="7" t="n"/>
      <c r="I144" s="8">
        <f>IF(A144="","",IF(UPPER(TRIM(F144))="CIRC",PI()*(G144/2)^2*E144,IF(UPPER(TRIM(F144))="RECT",G144*H144*E144,"")))</f>
        <v/>
      </c>
      <c r="J144" s="7" t="n"/>
      <c r="K144" s="8">
        <f>IF(A144="","",SUMIFS(Elements_hybrides!$Q:$Q,Elements_hybrides!$D:$D,$A144))</f>
        <v/>
      </c>
      <c r="L144" s="8">
        <f>IF(OR(K144="",J144=""),"",K144*J144*60)</f>
        <v/>
      </c>
      <c r="M144" s="4">
        <f>IF(A144="","",IF(OR(I144="",L144=""),"",IF(I144&gt;=L144,"OK","CHECK")))</f>
        <v/>
      </c>
    </row>
    <row r="145">
      <c r="A145" s="4" t="n"/>
      <c r="B145" s="4" t="n"/>
      <c r="C145" s="7" t="n"/>
      <c r="D145" s="7" t="n"/>
      <c r="E145" s="8">
        <f>IF(OR(C145="",D145=""),"",MAX(0,C145-D145))</f>
        <v/>
      </c>
      <c r="F145" s="7" t="n"/>
      <c r="G145" s="7" t="n"/>
      <c r="H145" s="7" t="n"/>
      <c r="I145" s="8">
        <f>IF(A145="","",IF(UPPER(TRIM(F145))="CIRC",PI()*(G145/2)^2*E145,IF(UPPER(TRIM(F145))="RECT",G145*H145*E145,"")))</f>
        <v/>
      </c>
      <c r="J145" s="7" t="n"/>
      <c r="K145" s="8">
        <f>IF(A145="","",SUMIFS(Elements_hybrides!$Q:$Q,Elements_hybrides!$D:$D,$A145))</f>
        <v/>
      </c>
      <c r="L145" s="8">
        <f>IF(OR(K145="",J145=""),"",K145*J145*60)</f>
        <v/>
      </c>
      <c r="M145" s="4">
        <f>IF(A145="","",IF(OR(I145="",L145=""),"",IF(I145&gt;=L145,"OK","CHECK")))</f>
        <v/>
      </c>
    </row>
    <row r="146">
      <c r="A146" s="4" t="n"/>
      <c r="B146" s="4" t="n"/>
      <c r="C146" s="7" t="n"/>
      <c r="D146" s="7" t="n"/>
      <c r="E146" s="8">
        <f>IF(OR(C146="",D146=""),"",MAX(0,C146-D146))</f>
        <v/>
      </c>
      <c r="F146" s="7" t="n"/>
      <c r="G146" s="7" t="n"/>
      <c r="H146" s="7" t="n"/>
      <c r="I146" s="8">
        <f>IF(A146="","",IF(UPPER(TRIM(F146))="CIRC",PI()*(G146/2)^2*E146,IF(UPPER(TRIM(F146))="RECT",G146*H146*E146,"")))</f>
        <v/>
      </c>
      <c r="J146" s="7" t="n"/>
      <c r="K146" s="8">
        <f>IF(A146="","",SUMIFS(Elements_hybrides!$Q:$Q,Elements_hybrides!$D:$D,$A146))</f>
        <v/>
      </c>
      <c r="L146" s="8">
        <f>IF(OR(K146="",J146=""),"",K146*J146*60)</f>
        <v/>
      </c>
      <c r="M146" s="4">
        <f>IF(A146="","",IF(OR(I146="",L146=""),"",IF(I146&gt;=L146,"OK","CHECK")))</f>
        <v/>
      </c>
    </row>
    <row r="147">
      <c r="A147" s="4" t="n"/>
      <c r="B147" s="4" t="n"/>
      <c r="C147" s="7" t="n"/>
      <c r="D147" s="7" t="n"/>
      <c r="E147" s="8">
        <f>IF(OR(C147="",D147=""),"",MAX(0,C147-D147))</f>
        <v/>
      </c>
      <c r="F147" s="7" t="n"/>
      <c r="G147" s="7" t="n"/>
      <c r="H147" s="7" t="n"/>
      <c r="I147" s="8">
        <f>IF(A147="","",IF(UPPER(TRIM(F147))="CIRC",PI()*(G147/2)^2*E147,IF(UPPER(TRIM(F147))="RECT",G147*H147*E147,"")))</f>
        <v/>
      </c>
      <c r="J147" s="7" t="n"/>
      <c r="K147" s="8">
        <f>IF(A147="","",SUMIFS(Elements_hybrides!$Q:$Q,Elements_hybrides!$D:$D,$A147))</f>
        <v/>
      </c>
      <c r="L147" s="8">
        <f>IF(OR(K147="",J147=""),"",K147*J147*60)</f>
        <v/>
      </c>
      <c r="M147" s="4">
        <f>IF(A147="","",IF(OR(I147="",L147=""),"",IF(I147&gt;=L147,"OK","CHECK")))</f>
        <v/>
      </c>
    </row>
    <row r="148">
      <c r="A148" s="4" t="n"/>
      <c r="B148" s="4" t="n"/>
      <c r="C148" s="7" t="n"/>
      <c r="D148" s="7" t="n"/>
      <c r="E148" s="8">
        <f>IF(OR(C148="",D148=""),"",MAX(0,C148-D148))</f>
        <v/>
      </c>
      <c r="F148" s="7" t="n"/>
      <c r="G148" s="7" t="n"/>
      <c r="H148" s="7" t="n"/>
      <c r="I148" s="8">
        <f>IF(A148="","",IF(UPPER(TRIM(F148))="CIRC",PI()*(G148/2)^2*E148,IF(UPPER(TRIM(F148))="RECT",G148*H148*E148,"")))</f>
        <v/>
      </c>
      <c r="J148" s="7" t="n"/>
      <c r="K148" s="8">
        <f>IF(A148="","",SUMIFS(Elements_hybrides!$Q:$Q,Elements_hybrides!$D:$D,$A148))</f>
        <v/>
      </c>
      <c r="L148" s="8">
        <f>IF(OR(K148="",J148=""),"",K148*J148*60)</f>
        <v/>
      </c>
      <c r="M148" s="4">
        <f>IF(A148="","",IF(OR(I148="",L148=""),"",IF(I148&gt;=L148,"OK","CHECK")))</f>
        <v/>
      </c>
    </row>
    <row r="149">
      <c r="A149" s="4" t="n"/>
      <c r="B149" s="4" t="n"/>
      <c r="C149" s="7" t="n"/>
      <c r="D149" s="7" t="n"/>
      <c r="E149" s="8">
        <f>IF(OR(C149="",D149=""),"",MAX(0,C149-D149))</f>
        <v/>
      </c>
      <c r="F149" s="7" t="n"/>
      <c r="G149" s="7" t="n"/>
      <c r="H149" s="7" t="n"/>
      <c r="I149" s="8">
        <f>IF(A149="","",IF(UPPER(TRIM(F149))="CIRC",PI()*(G149/2)^2*E149,IF(UPPER(TRIM(F149))="RECT",G149*H149*E149,"")))</f>
        <v/>
      </c>
      <c r="J149" s="7" t="n"/>
      <c r="K149" s="8">
        <f>IF(A149="","",SUMIFS(Elements_hybrides!$Q:$Q,Elements_hybrides!$D:$D,$A149))</f>
        <v/>
      </c>
      <c r="L149" s="8">
        <f>IF(OR(K149="",J149=""),"",K149*J149*60)</f>
        <v/>
      </c>
      <c r="M149" s="4">
        <f>IF(A149="","",IF(OR(I149="",L149=""),"",IF(I149&gt;=L149,"OK","CHECK")))</f>
        <v/>
      </c>
    </row>
    <row r="150">
      <c r="A150" s="4" t="n"/>
      <c r="B150" s="4" t="n"/>
      <c r="C150" s="7" t="n"/>
      <c r="D150" s="7" t="n"/>
      <c r="E150" s="8">
        <f>IF(OR(C150="",D150=""),"",MAX(0,C150-D150))</f>
        <v/>
      </c>
      <c r="F150" s="7" t="n"/>
      <c r="G150" s="7" t="n"/>
      <c r="H150" s="7" t="n"/>
      <c r="I150" s="8">
        <f>IF(A150="","",IF(UPPER(TRIM(F150))="CIRC",PI()*(G150/2)^2*E150,IF(UPPER(TRIM(F150))="RECT",G150*H150*E150,"")))</f>
        <v/>
      </c>
      <c r="J150" s="7" t="n"/>
      <c r="K150" s="8">
        <f>IF(A150="","",SUMIFS(Elements_hybrides!$Q:$Q,Elements_hybrides!$D:$D,$A150))</f>
        <v/>
      </c>
      <c r="L150" s="8">
        <f>IF(OR(K150="",J150=""),"",K150*J150*60)</f>
        <v/>
      </c>
      <c r="M150" s="4">
        <f>IF(A150="","",IF(OR(I150="",L150=""),"",IF(I150&gt;=L150,"OK","CHECK")))</f>
        <v/>
      </c>
    </row>
    <row r="151">
      <c r="A151" s="4" t="n"/>
      <c r="B151" s="4" t="n"/>
      <c r="C151" s="7" t="n"/>
      <c r="D151" s="7" t="n"/>
      <c r="E151" s="8">
        <f>IF(OR(C151="",D151=""),"",MAX(0,C151-D151))</f>
        <v/>
      </c>
      <c r="F151" s="7" t="n"/>
      <c r="G151" s="7" t="n"/>
      <c r="H151" s="7" t="n"/>
      <c r="I151" s="8">
        <f>IF(A151="","",IF(UPPER(TRIM(F151))="CIRC",PI()*(G151/2)^2*E151,IF(UPPER(TRIM(F151))="RECT",G151*H151*E151,"")))</f>
        <v/>
      </c>
      <c r="J151" s="7" t="n"/>
      <c r="K151" s="8">
        <f>IF(A151="","",SUMIFS(Elements_hybrides!$Q:$Q,Elements_hybrides!$D:$D,$A151))</f>
        <v/>
      </c>
      <c r="L151" s="8">
        <f>IF(OR(K151="",J151=""),"",K151*J151*60)</f>
        <v/>
      </c>
      <c r="M151" s="4">
        <f>IF(A151="","",IF(OR(I151="",L151=""),"",IF(I151&gt;=L151,"OK","CHECK")))</f>
        <v/>
      </c>
    </row>
    <row r="152">
      <c r="A152" s="4" t="n"/>
      <c r="B152" s="4" t="n"/>
      <c r="C152" s="7" t="n"/>
      <c r="D152" s="7" t="n"/>
      <c r="E152" s="8">
        <f>IF(OR(C152="",D152=""),"",MAX(0,C152-D152))</f>
        <v/>
      </c>
      <c r="F152" s="7" t="n"/>
      <c r="G152" s="7" t="n"/>
      <c r="H152" s="7" t="n"/>
      <c r="I152" s="8">
        <f>IF(A152="","",IF(UPPER(TRIM(F152))="CIRC",PI()*(G152/2)^2*E152,IF(UPPER(TRIM(F152))="RECT",G152*H152*E152,"")))</f>
        <v/>
      </c>
      <c r="J152" s="7" t="n"/>
      <c r="K152" s="8">
        <f>IF(A152="","",SUMIFS(Elements_hybrides!$Q:$Q,Elements_hybrides!$D:$D,$A152))</f>
        <v/>
      </c>
      <c r="L152" s="8">
        <f>IF(OR(K152="",J152=""),"",K152*J152*60)</f>
        <v/>
      </c>
      <c r="M152" s="4">
        <f>IF(A152="","",IF(OR(I152="",L152=""),"",IF(I152&gt;=L152,"OK","CHECK")))</f>
        <v/>
      </c>
    </row>
    <row r="153">
      <c r="A153" s="4" t="n"/>
      <c r="B153" s="4" t="n"/>
      <c r="C153" s="7" t="n"/>
      <c r="D153" s="7" t="n"/>
      <c r="E153" s="8">
        <f>IF(OR(C153="",D153=""),"",MAX(0,C153-D153))</f>
        <v/>
      </c>
      <c r="F153" s="7" t="n"/>
      <c r="G153" s="7" t="n"/>
      <c r="H153" s="7" t="n"/>
      <c r="I153" s="8">
        <f>IF(A153="","",IF(UPPER(TRIM(F153))="CIRC",PI()*(G153/2)^2*E153,IF(UPPER(TRIM(F153))="RECT",G153*H153*E153,"")))</f>
        <v/>
      </c>
      <c r="J153" s="7" t="n"/>
      <c r="K153" s="8">
        <f>IF(A153="","",SUMIFS(Elements_hybrides!$Q:$Q,Elements_hybrides!$D:$D,$A153))</f>
        <v/>
      </c>
      <c r="L153" s="8">
        <f>IF(OR(K153="",J153=""),"",K153*J153*60)</f>
        <v/>
      </c>
      <c r="M153" s="4">
        <f>IF(A153="","",IF(OR(I153="",L153=""),"",IF(I153&gt;=L153,"OK","CHECK")))</f>
        <v/>
      </c>
    </row>
    <row r="154">
      <c r="A154" s="4" t="n"/>
      <c r="B154" s="4" t="n"/>
      <c r="C154" s="7" t="n"/>
      <c r="D154" s="7" t="n"/>
      <c r="E154" s="8">
        <f>IF(OR(C154="",D154=""),"",MAX(0,C154-D154))</f>
        <v/>
      </c>
      <c r="F154" s="7" t="n"/>
      <c r="G154" s="7" t="n"/>
      <c r="H154" s="7" t="n"/>
      <c r="I154" s="8">
        <f>IF(A154="","",IF(UPPER(TRIM(F154))="CIRC",PI()*(G154/2)^2*E154,IF(UPPER(TRIM(F154))="RECT",G154*H154*E154,"")))</f>
        <v/>
      </c>
      <c r="J154" s="7" t="n"/>
      <c r="K154" s="8">
        <f>IF(A154="","",SUMIFS(Elements_hybrides!$Q:$Q,Elements_hybrides!$D:$D,$A154))</f>
        <v/>
      </c>
      <c r="L154" s="8">
        <f>IF(OR(K154="",J154=""),"",K154*J154*60)</f>
        <v/>
      </c>
      <c r="M154" s="4">
        <f>IF(A154="","",IF(OR(I154="",L154=""),"",IF(I154&gt;=L154,"OK","CHECK")))</f>
        <v/>
      </c>
    </row>
    <row r="155">
      <c r="A155" s="4" t="n"/>
      <c r="B155" s="4" t="n"/>
      <c r="C155" s="7" t="n"/>
      <c r="D155" s="7" t="n"/>
      <c r="E155" s="8">
        <f>IF(OR(C155="",D155=""),"",MAX(0,C155-D155))</f>
        <v/>
      </c>
      <c r="F155" s="7" t="n"/>
      <c r="G155" s="7" t="n"/>
      <c r="H155" s="7" t="n"/>
      <c r="I155" s="8">
        <f>IF(A155="","",IF(UPPER(TRIM(F155))="CIRC",PI()*(G155/2)^2*E155,IF(UPPER(TRIM(F155))="RECT",G155*H155*E155,"")))</f>
        <v/>
      </c>
      <c r="J155" s="7" t="n"/>
      <c r="K155" s="8">
        <f>IF(A155="","",SUMIFS(Elements_hybrides!$Q:$Q,Elements_hybrides!$D:$D,$A155))</f>
        <v/>
      </c>
      <c r="L155" s="8">
        <f>IF(OR(K155="",J155=""),"",K155*J155*60)</f>
        <v/>
      </c>
      <c r="M155" s="4">
        <f>IF(A155="","",IF(OR(I155="",L155=""),"",IF(I155&gt;=L155,"OK","CHECK")))</f>
        <v/>
      </c>
    </row>
    <row r="156">
      <c r="A156" s="4" t="n"/>
      <c r="B156" s="4" t="n"/>
      <c r="C156" s="7" t="n"/>
      <c r="D156" s="7" t="n"/>
      <c r="E156" s="8">
        <f>IF(OR(C156="",D156=""),"",MAX(0,C156-D156))</f>
        <v/>
      </c>
      <c r="F156" s="7" t="n"/>
      <c r="G156" s="7" t="n"/>
      <c r="H156" s="7" t="n"/>
      <c r="I156" s="8">
        <f>IF(A156="","",IF(UPPER(TRIM(F156))="CIRC",PI()*(G156/2)^2*E156,IF(UPPER(TRIM(F156))="RECT",G156*H156*E156,"")))</f>
        <v/>
      </c>
      <c r="J156" s="7" t="n"/>
      <c r="K156" s="8">
        <f>IF(A156="","",SUMIFS(Elements_hybrides!$Q:$Q,Elements_hybrides!$D:$D,$A156))</f>
        <v/>
      </c>
      <c r="L156" s="8">
        <f>IF(OR(K156="",J156=""),"",K156*J156*60)</f>
        <v/>
      </c>
      <c r="M156" s="4">
        <f>IF(A156="","",IF(OR(I156="",L156=""),"",IF(I156&gt;=L156,"OK","CHECK")))</f>
        <v/>
      </c>
    </row>
    <row r="157">
      <c r="A157" s="4" t="n"/>
      <c r="B157" s="4" t="n"/>
      <c r="C157" s="7" t="n"/>
      <c r="D157" s="7" t="n"/>
      <c r="E157" s="8">
        <f>IF(OR(C157="",D157=""),"",MAX(0,C157-D157))</f>
        <v/>
      </c>
      <c r="F157" s="7" t="n"/>
      <c r="G157" s="7" t="n"/>
      <c r="H157" s="7" t="n"/>
      <c r="I157" s="8">
        <f>IF(A157="","",IF(UPPER(TRIM(F157))="CIRC",PI()*(G157/2)^2*E157,IF(UPPER(TRIM(F157))="RECT",G157*H157*E157,"")))</f>
        <v/>
      </c>
      <c r="J157" s="7" t="n"/>
      <c r="K157" s="8">
        <f>IF(A157="","",SUMIFS(Elements_hybrides!$Q:$Q,Elements_hybrides!$D:$D,$A157))</f>
        <v/>
      </c>
      <c r="L157" s="8">
        <f>IF(OR(K157="",J157=""),"",K157*J157*60)</f>
        <v/>
      </c>
      <c r="M157" s="4">
        <f>IF(A157="","",IF(OR(I157="",L157=""),"",IF(I157&gt;=L157,"OK","CHECK")))</f>
        <v/>
      </c>
    </row>
    <row r="158">
      <c r="A158" s="4" t="n"/>
      <c r="B158" s="4" t="n"/>
      <c r="C158" s="7" t="n"/>
      <c r="D158" s="7" t="n"/>
      <c r="E158" s="8">
        <f>IF(OR(C158="",D158=""),"",MAX(0,C158-D158))</f>
        <v/>
      </c>
      <c r="F158" s="7" t="n"/>
      <c r="G158" s="7" t="n"/>
      <c r="H158" s="7" t="n"/>
      <c r="I158" s="8">
        <f>IF(A158="","",IF(UPPER(TRIM(F158))="CIRC",PI()*(G158/2)^2*E158,IF(UPPER(TRIM(F158))="RECT",G158*H158*E158,"")))</f>
        <v/>
      </c>
      <c r="J158" s="7" t="n"/>
      <c r="K158" s="8">
        <f>IF(A158="","",SUMIFS(Elements_hybrides!$Q:$Q,Elements_hybrides!$D:$D,$A158))</f>
        <v/>
      </c>
      <c r="L158" s="8">
        <f>IF(OR(K158="",J158=""),"",K158*J158*60)</f>
        <v/>
      </c>
      <c r="M158" s="4">
        <f>IF(A158="","",IF(OR(I158="",L158=""),"",IF(I158&gt;=L158,"OK","CHECK")))</f>
        <v/>
      </c>
    </row>
    <row r="159">
      <c r="A159" s="4" t="n"/>
      <c r="B159" s="4" t="n"/>
      <c r="C159" s="7" t="n"/>
      <c r="D159" s="7" t="n"/>
      <c r="E159" s="8">
        <f>IF(OR(C159="",D159=""),"",MAX(0,C159-D159))</f>
        <v/>
      </c>
      <c r="F159" s="7" t="n"/>
      <c r="G159" s="7" t="n"/>
      <c r="H159" s="7" t="n"/>
      <c r="I159" s="8">
        <f>IF(A159="","",IF(UPPER(TRIM(F159))="CIRC",PI()*(G159/2)^2*E159,IF(UPPER(TRIM(F159))="RECT",G159*H159*E159,"")))</f>
        <v/>
      </c>
      <c r="J159" s="7" t="n"/>
      <c r="K159" s="8">
        <f>IF(A159="","",SUMIFS(Elements_hybrides!$Q:$Q,Elements_hybrides!$D:$D,$A159))</f>
        <v/>
      </c>
      <c r="L159" s="8">
        <f>IF(OR(K159="",J159=""),"",K159*J159*60)</f>
        <v/>
      </c>
      <c r="M159" s="4">
        <f>IF(A159="","",IF(OR(I159="",L159=""),"",IF(I159&gt;=L159,"OK","CHECK")))</f>
        <v/>
      </c>
    </row>
    <row r="160">
      <c r="A160" s="4" t="n"/>
      <c r="B160" s="4" t="n"/>
      <c r="C160" s="7" t="n"/>
      <c r="D160" s="7" t="n"/>
      <c r="E160" s="8">
        <f>IF(OR(C160="",D160=""),"",MAX(0,C160-D160))</f>
        <v/>
      </c>
      <c r="F160" s="7" t="n"/>
      <c r="G160" s="7" t="n"/>
      <c r="H160" s="7" t="n"/>
      <c r="I160" s="8">
        <f>IF(A160="","",IF(UPPER(TRIM(F160))="CIRC",PI()*(G160/2)^2*E160,IF(UPPER(TRIM(F160))="RECT",G160*H160*E160,"")))</f>
        <v/>
      </c>
      <c r="J160" s="7" t="n"/>
      <c r="K160" s="8">
        <f>IF(A160="","",SUMIFS(Elements_hybrides!$Q:$Q,Elements_hybrides!$D:$D,$A160))</f>
        <v/>
      </c>
      <c r="L160" s="8">
        <f>IF(OR(K160="",J160=""),"",K160*J160*60)</f>
        <v/>
      </c>
      <c r="M160" s="4">
        <f>IF(A160="","",IF(OR(I160="",L160=""),"",IF(I160&gt;=L160,"OK","CHECK")))</f>
        <v/>
      </c>
    </row>
    <row r="161">
      <c r="A161" s="4" t="n"/>
      <c r="B161" s="4" t="n"/>
      <c r="C161" s="7" t="n"/>
      <c r="D161" s="7" t="n"/>
      <c r="E161" s="8">
        <f>IF(OR(C161="",D161=""),"",MAX(0,C161-D161))</f>
        <v/>
      </c>
      <c r="F161" s="7" t="n"/>
      <c r="G161" s="7" t="n"/>
      <c r="H161" s="7" t="n"/>
      <c r="I161" s="8">
        <f>IF(A161="","",IF(UPPER(TRIM(F161))="CIRC",PI()*(G161/2)^2*E161,IF(UPPER(TRIM(F161))="RECT",G161*H161*E161,"")))</f>
        <v/>
      </c>
      <c r="J161" s="7" t="n"/>
      <c r="K161" s="8">
        <f>IF(A161="","",SUMIFS(Elements_hybrides!$Q:$Q,Elements_hybrides!$D:$D,$A161))</f>
        <v/>
      </c>
      <c r="L161" s="8">
        <f>IF(OR(K161="",J161=""),"",K161*J161*60)</f>
        <v/>
      </c>
      <c r="M161" s="4">
        <f>IF(A161="","",IF(OR(I161="",L161=""),"",IF(I161&gt;=L161,"OK","CHECK")))</f>
        <v/>
      </c>
    </row>
    <row r="162">
      <c r="A162" s="4" t="n"/>
      <c r="B162" s="4" t="n"/>
      <c r="C162" s="7" t="n"/>
      <c r="D162" s="7" t="n"/>
      <c r="E162" s="8">
        <f>IF(OR(C162="",D162=""),"",MAX(0,C162-D162))</f>
        <v/>
      </c>
      <c r="F162" s="7" t="n"/>
      <c r="G162" s="7" t="n"/>
      <c r="H162" s="7" t="n"/>
      <c r="I162" s="8">
        <f>IF(A162="","",IF(UPPER(TRIM(F162))="CIRC",PI()*(G162/2)^2*E162,IF(UPPER(TRIM(F162))="RECT",G162*H162*E162,"")))</f>
        <v/>
      </c>
      <c r="J162" s="7" t="n"/>
      <c r="K162" s="8">
        <f>IF(A162="","",SUMIFS(Elements_hybrides!$Q:$Q,Elements_hybrides!$D:$D,$A162))</f>
        <v/>
      </c>
      <c r="L162" s="8">
        <f>IF(OR(K162="",J162=""),"",K162*J162*60)</f>
        <v/>
      </c>
      <c r="M162" s="4">
        <f>IF(A162="","",IF(OR(I162="",L162=""),"",IF(I162&gt;=L162,"OK","CHECK")))</f>
        <v/>
      </c>
    </row>
    <row r="163">
      <c r="A163" s="4" t="n"/>
      <c r="B163" s="4" t="n"/>
      <c r="C163" s="7" t="n"/>
      <c r="D163" s="7" t="n"/>
      <c r="E163" s="8">
        <f>IF(OR(C163="",D163=""),"",MAX(0,C163-D163))</f>
        <v/>
      </c>
      <c r="F163" s="7" t="n"/>
      <c r="G163" s="7" t="n"/>
      <c r="H163" s="7" t="n"/>
      <c r="I163" s="8">
        <f>IF(A163="","",IF(UPPER(TRIM(F163))="CIRC",PI()*(G163/2)^2*E163,IF(UPPER(TRIM(F163))="RECT",G163*H163*E163,"")))</f>
        <v/>
      </c>
      <c r="J163" s="7" t="n"/>
      <c r="K163" s="8">
        <f>IF(A163="","",SUMIFS(Elements_hybrides!$Q:$Q,Elements_hybrides!$D:$D,$A163))</f>
        <v/>
      </c>
      <c r="L163" s="8">
        <f>IF(OR(K163="",J163=""),"",K163*J163*60)</f>
        <v/>
      </c>
      <c r="M163" s="4">
        <f>IF(A163="","",IF(OR(I163="",L163=""),"",IF(I163&gt;=L163,"OK","CHECK")))</f>
        <v/>
      </c>
    </row>
    <row r="164">
      <c r="A164" s="4" t="n"/>
      <c r="B164" s="4" t="n"/>
      <c r="C164" s="7" t="n"/>
      <c r="D164" s="7" t="n"/>
      <c r="E164" s="8">
        <f>IF(OR(C164="",D164=""),"",MAX(0,C164-D164))</f>
        <v/>
      </c>
      <c r="F164" s="7" t="n"/>
      <c r="G164" s="7" t="n"/>
      <c r="H164" s="7" t="n"/>
      <c r="I164" s="8">
        <f>IF(A164="","",IF(UPPER(TRIM(F164))="CIRC",PI()*(G164/2)^2*E164,IF(UPPER(TRIM(F164))="RECT",G164*H164*E164,"")))</f>
        <v/>
      </c>
      <c r="J164" s="7" t="n"/>
      <c r="K164" s="8">
        <f>IF(A164="","",SUMIFS(Elements_hybrides!$Q:$Q,Elements_hybrides!$D:$D,$A164))</f>
        <v/>
      </c>
      <c r="L164" s="8">
        <f>IF(OR(K164="",J164=""),"",K164*J164*60)</f>
        <v/>
      </c>
      <c r="M164" s="4">
        <f>IF(A164="","",IF(OR(I164="",L164=""),"",IF(I164&gt;=L164,"OK","CHECK")))</f>
        <v/>
      </c>
    </row>
    <row r="165">
      <c r="A165" s="4" t="n"/>
      <c r="B165" s="4" t="n"/>
      <c r="C165" s="7" t="n"/>
      <c r="D165" s="7" t="n"/>
      <c r="E165" s="8">
        <f>IF(OR(C165="",D165=""),"",MAX(0,C165-D165))</f>
        <v/>
      </c>
      <c r="F165" s="7" t="n"/>
      <c r="G165" s="7" t="n"/>
      <c r="H165" s="7" t="n"/>
      <c r="I165" s="8">
        <f>IF(A165="","",IF(UPPER(TRIM(F165))="CIRC",PI()*(G165/2)^2*E165,IF(UPPER(TRIM(F165))="RECT",G165*H165*E165,"")))</f>
        <v/>
      </c>
      <c r="J165" s="7" t="n"/>
      <c r="K165" s="8">
        <f>IF(A165="","",SUMIFS(Elements_hybrides!$Q:$Q,Elements_hybrides!$D:$D,$A165))</f>
        <v/>
      </c>
      <c r="L165" s="8">
        <f>IF(OR(K165="",J165=""),"",K165*J165*60)</f>
        <v/>
      </c>
      <c r="M165" s="4">
        <f>IF(A165="","",IF(OR(I165="",L165=""),"",IF(I165&gt;=L165,"OK","CHECK")))</f>
        <v/>
      </c>
    </row>
    <row r="166">
      <c r="A166" s="4" t="n"/>
      <c r="B166" s="4" t="n"/>
      <c r="C166" s="7" t="n"/>
      <c r="D166" s="7" t="n"/>
      <c r="E166" s="8">
        <f>IF(OR(C166="",D166=""),"",MAX(0,C166-D166))</f>
        <v/>
      </c>
      <c r="F166" s="7" t="n"/>
      <c r="G166" s="7" t="n"/>
      <c r="H166" s="7" t="n"/>
      <c r="I166" s="8">
        <f>IF(A166="","",IF(UPPER(TRIM(F166))="CIRC",PI()*(G166/2)^2*E166,IF(UPPER(TRIM(F166))="RECT",G166*H166*E166,"")))</f>
        <v/>
      </c>
      <c r="J166" s="7" t="n"/>
      <c r="K166" s="8">
        <f>IF(A166="","",SUMIFS(Elements_hybrides!$Q:$Q,Elements_hybrides!$D:$D,$A166))</f>
        <v/>
      </c>
      <c r="L166" s="8">
        <f>IF(OR(K166="",J166=""),"",K166*J166*60)</f>
        <v/>
      </c>
      <c r="M166" s="4">
        <f>IF(A166="","",IF(OR(I166="",L166=""),"",IF(I166&gt;=L166,"OK","CHECK")))</f>
        <v/>
      </c>
    </row>
    <row r="167">
      <c r="A167" s="4" t="n"/>
      <c r="B167" s="4" t="n"/>
      <c r="C167" s="7" t="n"/>
      <c r="D167" s="7" t="n"/>
      <c r="E167" s="8">
        <f>IF(OR(C167="",D167=""),"",MAX(0,C167-D167))</f>
        <v/>
      </c>
      <c r="F167" s="7" t="n"/>
      <c r="G167" s="7" t="n"/>
      <c r="H167" s="7" t="n"/>
      <c r="I167" s="8">
        <f>IF(A167="","",IF(UPPER(TRIM(F167))="CIRC",PI()*(G167/2)^2*E167,IF(UPPER(TRIM(F167))="RECT",G167*H167*E167,"")))</f>
        <v/>
      </c>
      <c r="J167" s="7" t="n"/>
      <c r="K167" s="8">
        <f>IF(A167="","",SUMIFS(Elements_hybrides!$Q:$Q,Elements_hybrides!$D:$D,$A167))</f>
        <v/>
      </c>
      <c r="L167" s="8">
        <f>IF(OR(K167="",J167=""),"",K167*J167*60)</f>
        <v/>
      </c>
      <c r="M167" s="4">
        <f>IF(A167="","",IF(OR(I167="",L167=""),"",IF(I167&gt;=L167,"OK","CHECK")))</f>
        <v/>
      </c>
    </row>
    <row r="168">
      <c r="A168" s="4" t="n"/>
      <c r="B168" s="4" t="n"/>
      <c r="C168" s="7" t="n"/>
      <c r="D168" s="7" t="n"/>
      <c r="E168" s="8">
        <f>IF(OR(C168="",D168=""),"",MAX(0,C168-D168))</f>
        <v/>
      </c>
      <c r="F168" s="7" t="n"/>
      <c r="G168" s="7" t="n"/>
      <c r="H168" s="7" t="n"/>
      <c r="I168" s="8">
        <f>IF(A168="","",IF(UPPER(TRIM(F168))="CIRC",PI()*(G168/2)^2*E168,IF(UPPER(TRIM(F168))="RECT",G168*H168*E168,"")))</f>
        <v/>
      </c>
      <c r="J168" s="7" t="n"/>
      <c r="K168" s="8">
        <f>IF(A168="","",SUMIFS(Elements_hybrides!$Q:$Q,Elements_hybrides!$D:$D,$A168))</f>
        <v/>
      </c>
      <c r="L168" s="8">
        <f>IF(OR(K168="",J168=""),"",K168*J168*60)</f>
        <v/>
      </c>
      <c r="M168" s="4">
        <f>IF(A168="","",IF(OR(I168="",L168=""),"",IF(I168&gt;=L168,"OK","CHECK")))</f>
        <v/>
      </c>
    </row>
    <row r="169">
      <c r="A169" s="4" t="n"/>
      <c r="B169" s="4" t="n"/>
      <c r="C169" s="7" t="n"/>
      <c r="D169" s="7" t="n"/>
      <c r="E169" s="8">
        <f>IF(OR(C169="",D169=""),"",MAX(0,C169-D169))</f>
        <v/>
      </c>
      <c r="F169" s="7" t="n"/>
      <c r="G169" s="7" t="n"/>
      <c r="H169" s="7" t="n"/>
      <c r="I169" s="8">
        <f>IF(A169="","",IF(UPPER(TRIM(F169))="CIRC",PI()*(G169/2)^2*E169,IF(UPPER(TRIM(F169))="RECT",G169*H169*E169,"")))</f>
        <v/>
      </c>
      <c r="J169" s="7" t="n"/>
      <c r="K169" s="8">
        <f>IF(A169="","",SUMIFS(Elements_hybrides!$Q:$Q,Elements_hybrides!$D:$D,$A169))</f>
        <v/>
      </c>
      <c r="L169" s="8">
        <f>IF(OR(K169="",J169=""),"",K169*J169*60)</f>
        <v/>
      </c>
      <c r="M169" s="4">
        <f>IF(A169="","",IF(OR(I169="",L169=""),"",IF(I169&gt;=L169,"OK","CHECK")))</f>
        <v/>
      </c>
    </row>
    <row r="170">
      <c r="A170" s="4" t="n"/>
      <c r="B170" s="4" t="n"/>
      <c r="C170" s="7" t="n"/>
      <c r="D170" s="7" t="n"/>
      <c r="E170" s="8">
        <f>IF(OR(C170="",D170=""),"",MAX(0,C170-D170))</f>
        <v/>
      </c>
      <c r="F170" s="7" t="n"/>
      <c r="G170" s="7" t="n"/>
      <c r="H170" s="7" t="n"/>
      <c r="I170" s="8">
        <f>IF(A170="","",IF(UPPER(TRIM(F170))="CIRC",PI()*(G170/2)^2*E170,IF(UPPER(TRIM(F170))="RECT",G170*H170*E170,"")))</f>
        <v/>
      </c>
      <c r="J170" s="7" t="n"/>
      <c r="K170" s="8">
        <f>IF(A170="","",SUMIFS(Elements_hybrides!$Q:$Q,Elements_hybrides!$D:$D,$A170))</f>
        <v/>
      </c>
      <c r="L170" s="8">
        <f>IF(OR(K170="",J170=""),"",K170*J170*60)</f>
        <v/>
      </c>
      <c r="M170" s="4">
        <f>IF(A170="","",IF(OR(I170="",L170=""),"",IF(I170&gt;=L170,"OK","CHECK")))</f>
        <v/>
      </c>
    </row>
    <row r="171">
      <c r="A171" s="4" t="n"/>
      <c r="B171" s="4" t="n"/>
      <c r="C171" s="7" t="n"/>
      <c r="D171" s="7" t="n"/>
      <c r="E171" s="8">
        <f>IF(OR(C171="",D171=""),"",MAX(0,C171-D171))</f>
        <v/>
      </c>
      <c r="F171" s="7" t="n"/>
      <c r="G171" s="7" t="n"/>
      <c r="H171" s="7" t="n"/>
      <c r="I171" s="8">
        <f>IF(A171="","",IF(UPPER(TRIM(F171))="CIRC",PI()*(G171/2)^2*E171,IF(UPPER(TRIM(F171))="RECT",G171*H171*E171,"")))</f>
        <v/>
      </c>
      <c r="J171" s="7" t="n"/>
      <c r="K171" s="8">
        <f>IF(A171="","",SUMIFS(Elements_hybrides!$Q:$Q,Elements_hybrides!$D:$D,$A171))</f>
        <v/>
      </c>
      <c r="L171" s="8">
        <f>IF(OR(K171="",J171=""),"",K171*J171*60)</f>
        <v/>
      </c>
      <c r="M171" s="4">
        <f>IF(A171="","",IF(OR(I171="",L171=""),"",IF(I171&gt;=L171,"OK","CHECK")))</f>
        <v/>
      </c>
    </row>
    <row r="172">
      <c r="A172" s="4" t="n"/>
      <c r="B172" s="4" t="n"/>
      <c r="C172" s="7" t="n"/>
      <c r="D172" s="7" t="n"/>
      <c r="E172" s="8">
        <f>IF(OR(C172="",D172=""),"",MAX(0,C172-D172))</f>
        <v/>
      </c>
      <c r="F172" s="7" t="n"/>
      <c r="G172" s="7" t="n"/>
      <c r="H172" s="7" t="n"/>
      <c r="I172" s="8">
        <f>IF(A172="","",IF(UPPER(TRIM(F172))="CIRC",PI()*(G172/2)^2*E172,IF(UPPER(TRIM(F172))="RECT",G172*H172*E172,"")))</f>
        <v/>
      </c>
      <c r="J172" s="7" t="n"/>
      <c r="K172" s="8">
        <f>IF(A172="","",SUMIFS(Elements_hybrides!$Q:$Q,Elements_hybrides!$D:$D,$A172))</f>
        <v/>
      </c>
      <c r="L172" s="8">
        <f>IF(OR(K172="",J172=""),"",K172*J172*60)</f>
        <v/>
      </c>
      <c r="M172" s="4">
        <f>IF(A172="","",IF(OR(I172="",L172=""),"",IF(I172&gt;=L172,"OK","CHECK")))</f>
        <v/>
      </c>
    </row>
    <row r="173">
      <c r="A173" s="4" t="n"/>
      <c r="B173" s="4" t="n"/>
      <c r="C173" s="7" t="n"/>
      <c r="D173" s="7" t="n"/>
      <c r="E173" s="8">
        <f>IF(OR(C173="",D173=""),"",MAX(0,C173-D173))</f>
        <v/>
      </c>
      <c r="F173" s="7" t="n"/>
      <c r="G173" s="7" t="n"/>
      <c r="H173" s="7" t="n"/>
      <c r="I173" s="8">
        <f>IF(A173="","",IF(UPPER(TRIM(F173))="CIRC",PI()*(G173/2)^2*E173,IF(UPPER(TRIM(F173))="RECT",G173*H173*E173,"")))</f>
        <v/>
      </c>
      <c r="J173" s="7" t="n"/>
      <c r="K173" s="8">
        <f>IF(A173="","",SUMIFS(Elements_hybrides!$Q:$Q,Elements_hybrides!$D:$D,$A173))</f>
        <v/>
      </c>
      <c r="L173" s="8">
        <f>IF(OR(K173="",J173=""),"",K173*J173*60)</f>
        <v/>
      </c>
      <c r="M173" s="4">
        <f>IF(A173="","",IF(OR(I173="",L173=""),"",IF(I173&gt;=L173,"OK","CHECK")))</f>
        <v/>
      </c>
    </row>
    <row r="174">
      <c r="A174" s="4" t="n"/>
      <c r="B174" s="4" t="n"/>
      <c r="C174" s="7" t="n"/>
      <c r="D174" s="7" t="n"/>
      <c r="E174" s="8">
        <f>IF(OR(C174="",D174=""),"",MAX(0,C174-D174))</f>
        <v/>
      </c>
      <c r="F174" s="7" t="n"/>
      <c r="G174" s="7" t="n"/>
      <c r="H174" s="7" t="n"/>
      <c r="I174" s="8">
        <f>IF(A174="","",IF(UPPER(TRIM(F174))="CIRC",PI()*(G174/2)^2*E174,IF(UPPER(TRIM(F174))="RECT",G174*H174*E174,"")))</f>
        <v/>
      </c>
      <c r="J174" s="7" t="n"/>
      <c r="K174" s="8">
        <f>IF(A174="","",SUMIFS(Elements_hybrides!$Q:$Q,Elements_hybrides!$D:$D,$A174))</f>
        <v/>
      </c>
      <c r="L174" s="8">
        <f>IF(OR(K174="",J174=""),"",K174*J174*60)</f>
        <v/>
      </c>
      <c r="M174" s="4">
        <f>IF(A174="","",IF(OR(I174="",L174=""),"",IF(I174&gt;=L174,"OK","CHECK")))</f>
        <v/>
      </c>
    </row>
    <row r="175">
      <c r="A175" s="4" t="n"/>
      <c r="B175" s="4" t="n"/>
      <c r="C175" s="7" t="n"/>
      <c r="D175" s="7" t="n"/>
      <c r="E175" s="8">
        <f>IF(OR(C175="",D175=""),"",MAX(0,C175-D175))</f>
        <v/>
      </c>
      <c r="F175" s="7" t="n"/>
      <c r="G175" s="7" t="n"/>
      <c r="H175" s="7" t="n"/>
      <c r="I175" s="8">
        <f>IF(A175="","",IF(UPPER(TRIM(F175))="CIRC",PI()*(G175/2)^2*E175,IF(UPPER(TRIM(F175))="RECT",G175*H175*E175,"")))</f>
        <v/>
      </c>
      <c r="J175" s="7" t="n"/>
      <c r="K175" s="8">
        <f>IF(A175="","",SUMIFS(Elements_hybrides!$Q:$Q,Elements_hybrides!$D:$D,$A175))</f>
        <v/>
      </c>
      <c r="L175" s="8">
        <f>IF(OR(K175="",J175=""),"",K175*J175*60)</f>
        <v/>
      </c>
      <c r="M175" s="4">
        <f>IF(A175="","",IF(OR(I175="",L175=""),"",IF(I175&gt;=L175,"OK","CHECK")))</f>
        <v/>
      </c>
    </row>
    <row r="176">
      <c r="A176" s="4" t="n"/>
      <c r="B176" s="4" t="n"/>
      <c r="C176" s="7" t="n"/>
      <c r="D176" s="7" t="n"/>
      <c r="E176" s="8">
        <f>IF(OR(C176="",D176=""),"",MAX(0,C176-D176))</f>
        <v/>
      </c>
      <c r="F176" s="7" t="n"/>
      <c r="G176" s="7" t="n"/>
      <c r="H176" s="7" t="n"/>
      <c r="I176" s="8">
        <f>IF(A176="","",IF(UPPER(TRIM(F176))="CIRC",PI()*(G176/2)^2*E176,IF(UPPER(TRIM(F176))="RECT",G176*H176*E176,"")))</f>
        <v/>
      </c>
      <c r="J176" s="7" t="n"/>
      <c r="K176" s="8">
        <f>IF(A176="","",SUMIFS(Elements_hybrides!$Q:$Q,Elements_hybrides!$D:$D,$A176))</f>
        <v/>
      </c>
      <c r="L176" s="8">
        <f>IF(OR(K176="",J176=""),"",K176*J176*60)</f>
        <v/>
      </c>
      <c r="M176" s="4">
        <f>IF(A176="","",IF(OR(I176="",L176=""),"",IF(I176&gt;=L176,"OK","CHECK")))</f>
        <v/>
      </c>
    </row>
    <row r="177">
      <c r="A177" s="4" t="n"/>
      <c r="B177" s="4" t="n"/>
      <c r="C177" s="7" t="n"/>
      <c r="D177" s="7" t="n"/>
      <c r="E177" s="8">
        <f>IF(OR(C177="",D177=""),"",MAX(0,C177-D177))</f>
        <v/>
      </c>
      <c r="F177" s="7" t="n"/>
      <c r="G177" s="7" t="n"/>
      <c r="H177" s="7" t="n"/>
      <c r="I177" s="8">
        <f>IF(A177="","",IF(UPPER(TRIM(F177))="CIRC",PI()*(G177/2)^2*E177,IF(UPPER(TRIM(F177))="RECT",G177*H177*E177,"")))</f>
        <v/>
      </c>
      <c r="J177" s="7" t="n"/>
      <c r="K177" s="8">
        <f>IF(A177="","",SUMIFS(Elements_hybrides!$Q:$Q,Elements_hybrides!$D:$D,$A177))</f>
        <v/>
      </c>
      <c r="L177" s="8">
        <f>IF(OR(K177="",J177=""),"",K177*J177*60)</f>
        <v/>
      </c>
      <c r="M177" s="4">
        <f>IF(A177="","",IF(OR(I177="",L177=""),"",IF(I177&gt;=L177,"OK","CHECK")))</f>
        <v/>
      </c>
    </row>
    <row r="178">
      <c r="A178" s="4" t="n"/>
      <c r="B178" s="4" t="n"/>
      <c r="C178" s="7" t="n"/>
      <c r="D178" s="7" t="n"/>
      <c r="E178" s="8">
        <f>IF(OR(C178="",D178=""),"",MAX(0,C178-D178))</f>
        <v/>
      </c>
      <c r="F178" s="7" t="n"/>
      <c r="G178" s="7" t="n"/>
      <c r="H178" s="7" t="n"/>
      <c r="I178" s="8">
        <f>IF(A178="","",IF(UPPER(TRIM(F178))="CIRC",PI()*(G178/2)^2*E178,IF(UPPER(TRIM(F178))="RECT",G178*H178*E178,"")))</f>
        <v/>
      </c>
      <c r="J178" s="7" t="n"/>
      <c r="K178" s="8">
        <f>IF(A178="","",SUMIFS(Elements_hybrides!$Q:$Q,Elements_hybrides!$D:$D,$A178))</f>
        <v/>
      </c>
      <c r="L178" s="8">
        <f>IF(OR(K178="",J178=""),"",K178*J178*60)</f>
        <v/>
      </c>
      <c r="M178" s="4">
        <f>IF(A178="","",IF(OR(I178="",L178=""),"",IF(I178&gt;=L178,"OK","CHECK")))</f>
        <v/>
      </c>
    </row>
    <row r="179">
      <c r="A179" s="4" t="n"/>
      <c r="B179" s="4" t="n"/>
      <c r="C179" s="7" t="n"/>
      <c r="D179" s="7" t="n"/>
      <c r="E179" s="8">
        <f>IF(OR(C179="",D179=""),"",MAX(0,C179-D179))</f>
        <v/>
      </c>
      <c r="F179" s="7" t="n"/>
      <c r="G179" s="7" t="n"/>
      <c r="H179" s="7" t="n"/>
      <c r="I179" s="8">
        <f>IF(A179="","",IF(UPPER(TRIM(F179))="CIRC",PI()*(G179/2)^2*E179,IF(UPPER(TRIM(F179))="RECT",G179*H179*E179,"")))</f>
        <v/>
      </c>
      <c r="J179" s="7" t="n"/>
      <c r="K179" s="8">
        <f>IF(A179="","",SUMIFS(Elements_hybrides!$Q:$Q,Elements_hybrides!$D:$D,$A179))</f>
        <v/>
      </c>
      <c r="L179" s="8">
        <f>IF(OR(K179="",J179=""),"",K179*J179*60)</f>
        <v/>
      </c>
      <c r="M179" s="4">
        <f>IF(A179="","",IF(OR(I179="",L179=""),"",IF(I179&gt;=L179,"OK","CHECK")))</f>
        <v/>
      </c>
    </row>
    <row r="180">
      <c r="A180" s="4" t="n"/>
      <c r="B180" s="4" t="n"/>
      <c r="C180" s="7" t="n"/>
      <c r="D180" s="7" t="n"/>
      <c r="E180" s="8">
        <f>IF(OR(C180="",D180=""),"",MAX(0,C180-D180))</f>
        <v/>
      </c>
      <c r="F180" s="7" t="n"/>
      <c r="G180" s="7" t="n"/>
      <c r="H180" s="7" t="n"/>
      <c r="I180" s="8">
        <f>IF(A180="","",IF(UPPER(TRIM(F180))="CIRC",PI()*(G180/2)^2*E180,IF(UPPER(TRIM(F180))="RECT",G180*H180*E180,"")))</f>
        <v/>
      </c>
      <c r="J180" s="7" t="n"/>
      <c r="K180" s="8">
        <f>IF(A180="","",SUMIFS(Elements_hybrides!$Q:$Q,Elements_hybrides!$D:$D,$A180))</f>
        <v/>
      </c>
      <c r="L180" s="8">
        <f>IF(OR(K180="",J180=""),"",K180*J180*60)</f>
        <v/>
      </c>
      <c r="M180" s="4">
        <f>IF(A180="","",IF(OR(I180="",L180=""),"",IF(I180&gt;=L180,"OK","CHECK")))</f>
        <v/>
      </c>
    </row>
    <row r="181">
      <c r="A181" s="4" t="n"/>
      <c r="B181" s="4" t="n"/>
      <c r="C181" s="7" t="n"/>
      <c r="D181" s="7" t="n"/>
      <c r="E181" s="8">
        <f>IF(OR(C181="",D181=""),"",MAX(0,C181-D181))</f>
        <v/>
      </c>
      <c r="F181" s="7" t="n"/>
      <c r="G181" s="7" t="n"/>
      <c r="H181" s="7" t="n"/>
      <c r="I181" s="8">
        <f>IF(A181="","",IF(UPPER(TRIM(F181))="CIRC",PI()*(G181/2)^2*E181,IF(UPPER(TRIM(F181))="RECT",G181*H181*E181,"")))</f>
        <v/>
      </c>
      <c r="J181" s="7" t="n"/>
      <c r="K181" s="8">
        <f>IF(A181="","",SUMIFS(Elements_hybrides!$Q:$Q,Elements_hybrides!$D:$D,$A181))</f>
        <v/>
      </c>
      <c r="L181" s="8">
        <f>IF(OR(K181="",J181=""),"",K181*J181*60)</f>
        <v/>
      </c>
      <c r="M181" s="4">
        <f>IF(A181="","",IF(OR(I181="",L181=""),"",IF(I181&gt;=L181,"OK","CHECK")))</f>
        <v/>
      </c>
    </row>
    <row r="182">
      <c r="A182" s="4" t="n"/>
      <c r="B182" s="4" t="n"/>
      <c r="C182" s="7" t="n"/>
      <c r="D182" s="7" t="n"/>
      <c r="E182" s="8">
        <f>IF(OR(C182="",D182=""),"",MAX(0,C182-D182))</f>
        <v/>
      </c>
      <c r="F182" s="7" t="n"/>
      <c r="G182" s="7" t="n"/>
      <c r="H182" s="7" t="n"/>
      <c r="I182" s="8">
        <f>IF(A182="","",IF(UPPER(TRIM(F182))="CIRC",PI()*(G182/2)^2*E182,IF(UPPER(TRIM(F182))="RECT",G182*H182*E182,"")))</f>
        <v/>
      </c>
      <c r="J182" s="7" t="n"/>
      <c r="K182" s="8">
        <f>IF(A182="","",SUMIFS(Elements_hybrides!$Q:$Q,Elements_hybrides!$D:$D,$A182))</f>
        <v/>
      </c>
      <c r="L182" s="8">
        <f>IF(OR(K182="",J182=""),"",K182*J182*60)</f>
        <v/>
      </c>
      <c r="M182" s="4">
        <f>IF(A182="","",IF(OR(I182="",L182=""),"",IF(I182&gt;=L182,"OK","CHECK")))</f>
        <v/>
      </c>
    </row>
    <row r="183">
      <c r="A183" s="4" t="n"/>
      <c r="B183" s="4" t="n"/>
      <c r="C183" s="7" t="n"/>
      <c r="D183" s="7" t="n"/>
      <c r="E183" s="8">
        <f>IF(OR(C183="",D183=""),"",MAX(0,C183-D183))</f>
        <v/>
      </c>
      <c r="F183" s="7" t="n"/>
      <c r="G183" s="7" t="n"/>
      <c r="H183" s="7" t="n"/>
      <c r="I183" s="8">
        <f>IF(A183="","",IF(UPPER(TRIM(F183))="CIRC",PI()*(G183/2)^2*E183,IF(UPPER(TRIM(F183))="RECT",G183*H183*E183,"")))</f>
        <v/>
      </c>
      <c r="J183" s="7" t="n"/>
      <c r="K183" s="8">
        <f>IF(A183="","",SUMIFS(Elements_hybrides!$Q:$Q,Elements_hybrides!$D:$D,$A183))</f>
        <v/>
      </c>
      <c r="L183" s="8">
        <f>IF(OR(K183="",J183=""),"",K183*J183*60)</f>
        <v/>
      </c>
      <c r="M183" s="4">
        <f>IF(A183="","",IF(OR(I183="",L183=""),"",IF(I183&gt;=L183,"OK","CHECK")))</f>
        <v/>
      </c>
    </row>
    <row r="184">
      <c r="A184" s="4" t="n"/>
      <c r="B184" s="4" t="n"/>
      <c r="C184" s="7" t="n"/>
      <c r="D184" s="7" t="n"/>
      <c r="E184" s="8">
        <f>IF(OR(C184="",D184=""),"",MAX(0,C184-D184))</f>
        <v/>
      </c>
      <c r="F184" s="7" t="n"/>
      <c r="G184" s="7" t="n"/>
      <c r="H184" s="7" t="n"/>
      <c r="I184" s="8">
        <f>IF(A184="","",IF(UPPER(TRIM(F184))="CIRC",PI()*(G184/2)^2*E184,IF(UPPER(TRIM(F184))="RECT",G184*H184*E184,"")))</f>
        <v/>
      </c>
      <c r="J184" s="7" t="n"/>
      <c r="K184" s="8">
        <f>IF(A184="","",SUMIFS(Elements_hybrides!$Q:$Q,Elements_hybrides!$D:$D,$A184))</f>
        <v/>
      </c>
      <c r="L184" s="8">
        <f>IF(OR(K184="",J184=""),"",K184*J184*60)</f>
        <v/>
      </c>
      <c r="M184" s="4">
        <f>IF(A184="","",IF(OR(I184="",L184=""),"",IF(I184&gt;=L184,"OK","CHECK")))</f>
        <v/>
      </c>
    </row>
    <row r="185">
      <c r="A185" s="4" t="n"/>
      <c r="B185" s="4" t="n"/>
      <c r="C185" s="7" t="n"/>
      <c r="D185" s="7" t="n"/>
      <c r="E185" s="8">
        <f>IF(OR(C185="",D185=""),"",MAX(0,C185-D185))</f>
        <v/>
      </c>
      <c r="F185" s="7" t="n"/>
      <c r="G185" s="7" t="n"/>
      <c r="H185" s="7" t="n"/>
      <c r="I185" s="8">
        <f>IF(A185="","",IF(UPPER(TRIM(F185))="CIRC",PI()*(G185/2)^2*E185,IF(UPPER(TRIM(F185))="RECT",G185*H185*E185,"")))</f>
        <v/>
      </c>
      <c r="J185" s="7" t="n"/>
      <c r="K185" s="8">
        <f>IF(A185="","",SUMIFS(Elements_hybrides!$Q:$Q,Elements_hybrides!$D:$D,$A185))</f>
        <v/>
      </c>
      <c r="L185" s="8">
        <f>IF(OR(K185="",J185=""),"",K185*J185*60)</f>
        <v/>
      </c>
      <c r="M185" s="4">
        <f>IF(A185="","",IF(OR(I185="",L185=""),"",IF(I185&gt;=L185,"OK","CHECK")))</f>
        <v/>
      </c>
    </row>
    <row r="186">
      <c r="A186" s="4" t="n"/>
      <c r="B186" s="4" t="n"/>
      <c r="C186" s="7" t="n"/>
      <c r="D186" s="7" t="n"/>
      <c r="E186" s="8">
        <f>IF(OR(C186="",D186=""),"",MAX(0,C186-D186))</f>
        <v/>
      </c>
      <c r="F186" s="7" t="n"/>
      <c r="G186" s="7" t="n"/>
      <c r="H186" s="7" t="n"/>
      <c r="I186" s="8">
        <f>IF(A186="","",IF(UPPER(TRIM(F186))="CIRC",PI()*(G186/2)^2*E186,IF(UPPER(TRIM(F186))="RECT",G186*H186*E186,"")))</f>
        <v/>
      </c>
      <c r="J186" s="7" t="n"/>
      <c r="K186" s="8">
        <f>IF(A186="","",SUMIFS(Elements_hybrides!$Q:$Q,Elements_hybrides!$D:$D,$A186))</f>
        <v/>
      </c>
      <c r="L186" s="8">
        <f>IF(OR(K186="",J186=""),"",K186*J186*60)</f>
        <v/>
      </c>
      <c r="M186" s="4">
        <f>IF(A186="","",IF(OR(I186="",L186=""),"",IF(I186&gt;=L186,"OK","CHECK")))</f>
        <v/>
      </c>
    </row>
    <row r="187">
      <c r="A187" s="4" t="n"/>
      <c r="B187" s="4" t="n"/>
      <c r="C187" s="7" t="n"/>
      <c r="D187" s="7" t="n"/>
      <c r="E187" s="8">
        <f>IF(OR(C187="",D187=""),"",MAX(0,C187-D187))</f>
        <v/>
      </c>
      <c r="F187" s="7" t="n"/>
      <c r="G187" s="7" t="n"/>
      <c r="H187" s="7" t="n"/>
      <c r="I187" s="8">
        <f>IF(A187="","",IF(UPPER(TRIM(F187))="CIRC",PI()*(G187/2)^2*E187,IF(UPPER(TRIM(F187))="RECT",G187*H187*E187,"")))</f>
        <v/>
      </c>
      <c r="J187" s="7" t="n"/>
      <c r="K187" s="8">
        <f>IF(A187="","",SUMIFS(Elements_hybrides!$Q:$Q,Elements_hybrides!$D:$D,$A187))</f>
        <v/>
      </c>
      <c r="L187" s="8">
        <f>IF(OR(K187="",J187=""),"",K187*J187*60)</f>
        <v/>
      </c>
      <c r="M187" s="4">
        <f>IF(A187="","",IF(OR(I187="",L187=""),"",IF(I187&gt;=L187,"OK","CHECK")))</f>
        <v/>
      </c>
    </row>
    <row r="188">
      <c r="A188" s="4" t="n"/>
      <c r="B188" s="4" t="n"/>
      <c r="C188" s="7" t="n"/>
      <c r="D188" s="7" t="n"/>
      <c r="E188" s="8">
        <f>IF(OR(C188="",D188=""),"",MAX(0,C188-D188))</f>
        <v/>
      </c>
      <c r="F188" s="7" t="n"/>
      <c r="G188" s="7" t="n"/>
      <c r="H188" s="7" t="n"/>
      <c r="I188" s="8">
        <f>IF(A188="","",IF(UPPER(TRIM(F188))="CIRC",PI()*(G188/2)^2*E188,IF(UPPER(TRIM(F188))="RECT",G188*H188*E188,"")))</f>
        <v/>
      </c>
      <c r="J188" s="7" t="n"/>
      <c r="K188" s="8">
        <f>IF(A188="","",SUMIFS(Elements_hybrides!$Q:$Q,Elements_hybrides!$D:$D,$A188))</f>
        <v/>
      </c>
      <c r="L188" s="8">
        <f>IF(OR(K188="",J188=""),"",K188*J188*60)</f>
        <v/>
      </c>
      <c r="M188" s="4">
        <f>IF(A188="","",IF(OR(I188="",L188=""),"",IF(I188&gt;=L188,"OK","CHECK")))</f>
        <v/>
      </c>
    </row>
    <row r="189">
      <c r="A189" s="4" t="n"/>
      <c r="B189" s="4" t="n"/>
      <c r="C189" s="7" t="n"/>
      <c r="D189" s="7" t="n"/>
      <c r="E189" s="8">
        <f>IF(OR(C189="",D189=""),"",MAX(0,C189-D189))</f>
        <v/>
      </c>
      <c r="F189" s="7" t="n"/>
      <c r="G189" s="7" t="n"/>
      <c r="H189" s="7" t="n"/>
      <c r="I189" s="8">
        <f>IF(A189="","",IF(UPPER(TRIM(F189))="CIRC",PI()*(G189/2)^2*E189,IF(UPPER(TRIM(F189))="RECT",G189*H189*E189,"")))</f>
        <v/>
      </c>
      <c r="J189" s="7" t="n"/>
      <c r="K189" s="8">
        <f>IF(A189="","",SUMIFS(Elements_hybrides!$Q:$Q,Elements_hybrides!$D:$D,$A189))</f>
        <v/>
      </c>
      <c r="L189" s="8">
        <f>IF(OR(K189="",J189=""),"",K189*J189*60)</f>
        <v/>
      </c>
      <c r="M189" s="4">
        <f>IF(A189="","",IF(OR(I189="",L189=""),"",IF(I189&gt;=L189,"OK","CHECK")))</f>
        <v/>
      </c>
    </row>
    <row r="190">
      <c r="A190" s="4" t="n"/>
      <c r="B190" s="4" t="n"/>
      <c r="C190" s="7" t="n"/>
      <c r="D190" s="7" t="n"/>
      <c r="E190" s="8">
        <f>IF(OR(C190="",D190=""),"",MAX(0,C190-D190))</f>
        <v/>
      </c>
      <c r="F190" s="7" t="n"/>
      <c r="G190" s="7" t="n"/>
      <c r="H190" s="7" t="n"/>
      <c r="I190" s="8">
        <f>IF(A190="","",IF(UPPER(TRIM(F190))="CIRC",PI()*(G190/2)^2*E190,IF(UPPER(TRIM(F190))="RECT",G190*H190*E190,"")))</f>
        <v/>
      </c>
      <c r="J190" s="7" t="n"/>
      <c r="K190" s="8">
        <f>IF(A190="","",SUMIFS(Elements_hybrides!$Q:$Q,Elements_hybrides!$D:$D,$A190))</f>
        <v/>
      </c>
      <c r="L190" s="8">
        <f>IF(OR(K190="",J190=""),"",K190*J190*60)</f>
        <v/>
      </c>
      <c r="M190" s="4">
        <f>IF(A190="","",IF(OR(I190="",L190=""),"",IF(I190&gt;=L190,"OK","CHECK")))</f>
        <v/>
      </c>
    </row>
    <row r="191">
      <c r="A191" s="4" t="n"/>
      <c r="B191" s="4" t="n"/>
      <c r="C191" s="7" t="n"/>
      <c r="D191" s="7" t="n"/>
      <c r="E191" s="8">
        <f>IF(OR(C191="",D191=""),"",MAX(0,C191-D191))</f>
        <v/>
      </c>
      <c r="F191" s="7" t="n"/>
      <c r="G191" s="7" t="n"/>
      <c r="H191" s="7" t="n"/>
      <c r="I191" s="8">
        <f>IF(A191="","",IF(UPPER(TRIM(F191))="CIRC",PI()*(G191/2)^2*E191,IF(UPPER(TRIM(F191))="RECT",G191*H191*E191,"")))</f>
        <v/>
      </c>
      <c r="J191" s="7" t="n"/>
      <c r="K191" s="8">
        <f>IF(A191="","",SUMIFS(Elements_hybrides!$Q:$Q,Elements_hybrides!$D:$D,$A191))</f>
        <v/>
      </c>
      <c r="L191" s="8">
        <f>IF(OR(K191="",J191=""),"",K191*J191*60)</f>
        <v/>
      </c>
      <c r="M191" s="4">
        <f>IF(A191="","",IF(OR(I191="",L191=""),"",IF(I191&gt;=L191,"OK","CHECK")))</f>
        <v/>
      </c>
    </row>
    <row r="192">
      <c r="A192" s="4" t="n"/>
      <c r="B192" s="4" t="n"/>
      <c r="C192" s="7" t="n"/>
      <c r="D192" s="7" t="n"/>
      <c r="E192" s="8">
        <f>IF(OR(C192="",D192=""),"",MAX(0,C192-D192))</f>
        <v/>
      </c>
      <c r="F192" s="7" t="n"/>
      <c r="G192" s="7" t="n"/>
      <c r="H192" s="7" t="n"/>
      <c r="I192" s="8">
        <f>IF(A192="","",IF(UPPER(TRIM(F192))="CIRC",PI()*(G192/2)^2*E192,IF(UPPER(TRIM(F192))="RECT",G192*H192*E192,"")))</f>
        <v/>
      </c>
      <c r="J192" s="7" t="n"/>
      <c r="K192" s="8">
        <f>IF(A192="","",SUMIFS(Elements_hybrides!$Q:$Q,Elements_hybrides!$D:$D,$A192))</f>
        <v/>
      </c>
      <c r="L192" s="8">
        <f>IF(OR(K192="",J192=""),"",K192*J192*60)</f>
        <v/>
      </c>
      <c r="M192" s="4">
        <f>IF(A192="","",IF(OR(I192="",L192=""),"",IF(I192&gt;=L192,"OK","CHECK")))</f>
        <v/>
      </c>
    </row>
    <row r="193">
      <c r="A193" s="4" t="n"/>
      <c r="B193" s="4" t="n"/>
      <c r="C193" s="7" t="n"/>
      <c r="D193" s="7" t="n"/>
      <c r="E193" s="8">
        <f>IF(OR(C193="",D193=""),"",MAX(0,C193-D193))</f>
        <v/>
      </c>
      <c r="F193" s="7" t="n"/>
      <c r="G193" s="7" t="n"/>
      <c r="H193" s="7" t="n"/>
      <c r="I193" s="8">
        <f>IF(A193="","",IF(UPPER(TRIM(F193))="CIRC",PI()*(G193/2)^2*E193,IF(UPPER(TRIM(F193))="RECT",G193*H193*E193,"")))</f>
        <v/>
      </c>
      <c r="J193" s="7" t="n"/>
      <c r="K193" s="8">
        <f>IF(A193="","",SUMIFS(Elements_hybrides!$Q:$Q,Elements_hybrides!$D:$D,$A193))</f>
        <v/>
      </c>
      <c r="L193" s="8">
        <f>IF(OR(K193="",J193=""),"",K193*J193*60)</f>
        <v/>
      </c>
      <c r="M193" s="4">
        <f>IF(A193="","",IF(OR(I193="",L193=""),"",IF(I193&gt;=L193,"OK","CHECK")))</f>
        <v/>
      </c>
    </row>
    <row r="194">
      <c r="A194" s="4" t="n"/>
      <c r="B194" s="4" t="n"/>
      <c r="C194" s="7" t="n"/>
      <c r="D194" s="7" t="n"/>
      <c r="E194" s="8">
        <f>IF(OR(C194="",D194=""),"",MAX(0,C194-D194))</f>
        <v/>
      </c>
      <c r="F194" s="7" t="n"/>
      <c r="G194" s="7" t="n"/>
      <c r="H194" s="7" t="n"/>
      <c r="I194" s="8">
        <f>IF(A194="","",IF(UPPER(TRIM(F194))="CIRC",PI()*(G194/2)^2*E194,IF(UPPER(TRIM(F194))="RECT",G194*H194*E194,"")))</f>
        <v/>
      </c>
      <c r="J194" s="7" t="n"/>
      <c r="K194" s="8">
        <f>IF(A194="","",SUMIFS(Elements_hybrides!$Q:$Q,Elements_hybrides!$D:$D,$A194))</f>
        <v/>
      </c>
      <c r="L194" s="8">
        <f>IF(OR(K194="",J194=""),"",K194*J194*60)</f>
        <v/>
      </c>
      <c r="M194" s="4">
        <f>IF(A194="","",IF(OR(I194="",L194=""),"",IF(I194&gt;=L194,"OK","CHECK")))</f>
        <v/>
      </c>
    </row>
    <row r="195">
      <c r="A195" s="4" t="n"/>
      <c r="B195" s="4" t="n"/>
      <c r="C195" s="7" t="n"/>
      <c r="D195" s="7" t="n"/>
      <c r="E195" s="8">
        <f>IF(OR(C195="",D195=""),"",MAX(0,C195-D195))</f>
        <v/>
      </c>
      <c r="F195" s="7" t="n"/>
      <c r="G195" s="7" t="n"/>
      <c r="H195" s="7" t="n"/>
      <c r="I195" s="8">
        <f>IF(A195="","",IF(UPPER(TRIM(F195))="CIRC",PI()*(G195/2)^2*E195,IF(UPPER(TRIM(F195))="RECT",G195*H195*E195,"")))</f>
        <v/>
      </c>
      <c r="J195" s="7" t="n"/>
      <c r="K195" s="8">
        <f>IF(A195="","",SUMIFS(Elements_hybrides!$Q:$Q,Elements_hybrides!$D:$D,$A195))</f>
        <v/>
      </c>
      <c r="L195" s="8">
        <f>IF(OR(K195="",J195=""),"",K195*J195*60)</f>
        <v/>
      </c>
      <c r="M195" s="4">
        <f>IF(A195="","",IF(OR(I195="",L195=""),"",IF(I195&gt;=L195,"OK","CHECK")))</f>
        <v/>
      </c>
    </row>
    <row r="196">
      <c r="A196" s="4" t="n"/>
      <c r="B196" s="4" t="n"/>
      <c r="C196" s="7" t="n"/>
      <c r="D196" s="7" t="n"/>
      <c r="E196" s="8">
        <f>IF(OR(C196="",D196=""),"",MAX(0,C196-D196))</f>
        <v/>
      </c>
      <c r="F196" s="7" t="n"/>
      <c r="G196" s="7" t="n"/>
      <c r="H196" s="7" t="n"/>
      <c r="I196" s="8">
        <f>IF(A196="","",IF(UPPER(TRIM(F196))="CIRC",PI()*(G196/2)^2*E196,IF(UPPER(TRIM(F196))="RECT",G196*H196*E196,"")))</f>
        <v/>
      </c>
      <c r="J196" s="7" t="n"/>
      <c r="K196" s="8">
        <f>IF(A196="","",SUMIFS(Elements_hybrides!$Q:$Q,Elements_hybrides!$D:$D,$A196))</f>
        <v/>
      </c>
      <c r="L196" s="8">
        <f>IF(OR(K196="",J196=""),"",K196*J196*60)</f>
        <v/>
      </c>
      <c r="M196" s="4">
        <f>IF(A196="","",IF(OR(I196="",L196=""),"",IF(I196&gt;=L196,"OK","CHECK")))</f>
        <v/>
      </c>
    </row>
    <row r="197">
      <c r="A197" s="4" t="n"/>
      <c r="B197" s="4" t="n"/>
      <c r="C197" s="7" t="n"/>
      <c r="D197" s="7" t="n"/>
      <c r="E197" s="8">
        <f>IF(OR(C197="",D197=""),"",MAX(0,C197-D197))</f>
        <v/>
      </c>
      <c r="F197" s="7" t="n"/>
      <c r="G197" s="7" t="n"/>
      <c r="H197" s="7" t="n"/>
      <c r="I197" s="8">
        <f>IF(A197="","",IF(UPPER(TRIM(F197))="CIRC",PI()*(G197/2)^2*E197,IF(UPPER(TRIM(F197))="RECT",G197*H197*E197,"")))</f>
        <v/>
      </c>
      <c r="J197" s="7" t="n"/>
      <c r="K197" s="8">
        <f>IF(A197="","",SUMIFS(Elements_hybrides!$Q:$Q,Elements_hybrides!$D:$D,$A197))</f>
        <v/>
      </c>
      <c r="L197" s="8">
        <f>IF(OR(K197="",J197=""),"",K197*J197*60)</f>
        <v/>
      </c>
      <c r="M197" s="4">
        <f>IF(A197="","",IF(OR(I197="",L197=""),"",IF(I197&gt;=L197,"OK","CHECK")))</f>
        <v/>
      </c>
    </row>
    <row r="198">
      <c r="A198" s="4" t="n"/>
      <c r="B198" s="4" t="n"/>
      <c r="C198" s="7" t="n"/>
      <c r="D198" s="7" t="n"/>
      <c r="E198" s="8">
        <f>IF(OR(C198="",D198=""),"",MAX(0,C198-D198))</f>
        <v/>
      </c>
      <c r="F198" s="7" t="n"/>
      <c r="G198" s="7" t="n"/>
      <c r="H198" s="7" t="n"/>
      <c r="I198" s="8">
        <f>IF(A198="","",IF(UPPER(TRIM(F198))="CIRC",PI()*(G198/2)^2*E198,IF(UPPER(TRIM(F198))="RECT",G198*H198*E198,"")))</f>
        <v/>
      </c>
      <c r="J198" s="7" t="n"/>
      <c r="K198" s="8">
        <f>IF(A198="","",SUMIFS(Elements_hybrides!$Q:$Q,Elements_hybrides!$D:$D,$A198))</f>
        <v/>
      </c>
      <c r="L198" s="8">
        <f>IF(OR(K198="",J198=""),"",K198*J198*60)</f>
        <v/>
      </c>
      <c r="M198" s="4">
        <f>IF(A198="","",IF(OR(I198="",L198=""),"",IF(I198&gt;=L198,"OK","CHECK")))</f>
        <v/>
      </c>
    </row>
    <row r="199">
      <c r="A199" s="4" t="n"/>
      <c r="B199" s="4" t="n"/>
      <c r="C199" s="7" t="n"/>
      <c r="D199" s="7" t="n"/>
      <c r="E199" s="8">
        <f>IF(OR(C199="",D199=""),"",MAX(0,C199-D199))</f>
        <v/>
      </c>
      <c r="F199" s="7" t="n"/>
      <c r="G199" s="7" t="n"/>
      <c r="H199" s="7" t="n"/>
      <c r="I199" s="8">
        <f>IF(A199="","",IF(UPPER(TRIM(F199))="CIRC",PI()*(G199/2)^2*E199,IF(UPPER(TRIM(F199))="RECT",G199*H199*E199,"")))</f>
        <v/>
      </c>
      <c r="J199" s="7" t="n"/>
      <c r="K199" s="8">
        <f>IF(A199="","",SUMIFS(Elements_hybrides!$Q:$Q,Elements_hybrides!$D:$D,$A199))</f>
        <v/>
      </c>
      <c r="L199" s="8">
        <f>IF(OR(K199="",J199=""),"",K199*J199*60)</f>
        <v/>
      </c>
      <c r="M199" s="4">
        <f>IF(A199="","",IF(OR(I199="",L199=""),"",IF(I199&gt;=L199,"OK","CHECK")))</f>
        <v/>
      </c>
    </row>
    <row r="200">
      <c r="A200" s="4" t="n"/>
      <c r="B200" s="4" t="n"/>
      <c r="C200" s="7" t="n"/>
      <c r="D200" s="7" t="n"/>
      <c r="E200" s="8">
        <f>IF(OR(C200="",D200=""),"",MAX(0,C200-D200))</f>
        <v/>
      </c>
      <c r="F200" s="7" t="n"/>
      <c r="G200" s="7" t="n"/>
      <c r="H200" s="7" t="n"/>
      <c r="I200" s="8">
        <f>IF(A200="","",IF(UPPER(TRIM(F200))="CIRC",PI()*(G200/2)^2*E200,IF(UPPER(TRIM(F200))="RECT",G200*H200*E200,"")))</f>
        <v/>
      </c>
      <c r="J200" s="7" t="n"/>
      <c r="K200" s="8">
        <f>IF(A200="","",SUMIFS(Elements_hybrides!$Q:$Q,Elements_hybrides!$D:$D,$A200))</f>
        <v/>
      </c>
      <c r="L200" s="8">
        <f>IF(OR(K200="",J200=""),"",K200*J200*60)</f>
        <v/>
      </c>
      <c r="M200" s="4">
        <f>IF(A200="","",IF(OR(I200="",L200=""),"",IF(I200&gt;=L200,"OK","CHECK")))</f>
        <v/>
      </c>
    </row>
    <row r="201">
      <c r="A201" s="4" t="n"/>
      <c r="B201" s="4" t="n"/>
      <c r="C201" s="7" t="n"/>
      <c r="D201" s="7" t="n"/>
      <c r="E201" s="8">
        <f>IF(OR(C201="",D201=""),"",MAX(0,C201-D201))</f>
        <v/>
      </c>
      <c r="F201" s="7" t="n"/>
      <c r="G201" s="7" t="n"/>
      <c r="H201" s="7" t="n"/>
      <c r="I201" s="8">
        <f>IF(A201="","",IF(UPPER(TRIM(F201))="CIRC",PI()*(G201/2)^2*E201,IF(UPPER(TRIM(F201))="RECT",G201*H201*E201,"")))</f>
        <v/>
      </c>
      <c r="J201" s="7" t="n"/>
      <c r="K201" s="8">
        <f>IF(A201="","",SUMIFS(Elements_hybrides!$Q:$Q,Elements_hybrides!$D:$D,$A201))</f>
        <v/>
      </c>
      <c r="L201" s="8">
        <f>IF(OR(K201="",J201=""),"",K201*J201*60)</f>
        <v/>
      </c>
      <c r="M201" s="4">
        <f>IF(A201="","",IF(OR(I201="",L201=""),"",IF(I201&gt;=L201,"OK","CHECK")))</f>
        <v/>
      </c>
    </row>
    <row r="202">
      <c r="A202" s="4" t="n"/>
      <c r="B202" s="4" t="n"/>
      <c r="C202" s="7" t="n"/>
      <c r="D202" s="7" t="n"/>
      <c r="E202" s="8">
        <f>IF(OR(C202="",D202=""),"",MAX(0,C202-D202))</f>
        <v/>
      </c>
      <c r="F202" s="7" t="n"/>
      <c r="G202" s="7" t="n"/>
      <c r="H202" s="7" t="n"/>
      <c r="I202" s="8">
        <f>IF(A202="","",IF(UPPER(TRIM(F202))="CIRC",PI()*(G202/2)^2*E202,IF(UPPER(TRIM(F202))="RECT",G202*H202*E202,"")))</f>
        <v/>
      </c>
      <c r="J202" s="7" t="n"/>
      <c r="K202" s="8">
        <f>IF(A202="","",SUMIFS(Elements_hybrides!$Q:$Q,Elements_hybrides!$D:$D,$A202))</f>
        <v/>
      </c>
      <c r="L202" s="8">
        <f>IF(OR(K202="",J202=""),"",K202*J202*60)</f>
        <v/>
      </c>
      <c r="M202" s="4">
        <f>IF(A202="","",IF(OR(I202="",L202=""),"",IF(I202&gt;=L202,"OK","CHECK")))</f>
        <v/>
      </c>
    </row>
    <row r="203">
      <c r="A203" s="4" t="n"/>
      <c r="B203" s="4" t="n"/>
      <c r="C203" s="7" t="n"/>
      <c r="D203" s="7" t="n"/>
      <c r="E203" s="8">
        <f>IF(OR(C203="",D203=""),"",MAX(0,C203-D203))</f>
        <v/>
      </c>
      <c r="F203" s="7" t="n"/>
      <c r="G203" s="7" t="n"/>
      <c r="H203" s="7" t="n"/>
      <c r="I203" s="8">
        <f>IF(A203="","",IF(UPPER(TRIM(F203))="CIRC",PI()*(G203/2)^2*E203,IF(UPPER(TRIM(F203))="RECT",G203*H203*E203,"")))</f>
        <v/>
      </c>
      <c r="J203" s="7" t="n"/>
      <c r="K203" s="8">
        <f>IF(A203="","",SUMIFS(Elements_hybrides!$Q:$Q,Elements_hybrides!$D:$D,$A203))</f>
        <v/>
      </c>
      <c r="L203" s="8">
        <f>IF(OR(K203="",J203=""),"",K203*J203*60)</f>
        <v/>
      </c>
      <c r="M203" s="4">
        <f>IF(A203="","",IF(OR(I203="",L203=""),"",IF(I203&gt;=L203,"OK","CHECK")))</f>
        <v/>
      </c>
    </row>
    <row r="204">
      <c r="A204" s="4" t="n"/>
      <c r="B204" s="4" t="n"/>
      <c r="C204" s="7" t="n"/>
      <c r="D204" s="7" t="n"/>
      <c r="E204" s="8">
        <f>IF(OR(C204="",D204=""),"",MAX(0,C204-D204))</f>
        <v/>
      </c>
      <c r="F204" s="7" t="n"/>
      <c r="G204" s="7" t="n"/>
      <c r="H204" s="7" t="n"/>
      <c r="I204" s="8">
        <f>IF(A204="","",IF(UPPER(TRIM(F204))="CIRC",PI()*(G204/2)^2*E204,IF(UPPER(TRIM(F204))="RECT",G204*H204*E204,"")))</f>
        <v/>
      </c>
      <c r="J204" s="7" t="n"/>
      <c r="K204" s="8">
        <f>IF(A204="","",SUMIFS(Elements_hybrides!$Q:$Q,Elements_hybrides!$D:$D,$A204))</f>
        <v/>
      </c>
      <c r="L204" s="8">
        <f>IF(OR(K204="",J204=""),"",K204*J204*60)</f>
        <v/>
      </c>
      <c r="M204" s="4">
        <f>IF(A204="","",IF(OR(I204="",L204=""),"",IF(I204&gt;=L204,"OK","CHECK")))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RESUME - CONFORMITE HYDRAULIQUE</t>
        </is>
      </c>
    </row>
    <row r="3">
      <c r="A3" s="3" t="inlineStr">
        <is>
          <t>Elements_CHECK</t>
        </is>
      </c>
      <c r="B3" s="8">
        <f>COUNTIF(Elements_hybrides!$AA$4:$AA$204,"CHECK")</f>
        <v/>
      </c>
    </row>
    <row r="4">
      <c r="A4" s="3" t="inlineStr">
        <is>
          <t>Nodes_CHECK</t>
        </is>
      </c>
      <c r="B4" s="8">
        <f>COUNTIF(Noeuds_stockage!$M$4:$M$204,"CHECK")</f>
        <v/>
      </c>
    </row>
    <row r="5">
      <c r="A5" s="3" t="inlineStr">
        <is>
          <t>Global_status</t>
        </is>
      </c>
      <c r="B5" s="8">
        <f>IF(OR(B3&gt;0,B4&gt;0),"CHECK","OK")</f>
        <v/>
      </c>
    </row>
    <row r="7">
      <c r="A7" s="3" t="inlineStr">
        <is>
          <t>Total_zone_Q_peak_m3s</t>
        </is>
      </c>
      <c r="B7" s="8">
        <f>SUM(Zones_tributaires!$I$4:$I$204)</f>
        <v/>
      </c>
    </row>
    <row r="8">
      <c r="A8" s="3" t="inlineStr">
        <is>
          <t>Total_storage_elements_m3</t>
        </is>
      </c>
      <c r="B8" s="8">
        <f>SUM(Elements_hybrides!$Z$4:$Z$204)</f>
        <v/>
      </c>
    </row>
    <row r="9">
      <c r="A9" s="3" t="inlineStr">
        <is>
          <t>Retention_node_storage_m3</t>
        </is>
      </c>
      <c r="B9" s="8">
        <f>IFERROR(INDEX(Noeuds_stockage!$I$4:$I$204,MATCH("BASIN_RET",Noeuds_stockage!$A$4:$A$204,0)),"")</f>
        <v/>
      </c>
    </row>
    <row r="10">
      <c r="A10" s="19" t="inlineStr">
        <is>
          <t>Impervious_area_total_m2 (ROOF+PAVAGE+TRESFOND)</t>
        </is>
      </c>
      <c r="B10" s="4">
        <f>SUMIFS(Zones_tributaires!$D$4:$D$204,Zones_tributaires!$C$4:$C$204,"ROOF")+SUMIFS(Zones_tributaires!$D$4:$D$204,Zones_tributaires!$C$4:$C$204,"PAVAGE")+SUMIFS(Zones_tributaires!$D$4:$D$204,Zones_tributaires!$C$4:$C$204,"TRESFOND")</f>
        <v/>
      </c>
    </row>
    <row r="11">
      <c r="A11" s="19" t="inlineStr">
        <is>
          <t>Grass_area_total_m2</t>
        </is>
      </c>
      <c r="B11" s="4">
        <f>SUMIFS(Zones_tributaires!$D$4:$D$204,Zones_tributaires!$C$4:$C$204,"GRASS")</f>
        <v/>
      </c>
    </row>
    <row r="12">
      <c r="A12" s="19" t="inlineStr">
        <is>
          <t>Impervious_fraction_of_(impervious+grass)</t>
        </is>
      </c>
      <c r="B12" s="4">
        <f>IF((B10+B11)=0,"",B10/(B10+B11))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24" customWidth="1" min="4" max="4"/>
    <col width="14" customWidth="1" min="5" max="5"/>
    <col width="10" customWidth="1" min="6" max="6"/>
    <col width="18" customWidth="1" min="7" max="7"/>
    <col width="52" customWidth="1" min="8" max="8"/>
  </cols>
  <sheetData>
    <row r="1">
      <c r="A1" s="1" t="inlineStr">
        <is>
          <t>GABARIT BANDE EST 2.5 m (ARBRES) - SOLUTION HYBRIDE</t>
        </is>
      </c>
    </row>
    <row r="3">
      <c r="A3" s="3" t="inlineStr">
        <is>
          <t>Composante</t>
        </is>
      </c>
      <c r="B3" s="3" t="inlineStr">
        <is>
          <t>Largeur m</t>
        </is>
      </c>
      <c r="C3" s="3" t="inlineStr">
        <is>
          <t>Profondeur m</t>
        </is>
      </c>
      <c r="D3" s="3" t="inlineStr">
        <is>
          <t>Parametre</t>
        </is>
      </c>
      <c r="E3" s="3" t="inlineStr">
        <is>
          <t>Valeur</t>
        </is>
      </c>
      <c r="F3" s="3" t="inlineStr">
        <is>
          <t>Unite</t>
        </is>
      </c>
      <c r="G3" s="3" t="inlineStr">
        <is>
          <t>Volume utile m3/m</t>
        </is>
      </c>
      <c r="H3" s="3" t="inlineStr">
        <is>
          <t>Notes</t>
        </is>
      </c>
    </row>
    <row r="4">
      <c r="A4" s="4" t="inlineStr">
        <is>
          <t>Depression de surface (micro-noue)</t>
        </is>
      </c>
      <c r="B4" s="5">
        <f>Inputs!$B$25</f>
        <v/>
      </c>
      <c r="C4" s="5">
        <f>Inputs!$B$26</f>
        <v/>
      </c>
      <c r="D4" s="4" t="inlineStr">
        <is>
          <t>Storage_surface_m3_per_m</t>
        </is>
      </c>
      <c r="E4" s="5">
        <f>B4*C4</f>
        <v/>
      </c>
      <c r="F4" s="4" t="inlineStr">
        <is>
          <t>m3/m</t>
        </is>
      </c>
      <c r="G4" s="9">
        <f>B4*C4</f>
        <v/>
      </c>
      <c r="H4" s="4" t="inlineStr">
        <is>
          <t>Captation initiale / pretaitement.</t>
        </is>
      </c>
    </row>
    <row r="5">
      <c r="A5" s="4" t="inlineStr">
        <is>
          <t>Tranchee drainante (sous-sol)</t>
        </is>
      </c>
      <c r="B5" s="5">
        <f>Inputs!$B$28</f>
        <v/>
      </c>
      <c r="C5" s="5">
        <f>Inputs!$B$29</f>
        <v/>
      </c>
      <c r="D5" s="4" t="inlineStr">
        <is>
          <t>Porosite</t>
        </is>
      </c>
      <c r="E5" s="5">
        <f>Inputs!$B$22</f>
        <v/>
      </c>
      <c r="F5" s="4" t="inlineStr">
        <is>
          <t>-</t>
        </is>
      </c>
      <c r="G5" s="9">
        <f>B5*C5*E5</f>
        <v/>
      </c>
      <c r="H5" s="4" t="inlineStr">
        <is>
          <t>Conveyance + stockage utile.</t>
        </is>
      </c>
    </row>
    <row r="6">
      <c r="A6" s="4" t="inlineStr">
        <is>
          <t>Sous-total stockage</t>
        </is>
      </c>
      <c r="B6" s="5" t="inlineStr"/>
      <c r="C6" s="5" t="inlineStr"/>
      <c r="D6" s="4" t="inlineStr">
        <is>
          <t>Storage_total_m3_per_m</t>
        </is>
      </c>
      <c r="E6" s="5">
        <f>G4+G5</f>
        <v/>
      </c>
      <c r="F6" s="4" t="inlineStr">
        <is>
          <t>m3/m</t>
        </is>
      </c>
      <c r="G6" s="9">
        <f>G4+G5</f>
        <v/>
      </c>
      <c r="H6" s="4" t="inlineStr">
        <is>
          <t>Base dimensionnement lineaire.</t>
        </is>
      </c>
    </row>
    <row r="7">
      <c r="A7" s="4" t="inlineStr">
        <is>
          <t>Underdrain perforé</t>
        </is>
      </c>
      <c r="B7" s="5" t="inlineStr"/>
      <c r="C7" s="5" t="inlineStr"/>
      <c r="D7" s="4" t="inlineStr">
        <is>
          <t>Diametre_pipe_mm</t>
        </is>
      </c>
      <c r="E7" s="5">
        <f>Inputs!$B$30</f>
        <v/>
      </c>
      <c r="F7" s="4" t="inlineStr">
        <is>
          <t>mm</t>
        </is>
      </c>
      <c r="G7" s="9" t="inlineStr"/>
      <c r="H7" s="4" t="inlineStr">
        <is>
          <t>PVC/PEHD perforé, pente Inputs!B33.</t>
        </is>
      </c>
    </row>
    <row r="8">
      <c r="A8" s="4" t="inlineStr">
        <is>
          <t>Espacement cleanout</t>
        </is>
      </c>
      <c r="B8" s="5" t="inlineStr"/>
      <c r="C8" s="5" t="inlineStr"/>
      <c r="D8" s="4" t="inlineStr">
        <is>
          <t>Spacing_m</t>
        </is>
      </c>
      <c r="E8" s="5">
        <f>Inputs!$B$32</f>
        <v/>
      </c>
      <c r="F8" s="4" t="inlineStr">
        <is>
          <t>m</t>
        </is>
      </c>
      <c r="G8" s="9" t="inlineStr"/>
      <c r="H8" s="4" t="inlineStr">
        <is>
          <t>Aux changements de direction et max 25-30 m.</t>
        </is>
      </c>
    </row>
    <row r="9">
      <c r="A9" s="4" t="inlineStr">
        <is>
          <t>Offset barriere racinaire</t>
        </is>
      </c>
      <c r="B9" s="5" t="inlineStr"/>
      <c r="C9" s="5" t="inlineStr"/>
      <c r="D9" s="4" t="inlineStr">
        <is>
          <t>Offset_m</t>
        </is>
      </c>
      <c r="E9" s="5">
        <f>Inputs!$B$31</f>
        <v/>
      </c>
      <c r="F9" s="4" t="inlineStr">
        <is>
          <t>m</t>
        </is>
      </c>
      <c r="G9" s="9" t="inlineStr"/>
      <c r="H9" s="4" t="inlineStr">
        <is>
          <t>Eloigner la conduite de la zone tronc/racines.</t>
        </is>
      </c>
    </row>
    <row r="11">
      <c r="A11" s="2" t="inlineStr">
        <is>
          <t>Controle rapide capacite lineaire</t>
        </is>
      </c>
    </row>
    <row r="12">
      <c r="A12" s="4" t="inlineStr">
        <is>
          <t>Longueur active bande est (m)</t>
        </is>
      </c>
      <c r="B12" s="7" t="n">
        <v>30</v>
      </c>
      <c r="C12" s="4" t="inlineStr">
        <is>
          <t>(input)</t>
        </is>
      </c>
    </row>
    <row r="13">
      <c r="A13" s="4" t="inlineStr">
        <is>
          <t>Stockage lineaire m3/m</t>
        </is>
      </c>
      <c r="B13" s="8">
        <f>G6</f>
        <v/>
      </c>
      <c r="C13" s="4" t="n"/>
    </row>
    <row r="14">
      <c r="A14" s="4" t="inlineStr">
        <is>
          <t>Stockage total disponible m3</t>
        </is>
      </c>
      <c r="B14" s="8">
        <f>B12*B13</f>
        <v/>
      </c>
      <c r="C14" s="4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CONVENTION DE NOMMAGE - MODELE HYBRIDE</t>
        </is>
      </c>
    </row>
    <row r="3">
      <c r="A3" s="3" t="inlineStr">
        <is>
          <t>Placeholder</t>
        </is>
      </c>
      <c r="B3" s="3" t="inlineStr">
        <is>
          <t>Label projet</t>
        </is>
      </c>
      <c r="C3" s="3" t="inlineStr">
        <is>
          <t>Type</t>
        </is>
      </c>
      <c r="D3" s="3" t="inlineStr">
        <is>
          <t>Role hydraulique</t>
        </is>
      </c>
      <c r="E3" s="3" t="inlineStr">
        <is>
          <t>Note</t>
        </is>
      </c>
    </row>
    <row r="4">
      <c r="A4" s="4" t="inlineStr">
        <is>
          <t>P1</t>
        </is>
      </c>
      <c r="B4" s="4" t="inlineStr">
        <is>
          <t>P-01</t>
        </is>
      </c>
      <c r="C4" s="4" t="inlineStr">
        <is>
          <t>CB</t>
        </is>
      </c>
      <c r="D4" s="4" t="inlineStr">
        <is>
          <t>Noeud amont est</t>
        </is>
      </c>
      <c r="E4" s="4" t="inlineStr">
        <is>
          <t>Puisard/CB existant amont</t>
        </is>
      </c>
    </row>
    <row r="5">
      <c r="A5" s="4" t="inlineStr">
        <is>
          <t>P2</t>
        </is>
      </c>
      <c r="B5" s="4" t="inlineStr">
        <is>
          <t>P-02</t>
        </is>
      </c>
      <c r="C5" s="4" t="inlineStr">
        <is>
          <t>CB</t>
        </is>
      </c>
      <c r="D5" s="4" t="inlineStr">
        <is>
          <t>Noeud intermediaire est</t>
        </is>
      </c>
      <c r="E5" s="4" t="inlineStr">
        <is>
          <t>Puisard/CB milieu</t>
        </is>
      </c>
    </row>
    <row r="6">
      <c r="A6" s="4" t="inlineStr">
        <is>
          <t>P3</t>
        </is>
      </c>
      <c r="B6" s="4" t="inlineStr">
        <is>
          <t>P-03</t>
        </is>
      </c>
      <c r="C6" s="4" t="inlineStr">
        <is>
          <t>CB</t>
        </is>
      </c>
      <c r="D6" s="4" t="inlineStr">
        <is>
          <t>Noeud aval est</t>
        </is>
      </c>
      <c r="E6" s="4" t="inlineStr">
        <is>
          <t>Puisard/CB aval</t>
        </is>
      </c>
    </row>
    <row r="7">
      <c r="A7" s="4" t="inlineStr">
        <is>
          <t>S_EAST</t>
        </is>
      </c>
      <c r="B7" s="4" t="inlineStr">
        <is>
          <t>J-SUD-EST</t>
        </is>
      </c>
      <c r="C7" s="4" t="inlineStr">
        <is>
          <t>SWALE_NODE</t>
        </is>
      </c>
      <c r="D7" s="4" t="inlineStr">
        <is>
          <t>Jonction sud est</t>
        </is>
      </c>
      <c r="E7" s="4" t="inlineStr">
        <is>
          <t>Point de collecte sud est</t>
        </is>
      </c>
    </row>
    <row r="8">
      <c r="A8" s="4" t="inlineStr">
        <is>
          <t>S_MID</t>
        </is>
      </c>
      <c r="B8" s="4" t="inlineStr">
        <is>
          <t>J-SUD-OUEST</t>
        </is>
      </c>
      <c r="C8" s="4" t="inlineStr">
        <is>
          <t>SWALE_NODE</t>
        </is>
      </c>
      <c r="D8" s="4" t="inlineStr">
        <is>
          <t>Jonction sud ouest</t>
        </is>
      </c>
      <c r="E8" s="4" t="inlineStr">
        <is>
          <t>Point de rassemblement sud</t>
        </is>
      </c>
    </row>
    <row r="9">
      <c r="A9" s="4" t="inlineStr">
        <is>
          <t>W_UP</t>
        </is>
      </c>
      <c r="B9" s="4" t="inlineStr">
        <is>
          <t>J-OUEST-AMONT</t>
        </is>
      </c>
      <c r="C9" s="4" t="inlineStr">
        <is>
          <t>CB</t>
        </is>
      </c>
      <c r="D9" s="4" t="inlineStr">
        <is>
          <t>Noeud ouest amont</t>
        </is>
      </c>
      <c r="E9" s="4" t="inlineStr">
        <is>
          <t>Collecte bande ouest</t>
        </is>
      </c>
    </row>
    <row r="10">
      <c r="A10" s="4" t="inlineStr">
        <is>
          <t>W_LOW</t>
        </is>
      </c>
      <c r="B10" s="4" t="inlineStr">
        <is>
          <t>J-OUEST-AVAL</t>
        </is>
      </c>
      <c r="C10" s="4" t="inlineStr">
        <is>
          <t>CB</t>
        </is>
      </c>
      <c r="D10" s="4" t="inlineStr">
        <is>
          <t>Noeud ouest aval</t>
        </is>
      </c>
      <c r="E10" s="4" t="inlineStr">
        <is>
          <t>Transition vers pipe</t>
        </is>
      </c>
    </row>
    <row r="11">
      <c r="A11" s="4" t="inlineStr">
        <is>
          <t>BASIN_IN</t>
        </is>
      </c>
      <c r="B11" s="4" t="inlineStr">
        <is>
          <t>J-BASSIN-IN</t>
        </is>
      </c>
      <c r="C11" s="4" t="inlineStr">
        <is>
          <t>MH</t>
        </is>
      </c>
      <c r="D11" s="4" t="inlineStr">
        <is>
          <t>Regard amont bassin</t>
        </is>
      </c>
      <c r="E11" s="4" t="inlineStr">
        <is>
          <t>Noeud avant bassin</t>
        </is>
      </c>
    </row>
    <row r="12">
      <c r="A12" s="4" t="inlineStr">
        <is>
          <t>BASIN_RET</t>
        </is>
      </c>
      <c r="B12" s="4" t="inlineStr">
        <is>
          <t>BASSIN-RET</t>
        </is>
      </c>
      <c r="C12" s="4" t="inlineStr">
        <is>
          <t>RETENTION</t>
        </is>
      </c>
      <c r="D12" s="4" t="inlineStr">
        <is>
          <t>Bassin de retention</t>
        </is>
      </c>
      <c r="E12" s="4" t="inlineStr">
        <is>
          <t>Exutoire final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20" customWidth="1" min="4" max="4"/>
    <col width="16" customWidth="1" min="5" max="5"/>
    <col width="42" customWidth="1" min="6" max="6"/>
  </cols>
  <sheetData>
    <row r="1">
      <c r="A1" s="1" t="inlineStr">
        <is>
          <t>IMPLANTATION OUEST - CONFLITS UTILITES (AEP / PLUVIAL / SANITAIRE)</t>
        </is>
      </c>
    </row>
    <row r="3">
      <c r="A3" s="3" t="inlineStr">
        <is>
          <t>Zone</t>
        </is>
      </c>
      <c r="B3" s="3" t="inlineStr">
        <is>
          <t>Contrainte</t>
        </is>
      </c>
      <c r="C3" s="3" t="inlineStr">
        <is>
          <t>Strategie recommandee</t>
        </is>
      </c>
      <c r="D3" s="3" t="inlineStr">
        <is>
          <t>Element modele</t>
        </is>
      </c>
      <c r="E3" s="3" t="inlineStr">
        <is>
          <t>Parametre cible</t>
        </is>
      </c>
      <c r="F3" s="3" t="inlineStr">
        <is>
          <t>Commentaire</t>
        </is>
      </c>
    </row>
    <row r="4">
      <c r="A4" s="4" t="inlineStr">
        <is>
          <t>Ouest haut (grass 12.5 m2)</t>
        </is>
      </c>
      <c r="B4" s="4" t="inlineStr">
        <is>
          <t>Lateraux multiples</t>
        </is>
      </c>
      <c r="C4" s="4" t="inlineStr">
        <is>
          <t>Conduite enterree peu profonde</t>
        </is>
      </c>
      <c r="D4" s="4" t="inlineStr">
        <is>
          <t>E05A (PIPE)</t>
        </is>
      </c>
      <c r="E4" s="4" t="inlineStr">
        <is>
          <t>DN250, pente ~1.0%</t>
        </is>
      </c>
      <c r="F4" s="4" t="inlineStr">
        <is>
          <t>Strategie client: ouest privilegie en conduites.</t>
        </is>
      </c>
    </row>
    <row r="5">
      <c r="A5" s="4" t="inlineStr">
        <is>
          <t>Traverse pave-uni 1 (6.7 m2)</t>
        </is>
      </c>
      <c r="B5" s="4" t="inlineStr">
        <is>
          <t>Traverse pietonne courte</t>
        </is>
      </c>
      <c r="C5" s="4" t="inlineStr">
        <is>
          <t>Conduite traversee pave-uni</t>
        </is>
      </c>
      <c r="D5" s="4" t="inlineStr">
        <is>
          <t>E05B (PIPE)</t>
        </is>
      </c>
      <c r="E5" s="4" t="inlineStr">
        <is>
          <t>DN250, pente ~1.0%</t>
        </is>
      </c>
      <c r="F5" s="4" t="inlineStr">
        <is>
          <t>Raccord vers regard intermediaire.</t>
        </is>
      </c>
    </row>
    <row r="6">
      <c r="A6" s="4" t="inlineStr">
        <is>
          <t>Ouest milieu (27.2 m2)</t>
        </is>
      </c>
      <c r="B6" s="4" t="inlineStr">
        <is>
          <t>Zone vegetale</t>
        </is>
      </c>
      <c r="C6" s="4" t="inlineStr">
        <is>
          <t>Conduite enterree</t>
        </is>
      </c>
      <c r="D6" s="4" t="inlineStr">
        <is>
          <t>E05C (PIPE)</t>
        </is>
      </c>
      <c r="E6" s="4" t="inlineStr">
        <is>
          <t>DN300, pente ~0.9%</t>
        </is>
      </c>
      <c r="F6" s="4" t="inlineStr">
        <is>
          <t>Segment principal vers aval.</t>
        </is>
      </c>
    </row>
    <row r="7">
      <c r="A7" s="4" t="inlineStr">
        <is>
          <t>Traverse pave-uni 2 (37.5 m2)</t>
        </is>
      </c>
      <c r="B7" s="4" t="inlineStr">
        <is>
          <t>Traverse mineralisee</t>
        </is>
      </c>
      <c r="C7" s="4" t="inlineStr">
        <is>
          <t>Conduite traversee pave-uni</t>
        </is>
      </c>
      <c r="D7" s="4" t="inlineStr">
        <is>
          <t>E05D (PIPE)</t>
        </is>
      </c>
      <c r="E7" s="4" t="inlineStr">
        <is>
          <t>DN300, pente ~0.9%</t>
        </is>
      </c>
      <c r="F7" s="4" t="inlineStr">
        <is>
          <t>Traverse mineralisee en conduite.</t>
        </is>
      </c>
    </row>
    <row r="8">
      <c r="A8" s="4" t="inlineStr">
        <is>
          <t>Ouest aval grass (21.9 m2)</t>
        </is>
      </c>
      <c r="B8" s="4" t="inlineStr">
        <is>
          <t>Approche bassin</t>
        </is>
      </c>
      <c r="C8" s="4" t="inlineStr">
        <is>
          <t>Conduite enterree</t>
        </is>
      </c>
      <c r="D8" s="4" t="inlineStr">
        <is>
          <t>E05E (PIPE)</t>
        </is>
      </c>
      <c r="E8" s="4" t="inlineStr">
        <is>
          <t>DN300, pente ~0.8%</t>
        </is>
      </c>
      <c r="F8" s="4" t="inlineStr">
        <is>
          <t>Vers E04 puis E08 et bassin.</t>
        </is>
      </c>
    </row>
    <row r="9">
      <c r="A9" s="14" t="inlineStr">
        <is>
          <t>Note: verifier elevations utilites existantes et degagements minimaux avant IFC (TQC obligatoire).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10" customWidth="1" min="4" max="4"/>
    <col width="14" customWidth="1" min="5" max="5"/>
    <col width="12" customWidth="1" min="6" max="6"/>
    <col width="28" customWidth="1" min="7" max="7"/>
  </cols>
  <sheetData>
    <row r="1">
      <c r="A1" s="1" t="inlineStr">
        <is>
          <t>DIMENSIONNEMENT BANDE EST (2.5m) - ESTIMATION A PARTIR DES AIRES</t>
        </is>
      </c>
    </row>
    <row r="3">
      <c r="A3" s="3" t="inlineStr">
        <is>
          <t>Item</t>
        </is>
      </c>
      <c r="B3" s="3" t="inlineStr">
        <is>
          <t>Formule/Source</t>
        </is>
      </c>
      <c r="C3" s="3" t="inlineStr">
        <is>
          <t>Valeur</t>
        </is>
      </c>
      <c r="D3" s="3" t="inlineStr">
        <is>
          <t>Unite</t>
        </is>
      </c>
      <c r="E3" s="3" t="inlineStr">
        <is>
          <t>Critere</t>
        </is>
      </c>
      <c r="F3" s="3" t="inlineStr">
        <is>
          <t>Resultat</t>
        </is>
      </c>
      <c r="G3" s="3" t="inlineStr">
        <is>
          <t>Commentaire</t>
        </is>
      </c>
    </row>
    <row r="4">
      <c r="A4" s="4" t="inlineStr">
        <is>
          <t>Q_design est aval (E02)</t>
        </is>
      </c>
      <c r="B4" s="4" t="inlineStr">
        <is>
          <t>Elements_hybrides Q(E02)</t>
        </is>
      </c>
      <c r="C4" s="8">
        <f>IFERROR(INDEX(Elements_hybrides!$Q$4:$Q$204,MATCH("E02",Elements_hybrides!$A$4:$A$204,0)),"")</f>
        <v/>
      </c>
      <c r="D4" s="4" t="inlineStr">
        <is>
          <t>m3/s</t>
        </is>
      </c>
      <c r="E4" s="4" t="n"/>
      <c r="F4" s="4" t="n"/>
      <c r="G4" s="4" t="n"/>
    </row>
    <row r="5">
      <c r="A5" s="4" t="inlineStr">
        <is>
          <t>Capacite pipe 200mm (s=Inputs!B33)</t>
        </is>
      </c>
      <c r="B5" s="4" t="inlineStr">
        <is>
          <t>Manning plein</t>
        </is>
      </c>
      <c r="C5" s="8">
        <f>(1/Inputs!$B$9)*(PI()*(Inputs!$B$30/1000)^2/4)*(((Inputs!$B$30/1000)/4)^(2/3))*SQRT(Inputs!$B$33)</f>
        <v/>
      </c>
      <c r="D5" s="4" t="inlineStr">
        <is>
          <t>m3/s</t>
        </is>
      </c>
      <c r="E5" s="4" t="n"/>
      <c r="F5" s="4" t="n"/>
      <c r="G5" s="4" t="n"/>
    </row>
    <row r="6">
      <c r="A6" s="4" t="inlineStr">
        <is>
          <t>Capacite pipe 250mm</t>
        </is>
      </c>
      <c r="B6" s="4" t="inlineStr">
        <is>
          <t>Manning plein</t>
        </is>
      </c>
      <c r="C6" s="8">
        <f>(1/Inputs!$B$9)*(PI()*(0.25)^2/4)*((0.25/4)^(2/3))*SQRT(Inputs!$B$33)</f>
        <v/>
      </c>
      <c r="D6" s="4" t="inlineStr">
        <is>
          <t>m3/s</t>
        </is>
      </c>
      <c r="E6" s="4" t="n"/>
      <c r="F6" s="4" t="n"/>
      <c r="G6" s="4" t="n"/>
    </row>
    <row r="7">
      <c r="A7" s="4" t="inlineStr">
        <is>
          <t>Capacite pipe 300mm</t>
        </is>
      </c>
      <c r="B7" s="4" t="inlineStr">
        <is>
          <t>Manning plein</t>
        </is>
      </c>
      <c r="C7" s="8">
        <f>(1/Inputs!$B$9)*(PI()*(0.30)^2/4)*((0.30/4)^(2/3))*SQRT(Inputs!$B$33)</f>
        <v/>
      </c>
      <c r="D7" s="4" t="inlineStr">
        <is>
          <t>m3/s</t>
        </is>
      </c>
      <c r="E7" s="4" t="n"/>
      <c r="F7" s="4" t="n"/>
      <c r="G7" s="4" t="n"/>
    </row>
    <row r="8">
      <c r="A8" s="4" t="inlineStr">
        <is>
          <t>Diametre recommande est</t>
        </is>
      </c>
      <c r="B8" s="4" t="inlineStr">
        <is>
          <t>Q_design / fill_limit</t>
        </is>
      </c>
      <c r="C8" s="11">
        <f>IF(C4="","",IF(C4/Inputs!$B$19&lt;=C5,200,IF(C4/Inputs!$B$19&lt;=C6,250,IF(C4/Inputs!$B$19&lt;=C7,300,375))))</f>
        <v/>
      </c>
      <c r="D8" s="4" t="inlineStr">
        <is>
          <t>mm</t>
        </is>
      </c>
      <c r="E8" s="4" t="n"/>
      <c r="F8" s="4" t="n"/>
      <c r="G8" s="4" t="n"/>
    </row>
    <row r="9">
      <c r="A9" s="4" t="n"/>
      <c r="B9" s="4" t="n"/>
      <c r="C9" s="8" t="n"/>
      <c r="D9" s="4" t="n"/>
      <c r="E9" s="4" t="n"/>
      <c r="F9" s="4" t="n"/>
      <c r="G9" s="4" t="n"/>
    </row>
    <row r="10">
      <c r="A10" s="4" t="inlineStr">
        <is>
          <t>Stockage lineaire surface+tranchee (m3/m)</t>
        </is>
      </c>
      <c r="B10" s="4" t="inlineStr">
        <is>
          <t>Template_est_2p5m</t>
        </is>
      </c>
      <c r="C10" s="8">
        <f>IFERROR(Template_est_2p5m!$G$6,"")</f>
        <v/>
      </c>
      <c r="D10" s="4" t="inlineStr">
        <is>
          <t>m3/m</t>
        </is>
      </c>
      <c r="E10" s="4" t="n"/>
      <c r="F10" s="4" t="n"/>
      <c r="G10" s="4" t="n"/>
    </row>
    <row r="11">
      <c r="A11" s="4" t="inlineStr">
        <is>
          <t>Longueur active bande est</t>
        </is>
      </c>
      <c r="B11" s="4" t="inlineStr">
        <is>
          <t>E01+E02</t>
        </is>
      </c>
      <c r="C11" s="8">
        <f>IFERROR(INDEX(Elements_hybrides!$F$4:$F$204,MATCH("E01",Elements_hybrides!$A$4:$A$204,0)),0)+IFERROR(INDEX(Elements_hybrides!$F$4:$F$204,MATCH("E02",Elements_hybrides!$A$4:$A$204,0)),0)</f>
        <v/>
      </c>
      <c r="D11" s="4" t="inlineStr">
        <is>
          <t>m</t>
        </is>
      </c>
      <c r="E11" s="4" t="n"/>
      <c r="F11" s="4" t="n"/>
      <c r="G11" s="4" t="n"/>
    </row>
    <row r="12">
      <c r="A12" s="4" t="inlineStr">
        <is>
          <t>Stockage dispo bande est</t>
        </is>
      </c>
      <c r="B12" s="4" t="inlineStr">
        <is>
          <t>C10*C11</t>
        </is>
      </c>
      <c r="C12" s="8">
        <f>IF(OR(C10="",C11=""),"",C10*C11)</f>
        <v/>
      </c>
      <c r="D12" s="4" t="inlineStr">
        <is>
          <t>m3</t>
        </is>
      </c>
      <c r="E12" s="4" t="n"/>
      <c r="F12" s="4" t="n"/>
      <c r="G12" s="4" t="n"/>
    </row>
    <row r="13">
      <c r="A13" s="4" t="inlineStr">
        <is>
          <t>Volume tampon requis est</t>
        </is>
      </c>
      <c r="B13" s="4" t="inlineStr">
        <is>
          <t>Q_design*buffer</t>
        </is>
      </c>
      <c r="C13" s="8">
        <f>IF(C4="","",C4*Inputs!$B$23*60)</f>
        <v/>
      </c>
      <c r="D13" s="4" t="inlineStr">
        <is>
          <t>m3</t>
        </is>
      </c>
      <c r="E13" s="4" t="n"/>
      <c r="F13" s="4" t="n"/>
      <c r="G13" s="4" t="n"/>
    </row>
    <row r="14">
      <c r="A14" s="4" t="inlineStr">
        <is>
          <t>Check stockage est</t>
        </is>
      </c>
      <c r="B14" s="4" t="inlineStr">
        <is>
          <t>C12 vs C13</t>
        </is>
      </c>
      <c r="C14" s="11">
        <f>IF(OR(C12="",C13=""),"",IF(C12&gt;=C13,"OK","AUGMENTER VOLUME"))</f>
        <v/>
      </c>
      <c r="D14" s="4" t="inlineStr">
        <is>
          <t>-</t>
        </is>
      </c>
      <c r="E14" s="4" t="n"/>
      <c r="F14" s="4" t="n"/>
      <c r="G14" s="4" t="n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4" customWidth="1" min="3" max="3"/>
    <col width="2" customWidth="1" min="4" max="4"/>
    <col width="10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DECISION SUMMARY - DRAINAGE HYBRIDE TRESFOND (PRET POUR PARTAGE)</t>
        </is>
      </c>
    </row>
    <row r="3">
      <c r="A3" s="12" t="inlineStr">
        <is>
          <t>Project strategy</t>
        </is>
      </c>
    </row>
    <row r="4">
      <c r="A4" t="inlineStr">
        <is>
          <t>1) Bande est (arbres): tranchee drainante + underdrain (E01/E02) au lieu d une noue profonde.</t>
        </is>
      </c>
    </row>
    <row r="5">
      <c r="A5" t="inlineStr">
        <is>
          <t>2) Bande sud (2.0 m): noue lineaire + volume de retention dans le corridor contraint.</t>
        </is>
      </c>
    </row>
    <row r="6">
      <c r="A6" t="inlineStr">
        <is>
          <t>3) Ouest: drainage en conduites (DN250/DN300) vers E04 puis entree ouest bassin.</t>
        </is>
      </c>
    </row>
    <row r="7">
      <c r="A7" t="inlineStr">
        <is>
          <t>4) Zone grise est (tresfond): puisards + reseau interne mecanique vers sortie sud et bassin.</t>
        </is>
      </c>
    </row>
    <row r="9">
      <c r="A9" s="12" t="inlineStr">
        <is>
          <t>Key dimensions and constraints</t>
        </is>
      </c>
    </row>
    <row r="10">
      <c r="A10" s="3" t="inlineStr">
        <is>
          <t>Parameter</t>
        </is>
      </c>
      <c r="B10" s="3" t="inlineStr">
        <is>
          <t>Value</t>
        </is>
      </c>
      <c r="C10" s="3" t="inlineStr">
        <is>
          <t>Comment</t>
        </is>
      </c>
      <c r="E10" s="3" t="inlineStr">
        <is>
          <t>Element</t>
        </is>
      </c>
      <c r="F10" s="3" t="inlineStr">
        <is>
          <t>Type</t>
        </is>
      </c>
      <c r="G10" s="3" t="inlineStr">
        <is>
          <t>Qdesign (m3/s)</t>
        </is>
      </c>
      <c r="H10" s="3" t="inlineStr">
        <is>
          <t>Check</t>
        </is>
      </c>
    </row>
    <row r="11">
      <c r="A11" s="4" t="inlineStr">
        <is>
          <t>East strip total width (m)</t>
        </is>
      </c>
      <c r="B11" s="9">
        <f>Inputs!B24</f>
        <v/>
      </c>
      <c r="C11" s="4" t="inlineStr">
        <is>
          <t>&lt;= site 2.5 m</t>
        </is>
      </c>
      <c r="E11" s="4" t="inlineStr">
        <is>
          <t>E01</t>
        </is>
      </c>
      <c r="F11" s="4">
        <f>IFERROR(INDEX(Elements_hybrides!$B$4:$B$204,MATCH(E11,Elements_hybrides!$A$4:$A$204,0)),"")</f>
        <v/>
      </c>
      <c r="G11" s="13">
        <f>IFERROR(INDEX(Elements_hybrides!$Q$4:$Q$204,MATCH(E11,Elements_hybrides!$A$4:$A$204,0)),"")</f>
        <v/>
      </c>
      <c r="H11" s="4">
        <f>IFERROR(INDEX(Elements_hybrides!$AA$4:$AA$204,MATCH(E11,Elements_hybrides!$A$4:$A$204,0)),"")</f>
        <v/>
      </c>
    </row>
    <row r="12">
      <c r="A12" s="4" t="inlineStr">
        <is>
          <t>Underdrain trench width x depth (m)</t>
        </is>
      </c>
      <c r="B12" s="9">
        <f>Inputs!B28&amp;" x "&amp;Inputs!B29</f>
        <v/>
      </c>
      <c r="C12" s="4" t="inlineStr">
        <is>
          <t>Tree-compatible trench</t>
        </is>
      </c>
      <c r="E12" s="4" t="inlineStr">
        <is>
          <t>E02</t>
        </is>
      </c>
      <c r="F12" s="4">
        <f>IFERROR(INDEX(Elements_hybrides!$B$4:$B$204,MATCH(E12,Elements_hybrides!$A$4:$A$204,0)),"")</f>
        <v/>
      </c>
      <c r="G12" s="13">
        <f>IFERROR(INDEX(Elements_hybrides!$Q$4:$Q$204,MATCH(E12,Elements_hybrides!$A$4:$A$204,0)),"")</f>
        <v/>
      </c>
      <c r="H12" s="4">
        <f>IFERROR(INDEX(Elements_hybrides!$AA$4:$AA$204,MATCH(E12,Elements_hybrides!$A$4:$A$204,0)),"")</f>
        <v/>
      </c>
    </row>
    <row r="13">
      <c r="A13" s="4" t="inlineStr">
        <is>
          <t>Underdrain diameter (mm)</t>
        </is>
      </c>
      <c r="B13" s="9">
        <f>Inputs!B30</f>
        <v/>
      </c>
      <c r="C13" s="4" t="inlineStr">
        <is>
          <t>Initial recommendation</t>
        </is>
      </c>
      <c r="E13" s="4" t="inlineStr">
        <is>
          <t>E03</t>
        </is>
      </c>
      <c r="F13" s="4">
        <f>IFERROR(INDEX(Elements_hybrides!$B$4:$B$204,MATCH(E13,Elements_hybrides!$A$4:$A$204,0)),"")</f>
        <v/>
      </c>
      <c r="G13" s="13">
        <f>IFERROR(INDEX(Elements_hybrides!$Q$4:$Q$204,MATCH(E13,Elements_hybrides!$A$4:$A$204,0)),"")</f>
        <v/>
      </c>
      <c r="H13" s="4">
        <f>IFERROR(INDEX(Elements_hybrides!$AA$4:$AA$204,MATCH(E13,Elements_hybrides!$A$4:$A$204,0)),"")</f>
        <v/>
      </c>
    </row>
    <row r="14">
      <c r="A14" s="4" t="inlineStr">
        <is>
          <t>West connector to basin inlet (m)</t>
        </is>
      </c>
      <c r="B14" s="9">
        <f>Inputs!B53</f>
        <v/>
      </c>
      <c r="C14" s="4" t="inlineStr">
        <is>
          <t>Measured corner link J-OUEST-AVAL -&gt; J-BASSIN-OUEST</t>
        </is>
      </c>
      <c r="D14" s="4" t="n"/>
      <c r="E14" s="4" t="inlineStr">
        <is>
          <t>E04</t>
        </is>
      </c>
      <c r="F14" s="4">
        <f>IFERROR(INDEX(Elements_hybrides!$B$4:$B$204,MATCH(E14,Elements_hybrides!$A$4:$A$204,0)),"")</f>
        <v/>
      </c>
      <c r="G14" s="13">
        <f>IFERROR(INDEX(Elements_hybrides!$Q$4:$Q$204,MATCH(E14,Elements_hybrides!$A$4:$A$204,0)),"")</f>
        <v/>
      </c>
      <c r="H14" s="4">
        <f>IFERROR(INDEX(Elements_hybrides!$AA$4:$AA$204,MATCH(E14,Elements_hybrides!$A$4:$A$204,0)),"")</f>
        <v/>
      </c>
    </row>
    <row r="15">
      <c r="A15" s="4" t="inlineStr">
        <is>
          <t>Retention basin corridor width x length (m)</t>
        </is>
      </c>
      <c r="B15" s="9">
        <f>Inputs!B34&amp;" x "&amp;Inputs!B35</f>
        <v/>
      </c>
      <c r="C15" s="4" t="inlineStr">
        <is>
          <t>Storage geometry at node BASSIN-RET (not an E04 reach).</t>
        </is>
      </c>
      <c r="D15" s="4" t="n"/>
      <c r="E15" s="4" t="inlineStr"/>
      <c r="F15" s="18" t="inlineStr">
        <is>
          <t>BASSIN-RET (node)</t>
        </is>
      </c>
      <c r="G15" s="13" t="inlineStr"/>
      <c r="H15" s="4" t="inlineStr">
        <is>
          <t>N/A</t>
        </is>
      </c>
    </row>
    <row r="16">
      <c r="A16" s="4" t="inlineStr">
        <is>
          <t>East inlet pipe length to basin (m)</t>
        </is>
      </c>
      <c r="B16" s="9">
        <f>IFERROR(INDEX(Elements_hybrides!$F$4:$F$204,MATCH("E07",Elements_hybrides!$A$4:$A$204,0)),"")</f>
        <v/>
      </c>
      <c r="C16" s="4" t="inlineStr">
        <is>
          <t>J-BASSIN-IN -&gt; BASSIN-RET</t>
        </is>
      </c>
      <c r="D16" s="4" t="n"/>
      <c r="E16" s="4" t="inlineStr">
        <is>
          <t>E07</t>
        </is>
      </c>
      <c r="F16" s="4">
        <f>IFERROR(INDEX(Elements_hybrides!$B$4:$B$204,MATCH(E16,Elements_hybrides!$A$4:$A$204,0)),"")</f>
        <v/>
      </c>
      <c r="G16" s="13">
        <f>IFERROR(INDEX(Elements_hybrides!$Q$4:$Q$204,MATCH(E16,Elements_hybrides!$A$4:$A$204,0)),"")</f>
        <v/>
      </c>
      <c r="H16" s="4">
        <f>IFERROR(INDEX(Elements_hybrides!$AA$4:$AA$204,MATCH(E16,Elements_hybrides!$A$4:$A$204,0)),"")</f>
        <v/>
      </c>
    </row>
    <row r="17">
      <c r="A17" s="4" t="inlineStr">
        <is>
          <t>West inlet pipe length to basin (m)</t>
        </is>
      </c>
      <c r="B17" s="4">
        <f>IFERROR(INDEX(Elements_hybrides!$F$4:$F$204,MATCH("E08",Elements_hybrides!$A$4:$A$204,0)),"")</f>
        <v/>
      </c>
      <c r="C17" s="4" t="inlineStr">
        <is>
          <t>J-BASSIN-OUEST -&gt; BASSIN-RET</t>
        </is>
      </c>
      <c r="D17" s="4" t="n"/>
      <c r="E17" s="4" t="inlineStr">
        <is>
          <t>E08</t>
        </is>
      </c>
      <c r="F17" s="4">
        <f>IFERROR(INDEX(Elements_hybrides!$B$4:$B$204,MATCH(E17,Elements_hybrides!$A$4:$A$204,0)),"")</f>
        <v/>
      </c>
      <c r="G17" s="13">
        <f>IFERROR(INDEX(Elements_hybrides!$Q$4:$Q$204,MATCH(E17,Elements_hybrides!$A$4:$A$204,0)),"")</f>
        <v/>
      </c>
      <c r="H17" s="4">
        <f>IFERROR(INDEX(Elements_hybrides!$AA$4:$AA$204,MATCH(E17,Elements_hybrides!$A$4:$A$204,0)),"")</f>
        <v/>
      </c>
    </row>
    <row r="19">
      <c r="A19" s="12" t="inlineStr">
        <is>
          <t>KPI checks</t>
        </is>
      </c>
    </row>
    <row r="20">
      <c r="A20" s="3" t="inlineStr">
        <is>
          <t>Indicator</t>
        </is>
      </c>
      <c r="B20" s="3" t="inlineStr">
        <is>
          <t>Value</t>
        </is>
      </c>
    </row>
    <row r="21">
      <c r="A21" s="4" t="inlineStr">
        <is>
          <t>Elements CHECK count</t>
        </is>
      </c>
      <c r="B21" s="8">
        <f>Resume_checks!B3</f>
        <v/>
      </c>
    </row>
    <row r="22">
      <c r="A22" s="4" t="inlineStr">
        <is>
          <t>Nodes CHECK count</t>
        </is>
      </c>
      <c r="B22" s="8">
        <f>Resume_checks!B4</f>
        <v/>
      </c>
    </row>
    <row r="23">
      <c r="A23" s="4" t="inlineStr">
        <is>
          <t>Global status</t>
        </is>
      </c>
      <c r="B23" s="8">
        <f>Resume_checks!B5</f>
        <v/>
      </c>
    </row>
    <row r="24">
      <c r="A24" s="4" t="inlineStr">
        <is>
          <t>Total peak runoff (m3/s)</t>
        </is>
      </c>
      <c r="B24" s="8">
        <f>Resume_checks!B7</f>
        <v/>
      </c>
    </row>
    <row r="25">
      <c r="A25" s="4" t="inlineStr">
        <is>
          <t>Total element storage (m3)</t>
        </is>
      </c>
      <c r="B25" s="8">
        <f>Resume_checks!B8</f>
        <v/>
      </c>
    </row>
    <row r="26">
      <c r="A26" s="4" t="inlineStr">
        <is>
          <t>Retention storage node (m3)</t>
        </is>
      </c>
      <c r="B26" s="8">
        <f>Resume_checks!B9</f>
        <v/>
      </c>
    </row>
    <row r="28">
      <c r="A28" s="12" t="inlineStr">
        <is>
          <t>Actions before IFC</t>
        </is>
      </c>
    </row>
    <row r="29">
      <c r="A29" t="inlineStr">
        <is>
          <t>- Confirmer positions/degagements exacts des lateraux ouest (AEP/pluvial/sanitaire) avec releves TQC.</t>
        </is>
      </c>
    </row>
    <row r="30">
      <c r="A30" t="inlineStr">
        <is>
          <t>- Valider niveau radier/top bassin avec topographie terrain et profil final du cheminement pieton.</t>
        </is>
      </c>
    </row>
    <row r="31">
      <c r="A31" t="inlineStr">
        <is>
          <t>- Ajuster diametre underdrain est (Inputs!B30) selon Qdesign final de E02 et critere de remplissage.</t>
        </is>
      </c>
    </row>
    <row r="32">
      <c r="A32" t="inlineStr">
        <is>
          <t>- Verifier protection racinaire et details constructifs (barriere racinaire + cleanouts + acces entretien).</t>
        </is>
      </c>
    </row>
    <row r="34">
      <c r="A34" s="19" t="inlineStr">
        <is>
          <t>Surface summary (readable quantities)</t>
        </is>
      </c>
      <c r="B34" s="4" t="n"/>
      <c r="C34" s="4" t="n"/>
      <c r="D34" s="4" t="n"/>
    </row>
    <row r="35">
      <c r="A35" s="4" t="inlineStr">
        <is>
          <t>Impervious area total (m2)</t>
        </is>
      </c>
      <c r="B35" s="4">
        <f>Resume_checks!B10</f>
        <v/>
      </c>
      <c r="C35" s="4" t="inlineStr">
        <is>
          <t>ROOF + PAVAGE + TRESFOND</t>
        </is>
      </c>
      <c r="D35" s="4" t="n"/>
    </row>
    <row r="36">
      <c r="A36" s="4" t="inlineStr">
        <is>
          <t>Grass area total (m2)</t>
        </is>
      </c>
      <c r="B36" s="4">
        <f>Resume_checks!B11</f>
        <v/>
      </c>
      <c r="C36" s="4" t="inlineStr">
        <is>
          <t>GRASS only</t>
        </is>
      </c>
      <c r="D36" s="4" t="n"/>
    </row>
    <row r="37">
      <c r="A37" s="4" t="inlineStr">
        <is>
          <t>Impervious fraction</t>
        </is>
      </c>
      <c r="B37" s="4">
        <f>Resume_checks!B12</f>
        <v/>
      </c>
      <c r="C37" s="4" t="inlineStr">
        <is>
          <t>Impervious/(Impervious+Grass)</t>
        </is>
      </c>
      <c r="D37" s="4" t="n"/>
    </row>
  </sheetData>
  <mergeCells count="13">
    <mergeCell ref="A9:H9"/>
    <mergeCell ref="A4:H4"/>
    <mergeCell ref="A1:H1"/>
    <mergeCell ref="A3:H3"/>
    <mergeCell ref="A30:H30"/>
    <mergeCell ref="A29:H29"/>
    <mergeCell ref="A7:H7"/>
    <mergeCell ref="A28:H28"/>
    <mergeCell ref="A19:H19"/>
    <mergeCell ref="A5:H5"/>
    <mergeCell ref="A32:H32"/>
    <mergeCell ref="A31:H31"/>
    <mergeCell ref="A6:H6"/>
  </mergeCells>
  <conditionalFormatting sqref="H11:H17">
    <cfRule type="expression" priority="1" dxfId="3">
      <formula>=$H11="CHECK"</formula>
    </cfRule>
  </conditionalFormatting>
  <conditionalFormatting sqref="B21:B26">
    <cfRule type="expression" priority="2" dxfId="3">
      <formula>=OR(AND($A21="Elements CHECK count",$B21&gt;0),AND($A22="Nodes CHECK count",$B22&gt;0),AND($A23="Global status",$B23="CHECK"))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2026-07-02T02:27:31Z</dcterms:created>
  <dcterms:modified xsi:type="dcterms:W3CDTF">2026-07-08T01:14:50Z</dcterms:modified>
</cp:coreProperties>
</file>