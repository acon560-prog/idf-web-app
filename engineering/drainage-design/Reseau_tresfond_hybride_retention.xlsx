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  <sheet name="Convention_labels" sheetId="8" state="visible" r:id="rId8"/>
    <sheet name="Contraintes_ouest_utilites" sheetId="9" state="visible" r:id="rId9"/>
    <sheet name="Dimensionnement_es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&lt;1]0.000;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2" fillId="6" borderId="0" pivotButton="0" quotePrefix="0" xfId="0"/>
    <xf numFmtId="164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4156.21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15.1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1.026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10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  <row r="34">
      <c r="A34" s="4" t="inlineStr">
        <is>
          <t>Basin_corridor_width_m</t>
        </is>
      </c>
      <c r="B34" s="5" t="n">
        <v>2</v>
      </c>
      <c r="C34" s="4" t="inlineStr">
        <is>
          <t>m</t>
        </is>
      </c>
      <c r="D34" s="4" t="inlineStr">
        <is>
          <t>Largeur disponible entre batiment et cheminement pieton sud.</t>
        </is>
      </c>
    </row>
    <row r="35">
      <c r="A35" s="4" t="inlineStr">
        <is>
          <t>Basin_corridor_length_m</t>
        </is>
      </c>
      <c r="B35" s="5" t="n">
        <v>29.4</v>
      </c>
      <c r="C35" s="4" t="inlineStr">
        <is>
          <t>m</t>
        </is>
      </c>
      <c r="D35" s="4" t="inlineStr">
        <is>
          <t>Longueur exploitable du bassin lineaire sud.</t>
        </is>
      </c>
    </row>
    <row r="36">
      <c r="A36" s="4" t="inlineStr">
        <is>
          <t>Basin_target_depth_m</t>
        </is>
      </c>
      <c r="B36" s="5" t="n">
        <v>0.8</v>
      </c>
      <c r="C36" s="4" t="inlineStr">
        <is>
          <t>m</t>
        </is>
      </c>
      <c r="D36" s="4" t="inlineStr">
        <is>
          <t>Profondeur cible bassin de retention lineaire.</t>
        </is>
      </c>
    </row>
    <row r="37">
      <c r="A37" s="4" t="inlineStr">
        <is>
          <t>Basin_ret_top_level_m</t>
        </is>
      </c>
      <c r="B37" s="5" t="n">
        <v>102</v>
      </c>
      <c r="C37" s="4" t="inlineStr">
        <is>
          <t>m</t>
        </is>
      </c>
      <c r="D37" s="4" t="inlineStr">
        <is>
          <t>Niveau de reference du bassin (a ajuster avec topographie).</t>
        </is>
      </c>
    </row>
    <row r="38">
      <c r="A38" s="4" t="inlineStr">
        <is>
          <t>Basin_ret_invert_m</t>
        </is>
      </c>
      <c r="B38" s="5">
        <f>B37-B36</f>
        <v/>
      </c>
      <c r="C38" s="4" t="inlineStr">
        <is>
          <t>m</t>
        </is>
      </c>
      <c r="D38" s="4" t="inlineStr">
        <is>
          <t>Radier bassin lineaire (derive).</t>
        </is>
      </c>
    </row>
    <row r="39">
      <c r="A39" s="4" t="inlineStr">
        <is>
          <t>Max_cover_near_utilities_m</t>
        </is>
      </c>
      <c r="B39" s="5" t="n">
        <v>1.2</v>
      </c>
      <c r="C39" s="4" t="inlineStr">
        <is>
          <t>m</t>
        </is>
      </c>
      <c r="D39" s="4" t="inlineStr">
        <is>
          <t>Profondeur max recommandee dans zone lateraux ouest (approche conservatrice).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</cols>
  <sheetData>
    <row r="1">
      <c r="A1" s="1" t="inlineStr">
        <is>
          <t>ZONES TRIBUTAIRES - TOIT / TRESFOND / VERT</t>
        </is>
      </c>
    </row>
    <row r="2">
      <c r="K2" t="inlineStr">
        <is>
          <t>Routing des zones se fait via Element_ID (colonne J), independamment du renommage des noeuds.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</row>
    <row r="4">
      <c r="A4" s="4" t="inlineStr">
        <is>
          <t>Z01</t>
        </is>
      </c>
      <c r="B4" s="4" t="inlineStr">
        <is>
          <t>Toiture principale (bloc jaune)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IF(E4&lt;&gt;"",E4,IF(UPPER(TRIM(C4))="ROOF",Inputs!$B$10,IF(UPPER(TRIM(C4))="TRESFOND",Inputs!$B$11,IF(UPPER(TRIM(C4))="GRASS",Inputs!$B$12,Inputs!$B$13))))</f>
        <v/>
      </c>
      <c r="G4" s="7" t="n">
        <v>12</v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E04</t>
        </is>
      </c>
      <c r="K4" s="4" t="inlineStr">
        <is>
          <t>Toiture vers collecte sud</t>
        </is>
      </c>
    </row>
    <row r="5">
      <c r="A5" s="4" t="inlineStr">
        <is>
          <t>Z02</t>
        </is>
      </c>
      <c r="B5" s="4" t="inlineStr">
        <is>
          <t>Tresfond est (gris)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IF(E5&lt;&gt;"",E5,IF(UPPER(TRIM(C5))="ROOF",Inputs!$B$10,IF(UPPER(TRIM(C5))="TRESFOND",Inputs!$B$11,IF(UPPER(TRIM(C5))="GRASS",Inputs!$B$12,Inputs!$B$13))))</f>
        <v/>
      </c>
      <c r="G5" s="7" t="n">
        <v>8</v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E02</t>
        </is>
      </c>
      <c r="K5" s="4" t="inlineStr">
        <is>
          <t>Pente vers bande est</t>
        </is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IF(E6&lt;&gt;"",E6,IF(UPPER(TRIM(C6))="ROOF",Inputs!$B$10,IF(UPPER(TRIM(C6))="TRESFOND",Inputs!$B$11,IF(UPPER(TRIM(C6))="GRASS",Inputs!$B$12,Inputs!$B$13))))</f>
        <v/>
      </c>
      <c r="G6" s="7" t="n">
        <v>10</v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Vers underdrain est</t>
        </is>
      </c>
    </row>
    <row r="7">
      <c r="A7" s="4" t="inlineStr">
        <is>
          <t>Z04</t>
        </is>
      </c>
      <c r="B7" s="4" t="inlineStr">
        <is>
          <t>Ouest vert 1</t>
        </is>
      </c>
      <c r="C7" s="4" t="inlineStr">
        <is>
          <t>GRASS</t>
        </is>
      </c>
      <c r="D7" s="7" t="n">
        <v>12.5</v>
      </c>
      <c r="E7" s="7" t="inlineStr"/>
      <c r="F7" s="8">
        <f>IF(E7&lt;&gt;"",E7,IF(UPPER(TRIM(C7))="ROOF",Inputs!$B$10,IF(UPPER(TRIM(C7))="TRESFOND",Inputs!$B$11,IF(UPPER(TRIM(C7))="GRASS",Inputs!$B$12,Inputs!$B$13))))</f>
        <v/>
      </c>
      <c r="G7" s="7" t="n">
        <v>10</v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</t>
        </is>
      </c>
      <c r="K7" s="4" t="inlineStr">
        <is>
          <t>Vers collecte ouest</t>
        </is>
      </c>
    </row>
    <row r="8">
      <c r="A8" s="4" t="inlineStr">
        <is>
          <t>Z05</t>
        </is>
      </c>
      <c r="B8" s="4" t="inlineStr">
        <is>
          <t>Ouest vert 2</t>
        </is>
      </c>
      <c r="C8" s="4" t="inlineStr">
        <is>
          <t>GRASS</t>
        </is>
      </c>
      <c r="D8" s="7" t="n">
        <v>6.7</v>
      </c>
      <c r="E8" s="7" t="inlineStr"/>
      <c r="F8" s="8">
        <f>IF(E8&lt;&gt;"",E8,IF(UPPER(TRIM(C8))="ROOF",Inputs!$B$10,IF(UPPER(TRIM(C8))="TRESFOND",Inputs!$B$11,IF(UPPER(TRIM(C8))="GRASS",Inputs!$B$12,Inputs!$B$13))))</f>
        <v/>
      </c>
      <c r="G8" s="7" t="n">
        <v>10</v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</t>
        </is>
      </c>
      <c r="K8" s="4" t="inlineStr">
        <is>
          <t>Vers collecte ouest</t>
        </is>
      </c>
    </row>
    <row r="9">
      <c r="A9" s="4" t="inlineStr">
        <is>
          <t>Z06</t>
        </is>
      </c>
      <c r="B9" s="4" t="inlineStr">
        <is>
          <t>Ouest vert 3</t>
        </is>
      </c>
      <c r="C9" s="4" t="inlineStr">
        <is>
          <t>GRASS</t>
        </is>
      </c>
      <c r="D9" s="7" t="n">
        <v>27.2</v>
      </c>
      <c r="E9" s="7" t="inlineStr"/>
      <c r="F9" s="8">
        <f>IF(E9&lt;&gt;"",E9,IF(UPPER(TRIM(C9))="ROOF",Inputs!$B$10,IF(UPPER(TRIM(C9))="TRESFOND",Inputs!$B$11,IF(UPPER(TRIM(C9))="GRASS",Inputs!$B$12,Inputs!$B$13))))</f>
        <v/>
      </c>
      <c r="G9" s="7" t="n">
        <v>10</v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</t>
        </is>
      </c>
      <c r="K9" s="4" t="inlineStr">
        <is>
          <t>Vers collecte ouest</t>
        </is>
      </c>
    </row>
    <row r="10">
      <c r="A10" s="4" t="inlineStr">
        <is>
          <t>Z07</t>
        </is>
      </c>
      <c r="B10" s="4" t="inlineStr">
        <is>
          <t>Ouest pave-uni</t>
        </is>
      </c>
      <c r="C10" s="4" t="inlineStr">
        <is>
          <t>TRESFOND</t>
        </is>
      </c>
      <c r="D10" s="7" t="n">
        <v>37.5</v>
      </c>
      <c r="E10" s="7" t="inlineStr"/>
      <c r="F10" s="8">
        <f>IF(E10&lt;&gt;"",E10,IF(UPPER(TRIM(C10))="ROOF",Inputs!$B$10,IF(UPPER(TRIM(C10))="TRESFOND",Inputs!$B$11,IF(UPPER(TRIM(C10))="GRASS",Inputs!$B$12,Inputs!$B$13))))</f>
        <v/>
      </c>
      <c r="G10" s="7" t="n">
        <v>9</v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E05</t>
        </is>
      </c>
      <c r="K10" s="4" t="inlineStr">
        <is>
          <t>Surface mineralisee ouest</t>
        </is>
      </c>
    </row>
    <row r="11">
      <c r="A11" s="4" t="inlineStr">
        <is>
          <t>Z08</t>
        </is>
      </c>
      <c r="B11" s="4" t="inlineStr">
        <is>
          <t>Ouest vert 4</t>
        </is>
      </c>
      <c r="C11" s="4" t="inlineStr">
        <is>
          <t>GRASS</t>
        </is>
      </c>
      <c r="D11" s="7" t="n">
        <v>21.9</v>
      </c>
      <c r="E11" s="7" t="inlineStr"/>
      <c r="F11" s="8">
        <f>IF(E11&lt;&gt;"",E11,IF(UPPER(TRIM(C11))="ROOF",Inputs!$B$10,IF(UPPER(TRIM(C11))="TRESFOND",Inputs!$B$11,IF(UPPER(TRIM(C11))="GRASS",Inputs!$B$12,Inputs!$B$13))))</f>
        <v/>
      </c>
      <c r="G11" s="7" t="n">
        <v>10</v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E05</t>
        </is>
      </c>
      <c r="K11" s="4" t="inlineStr">
        <is>
          <t>Vers collecte ouest</t>
        </is>
      </c>
    </row>
    <row r="12">
      <c r="A12" s="4" t="inlineStr">
        <is>
          <t>Z09</t>
        </is>
      </c>
      <c r="B12" s="4" t="inlineStr">
        <is>
          <t>Bande sud verte centrale</t>
        </is>
      </c>
      <c r="C12" s="4" t="inlineStr">
        <is>
          <t>GRASS</t>
        </is>
      </c>
      <c r="D12" s="7" t="n">
        <v>109.7</v>
      </c>
      <c r="E12" s="7" t="inlineStr"/>
      <c r="F12" s="8">
        <f>IF(E12&lt;&gt;"",E12,IF(UPPER(TRIM(C12))="ROOF",Inputs!$B$10,IF(UPPER(TRIM(C12))="TRESFOND",Inputs!$B$11,IF(UPPER(TRIM(C12))="GRASS",Inputs!$B$12,Inputs!$B$13))))</f>
        <v/>
      </c>
      <c r="G12" s="7" t="n">
        <v>10</v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>
        <is>
          <t>E04</t>
        </is>
      </c>
      <c r="K12" s="4" t="inlineStr">
        <is>
          <t>Vers noue sud</t>
        </is>
      </c>
    </row>
    <row r="13">
      <c r="A13" s="4" t="inlineStr">
        <is>
          <t>Z10</t>
        </is>
      </c>
      <c r="B13" s="4" t="inlineStr">
        <is>
          <t>Sud gris local</t>
        </is>
      </c>
      <c r="C13" s="4" t="inlineStr">
        <is>
          <t>TRESFOND</t>
        </is>
      </c>
      <c r="D13" s="7" t="n">
        <v>44.3</v>
      </c>
      <c r="E13" s="7" t="inlineStr"/>
      <c r="F13" s="8">
        <f>IF(E13&lt;&gt;"",E13,IF(UPPER(TRIM(C13))="ROOF",Inputs!$B$10,IF(UPPER(TRIM(C13))="TRESFOND",Inputs!$B$11,IF(UPPER(TRIM(C13))="GRASS",Inputs!$B$12,Inputs!$B$13))))</f>
        <v/>
      </c>
      <c r="G13" s="7" t="n">
        <v>8</v>
      </c>
      <c r="H13" s="8">
        <f>IF(A13="","",Inputs!$B$3/((IF(G13="",Inputs!$B$14,G13)+Inputs!$B$4)^Inputs!$B$5))</f>
        <v/>
      </c>
      <c r="I13" s="8">
        <f>IF(A13="","",2.78E-7*F13*D13*H13)</f>
        <v/>
      </c>
      <c r="J13" s="4" t="inlineStr">
        <is>
          <t>E04</t>
        </is>
      </c>
      <c r="K13" s="4" t="inlineStr">
        <is>
          <t>Vers noue sud</t>
        </is>
      </c>
    </row>
    <row r="14">
      <c r="A14" s="4" t="inlineStr">
        <is>
          <t>Z11</t>
        </is>
      </c>
      <c r="B14" s="4" t="inlineStr">
        <is>
          <t>Sud est vert</t>
        </is>
      </c>
      <c r="C14" s="4" t="inlineStr">
        <is>
          <t>GRASS</t>
        </is>
      </c>
      <c r="D14" s="7" t="n">
        <v>20.5</v>
      </c>
      <c r="E14" s="7" t="inlineStr"/>
      <c r="F14" s="8">
        <f>IF(E14&lt;&gt;"",E14,IF(UPPER(TRIM(C14))="ROOF",Inputs!$B$10,IF(UPPER(TRIM(C14))="TRESFOND",Inputs!$B$11,IF(UPPER(TRIM(C14))="GRASS",Inputs!$B$12,Inputs!$B$13))))</f>
        <v/>
      </c>
      <c r="G14" s="7" t="n">
        <v>10</v>
      </c>
      <c r="H14" s="8">
        <f>IF(A14="","",Inputs!$B$3/((IF(G14="",Inputs!$B$14,G14)+Inputs!$B$4)^Inputs!$B$5))</f>
        <v/>
      </c>
      <c r="I14" s="8">
        <f>IF(A14="","",2.78E-7*F14*D14*H14)</f>
        <v/>
      </c>
      <c r="J14" s="4" t="inlineStr">
        <is>
          <t>E04</t>
        </is>
      </c>
      <c r="K14" s="4" t="inlineStr">
        <is>
          <t>Vers noue sud</t>
        </is>
      </c>
    </row>
    <row r="15">
      <c r="A15" s="4" t="inlineStr">
        <is>
          <t>Z12</t>
        </is>
      </c>
      <c r="B15" s="4" t="inlineStr">
        <is>
          <t>Sud est gris petit</t>
        </is>
      </c>
      <c r="C15" s="4" t="inlineStr">
        <is>
          <t>TRESFOND</t>
        </is>
      </c>
      <c r="D15" s="7" t="n">
        <v>5.8</v>
      </c>
      <c r="E15" s="7" t="inlineStr"/>
      <c r="F15" s="8">
        <f>IF(E15&lt;&gt;"",E15,IF(UPPER(TRIM(C15))="ROOF",Inputs!$B$10,IF(UPPER(TRIM(C15))="TRESFOND",Inputs!$B$11,IF(UPPER(TRIM(C15))="GRASS",Inputs!$B$12,Inputs!$B$13))))</f>
        <v/>
      </c>
      <c r="G15" s="7" t="n">
        <v>8</v>
      </c>
      <c r="H15" s="8">
        <f>IF(A15="","",Inputs!$B$3/((IF(G15="",Inputs!$B$14,G15)+Inputs!$B$4)^Inputs!$B$5))</f>
        <v/>
      </c>
      <c r="I15" s="8">
        <f>IF(A15="","",2.78E-7*F15*D15*H15)</f>
        <v/>
      </c>
      <c r="J15" s="4" t="inlineStr">
        <is>
          <t>E04</t>
        </is>
      </c>
      <c r="K15" s="4" t="inlineStr">
        <is>
          <t>Vers noue sud</t>
        </is>
      </c>
    </row>
    <row r="16">
      <c r="A16" s="4" t="n"/>
      <c r="B16" s="4" t="n"/>
      <c r="C16" s="4" t="n"/>
      <c r="D16" s="7" t="n"/>
      <c r="E16" s="7" t="n"/>
      <c r="F16" s="8">
        <f>IF(E16&lt;&gt;"",E16,IF(UPPER(TRIM(C16))="ROOF",Inputs!$B$10,IF(UPPER(TRIM(C16))="TRESFOND",Inputs!$B$11,IF(UPPER(TRIM(C16))="GRASS",Inputs!$B$12,Inputs!$B$13))))</f>
        <v/>
      </c>
      <c r="G16" s="7" t="n"/>
      <c r="H16" s="8">
        <f>IF(A16="","",Inputs!$B$3/((IF(G16="",Inputs!$B$14,G16)+Inputs!$B$4)^Inputs!$B$5))</f>
        <v/>
      </c>
      <c r="I16" s="8">
        <f>IF(A16="","",2.78E-7*F16*D16*H16)</f>
        <v/>
      </c>
      <c r="J16" s="4" t="n"/>
      <c r="K16" s="4" t="n"/>
    </row>
    <row r="17">
      <c r="A17" s="4" t="n"/>
      <c r="B17" s="4" t="n"/>
      <c r="C17" s="4" t="n"/>
      <c r="D17" s="7" t="n"/>
      <c r="E17" s="7" t="n"/>
      <c r="F17" s="8">
        <f>IF(E17&lt;&gt;"",E17,IF(UPPER(TRIM(C17))="ROOF",Inputs!$B$10,IF(UPPER(TRIM(C17))="TRESFOND",Inputs!$B$11,IF(UPPER(TRIM(C17))="GRASS",Inputs!$B$12,Inputs!$B$13))))</f>
        <v/>
      </c>
      <c r="G17" s="7" t="n"/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</row>
    <row r="18">
      <c r="A18" s="4" t="n"/>
      <c r="B18" s="4" t="n"/>
      <c r="C18" s="4" t="n"/>
      <c r="D18" s="7" t="n"/>
      <c r="E18" s="7" t="n"/>
      <c r="F18" s="8">
        <f>IF(E18&lt;&gt;"",E18,IF(UPPER(TRIM(C18))="ROOF",Inputs!$B$10,IF(UPPER(TRIM(C18))="TRESFOND",Inputs!$B$11,IF(UPPER(TRIM(C18))="GRASS",Inputs!$B$12,Inputs!$B$13))))</f>
        <v/>
      </c>
      <c r="G18" s="7" t="n"/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</row>
    <row r="19">
      <c r="A19" s="4" t="n"/>
      <c r="B19" s="4" t="n"/>
      <c r="C19" s="4" t="n"/>
      <c r="D19" s="7" t="n"/>
      <c r="E19" s="7" t="n"/>
      <c r="F19" s="8">
        <f>IF(E19&lt;&gt;"",E19,IF(UPPER(TRIM(C19))="ROOF",Inputs!$B$10,IF(UPPER(TRIM(C19))="TRESFOND",Inputs!$B$11,IF(UPPER(TRIM(C19))="GRASS",Inputs!$B$12,Inputs!$B$13))))</f>
        <v/>
      </c>
      <c r="G19" s="7" t="n"/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</row>
    <row r="20">
      <c r="A20" s="4" t="n"/>
      <c r="B20" s="4" t="n"/>
      <c r="C20" s="4" t="n"/>
      <c r="D20" s="7" t="n"/>
      <c r="E20" s="7" t="n"/>
      <c r="F20" s="8">
        <f>IF(E20&lt;&gt;"",E20,IF(UPPER(TRIM(C20))="ROOF",Inputs!$B$10,IF(UPPER(TRIM(C20))="TRESFOND",Inputs!$B$11,IF(UPPER(TRIM(C20))="GRASS",Inputs!$B$12,Inputs!$B$13))))</f>
        <v/>
      </c>
      <c r="G20" s="7" t="n"/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</row>
    <row r="21">
      <c r="A21" s="4" t="n"/>
      <c r="B21" s="4" t="n"/>
      <c r="C21" s="4" t="n"/>
      <c r="D21" s="7" t="n"/>
      <c r="E21" s="7" t="n"/>
      <c r="F21" s="8">
        <f>IF(E21&lt;&gt;"",E21,IF(UPPER(TRIM(C21))="ROOF",Inputs!$B$10,IF(UPPER(TRIM(C21))="TRESFOND",Inputs!$B$11,IF(UPPER(TRIM(C21))="GRASS",Inputs!$B$12,Inputs!$B$13))))</f>
        <v/>
      </c>
      <c r="G21" s="7" t="n"/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</row>
    <row r="22">
      <c r="A22" s="4" t="n"/>
      <c r="B22" s="4" t="n"/>
      <c r="C22" s="4" t="n"/>
      <c r="D22" s="7" t="n"/>
      <c r="E22" s="7" t="n"/>
      <c r="F22" s="8">
        <f>IF(E22&lt;&gt;"",E22,IF(UPPER(TRIM(C22))="ROOF",Inputs!$B$10,IF(UPPER(TRIM(C22))="TRESFOND",Inputs!$B$11,IF(UPPER(TRIM(C22))="GRASS",Inputs!$B$12,Inputs!$B$13))))</f>
        <v/>
      </c>
      <c r="G22" s="7" t="n"/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</row>
    <row r="23">
      <c r="A23" s="4" t="n"/>
      <c r="B23" s="4" t="n"/>
      <c r="C23" s="4" t="n"/>
      <c r="D23" s="7" t="n"/>
      <c r="E23" s="7" t="n"/>
      <c r="F23" s="8">
        <f>IF(E23&lt;&gt;"",E23,IF(UPPER(TRIM(C23))="ROOF",Inputs!$B$10,IF(UPPER(TRIM(C23))="TRESFOND",Inputs!$B$11,IF(UPPER(TRIM(C23))="GRASS",Inputs!$B$12,Inputs!$B$13))))</f>
        <v/>
      </c>
      <c r="G23" s="7" t="n"/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</row>
    <row r="24">
      <c r="A24" s="4" t="n"/>
      <c r="B24" s="4" t="n"/>
      <c r="C24" s="4" t="n"/>
      <c r="D24" s="7" t="n"/>
      <c r="E24" s="7" t="n"/>
      <c r="F24" s="8">
        <f>IF(E24&lt;&gt;"",E24,IF(UPPER(TRIM(C24))="ROOF",Inputs!$B$10,IF(UPPER(TRIM(C24))="TRESFOND",Inputs!$B$11,IF(UPPER(TRIM(C24))="GRASS",Inputs!$B$12,Inputs!$B$13))))</f>
        <v/>
      </c>
      <c r="G24" s="7" t="n"/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</row>
    <row r="25">
      <c r="A25" s="4" t="n"/>
      <c r="B25" s="4" t="n"/>
      <c r="C25" s="4" t="n"/>
      <c r="D25" s="7" t="n"/>
      <c r="E25" s="7" t="n"/>
      <c r="F25" s="8">
        <f>IF(E25&lt;&gt;"",E25,IF(UPPER(TRIM(C25))="ROOF",Inputs!$B$10,IF(UPPER(TRIM(C25))="TRESFOND",Inputs!$B$11,IF(UPPER(TRIM(C25))="GRASS",Inputs!$B$12,Inputs!$B$13))))</f>
        <v/>
      </c>
      <c r="G25" s="7" t="n"/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</row>
    <row r="26">
      <c r="A26" s="4" t="n"/>
      <c r="B26" s="4" t="n"/>
      <c r="C26" s="4" t="n"/>
      <c r="D26" s="7" t="n"/>
      <c r="E26" s="7" t="n"/>
      <c r="F26" s="8">
        <f>IF(E26&lt;&gt;"",E26,IF(UPPER(TRIM(C26))="ROOF",Inputs!$B$10,IF(UPPER(TRIM(C26))="TRESFOND",Inputs!$B$11,IF(UPPER(TRIM(C26))="GRASS",Inputs!$B$12,Inputs!$B$13))))</f>
        <v/>
      </c>
      <c r="G26" s="7" t="n"/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</row>
    <row r="27">
      <c r="A27" s="4" t="n"/>
      <c r="B27" s="4" t="n"/>
      <c r="C27" s="4" t="n"/>
      <c r="D27" s="7" t="n"/>
      <c r="E27" s="7" t="n"/>
      <c r="F27" s="8">
        <f>IF(E27&lt;&gt;"",E27,IF(UPPER(TRIM(C27))="ROOF",Inputs!$B$10,IF(UPPER(TRIM(C27))="TRESFOND",Inputs!$B$11,IF(UPPER(TRIM(C27))="GRASS",Inputs!$B$12,Inputs!$B$13))))</f>
        <v/>
      </c>
      <c r="G27" s="7" t="n"/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</row>
    <row r="28">
      <c r="A28" s="4" t="n"/>
      <c r="B28" s="4" t="n"/>
      <c r="C28" s="4" t="n"/>
      <c r="D28" s="7" t="n"/>
      <c r="E28" s="7" t="n"/>
      <c r="F28" s="8">
        <f>IF(E28&lt;&gt;"",E28,IF(UPPER(TRIM(C28))="ROOF",Inputs!$B$10,IF(UPPER(TRIM(C28))="TRESFOND",Inputs!$B$11,IF(UPPER(TRIM(C28))="GRASS",Inputs!$B$12,Inputs!$B$13))))</f>
        <v/>
      </c>
      <c r="G28" s="7" t="n"/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</row>
    <row r="29">
      <c r="A29" s="4" t="n"/>
      <c r="B29" s="4" t="n"/>
      <c r="C29" s="4" t="n"/>
      <c r="D29" s="7" t="n"/>
      <c r="E29" s="7" t="n"/>
      <c r="F29" s="8">
        <f>IF(E29&lt;&gt;"",E29,IF(UPPER(TRIM(C29))="ROOF",Inputs!$B$10,IF(UPPER(TRIM(C29))="TRESFOND",Inputs!$B$11,IF(UPPER(TRIM(C29))="GRASS",Inputs!$B$12,Inputs!$B$13))))</f>
        <v/>
      </c>
      <c r="G29" s="7" t="n"/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</row>
    <row r="30">
      <c r="A30" s="4" t="n"/>
      <c r="B30" s="4" t="n"/>
      <c r="C30" s="4" t="n"/>
      <c r="D30" s="7" t="n"/>
      <c r="E30" s="7" t="n"/>
      <c r="F30" s="8">
        <f>IF(E30&lt;&gt;"",E30,IF(UPPER(TRIM(C30))="ROOF",Inputs!$B$10,IF(UPPER(TRIM(C30))="TRESFOND",Inputs!$B$11,IF(UPPER(TRIM(C30))="GRASS",Inputs!$B$12,Inputs!$B$13))))</f>
        <v/>
      </c>
      <c r="G30" s="7" t="n"/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</row>
    <row r="31">
      <c r="A31" s="4" t="n"/>
      <c r="B31" s="4" t="n"/>
      <c r="C31" s="4" t="n"/>
      <c r="D31" s="7" t="n"/>
      <c r="E31" s="7" t="n"/>
      <c r="F31" s="8">
        <f>IF(E31&lt;&gt;"",E31,IF(UPPER(TRIM(C31))="ROOF",Inputs!$B$10,IF(UPPER(TRIM(C31))="TRESFOND",Inputs!$B$11,IF(UPPER(TRIM(C31))="GRASS",Inputs!$B$12,Inputs!$B$13))))</f>
        <v/>
      </c>
      <c r="G31" s="7" t="n"/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</row>
    <row r="32">
      <c r="A32" s="4" t="n"/>
      <c r="B32" s="4" t="n"/>
      <c r="C32" s="4" t="n"/>
      <c r="D32" s="7" t="n"/>
      <c r="E32" s="7" t="n"/>
      <c r="F32" s="8">
        <f>IF(E32&lt;&gt;"",E32,IF(UPPER(TRIM(C32))="ROOF",Inputs!$B$10,IF(UPPER(TRIM(C32))="TRESFOND",Inputs!$B$11,IF(UPPER(TRIM(C32))="GRASS",Inputs!$B$12,Inputs!$B$13))))</f>
        <v/>
      </c>
      <c r="G32" s="7" t="n"/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</row>
    <row r="33">
      <c r="A33" s="4" t="n"/>
      <c r="B33" s="4" t="n"/>
      <c r="C33" s="4" t="n"/>
      <c r="D33" s="7" t="n"/>
      <c r="E33" s="7" t="n"/>
      <c r="F33" s="8">
        <f>IF(E33&lt;&gt;"",E33,IF(UPPER(TRIM(C33))="ROOF",Inputs!$B$10,IF(UPPER(TRIM(C33))="TRESFOND",Inputs!$B$11,IF(UPPER(TRIM(C33))="GRASS",Inputs!$B$12,Inputs!$B$13))))</f>
        <v/>
      </c>
      <c r="G33" s="7" t="n"/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</row>
    <row r="34">
      <c r="A34" s="4" t="n"/>
      <c r="B34" s="4" t="n"/>
      <c r="C34" s="4" t="n"/>
      <c r="D34" s="7" t="n"/>
      <c r="E34" s="7" t="n"/>
      <c r="F34" s="8">
        <f>IF(E34&lt;&gt;"",E34,IF(UPPER(TRIM(C34))="ROOF",Inputs!$B$10,IF(UPPER(TRIM(C34))="TRESFOND",Inputs!$B$11,IF(UPPER(TRIM(C34))="GRASS",Inputs!$B$12,Inputs!$B$13))))</f>
        <v/>
      </c>
      <c r="G34" s="7" t="n"/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</row>
    <row r="35">
      <c r="A35" s="4" t="n"/>
      <c r="B35" s="4" t="n"/>
      <c r="C35" s="4" t="n"/>
      <c r="D35" s="7" t="n"/>
      <c r="E35" s="7" t="n"/>
      <c r="F35" s="8">
        <f>IF(E35&lt;&gt;"",E35,IF(UPPER(TRIM(C35))="ROOF",Inputs!$B$10,IF(UPPER(TRIM(C35))="TRESFOND",Inputs!$B$11,IF(UPPER(TRIM(C35))="GRASS",Inputs!$B$12,Inputs!$B$13))))</f>
        <v/>
      </c>
      <c r="G35" s="7" t="n"/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</row>
    <row r="36">
      <c r="A36" s="4" t="n"/>
      <c r="B36" s="4" t="n"/>
      <c r="C36" s="4" t="n"/>
      <c r="D36" s="7" t="n"/>
      <c r="E36" s="7" t="n"/>
      <c r="F36" s="8">
        <f>IF(E36&lt;&gt;"",E36,IF(UPPER(TRIM(C36))="ROOF",Inputs!$B$10,IF(UPPER(TRIM(C36))="TRESFOND",Inputs!$B$11,IF(UPPER(TRIM(C36))="GRASS",Inputs!$B$12,Inputs!$B$13))))</f>
        <v/>
      </c>
      <c r="G36" s="7" t="n"/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</row>
    <row r="37">
      <c r="A37" s="4" t="n"/>
      <c r="B37" s="4" t="n"/>
      <c r="C37" s="4" t="n"/>
      <c r="D37" s="7" t="n"/>
      <c r="E37" s="7" t="n"/>
      <c r="F37" s="8">
        <f>IF(E37&lt;&gt;"",E37,IF(UPPER(TRIM(C37))="ROOF",Inputs!$B$10,IF(UPPER(TRIM(C37))="TRESFOND",Inputs!$B$11,IF(UPPER(TRIM(C37))="GRASS",Inputs!$B$12,Inputs!$B$13))))</f>
        <v/>
      </c>
      <c r="G37" s="7" t="n"/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</row>
    <row r="38">
      <c r="A38" s="4" t="n"/>
      <c r="B38" s="4" t="n"/>
      <c r="C38" s="4" t="n"/>
      <c r="D38" s="7" t="n"/>
      <c r="E38" s="7" t="n"/>
      <c r="F38" s="8">
        <f>IF(E38&lt;&gt;"",E38,IF(UPPER(TRIM(C38))="ROOF",Inputs!$B$10,IF(UPPER(TRIM(C38))="TRESFOND",Inputs!$B$11,IF(UPPER(TRIM(C38))="GRASS",Inputs!$B$12,Inputs!$B$13))))</f>
        <v/>
      </c>
      <c r="G38" s="7" t="n"/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</row>
    <row r="39">
      <c r="A39" s="4" t="n"/>
      <c r="B39" s="4" t="n"/>
      <c r="C39" s="4" t="n"/>
      <c r="D39" s="7" t="n"/>
      <c r="E39" s="7" t="n"/>
      <c r="F39" s="8">
        <f>IF(E39&lt;&gt;"",E39,IF(UPPER(TRIM(C39))="ROOF",Inputs!$B$10,IF(UPPER(TRIM(C39))="TRESFOND",Inputs!$B$11,IF(UPPER(TRIM(C39))="GRASS",Inputs!$B$12,Inputs!$B$13))))</f>
        <v/>
      </c>
      <c r="G39" s="7" t="n"/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</row>
    <row r="40">
      <c r="A40" s="4" t="n"/>
      <c r="B40" s="4" t="n"/>
      <c r="C40" s="4" t="n"/>
      <c r="D40" s="7" t="n"/>
      <c r="E40" s="7" t="n"/>
      <c r="F40" s="8">
        <f>IF(E40&lt;&gt;"",E40,IF(UPPER(TRIM(C40))="ROOF",Inputs!$B$10,IF(UPPER(TRIM(C40))="TRESFOND",Inputs!$B$11,IF(UPPER(TRIM(C40))="GRASS",Inputs!$B$12,Inputs!$B$13))))</f>
        <v/>
      </c>
      <c r="G40" s="7" t="n"/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</row>
    <row r="41">
      <c r="A41" s="4" t="n"/>
      <c r="B41" s="4" t="n"/>
      <c r="C41" s="4" t="n"/>
      <c r="D41" s="7" t="n"/>
      <c r="E41" s="7" t="n"/>
      <c r="F41" s="8">
        <f>IF(E41&lt;&gt;"",E41,IF(UPPER(TRIM(C41))="ROOF",Inputs!$B$10,IF(UPPER(TRIM(C41))="TRESFOND",Inputs!$B$11,IF(UPPER(TRIM(C41))="GRASS",Inputs!$B$12,Inputs!$B$13))))</f>
        <v/>
      </c>
      <c r="G41" s="7" t="n"/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</row>
    <row r="42">
      <c r="A42" s="4" t="n"/>
      <c r="B42" s="4" t="n"/>
      <c r="C42" s="4" t="n"/>
      <c r="D42" s="7" t="n"/>
      <c r="E42" s="7" t="n"/>
      <c r="F42" s="8">
        <f>IF(E42&lt;&gt;"",E42,IF(UPPER(TRIM(C42))="ROOF",Inputs!$B$10,IF(UPPER(TRIM(C42))="TRESFOND",Inputs!$B$11,IF(UPPER(TRIM(C42))="GRASS",Inputs!$B$12,Inputs!$B$13))))</f>
        <v/>
      </c>
      <c r="G42" s="7" t="n"/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</row>
    <row r="43">
      <c r="A43" s="4" t="n"/>
      <c r="B43" s="4" t="n"/>
      <c r="C43" s="4" t="n"/>
      <c r="D43" s="7" t="n"/>
      <c r="E43" s="7" t="n"/>
      <c r="F43" s="8">
        <f>IF(E43&lt;&gt;"",E43,IF(UPPER(TRIM(C43))="ROOF",Inputs!$B$10,IF(UPPER(TRIM(C43))="TRESFOND",Inputs!$B$11,IF(UPPER(TRIM(C43))="GRASS",Inputs!$B$12,Inputs!$B$13))))</f>
        <v/>
      </c>
      <c r="G43" s="7" t="n"/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</row>
    <row r="44">
      <c r="A44" s="4" t="n"/>
      <c r="B44" s="4" t="n"/>
      <c r="C44" s="4" t="n"/>
      <c r="D44" s="7" t="n"/>
      <c r="E44" s="7" t="n"/>
      <c r="F44" s="8">
        <f>IF(E44&lt;&gt;"",E44,IF(UPPER(TRIM(C44))="ROOF",Inputs!$B$10,IF(UPPER(TRIM(C44))="TRESFOND",Inputs!$B$11,IF(UPPER(TRIM(C44))="GRASS",Inputs!$B$12,Inputs!$B$13))))</f>
        <v/>
      </c>
      <c r="G44" s="7" t="n"/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</row>
    <row r="45">
      <c r="A45" s="4" t="n"/>
      <c r="B45" s="4" t="n"/>
      <c r="C45" s="4" t="n"/>
      <c r="D45" s="7" t="n"/>
      <c r="E45" s="7" t="n"/>
      <c r="F45" s="8">
        <f>IF(E45&lt;&gt;"",E45,IF(UPPER(TRIM(C45))="ROOF",Inputs!$B$10,IF(UPPER(TRIM(C45))="TRESFOND",Inputs!$B$11,IF(UPPER(TRIM(C45))="GRASS",Inputs!$B$12,Inputs!$B$13))))</f>
        <v/>
      </c>
      <c r="G45" s="7" t="n"/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</row>
    <row r="46">
      <c r="A46" s="4" t="n"/>
      <c r="B46" s="4" t="n"/>
      <c r="C46" s="4" t="n"/>
      <c r="D46" s="7" t="n"/>
      <c r="E46" s="7" t="n"/>
      <c r="F46" s="8">
        <f>IF(E46&lt;&gt;"",E46,IF(UPPER(TRIM(C46))="ROOF",Inputs!$B$10,IF(UPPER(TRIM(C46))="TRESFOND",Inputs!$B$11,IF(UPPER(TRIM(C46))="GRASS",Inputs!$B$12,Inputs!$B$13))))</f>
        <v/>
      </c>
      <c r="G46" s="7" t="n"/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</row>
    <row r="47">
      <c r="A47" s="4" t="n"/>
      <c r="B47" s="4" t="n"/>
      <c r="C47" s="4" t="n"/>
      <c r="D47" s="7" t="n"/>
      <c r="E47" s="7" t="n"/>
      <c r="F47" s="8">
        <f>IF(E47&lt;&gt;"",E47,IF(UPPER(TRIM(C47))="ROOF",Inputs!$B$10,IF(UPPER(TRIM(C47))="TRESFOND",Inputs!$B$11,IF(UPPER(TRIM(C47))="GRASS",Inputs!$B$12,Inputs!$B$13))))</f>
        <v/>
      </c>
      <c r="G47" s="7" t="n"/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</row>
    <row r="48">
      <c r="A48" s="4" t="n"/>
      <c r="B48" s="4" t="n"/>
      <c r="C48" s="4" t="n"/>
      <c r="D48" s="7" t="n"/>
      <c r="E48" s="7" t="n"/>
      <c r="F48" s="8">
        <f>IF(E48&lt;&gt;"",E48,IF(UPPER(TRIM(C48))="ROOF",Inputs!$B$10,IF(UPPER(TRIM(C48))="TRESFOND",Inputs!$B$11,IF(UPPER(TRIM(C48))="GRASS",Inputs!$B$12,Inputs!$B$13))))</f>
        <v/>
      </c>
      <c r="G48" s="7" t="n"/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</row>
    <row r="49">
      <c r="A49" s="4" t="n"/>
      <c r="B49" s="4" t="n"/>
      <c r="C49" s="4" t="n"/>
      <c r="D49" s="7" t="n"/>
      <c r="E49" s="7" t="n"/>
      <c r="F49" s="8">
        <f>IF(E49&lt;&gt;"",E49,IF(UPPER(TRIM(C49))="ROOF",Inputs!$B$10,IF(UPPER(TRIM(C49))="TRESFOND",Inputs!$B$11,IF(UPPER(TRIM(C49))="GRASS",Inputs!$B$12,Inputs!$B$13))))</f>
        <v/>
      </c>
      <c r="G49" s="7" t="n"/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</row>
    <row r="50">
      <c r="A50" s="4" t="n"/>
      <c r="B50" s="4" t="n"/>
      <c r="C50" s="4" t="n"/>
      <c r="D50" s="7" t="n"/>
      <c r="E50" s="7" t="n"/>
      <c r="F50" s="8">
        <f>IF(E50&lt;&gt;"",E50,IF(UPPER(TRIM(C50))="ROOF",Inputs!$B$10,IF(UPPER(TRIM(C50))="TRESFOND",Inputs!$B$11,IF(UPPER(TRIM(C50))="GRASS",Inputs!$B$12,Inputs!$B$13))))</f>
        <v/>
      </c>
      <c r="G50" s="7" t="n"/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</row>
    <row r="51">
      <c r="A51" s="4" t="n"/>
      <c r="B51" s="4" t="n"/>
      <c r="C51" s="4" t="n"/>
      <c r="D51" s="7" t="n"/>
      <c r="E51" s="7" t="n"/>
      <c r="F51" s="8">
        <f>IF(E51&lt;&gt;"",E51,IF(UPPER(TRIM(C51))="ROOF",Inputs!$B$10,IF(UPPER(TRIM(C51))="TRESFOND",Inputs!$B$11,IF(UPPER(TRIM(C51))="GRASS",Inputs!$B$12,Inputs!$B$13))))</f>
        <v/>
      </c>
      <c r="G51" s="7" t="n"/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</row>
    <row r="52">
      <c r="A52" s="4" t="n"/>
      <c r="B52" s="4" t="n"/>
      <c r="C52" s="4" t="n"/>
      <c r="D52" s="7" t="n"/>
      <c r="E52" s="7" t="n"/>
      <c r="F52" s="8">
        <f>IF(E52&lt;&gt;"",E52,IF(UPPER(TRIM(C52))="ROOF",Inputs!$B$10,IF(UPPER(TRIM(C52))="TRESFOND",Inputs!$B$11,IF(UPPER(TRIM(C52))="GRASS",Inputs!$B$12,Inputs!$B$13))))</f>
        <v/>
      </c>
      <c r="G52" s="7" t="n"/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</row>
    <row r="53">
      <c r="A53" s="4" t="n"/>
      <c r="B53" s="4" t="n"/>
      <c r="C53" s="4" t="n"/>
      <c r="D53" s="7" t="n"/>
      <c r="E53" s="7" t="n"/>
      <c r="F53" s="8">
        <f>IF(E53&lt;&gt;"",E53,IF(UPPER(TRIM(C53))="ROOF",Inputs!$B$10,IF(UPPER(TRIM(C53))="TRESFOND",Inputs!$B$11,IF(UPPER(TRIM(C53))="GRASS",Inputs!$B$12,Inputs!$B$13))))</f>
        <v/>
      </c>
      <c r="G53" s="7" t="n"/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</row>
    <row r="54">
      <c r="A54" s="4" t="n"/>
      <c r="B54" s="4" t="n"/>
      <c r="C54" s="4" t="n"/>
      <c r="D54" s="7" t="n"/>
      <c r="E54" s="7" t="n"/>
      <c r="F54" s="8">
        <f>IF(E54&lt;&gt;"",E54,IF(UPPER(TRIM(C54))="ROOF",Inputs!$B$10,IF(UPPER(TRIM(C54))="TRESFOND",Inputs!$B$11,IF(UPPER(TRIM(C54))="GRASS",Inputs!$B$12,Inputs!$B$13))))</f>
        <v/>
      </c>
      <c r="G54" s="7" t="n"/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</row>
    <row r="55">
      <c r="A55" s="4" t="n"/>
      <c r="B55" s="4" t="n"/>
      <c r="C55" s="4" t="n"/>
      <c r="D55" s="7" t="n"/>
      <c r="E55" s="7" t="n"/>
      <c r="F55" s="8">
        <f>IF(E55&lt;&gt;"",E55,IF(UPPER(TRIM(C55))="ROOF",Inputs!$B$10,IF(UPPER(TRIM(C55))="TRESFOND",Inputs!$B$11,IF(UPPER(TRIM(C55))="GRASS",Inputs!$B$12,Inputs!$B$13))))</f>
        <v/>
      </c>
      <c r="G55" s="7" t="n"/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</row>
    <row r="56">
      <c r="A56" s="4" t="n"/>
      <c r="B56" s="4" t="n"/>
      <c r="C56" s="4" t="n"/>
      <c r="D56" s="7" t="n"/>
      <c r="E56" s="7" t="n"/>
      <c r="F56" s="8">
        <f>IF(E56&lt;&gt;"",E56,IF(UPPER(TRIM(C56))="ROOF",Inputs!$B$10,IF(UPPER(TRIM(C56))="TRESFOND",Inputs!$B$11,IF(UPPER(TRIM(C56))="GRASS",Inputs!$B$12,Inputs!$B$13))))</f>
        <v/>
      </c>
      <c r="G56" s="7" t="n"/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</row>
    <row r="57">
      <c r="A57" s="4" t="n"/>
      <c r="B57" s="4" t="n"/>
      <c r="C57" s="4" t="n"/>
      <c r="D57" s="7" t="n"/>
      <c r="E57" s="7" t="n"/>
      <c r="F57" s="8">
        <f>IF(E57&lt;&gt;"",E57,IF(UPPER(TRIM(C57))="ROOF",Inputs!$B$10,IF(UPPER(TRIM(C57))="TRESFOND",Inputs!$B$11,IF(UPPER(TRIM(C57))="GRASS",Inputs!$B$12,Inputs!$B$13))))</f>
        <v/>
      </c>
      <c r="G57" s="7" t="n"/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</row>
    <row r="58">
      <c r="A58" s="4" t="n"/>
      <c r="B58" s="4" t="n"/>
      <c r="C58" s="4" t="n"/>
      <c r="D58" s="7" t="n"/>
      <c r="E58" s="7" t="n"/>
      <c r="F58" s="8">
        <f>IF(E58&lt;&gt;"",E58,IF(UPPER(TRIM(C58))="ROOF",Inputs!$B$10,IF(UPPER(TRIM(C58))="TRESFOND",Inputs!$B$11,IF(UPPER(TRIM(C58))="GRASS",Inputs!$B$12,Inputs!$B$13))))</f>
        <v/>
      </c>
      <c r="G58" s="7" t="n"/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</row>
    <row r="59">
      <c r="A59" s="4" t="n"/>
      <c r="B59" s="4" t="n"/>
      <c r="C59" s="4" t="n"/>
      <c r="D59" s="7" t="n"/>
      <c r="E59" s="7" t="n"/>
      <c r="F59" s="8">
        <f>IF(E59&lt;&gt;"",E59,IF(UPPER(TRIM(C59))="ROOF",Inputs!$B$10,IF(UPPER(TRIM(C59))="TRESFOND",Inputs!$B$11,IF(UPPER(TRIM(C59))="GRASS",Inputs!$B$12,Inputs!$B$13))))</f>
        <v/>
      </c>
      <c r="G59" s="7" t="n"/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</row>
    <row r="60">
      <c r="A60" s="4" t="n"/>
      <c r="B60" s="4" t="n"/>
      <c r="C60" s="4" t="n"/>
      <c r="D60" s="7" t="n"/>
      <c r="E60" s="7" t="n"/>
      <c r="F60" s="8">
        <f>IF(E60&lt;&gt;"",E60,IF(UPPER(TRIM(C60))="ROOF",Inputs!$B$10,IF(UPPER(TRIM(C60))="TRESFOND",Inputs!$B$11,IF(UPPER(TRIM(C60))="GRASS",Inputs!$B$12,Inputs!$B$13))))</f>
        <v/>
      </c>
      <c r="G60" s="7" t="n"/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</row>
    <row r="61">
      <c r="A61" s="4" t="n"/>
      <c r="B61" s="4" t="n"/>
      <c r="C61" s="4" t="n"/>
      <c r="D61" s="7" t="n"/>
      <c r="E61" s="7" t="n"/>
      <c r="F61" s="8">
        <f>IF(E61&lt;&gt;"",E61,IF(UPPER(TRIM(C61))="ROOF",Inputs!$B$10,IF(UPPER(TRIM(C61))="TRESFOND",Inputs!$B$11,IF(UPPER(TRIM(C61))="GRASS",Inputs!$B$12,Inputs!$B$13))))</f>
        <v/>
      </c>
      <c r="G61" s="7" t="n"/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</row>
    <row r="62">
      <c r="A62" s="4" t="n"/>
      <c r="B62" s="4" t="n"/>
      <c r="C62" s="4" t="n"/>
      <c r="D62" s="7" t="n"/>
      <c r="E62" s="7" t="n"/>
      <c r="F62" s="8">
        <f>IF(E62&lt;&gt;"",E62,IF(UPPER(TRIM(C62))="ROOF",Inputs!$B$10,IF(UPPER(TRIM(C62))="TRESFOND",Inputs!$B$11,IF(UPPER(TRIM(C62))="GRASS",Inputs!$B$12,Inputs!$B$13))))</f>
        <v/>
      </c>
      <c r="G62" s="7" t="n"/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</row>
    <row r="63">
      <c r="A63" s="4" t="n"/>
      <c r="B63" s="4" t="n"/>
      <c r="C63" s="4" t="n"/>
      <c r="D63" s="7" t="n"/>
      <c r="E63" s="7" t="n"/>
      <c r="F63" s="8">
        <f>IF(E63&lt;&gt;"",E63,IF(UPPER(TRIM(C63))="ROOF",Inputs!$B$10,IF(UPPER(TRIM(C63))="TRESFOND",Inputs!$B$11,IF(UPPER(TRIM(C63))="GRASS",Inputs!$B$12,Inputs!$B$13))))</f>
        <v/>
      </c>
      <c r="G63" s="7" t="n"/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</row>
    <row r="64">
      <c r="A64" s="4" t="n"/>
      <c r="B64" s="4" t="n"/>
      <c r="C64" s="4" t="n"/>
      <c r="D64" s="7" t="n"/>
      <c r="E64" s="7" t="n"/>
      <c r="F64" s="8">
        <f>IF(E64&lt;&gt;"",E64,IF(UPPER(TRIM(C64))="ROOF",Inputs!$B$10,IF(UPPER(TRIM(C64))="TRESFOND",Inputs!$B$11,IF(UPPER(TRIM(C64))="GRASS",Inputs!$B$12,Inputs!$B$13))))</f>
        <v/>
      </c>
      <c r="G64" s="7" t="n"/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</row>
    <row r="65">
      <c r="A65" s="4" t="n"/>
      <c r="B65" s="4" t="n"/>
      <c r="C65" s="4" t="n"/>
      <c r="D65" s="7" t="n"/>
      <c r="E65" s="7" t="n"/>
      <c r="F65" s="8">
        <f>IF(E65&lt;&gt;"",E65,IF(UPPER(TRIM(C65))="ROOF",Inputs!$B$10,IF(UPPER(TRIM(C65))="TRESFOND",Inputs!$B$11,IF(UPPER(TRIM(C65))="GRASS",Inputs!$B$12,Inputs!$B$13))))</f>
        <v/>
      </c>
      <c r="G65" s="7" t="n"/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</row>
    <row r="66">
      <c r="A66" s="4" t="n"/>
      <c r="B66" s="4" t="n"/>
      <c r="C66" s="4" t="n"/>
      <c r="D66" s="7" t="n"/>
      <c r="E66" s="7" t="n"/>
      <c r="F66" s="8">
        <f>IF(E66&lt;&gt;"",E66,IF(UPPER(TRIM(C66))="ROOF",Inputs!$B$10,IF(UPPER(TRIM(C66))="TRESFOND",Inputs!$B$11,IF(UPPER(TRIM(C66))="GRASS",Inputs!$B$12,Inputs!$B$13))))</f>
        <v/>
      </c>
      <c r="G66" s="7" t="n"/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</row>
    <row r="67">
      <c r="A67" s="4" t="n"/>
      <c r="B67" s="4" t="n"/>
      <c r="C67" s="4" t="n"/>
      <c r="D67" s="7" t="n"/>
      <c r="E67" s="7" t="n"/>
      <c r="F67" s="8">
        <f>IF(E67&lt;&gt;"",E67,IF(UPPER(TRIM(C67))="ROOF",Inputs!$B$10,IF(UPPER(TRIM(C67))="TRESFOND",Inputs!$B$11,IF(UPPER(TRIM(C67))="GRASS",Inputs!$B$12,Inputs!$B$13))))</f>
        <v/>
      </c>
      <c r="G67" s="7" t="n"/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</row>
    <row r="68">
      <c r="A68" s="4" t="n"/>
      <c r="B68" s="4" t="n"/>
      <c r="C68" s="4" t="n"/>
      <c r="D68" s="7" t="n"/>
      <c r="E68" s="7" t="n"/>
      <c r="F68" s="8">
        <f>IF(E68&lt;&gt;"",E68,IF(UPPER(TRIM(C68))="ROOF",Inputs!$B$10,IF(UPPER(TRIM(C68))="TRESFOND",Inputs!$B$11,IF(UPPER(TRIM(C68))="GRASS",Inputs!$B$12,Inputs!$B$13))))</f>
        <v/>
      </c>
      <c r="G68" s="7" t="n"/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</row>
    <row r="69">
      <c r="A69" s="4" t="n"/>
      <c r="B69" s="4" t="n"/>
      <c r="C69" s="4" t="n"/>
      <c r="D69" s="7" t="n"/>
      <c r="E69" s="7" t="n"/>
      <c r="F69" s="8">
        <f>IF(E69&lt;&gt;"",E69,IF(UPPER(TRIM(C69))="ROOF",Inputs!$B$10,IF(UPPER(TRIM(C69))="TRESFOND",Inputs!$B$11,IF(UPPER(TRIM(C69))="GRASS",Inputs!$B$12,Inputs!$B$13))))</f>
        <v/>
      </c>
      <c r="G69" s="7" t="n"/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</row>
    <row r="70">
      <c r="A70" s="4" t="n"/>
      <c r="B70" s="4" t="n"/>
      <c r="C70" s="4" t="n"/>
      <c r="D70" s="7" t="n"/>
      <c r="E70" s="7" t="n"/>
      <c r="F70" s="8">
        <f>IF(E70&lt;&gt;"",E70,IF(UPPER(TRIM(C70))="ROOF",Inputs!$B$10,IF(UPPER(TRIM(C70))="TRESFOND",Inputs!$B$11,IF(UPPER(TRIM(C70))="GRASS",Inputs!$B$12,Inputs!$B$13))))</f>
        <v/>
      </c>
      <c r="G70" s="7" t="n"/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</row>
    <row r="71">
      <c r="A71" s="4" t="n"/>
      <c r="B71" s="4" t="n"/>
      <c r="C71" s="4" t="n"/>
      <c r="D71" s="7" t="n"/>
      <c r="E71" s="7" t="n"/>
      <c r="F71" s="8">
        <f>IF(E71&lt;&gt;"",E71,IF(UPPER(TRIM(C71))="ROOF",Inputs!$B$10,IF(UPPER(TRIM(C71))="TRESFOND",Inputs!$B$11,IF(UPPER(TRIM(C71))="GRASS",Inputs!$B$12,Inputs!$B$13))))</f>
        <v/>
      </c>
      <c r="G71" s="7" t="n"/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</row>
    <row r="72">
      <c r="A72" s="4" t="n"/>
      <c r="B72" s="4" t="n"/>
      <c r="C72" s="4" t="n"/>
      <c r="D72" s="7" t="n"/>
      <c r="E72" s="7" t="n"/>
      <c r="F72" s="8">
        <f>IF(E72&lt;&gt;"",E72,IF(UPPER(TRIM(C72))="ROOF",Inputs!$B$10,IF(UPPER(TRIM(C72))="TRESFOND",Inputs!$B$11,IF(UPPER(TRIM(C72))="GRASS",Inputs!$B$12,Inputs!$B$13))))</f>
        <v/>
      </c>
      <c r="G72" s="7" t="n"/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</row>
    <row r="73">
      <c r="A73" s="4" t="n"/>
      <c r="B73" s="4" t="n"/>
      <c r="C73" s="4" t="n"/>
      <c r="D73" s="7" t="n"/>
      <c r="E73" s="7" t="n"/>
      <c r="F73" s="8">
        <f>IF(E73&lt;&gt;"",E73,IF(UPPER(TRIM(C73))="ROOF",Inputs!$B$10,IF(UPPER(TRIM(C73))="TRESFOND",Inputs!$B$11,IF(UPPER(TRIM(C73))="GRASS",Inputs!$B$12,Inputs!$B$13))))</f>
        <v/>
      </c>
      <c r="G73" s="7" t="n"/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</row>
    <row r="74">
      <c r="A74" s="4" t="n"/>
      <c r="B74" s="4" t="n"/>
      <c r="C74" s="4" t="n"/>
      <c r="D74" s="7" t="n"/>
      <c r="E74" s="7" t="n"/>
      <c r="F74" s="8">
        <f>IF(E74&lt;&gt;"",E74,IF(UPPER(TRIM(C74))="ROOF",Inputs!$B$10,IF(UPPER(TRIM(C74))="TRESFOND",Inputs!$B$11,IF(UPPER(TRIM(C74))="GRASS",Inputs!$B$12,Inputs!$B$13))))</f>
        <v/>
      </c>
      <c r="G74" s="7" t="n"/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</row>
    <row r="75">
      <c r="A75" s="4" t="n"/>
      <c r="B75" s="4" t="n"/>
      <c r="C75" s="4" t="n"/>
      <c r="D75" s="7" t="n"/>
      <c r="E75" s="7" t="n"/>
      <c r="F75" s="8">
        <f>IF(E75&lt;&gt;"",E75,IF(UPPER(TRIM(C75))="ROOF",Inputs!$B$10,IF(UPPER(TRIM(C75))="TRESFOND",Inputs!$B$11,IF(UPPER(TRIM(C75))="GRASS",Inputs!$B$12,Inputs!$B$13))))</f>
        <v/>
      </c>
      <c r="G75" s="7" t="n"/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</row>
    <row r="76">
      <c r="A76" s="4" t="n"/>
      <c r="B76" s="4" t="n"/>
      <c r="C76" s="4" t="n"/>
      <c r="D76" s="7" t="n"/>
      <c r="E76" s="7" t="n"/>
      <c r="F76" s="8">
        <f>IF(E76&lt;&gt;"",E76,IF(UPPER(TRIM(C76))="ROOF",Inputs!$B$10,IF(UPPER(TRIM(C76))="TRESFOND",Inputs!$B$11,IF(UPPER(TRIM(C76))="GRASS",Inputs!$B$12,Inputs!$B$13))))</f>
        <v/>
      </c>
      <c r="G76" s="7" t="n"/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</row>
    <row r="77">
      <c r="A77" s="4" t="n"/>
      <c r="B77" s="4" t="n"/>
      <c r="C77" s="4" t="n"/>
      <c r="D77" s="7" t="n"/>
      <c r="E77" s="7" t="n"/>
      <c r="F77" s="8">
        <f>IF(E77&lt;&gt;"",E77,IF(UPPER(TRIM(C77))="ROOF",Inputs!$B$10,IF(UPPER(TRIM(C77))="TRESFOND",Inputs!$B$11,IF(UPPER(TRIM(C77))="GRASS",Inputs!$B$12,Inputs!$B$13))))</f>
        <v/>
      </c>
      <c r="G77" s="7" t="n"/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</row>
    <row r="78">
      <c r="A78" s="4" t="n"/>
      <c r="B78" s="4" t="n"/>
      <c r="C78" s="4" t="n"/>
      <c r="D78" s="7" t="n"/>
      <c r="E78" s="7" t="n"/>
      <c r="F78" s="8">
        <f>IF(E78&lt;&gt;"",E78,IF(UPPER(TRIM(C78))="ROOF",Inputs!$B$10,IF(UPPER(TRIM(C78))="TRESFOND",Inputs!$B$11,IF(UPPER(TRIM(C78))="GRASS",Inputs!$B$12,Inputs!$B$13))))</f>
        <v/>
      </c>
      <c r="G78" s="7" t="n"/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</row>
    <row r="79">
      <c r="A79" s="4" t="n"/>
      <c r="B79" s="4" t="n"/>
      <c r="C79" s="4" t="n"/>
      <c r="D79" s="7" t="n"/>
      <c r="E79" s="7" t="n"/>
      <c r="F79" s="8">
        <f>IF(E79&lt;&gt;"",E79,IF(UPPER(TRIM(C79))="ROOF",Inputs!$B$10,IF(UPPER(TRIM(C79))="TRESFOND",Inputs!$B$11,IF(UPPER(TRIM(C79))="GRASS",Inputs!$B$12,Inputs!$B$13))))</f>
        <v/>
      </c>
      <c r="G79" s="7" t="n"/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</row>
    <row r="80">
      <c r="A80" s="4" t="n"/>
      <c r="B80" s="4" t="n"/>
      <c r="C80" s="4" t="n"/>
      <c r="D80" s="7" t="n"/>
      <c r="E80" s="7" t="n"/>
      <c r="F80" s="8">
        <f>IF(E80&lt;&gt;"",E80,IF(UPPER(TRIM(C80))="ROOF",Inputs!$B$10,IF(UPPER(TRIM(C80))="TRESFOND",Inputs!$B$11,IF(UPPER(TRIM(C80))="GRASS",Inputs!$B$12,Inputs!$B$13))))</f>
        <v/>
      </c>
      <c r="G80" s="7" t="n"/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</row>
    <row r="81">
      <c r="A81" s="4" t="n"/>
      <c r="B81" s="4" t="n"/>
      <c r="C81" s="4" t="n"/>
      <c r="D81" s="7" t="n"/>
      <c r="E81" s="7" t="n"/>
      <c r="F81" s="8">
        <f>IF(E81&lt;&gt;"",E81,IF(UPPER(TRIM(C81))="ROOF",Inputs!$B$10,IF(UPPER(TRIM(C81))="TRESFOND",Inputs!$B$11,IF(UPPER(TRIM(C81))="GRASS",Inputs!$B$12,Inputs!$B$13))))</f>
        <v/>
      </c>
      <c r="G81" s="7" t="n"/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</row>
    <row r="82">
      <c r="A82" s="4" t="n"/>
      <c r="B82" s="4" t="n"/>
      <c r="C82" s="4" t="n"/>
      <c r="D82" s="7" t="n"/>
      <c r="E82" s="7" t="n"/>
      <c r="F82" s="8">
        <f>IF(E82&lt;&gt;"",E82,IF(UPPER(TRIM(C82))="ROOF",Inputs!$B$10,IF(UPPER(TRIM(C82))="TRESFOND",Inputs!$B$11,IF(UPPER(TRIM(C82))="GRASS",Inputs!$B$12,Inputs!$B$13))))</f>
        <v/>
      </c>
      <c r="G82" s="7" t="n"/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</row>
    <row r="83">
      <c r="A83" s="4" t="n"/>
      <c r="B83" s="4" t="n"/>
      <c r="C83" s="4" t="n"/>
      <c r="D83" s="7" t="n"/>
      <c r="E83" s="7" t="n"/>
      <c r="F83" s="8">
        <f>IF(E83&lt;&gt;"",E83,IF(UPPER(TRIM(C83))="ROOF",Inputs!$B$10,IF(UPPER(TRIM(C83))="TRESFOND",Inputs!$B$11,IF(UPPER(TRIM(C83))="GRASS",Inputs!$B$12,Inputs!$B$13))))</f>
        <v/>
      </c>
      <c r="G83" s="7" t="n"/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</row>
    <row r="84">
      <c r="A84" s="4" t="n"/>
      <c r="B84" s="4" t="n"/>
      <c r="C84" s="4" t="n"/>
      <c r="D84" s="7" t="n"/>
      <c r="E84" s="7" t="n"/>
      <c r="F84" s="8">
        <f>IF(E84&lt;&gt;"",E84,IF(UPPER(TRIM(C84))="ROOF",Inputs!$B$10,IF(UPPER(TRIM(C84))="TRESFOND",Inputs!$B$11,IF(UPPER(TRIM(C84))="GRASS",Inputs!$B$12,Inputs!$B$13))))</f>
        <v/>
      </c>
      <c r="G84" s="7" t="n"/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</row>
    <row r="85">
      <c r="A85" s="4" t="n"/>
      <c r="B85" s="4" t="n"/>
      <c r="C85" s="4" t="n"/>
      <c r="D85" s="7" t="n"/>
      <c r="E85" s="7" t="n"/>
      <c r="F85" s="8">
        <f>IF(E85&lt;&gt;"",E85,IF(UPPER(TRIM(C85))="ROOF",Inputs!$B$10,IF(UPPER(TRIM(C85))="TRESFOND",Inputs!$B$11,IF(UPPER(TRIM(C85))="GRASS",Inputs!$B$12,Inputs!$B$13))))</f>
        <v/>
      </c>
      <c r="G85" s="7" t="n"/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</row>
    <row r="86">
      <c r="A86" s="4" t="n"/>
      <c r="B86" s="4" t="n"/>
      <c r="C86" s="4" t="n"/>
      <c r="D86" s="7" t="n"/>
      <c r="E86" s="7" t="n"/>
      <c r="F86" s="8">
        <f>IF(E86&lt;&gt;"",E86,IF(UPPER(TRIM(C86))="ROOF",Inputs!$B$10,IF(UPPER(TRIM(C86))="TRESFOND",Inputs!$B$11,IF(UPPER(TRIM(C86))="GRASS",Inputs!$B$12,Inputs!$B$13))))</f>
        <v/>
      </c>
      <c r="G86" s="7" t="n"/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</row>
    <row r="87">
      <c r="A87" s="4" t="n"/>
      <c r="B87" s="4" t="n"/>
      <c r="C87" s="4" t="n"/>
      <c r="D87" s="7" t="n"/>
      <c r="E87" s="7" t="n"/>
      <c r="F87" s="8">
        <f>IF(E87&lt;&gt;"",E87,IF(UPPER(TRIM(C87))="ROOF",Inputs!$B$10,IF(UPPER(TRIM(C87))="TRESFOND",Inputs!$B$11,IF(UPPER(TRIM(C87))="GRASS",Inputs!$B$12,Inputs!$B$13))))</f>
        <v/>
      </c>
      <c r="G87" s="7" t="n"/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</row>
    <row r="88">
      <c r="A88" s="4" t="n"/>
      <c r="B88" s="4" t="n"/>
      <c r="C88" s="4" t="n"/>
      <c r="D88" s="7" t="n"/>
      <c r="E88" s="7" t="n"/>
      <c r="F88" s="8">
        <f>IF(E88&lt;&gt;"",E88,IF(UPPER(TRIM(C88))="ROOF",Inputs!$B$10,IF(UPPER(TRIM(C88))="TRESFOND",Inputs!$B$11,IF(UPPER(TRIM(C88))="GRASS",Inputs!$B$12,Inputs!$B$13))))</f>
        <v/>
      </c>
      <c r="G88" s="7" t="n"/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</row>
    <row r="89">
      <c r="A89" s="4" t="n"/>
      <c r="B89" s="4" t="n"/>
      <c r="C89" s="4" t="n"/>
      <c r="D89" s="7" t="n"/>
      <c r="E89" s="7" t="n"/>
      <c r="F89" s="8">
        <f>IF(E89&lt;&gt;"",E89,IF(UPPER(TRIM(C89))="ROOF",Inputs!$B$10,IF(UPPER(TRIM(C89))="TRESFOND",Inputs!$B$11,IF(UPPER(TRIM(C89))="GRASS",Inputs!$B$12,Inputs!$B$13))))</f>
        <v/>
      </c>
      <c r="G89" s="7" t="n"/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</row>
    <row r="90">
      <c r="A90" s="4" t="n"/>
      <c r="B90" s="4" t="n"/>
      <c r="C90" s="4" t="n"/>
      <c r="D90" s="7" t="n"/>
      <c r="E90" s="7" t="n"/>
      <c r="F90" s="8">
        <f>IF(E90&lt;&gt;"",E90,IF(UPPER(TRIM(C90))="ROOF",Inputs!$B$10,IF(UPPER(TRIM(C90))="TRESFOND",Inputs!$B$11,IF(UPPER(TRIM(C90))="GRASS",Inputs!$B$12,Inputs!$B$13))))</f>
        <v/>
      </c>
      <c r="G90" s="7" t="n"/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</row>
    <row r="91">
      <c r="A91" s="4" t="n"/>
      <c r="B91" s="4" t="n"/>
      <c r="C91" s="4" t="n"/>
      <c r="D91" s="7" t="n"/>
      <c r="E91" s="7" t="n"/>
      <c r="F91" s="8">
        <f>IF(E91&lt;&gt;"",E91,IF(UPPER(TRIM(C91))="ROOF",Inputs!$B$10,IF(UPPER(TRIM(C91))="TRESFOND",Inputs!$B$11,IF(UPPER(TRIM(C91))="GRASS",Inputs!$B$12,Inputs!$B$13))))</f>
        <v/>
      </c>
      <c r="G91" s="7" t="n"/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</row>
    <row r="92">
      <c r="A92" s="4" t="n"/>
      <c r="B92" s="4" t="n"/>
      <c r="C92" s="4" t="n"/>
      <c r="D92" s="7" t="n"/>
      <c r="E92" s="7" t="n"/>
      <c r="F92" s="8">
        <f>IF(E92&lt;&gt;"",E92,IF(UPPER(TRIM(C92))="ROOF",Inputs!$B$10,IF(UPPER(TRIM(C92))="TRESFOND",Inputs!$B$11,IF(UPPER(TRIM(C92))="GRASS",Inputs!$B$12,Inputs!$B$13))))</f>
        <v/>
      </c>
      <c r="G92" s="7" t="n"/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</row>
    <row r="93">
      <c r="A93" s="4" t="n"/>
      <c r="B93" s="4" t="n"/>
      <c r="C93" s="4" t="n"/>
      <c r="D93" s="7" t="n"/>
      <c r="E93" s="7" t="n"/>
      <c r="F93" s="8">
        <f>IF(E93&lt;&gt;"",E93,IF(UPPER(TRIM(C93))="ROOF",Inputs!$B$10,IF(UPPER(TRIM(C93))="TRESFOND",Inputs!$B$11,IF(UPPER(TRIM(C93))="GRASS",Inputs!$B$12,Inputs!$B$13))))</f>
        <v/>
      </c>
      <c r="G93" s="7" t="n"/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</row>
    <row r="94">
      <c r="A94" s="4" t="n"/>
      <c r="B94" s="4" t="n"/>
      <c r="C94" s="4" t="n"/>
      <c r="D94" s="7" t="n"/>
      <c r="E94" s="7" t="n"/>
      <c r="F94" s="8">
        <f>IF(E94&lt;&gt;"",E94,IF(UPPER(TRIM(C94))="ROOF",Inputs!$B$10,IF(UPPER(TRIM(C94))="TRESFOND",Inputs!$B$11,IF(UPPER(TRIM(C94))="GRASS",Inputs!$B$12,Inputs!$B$13))))</f>
        <v/>
      </c>
      <c r="G94" s="7" t="n"/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</row>
    <row r="95">
      <c r="A95" s="4" t="n"/>
      <c r="B95" s="4" t="n"/>
      <c r="C95" s="4" t="n"/>
      <c r="D95" s="7" t="n"/>
      <c r="E95" s="7" t="n"/>
      <c r="F95" s="8">
        <f>IF(E95&lt;&gt;"",E95,IF(UPPER(TRIM(C95))="ROOF",Inputs!$B$10,IF(UPPER(TRIM(C95))="TRESFOND",Inputs!$B$11,IF(UPPER(TRIM(C95))="GRASS",Inputs!$B$12,Inputs!$B$13))))</f>
        <v/>
      </c>
      <c r="G95" s="7" t="n"/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</row>
    <row r="96">
      <c r="A96" s="4" t="n"/>
      <c r="B96" s="4" t="n"/>
      <c r="C96" s="4" t="n"/>
      <c r="D96" s="7" t="n"/>
      <c r="E96" s="7" t="n"/>
      <c r="F96" s="8">
        <f>IF(E96&lt;&gt;"",E96,IF(UPPER(TRIM(C96))="ROOF",Inputs!$B$10,IF(UPPER(TRIM(C96))="TRESFOND",Inputs!$B$11,IF(UPPER(TRIM(C96))="GRASS",Inputs!$B$12,Inputs!$B$13))))</f>
        <v/>
      </c>
      <c r="G96" s="7" t="n"/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</row>
    <row r="97">
      <c r="A97" s="4" t="n"/>
      <c r="B97" s="4" t="n"/>
      <c r="C97" s="4" t="n"/>
      <c r="D97" s="7" t="n"/>
      <c r="E97" s="7" t="n"/>
      <c r="F97" s="8">
        <f>IF(E97&lt;&gt;"",E97,IF(UPPER(TRIM(C97))="ROOF",Inputs!$B$10,IF(UPPER(TRIM(C97))="TRESFOND",Inputs!$B$11,IF(UPPER(TRIM(C97))="GRASS",Inputs!$B$12,Inputs!$B$13))))</f>
        <v/>
      </c>
      <c r="G97" s="7" t="n"/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</row>
    <row r="98">
      <c r="A98" s="4" t="n"/>
      <c r="B98" s="4" t="n"/>
      <c r="C98" s="4" t="n"/>
      <c r="D98" s="7" t="n"/>
      <c r="E98" s="7" t="n"/>
      <c r="F98" s="8">
        <f>IF(E98&lt;&gt;"",E98,IF(UPPER(TRIM(C98))="ROOF",Inputs!$B$10,IF(UPPER(TRIM(C98))="TRESFOND",Inputs!$B$11,IF(UPPER(TRIM(C98))="GRASS",Inputs!$B$12,Inputs!$B$13))))</f>
        <v/>
      </c>
      <c r="G98" s="7" t="n"/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</row>
    <row r="99">
      <c r="A99" s="4" t="n"/>
      <c r="B99" s="4" t="n"/>
      <c r="C99" s="4" t="n"/>
      <c r="D99" s="7" t="n"/>
      <c r="E99" s="7" t="n"/>
      <c r="F99" s="8">
        <f>IF(E99&lt;&gt;"",E99,IF(UPPER(TRIM(C99))="ROOF",Inputs!$B$10,IF(UPPER(TRIM(C99))="TRESFOND",Inputs!$B$11,IF(UPPER(TRIM(C99))="GRASS",Inputs!$B$12,Inputs!$B$13))))</f>
        <v/>
      </c>
      <c r="G99" s="7" t="n"/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</row>
    <row r="100">
      <c r="A100" s="4" t="n"/>
      <c r="B100" s="4" t="n"/>
      <c r="C100" s="4" t="n"/>
      <c r="D100" s="7" t="n"/>
      <c r="E100" s="7" t="n"/>
      <c r="F100" s="8">
        <f>IF(E100&lt;&gt;"",E100,IF(UPPER(TRIM(C100))="ROOF",Inputs!$B$10,IF(UPPER(TRIM(C100))="TRESFOND",Inputs!$B$11,IF(UPPER(TRIM(C100))="GRASS",Inputs!$B$12,Inputs!$B$13))))</f>
        <v/>
      </c>
      <c r="G100" s="7" t="n"/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</row>
    <row r="101">
      <c r="A101" s="4" t="n"/>
      <c r="B101" s="4" t="n"/>
      <c r="C101" s="4" t="n"/>
      <c r="D101" s="7" t="n"/>
      <c r="E101" s="7" t="n"/>
      <c r="F101" s="8">
        <f>IF(E101&lt;&gt;"",E101,IF(UPPER(TRIM(C101))="ROOF",Inputs!$B$10,IF(UPPER(TRIM(C101))="TRESFOND",Inputs!$B$11,IF(UPPER(TRIM(C101))="GRASS",Inputs!$B$12,Inputs!$B$13))))</f>
        <v/>
      </c>
      <c r="G101" s="7" t="n"/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</row>
    <row r="102">
      <c r="A102" s="4" t="n"/>
      <c r="B102" s="4" t="n"/>
      <c r="C102" s="4" t="n"/>
      <c r="D102" s="7" t="n"/>
      <c r="E102" s="7" t="n"/>
      <c r="F102" s="8">
        <f>IF(E102&lt;&gt;"",E102,IF(UPPER(TRIM(C102))="ROOF",Inputs!$B$10,IF(UPPER(TRIM(C102))="TRESFOND",Inputs!$B$11,IF(UPPER(TRIM(C102))="GRASS",Inputs!$B$12,Inputs!$B$13))))</f>
        <v/>
      </c>
      <c r="G102" s="7" t="n"/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</row>
    <row r="103">
      <c r="A103" s="4" t="n"/>
      <c r="B103" s="4" t="n"/>
      <c r="C103" s="4" t="n"/>
      <c r="D103" s="7" t="n"/>
      <c r="E103" s="7" t="n"/>
      <c r="F103" s="8">
        <f>IF(E103&lt;&gt;"",E103,IF(UPPER(TRIM(C103))="ROOF",Inputs!$B$10,IF(UPPER(TRIM(C103))="TRESFOND",Inputs!$B$11,IF(UPPER(TRIM(C103))="GRASS",Inputs!$B$12,Inputs!$B$13))))</f>
        <v/>
      </c>
      <c r="G103" s="7" t="n"/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</row>
    <row r="104">
      <c r="A104" s="4" t="n"/>
      <c r="B104" s="4" t="n"/>
      <c r="C104" s="4" t="n"/>
      <c r="D104" s="7" t="n"/>
      <c r="E104" s="7" t="n"/>
      <c r="F104" s="8">
        <f>IF(E104&lt;&gt;"",E104,IF(UPPER(TRIM(C104))="ROOF",Inputs!$B$10,IF(UPPER(TRIM(C104))="TRESFOND",Inputs!$B$11,IF(UPPER(TRIM(C104))="GRASS",Inputs!$B$12,Inputs!$B$13))))</f>
        <v/>
      </c>
      <c r="G104" s="7" t="n"/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</row>
    <row r="105">
      <c r="A105" s="4" t="n"/>
      <c r="B105" s="4" t="n"/>
      <c r="C105" s="4" t="n"/>
      <c r="D105" s="7" t="n"/>
      <c r="E105" s="7" t="n"/>
      <c r="F105" s="8">
        <f>IF(E105&lt;&gt;"",E105,IF(UPPER(TRIM(C105))="ROOF",Inputs!$B$10,IF(UPPER(TRIM(C105))="TRESFOND",Inputs!$B$11,IF(UPPER(TRIM(C105))="GRASS",Inputs!$B$12,Inputs!$B$13))))</f>
        <v/>
      </c>
      <c r="G105" s="7" t="n"/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</row>
    <row r="106">
      <c r="A106" s="4" t="n"/>
      <c r="B106" s="4" t="n"/>
      <c r="C106" s="4" t="n"/>
      <c r="D106" s="7" t="n"/>
      <c r="E106" s="7" t="n"/>
      <c r="F106" s="8">
        <f>IF(E106&lt;&gt;"",E106,IF(UPPER(TRIM(C106))="ROOF",Inputs!$B$10,IF(UPPER(TRIM(C106))="TRESFOND",Inputs!$B$11,IF(UPPER(TRIM(C106))="GRASS",Inputs!$B$12,Inputs!$B$13))))</f>
        <v/>
      </c>
      <c r="G106" s="7" t="n"/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</row>
    <row r="107">
      <c r="A107" s="4" t="n"/>
      <c r="B107" s="4" t="n"/>
      <c r="C107" s="4" t="n"/>
      <c r="D107" s="7" t="n"/>
      <c r="E107" s="7" t="n"/>
      <c r="F107" s="8">
        <f>IF(E107&lt;&gt;"",E107,IF(UPPER(TRIM(C107))="ROOF",Inputs!$B$10,IF(UPPER(TRIM(C107))="TRESFOND",Inputs!$B$11,IF(UPPER(TRIM(C107))="GRASS",Inputs!$B$12,Inputs!$B$13))))</f>
        <v/>
      </c>
      <c r="G107" s="7" t="n"/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</row>
    <row r="108">
      <c r="A108" s="4" t="n"/>
      <c r="B108" s="4" t="n"/>
      <c r="C108" s="4" t="n"/>
      <c r="D108" s="7" t="n"/>
      <c r="E108" s="7" t="n"/>
      <c r="F108" s="8">
        <f>IF(E108&lt;&gt;"",E108,IF(UPPER(TRIM(C108))="ROOF",Inputs!$B$10,IF(UPPER(TRIM(C108))="TRESFOND",Inputs!$B$11,IF(UPPER(TRIM(C108))="GRASS",Inputs!$B$12,Inputs!$B$13))))</f>
        <v/>
      </c>
      <c r="G108" s="7" t="n"/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</row>
    <row r="109">
      <c r="A109" s="4" t="n"/>
      <c r="B109" s="4" t="n"/>
      <c r="C109" s="4" t="n"/>
      <c r="D109" s="7" t="n"/>
      <c r="E109" s="7" t="n"/>
      <c r="F109" s="8">
        <f>IF(E109&lt;&gt;"",E109,IF(UPPER(TRIM(C109))="ROOF",Inputs!$B$10,IF(UPPER(TRIM(C109))="TRESFOND",Inputs!$B$11,IF(UPPER(TRIM(C109))="GRASS",Inputs!$B$12,Inputs!$B$13))))</f>
        <v/>
      </c>
      <c r="G109" s="7" t="n"/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</row>
    <row r="110">
      <c r="A110" s="4" t="n"/>
      <c r="B110" s="4" t="n"/>
      <c r="C110" s="4" t="n"/>
      <c r="D110" s="7" t="n"/>
      <c r="E110" s="7" t="n"/>
      <c r="F110" s="8">
        <f>IF(E110&lt;&gt;"",E110,IF(UPPER(TRIM(C110))="ROOF",Inputs!$B$10,IF(UPPER(TRIM(C110))="TRESFOND",Inputs!$B$11,IF(UPPER(TRIM(C110))="GRASS",Inputs!$B$12,Inputs!$B$13))))</f>
        <v/>
      </c>
      <c r="G110" s="7" t="n"/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</row>
    <row r="111">
      <c r="A111" s="4" t="n"/>
      <c r="B111" s="4" t="n"/>
      <c r="C111" s="4" t="n"/>
      <c r="D111" s="7" t="n"/>
      <c r="E111" s="7" t="n"/>
      <c r="F111" s="8">
        <f>IF(E111&lt;&gt;"",E111,IF(UPPER(TRIM(C111))="ROOF",Inputs!$B$10,IF(UPPER(TRIM(C111))="TRESFOND",Inputs!$B$11,IF(UPPER(TRIM(C111))="GRASS",Inputs!$B$12,Inputs!$B$13))))</f>
        <v/>
      </c>
      <c r="G111" s="7" t="n"/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</row>
    <row r="112">
      <c r="A112" s="4" t="n"/>
      <c r="B112" s="4" t="n"/>
      <c r="C112" s="4" t="n"/>
      <c r="D112" s="7" t="n"/>
      <c r="E112" s="7" t="n"/>
      <c r="F112" s="8">
        <f>IF(E112&lt;&gt;"",E112,IF(UPPER(TRIM(C112))="ROOF",Inputs!$B$10,IF(UPPER(TRIM(C112))="TRESFOND",Inputs!$B$11,IF(UPPER(TRIM(C112))="GRASS",Inputs!$B$12,Inputs!$B$13))))</f>
        <v/>
      </c>
      <c r="G112" s="7" t="n"/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</row>
    <row r="113">
      <c r="A113" s="4" t="n"/>
      <c r="B113" s="4" t="n"/>
      <c r="C113" s="4" t="n"/>
      <c r="D113" s="7" t="n"/>
      <c r="E113" s="7" t="n"/>
      <c r="F113" s="8">
        <f>IF(E113&lt;&gt;"",E113,IF(UPPER(TRIM(C113))="ROOF",Inputs!$B$10,IF(UPPER(TRIM(C113))="TRESFOND",Inputs!$B$11,IF(UPPER(TRIM(C113))="GRASS",Inputs!$B$12,Inputs!$B$13))))</f>
        <v/>
      </c>
      <c r="G113" s="7" t="n"/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</row>
    <row r="114">
      <c r="A114" s="4" t="n"/>
      <c r="B114" s="4" t="n"/>
      <c r="C114" s="4" t="n"/>
      <c r="D114" s="7" t="n"/>
      <c r="E114" s="7" t="n"/>
      <c r="F114" s="8">
        <f>IF(E114&lt;&gt;"",E114,IF(UPPER(TRIM(C114))="ROOF",Inputs!$B$10,IF(UPPER(TRIM(C114))="TRESFOND",Inputs!$B$11,IF(UPPER(TRIM(C114))="GRASS",Inputs!$B$12,Inputs!$B$13))))</f>
        <v/>
      </c>
      <c r="G114" s="7" t="n"/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</row>
    <row r="115">
      <c r="A115" s="4" t="n"/>
      <c r="B115" s="4" t="n"/>
      <c r="C115" s="4" t="n"/>
      <c r="D115" s="7" t="n"/>
      <c r="E115" s="7" t="n"/>
      <c r="F115" s="8">
        <f>IF(E115&lt;&gt;"",E115,IF(UPPER(TRIM(C115))="ROOF",Inputs!$B$10,IF(UPPER(TRIM(C115))="TRESFOND",Inputs!$B$11,IF(UPPER(TRIM(C115))="GRASS",Inputs!$B$12,Inputs!$B$13))))</f>
        <v/>
      </c>
      <c r="G115" s="7" t="n"/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</row>
    <row r="116">
      <c r="A116" s="4" t="n"/>
      <c r="B116" s="4" t="n"/>
      <c r="C116" s="4" t="n"/>
      <c r="D116" s="7" t="n"/>
      <c r="E116" s="7" t="n"/>
      <c r="F116" s="8">
        <f>IF(E116&lt;&gt;"",E116,IF(UPPER(TRIM(C116))="ROOF",Inputs!$B$10,IF(UPPER(TRIM(C116))="TRESFOND",Inputs!$B$11,IF(UPPER(TRIM(C116))="GRASS",Inputs!$B$12,Inputs!$B$13))))</f>
        <v/>
      </c>
      <c r="G116" s="7" t="n"/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</row>
    <row r="117">
      <c r="A117" s="4" t="n"/>
      <c r="B117" s="4" t="n"/>
      <c r="C117" s="4" t="n"/>
      <c r="D117" s="7" t="n"/>
      <c r="E117" s="7" t="n"/>
      <c r="F117" s="8">
        <f>IF(E117&lt;&gt;"",E117,IF(UPPER(TRIM(C117))="ROOF",Inputs!$B$10,IF(UPPER(TRIM(C117))="TRESFOND",Inputs!$B$11,IF(UPPER(TRIM(C117))="GRASS",Inputs!$B$12,Inputs!$B$13))))</f>
        <v/>
      </c>
      <c r="G117" s="7" t="n"/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</row>
    <row r="118">
      <c r="A118" s="4" t="n"/>
      <c r="B118" s="4" t="n"/>
      <c r="C118" s="4" t="n"/>
      <c r="D118" s="7" t="n"/>
      <c r="E118" s="7" t="n"/>
      <c r="F118" s="8">
        <f>IF(E118&lt;&gt;"",E118,IF(UPPER(TRIM(C118))="ROOF",Inputs!$B$10,IF(UPPER(TRIM(C118))="TRESFOND",Inputs!$B$11,IF(UPPER(TRIM(C118))="GRASS",Inputs!$B$12,Inputs!$B$13))))</f>
        <v/>
      </c>
      <c r="G118" s="7" t="n"/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</row>
    <row r="119">
      <c r="A119" s="4" t="n"/>
      <c r="B119" s="4" t="n"/>
      <c r="C119" s="4" t="n"/>
      <c r="D119" s="7" t="n"/>
      <c r="E119" s="7" t="n"/>
      <c r="F119" s="8">
        <f>IF(E119&lt;&gt;"",E119,IF(UPPER(TRIM(C119))="ROOF",Inputs!$B$10,IF(UPPER(TRIM(C119))="TRESFOND",Inputs!$B$11,IF(UPPER(TRIM(C119))="GRASS",Inputs!$B$12,Inputs!$B$13))))</f>
        <v/>
      </c>
      <c r="G119" s="7" t="n"/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</row>
    <row r="120">
      <c r="A120" s="4" t="n"/>
      <c r="B120" s="4" t="n"/>
      <c r="C120" s="4" t="n"/>
      <c r="D120" s="7" t="n"/>
      <c r="E120" s="7" t="n"/>
      <c r="F120" s="8">
        <f>IF(E120&lt;&gt;"",E120,IF(UPPER(TRIM(C120))="ROOF",Inputs!$B$10,IF(UPPER(TRIM(C120))="TRESFOND",Inputs!$B$11,IF(UPPER(TRIM(C120))="GRASS",Inputs!$B$12,Inputs!$B$13))))</f>
        <v/>
      </c>
      <c r="G120" s="7" t="n"/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</row>
    <row r="121">
      <c r="A121" s="4" t="n"/>
      <c r="B121" s="4" t="n"/>
      <c r="C121" s="4" t="n"/>
      <c r="D121" s="7" t="n"/>
      <c r="E121" s="7" t="n"/>
      <c r="F121" s="8">
        <f>IF(E121&lt;&gt;"",E121,IF(UPPER(TRIM(C121))="ROOF",Inputs!$B$10,IF(UPPER(TRIM(C121))="TRESFOND",Inputs!$B$11,IF(UPPER(TRIM(C121))="GRASS",Inputs!$B$12,Inputs!$B$13))))</f>
        <v/>
      </c>
      <c r="G121" s="7" t="n"/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</row>
    <row r="122">
      <c r="A122" s="4" t="n"/>
      <c r="B122" s="4" t="n"/>
      <c r="C122" s="4" t="n"/>
      <c r="D122" s="7" t="n"/>
      <c r="E122" s="7" t="n"/>
      <c r="F122" s="8">
        <f>IF(E122&lt;&gt;"",E122,IF(UPPER(TRIM(C122))="ROOF",Inputs!$B$10,IF(UPPER(TRIM(C122))="TRESFOND",Inputs!$B$11,IF(UPPER(TRIM(C122))="GRASS",Inputs!$B$12,Inputs!$B$13))))</f>
        <v/>
      </c>
      <c r="G122" s="7" t="n"/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</row>
    <row r="123">
      <c r="A123" s="4" t="n"/>
      <c r="B123" s="4" t="n"/>
      <c r="C123" s="4" t="n"/>
      <c r="D123" s="7" t="n"/>
      <c r="E123" s="7" t="n"/>
      <c r="F123" s="8">
        <f>IF(E123&lt;&gt;"",E123,IF(UPPER(TRIM(C123))="ROOF",Inputs!$B$10,IF(UPPER(TRIM(C123))="TRESFOND",Inputs!$B$11,IF(UPPER(TRIM(C123))="GRASS",Inputs!$B$12,Inputs!$B$13))))</f>
        <v/>
      </c>
      <c r="G123" s="7" t="n"/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</row>
    <row r="124">
      <c r="A124" s="4" t="n"/>
      <c r="B124" s="4" t="n"/>
      <c r="C124" s="4" t="n"/>
      <c r="D124" s="7" t="n"/>
      <c r="E124" s="7" t="n"/>
      <c r="F124" s="8">
        <f>IF(E124&lt;&gt;"",E124,IF(UPPER(TRIM(C124))="ROOF",Inputs!$B$10,IF(UPPER(TRIM(C124))="TRESFOND",Inputs!$B$11,IF(UPPER(TRIM(C124))="GRASS",Inputs!$B$12,Inputs!$B$13))))</f>
        <v/>
      </c>
      <c r="G124" s="7" t="n"/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</row>
    <row r="125">
      <c r="A125" s="4" t="n"/>
      <c r="B125" s="4" t="n"/>
      <c r="C125" s="4" t="n"/>
      <c r="D125" s="7" t="n"/>
      <c r="E125" s="7" t="n"/>
      <c r="F125" s="8">
        <f>IF(E125&lt;&gt;"",E125,IF(UPPER(TRIM(C125))="ROOF",Inputs!$B$10,IF(UPPER(TRIM(C125))="TRESFOND",Inputs!$B$11,IF(UPPER(TRIM(C125))="GRASS",Inputs!$B$12,Inputs!$B$13))))</f>
        <v/>
      </c>
      <c r="G125" s="7" t="n"/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</row>
    <row r="126">
      <c r="A126" s="4" t="n"/>
      <c r="B126" s="4" t="n"/>
      <c r="C126" s="4" t="n"/>
      <c r="D126" s="7" t="n"/>
      <c r="E126" s="7" t="n"/>
      <c r="F126" s="8">
        <f>IF(E126&lt;&gt;"",E126,IF(UPPER(TRIM(C126))="ROOF",Inputs!$B$10,IF(UPPER(TRIM(C126))="TRESFOND",Inputs!$B$11,IF(UPPER(TRIM(C126))="GRASS",Inputs!$B$12,Inputs!$B$13))))</f>
        <v/>
      </c>
      <c r="G126" s="7" t="n"/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</row>
    <row r="127">
      <c r="A127" s="4" t="n"/>
      <c r="B127" s="4" t="n"/>
      <c r="C127" s="4" t="n"/>
      <c r="D127" s="7" t="n"/>
      <c r="E127" s="7" t="n"/>
      <c r="F127" s="8">
        <f>IF(E127&lt;&gt;"",E127,IF(UPPER(TRIM(C127))="ROOF",Inputs!$B$10,IF(UPPER(TRIM(C127))="TRESFOND",Inputs!$B$11,IF(UPPER(TRIM(C127))="GRASS",Inputs!$B$12,Inputs!$B$13))))</f>
        <v/>
      </c>
      <c r="G127" s="7" t="n"/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</row>
    <row r="128">
      <c r="A128" s="4" t="n"/>
      <c r="B128" s="4" t="n"/>
      <c r="C128" s="4" t="n"/>
      <c r="D128" s="7" t="n"/>
      <c r="E128" s="7" t="n"/>
      <c r="F128" s="8">
        <f>IF(E128&lt;&gt;"",E128,IF(UPPER(TRIM(C128))="ROOF",Inputs!$B$10,IF(UPPER(TRIM(C128))="TRESFOND",Inputs!$B$11,IF(UPPER(TRIM(C128))="GRASS",Inputs!$B$12,Inputs!$B$13))))</f>
        <v/>
      </c>
      <c r="G128" s="7" t="n"/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</row>
    <row r="129">
      <c r="A129" s="4" t="n"/>
      <c r="B129" s="4" t="n"/>
      <c r="C129" s="4" t="n"/>
      <c r="D129" s="7" t="n"/>
      <c r="E129" s="7" t="n"/>
      <c r="F129" s="8">
        <f>IF(E129&lt;&gt;"",E129,IF(UPPER(TRIM(C129))="ROOF",Inputs!$B$10,IF(UPPER(TRIM(C129))="TRESFOND",Inputs!$B$11,IF(UPPER(TRIM(C129))="GRASS",Inputs!$B$12,Inputs!$B$13))))</f>
        <v/>
      </c>
      <c r="G129" s="7" t="n"/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</row>
    <row r="130">
      <c r="A130" s="4" t="n"/>
      <c r="B130" s="4" t="n"/>
      <c r="C130" s="4" t="n"/>
      <c r="D130" s="7" t="n"/>
      <c r="E130" s="7" t="n"/>
      <c r="F130" s="8">
        <f>IF(E130&lt;&gt;"",E130,IF(UPPER(TRIM(C130))="ROOF",Inputs!$B$10,IF(UPPER(TRIM(C130))="TRESFOND",Inputs!$B$11,IF(UPPER(TRIM(C130))="GRASS",Inputs!$B$12,Inputs!$B$13))))</f>
        <v/>
      </c>
      <c r="G130" s="7" t="n"/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</row>
    <row r="131">
      <c r="A131" s="4" t="n"/>
      <c r="B131" s="4" t="n"/>
      <c r="C131" s="4" t="n"/>
      <c r="D131" s="7" t="n"/>
      <c r="E131" s="7" t="n"/>
      <c r="F131" s="8">
        <f>IF(E131&lt;&gt;"",E131,IF(UPPER(TRIM(C131))="ROOF",Inputs!$B$10,IF(UPPER(TRIM(C131))="TRESFOND",Inputs!$B$11,IF(UPPER(TRIM(C131))="GRASS",Inputs!$B$12,Inputs!$B$13))))</f>
        <v/>
      </c>
      <c r="G131" s="7" t="n"/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</row>
    <row r="132">
      <c r="A132" s="4" t="n"/>
      <c r="B132" s="4" t="n"/>
      <c r="C132" s="4" t="n"/>
      <c r="D132" s="7" t="n"/>
      <c r="E132" s="7" t="n"/>
      <c r="F132" s="8">
        <f>IF(E132&lt;&gt;"",E132,IF(UPPER(TRIM(C132))="ROOF",Inputs!$B$10,IF(UPPER(TRIM(C132))="TRESFOND",Inputs!$B$11,IF(UPPER(TRIM(C132))="GRASS",Inputs!$B$12,Inputs!$B$13))))</f>
        <v/>
      </c>
      <c r="G132" s="7" t="n"/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</row>
    <row r="133">
      <c r="A133" s="4" t="n"/>
      <c r="B133" s="4" t="n"/>
      <c r="C133" s="4" t="n"/>
      <c r="D133" s="7" t="n"/>
      <c r="E133" s="7" t="n"/>
      <c r="F133" s="8">
        <f>IF(E133&lt;&gt;"",E133,IF(UPPER(TRIM(C133))="ROOF",Inputs!$B$10,IF(UPPER(TRIM(C133))="TRESFOND",Inputs!$B$11,IF(UPPER(TRIM(C133))="GRASS",Inputs!$B$12,Inputs!$B$13))))</f>
        <v/>
      </c>
      <c r="G133" s="7" t="n"/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</row>
    <row r="134">
      <c r="A134" s="4" t="n"/>
      <c r="B134" s="4" t="n"/>
      <c r="C134" s="4" t="n"/>
      <c r="D134" s="7" t="n"/>
      <c r="E134" s="7" t="n"/>
      <c r="F134" s="8">
        <f>IF(E134&lt;&gt;"",E134,IF(UPPER(TRIM(C134))="ROOF",Inputs!$B$10,IF(UPPER(TRIM(C134))="TRESFOND",Inputs!$B$11,IF(UPPER(TRIM(C134))="GRASS",Inputs!$B$12,Inputs!$B$13))))</f>
        <v/>
      </c>
      <c r="G134" s="7" t="n"/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</row>
    <row r="135">
      <c r="A135" s="4" t="n"/>
      <c r="B135" s="4" t="n"/>
      <c r="C135" s="4" t="n"/>
      <c r="D135" s="7" t="n"/>
      <c r="E135" s="7" t="n"/>
      <c r="F135" s="8">
        <f>IF(E135&lt;&gt;"",E135,IF(UPPER(TRIM(C135))="ROOF",Inputs!$B$10,IF(UPPER(TRIM(C135))="TRESFOND",Inputs!$B$11,IF(UPPER(TRIM(C135))="GRASS",Inputs!$B$12,Inputs!$B$13))))</f>
        <v/>
      </c>
      <c r="G135" s="7" t="n"/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</row>
    <row r="136">
      <c r="A136" s="4" t="n"/>
      <c r="B136" s="4" t="n"/>
      <c r="C136" s="4" t="n"/>
      <c r="D136" s="7" t="n"/>
      <c r="E136" s="7" t="n"/>
      <c r="F136" s="8">
        <f>IF(E136&lt;&gt;"",E136,IF(UPPER(TRIM(C136))="ROOF",Inputs!$B$10,IF(UPPER(TRIM(C136))="TRESFOND",Inputs!$B$11,IF(UPPER(TRIM(C136))="GRASS",Inputs!$B$12,Inputs!$B$13))))</f>
        <v/>
      </c>
      <c r="G136" s="7" t="n"/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</row>
    <row r="137">
      <c r="A137" s="4" t="n"/>
      <c r="B137" s="4" t="n"/>
      <c r="C137" s="4" t="n"/>
      <c r="D137" s="7" t="n"/>
      <c r="E137" s="7" t="n"/>
      <c r="F137" s="8">
        <f>IF(E137&lt;&gt;"",E137,IF(UPPER(TRIM(C137))="ROOF",Inputs!$B$10,IF(UPPER(TRIM(C137))="TRESFOND",Inputs!$B$11,IF(UPPER(TRIM(C137))="GRASS",Inputs!$B$12,Inputs!$B$13))))</f>
        <v/>
      </c>
      <c r="G137" s="7" t="n"/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</row>
    <row r="138">
      <c r="A138" s="4" t="n"/>
      <c r="B138" s="4" t="n"/>
      <c r="C138" s="4" t="n"/>
      <c r="D138" s="7" t="n"/>
      <c r="E138" s="7" t="n"/>
      <c r="F138" s="8">
        <f>IF(E138&lt;&gt;"",E138,IF(UPPER(TRIM(C138))="ROOF",Inputs!$B$10,IF(UPPER(TRIM(C138))="TRESFOND",Inputs!$B$11,IF(UPPER(TRIM(C138))="GRASS",Inputs!$B$12,Inputs!$B$13))))</f>
        <v/>
      </c>
      <c r="G138" s="7" t="n"/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</row>
    <row r="139">
      <c r="A139" s="4" t="n"/>
      <c r="B139" s="4" t="n"/>
      <c r="C139" s="4" t="n"/>
      <c r="D139" s="7" t="n"/>
      <c r="E139" s="7" t="n"/>
      <c r="F139" s="8">
        <f>IF(E139&lt;&gt;"",E139,IF(UPPER(TRIM(C139))="ROOF",Inputs!$B$10,IF(UPPER(TRIM(C139))="TRESFOND",Inputs!$B$11,IF(UPPER(TRIM(C139))="GRASS",Inputs!$B$12,Inputs!$B$13))))</f>
        <v/>
      </c>
      <c r="G139" s="7" t="n"/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</row>
    <row r="140">
      <c r="A140" s="4" t="n"/>
      <c r="B140" s="4" t="n"/>
      <c r="C140" s="4" t="n"/>
      <c r="D140" s="7" t="n"/>
      <c r="E140" s="7" t="n"/>
      <c r="F140" s="8">
        <f>IF(E140&lt;&gt;"",E140,IF(UPPER(TRIM(C140))="ROOF",Inputs!$B$10,IF(UPPER(TRIM(C140))="TRESFOND",Inputs!$B$11,IF(UPPER(TRIM(C140))="GRASS",Inputs!$B$12,Inputs!$B$13))))</f>
        <v/>
      </c>
      <c r="G140" s="7" t="n"/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</row>
    <row r="141">
      <c r="A141" s="4" t="n"/>
      <c r="B141" s="4" t="n"/>
      <c r="C141" s="4" t="n"/>
      <c r="D141" s="7" t="n"/>
      <c r="E141" s="7" t="n"/>
      <c r="F141" s="8">
        <f>IF(E141&lt;&gt;"",E141,IF(UPPER(TRIM(C141))="ROOF",Inputs!$B$10,IF(UPPER(TRIM(C141))="TRESFOND",Inputs!$B$11,IF(UPPER(TRIM(C141))="GRASS",Inputs!$B$12,Inputs!$B$13))))</f>
        <v/>
      </c>
      <c r="G141" s="7" t="n"/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</row>
    <row r="142">
      <c r="A142" s="4" t="n"/>
      <c r="B142" s="4" t="n"/>
      <c r="C142" s="4" t="n"/>
      <c r="D142" s="7" t="n"/>
      <c r="E142" s="7" t="n"/>
      <c r="F142" s="8">
        <f>IF(E142&lt;&gt;"",E142,IF(UPPER(TRIM(C142))="ROOF",Inputs!$B$10,IF(UPPER(TRIM(C142))="TRESFOND",Inputs!$B$11,IF(UPPER(TRIM(C142))="GRASS",Inputs!$B$12,Inputs!$B$13))))</f>
        <v/>
      </c>
      <c r="G142" s="7" t="n"/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</row>
    <row r="143">
      <c r="A143" s="4" t="n"/>
      <c r="B143" s="4" t="n"/>
      <c r="C143" s="4" t="n"/>
      <c r="D143" s="7" t="n"/>
      <c r="E143" s="7" t="n"/>
      <c r="F143" s="8">
        <f>IF(E143&lt;&gt;"",E143,IF(UPPER(TRIM(C143))="ROOF",Inputs!$B$10,IF(UPPER(TRIM(C143))="TRESFOND",Inputs!$B$11,IF(UPPER(TRIM(C143))="GRASS",Inputs!$B$12,Inputs!$B$13))))</f>
        <v/>
      </c>
      <c r="G143" s="7" t="n"/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</row>
    <row r="144">
      <c r="A144" s="4" t="n"/>
      <c r="B144" s="4" t="n"/>
      <c r="C144" s="4" t="n"/>
      <c r="D144" s="7" t="n"/>
      <c r="E144" s="7" t="n"/>
      <c r="F144" s="8">
        <f>IF(E144&lt;&gt;"",E144,IF(UPPER(TRIM(C144))="ROOF",Inputs!$B$10,IF(UPPER(TRIM(C144))="TRESFOND",Inputs!$B$11,IF(UPPER(TRIM(C144))="GRASS",Inputs!$B$12,Inputs!$B$13))))</f>
        <v/>
      </c>
      <c r="G144" s="7" t="n"/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</row>
    <row r="145">
      <c r="A145" s="4" t="n"/>
      <c r="B145" s="4" t="n"/>
      <c r="C145" s="4" t="n"/>
      <c r="D145" s="7" t="n"/>
      <c r="E145" s="7" t="n"/>
      <c r="F145" s="8">
        <f>IF(E145&lt;&gt;"",E145,IF(UPPER(TRIM(C145))="ROOF",Inputs!$B$10,IF(UPPER(TRIM(C145))="TRESFOND",Inputs!$B$11,IF(UPPER(TRIM(C145))="GRASS",Inputs!$B$12,Inputs!$B$13))))</f>
        <v/>
      </c>
      <c r="G145" s="7" t="n"/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</row>
    <row r="146">
      <c r="A146" s="4" t="n"/>
      <c r="B146" s="4" t="n"/>
      <c r="C146" s="4" t="n"/>
      <c r="D146" s="7" t="n"/>
      <c r="E146" s="7" t="n"/>
      <c r="F146" s="8">
        <f>IF(E146&lt;&gt;"",E146,IF(UPPER(TRIM(C146))="ROOF",Inputs!$B$10,IF(UPPER(TRIM(C146))="TRESFOND",Inputs!$B$11,IF(UPPER(TRIM(C146))="GRASS",Inputs!$B$12,Inputs!$B$13))))</f>
        <v/>
      </c>
      <c r="G146" s="7" t="n"/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</row>
    <row r="147">
      <c r="A147" s="4" t="n"/>
      <c r="B147" s="4" t="n"/>
      <c r="C147" s="4" t="n"/>
      <c r="D147" s="7" t="n"/>
      <c r="E147" s="7" t="n"/>
      <c r="F147" s="8">
        <f>IF(E147&lt;&gt;"",E147,IF(UPPER(TRIM(C147))="ROOF",Inputs!$B$10,IF(UPPER(TRIM(C147))="TRESFOND",Inputs!$B$11,IF(UPPER(TRIM(C147))="GRASS",Inputs!$B$12,Inputs!$B$13))))</f>
        <v/>
      </c>
      <c r="G147" s="7" t="n"/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</row>
    <row r="148">
      <c r="A148" s="4" t="n"/>
      <c r="B148" s="4" t="n"/>
      <c r="C148" s="4" t="n"/>
      <c r="D148" s="7" t="n"/>
      <c r="E148" s="7" t="n"/>
      <c r="F148" s="8">
        <f>IF(E148&lt;&gt;"",E148,IF(UPPER(TRIM(C148))="ROOF",Inputs!$B$10,IF(UPPER(TRIM(C148))="TRESFOND",Inputs!$B$11,IF(UPPER(TRIM(C148))="GRASS",Inputs!$B$12,Inputs!$B$13))))</f>
        <v/>
      </c>
      <c r="G148" s="7" t="n"/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</row>
    <row r="149">
      <c r="A149" s="4" t="n"/>
      <c r="B149" s="4" t="n"/>
      <c r="C149" s="4" t="n"/>
      <c r="D149" s="7" t="n"/>
      <c r="E149" s="7" t="n"/>
      <c r="F149" s="8">
        <f>IF(E149&lt;&gt;"",E149,IF(UPPER(TRIM(C149))="ROOF",Inputs!$B$10,IF(UPPER(TRIM(C149))="TRESFOND",Inputs!$B$11,IF(UPPER(TRIM(C149))="GRASS",Inputs!$B$12,Inputs!$B$13))))</f>
        <v/>
      </c>
      <c r="G149" s="7" t="n"/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</row>
    <row r="150">
      <c r="A150" s="4" t="n"/>
      <c r="B150" s="4" t="n"/>
      <c r="C150" s="4" t="n"/>
      <c r="D150" s="7" t="n"/>
      <c r="E150" s="7" t="n"/>
      <c r="F150" s="8">
        <f>IF(E150&lt;&gt;"",E150,IF(UPPER(TRIM(C150))="ROOF",Inputs!$B$10,IF(UPPER(TRIM(C150))="TRESFOND",Inputs!$B$11,IF(UPPER(TRIM(C150))="GRASS",Inputs!$B$12,Inputs!$B$13))))</f>
        <v/>
      </c>
      <c r="G150" s="7" t="n"/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</row>
    <row r="151">
      <c r="A151" s="4" t="n"/>
      <c r="B151" s="4" t="n"/>
      <c r="C151" s="4" t="n"/>
      <c r="D151" s="7" t="n"/>
      <c r="E151" s="7" t="n"/>
      <c r="F151" s="8">
        <f>IF(E151&lt;&gt;"",E151,IF(UPPER(TRIM(C151))="ROOF",Inputs!$B$10,IF(UPPER(TRIM(C151))="TRESFOND",Inputs!$B$11,IF(UPPER(TRIM(C151))="GRASS",Inputs!$B$12,Inputs!$B$13))))</f>
        <v/>
      </c>
      <c r="G151" s="7" t="n"/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</row>
    <row r="152">
      <c r="A152" s="4" t="n"/>
      <c r="B152" s="4" t="n"/>
      <c r="C152" s="4" t="n"/>
      <c r="D152" s="7" t="n"/>
      <c r="E152" s="7" t="n"/>
      <c r="F152" s="8">
        <f>IF(E152&lt;&gt;"",E152,IF(UPPER(TRIM(C152))="ROOF",Inputs!$B$10,IF(UPPER(TRIM(C152))="TRESFOND",Inputs!$B$11,IF(UPPER(TRIM(C152))="GRASS",Inputs!$B$12,Inputs!$B$13))))</f>
        <v/>
      </c>
      <c r="G152" s="7" t="n"/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</row>
    <row r="153">
      <c r="A153" s="4" t="n"/>
      <c r="B153" s="4" t="n"/>
      <c r="C153" s="4" t="n"/>
      <c r="D153" s="7" t="n"/>
      <c r="E153" s="7" t="n"/>
      <c r="F153" s="8">
        <f>IF(E153&lt;&gt;"",E153,IF(UPPER(TRIM(C153))="ROOF",Inputs!$B$10,IF(UPPER(TRIM(C153))="TRESFOND",Inputs!$B$11,IF(UPPER(TRIM(C153))="GRASS",Inputs!$B$12,Inputs!$B$13))))</f>
        <v/>
      </c>
      <c r="G153" s="7" t="n"/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</row>
    <row r="154">
      <c r="A154" s="4" t="n"/>
      <c r="B154" s="4" t="n"/>
      <c r="C154" s="4" t="n"/>
      <c r="D154" s="7" t="n"/>
      <c r="E154" s="7" t="n"/>
      <c r="F154" s="8">
        <f>IF(E154&lt;&gt;"",E154,IF(UPPER(TRIM(C154))="ROOF",Inputs!$B$10,IF(UPPER(TRIM(C154))="TRESFOND",Inputs!$B$11,IF(UPPER(TRIM(C154))="GRASS",Inputs!$B$12,Inputs!$B$13))))</f>
        <v/>
      </c>
      <c r="G154" s="7" t="n"/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</row>
    <row r="155">
      <c r="A155" s="4" t="n"/>
      <c r="B155" s="4" t="n"/>
      <c r="C155" s="4" t="n"/>
      <c r="D155" s="7" t="n"/>
      <c r="E155" s="7" t="n"/>
      <c r="F155" s="8">
        <f>IF(E155&lt;&gt;"",E155,IF(UPPER(TRIM(C155))="ROOF",Inputs!$B$10,IF(UPPER(TRIM(C155))="TRESFOND",Inputs!$B$11,IF(UPPER(TRIM(C155))="GRASS",Inputs!$B$12,Inputs!$B$13))))</f>
        <v/>
      </c>
      <c r="G155" s="7" t="n"/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</row>
    <row r="156">
      <c r="A156" s="4" t="n"/>
      <c r="B156" s="4" t="n"/>
      <c r="C156" s="4" t="n"/>
      <c r="D156" s="7" t="n"/>
      <c r="E156" s="7" t="n"/>
      <c r="F156" s="8">
        <f>IF(E156&lt;&gt;"",E156,IF(UPPER(TRIM(C156))="ROOF",Inputs!$B$10,IF(UPPER(TRIM(C156))="TRESFOND",Inputs!$B$11,IF(UPPER(TRIM(C156))="GRASS",Inputs!$B$12,Inputs!$B$13))))</f>
        <v/>
      </c>
      <c r="G156" s="7" t="n"/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</row>
    <row r="157">
      <c r="A157" s="4" t="n"/>
      <c r="B157" s="4" t="n"/>
      <c r="C157" s="4" t="n"/>
      <c r="D157" s="7" t="n"/>
      <c r="E157" s="7" t="n"/>
      <c r="F157" s="8">
        <f>IF(E157&lt;&gt;"",E157,IF(UPPER(TRIM(C157))="ROOF",Inputs!$B$10,IF(UPPER(TRIM(C157))="TRESFOND",Inputs!$B$11,IF(UPPER(TRIM(C157))="GRASS",Inputs!$B$12,Inputs!$B$13))))</f>
        <v/>
      </c>
      <c r="G157" s="7" t="n"/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</row>
    <row r="158">
      <c r="A158" s="4" t="n"/>
      <c r="B158" s="4" t="n"/>
      <c r="C158" s="4" t="n"/>
      <c r="D158" s="7" t="n"/>
      <c r="E158" s="7" t="n"/>
      <c r="F158" s="8">
        <f>IF(E158&lt;&gt;"",E158,IF(UPPER(TRIM(C158))="ROOF",Inputs!$B$10,IF(UPPER(TRIM(C158))="TRESFOND",Inputs!$B$11,IF(UPPER(TRIM(C158))="GRASS",Inputs!$B$12,Inputs!$B$13))))</f>
        <v/>
      </c>
      <c r="G158" s="7" t="n"/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</row>
    <row r="159">
      <c r="A159" s="4" t="n"/>
      <c r="B159" s="4" t="n"/>
      <c r="C159" s="4" t="n"/>
      <c r="D159" s="7" t="n"/>
      <c r="E159" s="7" t="n"/>
      <c r="F159" s="8">
        <f>IF(E159&lt;&gt;"",E159,IF(UPPER(TRIM(C159))="ROOF",Inputs!$B$10,IF(UPPER(TRIM(C159))="TRESFOND",Inputs!$B$11,IF(UPPER(TRIM(C159))="GRASS",Inputs!$B$12,Inputs!$B$13))))</f>
        <v/>
      </c>
      <c r="G159" s="7" t="n"/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</row>
    <row r="160">
      <c r="A160" s="4" t="n"/>
      <c r="B160" s="4" t="n"/>
      <c r="C160" s="4" t="n"/>
      <c r="D160" s="7" t="n"/>
      <c r="E160" s="7" t="n"/>
      <c r="F160" s="8">
        <f>IF(E160&lt;&gt;"",E160,IF(UPPER(TRIM(C160))="ROOF",Inputs!$B$10,IF(UPPER(TRIM(C160))="TRESFOND",Inputs!$B$11,IF(UPPER(TRIM(C160))="GRASS",Inputs!$B$12,Inputs!$B$13))))</f>
        <v/>
      </c>
      <c r="G160" s="7" t="n"/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</row>
    <row r="161">
      <c r="A161" s="4" t="n"/>
      <c r="B161" s="4" t="n"/>
      <c r="C161" s="4" t="n"/>
      <c r="D161" s="7" t="n"/>
      <c r="E161" s="7" t="n"/>
      <c r="F161" s="8">
        <f>IF(E161&lt;&gt;"",E161,IF(UPPER(TRIM(C161))="ROOF",Inputs!$B$10,IF(UPPER(TRIM(C161))="TRESFOND",Inputs!$B$11,IF(UPPER(TRIM(C161))="GRASS",Inputs!$B$12,Inputs!$B$13))))</f>
        <v/>
      </c>
      <c r="G161" s="7" t="n"/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</row>
    <row r="162">
      <c r="A162" s="4" t="n"/>
      <c r="B162" s="4" t="n"/>
      <c r="C162" s="4" t="n"/>
      <c r="D162" s="7" t="n"/>
      <c r="E162" s="7" t="n"/>
      <c r="F162" s="8">
        <f>IF(E162&lt;&gt;"",E162,IF(UPPER(TRIM(C162))="ROOF",Inputs!$B$10,IF(UPPER(TRIM(C162))="TRESFOND",Inputs!$B$11,IF(UPPER(TRIM(C162))="GRASS",Inputs!$B$12,Inputs!$B$13))))</f>
        <v/>
      </c>
      <c r="G162" s="7" t="n"/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</row>
    <row r="163">
      <c r="A163" s="4" t="n"/>
      <c r="B163" s="4" t="n"/>
      <c r="C163" s="4" t="n"/>
      <c r="D163" s="7" t="n"/>
      <c r="E163" s="7" t="n"/>
      <c r="F163" s="8">
        <f>IF(E163&lt;&gt;"",E163,IF(UPPER(TRIM(C163))="ROOF",Inputs!$B$10,IF(UPPER(TRIM(C163))="TRESFOND",Inputs!$B$11,IF(UPPER(TRIM(C163))="GRASS",Inputs!$B$12,Inputs!$B$13))))</f>
        <v/>
      </c>
      <c r="G163" s="7" t="n"/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</row>
    <row r="164">
      <c r="A164" s="4" t="n"/>
      <c r="B164" s="4" t="n"/>
      <c r="C164" s="4" t="n"/>
      <c r="D164" s="7" t="n"/>
      <c r="E164" s="7" t="n"/>
      <c r="F164" s="8">
        <f>IF(E164&lt;&gt;"",E164,IF(UPPER(TRIM(C164))="ROOF",Inputs!$B$10,IF(UPPER(TRIM(C164))="TRESFOND",Inputs!$B$11,IF(UPPER(TRIM(C164))="GRASS",Inputs!$B$12,Inputs!$B$13))))</f>
        <v/>
      </c>
      <c r="G164" s="7" t="n"/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</row>
    <row r="165">
      <c r="A165" s="4" t="n"/>
      <c r="B165" s="4" t="n"/>
      <c r="C165" s="4" t="n"/>
      <c r="D165" s="7" t="n"/>
      <c r="E165" s="7" t="n"/>
      <c r="F165" s="8">
        <f>IF(E165&lt;&gt;"",E165,IF(UPPER(TRIM(C165))="ROOF",Inputs!$B$10,IF(UPPER(TRIM(C165))="TRESFOND",Inputs!$B$11,IF(UPPER(TRIM(C165))="GRASS",Inputs!$B$12,Inputs!$B$13))))</f>
        <v/>
      </c>
      <c r="G165" s="7" t="n"/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</row>
    <row r="166">
      <c r="A166" s="4" t="n"/>
      <c r="B166" s="4" t="n"/>
      <c r="C166" s="4" t="n"/>
      <c r="D166" s="7" t="n"/>
      <c r="E166" s="7" t="n"/>
      <c r="F166" s="8">
        <f>IF(E166&lt;&gt;"",E166,IF(UPPER(TRIM(C166))="ROOF",Inputs!$B$10,IF(UPPER(TRIM(C166))="TRESFOND",Inputs!$B$11,IF(UPPER(TRIM(C166))="GRASS",Inputs!$B$12,Inputs!$B$13))))</f>
        <v/>
      </c>
      <c r="G166" s="7" t="n"/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</row>
    <row r="167">
      <c r="A167" s="4" t="n"/>
      <c r="B167" s="4" t="n"/>
      <c r="C167" s="4" t="n"/>
      <c r="D167" s="7" t="n"/>
      <c r="E167" s="7" t="n"/>
      <c r="F167" s="8">
        <f>IF(E167&lt;&gt;"",E167,IF(UPPER(TRIM(C167))="ROOF",Inputs!$B$10,IF(UPPER(TRIM(C167))="TRESFOND",Inputs!$B$11,IF(UPPER(TRIM(C167))="GRASS",Inputs!$B$12,Inputs!$B$13))))</f>
        <v/>
      </c>
      <c r="G167" s="7" t="n"/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</row>
    <row r="168">
      <c r="A168" s="4" t="n"/>
      <c r="B168" s="4" t="n"/>
      <c r="C168" s="4" t="n"/>
      <c r="D168" s="7" t="n"/>
      <c r="E168" s="7" t="n"/>
      <c r="F168" s="8">
        <f>IF(E168&lt;&gt;"",E168,IF(UPPER(TRIM(C168))="ROOF",Inputs!$B$10,IF(UPPER(TRIM(C168))="TRESFOND",Inputs!$B$11,IF(UPPER(TRIM(C168))="GRASS",Inputs!$B$12,Inputs!$B$13))))</f>
        <v/>
      </c>
      <c r="G168" s="7" t="n"/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</row>
    <row r="169">
      <c r="A169" s="4" t="n"/>
      <c r="B169" s="4" t="n"/>
      <c r="C169" s="4" t="n"/>
      <c r="D169" s="7" t="n"/>
      <c r="E169" s="7" t="n"/>
      <c r="F169" s="8">
        <f>IF(E169&lt;&gt;"",E169,IF(UPPER(TRIM(C169))="ROOF",Inputs!$B$10,IF(UPPER(TRIM(C169))="TRESFOND",Inputs!$B$11,IF(UPPER(TRIM(C169))="GRASS",Inputs!$B$12,Inputs!$B$13))))</f>
        <v/>
      </c>
      <c r="G169" s="7" t="n"/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</row>
    <row r="170">
      <c r="A170" s="4" t="n"/>
      <c r="B170" s="4" t="n"/>
      <c r="C170" s="4" t="n"/>
      <c r="D170" s="7" t="n"/>
      <c r="E170" s="7" t="n"/>
      <c r="F170" s="8">
        <f>IF(E170&lt;&gt;"",E170,IF(UPPER(TRIM(C170))="ROOF",Inputs!$B$10,IF(UPPER(TRIM(C170))="TRESFOND",Inputs!$B$11,IF(UPPER(TRIM(C170))="GRASS",Inputs!$B$12,Inputs!$B$13))))</f>
        <v/>
      </c>
      <c r="G170" s="7" t="n"/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</row>
    <row r="171">
      <c r="A171" s="4" t="n"/>
      <c r="B171" s="4" t="n"/>
      <c r="C171" s="4" t="n"/>
      <c r="D171" s="7" t="n"/>
      <c r="E171" s="7" t="n"/>
      <c r="F171" s="8">
        <f>IF(E171&lt;&gt;"",E171,IF(UPPER(TRIM(C171))="ROOF",Inputs!$B$10,IF(UPPER(TRIM(C171))="TRESFOND",Inputs!$B$11,IF(UPPER(TRIM(C171))="GRASS",Inputs!$B$12,Inputs!$B$13))))</f>
        <v/>
      </c>
      <c r="G171" s="7" t="n"/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</row>
    <row r="172">
      <c r="A172" s="4" t="n"/>
      <c r="B172" s="4" t="n"/>
      <c r="C172" s="4" t="n"/>
      <c r="D172" s="7" t="n"/>
      <c r="E172" s="7" t="n"/>
      <c r="F172" s="8">
        <f>IF(E172&lt;&gt;"",E172,IF(UPPER(TRIM(C172))="ROOF",Inputs!$B$10,IF(UPPER(TRIM(C172))="TRESFOND",Inputs!$B$11,IF(UPPER(TRIM(C172))="GRASS",Inputs!$B$12,Inputs!$B$13))))</f>
        <v/>
      </c>
      <c r="G172" s="7" t="n"/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</row>
    <row r="173">
      <c r="A173" s="4" t="n"/>
      <c r="B173" s="4" t="n"/>
      <c r="C173" s="4" t="n"/>
      <c r="D173" s="7" t="n"/>
      <c r="E173" s="7" t="n"/>
      <c r="F173" s="8">
        <f>IF(E173&lt;&gt;"",E173,IF(UPPER(TRIM(C173))="ROOF",Inputs!$B$10,IF(UPPER(TRIM(C173))="TRESFOND",Inputs!$B$11,IF(UPPER(TRIM(C173))="GRASS",Inputs!$B$12,Inputs!$B$13))))</f>
        <v/>
      </c>
      <c r="G173" s="7" t="n"/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</row>
    <row r="174">
      <c r="A174" s="4" t="n"/>
      <c r="B174" s="4" t="n"/>
      <c r="C174" s="4" t="n"/>
      <c r="D174" s="7" t="n"/>
      <c r="E174" s="7" t="n"/>
      <c r="F174" s="8">
        <f>IF(E174&lt;&gt;"",E174,IF(UPPER(TRIM(C174))="ROOF",Inputs!$B$10,IF(UPPER(TRIM(C174))="TRESFOND",Inputs!$B$11,IF(UPPER(TRIM(C174))="GRASS",Inputs!$B$12,Inputs!$B$13))))</f>
        <v/>
      </c>
      <c r="G174" s="7" t="n"/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</row>
    <row r="175">
      <c r="A175" s="4" t="n"/>
      <c r="B175" s="4" t="n"/>
      <c r="C175" s="4" t="n"/>
      <c r="D175" s="7" t="n"/>
      <c r="E175" s="7" t="n"/>
      <c r="F175" s="8">
        <f>IF(E175&lt;&gt;"",E175,IF(UPPER(TRIM(C175))="ROOF",Inputs!$B$10,IF(UPPER(TRIM(C175))="TRESFOND",Inputs!$B$11,IF(UPPER(TRIM(C175))="GRASS",Inputs!$B$12,Inputs!$B$13))))</f>
        <v/>
      </c>
      <c r="G175" s="7" t="n"/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</row>
    <row r="176">
      <c r="A176" s="4" t="n"/>
      <c r="B176" s="4" t="n"/>
      <c r="C176" s="4" t="n"/>
      <c r="D176" s="7" t="n"/>
      <c r="E176" s="7" t="n"/>
      <c r="F176" s="8">
        <f>IF(E176&lt;&gt;"",E176,IF(UPPER(TRIM(C176))="ROOF",Inputs!$B$10,IF(UPPER(TRIM(C176))="TRESFOND",Inputs!$B$11,IF(UPPER(TRIM(C176))="GRASS",Inputs!$B$12,Inputs!$B$13))))</f>
        <v/>
      </c>
      <c r="G176" s="7" t="n"/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</row>
    <row r="177">
      <c r="A177" s="4" t="n"/>
      <c r="B177" s="4" t="n"/>
      <c r="C177" s="4" t="n"/>
      <c r="D177" s="7" t="n"/>
      <c r="E177" s="7" t="n"/>
      <c r="F177" s="8">
        <f>IF(E177&lt;&gt;"",E177,IF(UPPER(TRIM(C177))="ROOF",Inputs!$B$10,IF(UPPER(TRIM(C177))="TRESFOND",Inputs!$B$11,IF(UPPER(TRIM(C177))="GRASS",Inputs!$B$12,Inputs!$B$13))))</f>
        <v/>
      </c>
      <c r="G177" s="7" t="n"/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</row>
    <row r="178">
      <c r="A178" s="4" t="n"/>
      <c r="B178" s="4" t="n"/>
      <c r="C178" s="4" t="n"/>
      <c r="D178" s="7" t="n"/>
      <c r="E178" s="7" t="n"/>
      <c r="F178" s="8">
        <f>IF(E178&lt;&gt;"",E178,IF(UPPER(TRIM(C178))="ROOF",Inputs!$B$10,IF(UPPER(TRIM(C178))="TRESFOND",Inputs!$B$11,IF(UPPER(TRIM(C178))="GRASS",Inputs!$B$12,Inputs!$B$13))))</f>
        <v/>
      </c>
      <c r="G178" s="7" t="n"/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</row>
    <row r="179">
      <c r="A179" s="4" t="n"/>
      <c r="B179" s="4" t="n"/>
      <c r="C179" s="4" t="n"/>
      <c r="D179" s="7" t="n"/>
      <c r="E179" s="7" t="n"/>
      <c r="F179" s="8">
        <f>IF(E179&lt;&gt;"",E179,IF(UPPER(TRIM(C179))="ROOF",Inputs!$B$10,IF(UPPER(TRIM(C179))="TRESFOND",Inputs!$B$11,IF(UPPER(TRIM(C179))="GRASS",Inputs!$B$12,Inputs!$B$13))))</f>
        <v/>
      </c>
      <c r="G179" s="7" t="n"/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</row>
    <row r="180">
      <c r="A180" s="4" t="n"/>
      <c r="B180" s="4" t="n"/>
      <c r="C180" s="4" t="n"/>
      <c r="D180" s="7" t="n"/>
      <c r="E180" s="7" t="n"/>
      <c r="F180" s="8">
        <f>IF(E180&lt;&gt;"",E180,IF(UPPER(TRIM(C180))="ROOF",Inputs!$B$10,IF(UPPER(TRIM(C180))="TRESFOND",Inputs!$B$11,IF(UPPER(TRIM(C180))="GRASS",Inputs!$B$12,Inputs!$B$13))))</f>
        <v/>
      </c>
      <c r="G180" s="7" t="n"/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</row>
    <row r="181">
      <c r="A181" s="4" t="n"/>
      <c r="B181" s="4" t="n"/>
      <c r="C181" s="4" t="n"/>
      <c r="D181" s="7" t="n"/>
      <c r="E181" s="7" t="n"/>
      <c r="F181" s="8">
        <f>IF(E181&lt;&gt;"",E181,IF(UPPER(TRIM(C181))="ROOF",Inputs!$B$10,IF(UPPER(TRIM(C181))="TRESFOND",Inputs!$B$11,IF(UPPER(TRIM(C181))="GRASS",Inputs!$B$12,Inputs!$B$13))))</f>
        <v/>
      </c>
      <c r="G181" s="7" t="n"/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</row>
    <row r="182">
      <c r="A182" s="4" t="n"/>
      <c r="B182" s="4" t="n"/>
      <c r="C182" s="4" t="n"/>
      <c r="D182" s="7" t="n"/>
      <c r="E182" s="7" t="n"/>
      <c r="F182" s="8">
        <f>IF(E182&lt;&gt;"",E182,IF(UPPER(TRIM(C182))="ROOF",Inputs!$B$10,IF(UPPER(TRIM(C182))="TRESFOND",Inputs!$B$11,IF(UPPER(TRIM(C182))="GRASS",Inputs!$B$12,Inputs!$B$13))))</f>
        <v/>
      </c>
      <c r="G182" s="7" t="n"/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</row>
    <row r="183">
      <c r="A183" s="4" t="n"/>
      <c r="B183" s="4" t="n"/>
      <c r="C183" s="4" t="n"/>
      <c r="D183" s="7" t="n"/>
      <c r="E183" s="7" t="n"/>
      <c r="F183" s="8">
        <f>IF(E183&lt;&gt;"",E183,IF(UPPER(TRIM(C183))="ROOF",Inputs!$B$10,IF(UPPER(TRIM(C183))="TRESFOND",Inputs!$B$11,IF(UPPER(TRIM(C183))="GRASS",Inputs!$B$12,Inputs!$B$13))))</f>
        <v/>
      </c>
      <c r="G183" s="7" t="n"/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</row>
    <row r="184">
      <c r="A184" s="4" t="n"/>
      <c r="B184" s="4" t="n"/>
      <c r="C184" s="4" t="n"/>
      <c r="D184" s="7" t="n"/>
      <c r="E184" s="7" t="n"/>
      <c r="F184" s="8">
        <f>IF(E184&lt;&gt;"",E184,IF(UPPER(TRIM(C184))="ROOF",Inputs!$B$10,IF(UPPER(TRIM(C184))="TRESFOND",Inputs!$B$11,IF(UPPER(TRIM(C184))="GRASS",Inputs!$B$12,Inputs!$B$13))))</f>
        <v/>
      </c>
      <c r="G184" s="7" t="n"/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</row>
    <row r="185">
      <c r="A185" s="4" t="n"/>
      <c r="B185" s="4" t="n"/>
      <c r="C185" s="4" t="n"/>
      <c r="D185" s="7" t="n"/>
      <c r="E185" s="7" t="n"/>
      <c r="F185" s="8">
        <f>IF(E185&lt;&gt;"",E185,IF(UPPER(TRIM(C185))="ROOF",Inputs!$B$10,IF(UPPER(TRIM(C185))="TRESFOND",Inputs!$B$11,IF(UPPER(TRIM(C185))="GRASS",Inputs!$B$12,Inputs!$B$13))))</f>
        <v/>
      </c>
      <c r="G185" s="7" t="n"/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</row>
    <row r="186">
      <c r="A186" s="4" t="n"/>
      <c r="B186" s="4" t="n"/>
      <c r="C186" s="4" t="n"/>
      <c r="D186" s="7" t="n"/>
      <c r="E186" s="7" t="n"/>
      <c r="F186" s="8">
        <f>IF(E186&lt;&gt;"",E186,IF(UPPER(TRIM(C186))="ROOF",Inputs!$B$10,IF(UPPER(TRIM(C186))="TRESFOND",Inputs!$B$11,IF(UPPER(TRIM(C186))="GRASS",Inputs!$B$12,Inputs!$B$13))))</f>
        <v/>
      </c>
      <c r="G186" s="7" t="n"/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</row>
    <row r="187">
      <c r="A187" s="4" t="n"/>
      <c r="B187" s="4" t="n"/>
      <c r="C187" s="4" t="n"/>
      <c r="D187" s="7" t="n"/>
      <c r="E187" s="7" t="n"/>
      <c r="F187" s="8">
        <f>IF(E187&lt;&gt;"",E187,IF(UPPER(TRIM(C187))="ROOF",Inputs!$B$10,IF(UPPER(TRIM(C187))="TRESFOND",Inputs!$B$11,IF(UPPER(TRIM(C187))="GRASS",Inputs!$B$12,Inputs!$B$13))))</f>
        <v/>
      </c>
      <c r="G187" s="7" t="n"/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</row>
    <row r="188">
      <c r="A188" s="4" t="n"/>
      <c r="B188" s="4" t="n"/>
      <c r="C188" s="4" t="n"/>
      <c r="D188" s="7" t="n"/>
      <c r="E188" s="7" t="n"/>
      <c r="F188" s="8">
        <f>IF(E188&lt;&gt;"",E188,IF(UPPER(TRIM(C188))="ROOF",Inputs!$B$10,IF(UPPER(TRIM(C188))="TRESFOND",Inputs!$B$11,IF(UPPER(TRIM(C188))="GRASS",Inputs!$B$12,Inputs!$B$13))))</f>
        <v/>
      </c>
      <c r="G188" s="7" t="n"/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</row>
    <row r="189">
      <c r="A189" s="4" t="n"/>
      <c r="B189" s="4" t="n"/>
      <c r="C189" s="4" t="n"/>
      <c r="D189" s="7" t="n"/>
      <c r="E189" s="7" t="n"/>
      <c r="F189" s="8">
        <f>IF(E189&lt;&gt;"",E189,IF(UPPER(TRIM(C189))="ROOF",Inputs!$B$10,IF(UPPER(TRIM(C189))="TRESFOND",Inputs!$B$11,IF(UPPER(TRIM(C189))="GRASS",Inputs!$B$12,Inputs!$B$13))))</f>
        <v/>
      </c>
      <c r="G189" s="7" t="n"/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</row>
    <row r="190">
      <c r="A190" s="4" t="n"/>
      <c r="B190" s="4" t="n"/>
      <c r="C190" s="4" t="n"/>
      <c r="D190" s="7" t="n"/>
      <c r="E190" s="7" t="n"/>
      <c r="F190" s="8">
        <f>IF(E190&lt;&gt;"",E190,IF(UPPER(TRIM(C190))="ROOF",Inputs!$B$10,IF(UPPER(TRIM(C190))="TRESFOND",Inputs!$B$11,IF(UPPER(TRIM(C190))="GRASS",Inputs!$B$12,Inputs!$B$13))))</f>
        <v/>
      </c>
      <c r="G190" s="7" t="n"/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</row>
    <row r="191">
      <c r="A191" s="4" t="n"/>
      <c r="B191" s="4" t="n"/>
      <c r="C191" s="4" t="n"/>
      <c r="D191" s="7" t="n"/>
      <c r="E191" s="7" t="n"/>
      <c r="F191" s="8">
        <f>IF(E191&lt;&gt;"",E191,IF(UPPER(TRIM(C191))="ROOF",Inputs!$B$10,IF(UPPER(TRIM(C191))="TRESFOND",Inputs!$B$11,IF(UPPER(TRIM(C191))="GRASS",Inputs!$B$12,Inputs!$B$13))))</f>
        <v/>
      </c>
      <c r="G191" s="7" t="n"/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</row>
    <row r="192">
      <c r="A192" s="4" t="n"/>
      <c r="B192" s="4" t="n"/>
      <c r="C192" s="4" t="n"/>
      <c r="D192" s="7" t="n"/>
      <c r="E192" s="7" t="n"/>
      <c r="F192" s="8">
        <f>IF(E192&lt;&gt;"",E192,IF(UPPER(TRIM(C192))="ROOF",Inputs!$B$10,IF(UPPER(TRIM(C192))="TRESFOND",Inputs!$B$11,IF(UPPER(TRIM(C192))="GRASS",Inputs!$B$12,Inputs!$B$13))))</f>
        <v/>
      </c>
      <c r="G192" s="7" t="n"/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</row>
    <row r="193">
      <c r="A193" s="4" t="n"/>
      <c r="B193" s="4" t="n"/>
      <c r="C193" s="4" t="n"/>
      <c r="D193" s="7" t="n"/>
      <c r="E193" s="7" t="n"/>
      <c r="F193" s="8">
        <f>IF(E193&lt;&gt;"",E193,IF(UPPER(TRIM(C193))="ROOF",Inputs!$B$10,IF(UPPER(TRIM(C193))="TRESFOND",Inputs!$B$11,IF(UPPER(TRIM(C193))="GRASS",Inputs!$B$12,Inputs!$B$13))))</f>
        <v/>
      </c>
      <c r="G193" s="7" t="n"/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</row>
    <row r="194">
      <c r="A194" s="4" t="n"/>
      <c r="B194" s="4" t="n"/>
      <c r="C194" s="4" t="n"/>
      <c r="D194" s="7" t="n"/>
      <c r="E194" s="7" t="n"/>
      <c r="F194" s="8">
        <f>IF(E194&lt;&gt;"",E194,IF(UPPER(TRIM(C194))="ROOF",Inputs!$B$10,IF(UPPER(TRIM(C194))="TRESFOND",Inputs!$B$11,IF(UPPER(TRIM(C194))="GRASS",Inputs!$B$12,Inputs!$B$13))))</f>
        <v/>
      </c>
      <c r="G194" s="7" t="n"/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</row>
    <row r="195">
      <c r="A195" s="4" t="n"/>
      <c r="B195" s="4" t="n"/>
      <c r="C195" s="4" t="n"/>
      <c r="D195" s="7" t="n"/>
      <c r="E195" s="7" t="n"/>
      <c r="F195" s="8">
        <f>IF(E195&lt;&gt;"",E195,IF(UPPER(TRIM(C195))="ROOF",Inputs!$B$10,IF(UPPER(TRIM(C195))="TRESFOND",Inputs!$B$11,IF(UPPER(TRIM(C195))="GRASS",Inputs!$B$12,Inputs!$B$13))))</f>
        <v/>
      </c>
      <c r="G195" s="7" t="n"/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</row>
    <row r="196">
      <c r="A196" s="4" t="n"/>
      <c r="B196" s="4" t="n"/>
      <c r="C196" s="4" t="n"/>
      <c r="D196" s="7" t="n"/>
      <c r="E196" s="7" t="n"/>
      <c r="F196" s="8">
        <f>IF(E196&lt;&gt;"",E196,IF(UPPER(TRIM(C196))="ROOF",Inputs!$B$10,IF(UPPER(TRIM(C196))="TRESFOND",Inputs!$B$11,IF(UPPER(TRIM(C196))="GRASS",Inputs!$B$12,Inputs!$B$13))))</f>
        <v/>
      </c>
      <c r="G196" s="7" t="n"/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</row>
    <row r="197">
      <c r="A197" s="4" t="n"/>
      <c r="B197" s="4" t="n"/>
      <c r="C197" s="4" t="n"/>
      <c r="D197" s="7" t="n"/>
      <c r="E197" s="7" t="n"/>
      <c r="F197" s="8">
        <f>IF(E197&lt;&gt;"",E197,IF(UPPER(TRIM(C197))="ROOF",Inputs!$B$10,IF(UPPER(TRIM(C197))="TRESFOND",Inputs!$B$11,IF(UPPER(TRIM(C197))="GRASS",Inputs!$B$12,Inputs!$B$13))))</f>
        <v/>
      </c>
      <c r="G197" s="7" t="n"/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</row>
    <row r="198">
      <c r="A198" s="4" t="n"/>
      <c r="B198" s="4" t="n"/>
      <c r="C198" s="4" t="n"/>
      <c r="D198" s="7" t="n"/>
      <c r="E198" s="7" t="n"/>
      <c r="F198" s="8">
        <f>IF(E198&lt;&gt;"",E198,IF(UPPER(TRIM(C198))="ROOF",Inputs!$B$10,IF(UPPER(TRIM(C198))="TRESFOND",Inputs!$B$11,IF(UPPER(TRIM(C198))="GRASS",Inputs!$B$12,Inputs!$B$13))))</f>
        <v/>
      </c>
      <c r="G198" s="7" t="n"/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</row>
    <row r="199">
      <c r="A199" s="4" t="n"/>
      <c r="B199" s="4" t="n"/>
      <c r="C199" s="4" t="n"/>
      <c r="D199" s="7" t="n"/>
      <c r="E199" s="7" t="n"/>
      <c r="F199" s="8">
        <f>IF(E199&lt;&gt;"",E199,IF(UPPER(TRIM(C199))="ROOF",Inputs!$B$10,IF(UPPER(TRIM(C199))="TRESFOND",Inputs!$B$11,IF(UPPER(TRIM(C199))="GRASS",Inputs!$B$12,Inputs!$B$13))))</f>
        <v/>
      </c>
      <c r="G199" s="7" t="n"/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</row>
    <row r="200">
      <c r="A200" s="4" t="n"/>
      <c r="B200" s="4" t="n"/>
      <c r="C200" s="4" t="n"/>
      <c r="D200" s="7" t="n"/>
      <c r="E200" s="7" t="n"/>
      <c r="F200" s="8">
        <f>IF(E200&lt;&gt;"",E200,IF(UPPER(TRIM(C200))="ROOF",Inputs!$B$10,IF(UPPER(TRIM(C200))="TRESFOND",Inputs!$B$11,IF(UPPER(TRIM(C200))="GRASS",Inputs!$B$12,Inputs!$B$13))))</f>
        <v/>
      </c>
      <c r="G200" s="7" t="n"/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</row>
    <row r="201">
      <c r="A201" s="4" t="n"/>
      <c r="B201" s="4" t="n"/>
      <c r="C201" s="4" t="n"/>
      <c r="D201" s="7" t="n"/>
      <c r="E201" s="7" t="n"/>
      <c r="F201" s="8">
        <f>IF(E201&lt;&gt;"",E201,IF(UPPER(TRIM(C201))="ROOF",Inputs!$B$10,IF(UPPER(TRIM(C201))="TRESFOND",Inputs!$B$11,IF(UPPER(TRIM(C201))="GRASS",Inputs!$B$12,Inputs!$B$13))))</f>
        <v/>
      </c>
      <c r="G201" s="7" t="n"/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</row>
    <row r="202">
      <c r="A202" s="4" t="n"/>
      <c r="B202" s="4" t="n"/>
      <c r="C202" s="4" t="n"/>
      <c r="D202" s="7" t="n"/>
      <c r="E202" s="7" t="n"/>
      <c r="F202" s="8">
        <f>IF(E202&lt;&gt;"",E202,IF(UPPER(TRIM(C202))="ROOF",Inputs!$B$10,IF(UPPER(TRIM(C202))="TRESFOND",Inputs!$B$11,IF(UPPER(TRIM(C202))="GRASS",Inputs!$B$12,Inputs!$B$13))))</f>
        <v/>
      </c>
      <c r="G202" s="7" t="n"/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</row>
    <row r="203">
      <c r="A203" s="4" t="n"/>
      <c r="B203" s="4" t="n"/>
      <c r="C203" s="4" t="n"/>
      <c r="D203" s="7" t="n"/>
      <c r="E203" s="7" t="n"/>
      <c r="F203" s="8">
        <f>IF(E203&lt;&gt;"",E203,IF(UPPER(TRIM(C203))="ROOF",Inputs!$B$10,IF(UPPER(TRIM(C203))="TRESFOND",Inputs!$B$11,IF(UPPER(TRIM(C203))="GRASS",Inputs!$B$12,Inputs!$B$13))))</f>
        <v/>
      </c>
      <c r="G203" s="7" t="n"/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</row>
    <row r="204">
      <c r="A204" s="4" t="n"/>
      <c r="B204" s="4" t="n"/>
      <c r="C204" s="4" t="n"/>
      <c r="D204" s="7" t="n"/>
      <c r="E204" s="7" t="n"/>
      <c r="F204" s="8">
        <f>IF(E204&lt;&gt;"",E204,IF(UPPER(TRIM(C204))="ROOF",Inputs!$B$10,IF(UPPER(TRIM(C204))="TRESFOND",Inputs!$B$11,IF(UPPER(TRIM(C204))="GRASS",Inputs!$B$12,Inputs!$B$13))))</f>
        <v/>
      </c>
      <c r="G204" s="7" t="n"/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</cols>
  <sheetData>
    <row r="1">
      <c r="A1" s="1" t="inlineStr">
        <is>
          <t>DIMENSIONNEMENT ELEMENTS HYBRIDES (PIPE / SWALE / TRENCH)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P-01</t>
        </is>
      </c>
      <c r="D4" s="4" t="inlineStr">
        <is>
          <t>P-02</t>
        </is>
      </c>
      <c r="E4" s="4" t="inlineStr">
        <is>
          <t>E02</t>
        </is>
      </c>
      <c r="F4" s="7" t="n">
        <v>21.6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IF(A4="","",IF(OR(U4&gt;1,AND(X4&lt;&gt;"",X4&lt;Inputs!$B$16),AND(X4&lt;&gt;"",X4&gt;Inputs!$B$17),G4&lt;Inputs!$B$18),"CHECK","OK"))</f>
        <v/>
      </c>
      <c r="AB4" s="4" t="inlineStr">
        <is>
          <t>Bande est amont: tranchee drainante sous arbres (segment 1).</t>
        </is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P-02</t>
        </is>
      </c>
      <c r="D5" s="4" t="inlineStr">
        <is>
          <t>P-03</t>
        </is>
      </c>
      <c r="E5" s="4" t="inlineStr">
        <is>
          <t>E03</t>
        </is>
      </c>
      <c r="F5" s="7" t="n">
        <v>21.6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IF(A5="","",IF(OR(U5&gt;1,AND(X5&lt;&gt;"",X5&lt;Inputs!$B$16),AND(X5&lt;&gt;"",X5&gt;Inputs!$B$17),G5&lt;Inputs!$B$18),"CHECK","OK"))</f>
        <v/>
      </c>
      <c r="AB5" s="4" t="inlineStr">
        <is>
          <t>Bande est aval: tranchee drainante sous arbres (segment 2).</t>
        </is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P-03</t>
        </is>
      </c>
      <c r="D6" s="4" t="inlineStr">
        <is>
          <t>J-BASSIN-IN</t>
        </is>
      </c>
      <c r="E6" s="4" t="inlineStr">
        <is>
          <t>E07</t>
        </is>
      </c>
      <c r="F6" s="7" t="n">
        <v>20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n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IF(A6="","",IF(OR(U6&gt;1,AND(X6&lt;&gt;"",X6&lt;Inputs!$B$16),AND(X6&lt;&gt;"",X6&gt;Inputs!$B$17),G6&lt;Inputs!$B$18),"CHECK","OK"))</f>
        <v/>
      </c>
      <c r="AB6" s="4" t="inlineStr">
        <is>
          <t>Collecteur est vers J-BASSIN-IN (hors zone racinaire dense).</t>
        </is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J-SUD-EST</t>
        </is>
      </c>
      <c r="D7" s="4" t="inlineStr">
        <is>
          <t>J-SUD-OUEST</t>
        </is>
      </c>
      <c r="E7" s="4" t="inlineStr">
        <is>
          <t>E07</t>
        </is>
      </c>
      <c r="F7" s="7">
        <f>Inputs!$B$35</f>
        <v/>
      </c>
      <c r="G7" s="7" t="n">
        <v>0.008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>
        <f>Inputs!$B$25</f>
        <v/>
      </c>
      <c r="L7" s="7">
        <f>Inputs!$B$26</f>
        <v/>
      </c>
      <c r="M7" s="7">
        <f>Inputs!$B$20</f>
        <v/>
      </c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IF(A7="","",IF(OR(U7&gt;1,AND(X7&lt;&gt;"",X7&lt;Inputs!$B$16),AND(X7&lt;&gt;"",X7&gt;Inputs!$B$17),G7&lt;Inputs!$B$18),"CHECK","OK"))</f>
        <v/>
      </c>
      <c r="AB7" s="4" t="inlineStr">
        <is>
          <t>Noue/tranchee sud dans bande 2.0m vers bassin lineaire.</t>
        </is>
      </c>
    </row>
    <row r="8">
      <c r="A8" s="4" t="inlineStr">
        <is>
          <t>E05</t>
        </is>
      </c>
      <c r="B8" s="4" t="inlineStr">
        <is>
          <t>SWALE</t>
        </is>
      </c>
      <c r="C8" s="4" t="inlineStr">
        <is>
          <t>J-OUEST-AMONT</t>
        </is>
      </c>
      <c r="D8" s="4" t="inlineStr">
        <is>
          <t>J-OUEST-AVAL</t>
        </is>
      </c>
      <c r="E8" s="4" t="inlineStr">
        <is>
          <t>E06</t>
        </is>
      </c>
      <c r="F8" s="7" t="n">
        <v>16</v>
      </c>
      <c r="G8" s="7" t="n">
        <v>0.008</v>
      </c>
      <c r="H8" s="7" t="inlineStr"/>
      <c r="I8" s="8">
        <f>IF(A8="","",IF(H8&lt;&gt;"",H8,IF(UPPER(TRIM(B8))="PIPE",Inputs!$B$7,IF(UPPER(TRIM(B8))="SWALE",Inputs!$B$8,Inputs!$B$9))))</f>
        <v/>
      </c>
      <c r="J8" s="7" t="n"/>
      <c r="K8" s="7" t="n">
        <v>0.8</v>
      </c>
      <c r="L8" s="7" t="n">
        <v>0.2</v>
      </c>
      <c r="M8" s="7" t="n">
        <v>3</v>
      </c>
      <c r="N8" s="7" t="n">
        <v>0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IF(A8="","",IF(OR(U8&gt;1,AND(X8&lt;&gt;"",X8&lt;Inputs!$B$16),AND(X8&lt;&gt;"",X8&gt;Inputs!$B$17),G8&lt;Inputs!$B$18),"CHECK","OK"))</f>
        <v/>
      </c>
      <c r="AB8" s="4" t="inlineStr">
        <is>
          <t>Collecte ouest avec conduite peu profonde/element lineaire compatible utilites.</t>
        </is>
      </c>
    </row>
    <row r="9">
      <c r="A9" s="4" t="inlineStr">
        <is>
          <t>E06</t>
        </is>
      </c>
      <c r="B9" s="4" t="inlineStr">
        <is>
          <t>PIPE</t>
        </is>
      </c>
      <c r="C9" s="4" t="inlineStr">
        <is>
          <t>J-OUEST-AVAL</t>
        </is>
      </c>
      <c r="D9" s="4" t="inlineStr">
        <is>
          <t>J-BASSIN-IN</t>
        </is>
      </c>
      <c r="E9" s="4" t="inlineStr">
        <is>
          <t>E07</t>
        </is>
      </c>
      <c r="F9" s="7" t="n">
        <v>8</v>
      </c>
      <c r="G9" s="7" t="n">
        <v>0.008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300</v>
      </c>
      <c r="K9" s="7" t="inlineStr"/>
      <c r="L9" s="7" t="inlineStr"/>
      <c r="M9" s="7" t="n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IF(A9="","",IF(OR(U9&gt;1,AND(X9&lt;&gt;"",X9&lt;Inputs!$B$16),AND(X9&lt;&gt;"",X9&gt;Inputs!$B$17),G9&lt;Inputs!$B$18),"CHECK","OK"))</f>
        <v/>
      </c>
      <c r="AB9" s="4" t="inlineStr">
        <is>
          <t>Branche ouest vers J-BASSIN-IN (traverse utilites avec precautions).</t>
        </is>
      </c>
    </row>
    <row r="10">
      <c r="A10" s="4" t="inlineStr">
        <is>
          <t>E07</t>
        </is>
      </c>
      <c r="B10" s="4" t="inlineStr">
        <is>
          <t>PIPE</t>
        </is>
      </c>
      <c r="C10" s="4" t="inlineStr">
        <is>
          <t>J-BASSIN-IN</t>
        </is>
      </c>
      <c r="D10" s="4" t="inlineStr">
        <is>
          <t>BASSIN-RET</t>
        </is>
      </c>
      <c r="E10" s="4" t="inlineStr"/>
      <c r="F10" s="7" t="n">
        <v>6</v>
      </c>
      <c r="G10" s="7" t="n">
        <v>0.006</v>
      </c>
      <c r="H10" s="7" t="inlineStr"/>
      <c r="I10" s="8">
        <f>IF(A10="","",IF(H10&lt;&gt;"",H10,IF(UPPER(TRIM(B10))="PIPE",Inputs!$B$7,IF(UPPER(TRIM(B10))="SWALE",Inputs!$B$8,Inputs!$B$9))))</f>
        <v/>
      </c>
      <c r="J10" s="7" t="n">
        <v>525</v>
      </c>
      <c r="K10" s="7" t="inlineStr"/>
      <c r="L10" s="7" t="inlineStr"/>
      <c r="M10" s="7" t="n"/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IF(A10="","",IF(OR(U10&gt;1,AND(X10&lt;&gt;"",X10&lt;Inputs!$B$16),AND(X10&lt;&gt;"",X10&gt;Inputs!$B$17),G10&lt;Inputs!$B$18),"CHECK","OK"))</f>
        <v/>
      </c>
      <c r="AB10" s="4" t="inlineStr">
        <is>
          <t>Injection finale vers BASSIN-RET lineaire sud.</t>
        </is>
      </c>
    </row>
    <row r="11">
      <c r="A11" s="4" t="n"/>
      <c r="B11" s="4" t="n"/>
      <c r="C11" s="4" t="n"/>
      <c r="D11" s="4" t="n"/>
      <c r="E11" s="4" t="n"/>
      <c r="F11" s="7" t="n"/>
      <c r="G11" s="7" t="n"/>
      <c r="H11" s="7" t="n"/>
      <c r="I11" s="8">
        <f>IF(A11="","",IF(H11&lt;&gt;"",H11,IF(UPPER(TRIM(B11))="PIPE",Inputs!$B$7,IF(UPPER(TRIM(B11))="SWALE",Inputs!$B$8,Inputs!$B$9))))</f>
        <v/>
      </c>
      <c r="J11" s="7" t="n"/>
      <c r="K11" s="7" t="n"/>
      <c r="L11" s="7" t="n"/>
      <c r="M11" s="7" t="n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IF(A11="","",IF(OR(U11&gt;1,AND(X11&lt;&gt;"",X11&lt;Inputs!$B$16),AND(X11&lt;&gt;"",X11&gt;Inputs!$B$17),G11&lt;Inputs!$B$18),"CHECK","OK"))</f>
        <v/>
      </c>
      <c r="AB11" s="4" t="n"/>
    </row>
    <row r="12">
      <c r="A12" s="4" t="n"/>
      <c r="B12" s="4" t="n"/>
      <c r="C12" s="4" t="n"/>
      <c r="D12" s="4" t="n"/>
      <c r="E12" s="4" t="n"/>
      <c r="F12" s="7" t="n"/>
      <c r="G12" s="7" t="n"/>
      <c r="H12" s="7" t="n"/>
      <c r="I12" s="8">
        <f>IF(A12="","",IF(H12&lt;&gt;"",H12,IF(UPPER(TRIM(B12))="PIPE",Inputs!$B$7,IF(UPPER(TRIM(B12))="SWALE",Inputs!$B$8,Inputs!$B$9))))</f>
        <v/>
      </c>
      <c r="J12" s="7" t="n"/>
      <c r="K12" s="7" t="n"/>
      <c r="L12" s="7" t="n"/>
      <c r="M12" s="7" t="n"/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IF(A12="","",IF(OR(U12&gt;1,AND(X12&lt;&gt;"",X12&lt;Inputs!$B$16),AND(X12&lt;&gt;"",X12&gt;Inputs!$B$17),G12&lt;Inputs!$B$18),"CHECK","OK"))</f>
        <v/>
      </c>
      <c r="AB12" s="4" t="n"/>
    </row>
    <row r="13">
      <c r="A13" s="4" t="n"/>
      <c r="B13" s="4" t="n"/>
      <c r="C13" s="4" t="n"/>
      <c r="D13" s="4" t="n"/>
      <c r="E13" s="4" t="n"/>
      <c r="F13" s="7" t="n"/>
      <c r="G13" s="7" t="n"/>
      <c r="H13" s="7" t="n"/>
      <c r="I13" s="8">
        <f>IF(A13="","",IF(H13&lt;&gt;"",H13,IF(UPPER(TRIM(B13))="PIPE",Inputs!$B$7,IF(UPPER(TRIM(B13))="SWALE",Inputs!$B$8,Inputs!$B$9))))</f>
        <v/>
      </c>
      <c r="J13" s="7" t="n"/>
      <c r="K13" s="7" t="n"/>
      <c r="L13" s="7" t="n"/>
      <c r="M13" s="7" t="n"/>
      <c r="N13" s="7" t="n">
        <v>0</v>
      </c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IF(A13="","",IF(OR(U13&gt;1,AND(X13&lt;&gt;"",X13&lt;Inputs!$B$16),AND(X13&lt;&gt;"",X13&gt;Inputs!$B$17),G13&lt;Inputs!$B$18),"CHECK","OK"))</f>
        <v/>
      </c>
      <c r="AB13" s="4" t="n"/>
    </row>
    <row r="14">
      <c r="A14" s="4" t="n"/>
      <c r="B14" s="4" t="n"/>
      <c r="C14" s="4" t="n"/>
      <c r="D14" s="4" t="n"/>
      <c r="E14" s="4" t="n"/>
      <c r="F14" s="7" t="n"/>
      <c r="G14" s="7" t="n"/>
      <c r="H14" s="7" t="n"/>
      <c r="I14" s="8">
        <f>IF(A14="","",IF(H14&lt;&gt;"",H14,IF(UPPER(TRIM(B14))="PIPE",Inputs!$B$7,IF(UPPER(TRIM(B14))="SWALE",Inputs!$B$8,Inputs!$B$9))))</f>
        <v/>
      </c>
      <c r="J14" s="7" t="n"/>
      <c r="K14" s="7" t="n"/>
      <c r="L14" s="7" t="n"/>
      <c r="M14" s="7" t="n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IF(A14="","",IF(OR(U14&gt;1,AND(X14&lt;&gt;"",X14&lt;Inputs!$B$16),AND(X14&lt;&gt;"",X14&gt;Inputs!$B$17),G14&lt;Inputs!$B$18),"CHECK","OK"))</f>
        <v/>
      </c>
      <c r="AB14" s="4" t="n"/>
    </row>
    <row r="15">
      <c r="A15" s="4" t="n"/>
      <c r="B15" s="4" t="n"/>
      <c r="C15" s="4" t="n"/>
      <c r="D15" s="4" t="n"/>
      <c r="E15" s="4" t="n"/>
      <c r="F15" s="7" t="n"/>
      <c r="G15" s="7" t="n"/>
      <c r="H15" s="7" t="n"/>
      <c r="I15" s="8">
        <f>IF(A15="","",IF(H15&lt;&gt;"",H15,IF(UPPER(TRIM(B15))="PIPE",Inputs!$B$7,IF(UPPER(TRIM(B15))="SWALE",Inputs!$B$8,Inputs!$B$9))))</f>
        <v/>
      </c>
      <c r="J15" s="7" t="n"/>
      <c r="K15" s="7" t="n"/>
      <c r="L15" s="7" t="n"/>
      <c r="M15" s="7" t="n"/>
      <c r="N15" s="7" t="n">
        <v>0</v>
      </c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IF(A15="","",IF(OR(U15&gt;1,AND(X15&lt;&gt;"",X15&lt;Inputs!$B$16),AND(X15&lt;&gt;"",X15&gt;Inputs!$B$17),G15&lt;Inputs!$B$18),"CHECK","OK"))</f>
        <v/>
      </c>
      <c r="AB15" s="4" t="n"/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>
        <v>0</v>
      </c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IF(A16="","",IF(OR(U16&gt;1,AND(X16&lt;&gt;"",X16&lt;Inputs!$B$16),AND(X16&lt;&gt;"",X16&gt;Inputs!$B$17),G16&lt;Inputs!$B$18),"CHECK","OK"))</f>
        <v/>
      </c>
      <c r="AB16" s="4" t="n"/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>
        <v>0</v>
      </c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IF(A17="","",IF(OR(U17&gt;1,AND(X17&lt;&gt;"",X17&lt;Inputs!$B$16),AND(X17&lt;&gt;"",X17&gt;Inputs!$B$17),G17&lt;Inputs!$B$18),"CHECK","OK"))</f>
        <v/>
      </c>
      <c r="AB17" s="4" t="n"/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>
        <v>0</v>
      </c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IF(A18="","",IF(OR(U18&gt;1,AND(X18&lt;&gt;"",X18&lt;Inputs!$B$16),AND(X18&lt;&gt;"",X18&gt;Inputs!$B$17),G18&lt;Inputs!$B$18),"CHECK","OK"))</f>
        <v/>
      </c>
      <c r="AB18" s="4" t="n"/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>
        <v>0</v>
      </c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IF(A19="","",IF(OR(U19&gt;1,AND(X19&lt;&gt;"",X19&lt;Inputs!$B$16),AND(X19&lt;&gt;"",X19&gt;Inputs!$B$17),G19&lt;Inputs!$B$18),"CHECK","OK"))</f>
        <v/>
      </c>
      <c r="AB19" s="4" t="n"/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>
        <v>0</v>
      </c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IF(A20="","",IF(OR(U20&gt;1,AND(X20&lt;&gt;"",X20&lt;Inputs!$B$16),AND(X20&lt;&gt;"",X20&gt;Inputs!$B$17),G20&lt;Inputs!$B$18),"CHECK","OK"))</f>
        <v/>
      </c>
      <c r="AB20" s="4" t="n"/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IF(A21="","",IF(OR(U21&gt;1,AND(X21&lt;&gt;"",X21&lt;Inputs!$B$16),AND(X21&lt;&gt;"",X21&gt;Inputs!$B$17),G21&lt;Inputs!$B$18),"CHECK","OK"))</f>
        <v/>
      </c>
      <c r="AB21" s="4" t="n"/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IF(A22="","",IF(OR(U22&gt;1,AND(X22&lt;&gt;"",X22&lt;Inputs!$B$16),AND(X22&lt;&gt;"",X22&gt;Inputs!$B$17),G22&lt;Inputs!$B$18),"CHECK","OK"))</f>
        <v/>
      </c>
      <c r="AB22" s="4" t="n"/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IF(A23="","",IF(OR(U23&gt;1,AND(X23&lt;&gt;"",X23&lt;Inputs!$B$16),AND(X23&lt;&gt;"",X23&gt;Inputs!$B$17),G23&lt;Inputs!$B$18),"CHECK","OK"))</f>
        <v/>
      </c>
      <c r="AB23" s="4" t="n"/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IF(A24="","",IF(OR(U24&gt;1,AND(X24&lt;&gt;"",X24&lt;Inputs!$B$16),AND(X24&lt;&gt;"",X24&gt;Inputs!$B$17),G24&lt;Inputs!$B$18),"CHECK","OK"))</f>
        <v/>
      </c>
      <c r="AB24" s="4" t="n"/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IF(A25="","",IF(OR(U25&gt;1,AND(X25&lt;&gt;"",X25&lt;Inputs!$B$16),AND(X25&lt;&gt;"",X25&gt;Inputs!$B$17),G25&lt;Inputs!$B$18),"CHECK","OK"))</f>
        <v/>
      </c>
      <c r="AB25" s="4" t="n"/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IF(A26="","",IF(OR(U26&gt;1,AND(X26&lt;&gt;"",X26&lt;Inputs!$B$16),AND(X26&lt;&gt;"",X26&gt;Inputs!$B$17),G26&lt;Inputs!$B$18),"CHECK","OK"))</f>
        <v/>
      </c>
      <c r="AB26" s="4" t="n"/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IF(A27="","",IF(OR(U27&gt;1,AND(X27&lt;&gt;"",X27&lt;Inputs!$B$16),AND(X27&lt;&gt;"",X27&gt;Inputs!$B$17),G27&lt;Inputs!$B$18),"CHECK","OK"))</f>
        <v/>
      </c>
      <c r="AB27" s="4" t="n"/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IF(A28="","",IF(OR(U28&gt;1,AND(X28&lt;&gt;"",X28&lt;Inputs!$B$16),AND(X28&lt;&gt;"",X28&gt;Inputs!$B$17),G28&lt;Inputs!$B$18),"CHECK","OK"))</f>
        <v/>
      </c>
      <c r="AB28" s="4" t="n"/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IF(A29="","",IF(OR(U29&gt;1,AND(X29&lt;&gt;"",X29&lt;Inputs!$B$16),AND(X29&lt;&gt;"",X29&gt;Inputs!$B$17),G29&lt;Inputs!$B$18),"CHECK","OK"))</f>
        <v/>
      </c>
      <c r="AB29" s="4" t="n"/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IF(A30="","",IF(OR(U30&gt;1,AND(X30&lt;&gt;"",X30&lt;Inputs!$B$16),AND(X30&lt;&gt;"",X30&gt;Inputs!$B$17),G30&lt;Inputs!$B$18),"CHECK","OK"))</f>
        <v/>
      </c>
      <c r="AB30" s="4" t="n"/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IF(A31="","",IF(OR(U31&gt;1,AND(X31&lt;&gt;"",X31&lt;Inputs!$B$16),AND(X31&lt;&gt;"",X31&gt;Inputs!$B$17),G31&lt;Inputs!$B$18),"CHECK","OK"))</f>
        <v/>
      </c>
      <c r="AB31" s="4" t="n"/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IF(A32="","",IF(OR(U32&gt;1,AND(X32&lt;&gt;"",X32&lt;Inputs!$B$16),AND(X32&lt;&gt;"",X32&gt;Inputs!$B$17),G32&lt;Inputs!$B$18),"CHECK","OK"))</f>
        <v/>
      </c>
      <c r="AB32" s="4" t="n"/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IF(A33="","",IF(OR(U33&gt;1,AND(X33&lt;&gt;"",X33&lt;Inputs!$B$16),AND(X33&lt;&gt;"",X33&gt;Inputs!$B$17),G33&lt;Inputs!$B$18),"CHECK","OK"))</f>
        <v/>
      </c>
      <c r="AB33" s="4" t="n"/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IF(A34="","",IF(OR(U34&gt;1,AND(X34&lt;&gt;"",X34&lt;Inputs!$B$16),AND(X34&lt;&gt;"",X34&gt;Inputs!$B$17),G34&lt;Inputs!$B$18),"CHECK","OK"))</f>
        <v/>
      </c>
      <c r="AB34" s="4" t="n"/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IF(A35="","",IF(OR(U35&gt;1,AND(X35&lt;&gt;"",X35&lt;Inputs!$B$16),AND(X35&lt;&gt;"",X35&gt;Inputs!$B$17),G35&lt;Inputs!$B$18),"CHECK","OK"))</f>
        <v/>
      </c>
      <c r="AB35" s="4" t="n"/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IF(A36="","",IF(OR(U36&gt;1,AND(X36&lt;&gt;"",X36&lt;Inputs!$B$16),AND(X36&lt;&gt;"",X36&gt;Inputs!$B$17),G36&lt;Inputs!$B$18),"CHECK","OK"))</f>
        <v/>
      </c>
      <c r="AB36" s="4" t="n"/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IF(A37="","",IF(OR(U37&gt;1,AND(X37&lt;&gt;"",X37&lt;Inputs!$B$16),AND(X37&lt;&gt;"",X37&gt;Inputs!$B$17),G37&lt;Inputs!$B$18),"CHECK","OK"))</f>
        <v/>
      </c>
      <c r="AB37" s="4" t="n"/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IF(A38="","",IF(OR(U38&gt;1,AND(X38&lt;&gt;"",X38&lt;Inputs!$B$16),AND(X38&lt;&gt;"",X38&gt;Inputs!$B$17),G38&lt;Inputs!$B$18),"CHECK","OK"))</f>
        <v/>
      </c>
      <c r="AB38" s="4" t="n"/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IF(A39="","",IF(OR(U39&gt;1,AND(X39&lt;&gt;"",X39&lt;Inputs!$B$16),AND(X39&lt;&gt;"",X39&gt;Inputs!$B$17),G39&lt;Inputs!$B$18),"CHECK","OK"))</f>
        <v/>
      </c>
      <c r="AB39" s="4" t="n"/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IF(A40="","",IF(OR(U40&gt;1,AND(X40&lt;&gt;"",X40&lt;Inputs!$B$16),AND(X40&lt;&gt;"",X40&gt;Inputs!$B$17),G40&lt;Inputs!$B$18),"CHECK","OK"))</f>
        <v/>
      </c>
      <c r="AB40" s="4" t="n"/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IF(A41="","",IF(OR(U41&gt;1,AND(X41&lt;&gt;"",X41&lt;Inputs!$B$16),AND(X41&lt;&gt;"",X41&gt;Inputs!$B$17),G41&lt;Inputs!$B$18),"CHECK","OK"))</f>
        <v/>
      </c>
      <c r="AB41" s="4" t="n"/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IF(A42="","",IF(OR(U42&gt;1,AND(X42&lt;&gt;"",X42&lt;Inputs!$B$16),AND(X42&lt;&gt;"",X42&gt;Inputs!$B$17),G42&lt;Inputs!$B$18),"CHECK","OK"))</f>
        <v/>
      </c>
      <c r="AB42" s="4" t="n"/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IF(A43="","",IF(OR(U43&gt;1,AND(X43&lt;&gt;"",X43&lt;Inputs!$B$16),AND(X43&lt;&gt;"",X43&gt;Inputs!$B$17),G43&lt;Inputs!$B$18),"CHECK","OK"))</f>
        <v/>
      </c>
      <c r="AB43" s="4" t="n"/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IF(A44="","",IF(OR(U44&gt;1,AND(X44&lt;&gt;"",X44&lt;Inputs!$B$16),AND(X44&lt;&gt;"",X44&gt;Inputs!$B$17),G44&lt;Inputs!$B$18),"CHECK","OK"))</f>
        <v/>
      </c>
      <c r="AB44" s="4" t="n"/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IF(A45="","",IF(OR(U45&gt;1,AND(X45&lt;&gt;"",X45&lt;Inputs!$B$16),AND(X45&lt;&gt;"",X45&gt;Inputs!$B$17),G45&lt;Inputs!$B$18),"CHECK","OK"))</f>
        <v/>
      </c>
      <c r="AB45" s="4" t="n"/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IF(A46="","",IF(OR(U46&gt;1,AND(X46&lt;&gt;"",X46&lt;Inputs!$B$16),AND(X46&lt;&gt;"",X46&gt;Inputs!$B$17),G46&lt;Inputs!$B$18),"CHECK","OK"))</f>
        <v/>
      </c>
      <c r="AB46" s="4" t="n"/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IF(A47="","",IF(OR(U47&gt;1,AND(X47&lt;&gt;"",X47&lt;Inputs!$B$16),AND(X47&lt;&gt;"",X47&gt;Inputs!$B$17),G47&lt;Inputs!$B$18),"CHECK","OK"))</f>
        <v/>
      </c>
      <c r="AB47" s="4" t="n"/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IF(A48="","",IF(OR(U48&gt;1,AND(X48&lt;&gt;"",X48&lt;Inputs!$B$16),AND(X48&lt;&gt;"",X48&gt;Inputs!$B$17),G48&lt;Inputs!$B$18),"CHECK","OK"))</f>
        <v/>
      </c>
      <c r="AB48" s="4" t="n"/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IF(A49="","",IF(OR(U49&gt;1,AND(X49&lt;&gt;"",X49&lt;Inputs!$B$16),AND(X49&lt;&gt;"",X49&gt;Inputs!$B$17),G49&lt;Inputs!$B$18),"CHECK","OK"))</f>
        <v/>
      </c>
      <c r="AB49" s="4" t="n"/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IF(A50="","",IF(OR(U50&gt;1,AND(X50&lt;&gt;"",X50&lt;Inputs!$B$16),AND(X50&lt;&gt;"",X50&gt;Inputs!$B$17),G50&lt;Inputs!$B$18),"CHECK","OK"))</f>
        <v/>
      </c>
      <c r="AB50" s="4" t="n"/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IF(A51="","",IF(OR(U51&gt;1,AND(X51&lt;&gt;"",X51&lt;Inputs!$B$16),AND(X51&lt;&gt;"",X51&gt;Inputs!$B$17),G51&lt;Inputs!$B$18),"CHECK","OK"))</f>
        <v/>
      </c>
      <c r="AB51" s="4" t="n"/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IF(A52="","",IF(OR(U52&gt;1,AND(X52&lt;&gt;"",X52&lt;Inputs!$B$16),AND(X52&lt;&gt;"",X52&gt;Inputs!$B$17),G52&lt;Inputs!$B$18),"CHECK","OK"))</f>
        <v/>
      </c>
      <c r="AB52" s="4" t="n"/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IF(A53="","",IF(OR(U53&gt;1,AND(X53&lt;&gt;"",X53&lt;Inputs!$B$16),AND(X53&lt;&gt;"",X53&gt;Inputs!$B$17),G53&lt;Inputs!$B$18),"CHECK","OK"))</f>
        <v/>
      </c>
      <c r="AB53" s="4" t="n"/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IF(A54="","",IF(OR(U54&gt;1,AND(X54&lt;&gt;"",X54&lt;Inputs!$B$16),AND(X54&lt;&gt;"",X54&gt;Inputs!$B$17),G54&lt;Inputs!$B$18),"CHECK","OK"))</f>
        <v/>
      </c>
      <c r="AB54" s="4" t="n"/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IF(A55="","",IF(OR(U55&gt;1,AND(X55&lt;&gt;"",X55&lt;Inputs!$B$16),AND(X55&lt;&gt;"",X55&gt;Inputs!$B$17),G55&lt;Inputs!$B$18),"CHECK","OK"))</f>
        <v/>
      </c>
      <c r="AB55" s="4" t="n"/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IF(A56="","",IF(OR(U56&gt;1,AND(X56&lt;&gt;"",X56&lt;Inputs!$B$16),AND(X56&lt;&gt;"",X56&gt;Inputs!$B$17),G56&lt;Inputs!$B$18),"CHECK","OK"))</f>
        <v/>
      </c>
      <c r="AB56" s="4" t="n"/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IF(A57="","",IF(OR(U57&gt;1,AND(X57&lt;&gt;"",X57&lt;Inputs!$B$16),AND(X57&lt;&gt;"",X57&gt;Inputs!$B$17),G57&lt;Inputs!$B$18),"CHECK","OK"))</f>
        <v/>
      </c>
      <c r="AB57" s="4" t="n"/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IF(A58="","",IF(OR(U58&gt;1,AND(X58&lt;&gt;"",X58&lt;Inputs!$B$16),AND(X58&lt;&gt;"",X58&gt;Inputs!$B$17),G58&lt;Inputs!$B$18),"CHECK","OK"))</f>
        <v/>
      </c>
      <c r="AB58" s="4" t="n"/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IF(A59="","",IF(OR(U59&gt;1,AND(X59&lt;&gt;"",X59&lt;Inputs!$B$16),AND(X59&lt;&gt;"",X59&gt;Inputs!$B$17),G59&lt;Inputs!$B$18),"CHECK","OK"))</f>
        <v/>
      </c>
      <c r="AB59" s="4" t="n"/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IF(A60="","",IF(OR(U60&gt;1,AND(X60&lt;&gt;"",X60&lt;Inputs!$B$16),AND(X60&lt;&gt;"",X60&gt;Inputs!$B$17),G60&lt;Inputs!$B$18),"CHECK","OK"))</f>
        <v/>
      </c>
      <c r="AB60" s="4" t="n"/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IF(A61="","",IF(OR(U61&gt;1,AND(X61&lt;&gt;"",X61&lt;Inputs!$B$16),AND(X61&lt;&gt;"",X61&gt;Inputs!$B$17),G61&lt;Inputs!$B$18),"CHECK","OK"))</f>
        <v/>
      </c>
      <c r="AB61" s="4" t="n"/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IF(A62="","",IF(OR(U62&gt;1,AND(X62&lt;&gt;"",X62&lt;Inputs!$B$16),AND(X62&lt;&gt;"",X62&gt;Inputs!$B$17),G62&lt;Inputs!$B$18),"CHECK","OK"))</f>
        <v/>
      </c>
      <c r="AB62" s="4" t="n"/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IF(A63="","",IF(OR(U63&gt;1,AND(X63&lt;&gt;"",X63&lt;Inputs!$B$16),AND(X63&lt;&gt;"",X63&gt;Inputs!$B$17),G63&lt;Inputs!$B$18),"CHECK","OK"))</f>
        <v/>
      </c>
      <c r="AB63" s="4" t="n"/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IF(A64="","",IF(OR(U64&gt;1,AND(X64&lt;&gt;"",X64&lt;Inputs!$B$16),AND(X64&lt;&gt;"",X64&gt;Inputs!$B$17),G64&lt;Inputs!$B$18),"CHECK","OK"))</f>
        <v/>
      </c>
      <c r="AB64" s="4" t="n"/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IF(A65="","",IF(OR(U65&gt;1,AND(X65&lt;&gt;"",X65&lt;Inputs!$B$16),AND(X65&lt;&gt;"",X65&gt;Inputs!$B$17),G65&lt;Inputs!$B$18),"CHECK","OK"))</f>
        <v/>
      </c>
      <c r="AB65" s="4" t="n"/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IF(A66="","",IF(OR(U66&gt;1,AND(X66&lt;&gt;"",X66&lt;Inputs!$B$16),AND(X66&lt;&gt;"",X66&gt;Inputs!$B$17),G66&lt;Inputs!$B$18),"CHECK","OK"))</f>
        <v/>
      </c>
      <c r="AB66" s="4" t="n"/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IF(A67="","",IF(OR(U67&gt;1,AND(X67&lt;&gt;"",X67&lt;Inputs!$B$16),AND(X67&lt;&gt;"",X67&gt;Inputs!$B$17),G67&lt;Inputs!$B$18),"CHECK","OK"))</f>
        <v/>
      </c>
      <c r="AB67" s="4" t="n"/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IF(A68="","",IF(OR(U68&gt;1,AND(X68&lt;&gt;"",X68&lt;Inputs!$B$16),AND(X68&lt;&gt;"",X68&gt;Inputs!$B$17),G68&lt;Inputs!$B$18),"CHECK","OK"))</f>
        <v/>
      </c>
      <c r="AB68" s="4" t="n"/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IF(A69="","",IF(OR(U69&gt;1,AND(X69&lt;&gt;"",X69&lt;Inputs!$B$16),AND(X69&lt;&gt;"",X69&gt;Inputs!$B$17),G69&lt;Inputs!$B$18),"CHECK","OK"))</f>
        <v/>
      </c>
      <c r="AB69" s="4" t="n"/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IF(A70="","",IF(OR(U70&gt;1,AND(X70&lt;&gt;"",X70&lt;Inputs!$B$16),AND(X70&lt;&gt;"",X70&gt;Inputs!$B$17),G70&lt;Inputs!$B$18),"CHECK","OK"))</f>
        <v/>
      </c>
      <c r="AB70" s="4" t="n"/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IF(A71="","",IF(OR(U71&gt;1,AND(X71&lt;&gt;"",X71&lt;Inputs!$B$16),AND(X71&lt;&gt;"",X71&gt;Inputs!$B$17),G71&lt;Inputs!$B$18),"CHECK","OK"))</f>
        <v/>
      </c>
      <c r="AB71" s="4" t="n"/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IF(A72="","",IF(OR(U72&gt;1,AND(X72&lt;&gt;"",X72&lt;Inputs!$B$16),AND(X72&lt;&gt;"",X72&gt;Inputs!$B$17),G72&lt;Inputs!$B$18),"CHECK","OK"))</f>
        <v/>
      </c>
      <c r="AB72" s="4" t="n"/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IF(A73="","",IF(OR(U73&gt;1,AND(X73&lt;&gt;"",X73&lt;Inputs!$B$16),AND(X73&lt;&gt;"",X73&gt;Inputs!$B$17),G73&lt;Inputs!$B$18),"CHECK","OK"))</f>
        <v/>
      </c>
      <c r="AB73" s="4" t="n"/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IF(A74="","",IF(OR(U74&gt;1,AND(X74&lt;&gt;"",X74&lt;Inputs!$B$16),AND(X74&lt;&gt;"",X74&gt;Inputs!$B$17),G74&lt;Inputs!$B$18),"CHECK","OK"))</f>
        <v/>
      </c>
      <c r="AB74" s="4" t="n"/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IF(A75="","",IF(OR(U75&gt;1,AND(X75&lt;&gt;"",X75&lt;Inputs!$B$16),AND(X75&lt;&gt;"",X75&gt;Inputs!$B$17),G75&lt;Inputs!$B$18),"CHECK","OK"))</f>
        <v/>
      </c>
      <c r="AB75" s="4" t="n"/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IF(A76="","",IF(OR(U76&gt;1,AND(X76&lt;&gt;"",X76&lt;Inputs!$B$16),AND(X76&lt;&gt;"",X76&gt;Inputs!$B$17),G76&lt;Inputs!$B$18),"CHECK","OK"))</f>
        <v/>
      </c>
      <c r="AB76" s="4" t="n"/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IF(A77="","",IF(OR(U77&gt;1,AND(X77&lt;&gt;"",X77&lt;Inputs!$B$16),AND(X77&lt;&gt;"",X77&gt;Inputs!$B$17),G77&lt;Inputs!$B$18),"CHECK","OK"))</f>
        <v/>
      </c>
      <c r="AB77" s="4" t="n"/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IF(A78="","",IF(OR(U78&gt;1,AND(X78&lt;&gt;"",X78&lt;Inputs!$B$16),AND(X78&lt;&gt;"",X78&gt;Inputs!$B$17),G78&lt;Inputs!$B$18),"CHECK","OK"))</f>
        <v/>
      </c>
      <c r="AB78" s="4" t="n"/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IF(A79="","",IF(OR(U79&gt;1,AND(X79&lt;&gt;"",X79&lt;Inputs!$B$16),AND(X79&lt;&gt;"",X79&gt;Inputs!$B$17),G79&lt;Inputs!$B$18),"CHECK","OK"))</f>
        <v/>
      </c>
      <c r="AB79" s="4" t="n"/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IF(A80="","",IF(OR(U80&gt;1,AND(X80&lt;&gt;"",X80&lt;Inputs!$B$16),AND(X80&lt;&gt;"",X80&gt;Inputs!$B$17),G80&lt;Inputs!$B$18),"CHECK","OK"))</f>
        <v/>
      </c>
      <c r="AB80" s="4" t="n"/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IF(A81="","",IF(OR(U81&gt;1,AND(X81&lt;&gt;"",X81&lt;Inputs!$B$16),AND(X81&lt;&gt;"",X81&gt;Inputs!$B$17),G81&lt;Inputs!$B$18),"CHECK","OK"))</f>
        <v/>
      </c>
      <c r="AB81" s="4" t="n"/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IF(A82="","",IF(OR(U82&gt;1,AND(X82&lt;&gt;"",X82&lt;Inputs!$B$16),AND(X82&lt;&gt;"",X82&gt;Inputs!$B$17),G82&lt;Inputs!$B$18),"CHECK","OK"))</f>
        <v/>
      </c>
      <c r="AB82" s="4" t="n"/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IF(A83="","",IF(OR(U83&gt;1,AND(X83&lt;&gt;"",X83&lt;Inputs!$B$16),AND(X83&lt;&gt;"",X83&gt;Inputs!$B$17),G83&lt;Inputs!$B$18),"CHECK","OK"))</f>
        <v/>
      </c>
      <c r="AB83" s="4" t="n"/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IF(A84="","",IF(OR(U84&gt;1,AND(X84&lt;&gt;"",X84&lt;Inputs!$B$16),AND(X84&lt;&gt;"",X84&gt;Inputs!$B$17),G84&lt;Inputs!$B$18),"CHECK","OK"))</f>
        <v/>
      </c>
      <c r="AB84" s="4" t="n"/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IF(A85="","",IF(OR(U85&gt;1,AND(X85&lt;&gt;"",X85&lt;Inputs!$B$16),AND(X85&lt;&gt;"",X85&gt;Inputs!$B$17),G85&lt;Inputs!$B$18),"CHECK","OK"))</f>
        <v/>
      </c>
      <c r="AB85" s="4" t="n"/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IF(A86="","",IF(OR(U86&gt;1,AND(X86&lt;&gt;"",X86&lt;Inputs!$B$16),AND(X86&lt;&gt;"",X86&gt;Inputs!$B$17),G86&lt;Inputs!$B$18),"CHECK","OK"))</f>
        <v/>
      </c>
      <c r="AB86" s="4" t="n"/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IF(A87="","",IF(OR(U87&gt;1,AND(X87&lt;&gt;"",X87&lt;Inputs!$B$16),AND(X87&lt;&gt;"",X87&gt;Inputs!$B$17),G87&lt;Inputs!$B$18),"CHECK","OK"))</f>
        <v/>
      </c>
      <c r="AB87" s="4" t="n"/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IF(A88="","",IF(OR(U88&gt;1,AND(X88&lt;&gt;"",X88&lt;Inputs!$B$16),AND(X88&lt;&gt;"",X88&gt;Inputs!$B$17),G88&lt;Inputs!$B$18),"CHECK","OK"))</f>
        <v/>
      </c>
      <c r="AB88" s="4" t="n"/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IF(A89="","",IF(OR(U89&gt;1,AND(X89&lt;&gt;"",X89&lt;Inputs!$B$16),AND(X89&lt;&gt;"",X89&gt;Inputs!$B$17),G89&lt;Inputs!$B$18),"CHECK","OK"))</f>
        <v/>
      </c>
      <c r="AB89" s="4" t="n"/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IF(A90="","",IF(OR(U90&gt;1,AND(X90&lt;&gt;"",X90&lt;Inputs!$B$16),AND(X90&lt;&gt;"",X90&gt;Inputs!$B$17),G90&lt;Inputs!$B$18),"CHECK","OK"))</f>
        <v/>
      </c>
      <c r="AB90" s="4" t="n"/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IF(A91="","",IF(OR(U91&gt;1,AND(X91&lt;&gt;"",X91&lt;Inputs!$B$16),AND(X91&lt;&gt;"",X91&gt;Inputs!$B$17),G91&lt;Inputs!$B$18),"CHECK","OK"))</f>
        <v/>
      </c>
      <c r="AB91" s="4" t="n"/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IF(A92="","",IF(OR(U92&gt;1,AND(X92&lt;&gt;"",X92&lt;Inputs!$B$16),AND(X92&lt;&gt;"",X92&gt;Inputs!$B$17),G92&lt;Inputs!$B$18),"CHECK","OK"))</f>
        <v/>
      </c>
      <c r="AB92" s="4" t="n"/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IF(A93="","",IF(OR(U93&gt;1,AND(X93&lt;&gt;"",X93&lt;Inputs!$B$16),AND(X93&lt;&gt;"",X93&gt;Inputs!$B$17),G93&lt;Inputs!$B$18),"CHECK","OK"))</f>
        <v/>
      </c>
      <c r="AB93" s="4" t="n"/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IF(A94="","",IF(OR(U94&gt;1,AND(X94&lt;&gt;"",X94&lt;Inputs!$B$16),AND(X94&lt;&gt;"",X94&gt;Inputs!$B$17),G94&lt;Inputs!$B$18),"CHECK","OK"))</f>
        <v/>
      </c>
      <c r="AB94" s="4" t="n"/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IF(A95="","",IF(OR(U95&gt;1,AND(X95&lt;&gt;"",X95&lt;Inputs!$B$16),AND(X95&lt;&gt;"",X95&gt;Inputs!$B$17),G95&lt;Inputs!$B$18),"CHECK","OK"))</f>
        <v/>
      </c>
      <c r="AB95" s="4" t="n"/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IF(A96="","",IF(OR(U96&gt;1,AND(X96&lt;&gt;"",X96&lt;Inputs!$B$16),AND(X96&lt;&gt;"",X96&gt;Inputs!$B$17),G96&lt;Inputs!$B$18),"CHECK","OK"))</f>
        <v/>
      </c>
      <c r="AB96" s="4" t="n"/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IF(A97="","",IF(OR(U97&gt;1,AND(X97&lt;&gt;"",X97&lt;Inputs!$B$16),AND(X97&lt;&gt;"",X97&gt;Inputs!$B$17),G97&lt;Inputs!$B$18),"CHECK","OK"))</f>
        <v/>
      </c>
      <c r="AB97" s="4" t="n"/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IF(A98="","",IF(OR(U98&gt;1,AND(X98&lt;&gt;"",X98&lt;Inputs!$B$16),AND(X98&lt;&gt;"",X98&gt;Inputs!$B$17),G98&lt;Inputs!$B$18),"CHECK","OK"))</f>
        <v/>
      </c>
      <c r="AB98" s="4" t="n"/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IF(A99="","",IF(OR(U99&gt;1,AND(X99&lt;&gt;"",X99&lt;Inputs!$B$16),AND(X99&lt;&gt;"",X99&gt;Inputs!$B$17),G99&lt;Inputs!$B$18),"CHECK","OK"))</f>
        <v/>
      </c>
      <c r="AB99" s="4" t="n"/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IF(A100="","",IF(OR(U100&gt;1,AND(X100&lt;&gt;"",X100&lt;Inputs!$B$16),AND(X100&lt;&gt;"",X100&gt;Inputs!$B$17),G100&lt;Inputs!$B$18),"CHECK","OK"))</f>
        <v/>
      </c>
      <c r="AB100" s="4" t="n"/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IF(A101="","",IF(OR(U101&gt;1,AND(X101&lt;&gt;"",X101&lt;Inputs!$B$16),AND(X101&lt;&gt;"",X101&gt;Inputs!$B$17),G101&lt;Inputs!$B$18),"CHECK","OK"))</f>
        <v/>
      </c>
      <c r="AB101" s="4" t="n"/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IF(A102="","",IF(OR(U102&gt;1,AND(X102&lt;&gt;"",X102&lt;Inputs!$B$16),AND(X102&lt;&gt;"",X102&gt;Inputs!$B$17),G102&lt;Inputs!$B$18),"CHECK","OK"))</f>
        <v/>
      </c>
      <c r="AB102" s="4" t="n"/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IF(A103="","",IF(OR(U103&gt;1,AND(X103&lt;&gt;"",X103&lt;Inputs!$B$16),AND(X103&lt;&gt;"",X103&gt;Inputs!$B$17),G103&lt;Inputs!$B$18),"CHECK","OK"))</f>
        <v/>
      </c>
      <c r="AB103" s="4" t="n"/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IF(A104="","",IF(OR(U104&gt;1,AND(X104&lt;&gt;"",X104&lt;Inputs!$B$16),AND(X104&lt;&gt;"",X104&gt;Inputs!$B$17),G104&lt;Inputs!$B$18),"CHECK","OK"))</f>
        <v/>
      </c>
      <c r="AB104" s="4" t="n"/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IF(A105="","",IF(OR(U105&gt;1,AND(X105&lt;&gt;"",X105&lt;Inputs!$B$16),AND(X105&lt;&gt;"",X105&gt;Inputs!$B$17),G105&lt;Inputs!$B$18),"CHECK","OK"))</f>
        <v/>
      </c>
      <c r="AB105" s="4" t="n"/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IF(A106="","",IF(OR(U106&gt;1,AND(X106&lt;&gt;"",X106&lt;Inputs!$B$16),AND(X106&lt;&gt;"",X106&gt;Inputs!$B$17),G106&lt;Inputs!$B$18),"CHECK","OK"))</f>
        <v/>
      </c>
      <c r="AB106" s="4" t="n"/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IF(A107="","",IF(OR(U107&gt;1,AND(X107&lt;&gt;"",X107&lt;Inputs!$B$16),AND(X107&lt;&gt;"",X107&gt;Inputs!$B$17),G107&lt;Inputs!$B$18),"CHECK","OK"))</f>
        <v/>
      </c>
      <c r="AB107" s="4" t="n"/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IF(A108="","",IF(OR(U108&gt;1,AND(X108&lt;&gt;"",X108&lt;Inputs!$B$16),AND(X108&lt;&gt;"",X108&gt;Inputs!$B$17),G108&lt;Inputs!$B$18),"CHECK","OK"))</f>
        <v/>
      </c>
      <c r="AB108" s="4" t="n"/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IF(A109="","",IF(OR(U109&gt;1,AND(X109&lt;&gt;"",X109&lt;Inputs!$B$16),AND(X109&lt;&gt;"",X109&gt;Inputs!$B$17),G109&lt;Inputs!$B$18),"CHECK","OK"))</f>
        <v/>
      </c>
      <c r="AB109" s="4" t="n"/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IF(A110="","",IF(OR(U110&gt;1,AND(X110&lt;&gt;"",X110&lt;Inputs!$B$16),AND(X110&lt;&gt;"",X110&gt;Inputs!$B$17),G110&lt;Inputs!$B$18),"CHECK","OK"))</f>
        <v/>
      </c>
      <c r="AB110" s="4" t="n"/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IF(A111="","",IF(OR(U111&gt;1,AND(X111&lt;&gt;"",X111&lt;Inputs!$B$16),AND(X111&lt;&gt;"",X111&gt;Inputs!$B$17),G111&lt;Inputs!$B$18),"CHECK","OK"))</f>
        <v/>
      </c>
      <c r="AB111" s="4" t="n"/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IF(A112="","",IF(OR(U112&gt;1,AND(X112&lt;&gt;"",X112&lt;Inputs!$B$16),AND(X112&lt;&gt;"",X112&gt;Inputs!$B$17),G112&lt;Inputs!$B$18),"CHECK","OK"))</f>
        <v/>
      </c>
      <c r="AB112" s="4" t="n"/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IF(A113="","",IF(OR(U113&gt;1,AND(X113&lt;&gt;"",X113&lt;Inputs!$B$16),AND(X113&lt;&gt;"",X113&gt;Inputs!$B$17),G113&lt;Inputs!$B$18),"CHECK","OK"))</f>
        <v/>
      </c>
      <c r="AB113" s="4" t="n"/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IF(A114="","",IF(OR(U114&gt;1,AND(X114&lt;&gt;"",X114&lt;Inputs!$B$16),AND(X114&lt;&gt;"",X114&gt;Inputs!$B$17),G114&lt;Inputs!$B$18),"CHECK","OK"))</f>
        <v/>
      </c>
      <c r="AB114" s="4" t="n"/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IF(A115="","",IF(OR(U115&gt;1,AND(X115&lt;&gt;"",X115&lt;Inputs!$B$16),AND(X115&lt;&gt;"",X115&gt;Inputs!$B$17),G115&lt;Inputs!$B$18),"CHECK","OK"))</f>
        <v/>
      </c>
      <c r="AB115" s="4" t="n"/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IF(A116="","",IF(OR(U116&gt;1,AND(X116&lt;&gt;"",X116&lt;Inputs!$B$16),AND(X116&lt;&gt;"",X116&gt;Inputs!$B$17),G116&lt;Inputs!$B$18),"CHECK","OK"))</f>
        <v/>
      </c>
      <c r="AB116" s="4" t="n"/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IF(A117="","",IF(OR(U117&gt;1,AND(X117&lt;&gt;"",X117&lt;Inputs!$B$16),AND(X117&lt;&gt;"",X117&gt;Inputs!$B$17),G117&lt;Inputs!$B$18),"CHECK","OK"))</f>
        <v/>
      </c>
      <c r="AB117" s="4" t="n"/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IF(A118="","",IF(OR(U118&gt;1,AND(X118&lt;&gt;"",X118&lt;Inputs!$B$16),AND(X118&lt;&gt;"",X118&gt;Inputs!$B$17),G118&lt;Inputs!$B$18),"CHECK","OK"))</f>
        <v/>
      </c>
      <c r="AB118" s="4" t="n"/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IF(A119="","",IF(OR(U119&gt;1,AND(X119&lt;&gt;"",X119&lt;Inputs!$B$16),AND(X119&lt;&gt;"",X119&gt;Inputs!$B$17),G119&lt;Inputs!$B$18),"CHECK","OK"))</f>
        <v/>
      </c>
      <c r="AB119" s="4" t="n"/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IF(A120="","",IF(OR(U120&gt;1,AND(X120&lt;&gt;"",X120&lt;Inputs!$B$16),AND(X120&lt;&gt;"",X120&gt;Inputs!$B$17),G120&lt;Inputs!$B$18),"CHECK","OK"))</f>
        <v/>
      </c>
      <c r="AB120" s="4" t="n"/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IF(A121="","",IF(OR(U121&gt;1,AND(X121&lt;&gt;"",X121&lt;Inputs!$B$16),AND(X121&lt;&gt;"",X121&gt;Inputs!$B$17),G121&lt;Inputs!$B$18),"CHECK","OK"))</f>
        <v/>
      </c>
      <c r="AB121" s="4" t="n"/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IF(A122="","",IF(OR(U122&gt;1,AND(X122&lt;&gt;"",X122&lt;Inputs!$B$16),AND(X122&lt;&gt;"",X122&gt;Inputs!$B$17),G122&lt;Inputs!$B$18),"CHECK","OK"))</f>
        <v/>
      </c>
      <c r="AB122" s="4" t="n"/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IF(A123="","",IF(OR(U123&gt;1,AND(X123&lt;&gt;"",X123&lt;Inputs!$B$16),AND(X123&lt;&gt;"",X123&gt;Inputs!$B$17),G123&lt;Inputs!$B$18),"CHECK","OK"))</f>
        <v/>
      </c>
      <c r="AB123" s="4" t="n"/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IF(A124="","",IF(OR(U124&gt;1,AND(X124&lt;&gt;"",X124&lt;Inputs!$B$16),AND(X124&lt;&gt;"",X124&gt;Inputs!$B$17),G124&lt;Inputs!$B$18),"CHECK","OK"))</f>
        <v/>
      </c>
      <c r="AB124" s="4" t="n"/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IF(A125="","",IF(OR(U125&gt;1,AND(X125&lt;&gt;"",X125&lt;Inputs!$B$16),AND(X125&lt;&gt;"",X125&gt;Inputs!$B$17),G125&lt;Inputs!$B$18),"CHECK","OK"))</f>
        <v/>
      </c>
      <c r="AB125" s="4" t="n"/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IF(A126="","",IF(OR(U126&gt;1,AND(X126&lt;&gt;"",X126&lt;Inputs!$B$16),AND(X126&lt;&gt;"",X126&gt;Inputs!$B$17),G126&lt;Inputs!$B$18),"CHECK","OK"))</f>
        <v/>
      </c>
      <c r="AB126" s="4" t="n"/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IF(A127="","",IF(OR(U127&gt;1,AND(X127&lt;&gt;"",X127&lt;Inputs!$B$16),AND(X127&lt;&gt;"",X127&gt;Inputs!$B$17),G127&lt;Inputs!$B$18),"CHECK","OK"))</f>
        <v/>
      </c>
      <c r="AB127" s="4" t="n"/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IF(A128="","",IF(OR(U128&gt;1,AND(X128&lt;&gt;"",X128&lt;Inputs!$B$16),AND(X128&lt;&gt;"",X128&gt;Inputs!$B$17),G128&lt;Inputs!$B$18),"CHECK","OK"))</f>
        <v/>
      </c>
      <c r="AB128" s="4" t="n"/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IF(A129="","",IF(OR(U129&gt;1,AND(X129&lt;&gt;"",X129&lt;Inputs!$B$16),AND(X129&lt;&gt;"",X129&gt;Inputs!$B$17),G129&lt;Inputs!$B$18),"CHECK","OK"))</f>
        <v/>
      </c>
      <c r="AB129" s="4" t="n"/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IF(A130="","",IF(OR(U130&gt;1,AND(X130&lt;&gt;"",X130&lt;Inputs!$B$16),AND(X130&lt;&gt;"",X130&gt;Inputs!$B$17),G130&lt;Inputs!$B$18),"CHECK","OK"))</f>
        <v/>
      </c>
      <c r="AB130" s="4" t="n"/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IF(A131="","",IF(OR(U131&gt;1,AND(X131&lt;&gt;"",X131&lt;Inputs!$B$16),AND(X131&lt;&gt;"",X131&gt;Inputs!$B$17),G131&lt;Inputs!$B$18),"CHECK","OK"))</f>
        <v/>
      </c>
      <c r="AB131" s="4" t="n"/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IF(A132="","",IF(OR(U132&gt;1,AND(X132&lt;&gt;"",X132&lt;Inputs!$B$16),AND(X132&lt;&gt;"",X132&gt;Inputs!$B$17),G132&lt;Inputs!$B$18),"CHECK","OK"))</f>
        <v/>
      </c>
      <c r="AB132" s="4" t="n"/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IF(A133="","",IF(OR(U133&gt;1,AND(X133&lt;&gt;"",X133&lt;Inputs!$B$16),AND(X133&lt;&gt;"",X133&gt;Inputs!$B$17),G133&lt;Inputs!$B$18),"CHECK","OK"))</f>
        <v/>
      </c>
      <c r="AB133" s="4" t="n"/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IF(A134="","",IF(OR(U134&gt;1,AND(X134&lt;&gt;"",X134&lt;Inputs!$B$16),AND(X134&lt;&gt;"",X134&gt;Inputs!$B$17),G134&lt;Inputs!$B$18),"CHECK","OK"))</f>
        <v/>
      </c>
      <c r="AB134" s="4" t="n"/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IF(A135="","",IF(OR(U135&gt;1,AND(X135&lt;&gt;"",X135&lt;Inputs!$B$16),AND(X135&lt;&gt;"",X135&gt;Inputs!$B$17),G135&lt;Inputs!$B$18),"CHECK","OK"))</f>
        <v/>
      </c>
      <c r="AB135" s="4" t="n"/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IF(A136="","",IF(OR(U136&gt;1,AND(X136&lt;&gt;"",X136&lt;Inputs!$B$16),AND(X136&lt;&gt;"",X136&gt;Inputs!$B$17),G136&lt;Inputs!$B$18),"CHECK","OK"))</f>
        <v/>
      </c>
      <c r="AB136" s="4" t="n"/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IF(A137="","",IF(OR(U137&gt;1,AND(X137&lt;&gt;"",X137&lt;Inputs!$B$16),AND(X137&lt;&gt;"",X137&gt;Inputs!$B$17),G137&lt;Inputs!$B$18),"CHECK","OK"))</f>
        <v/>
      </c>
      <c r="AB137" s="4" t="n"/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IF(A138="","",IF(OR(U138&gt;1,AND(X138&lt;&gt;"",X138&lt;Inputs!$B$16),AND(X138&lt;&gt;"",X138&gt;Inputs!$B$17),G138&lt;Inputs!$B$18),"CHECK","OK"))</f>
        <v/>
      </c>
      <c r="AB138" s="4" t="n"/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IF(A139="","",IF(OR(U139&gt;1,AND(X139&lt;&gt;"",X139&lt;Inputs!$B$16),AND(X139&lt;&gt;"",X139&gt;Inputs!$B$17),G139&lt;Inputs!$B$18),"CHECK","OK"))</f>
        <v/>
      </c>
      <c r="AB139" s="4" t="n"/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IF(A140="","",IF(OR(U140&gt;1,AND(X140&lt;&gt;"",X140&lt;Inputs!$B$16),AND(X140&lt;&gt;"",X140&gt;Inputs!$B$17),G140&lt;Inputs!$B$18),"CHECK","OK"))</f>
        <v/>
      </c>
      <c r="AB140" s="4" t="n"/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IF(A141="","",IF(OR(U141&gt;1,AND(X141&lt;&gt;"",X141&lt;Inputs!$B$16),AND(X141&lt;&gt;"",X141&gt;Inputs!$B$17),G141&lt;Inputs!$B$18),"CHECK","OK"))</f>
        <v/>
      </c>
      <c r="AB141" s="4" t="n"/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IF(A142="","",IF(OR(U142&gt;1,AND(X142&lt;&gt;"",X142&lt;Inputs!$B$16),AND(X142&lt;&gt;"",X142&gt;Inputs!$B$17),G142&lt;Inputs!$B$18),"CHECK","OK"))</f>
        <v/>
      </c>
      <c r="AB142" s="4" t="n"/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IF(A143="","",IF(OR(U143&gt;1,AND(X143&lt;&gt;"",X143&lt;Inputs!$B$16),AND(X143&lt;&gt;"",X143&gt;Inputs!$B$17),G143&lt;Inputs!$B$18),"CHECK","OK"))</f>
        <v/>
      </c>
      <c r="AB143" s="4" t="n"/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IF(A144="","",IF(OR(U144&gt;1,AND(X144&lt;&gt;"",X144&lt;Inputs!$B$16),AND(X144&lt;&gt;"",X144&gt;Inputs!$B$17),G144&lt;Inputs!$B$18),"CHECK","OK"))</f>
        <v/>
      </c>
      <c r="AB144" s="4" t="n"/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IF(A145="","",IF(OR(U145&gt;1,AND(X145&lt;&gt;"",X145&lt;Inputs!$B$16),AND(X145&lt;&gt;"",X145&gt;Inputs!$B$17),G145&lt;Inputs!$B$18),"CHECK","OK"))</f>
        <v/>
      </c>
      <c r="AB145" s="4" t="n"/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IF(A146="","",IF(OR(U146&gt;1,AND(X146&lt;&gt;"",X146&lt;Inputs!$B$16),AND(X146&lt;&gt;"",X146&gt;Inputs!$B$17),G146&lt;Inputs!$B$18),"CHECK","OK"))</f>
        <v/>
      </c>
      <c r="AB146" s="4" t="n"/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IF(A147="","",IF(OR(U147&gt;1,AND(X147&lt;&gt;"",X147&lt;Inputs!$B$16),AND(X147&lt;&gt;"",X147&gt;Inputs!$B$17),G147&lt;Inputs!$B$18),"CHECK","OK"))</f>
        <v/>
      </c>
      <c r="AB147" s="4" t="n"/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IF(A148="","",IF(OR(U148&gt;1,AND(X148&lt;&gt;"",X148&lt;Inputs!$B$16),AND(X148&lt;&gt;"",X148&gt;Inputs!$B$17),G148&lt;Inputs!$B$18),"CHECK","OK"))</f>
        <v/>
      </c>
      <c r="AB148" s="4" t="n"/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IF(A149="","",IF(OR(U149&gt;1,AND(X149&lt;&gt;"",X149&lt;Inputs!$B$16),AND(X149&lt;&gt;"",X149&gt;Inputs!$B$17),G149&lt;Inputs!$B$18),"CHECK","OK"))</f>
        <v/>
      </c>
      <c r="AB149" s="4" t="n"/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IF(A150="","",IF(OR(U150&gt;1,AND(X150&lt;&gt;"",X150&lt;Inputs!$B$16),AND(X150&lt;&gt;"",X150&gt;Inputs!$B$17),G150&lt;Inputs!$B$18),"CHECK","OK"))</f>
        <v/>
      </c>
      <c r="AB150" s="4" t="n"/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IF(A151="","",IF(OR(U151&gt;1,AND(X151&lt;&gt;"",X151&lt;Inputs!$B$16),AND(X151&lt;&gt;"",X151&gt;Inputs!$B$17),G151&lt;Inputs!$B$18),"CHECK","OK"))</f>
        <v/>
      </c>
      <c r="AB151" s="4" t="n"/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IF(A152="","",IF(OR(U152&gt;1,AND(X152&lt;&gt;"",X152&lt;Inputs!$B$16),AND(X152&lt;&gt;"",X152&gt;Inputs!$B$17),G152&lt;Inputs!$B$18),"CHECK","OK"))</f>
        <v/>
      </c>
      <c r="AB152" s="4" t="n"/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IF(A153="","",IF(OR(U153&gt;1,AND(X153&lt;&gt;"",X153&lt;Inputs!$B$16),AND(X153&lt;&gt;"",X153&gt;Inputs!$B$17),G153&lt;Inputs!$B$18),"CHECK","OK"))</f>
        <v/>
      </c>
      <c r="AB153" s="4" t="n"/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IF(A154="","",IF(OR(U154&gt;1,AND(X154&lt;&gt;"",X154&lt;Inputs!$B$16),AND(X154&lt;&gt;"",X154&gt;Inputs!$B$17),G154&lt;Inputs!$B$18),"CHECK","OK"))</f>
        <v/>
      </c>
      <c r="AB154" s="4" t="n"/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IF(A155="","",IF(OR(U155&gt;1,AND(X155&lt;&gt;"",X155&lt;Inputs!$B$16),AND(X155&lt;&gt;"",X155&gt;Inputs!$B$17),G155&lt;Inputs!$B$18),"CHECK","OK"))</f>
        <v/>
      </c>
      <c r="AB155" s="4" t="n"/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IF(A156="","",IF(OR(U156&gt;1,AND(X156&lt;&gt;"",X156&lt;Inputs!$B$16),AND(X156&lt;&gt;"",X156&gt;Inputs!$B$17),G156&lt;Inputs!$B$18),"CHECK","OK"))</f>
        <v/>
      </c>
      <c r="AB156" s="4" t="n"/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IF(A157="","",IF(OR(U157&gt;1,AND(X157&lt;&gt;"",X157&lt;Inputs!$B$16),AND(X157&lt;&gt;"",X157&gt;Inputs!$B$17),G157&lt;Inputs!$B$18),"CHECK","OK"))</f>
        <v/>
      </c>
      <c r="AB157" s="4" t="n"/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IF(A158="","",IF(OR(U158&gt;1,AND(X158&lt;&gt;"",X158&lt;Inputs!$B$16),AND(X158&lt;&gt;"",X158&gt;Inputs!$B$17),G158&lt;Inputs!$B$18),"CHECK","OK"))</f>
        <v/>
      </c>
      <c r="AB158" s="4" t="n"/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IF(A159="","",IF(OR(U159&gt;1,AND(X159&lt;&gt;"",X159&lt;Inputs!$B$16),AND(X159&lt;&gt;"",X159&gt;Inputs!$B$17),G159&lt;Inputs!$B$18),"CHECK","OK"))</f>
        <v/>
      </c>
      <c r="AB159" s="4" t="n"/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IF(A160="","",IF(OR(U160&gt;1,AND(X160&lt;&gt;"",X160&lt;Inputs!$B$16),AND(X160&lt;&gt;"",X160&gt;Inputs!$B$17),G160&lt;Inputs!$B$18),"CHECK","OK"))</f>
        <v/>
      </c>
      <c r="AB160" s="4" t="n"/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IF(A161="","",IF(OR(U161&gt;1,AND(X161&lt;&gt;"",X161&lt;Inputs!$B$16),AND(X161&lt;&gt;"",X161&gt;Inputs!$B$17),G161&lt;Inputs!$B$18),"CHECK","OK"))</f>
        <v/>
      </c>
      <c r="AB161" s="4" t="n"/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IF(A162="","",IF(OR(U162&gt;1,AND(X162&lt;&gt;"",X162&lt;Inputs!$B$16),AND(X162&lt;&gt;"",X162&gt;Inputs!$B$17),G162&lt;Inputs!$B$18),"CHECK","OK"))</f>
        <v/>
      </c>
      <c r="AB162" s="4" t="n"/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IF(A163="","",IF(OR(U163&gt;1,AND(X163&lt;&gt;"",X163&lt;Inputs!$B$16),AND(X163&lt;&gt;"",X163&gt;Inputs!$B$17),G163&lt;Inputs!$B$18),"CHECK","OK"))</f>
        <v/>
      </c>
      <c r="AB163" s="4" t="n"/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IF(A164="","",IF(OR(U164&gt;1,AND(X164&lt;&gt;"",X164&lt;Inputs!$B$16),AND(X164&lt;&gt;"",X164&gt;Inputs!$B$17),G164&lt;Inputs!$B$18),"CHECK","OK"))</f>
        <v/>
      </c>
      <c r="AB164" s="4" t="n"/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IF(A165="","",IF(OR(U165&gt;1,AND(X165&lt;&gt;"",X165&lt;Inputs!$B$16),AND(X165&lt;&gt;"",X165&gt;Inputs!$B$17),G165&lt;Inputs!$B$18),"CHECK","OK"))</f>
        <v/>
      </c>
      <c r="AB165" s="4" t="n"/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IF(A166="","",IF(OR(U166&gt;1,AND(X166&lt;&gt;"",X166&lt;Inputs!$B$16),AND(X166&lt;&gt;"",X166&gt;Inputs!$B$17),G166&lt;Inputs!$B$18),"CHECK","OK"))</f>
        <v/>
      </c>
      <c r="AB166" s="4" t="n"/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IF(A167="","",IF(OR(U167&gt;1,AND(X167&lt;&gt;"",X167&lt;Inputs!$B$16),AND(X167&lt;&gt;"",X167&gt;Inputs!$B$17),G167&lt;Inputs!$B$18),"CHECK","OK"))</f>
        <v/>
      </c>
      <c r="AB167" s="4" t="n"/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IF(A168="","",IF(OR(U168&gt;1,AND(X168&lt;&gt;"",X168&lt;Inputs!$B$16),AND(X168&lt;&gt;"",X168&gt;Inputs!$B$17),G168&lt;Inputs!$B$18),"CHECK","OK"))</f>
        <v/>
      </c>
      <c r="AB168" s="4" t="n"/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IF(A169="","",IF(OR(U169&gt;1,AND(X169&lt;&gt;"",X169&lt;Inputs!$B$16),AND(X169&lt;&gt;"",X169&gt;Inputs!$B$17),G169&lt;Inputs!$B$18),"CHECK","OK"))</f>
        <v/>
      </c>
      <c r="AB169" s="4" t="n"/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IF(A170="","",IF(OR(U170&gt;1,AND(X170&lt;&gt;"",X170&lt;Inputs!$B$16),AND(X170&lt;&gt;"",X170&gt;Inputs!$B$17),G170&lt;Inputs!$B$18),"CHECK","OK"))</f>
        <v/>
      </c>
      <c r="AB170" s="4" t="n"/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IF(A171="","",IF(OR(U171&gt;1,AND(X171&lt;&gt;"",X171&lt;Inputs!$B$16),AND(X171&lt;&gt;"",X171&gt;Inputs!$B$17),G171&lt;Inputs!$B$18),"CHECK","OK"))</f>
        <v/>
      </c>
      <c r="AB171" s="4" t="n"/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IF(A172="","",IF(OR(U172&gt;1,AND(X172&lt;&gt;"",X172&lt;Inputs!$B$16),AND(X172&lt;&gt;"",X172&gt;Inputs!$B$17),G172&lt;Inputs!$B$18),"CHECK","OK"))</f>
        <v/>
      </c>
      <c r="AB172" s="4" t="n"/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IF(A173="","",IF(OR(U173&gt;1,AND(X173&lt;&gt;"",X173&lt;Inputs!$B$16),AND(X173&lt;&gt;"",X173&gt;Inputs!$B$17),G173&lt;Inputs!$B$18),"CHECK","OK"))</f>
        <v/>
      </c>
      <c r="AB173" s="4" t="n"/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IF(A174="","",IF(OR(U174&gt;1,AND(X174&lt;&gt;"",X174&lt;Inputs!$B$16),AND(X174&lt;&gt;"",X174&gt;Inputs!$B$17),G174&lt;Inputs!$B$18),"CHECK","OK"))</f>
        <v/>
      </c>
      <c r="AB174" s="4" t="n"/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IF(A175="","",IF(OR(U175&gt;1,AND(X175&lt;&gt;"",X175&lt;Inputs!$B$16),AND(X175&lt;&gt;"",X175&gt;Inputs!$B$17),G175&lt;Inputs!$B$18),"CHECK","OK"))</f>
        <v/>
      </c>
      <c r="AB175" s="4" t="n"/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IF(A176="","",IF(OR(U176&gt;1,AND(X176&lt;&gt;"",X176&lt;Inputs!$B$16),AND(X176&lt;&gt;"",X176&gt;Inputs!$B$17),G176&lt;Inputs!$B$18),"CHECK","OK"))</f>
        <v/>
      </c>
      <c r="AB176" s="4" t="n"/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IF(A177="","",IF(OR(U177&gt;1,AND(X177&lt;&gt;"",X177&lt;Inputs!$B$16),AND(X177&lt;&gt;"",X177&gt;Inputs!$B$17),G177&lt;Inputs!$B$18),"CHECK","OK"))</f>
        <v/>
      </c>
      <c r="AB177" s="4" t="n"/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IF(A178="","",IF(OR(U178&gt;1,AND(X178&lt;&gt;"",X178&lt;Inputs!$B$16),AND(X178&lt;&gt;"",X178&gt;Inputs!$B$17),G178&lt;Inputs!$B$18),"CHECK","OK"))</f>
        <v/>
      </c>
      <c r="AB178" s="4" t="n"/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IF(A179="","",IF(OR(U179&gt;1,AND(X179&lt;&gt;"",X179&lt;Inputs!$B$16),AND(X179&lt;&gt;"",X179&gt;Inputs!$B$17),G179&lt;Inputs!$B$18),"CHECK","OK"))</f>
        <v/>
      </c>
      <c r="AB179" s="4" t="n"/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IF(A180="","",IF(OR(U180&gt;1,AND(X180&lt;&gt;"",X180&lt;Inputs!$B$16),AND(X180&lt;&gt;"",X180&gt;Inputs!$B$17),G180&lt;Inputs!$B$18),"CHECK","OK"))</f>
        <v/>
      </c>
      <c r="AB180" s="4" t="n"/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IF(A181="","",IF(OR(U181&gt;1,AND(X181&lt;&gt;"",X181&lt;Inputs!$B$16),AND(X181&lt;&gt;"",X181&gt;Inputs!$B$17),G181&lt;Inputs!$B$18),"CHECK","OK"))</f>
        <v/>
      </c>
      <c r="AB181" s="4" t="n"/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IF(A182="","",IF(OR(U182&gt;1,AND(X182&lt;&gt;"",X182&lt;Inputs!$B$16),AND(X182&lt;&gt;"",X182&gt;Inputs!$B$17),G182&lt;Inputs!$B$18),"CHECK","OK"))</f>
        <v/>
      </c>
      <c r="AB182" s="4" t="n"/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IF(A183="","",IF(OR(U183&gt;1,AND(X183&lt;&gt;"",X183&lt;Inputs!$B$16),AND(X183&lt;&gt;"",X183&gt;Inputs!$B$17),G183&lt;Inputs!$B$18),"CHECK","OK"))</f>
        <v/>
      </c>
      <c r="AB183" s="4" t="n"/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IF(A184="","",IF(OR(U184&gt;1,AND(X184&lt;&gt;"",X184&lt;Inputs!$B$16),AND(X184&lt;&gt;"",X184&gt;Inputs!$B$17),G184&lt;Inputs!$B$18),"CHECK","OK"))</f>
        <v/>
      </c>
      <c r="AB184" s="4" t="n"/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IF(A185="","",IF(OR(U185&gt;1,AND(X185&lt;&gt;"",X185&lt;Inputs!$B$16),AND(X185&lt;&gt;"",X185&gt;Inputs!$B$17),G185&lt;Inputs!$B$18),"CHECK","OK"))</f>
        <v/>
      </c>
      <c r="AB185" s="4" t="n"/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IF(A186="","",IF(OR(U186&gt;1,AND(X186&lt;&gt;"",X186&lt;Inputs!$B$16),AND(X186&lt;&gt;"",X186&gt;Inputs!$B$17),G186&lt;Inputs!$B$18),"CHECK","OK"))</f>
        <v/>
      </c>
      <c r="AB186" s="4" t="n"/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IF(A187="","",IF(OR(U187&gt;1,AND(X187&lt;&gt;"",X187&lt;Inputs!$B$16),AND(X187&lt;&gt;"",X187&gt;Inputs!$B$17),G187&lt;Inputs!$B$18),"CHECK","OK"))</f>
        <v/>
      </c>
      <c r="AB187" s="4" t="n"/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IF(A188="","",IF(OR(U188&gt;1,AND(X188&lt;&gt;"",X188&lt;Inputs!$B$16),AND(X188&lt;&gt;"",X188&gt;Inputs!$B$17),G188&lt;Inputs!$B$18),"CHECK","OK"))</f>
        <v/>
      </c>
      <c r="AB188" s="4" t="n"/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IF(A189="","",IF(OR(U189&gt;1,AND(X189&lt;&gt;"",X189&lt;Inputs!$B$16),AND(X189&lt;&gt;"",X189&gt;Inputs!$B$17),G189&lt;Inputs!$B$18),"CHECK","OK"))</f>
        <v/>
      </c>
      <c r="AB189" s="4" t="n"/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IF(A190="","",IF(OR(U190&gt;1,AND(X190&lt;&gt;"",X190&lt;Inputs!$B$16),AND(X190&lt;&gt;"",X190&gt;Inputs!$B$17),G190&lt;Inputs!$B$18),"CHECK","OK"))</f>
        <v/>
      </c>
      <c r="AB190" s="4" t="n"/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IF(A191="","",IF(OR(U191&gt;1,AND(X191&lt;&gt;"",X191&lt;Inputs!$B$16),AND(X191&lt;&gt;"",X191&gt;Inputs!$B$17),G191&lt;Inputs!$B$18),"CHECK","OK"))</f>
        <v/>
      </c>
      <c r="AB191" s="4" t="n"/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IF(A192="","",IF(OR(U192&gt;1,AND(X192&lt;&gt;"",X192&lt;Inputs!$B$16),AND(X192&lt;&gt;"",X192&gt;Inputs!$B$17),G192&lt;Inputs!$B$18),"CHECK","OK"))</f>
        <v/>
      </c>
      <c r="AB192" s="4" t="n"/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IF(A193="","",IF(OR(U193&gt;1,AND(X193&lt;&gt;"",X193&lt;Inputs!$B$16),AND(X193&lt;&gt;"",X193&gt;Inputs!$B$17),G193&lt;Inputs!$B$18),"CHECK","OK"))</f>
        <v/>
      </c>
      <c r="AB193" s="4" t="n"/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IF(A194="","",IF(OR(U194&gt;1,AND(X194&lt;&gt;"",X194&lt;Inputs!$B$16),AND(X194&lt;&gt;"",X194&gt;Inputs!$B$17),G194&lt;Inputs!$B$18),"CHECK","OK"))</f>
        <v/>
      </c>
      <c r="AB194" s="4" t="n"/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IF(A195="","",IF(OR(U195&gt;1,AND(X195&lt;&gt;"",X195&lt;Inputs!$B$16),AND(X195&lt;&gt;"",X195&gt;Inputs!$B$17),G195&lt;Inputs!$B$18),"CHECK","OK"))</f>
        <v/>
      </c>
      <c r="AB195" s="4" t="n"/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IF(A196="","",IF(OR(U196&gt;1,AND(X196&lt;&gt;"",X196&lt;Inputs!$B$16),AND(X196&lt;&gt;"",X196&gt;Inputs!$B$17),G196&lt;Inputs!$B$18),"CHECK","OK"))</f>
        <v/>
      </c>
      <c r="AB196" s="4" t="n"/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IF(A197="","",IF(OR(U197&gt;1,AND(X197&lt;&gt;"",X197&lt;Inputs!$B$16),AND(X197&lt;&gt;"",X197&gt;Inputs!$B$17),G197&lt;Inputs!$B$18),"CHECK","OK"))</f>
        <v/>
      </c>
      <c r="AB197" s="4" t="n"/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IF(A198="","",IF(OR(U198&gt;1,AND(X198&lt;&gt;"",X198&lt;Inputs!$B$16),AND(X198&lt;&gt;"",X198&gt;Inputs!$B$17),G198&lt;Inputs!$B$18),"CHECK","OK"))</f>
        <v/>
      </c>
      <c r="AB198" s="4" t="n"/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IF(A199="","",IF(OR(U199&gt;1,AND(X199&lt;&gt;"",X199&lt;Inputs!$B$16),AND(X199&lt;&gt;"",X199&gt;Inputs!$B$17),G199&lt;Inputs!$B$18),"CHECK","OK"))</f>
        <v/>
      </c>
      <c r="AB199" s="4" t="n"/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IF(A200="","",IF(OR(U200&gt;1,AND(X200&lt;&gt;"",X200&lt;Inputs!$B$16),AND(X200&lt;&gt;"",X200&gt;Inputs!$B$17),G200&lt;Inputs!$B$18),"CHECK","OK"))</f>
        <v/>
      </c>
      <c r="AB200" s="4" t="n"/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IF(A201="","",IF(OR(U201&gt;1,AND(X201&lt;&gt;"",X201&lt;Inputs!$B$16),AND(X201&lt;&gt;"",X201&gt;Inputs!$B$17),G201&lt;Inputs!$B$18),"CHECK","OK"))</f>
        <v/>
      </c>
      <c r="AB201" s="4" t="n"/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IF(A202="","",IF(OR(U202&gt;1,AND(X202&lt;&gt;"",X202&lt;Inputs!$B$16),AND(X202&lt;&gt;"",X202&gt;Inputs!$B$17),G202&lt;Inputs!$B$18),"CHECK","OK"))</f>
        <v/>
      </c>
      <c r="AB202" s="4" t="n"/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IF(A203="","",IF(OR(U203&gt;1,AND(X203&lt;&gt;"",X203&lt;Inputs!$B$16),AND(X203&lt;&gt;"",X203&gt;Inputs!$B$17),G203&lt;Inputs!$B$18),"CHECK","OK"))</f>
        <v/>
      </c>
      <c r="AB203" s="4" t="n"/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IF(A204="","",IF(OR(U204&gt;1,AND(X204&lt;&gt;"",X204&lt;Inputs!$B$16),AND(X204&lt;&gt;"",X204&gt;Inputs!$B$17),G204&lt;Inputs!$B$18),"CHECK","OK"))</f>
        <v/>
      </c>
      <c r="AB204" s="4" t="n"/>
    </row>
  </sheetData>
  <mergeCells count="1">
    <mergeCell ref="A1:A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P-01</t>
        </is>
      </c>
      <c r="B4" s="4" t="inlineStr">
        <is>
          <t>CB</t>
        </is>
      </c>
      <c r="C4" s="7" t="inlineStr"/>
      <c r="D4" s="7" t="inlineStr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P-02</t>
        </is>
      </c>
      <c r="B5" s="4" t="inlineStr">
        <is>
          <t>CB</t>
        </is>
      </c>
      <c r="C5" s="7" t="inlineStr"/>
      <c r="D5" s="7" t="inlineStr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P-03</t>
        </is>
      </c>
      <c r="B6" s="4" t="inlineStr">
        <is>
          <t>CB</t>
        </is>
      </c>
      <c r="C6" s="7" t="inlineStr"/>
      <c r="D6" s="7" t="inlineStr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J-SUD-EST</t>
        </is>
      </c>
      <c r="B7" s="4" t="inlineStr">
        <is>
          <t>SWALE_NODE</t>
        </is>
      </c>
      <c r="C7" s="7" t="inlineStr"/>
      <c r="D7" s="7" t="inlineStr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J-SUD-OUEST</t>
        </is>
      </c>
      <c r="B8" s="4" t="inlineStr">
        <is>
          <t>SWALE_NODE</t>
        </is>
      </c>
      <c r="C8" s="7" t="inlineStr"/>
      <c r="D8" s="7" t="inlineStr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J-OUEST-AMONT</t>
        </is>
      </c>
      <c r="B9" s="4" t="inlineStr">
        <is>
          <t>CB</t>
        </is>
      </c>
      <c r="C9" s="7" t="inlineStr"/>
      <c r="D9" s="7" t="inlineStr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J-OUEST-AVAL</t>
        </is>
      </c>
      <c r="B10" s="4" t="inlineStr">
        <is>
          <t>CB</t>
        </is>
      </c>
      <c r="C10" s="7" t="inlineStr"/>
      <c r="D10" s="7" t="inlineStr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J-BASSIN-IN</t>
        </is>
      </c>
      <c r="B11" s="4" t="inlineStr">
        <is>
          <t>MH</t>
        </is>
      </c>
      <c r="C11" s="7" t="inlineStr"/>
      <c r="D11" s="7" t="inlineStr"/>
      <c r="E11" s="8">
        <f>IF(OR(C11="",D11=""),"",MAX(0,C11-D11))</f>
        <v/>
      </c>
      <c r="F11" s="7" t="inlineStr">
        <is>
          <t>CIRC</t>
        </is>
      </c>
      <c r="G11" s="7" t="n">
        <v>1.8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BASSIN-RET</t>
        </is>
      </c>
      <c r="B12" s="4" t="inlineStr">
        <is>
          <t>RETENTION</t>
        </is>
      </c>
      <c r="C12" s="7">
        <f>Inputs!$B$37</f>
        <v/>
      </c>
      <c r="D12" s="7">
        <f>Inputs!$B$38</f>
        <v/>
      </c>
      <c r="E12" s="8">
        <f>IF(OR(C12="",D12=""),"",MAX(0,C12-D12))</f>
        <v/>
      </c>
      <c r="F12" s="7" t="inlineStr">
        <is>
          <t>RECT</t>
        </is>
      </c>
      <c r="G12" s="7">
        <f>Inputs!$B$34</f>
        <v/>
      </c>
      <c r="H12" s="7">
        <f>Inputs!$B$35</f>
        <v/>
      </c>
      <c r="I12" s="8">
        <f>IF(A12="","",IF(UPPER(TRIM(F12))="CIRC",PI()*(G12/2)^2*E12,IF(UPPER(TRIM(F12))="RECT",G12*H12*E12,"")))</f>
        <v/>
      </c>
      <c r="J12" s="7" t="n">
        <v>30</v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n"/>
      <c r="B13" s="4" t="n"/>
      <c r="C13" s="7" t="n"/>
      <c r="D13" s="7" t="n"/>
      <c r="E13" s="8">
        <f>IF(OR(C13="",D13=""),"",MAX(0,C13-D13))</f>
        <v/>
      </c>
      <c r="F13" s="7" t="n"/>
      <c r="G13" s="7" t="n"/>
      <c r="H13" s="7" t="n"/>
      <c r="I13" s="8">
        <f>IF(A13="","",IF(UPPER(TRIM(F13))="CIRC",PI()*(G13/2)^2*E13,IF(UPPER(TRIM(F13))="RECT",G13*H13*E13,"")))</f>
        <v/>
      </c>
      <c r="J13" s="7" t="n"/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n"/>
      <c r="B14" s="4" t="n"/>
      <c r="C14" s="7" t="n"/>
      <c r="D14" s="7" t="n"/>
      <c r="E14" s="8">
        <f>IF(OR(C14="",D14=""),"",MAX(0,C14-D14))</f>
        <v/>
      </c>
      <c r="F14" s="7" t="n"/>
      <c r="G14" s="7" t="n"/>
      <c r="H14" s="7" t="n"/>
      <c r="I14" s="8">
        <f>IF(A14="","",IF(UPPER(TRIM(F14))="CIRC",PI()*(G14/2)^2*E14,IF(UPPER(TRIM(F14))="RECT",G14*H14*E14,"")))</f>
        <v/>
      </c>
      <c r="J14" s="7" t="n"/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n"/>
      <c r="B15" s="4" t="n"/>
      <c r="C15" s="7" t="n"/>
      <c r="D15" s="7" t="n"/>
      <c r="E15" s="8">
        <f>IF(OR(C15="",D15=""),"",MAX(0,C15-D15))</f>
        <v/>
      </c>
      <c r="F15" s="7" t="n"/>
      <c r="G15" s="7" t="n"/>
      <c r="H15" s="7" t="n"/>
      <c r="I15" s="8">
        <f>IF(A15="","",IF(UPPER(TRIM(F15))="CIRC",PI()*(G15/2)^2*E15,IF(UPPER(TRIM(F15))="RECT",G15*H15*E15,"")))</f>
        <v/>
      </c>
      <c r="J15" s="7" t="n"/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n"/>
      <c r="B16" s="4" t="n"/>
      <c r="C16" s="7" t="n"/>
      <c r="D16" s="7" t="n"/>
      <c r="E16" s="8">
        <f>IF(OR(C16="",D16=""),"",MAX(0,C16-D16))</f>
        <v/>
      </c>
      <c r="F16" s="7" t="n"/>
      <c r="G16" s="7" t="n"/>
      <c r="H16" s="7" t="n"/>
      <c r="I16" s="8">
        <f>IF(A16="","",IF(UPPER(TRIM(F16))="CIRC",PI()*(G16/2)^2*E16,IF(UPPER(TRIM(F16))="RECT",G16*H16*E16,"")))</f>
        <v/>
      </c>
      <c r="J16" s="7" t="n"/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n"/>
      <c r="B17" s="4" t="n"/>
      <c r="C17" s="7" t="n"/>
      <c r="D17" s="7" t="n"/>
      <c r="E17" s="8">
        <f>IF(OR(C17="",D17=""),"",MAX(0,C17-D17))</f>
        <v/>
      </c>
      <c r="F17" s="7" t="n"/>
      <c r="G17" s="7" t="n"/>
      <c r="H17" s="7" t="n"/>
      <c r="I17" s="8">
        <f>IF(A17="","",IF(UPPER(TRIM(F17))="CIRC",PI()*(G17/2)^2*E17,IF(UPPER(TRIM(F17))="RECT",G17*H17*E17,"")))</f>
        <v/>
      </c>
      <c r="J17" s="7" t="n"/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22" customWidth="1" min="4" max="4"/>
    <col width="36" customWidth="1" min="5" max="5"/>
  </cols>
  <sheetData>
    <row r="1">
      <c r="A1" s="1" t="inlineStr">
        <is>
          <t>CONVENTION DE NOMMAGE - MODELE HYBRIDE</t>
        </is>
      </c>
    </row>
    <row r="3">
      <c r="A3" s="3" t="inlineStr">
        <is>
          <t>Placeholder</t>
        </is>
      </c>
      <c r="B3" s="3" t="inlineStr">
        <is>
          <t>Label projet</t>
        </is>
      </c>
      <c r="C3" s="3" t="inlineStr">
        <is>
          <t>Type</t>
        </is>
      </c>
      <c r="D3" s="3" t="inlineStr">
        <is>
          <t>Role hydraulique</t>
        </is>
      </c>
      <c r="E3" s="3" t="inlineStr">
        <is>
          <t>Note</t>
        </is>
      </c>
    </row>
    <row r="4">
      <c r="A4" s="4" t="inlineStr">
        <is>
          <t>P1</t>
        </is>
      </c>
      <c r="B4" s="4" t="inlineStr">
        <is>
          <t>P-01</t>
        </is>
      </c>
      <c r="C4" s="4" t="inlineStr">
        <is>
          <t>CB</t>
        </is>
      </c>
      <c r="D4" s="4" t="inlineStr">
        <is>
          <t>Noeud amont est</t>
        </is>
      </c>
      <c r="E4" s="4" t="inlineStr">
        <is>
          <t>Puisard/CB existant amont</t>
        </is>
      </c>
    </row>
    <row r="5">
      <c r="A5" s="4" t="inlineStr">
        <is>
          <t>P2</t>
        </is>
      </c>
      <c r="B5" s="4" t="inlineStr">
        <is>
          <t>P-02</t>
        </is>
      </c>
      <c r="C5" s="4" t="inlineStr">
        <is>
          <t>CB</t>
        </is>
      </c>
      <c r="D5" s="4" t="inlineStr">
        <is>
          <t>Noeud intermediaire est</t>
        </is>
      </c>
      <c r="E5" s="4" t="inlineStr">
        <is>
          <t>Puisard/CB milieu</t>
        </is>
      </c>
    </row>
    <row r="6">
      <c r="A6" s="4" t="inlineStr">
        <is>
          <t>P3</t>
        </is>
      </c>
      <c r="B6" s="4" t="inlineStr">
        <is>
          <t>P-03</t>
        </is>
      </c>
      <c r="C6" s="4" t="inlineStr">
        <is>
          <t>CB</t>
        </is>
      </c>
      <c r="D6" s="4" t="inlineStr">
        <is>
          <t>Noeud aval est</t>
        </is>
      </c>
      <c r="E6" s="4" t="inlineStr">
        <is>
          <t>Puisard/CB aval</t>
        </is>
      </c>
    </row>
    <row r="7">
      <c r="A7" s="4" t="inlineStr">
        <is>
          <t>S_EAST</t>
        </is>
      </c>
      <c r="B7" s="4" t="inlineStr">
        <is>
          <t>J-SUD-EST</t>
        </is>
      </c>
      <c r="C7" s="4" t="inlineStr">
        <is>
          <t>SWALE_NODE</t>
        </is>
      </c>
      <c r="D7" s="4" t="inlineStr">
        <is>
          <t>Jonction sud est</t>
        </is>
      </c>
      <c r="E7" s="4" t="inlineStr">
        <is>
          <t>Point de collecte sud est</t>
        </is>
      </c>
    </row>
    <row r="8">
      <c r="A8" s="4" t="inlineStr">
        <is>
          <t>S_MID</t>
        </is>
      </c>
      <c r="B8" s="4" t="inlineStr">
        <is>
          <t>J-SUD-OUEST</t>
        </is>
      </c>
      <c r="C8" s="4" t="inlineStr">
        <is>
          <t>SWALE_NODE</t>
        </is>
      </c>
      <c r="D8" s="4" t="inlineStr">
        <is>
          <t>Jonction sud ouest</t>
        </is>
      </c>
      <c r="E8" s="4" t="inlineStr">
        <is>
          <t>Point de rassemblement sud</t>
        </is>
      </c>
    </row>
    <row r="9">
      <c r="A9" s="4" t="inlineStr">
        <is>
          <t>W_UP</t>
        </is>
      </c>
      <c r="B9" s="4" t="inlineStr">
        <is>
          <t>J-OUEST-AMONT</t>
        </is>
      </c>
      <c r="C9" s="4" t="inlineStr">
        <is>
          <t>CB</t>
        </is>
      </c>
      <c r="D9" s="4" t="inlineStr">
        <is>
          <t>Noeud ouest amont</t>
        </is>
      </c>
      <c r="E9" s="4" t="inlineStr">
        <is>
          <t>Collecte bande ouest</t>
        </is>
      </c>
    </row>
    <row r="10">
      <c r="A10" s="4" t="inlineStr">
        <is>
          <t>W_LOW</t>
        </is>
      </c>
      <c r="B10" s="4" t="inlineStr">
        <is>
          <t>J-OUEST-AVAL</t>
        </is>
      </c>
      <c r="C10" s="4" t="inlineStr">
        <is>
          <t>CB</t>
        </is>
      </c>
      <c r="D10" s="4" t="inlineStr">
        <is>
          <t>Noeud ouest aval</t>
        </is>
      </c>
      <c r="E10" s="4" t="inlineStr">
        <is>
          <t>Transition vers pipe</t>
        </is>
      </c>
    </row>
    <row r="11">
      <c r="A11" s="4" t="inlineStr">
        <is>
          <t>BASIN_IN</t>
        </is>
      </c>
      <c r="B11" s="4" t="inlineStr">
        <is>
          <t>J-BASSIN-IN</t>
        </is>
      </c>
      <c r="C11" s="4" t="inlineStr">
        <is>
          <t>MH</t>
        </is>
      </c>
      <c r="D11" s="4" t="inlineStr">
        <is>
          <t>Regard amont bassin</t>
        </is>
      </c>
      <c r="E11" s="4" t="inlineStr">
        <is>
          <t>Noeud avant bassin</t>
        </is>
      </c>
    </row>
    <row r="12">
      <c r="A12" s="4" t="inlineStr">
        <is>
          <t>BASIN_RET</t>
        </is>
      </c>
      <c r="B12" s="4" t="inlineStr">
        <is>
          <t>BASSIN-RET</t>
        </is>
      </c>
      <c r="C12" s="4" t="inlineStr">
        <is>
          <t>RETENTION</t>
        </is>
      </c>
      <c r="D12" s="4" t="inlineStr">
        <is>
          <t>Bassin de retention</t>
        </is>
      </c>
      <c r="E12" s="4" t="inlineStr">
        <is>
          <t>Exutoire final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20" customWidth="1" min="4" max="4"/>
    <col width="16" customWidth="1" min="5" max="5"/>
    <col width="42" customWidth="1" min="6" max="6"/>
  </cols>
  <sheetData>
    <row r="1">
      <c r="A1" s="1" t="inlineStr">
        <is>
          <t>IMPLANTATION OUEST - CONFLITS UTILITES (AEP / PLUVIAL / SANITAIRE)</t>
        </is>
      </c>
    </row>
    <row r="3">
      <c r="A3" s="3" t="inlineStr">
        <is>
          <t>Zone</t>
        </is>
      </c>
      <c r="B3" s="3" t="inlineStr">
        <is>
          <t>Contrainte</t>
        </is>
      </c>
      <c r="C3" s="3" t="inlineStr">
        <is>
          <t>Strategie recommandee</t>
        </is>
      </c>
      <c r="D3" s="3" t="inlineStr">
        <is>
          <t>Element modele</t>
        </is>
      </c>
      <c r="E3" s="3" t="inlineStr">
        <is>
          <t>Parametre cible</t>
        </is>
      </c>
      <c r="F3" s="3" t="inlineStr">
        <is>
          <t>Commentaire</t>
        </is>
      </c>
    </row>
    <row r="4">
      <c r="A4" s="4" t="inlineStr">
        <is>
          <t>Ouest haut</t>
        </is>
      </c>
      <c r="B4" s="4" t="inlineStr">
        <is>
          <t>Lateraux multiples</t>
        </is>
      </c>
      <c r="C4" s="4" t="inlineStr">
        <is>
          <t>Privilegier ecoulement de surface (noue peu profonde)</t>
        </is>
      </c>
      <c r="D4" s="4" t="inlineStr">
        <is>
          <t>E05 (SWALE)</t>
        </is>
      </c>
      <c r="E4" s="4" t="inlineStr">
        <is>
          <t>profondeur ~0.20 m</t>
        </is>
      </c>
      <c r="F4" s="4" t="inlineStr">
        <is>
          <t>Limiter fouille profonde dans emprise chargee.</t>
        </is>
      </c>
    </row>
    <row r="5">
      <c r="A5" s="4" t="inlineStr">
        <is>
          <t>Traverse vers bassin</t>
        </is>
      </c>
      <c r="B5" s="4" t="inlineStr">
        <is>
          <t>Croisement inevitable</t>
        </is>
      </c>
      <c r="C5" s="4" t="inlineStr">
        <is>
          <t>Croiser perpendiculaire + gaine + pente mini</t>
        </is>
      </c>
      <c r="D5" s="4" t="inlineStr">
        <is>
          <t>E06 (PIPE)</t>
        </is>
      </c>
      <c r="E5" s="4" t="inlineStr">
        <is>
          <t>slope 0.8%</t>
        </is>
      </c>
      <c r="F5" s="4" t="inlineStr">
        <is>
          <t>Verifier degagement vertical avec as-built.</t>
        </is>
      </c>
    </row>
    <row r="6">
      <c r="A6" s="4" t="inlineStr">
        <is>
          <t>Bande sud 2m</t>
        </is>
      </c>
      <c r="B6" s="4" t="inlineStr">
        <is>
          <t>Emprise contrainte</t>
        </is>
      </c>
      <c r="C6" s="4" t="inlineStr">
        <is>
          <t>Bassin lineaire + noue/tranchee compacte</t>
        </is>
      </c>
      <c r="D6" s="4" t="inlineStr">
        <is>
          <t>E04 + BASSIN-RET</t>
        </is>
      </c>
      <c r="E6" s="4" t="inlineStr">
        <is>
          <t>width 2.0 m</t>
        </is>
      </c>
      <c r="F6" s="4" t="inlineStr">
        <is>
          <t>Stockage distribue + transfert au bassin.</t>
        </is>
      </c>
    </row>
    <row r="7">
      <c r="A7" s="4" t="inlineStr">
        <is>
          <t>Bande est arbres</t>
        </is>
      </c>
      <c r="B7" s="4" t="inlineStr">
        <is>
          <t>Zone racinaire</t>
        </is>
      </c>
      <c r="C7" s="4" t="inlineStr">
        <is>
          <t>Tranchee drainante + underdrain + barriere racinaire</t>
        </is>
      </c>
      <c r="D7" s="4" t="inlineStr">
        <is>
          <t>E01/E02 (TRENCH)</t>
        </is>
      </c>
      <c r="E7" s="4" t="inlineStr">
        <is>
          <t>offset &gt;=1.0 m</t>
        </is>
      </c>
      <c r="F7" s="4" t="inlineStr">
        <is>
          <t>Eviter conduite profonde continue en pied d arbres.</t>
        </is>
      </c>
    </row>
    <row r="9">
      <c r="A9" s="10" t="inlineStr">
        <is>
          <t>Note: Les degagements finaux avec lateraux existants doivent etre confirmes par releves terrain/TQC avant IFC.</t>
        </is>
      </c>
    </row>
  </sheetData>
  <mergeCells count="2">
    <mergeCell ref="A1:F1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10" customWidth="1" min="4" max="4"/>
    <col width="14" customWidth="1" min="5" max="5"/>
    <col width="12" customWidth="1" min="6" max="6"/>
    <col width="28" customWidth="1" min="7" max="7"/>
  </cols>
  <sheetData>
    <row r="1">
      <c r="A1" s="1" t="inlineStr">
        <is>
          <t>DIMENSIONNEMENT BANDE EST (2.5m) - ESTIMATION A PARTIR DES AIRES</t>
        </is>
      </c>
    </row>
    <row r="3">
      <c r="A3" s="3" t="inlineStr">
        <is>
          <t>Item</t>
        </is>
      </c>
      <c r="B3" s="3" t="inlineStr">
        <is>
          <t>Formule/Source</t>
        </is>
      </c>
      <c r="C3" s="3" t="inlineStr">
        <is>
          <t>Valeur</t>
        </is>
      </c>
      <c r="D3" s="3" t="inlineStr">
        <is>
          <t>Unite</t>
        </is>
      </c>
      <c r="E3" s="3" t="inlineStr">
        <is>
          <t>Critere</t>
        </is>
      </c>
      <c r="F3" s="3" t="inlineStr">
        <is>
          <t>Resultat</t>
        </is>
      </c>
      <c r="G3" s="3" t="inlineStr">
        <is>
          <t>Commentaire</t>
        </is>
      </c>
    </row>
    <row r="4">
      <c r="A4" s="4" t="inlineStr">
        <is>
          <t>Q_design est aval (E02)</t>
        </is>
      </c>
      <c r="B4" s="4" t="inlineStr">
        <is>
          <t>Elements_hybrides Q(E02)</t>
        </is>
      </c>
      <c r="C4" s="8">
        <f>IFERROR(INDEX(Elements_hybrides!$Q$4:$Q$204,MATCH("E02",Elements_hybrides!$A$4:$A$204,0)),"")</f>
        <v/>
      </c>
      <c r="D4" s="4" t="inlineStr">
        <is>
          <t>m3/s</t>
        </is>
      </c>
      <c r="E4" s="4" t="n"/>
      <c r="F4" s="4" t="n"/>
      <c r="G4" s="4" t="n"/>
    </row>
    <row r="5">
      <c r="A5" s="4" t="inlineStr">
        <is>
          <t>Capacite pipe 200mm (s=Inputs!B33)</t>
        </is>
      </c>
      <c r="B5" s="4" t="inlineStr">
        <is>
          <t>Manning plein</t>
        </is>
      </c>
      <c r="C5" s="8">
        <f>(1/Inputs!$B$9)*(PI()*(Inputs!$B$30/1000)^2/4)*(((Inputs!$B$30/1000)/4)^(2/3))*SQRT(Inputs!$B$33)</f>
        <v/>
      </c>
      <c r="D5" s="4" t="inlineStr">
        <is>
          <t>m3/s</t>
        </is>
      </c>
      <c r="E5" s="4" t="n"/>
      <c r="F5" s="4" t="n"/>
      <c r="G5" s="4" t="n"/>
    </row>
    <row r="6">
      <c r="A6" s="4" t="inlineStr">
        <is>
          <t>Capacite pipe 250mm</t>
        </is>
      </c>
      <c r="B6" s="4" t="inlineStr">
        <is>
          <t>Manning plein</t>
        </is>
      </c>
      <c r="C6" s="8">
        <f>(1/Inputs!$B$9)*(PI()*(0.25)^2/4)*((0.25/4)^(2/3))*SQRT(Inputs!$B$33)</f>
        <v/>
      </c>
      <c r="D6" s="4" t="inlineStr">
        <is>
          <t>m3/s</t>
        </is>
      </c>
      <c r="E6" s="4" t="n"/>
      <c r="F6" s="4" t="n"/>
      <c r="G6" s="4" t="n"/>
    </row>
    <row r="7">
      <c r="A7" s="4" t="inlineStr">
        <is>
          <t>Capacite pipe 300mm</t>
        </is>
      </c>
      <c r="B7" s="4" t="inlineStr">
        <is>
          <t>Manning plein</t>
        </is>
      </c>
      <c r="C7" s="8">
        <f>(1/Inputs!$B$9)*(PI()*(0.30)^2/4)*((0.30/4)^(2/3))*SQRT(Inputs!$B$33)</f>
        <v/>
      </c>
      <c r="D7" s="4" t="inlineStr">
        <is>
          <t>m3/s</t>
        </is>
      </c>
      <c r="E7" s="4" t="n"/>
      <c r="F7" s="4" t="n"/>
      <c r="G7" s="4" t="n"/>
    </row>
    <row r="8">
      <c r="A8" s="4" t="inlineStr">
        <is>
          <t>Diametre recommande est</t>
        </is>
      </c>
      <c r="B8" s="4" t="inlineStr">
        <is>
          <t>Q_design / fill_limit</t>
        </is>
      </c>
      <c r="C8" s="11">
        <f>IF(C4="","",IF(C4/Inputs!$B$19&lt;=C5,200,IF(C4/Inputs!$B$19&lt;=C6,250,IF(C4/Inputs!$B$19&lt;=C7,300,375))))</f>
        <v/>
      </c>
      <c r="D8" s="4" t="inlineStr">
        <is>
          <t>mm</t>
        </is>
      </c>
      <c r="E8" s="4" t="n"/>
      <c r="F8" s="4" t="n"/>
      <c r="G8" s="4" t="n"/>
    </row>
    <row r="9">
      <c r="A9" s="4" t="n"/>
      <c r="B9" s="4" t="n"/>
      <c r="C9" s="8" t="n"/>
      <c r="D9" s="4" t="n"/>
      <c r="E9" s="4" t="n"/>
      <c r="F9" s="4" t="n"/>
      <c r="G9" s="4" t="n"/>
    </row>
    <row r="10">
      <c r="A10" s="4" t="inlineStr">
        <is>
          <t>Stockage lineaire surface+tranchee (m3/m)</t>
        </is>
      </c>
      <c r="B10" s="4" t="inlineStr">
        <is>
          <t>Template_est_2p5m</t>
        </is>
      </c>
      <c r="C10" s="8">
        <f>IFERROR(Template_est_2p5m!$G$6,"")</f>
        <v/>
      </c>
      <c r="D10" s="4" t="inlineStr">
        <is>
          <t>m3/m</t>
        </is>
      </c>
      <c r="E10" s="4" t="n"/>
      <c r="F10" s="4" t="n"/>
      <c r="G10" s="4" t="n"/>
    </row>
    <row r="11">
      <c r="A11" s="4" t="inlineStr">
        <is>
          <t>Longueur active bande est</t>
        </is>
      </c>
      <c r="B11" s="4" t="inlineStr">
        <is>
          <t>E01+E02</t>
        </is>
      </c>
      <c r="C11" s="8">
        <f>IFERROR(INDEX(Elements_hybrides!$F$4:$F$204,MATCH("E01",Elements_hybrides!$A$4:$A$204,0)),0)+IFERROR(INDEX(Elements_hybrides!$F$4:$F$204,MATCH("E02",Elements_hybrides!$A$4:$A$204,0)),0)</f>
        <v/>
      </c>
      <c r="D11" s="4" t="inlineStr">
        <is>
          <t>m</t>
        </is>
      </c>
      <c r="E11" s="4" t="n"/>
      <c r="F11" s="4" t="n"/>
      <c r="G11" s="4" t="n"/>
    </row>
    <row r="12">
      <c r="A12" s="4" t="inlineStr">
        <is>
          <t>Stockage dispo bande est</t>
        </is>
      </c>
      <c r="B12" s="4" t="inlineStr">
        <is>
          <t>C10*C11</t>
        </is>
      </c>
      <c r="C12" s="8">
        <f>IF(OR(C10="",C11=""),"",C10*C11)</f>
        <v/>
      </c>
      <c r="D12" s="4" t="inlineStr">
        <is>
          <t>m3</t>
        </is>
      </c>
      <c r="E12" s="4" t="n"/>
      <c r="F12" s="4" t="n"/>
      <c r="G12" s="4" t="n"/>
    </row>
    <row r="13">
      <c r="A13" s="4" t="inlineStr">
        <is>
          <t>Volume tampon requis est</t>
        </is>
      </c>
      <c r="B13" s="4" t="inlineStr">
        <is>
          <t>Q_design*buffer</t>
        </is>
      </c>
      <c r="C13" s="8">
        <f>IF(C4="","",C4*Inputs!$B$23*60)</f>
        <v/>
      </c>
      <c r="D13" s="4" t="inlineStr">
        <is>
          <t>m3</t>
        </is>
      </c>
      <c r="E13" s="4" t="n"/>
      <c r="F13" s="4" t="n"/>
      <c r="G13" s="4" t="n"/>
    </row>
    <row r="14">
      <c r="A14" s="4" t="inlineStr">
        <is>
          <t>Check stockage est</t>
        </is>
      </c>
      <c r="B14" s="4" t="inlineStr">
        <is>
          <t>C12 vs C13</t>
        </is>
      </c>
      <c r="C14" s="11">
        <f>IF(OR(C12="",C13=""),"",IF(C12&gt;=C13,"OK","AUGMENTER VOLUME"))</f>
        <v/>
      </c>
      <c r="D14" s="4" t="inlineStr">
        <is>
          <t>-</t>
        </is>
      </c>
      <c r="E14" s="4" t="n"/>
      <c r="F14" s="4" t="n"/>
      <c r="G14" s="4" t="n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2026-07-03T13:53:16Z</dcterms:modified>
</cp:coreProperties>
</file>