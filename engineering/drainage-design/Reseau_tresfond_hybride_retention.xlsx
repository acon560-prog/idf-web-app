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  <xf numFmtId="165" fontId="0" fillId="4" borderId="1" pivotButton="0" quotePrefix="0" xfId="0"/>
    <xf numFmtId="165" fontId="0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  <row r="45">
      <c r="A45" t="inlineStr">
        <is>
          <t>Tc automatise dans Zones_tributaires: Tc_used = (Tc base override L ou Default_tc_min) + temps transit element route.</t>
        </is>
      </c>
    </row>
    <row r="46">
      <c r="A46" t="inlineStr">
        <is>
          <t>Temps transit = Longueur element route / (Inputs!B59 * 60).</t>
        </is>
      </c>
    </row>
    <row r="47">
      <c r="A47" t="inlineStr">
        <is>
          <t>Inputs!B59 est une vitesse adoptee (pas la vitesse calculee hydraulique) pour eviter references circulaires.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7423.67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33.5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1.148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7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  <row r="53">
      <c r="A53" s="3" t="inlineStr">
        <is>
          <t>West_swale_to_basin_inlet_m</t>
        </is>
      </c>
      <c r="B53" s="5" t="n">
        <v>4.7</v>
      </c>
      <c r="C53" s="4" t="inlineStr">
        <is>
          <t>m</t>
        </is>
      </c>
      <c r="D53" s="4" t="inlineStr">
        <is>
          <t>Distance mesuree J-OUEST-AVAL -&gt; entree ouest bassin (image utilisateur).</t>
        </is>
      </c>
    </row>
    <row r="54">
      <c r="A54" s="3" t="inlineStr">
        <is>
          <t>Connection_equal_tolerance_m</t>
        </is>
      </c>
      <c r="B54" s="16" t="n">
        <v>0.01</v>
      </c>
      <c r="C54" s="4" t="inlineStr">
        <is>
          <t>m</t>
        </is>
      </c>
      <c r="D54" s="4" t="inlineStr">
        <is>
          <t>Tolerance pour raccord sans chute (PIPE-&gt;PIPE ou SWALE-&gt;SWALE).</t>
        </is>
      </c>
    </row>
    <row r="55">
      <c r="A55" s="3" t="inlineStr">
        <is>
          <t>Drop_min_swale_trench_to_pipe_m</t>
        </is>
      </c>
      <c r="B55" s="16" t="n">
        <v>0.05</v>
      </c>
      <c r="C55" s="4" t="inlineStr">
        <is>
          <t>m</t>
        </is>
      </c>
      <c r="D55" s="4" t="inlineStr">
        <is>
          <t>Chute minimale recommandee pour SWALE/TRENCH vers PIPE.</t>
        </is>
      </c>
    </row>
    <row r="56">
      <c r="A56" s="3" t="inlineStr">
        <is>
          <t>Drop_max_swale_trench_to_pipe_m</t>
        </is>
      </c>
      <c r="B56" s="16" t="n">
        <v>0.3</v>
      </c>
      <c r="C56" s="4" t="inlineStr">
        <is>
          <t>m</t>
        </is>
      </c>
      <c r="D56" s="4" t="inlineStr">
        <is>
          <t>Chute maximale recommandee avant ouvrage de chute dedie.</t>
        </is>
      </c>
    </row>
    <row r="57">
      <c r="A57" s="3" t="inlineStr">
        <is>
          <t>Basin_inlet_target_drop_m</t>
        </is>
      </c>
      <c r="B57" s="16" t="n">
        <v>0.1</v>
      </c>
      <c r="C57" s="4" t="inlineStr">
        <is>
          <t>m</t>
        </is>
      </c>
      <c r="D57" s="4" t="inlineStr">
        <is>
          <t>Valeur cible pratique pour entree swale/trench vers conduite bassin.</t>
        </is>
      </c>
    </row>
    <row r="58">
      <c r="A58" s="3" t="inlineStr">
        <is>
          <t>C_pavage</t>
        </is>
      </c>
      <c r="B58" s="5" t="n">
        <v>0.85</v>
      </c>
      <c r="C58" s="4" t="inlineStr">
        <is>
          <t>-</t>
        </is>
      </c>
      <c r="D58" s="4" t="inlineStr">
        <is>
          <t>Coefficient ruissellement pour surfaces pavees (pave-uni/pavage).</t>
        </is>
      </c>
    </row>
    <row r="59">
      <c r="A59" s="3" t="inlineStr">
        <is>
          <t>Tc_travel_velocity_mps</t>
        </is>
      </c>
      <c r="B59" s="5" t="n">
        <v>1</v>
      </c>
      <c r="C59" s="4" t="inlineStr">
        <is>
          <t>m/s</t>
        </is>
      </c>
      <c r="D59" s="4" t="inlineStr">
        <is>
          <t>Vitesse adoptee pour calcul temps de transit dans element route (evite references circulaires).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  <col width="18" customWidth="1" min="12" max="12"/>
    <col width="24" customWidth="1" min="13" max="13"/>
    <col width="17" customWidth="1" min="14" max="14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  <c r="L3" s="6" t="inlineStr">
        <is>
          <t>Tc_base_override_min</t>
        </is>
      </c>
      <c r="M3" s="6" t="inlineStr">
        <is>
          <t>Travel_time_routed_element_min</t>
        </is>
      </c>
      <c r="N3" s="6" t="inlineStr">
        <is>
          <t>Tc_auto_used_min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8">
        <f>IF(A4="","",N4)</f>
        <v/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E03</t>
        </is>
      </c>
      <c r="K4" s="4" t="inlineStr">
        <is>
          <t>Routage provisoire vers entree EST; scinder est/ouest plus tard si detail aval disponible.</t>
        </is>
      </c>
      <c r="L4" s="5" t="n">
        <v>12</v>
      </c>
      <c r="M4" s="9">
        <f>IF(A4="","",IF(OR(J4="",Inputs!$B$59=""),0,IFERROR(INDEX(Elements_hybrides!$F$4:$F$204,MATCH(J4,Elements_hybrides!$A$4:$A$204,0))/(Inputs!$B$59*60),0)))</f>
        <v/>
      </c>
      <c r="N4" s="9">
        <f>IF(A4="","",IF(L4="",Inputs!$B$14,L4)+M4)</f>
        <v/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8">
        <f>IF(A5="","",N5)</f>
        <v/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E03</t>
        </is>
      </c>
      <c r="K5" s="4" t="inlineStr">
        <is>
          <t>Pente vers bande est</t>
        </is>
      </c>
      <c r="L5" s="5" t="n">
        <v>8</v>
      </c>
      <c r="M5" s="9">
        <f>IF(A5="","",IF(OR(J5="",Inputs!$B$59=""),0,IFERROR(INDEX(Elements_hybrides!$F$4:$F$204,MATCH(J5,Elements_hybrides!$A$4:$A$204,0))/(Inputs!$B$59*60),0)))</f>
        <v/>
      </c>
      <c r="N5" s="9">
        <f>IF(A5="","",IF(L5="",Inputs!$B$14,L5)+M5)</f>
        <v/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8">
        <f>IF(A6="","",N6)</f>
        <v/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  <c r="L6" s="5" t="n">
        <v>10</v>
      </c>
      <c r="M6" s="9">
        <f>IF(A6="","",IF(OR(J6="",Inputs!$B$59=""),0,IFERROR(INDEX(Elements_hybrides!$F$4:$F$204,MATCH(J6,Elements_hybrides!$A$4:$A$204,0))/(Inputs!$B$59*60),0)))</f>
        <v/>
      </c>
      <c r="N6" s="9">
        <f>IF(A6="","",IF(L6="",Inputs!$B$14,L6)+M6)</f>
        <v/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8">
        <f>IF(A7="","",N7)</f>
        <v/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  <c r="L7" s="5" t="n">
        <v>10</v>
      </c>
      <c r="M7" s="9">
        <f>IF(A7="","",IF(OR(J7="",Inputs!$B$59=""),0,IFERROR(INDEX(Elements_hybrides!$F$4:$F$204,MATCH(J7,Elements_hybrides!$A$4:$A$204,0))/(Inputs!$B$59*60),0)))</f>
        <v/>
      </c>
      <c r="N7" s="9">
        <f>IF(A7="","",IF(L7="",Inputs!$B$14,L7)+M7)</f>
        <v/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PAVAGE</t>
        </is>
      </c>
      <c r="D8" s="7" t="n">
        <v>6.7</v>
      </c>
      <c r="E8" s="7" t="inlineStr"/>
      <c r="F8" s="8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8">
        <f>IF(A8="","",N8)</f>
        <v/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Surface pavage (pas tresfond).</t>
        </is>
      </c>
      <c r="L8" s="5" t="n">
        <v>10</v>
      </c>
      <c r="M8" s="9">
        <f>IF(A8="","",IF(OR(J8="",Inputs!$B$59=""),0,IFERROR(INDEX(Elements_hybrides!$F$4:$F$204,MATCH(J8,Elements_hybrides!$A$4:$A$204,0))/(Inputs!$B$59*60),0)))</f>
        <v/>
      </c>
      <c r="N8" s="9">
        <f>IF(A8="","",IF(L8="",Inputs!$B$14,L8)+M8)</f>
        <v/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8">
        <f>IF(A9="","",N9)</f>
        <v/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  <c r="L9" s="5" t="n">
        <v>10</v>
      </c>
      <c r="M9" s="9">
        <f>IF(A9="","",IF(OR(J9="",Inputs!$B$59=""),0,IFERROR(INDEX(Elements_hybrides!$F$4:$F$204,MATCH(J9,Elements_hybrides!$A$4:$A$204,0))/(Inputs!$B$59*60),0)))</f>
        <v/>
      </c>
      <c r="N9" s="9">
        <f>IF(A9="","",IF(L9="",Inputs!$B$14,L9)+M9)</f>
        <v/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PAVAGE</t>
        </is>
      </c>
      <c r="D10" s="7" t="n">
        <v>37.5</v>
      </c>
      <c r="E10" s="7" t="inlineStr"/>
      <c r="F10" s="8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8">
        <f>IF(A10="","",N10)</f>
        <v/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Surface pavage principal (pave-uni), entre Z05 et Z06.</t>
        </is>
      </c>
      <c r="L10" s="5" t="n">
        <v>9</v>
      </c>
      <c r="M10" s="9">
        <f>IF(A10="","",IF(OR(J10="",Inputs!$B$59=""),0,IFERROR(INDEX(Elements_hybrides!$F$4:$F$204,MATCH(J10,Elements_hybrides!$A$4:$A$204,0))/(Inputs!$B$59*60),0)))</f>
        <v/>
      </c>
      <c r="N10" s="9">
        <f>IF(A10="","",IF(L10="",Inputs!$B$14,L10)+M10)</f>
        <v/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8">
        <f>IF(A11="","",N11)</f>
        <v/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  <c r="L11" s="5" t="n">
        <v>10</v>
      </c>
      <c r="M11" s="9">
        <f>IF(A11="","",IF(OR(J11="",Inputs!$B$59=""),0,IFERROR(INDEX(Elements_hybrides!$F$4:$F$204,MATCH(J11,Elements_hybrides!$A$4:$A$204,0))/(Inputs!$B$59*60),0)))</f>
        <v/>
      </c>
      <c r="N11" s="9">
        <f>IF(A11="","",IF(L11="",Inputs!$B$14,L11)+M11)</f>
        <v/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8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8">
        <f>IF(A12="","",N12)</f>
        <v/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  <c r="L12" s="5" t="n">
        <v>10</v>
      </c>
      <c r="M12" s="9">
        <f>IF(A12="","",IF(OR(J12="",Inputs!$B$59=""),0,IFERROR(INDEX(Elements_hybrides!$F$4:$F$204,MATCH(J12,Elements_hybrides!$A$4:$A$204,0))/(Inputs!$B$59*60),0)))</f>
        <v/>
      </c>
      <c r="N12" s="9">
        <f>IF(A12="","",IF(L12="",Inputs!$B$14,L12)+M12)</f>
        <v/>
      </c>
    </row>
    <row r="13">
      <c r="A13" s="4" t="inlineStr">
        <is>
          <t>Z10</t>
        </is>
      </c>
      <c r="B13" s="4" t="inlineStr">
        <is>
          <t>Sud gris local (pavage)</t>
        </is>
      </c>
      <c r="C13" s="4" t="inlineStr">
        <is>
          <t>PAVAGE</t>
        </is>
      </c>
      <c r="D13" s="7" t="n">
        <v>44.3</v>
      </c>
      <c r="E13" s="7" t="inlineStr"/>
      <c r="F13" s="8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8">
        <f>IF(A13="","",N13)</f>
        <v/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E03</t>
        </is>
      </c>
      <c r="K13" s="4" t="inlineStr">
        <is>
          <t>Surface pavage locale (pas tresfond), routage vers entree EST.</t>
        </is>
      </c>
      <c r="L13" s="5" t="n">
        <v>8</v>
      </c>
      <c r="M13" s="9">
        <f>IF(A13="","",IF(OR(J13="",Inputs!$B$59=""),0,IFERROR(INDEX(Elements_hybrides!$F$4:$F$204,MATCH(J13,Elements_hybrides!$A$4:$A$204,0))/(Inputs!$B$59*60),0)))</f>
        <v/>
      </c>
      <c r="N13" s="9">
        <f>IF(A13="","",IF(L13="",Inputs!$B$14,L13)+M13)</f>
        <v/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8">
        <f>IF(A14="","",N14)</f>
        <v/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  <c r="L14" s="5" t="n">
        <v>10</v>
      </c>
      <c r="M14" s="9">
        <f>IF(A14="","",IF(OR(J14="",Inputs!$B$59=""),0,IFERROR(INDEX(Elements_hybrides!$F$4:$F$204,MATCH(J14,Elements_hybrides!$A$4:$A$204,0))/(Inputs!$B$59*60),0)))</f>
        <v/>
      </c>
      <c r="N14" s="9">
        <f>IF(A14="","",IF(L14="",Inputs!$B$14,L14)+M14)</f>
        <v/>
      </c>
    </row>
    <row r="15">
      <c r="A15" s="4" t="inlineStr">
        <is>
          <t>Z12</t>
        </is>
      </c>
      <c r="B15" s="4" t="inlineStr">
        <is>
          <t>Sud est gris petit (pavage)</t>
        </is>
      </c>
      <c r="C15" s="4" t="inlineStr">
        <is>
          <t>PAVAGE</t>
        </is>
      </c>
      <c r="D15" s="7" t="n">
        <v>5.8</v>
      </c>
      <c r="E15" s="7" t="inlineStr"/>
      <c r="F15" s="8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8">
        <f>IF(A15="","",N15)</f>
        <v/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E03</t>
        </is>
      </c>
      <c r="K15" s="4" t="inlineStr">
        <is>
          <t>Surface pavage petite zone sud-est (pas tresfond).</t>
        </is>
      </c>
      <c r="L15" s="5" t="n">
        <v>8</v>
      </c>
      <c r="M15" s="9">
        <f>IF(A15="","",IF(OR(J15="",Inputs!$B$59=""),0,IFERROR(INDEX(Elements_hybrides!$F$4:$F$204,MATCH(J15,Elements_hybrides!$A$4:$A$204,0))/(Inputs!$B$59*60),0)))</f>
        <v/>
      </c>
      <c r="N15" s="9">
        <f>IF(A15="","",IF(L15="",Inputs!$B$14,L15)+M15)</f>
        <v/>
      </c>
    </row>
    <row r="16">
      <c r="A16" s="4" t="n"/>
      <c r="B16" s="4" t="n"/>
      <c r="C16" s="4" t="n"/>
      <c r="D16" s="7" t="n"/>
      <c r="E16" s="7" t="n"/>
      <c r="F16" s="8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8">
        <f>IF(A16="","",N16)</f>
        <v/>
      </c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  <c r="L16" s="5" t="n"/>
      <c r="M16" s="9">
        <f>IF(A16="","",IF(OR(J16="",Inputs!$B$59=""),0,IFERROR(INDEX(Elements_hybrides!$F$4:$F$204,MATCH(J16,Elements_hybrides!$A$4:$A$204,0))/(Inputs!$B$59*60),0)))</f>
        <v/>
      </c>
      <c r="N16" s="9">
        <f>IF(A16="","",IF(L16="",Inputs!$B$14,L16)+M16)</f>
        <v/>
      </c>
    </row>
    <row r="17">
      <c r="A17" s="4" t="n"/>
      <c r="B17" s="4" t="n"/>
      <c r="C17" s="4" t="n"/>
      <c r="D17" s="7" t="n"/>
      <c r="E17" s="7" t="n"/>
      <c r="F17" s="8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8">
        <f>IF(A17="","",N17)</f>
        <v/>
      </c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  <c r="L17" s="5" t="n"/>
      <c r="M17" s="9">
        <f>IF(A17="","",IF(OR(J17="",Inputs!$B$59=""),0,IFERROR(INDEX(Elements_hybrides!$F$4:$F$204,MATCH(J17,Elements_hybrides!$A$4:$A$204,0))/(Inputs!$B$59*60),0)))</f>
        <v/>
      </c>
      <c r="N17" s="9">
        <f>IF(A17="","",IF(L17="",Inputs!$B$14,L17)+M17)</f>
        <v/>
      </c>
    </row>
    <row r="18">
      <c r="A18" s="4" t="n"/>
      <c r="B18" s="4" t="n"/>
      <c r="C18" s="4" t="n"/>
      <c r="D18" s="7" t="n"/>
      <c r="E18" s="7" t="n"/>
      <c r="F18" s="8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8">
        <f>IF(A18="","",N18)</f>
        <v/>
      </c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  <c r="L18" s="5" t="n"/>
      <c r="M18" s="9">
        <f>IF(A18="","",IF(OR(J18="",Inputs!$B$59=""),0,IFERROR(INDEX(Elements_hybrides!$F$4:$F$204,MATCH(J18,Elements_hybrides!$A$4:$A$204,0))/(Inputs!$B$59*60),0)))</f>
        <v/>
      </c>
      <c r="N18" s="9">
        <f>IF(A18="","",IF(L18="",Inputs!$B$14,L18)+M18)</f>
        <v/>
      </c>
    </row>
    <row r="19">
      <c r="A19" s="4" t="n"/>
      <c r="B19" s="4" t="n"/>
      <c r="C19" s="4" t="n"/>
      <c r="D19" s="7" t="n"/>
      <c r="E19" s="7" t="n"/>
      <c r="F19" s="8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8">
        <f>IF(A19="","",N19)</f>
        <v/>
      </c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  <c r="L19" s="5" t="n"/>
      <c r="M19" s="9">
        <f>IF(A19="","",IF(OR(J19="",Inputs!$B$59=""),0,IFERROR(INDEX(Elements_hybrides!$F$4:$F$204,MATCH(J19,Elements_hybrides!$A$4:$A$204,0))/(Inputs!$B$59*60),0)))</f>
        <v/>
      </c>
      <c r="N19" s="9">
        <f>IF(A19="","",IF(L19="",Inputs!$B$14,L19)+M19)</f>
        <v/>
      </c>
    </row>
    <row r="20">
      <c r="A20" s="4" t="n"/>
      <c r="B20" s="4" t="n"/>
      <c r="C20" s="4" t="n"/>
      <c r="D20" s="7" t="n"/>
      <c r="E20" s="7" t="n"/>
      <c r="F20" s="8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8">
        <f>IF(A20="","",N20)</f>
        <v/>
      </c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  <c r="L20" s="5" t="n"/>
      <c r="M20" s="9">
        <f>IF(A20="","",IF(OR(J20="",Inputs!$B$59=""),0,IFERROR(INDEX(Elements_hybrides!$F$4:$F$204,MATCH(J20,Elements_hybrides!$A$4:$A$204,0))/(Inputs!$B$59*60),0)))</f>
        <v/>
      </c>
      <c r="N20" s="9">
        <f>IF(A20="","",IF(L20="",Inputs!$B$14,L20)+M20)</f>
        <v/>
      </c>
    </row>
    <row r="21">
      <c r="A21" s="4" t="n"/>
      <c r="B21" s="4" t="n"/>
      <c r="C21" s="4" t="n"/>
      <c r="D21" s="7" t="n"/>
      <c r="E21" s="7" t="n"/>
      <c r="F21" s="8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8">
        <f>IF(A21="","",N21)</f>
        <v/>
      </c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  <c r="L21" s="5" t="n"/>
      <c r="M21" s="9">
        <f>IF(A21="","",IF(OR(J21="",Inputs!$B$59=""),0,IFERROR(INDEX(Elements_hybrides!$F$4:$F$204,MATCH(J21,Elements_hybrides!$A$4:$A$204,0))/(Inputs!$B$59*60),0)))</f>
        <v/>
      </c>
      <c r="N21" s="9">
        <f>IF(A21="","",IF(L21="",Inputs!$B$14,L21)+M21)</f>
        <v/>
      </c>
    </row>
    <row r="22">
      <c r="A22" s="4" t="n"/>
      <c r="B22" s="4" t="n"/>
      <c r="C22" s="4" t="n"/>
      <c r="D22" s="7" t="n"/>
      <c r="E22" s="7" t="n"/>
      <c r="F22" s="8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8">
        <f>IF(A22="","",N22)</f>
        <v/>
      </c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  <c r="L22" s="5" t="n"/>
      <c r="M22" s="9">
        <f>IF(A22="","",IF(OR(J22="",Inputs!$B$59=""),0,IFERROR(INDEX(Elements_hybrides!$F$4:$F$204,MATCH(J22,Elements_hybrides!$A$4:$A$204,0))/(Inputs!$B$59*60),0)))</f>
        <v/>
      </c>
      <c r="N22" s="9">
        <f>IF(A22="","",IF(L22="",Inputs!$B$14,L22)+M22)</f>
        <v/>
      </c>
    </row>
    <row r="23">
      <c r="A23" s="4" t="n"/>
      <c r="B23" s="4" t="n"/>
      <c r="C23" s="4" t="n"/>
      <c r="D23" s="7" t="n"/>
      <c r="E23" s="7" t="n"/>
      <c r="F23" s="8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8">
        <f>IF(A23="","",N23)</f>
        <v/>
      </c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  <c r="L23" s="5" t="n"/>
      <c r="M23" s="9">
        <f>IF(A23="","",IF(OR(J23="",Inputs!$B$59=""),0,IFERROR(INDEX(Elements_hybrides!$F$4:$F$204,MATCH(J23,Elements_hybrides!$A$4:$A$204,0))/(Inputs!$B$59*60),0)))</f>
        <v/>
      </c>
      <c r="N23" s="9">
        <f>IF(A23="","",IF(L23="",Inputs!$B$14,L23)+M23)</f>
        <v/>
      </c>
    </row>
    <row r="24">
      <c r="A24" s="4" t="n"/>
      <c r="B24" s="4" t="n"/>
      <c r="C24" s="4" t="n"/>
      <c r="D24" s="7" t="n"/>
      <c r="E24" s="7" t="n"/>
      <c r="F24" s="8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8">
        <f>IF(A24="","",N24)</f>
        <v/>
      </c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  <c r="L24" s="5" t="n"/>
      <c r="M24" s="9">
        <f>IF(A24="","",IF(OR(J24="",Inputs!$B$59=""),0,IFERROR(INDEX(Elements_hybrides!$F$4:$F$204,MATCH(J24,Elements_hybrides!$A$4:$A$204,0))/(Inputs!$B$59*60),0)))</f>
        <v/>
      </c>
      <c r="N24" s="9">
        <f>IF(A24="","",IF(L24="",Inputs!$B$14,L24)+M24)</f>
        <v/>
      </c>
    </row>
    <row r="25">
      <c r="A25" s="4" t="n"/>
      <c r="B25" s="4" t="n"/>
      <c r="C25" s="4" t="n"/>
      <c r="D25" s="7" t="n"/>
      <c r="E25" s="7" t="n"/>
      <c r="F25" s="8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8">
        <f>IF(A25="","",N25)</f>
        <v/>
      </c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  <c r="L25" s="5" t="n"/>
      <c r="M25" s="9">
        <f>IF(A25="","",IF(OR(J25="",Inputs!$B$59=""),0,IFERROR(INDEX(Elements_hybrides!$F$4:$F$204,MATCH(J25,Elements_hybrides!$A$4:$A$204,0))/(Inputs!$B$59*60),0)))</f>
        <v/>
      </c>
      <c r="N25" s="9">
        <f>IF(A25="","",IF(L25="",Inputs!$B$14,L25)+M25)</f>
        <v/>
      </c>
    </row>
    <row r="26">
      <c r="A26" s="4" t="n"/>
      <c r="B26" s="4" t="n"/>
      <c r="C26" s="4" t="n"/>
      <c r="D26" s="7" t="n"/>
      <c r="E26" s="7" t="n"/>
      <c r="F26" s="8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8">
        <f>IF(A26="","",N26)</f>
        <v/>
      </c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  <c r="L26" s="5" t="n"/>
      <c r="M26" s="9">
        <f>IF(A26="","",IF(OR(J26="",Inputs!$B$59=""),0,IFERROR(INDEX(Elements_hybrides!$F$4:$F$204,MATCH(J26,Elements_hybrides!$A$4:$A$204,0))/(Inputs!$B$59*60),0)))</f>
        <v/>
      </c>
      <c r="N26" s="9">
        <f>IF(A26="","",IF(L26="",Inputs!$B$14,L26)+M26)</f>
        <v/>
      </c>
    </row>
    <row r="27">
      <c r="A27" s="4" t="n"/>
      <c r="B27" s="4" t="n"/>
      <c r="C27" s="4" t="n"/>
      <c r="D27" s="7" t="n"/>
      <c r="E27" s="7" t="n"/>
      <c r="F27" s="8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8">
        <f>IF(A27="","",N27)</f>
        <v/>
      </c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  <c r="L27" s="5" t="n"/>
      <c r="M27" s="9">
        <f>IF(A27="","",IF(OR(J27="",Inputs!$B$59=""),0,IFERROR(INDEX(Elements_hybrides!$F$4:$F$204,MATCH(J27,Elements_hybrides!$A$4:$A$204,0))/(Inputs!$B$59*60),0)))</f>
        <v/>
      </c>
      <c r="N27" s="9">
        <f>IF(A27="","",IF(L27="",Inputs!$B$14,L27)+M27)</f>
        <v/>
      </c>
    </row>
    <row r="28">
      <c r="A28" s="4" t="n"/>
      <c r="B28" s="4" t="n"/>
      <c r="C28" s="4" t="n"/>
      <c r="D28" s="7" t="n"/>
      <c r="E28" s="7" t="n"/>
      <c r="F28" s="8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8">
        <f>IF(A28="","",N28)</f>
        <v/>
      </c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  <c r="L28" s="5" t="n"/>
      <c r="M28" s="9">
        <f>IF(A28="","",IF(OR(J28="",Inputs!$B$59=""),0,IFERROR(INDEX(Elements_hybrides!$F$4:$F$204,MATCH(J28,Elements_hybrides!$A$4:$A$204,0))/(Inputs!$B$59*60),0)))</f>
        <v/>
      </c>
      <c r="N28" s="9">
        <f>IF(A28="","",IF(L28="",Inputs!$B$14,L28)+M28)</f>
        <v/>
      </c>
    </row>
    <row r="29">
      <c r="A29" s="4" t="n"/>
      <c r="B29" s="4" t="n"/>
      <c r="C29" s="4" t="n"/>
      <c r="D29" s="7" t="n"/>
      <c r="E29" s="7" t="n"/>
      <c r="F29" s="8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8">
        <f>IF(A29="","",N29)</f>
        <v/>
      </c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  <c r="L29" s="5" t="n"/>
      <c r="M29" s="9">
        <f>IF(A29="","",IF(OR(J29="",Inputs!$B$59=""),0,IFERROR(INDEX(Elements_hybrides!$F$4:$F$204,MATCH(J29,Elements_hybrides!$A$4:$A$204,0))/(Inputs!$B$59*60),0)))</f>
        <v/>
      </c>
      <c r="N29" s="9">
        <f>IF(A29="","",IF(L29="",Inputs!$B$14,L29)+M29)</f>
        <v/>
      </c>
    </row>
    <row r="30">
      <c r="A30" s="4" t="n"/>
      <c r="B30" s="4" t="n"/>
      <c r="C30" s="4" t="n"/>
      <c r="D30" s="7" t="n"/>
      <c r="E30" s="7" t="n"/>
      <c r="F30" s="8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8">
        <f>IF(A30="","",N30)</f>
        <v/>
      </c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  <c r="L30" s="5" t="n"/>
      <c r="M30" s="9">
        <f>IF(A30="","",IF(OR(J30="",Inputs!$B$59=""),0,IFERROR(INDEX(Elements_hybrides!$F$4:$F$204,MATCH(J30,Elements_hybrides!$A$4:$A$204,0))/(Inputs!$B$59*60),0)))</f>
        <v/>
      </c>
      <c r="N30" s="9">
        <f>IF(A30="","",IF(L30="",Inputs!$B$14,L30)+M30)</f>
        <v/>
      </c>
    </row>
    <row r="31">
      <c r="A31" s="4" t="n"/>
      <c r="B31" s="4" t="n"/>
      <c r="C31" s="4" t="n"/>
      <c r="D31" s="7" t="n"/>
      <c r="E31" s="7" t="n"/>
      <c r="F31" s="8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8">
        <f>IF(A31="","",N31)</f>
        <v/>
      </c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  <c r="L31" s="5" t="n"/>
      <c r="M31" s="9">
        <f>IF(A31="","",IF(OR(J31="",Inputs!$B$59=""),0,IFERROR(INDEX(Elements_hybrides!$F$4:$F$204,MATCH(J31,Elements_hybrides!$A$4:$A$204,0))/(Inputs!$B$59*60),0)))</f>
        <v/>
      </c>
      <c r="N31" s="9">
        <f>IF(A31="","",IF(L31="",Inputs!$B$14,L31)+M31)</f>
        <v/>
      </c>
    </row>
    <row r="32">
      <c r="A32" s="4" t="n"/>
      <c r="B32" s="4" t="n"/>
      <c r="C32" s="4" t="n"/>
      <c r="D32" s="7" t="n"/>
      <c r="E32" s="7" t="n"/>
      <c r="F32" s="8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8">
        <f>IF(A32="","",N32)</f>
        <v/>
      </c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  <c r="L32" s="5" t="n"/>
      <c r="M32" s="9">
        <f>IF(A32="","",IF(OR(J32="",Inputs!$B$59=""),0,IFERROR(INDEX(Elements_hybrides!$F$4:$F$204,MATCH(J32,Elements_hybrides!$A$4:$A$204,0))/(Inputs!$B$59*60),0)))</f>
        <v/>
      </c>
      <c r="N32" s="9">
        <f>IF(A32="","",IF(L32="",Inputs!$B$14,L32)+M32)</f>
        <v/>
      </c>
    </row>
    <row r="33">
      <c r="A33" s="4" t="n"/>
      <c r="B33" s="4" t="n"/>
      <c r="C33" s="4" t="n"/>
      <c r="D33" s="7" t="n"/>
      <c r="E33" s="7" t="n"/>
      <c r="F33" s="8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8">
        <f>IF(A33="","",N33)</f>
        <v/>
      </c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  <c r="L33" s="5" t="n"/>
      <c r="M33" s="9">
        <f>IF(A33="","",IF(OR(J33="",Inputs!$B$59=""),0,IFERROR(INDEX(Elements_hybrides!$F$4:$F$204,MATCH(J33,Elements_hybrides!$A$4:$A$204,0))/(Inputs!$B$59*60),0)))</f>
        <v/>
      </c>
      <c r="N33" s="9">
        <f>IF(A33="","",IF(L33="",Inputs!$B$14,L33)+M33)</f>
        <v/>
      </c>
    </row>
    <row r="34">
      <c r="A34" s="4" t="n"/>
      <c r="B34" s="4" t="n"/>
      <c r="C34" s="4" t="n"/>
      <c r="D34" s="7" t="n"/>
      <c r="E34" s="7" t="n"/>
      <c r="F34" s="8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8">
        <f>IF(A34="","",N34)</f>
        <v/>
      </c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  <c r="L34" s="5" t="n"/>
      <c r="M34" s="9">
        <f>IF(A34="","",IF(OR(J34="",Inputs!$B$59=""),0,IFERROR(INDEX(Elements_hybrides!$F$4:$F$204,MATCH(J34,Elements_hybrides!$A$4:$A$204,0))/(Inputs!$B$59*60),0)))</f>
        <v/>
      </c>
      <c r="N34" s="9">
        <f>IF(A34="","",IF(L34="",Inputs!$B$14,L34)+M34)</f>
        <v/>
      </c>
    </row>
    <row r="35">
      <c r="A35" s="4" t="n"/>
      <c r="B35" s="4" t="n"/>
      <c r="C35" s="4" t="n"/>
      <c r="D35" s="7" t="n"/>
      <c r="E35" s="7" t="n"/>
      <c r="F35" s="8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8">
        <f>IF(A35="","",N35)</f>
        <v/>
      </c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  <c r="L35" s="5" t="n"/>
      <c r="M35" s="9">
        <f>IF(A35="","",IF(OR(J35="",Inputs!$B$59=""),0,IFERROR(INDEX(Elements_hybrides!$F$4:$F$204,MATCH(J35,Elements_hybrides!$A$4:$A$204,0))/(Inputs!$B$59*60),0)))</f>
        <v/>
      </c>
      <c r="N35" s="9">
        <f>IF(A35="","",IF(L35="",Inputs!$B$14,L35)+M35)</f>
        <v/>
      </c>
    </row>
    <row r="36">
      <c r="A36" s="4" t="n"/>
      <c r="B36" s="4" t="n"/>
      <c r="C36" s="4" t="n"/>
      <c r="D36" s="7" t="n"/>
      <c r="E36" s="7" t="n"/>
      <c r="F36" s="8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8">
        <f>IF(A36="","",N36)</f>
        <v/>
      </c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  <c r="L36" s="5" t="n"/>
      <c r="M36" s="9">
        <f>IF(A36="","",IF(OR(J36="",Inputs!$B$59=""),0,IFERROR(INDEX(Elements_hybrides!$F$4:$F$204,MATCH(J36,Elements_hybrides!$A$4:$A$204,0))/(Inputs!$B$59*60),0)))</f>
        <v/>
      </c>
      <c r="N36" s="9">
        <f>IF(A36="","",IF(L36="",Inputs!$B$14,L36)+M36)</f>
        <v/>
      </c>
    </row>
    <row r="37">
      <c r="A37" s="4" t="n"/>
      <c r="B37" s="4" t="n"/>
      <c r="C37" s="4" t="n"/>
      <c r="D37" s="7" t="n"/>
      <c r="E37" s="7" t="n"/>
      <c r="F37" s="8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8">
        <f>IF(A37="","",N37)</f>
        <v/>
      </c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  <c r="L37" s="5" t="n"/>
      <c r="M37" s="9">
        <f>IF(A37="","",IF(OR(J37="",Inputs!$B$59=""),0,IFERROR(INDEX(Elements_hybrides!$F$4:$F$204,MATCH(J37,Elements_hybrides!$A$4:$A$204,0))/(Inputs!$B$59*60),0)))</f>
        <v/>
      </c>
      <c r="N37" s="9">
        <f>IF(A37="","",IF(L37="",Inputs!$B$14,L37)+M37)</f>
        <v/>
      </c>
    </row>
    <row r="38">
      <c r="A38" s="4" t="n"/>
      <c r="B38" s="4" t="n"/>
      <c r="C38" s="4" t="n"/>
      <c r="D38" s="7" t="n"/>
      <c r="E38" s="7" t="n"/>
      <c r="F38" s="8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8">
        <f>IF(A38="","",N38)</f>
        <v/>
      </c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  <c r="L38" s="5" t="n"/>
      <c r="M38" s="9">
        <f>IF(A38="","",IF(OR(J38="",Inputs!$B$59=""),0,IFERROR(INDEX(Elements_hybrides!$F$4:$F$204,MATCH(J38,Elements_hybrides!$A$4:$A$204,0))/(Inputs!$B$59*60),0)))</f>
        <v/>
      </c>
      <c r="N38" s="9">
        <f>IF(A38="","",IF(L38="",Inputs!$B$14,L38)+M38)</f>
        <v/>
      </c>
    </row>
    <row r="39">
      <c r="A39" s="4" t="n"/>
      <c r="B39" s="4" t="n"/>
      <c r="C39" s="4" t="n"/>
      <c r="D39" s="7" t="n"/>
      <c r="E39" s="7" t="n"/>
      <c r="F39" s="8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8">
        <f>IF(A39="","",N39)</f>
        <v/>
      </c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  <c r="L39" s="5" t="n"/>
      <c r="M39" s="9">
        <f>IF(A39="","",IF(OR(J39="",Inputs!$B$59=""),0,IFERROR(INDEX(Elements_hybrides!$F$4:$F$204,MATCH(J39,Elements_hybrides!$A$4:$A$204,0))/(Inputs!$B$59*60),0)))</f>
        <v/>
      </c>
      <c r="N39" s="9">
        <f>IF(A39="","",IF(L39="",Inputs!$B$14,L39)+M39)</f>
        <v/>
      </c>
    </row>
    <row r="40">
      <c r="A40" s="4" t="n"/>
      <c r="B40" s="4" t="n"/>
      <c r="C40" s="4" t="n"/>
      <c r="D40" s="7" t="n"/>
      <c r="E40" s="7" t="n"/>
      <c r="F40" s="8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8">
        <f>IF(A40="","",N40)</f>
        <v/>
      </c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  <c r="L40" s="5" t="n"/>
      <c r="M40" s="9">
        <f>IF(A40="","",IF(OR(J40="",Inputs!$B$59=""),0,IFERROR(INDEX(Elements_hybrides!$F$4:$F$204,MATCH(J40,Elements_hybrides!$A$4:$A$204,0))/(Inputs!$B$59*60),0)))</f>
        <v/>
      </c>
      <c r="N40" s="9">
        <f>IF(A40="","",IF(L40="",Inputs!$B$14,L40)+M40)</f>
        <v/>
      </c>
    </row>
    <row r="41">
      <c r="A41" s="4" t="n"/>
      <c r="B41" s="4" t="n"/>
      <c r="C41" s="4" t="n"/>
      <c r="D41" s="7" t="n"/>
      <c r="E41" s="7" t="n"/>
      <c r="F41" s="8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8">
        <f>IF(A41="","",N41)</f>
        <v/>
      </c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  <c r="L41" s="5" t="n"/>
      <c r="M41" s="9">
        <f>IF(A41="","",IF(OR(J41="",Inputs!$B$59=""),0,IFERROR(INDEX(Elements_hybrides!$F$4:$F$204,MATCH(J41,Elements_hybrides!$A$4:$A$204,0))/(Inputs!$B$59*60),0)))</f>
        <v/>
      </c>
      <c r="N41" s="9">
        <f>IF(A41="","",IF(L41="",Inputs!$B$14,L41)+M41)</f>
        <v/>
      </c>
    </row>
    <row r="42">
      <c r="A42" s="4" t="n"/>
      <c r="B42" s="4" t="n"/>
      <c r="C42" s="4" t="n"/>
      <c r="D42" s="7" t="n"/>
      <c r="E42" s="7" t="n"/>
      <c r="F42" s="8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8">
        <f>IF(A42="","",N42)</f>
        <v/>
      </c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  <c r="L42" s="5" t="n"/>
      <c r="M42" s="9">
        <f>IF(A42="","",IF(OR(J42="",Inputs!$B$59=""),0,IFERROR(INDEX(Elements_hybrides!$F$4:$F$204,MATCH(J42,Elements_hybrides!$A$4:$A$204,0))/(Inputs!$B$59*60),0)))</f>
        <v/>
      </c>
      <c r="N42" s="9">
        <f>IF(A42="","",IF(L42="",Inputs!$B$14,L42)+M42)</f>
        <v/>
      </c>
    </row>
    <row r="43">
      <c r="A43" s="4" t="n"/>
      <c r="B43" s="4" t="n"/>
      <c r="C43" s="4" t="n"/>
      <c r="D43" s="7" t="n"/>
      <c r="E43" s="7" t="n"/>
      <c r="F43" s="8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8">
        <f>IF(A43="","",N43)</f>
        <v/>
      </c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  <c r="L43" s="5" t="n"/>
      <c r="M43" s="9">
        <f>IF(A43="","",IF(OR(J43="",Inputs!$B$59=""),0,IFERROR(INDEX(Elements_hybrides!$F$4:$F$204,MATCH(J43,Elements_hybrides!$A$4:$A$204,0))/(Inputs!$B$59*60),0)))</f>
        <v/>
      </c>
      <c r="N43" s="9">
        <f>IF(A43="","",IF(L43="",Inputs!$B$14,L43)+M43)</f>
        <v/>
      </c>
    </row>
    <row r="44">
      <c r="A44" s="4" t="n"/>
      <c r="B44" s="4" t="n"/>
      <c r="C44" s="4" t="n"/>
      <c r="D44" s="7" t="n"/>
      <c r="E44" s="7" t="n"/>
      <c r="F44" s="8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8">
        <f>IF(A44="","",N44)</f>
        <v/>
      </c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  <c r="L44" s="5" t="n"/>
      <c r="M44" s="9">
        <f>IF(A44="","",IF(OR(J44="",Inputs!$B$59=""),0,IFERROR(INDEX(Elements_hybrides!$F$4:$F$204,MATCH(J44,Elements_hybrides!$A$4:$A$204,0))/(Inputs!$B$59*60),0)))</f>
        <v/>
      </c>
      <c r="N44" s="9">
        <f>IF(A44="","",IF(L44="",Inputs!$B$14,L44)+M44)</f>
        <v/>
      </c>
    </row>
    <row r="45">
      <c r="A45" s="4" t="n"/>
      <c r="B45" s="4" t="n"/>
      <c r="C45" s="4" t="n"/>
      <c r="D45" s="7" t="n"/>
      <c r="E45" s="7" t="n"/>
      <c r="F45" s="8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8">
        <f>IF(A45="","",N45)</f>
        <v/>
      </c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  <c r="L45" s="5" t="n"/>
      <c r="M45" s="9">
        <f>IF(A45="","",IF(OR(J45="",Inputs!$B$59=""),0,IFERROR(INDEX(Elements_hybrides!$F$4:$F$204,MATCH(J45,Elements_hybrides!$A$4:$A$204,0))/(Inputs!$B$59*60),0)))</f>
        <v/>
      </c>
      <c r="N45" s="9">
        <f>IF(A45="","",IF(L45="",Inputs!$B$14,L45)+M45)</f>
        <v/>
      </c>
    </row>
    <row r="46">
      <c r="A46" s="4" t="n"/>
      <c r="B46" s="4" t="n"/>
      <c r="C46" s="4" t="n"/>
      <c r="D46" s="7" t="n"/>
      <c r="E46" s="7" t="n"/>
      <c r="F46" s="8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8">
        <f>IF(A46="","",N46)</f>
        <v/>
      </c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  <c r="L46" s="5" t="n"/>
      <c r="M46" s="9">
        <f>IF(A46="","",IF(OR(J46="",Inputs!$B$59=""),0,IFERROR(INDEX(Elements_hybrides!$F$4:$F$204,MATCH(J46,Elements_hybrides!$A$4:$A$204,0))/(Inputs!$B$59*60),0)))</f>
        <v/>
      </c>
      <c r="N46" s="9">
        <f>IF(A46="","",IF(L46="",Inputs!$B$14,L46)+M46)</f>
        <v/>
      </c>
    </row>
    <row r="47">
      <c r="A47" s="4" t="n"/>
      <c r="B47" s="4" t="n"/>
      <c r="C47" s="4" t="n"/>
      <c r="D47" s="7" t="n"/>
      <c r="E47" s="7" t="n"/>
      <c r="F47" s="8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8">
        <f>IF(A47="","",N47)</f>
        <v/>
      </c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  <c r="L47" s="5" t="n"/>
      <c r="M47" s="9">
        <f>IF(A47="","",IF(OR(J47="",Inputs!$B$59=""),0,IFERROR(INDEX(Elements_hybrides!$F$4:$F$204,MATCH(J47,Elements_hybrides!$A$4:$A$204,0))/(Inputs!$B$59*60),0)))</f>
        <v/>
      </c>
      <c r="N47" s="9">
        <f>IF(A47="","",IF(L47="",Inputs!$B$14,L47)+M47)</f>
        <v/>
      </c>
    </row>
    <row r="48">
      <c r="A48" s="4" t="n"/>
      <c r="B48" s="4" t="n"/>
      <c r="C48" s="4" t="n"/>
      <c r="D48" s="7" t="n"/>
      <c r="E48" s="7" t="n"/>
      <c r="F48" s="8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8">
        <f>IF(A48="","",N48)</f>
        <v/>
      </c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  <c r="L48" s="5" t="n"/>
      <c r="M48" s="9">
        <f>IF(A48="","",IF(OR(J48="",Inputs!$B$59=""),0,IFERROR(INDEX(Elements_hybrides!$F$4:$F$204,MATCH(J48,Elements_hybrides!$A$4:$A$204,0))/(Inputs!$B$59*60),0)))</f>
        <v/>
      </c>
      <c r="N48" s="9">
        <f>IF(A48="","",IF(L48="",Inputs!$B$14,L48)+M48)</f>
        <v/>
      </c>
    </row>
    <row r="49">
      <c r="A49" s="4" t="n"/>
      <c r="B49" s="4" t="n"/>
      <c r="C49" s="4" t="n"/>
      <c r="D49" s="7" t="n"/>
      <c r="E49" s="7" t="n"/>
      <c r="F49" s="8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8">
        <f>IF(A49="","",N49)</f>
        <v/>
      </c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  <c r="L49" s="5" t="n"/>
      <c r="M49" s="9">
        <f>IF(A49="","",IF(OR(J49="",Inputs!$B$59=""),0,IFERROR(INDEX(Elements_hybrides!$F$4:$F$204,MATCH(J49,Elements_hybrides!$A$4:$A$204,0))/(Inputs!$B$59*60),0)))</f>
        <v/>
      </c>
      <c r="N49" s="9">
        <f>IF(A49="","",IF(L49="",Inputs!$B$14,L49)+M49)</f>
        <v/>
      </c>
    </row>
    <row r="50">
      <c r="A50" s="4" t="n"/>
      <c r="B50" s="4" t="n"/>
      <c r="C50" s="4" t="n"/>
      <c r="D50" s="7" t="n"/>
      <c r="E50" s="7" t="n"/>
      <c r="F50" s="8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8">
        <f>IF(A50="","",N50)</f>
        <v/>
      </c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  <c r="L50" s="5" t="n"/>
      <c r="M50" s="9">
        <f>IF(A50="","",IF(OR(J50="",Inputs!$B$59=""),0,IFERROR(INDEX(Elements_hybrides!$F$4:$F$204,MATCH(J50,Elements_hybrides!$A$4:$A$204,0))/(Inputs!$B$59*60),0)))</f>
        <v/>
      </c>
      <c r="N50" s="9">
        <f>IF(A50="","",IF(L50="",Inputs!$B$14,L50)+M50)</f>
        <v/>
      </c>
    </row>
    <row r="51">
      <c r="A51" s="4" t="n"/>
      <c r="B51" s="4" t="n"/>
      <c r="C51" s="4" t="n"/>
      <c r="D51" s="7" t="n"/>
      <c r="E51" s="7" t="n"/>
      <c r="F51" s="8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8">
        <f>IF(A51="","",N51)</f>
        <v/>
      </c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  <c r="L51" s="5" t="n"/>
      <c r="M51" s="9">
        <f>IF(A51="","",IF(OR(J51="",Inputs!$B$59=""),0,IFERROR(INDEX(Elements_hybrides!$F$4:$F$204,MATCH(J51,Elements_hybrides!$A$4:$A$204,0))/(Inputs!$B$59*60),0)))</f>
        <v/>
      </c>
      <c r="N51" s="9">
        <f>IF(A51="","",IF(L51="",Inputs!$B$14,L51)+M51)</f>
        <v/>
      </c>
    </row>
    <row r="52">
      <c r="A52" s="4" t="n"/>
      <c r="B52" s="4" t="n"/>
      <c r="C52" s="4" t="n"/>
      <c r="D52" s="7" t="n"/>
      <c r="E52" s="7" t="n"/>
      <c r="F52" s="8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8">
        <f>IF(A52="","",N52)</f>
        <v/>
      </c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  <c r="L52" s="5" t="n"/>
      <c r="M52" s="9">
        <f>IF(A52="","",IF(OR(J52="",Inputs!$B$59=""),0,IFERROR(INDEX(Elements_hybrides!$F$4:$F$204,MATCH(J52,Elements_hybrides!$A$4:$A$204,0))/(Inputs!$B$59*60),0)))</f>
        <v/>
      </c>
      <c r="N52" s="9">
        <f>IF(A52="","",IF(L52="",Inputs!$B$14,L52)+M52)</f>
        <v/>
      </c>
    </row>
    <row r="53">
      <c r="A53" s="4" t="n"/>
      <c r="B53" s="4" t="n"/>
      <c r="C53" s="4" t="n"/>
      <c r="D53" s="7" t="n"/>
      <c r="E53" s="7" t="n"/>
      <c r="F53" s="8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8">
        <f>IF(A53="","",N53)</f>
        <v/>
      </c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  <c r="L53" s="5" t="n"/>
      <c r="M53" s="9">
        <f>IF(A53="","",IF(OR(J53="",Inputs!$B$59=""),0,IFERROR(INDEX(Elements_hybrides!$F$4:$F$204,MATCH(J53,Elements_hybrides!$A$4:$A$204,0))/(Inputs!$B$59*60),0)))</f>
        <v/>
      </c>
      <c r="N53" s="9">
        <f>IF(A53="","",IF(L53="",Inputs!$B$14,L53)+M53)</f>
        <v/>
      </c>
    </row>
    <row r="54">
      <c r="A54" s="4" t="n"/>
      <c r="B54" s="4" t="n"/>
      <c r="C54" s="4" t="n"/>
      <c r="D54" s="7" t="n"/>
      <c r="E54" s="7" t="n"/>
      <c r="F54" s="8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8">
        <f>IF(A54="","",N54)</f>
        <v/>
      </c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  <c r="L54" s="5" t="n"/>
      <c r="M54" s="9">
        <f>IF(A54="","",IF(OR(J54="",Inputs!$B$59=""),0,IFERROR(INDEX(Elements_hybrides!$F$4:$F$204,MATCH(J54,Elements_hybrides!$A$4:$A$204,0))/(Inputs!$B$59*60),0)))</f>
        <v/>
      </c>
      <c r="N54" s="9">
        <f>IF(A54="","",IF(L54="",Inputs!$B$14,L54)+M54)</f>
        <v/>
      </c>
    </row>
    <row r="55">
      <c r="A55" s="4" t="n"/>
      <c r="B55" s="4" t="n"/>
      <c r="C55" s="4" t="n"/>
      <c r="D55" s="7" t="n"/>
      <c r="E55" s="7" t="n"/>
      <c r="F55" s="8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8">
        <f>IF(A55="","",N55)</f>
        <v/>
      </c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  <c r="L55" s="5" t="n"/>
      <c r="M55" s="9">
        <f>IF(A55="","",IF(OR(J55="",Inputs!$B$59=""),0,IFERROR(INDEX(Elements_hybrides!$F$4:$F$204,MATCH(J55,Elements_hybrides!$A$4:$A$204,0))/(Inputs!$B$59*60),0)))</f>
        <v/>
      </c>
      <c r="N55" s="9">
        <f>IF(A55="","",IF(L55="",Inputs!$B$14,L55)+M55)</f>
        <v/>
      </c>
    </row>
    <row r="56">
      <c r="A56" s="4" t="n"/>
      <c r="B56" s="4" t="n"/>
      <c r="C56" s="4" t="n"/>
      <c r="D56" s="7" t="n"/>
      <c r="E56" s="7" t="n"/>
      <c r="F56" s="8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8">
        <f>IF(A56="","",N56)</f>
        <v/>
      </c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  <c r="L56" s="5" t="n"/>
      <c r="M56" s="9">
        <f>IF(A56="","",IF(OR(J56="",Inputs!$B$59=""),0,IFERROR(INDEX(Elements_hybrides!$F$4:$F$204,MATCH(J56,Elements_hybrides!$A$4:$A$204,0))/(Inputs!$B$59*60),0)))</f>
        <v/>
      </c>
      <c r="N56" s="9">
        <f>IF(A56="","",IF(L56="",Inputs!$B$14,L56)+M56)</f>
        <v/>
      </c>
    </row>
    <row r="57">
      <c r="A57" s="4" t="n"/>
      <c r="B57" s="4" t="n"/>
      <c r="C57" s="4" t="n"/>
      <c r="D57" s="7" t="n"/>
      <c r="E57" s="7" t="n"/>
      <c r="F57" s="8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8">
        <f>IF(A57="","",N57)</f>
        <v/>
      </c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  <c r="L57" s="5" t="n"/>
      <c r="M57" s="9">
        <f>IF(A57="","",IF(OR(J57="",Inputs!$B$59=""),0,IFERROR(INDEX(Elements_hybrides!$F$4:$F$204,MATCH(J57,Elements_hybrides!$A$4:$A$204,0))/(Inputs!$B$59*60),0)))</f>
        <v/>
      </c>
      <c r="N57" s="9">
        <f>IF(A57="","",IF(L57="",Inputs!$B$14,L57)+M57)</f>
        <v/>
      </c>
    </row>
    <row r="58">
      <c r="A58" s="4" t="n"/>
      <c r="B58" s="4" t="n"/>
      <c r="C58" s="4" t="n"/>
      <c r="D58" s="7" t="n"/>
      <c r="E58" s="7" t="n"/>
      <c r="F58" s="8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8">
        <f>IF(A58="","",N58)</f>
        <v/>
      </c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  <c r="L58" s="5" t="n"/>
      <c r="M58" s="9">
        <f>IF(A58="","",IF(OR(J58="",Inputs!$B$59=""),0,IFERROR(INDEX(Elements_hybrides!$F$4:$F$204,MATCH(J58,Elements_hybrides!$A$4:$A$204,0))/(Inputs!$B$59*60),0)))</f>
        <v/>
      </c>
      <c r="N58" s="9">
        <f>IF(A58="","",IF(L58="",Inputs!$B$14,L58)+M58)</f>
        <v/>
      </c>
    </row>
    <row r="59">
      <c r="A59" s="4" t="n"/>
      <c r="B59" s="4" t="n"/>
      <c r="C59" s="4" t="n"/>
      <c r="D59" s="7" t="n"/>
      <c r="E59" s="7" t="n"/>
      <c r="F59" s="8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8">
        <f>IF(A59="","",N59)</f>
        <v/>
      </c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  <c r="L59" s="5" t="n"/>
      <c r="M59" s="9">
        <f>IF(A59="","",IF(OR(J59="",Inputs!$B$59=""),0,IFERROR(INDEX(Elements_hybrides!$F$4:$F$204,MATCH(J59,Elements_hybrides!$A$4:$A$204,0))/(Inputs!$B$59*60),0)))</f>
        <v/>
      </c>
      <c r="N59" s="9">
        <f>IF(A59="","",IF(L59="",Inputs!$B$14,L59)+M59)</f>
        <v/>
      </c>
    </row>
    <row r="60">
      <c r="A60" s="4" t="n"/>
      <c r="B60" s="4" t="n"/>
      <c r="C60" s="4" t="n"/>
      <c r="D60" s="7" t="n"/>
      <c r="E60" s="7" t="n"/>
      <c r="F60" s="8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8">
        <f>IF(A60="","",N60)</f>
        <v/>
      </c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  <c r="L60" s="5" t="n"/>
      <c r="M60" s="9">
        <f>IF(A60="","",IF(OR(J60="",Inputs!$B$59=""),0,IFERROR(INDEX(Elements_hybrides!$F$4:$F$204,MATCH(J60,Elements_hybrides!$A$4:$A$204,0))/(Inputs!$B$59*60),0)))</f>
        <v/>
      </c>
      <c r="N60" s="9">
        <f>IF(A60="","",IF(L60="",Inputs!$B$14,L60)+M60)</f>
        <v/>
      </c>
    </row>
    <row r="61">
      <c r="A61" s="4" t="n"/>
      <c r="B61" s="4" t="n"/>
      <c r="C61" s="4" t="n"/>
      <c r="D61" s="7" t="n"/>
      <c r="E61" s="7" t="n"/>
      <c r="F61" s="8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8">
        <f>IF(A61="","",N61)</f>
        <v/>
      </c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  <c r="L61" s="5" t="n"/>
      <c r="M61" s="9">
        <f>IF(A61="","",IF(OR(J61="",Inputs!$B$59=""),0,IFERROR(INDEX(Elements_hybrides!$F$4:$F$204,MATCH(J61,Elements_hybrides!$A$4:$A$204,0))/(Inputs!$B$59*60),0)))</f>
        <v/>
      </c>
      <c r="N61" s="9">
        <f>IF(A61="","",IF(L61="",Inputs!$B$14,L61)+M61)</f>
        <v/>
      </c>
    </row>
    <row r="62">
      <c r="A62" s="4" t="n"/>
      <c r="B62" s="4" t="n"/>
      <c r="C62" s="4" t="n"/>
      <c r="D62" s="7" t="n"/>
      <c r="E62" s="7" t="n"/>
      <c r="F62" s="8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8">
        <f>IF(A62="","",N62)</f>
        <v/>
      </c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  <c r="L62" s="5" t="n"/>
      <c r="M62" s="9">
        <f>IF(A62="","",IF(OR(J62="",Inputs!$B$59=""),0,IFERROR(INDEX(Elements_hybrides!$F$4:$F$204,MATCH(J62,Elements_hybrides!$A$4:$A$204,0))/(Inputs!$B$59*60),0)))</f>
        <v/>
      </c>
      <c r="N62" s="9">
        <f>IF(A62="","",IF(L62="",Inputs!$B$14,L62)+M62)</f>
        <v/>
      </c>
    </row>
    <row r="63">
      <c r="A63" s="4" t="n"/>
      <c r="B63" s="4" t="n"/>
      <c r="C63" s="4" t="n"/>
      <c r="D63" s="7" t="n"/>
      <c r="E63" s="7" t="n"/>
      <c r="F63" s="8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8">
        <f>IF(A63="","",N63)</f>
        <v/>
      </c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  <c r="L63" s="5" t="n"/>
      <c r="M63" s="9">
        <f>IF(A63="","",IF(OR(J63="",Inputs!$B$59=""),0,IFERROR(INDEX(Elements_hybrides!$F$4:$F$204,MATCH(J63,Elements_hybrides!$A$4:$A$204,0))/(Inputs!$B$59*60),0)))</f>
        <v/>
      </c>
      <c r="N63" s="9">
        <f>IF(A63="","",IF(L63="",Inputs!$B$14,L63)+M63)</f>
        <v/>
      </c>
    </row>
    <row r="64">
      <c r="A64" s="4" t="n"/>
      <c r="B64" s="4" t="n"/>
      <c r="C64" s="4" t="n"/>
      <c r="D64" s="7" t="n"/>
      <c r="E64" s="7" t="n"/>
      <c r="F64" s="8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8">
        <f>IF(A64="","",N64)</f>
        <v/>
      </c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  <c r="L64" s="5" t="n"/>
      <c r="M64" s="9">
        <f>IF(A64="","",IF(OR(J64="",Inputs!$B$59=""),0,IFERROR(INDEX(Elements_hybrides!$F$4:$F$204,MATCH(J64,Elements_hybrides!$A$4:$A$204,0))/(Inputs!$B$59*60),0)))</f>
        <v/>
      </c>
      <c r="N64" s="9">
        <f>IF(A64="","",IF(L64="",Inputs!$B$14,L64)+M64)</f>
        <v/>
      </c>
    </row>
    <row r="65">
      <c r="A65" s="4" t="n"/>
      <c r="B65" s="4" t="n"/>
      <c r="C65" s="4" t="n"/>
      <c r="D65" s="7" t="n"/>
      <c r="E65" s="7" t="n"/>
      <c r="F65" s="8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8">
        <f>IF(A65="","",N65)</f>
        <v/>
      </c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  <c r="L65" s="5" t="n"/>
      <c r="M65" s="9">
        <f>IF(A65="","",IF(OR(J65="",Inputs!$B$59=""),0,IFERROR(INDEX(Elements_hybrides!$F$4:$F$204,MATCH(J65,Elements_hybrides!$A$4:$A$204,0))/(Inputs!$B$59*60),0)))</f>
        <v/>
      </c>
      <c r="N65" s="9">
        <f>IF(A65="","",IF(L65="",Inputs!$B$14,L65)+M65)</f>
        <v/>
      </c>
    </row>
    <row r="66">
      <c r="A66" s="4" t="n"/>
      <c r="B66" s="4" t="n"/>
      <c r="C66" s="4" t="n"/>
      <c r="D66" s="7" t="n"/>
      <c r="E66" s="7" t="n"/>
      <c r="F66" s="8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8">
        <f>IF(A66="","",N66)</f>
        <v/>
      </c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  <c r="L66" s="5" t="n"/>
      <c r="M66" s="9">
        <f>IF(A66="","",IF(OR(J66="",Inputs!$B$59=""),0,IFERROR(INDEX(Elements_hybrides!$F$4:$F$204,MATCH(J66,Elements_hybrides!$A$4:$A$204,0))/(Inputs!$B$59*60),0)))</f>
        <v/>
      </c>
      <c r="N66" s="9">
        <f>IF(A66="","",IF(L66="",Inputs!$B$14,L66)+M66)</f>
        <v/>
      </c>
    </row>
    <row r="67">
      <c r="A67" s="4" t="n"/>
      <c r="B67" s="4" t="n"/>
      <c r="C67" s="4" t="n"/>
      <c r="D67" s="7" t="n"/>
      <c r="E67" s="7" t="n"/>
      <c r="F67" s="8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8">
        <f>IF(A67="","",N67)</f>
        <v/>
      </c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  <c r="L67" s="5" t="n"/>
      <c r="M67" s="9">
        <f>IF(A67="","",IF(OR(J67="",Inputs!$B$59=""),0,IFERROR(INDEX(Elements_hybrides!$F$4:$F$204,MATCH(J67,Elements_hybrides!$A$4:$A$204,0))/(Inputs!$B$59*60),0)))</f>
        <v/>
      </c>
      <c r="N67" s="9">
        <f>IF(A67="","",IF(L67="",Inputs!$B$14,L67)+M67)</f>
        <v/>
      </c>
    </row>
    <row r="68">
      <c r="A68" s="4" t="n"/>
      <c r="B68" s="4" t="n"/>
      <c r="C68" s="4" t="n"/>
      <c r="D68" s="7" t="n"/>
      <c r="E68" s="7" t="n"/>
      <c r="F68" s="8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8">
        <f>IF(A68="","",N68)</f>
        <v/>
      </c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  <c r="L68" s="5" t="n"/>
      <c r="M68" s="9">
        <f>IF(A68="","",IF(OR(J68="",Inputs!$B$59=""),0,IFERROR(INDEX(Elements_hybrides!$F$4:$F$204,MATCH(J68,Elements_hybrides!$A$4:$A$204,0))/(Inputs!$B$59*60),0)))</f>
        <v/>
      </c>
      <c r="N68" s="9">
        <f>IF(A68="","",IF(L68="",Inputs!$B$14,L68)+M68)</f>
        <v/>
      </c>
    </row>
    <row r="69">
      <c r="A69" s="4" t="n"/>
      <c r="B69" s="4" t="n"/>
      <c r="C69" s="4" t="n"/>
      <c r="D69" s="7" t="n"/>
      <c r="E69" s="7" t="n"/>
      <c r="F69" s="8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8">
        <f>IF(A69="","",N69)</f>
        <v/>
      </c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  <c r="L69" s="5" t="n"/>
      <c r="M69" s="9">
        <f>IF(A69="","",IF(OR(J69="",Inputs!$B$59=""),0,IFERROR(INDEX(Elements_hybrides!$F$4:$F$204,MATCH(J69,Elements_hybrides!$A$4:$A$204,0))/(Inputs!$B$59*60),0)))</f>
        <v/>
      </c>
      <c r="N69" s="9">
        <f>IF(A69="","",IF(L69="",Inputs!$B$14,L69)+M69)</f>
        <v/>
      </c>
    </row>
    <row r="70">
      <c r="A70" s="4" t="n"/>
      <c r="B70" s="4" t="n"/>
      <c r="C70" s="4" t="n"/>
      <c r="D70" s="7" t="n"/>
      <c r="E70" s="7" t="n"/>
      <c r="F70" s="8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8">
        <f>IF(A70="","",N70)</f>
        <v/>
      </c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  <c r="L70" s="5" t="n"/>
      <c r="M70" s="9">
        <f>IF(A70="","",IF(OR(J70="",Inputs!$B$59=""),0,IFERROR(INDEX(Elements_hybrides!$F$4:$F$204,MATCH(J70,Elements_hybrides!$A$4:$A$204,0))/(Inputs!$B$59*60),0)))</f>
        <v/>
      </c>
      <c r="N70" s="9">
        <f>IF(A70="","",IF(L70="",Inputs!$B$14,L70)+M70)</f>
        <v/>
      </c>
    </row>
    <row r="71">
      <c r="A71" s="4" t="n"/>
      <c r="B71" s="4" t="n"/>
      <c r="C71" s="4" t="n"/>
      <c r="D71" s="7" t="n"/>
      <c r="E71" s="7" t="n"/>
      <c r="F71" s="8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8">
        <f>IF(A71="","",N71)</f>
        <v/>
      </c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  <c r="L71" s="5" t="n"/>
      <c r="M71" s="9">
        <f>IF(A71="","",IF(OR(J71="",Inputs!$B$59=""),0,IFERROR(INDEX(Elements_hybrides!$F$4:$F$204,MATCH(J71,Elements_hybrides!$A$4:$A$204,0))/(Inputs!$B$59*60),0)))</f>
        <v/>
      </c>
      <c r="N71" s="9">
        <f>IF(A71="","",IF(L71="",Inputs!$B$14,L71)+M71)</f>
        <v/>
      </c>
    </row>
    <row r="72">
      <c r="A72" s="4" t="n"/>
      <c r="B72" s="4" t="n"/>
      <c r="C72" s="4" t="n"/>
      <c r="D72" s="7" t="n"/>
      <c r="E72" s="7" t="n"/>
      <c r="F72" s="8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8">
        <f>IF(A72="","",N72)</f>
        <v/>
      </c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  <c r="L72" s="5" t="n"/>
      <c r="M72" s="9">
        <f>IF(A72="","",IF(OR(J72="",Inputs!$B$59=""),0,IFERROR(INDEX(Elements_hybrides!$F$4:$F$204,MATCH(J72,Elements_hybrides!$A$4:$A$204,0))/(Inputs!$B$59*60),0)))</f>
        <v/>
      </c>
      <c r="N72" s="9">
        <f>IF(A72="","",IF(L72="",Inputs!$B$14,L72)+M72)</f>
        <v/>
      </c>
    </row>
    <row r="73">
      <c r="A73" s="4" t="n"/>
      <c r="B73" s="4" t="n"/>
      <c r="C73" s="4" t="n"/>
      <c r="D73" s="7" t="n"/>
      <c r="E73" s="7" t="n"/>
      <c r="F73" s="8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8">
        <f>IF(A73="","",N73)</f>
        <v/>
      </c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  <c r="L73" s="5" t="n"/>
      <c r="M73" s="9">
        <f>IF(A73="","",IF(OR(J73="",Inputs!$B$59=""),0,IFERROR(INDEX(Elements_hybrides!$F$4:$F$204,MATCH(J73,Elements_hybrides!$A$4:$A$204,0))/(Inputs!$B$59*60),0)))</f>
        <v/>
      </c>
      <c r="N73" s="9">
        <f>IF(A73="","",IF(L73="",Inputs!$B$14,L73)+M73)</f>
        <v/>
      </c>
    </row>
    <row r="74">
      <c r="A74" s="4" t="n"/>
      <c r="B74" s="4" t="n"/>
      <c r="C74" s="4" t="n"/>
      <c r="D74" s="7" t="n"/>
      <c r="E74" s="7" t="n"/>
      <c r="F74" s="8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8">
        <f>IF(A74="","",N74)</f>
        <v/>
      </c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  <c r="L74" s="5" t="n"/>
      <c r="M74" s="9">
        <f>IF(A74="","",IF(OR(J74="",Inputs!$B$59=""),0,IFERROR(INDEX(Elements_hybrides!$F$4:$F$204,MATCH(J74,Elements_hybrides!$A$4:$A$204,0))/(Inputs!$B$59*60),0)))</f>
        <v/>
      </c>
      <c r="N74" s="9">
        <f>IF(A74="","",IF(L74="",Inputs!$B$14,L74)+M74)</f>
        <v/>
      </c>
    </row>
    <row r="75">
      <c r="A75" s="4" t="n"/>
      <c r="B75" s="4" t="n"/>
      <c r="C75" s="4" t="n"/>
      <c r="D75" s="7" t="n"/>
      <c r="E75" s="7" t="n"/>
      <c r="F75" s="8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8">
        <f>IF(A75="","",N75)</f>
        <v/>
      </c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  <c r="L75" s="5" t="n"/>
      <c r="M75" s="9">
        <f>IF(A75="","",IF(OR(J75="",Inputs!$B$59=""),0,IFERROR(INDEX(Elements_hybrides!$F$4:$F$204,MATCH(J75,Elements_hybrides!$A$4:$A$204,0))/(Inputs!$B$59*60),0)))</f>
        <v/>
      </c>
      <c r="N75" s="9">
        <f>IF(A75="","",IF(L75="",Inputs!$B$14,L75)+M75)</f>
        <v/>
      </c>
    </row>
    <row r="76">
      <c r="A76" s="4" t="n"/>
      <c r="B76" s="4" t="n"/>
      <c r="C76" s="4" t="n"/>
      <c r="D76" s="7" t="n"/>
      <c r="E76" s="7" t="n"/>
      <c r="F76" s="8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8">
        <f>IF(A76="","",N76)</f>
        <v/>
      </c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  <c r="L76" s="5" t="n"/>
      <c r="M76" s="9">
        <f>IF(A76="","",IF(OR(J76="",Inputs!$B$59=""),0,IFERROR(INDEX(Elements_hybrides!$F$4:$F$204,MATCH(J76,Elements_hybrides!$A$4:$A$204,0))/(Inputs!$B$59*60),0)))</f>
        <v/>
      </c>
      <c r="N76" s="9">
        <f>IF(A76="","",IF(L76="",Inputs!$B$14,L76)+M76)</f>
        <v/>
      </c>
    </row>
    <row r="77">
      <c r="A77" s="4" t="n"/>
      <c r="B77" s="4" t="n"/>
      <c r="C77" s="4" t="n"/>
      <c r="D77" s="7" t="n"/>
      <c r="E77" s="7" t="n"/>
      <c r="F77" s="8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8">
        <f>IF(A77="","",N77)</f>
        <v/>
      </c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  <c r="L77" s="5" t="n"/>
      <c r="M77" s="9">
        <f>IF(A77="","",IF(OR(J77="",Inputs!$B$59=""),0,IFERROR(INDEX(Elements_hybrides!$F$4:$F$204,MATCH(J77,Elements_hybrides!$A$4:$A$204,0))/(Inputs!$B$59*60),0)))</f>
        <v/>
      </c>
      <c r="N77" s="9">
        <f>IF(A77="","",IF(L77="",Inputs!$B$14,L77)+M77)</f>
        <v/>
      </c>
    </row>
    <row r="78">
      <c r="A78" s="4" t="n"/>
      <c r="B78" s="4" t="n"/>
      <c r="C78" s="4" t="n"/>
      <c r="D78" s="7" t="n"/>
      <c r="E78" s="7" t="n"/>
      <c r="F78" s="8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8">
        <f>IF(A78="","",N78)</f>
        <v/>
      </c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  <c r="L78" s="5" t="n"/>
      <c r="M78" s="9">
        <f>IF(A78="","",IF(OR(J78="",Inputs!$B$59=""),0,IFERROR(INDEX(Elements_hybrides!$F$4:$F$204,MATCH(J78,Elements_hybrides!$A$4:$A$204,0))/(Inputs!$B$59*60),0)))</f>
        <v/>
      </c>
      <c r="N78" s="9">
        <f>IF(A78="","",IF(L78="",Inputs!$B$14,L78)+M78)</f>
        <v/>
      </c>
    </row>
    <row r="79">
      <c r="A79" s="4" t="n"/>
      <c r="B79" s="4" t="n"/>
      <c r="C79" s="4" t="n"/>
      <c r="D79" s="7" t="n"/>
      <c r="E79" s="7" t="n"/>
      <c r="F79" s="8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8">
        <f>IF(A79="","",N79)</f>
        <v/>
      </c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  <c r="L79" s="5" t="n"/>
      <c r="M79" s="9">
        <f>IF(A79="","",IF(OR(J79="",Inputs!$B$59=""),0,IFERROR(INDEX(Elements_hybrides!$F$4:$F$204,MATCH(J79,Elements_hybrides!$A$4:$A$204,0))/(Inputs!$B$59*60),0)))</f>
        <v/>
      </c>
      <c r="N79" s="9">
        <f>IF(A79="","",IF(L79="",Inputs!$B$14,L79)+M79)</f>
        <v/>
      </c>
    </row>
    <row r="80">
      <c r="A80" s="4" t="n"/>
      <c r="B80" s="4" t="n"/>
      <c r="C80" s="4" t="n"/>
      <c r="D80" s="7" t="n"/>
      <c r="E80" s="7" t="n"/>
      <c r="F80" s="8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8">
        <f>IF(A80="","",N80)</f>
        <v/>
      </c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  <c r="L80" s="5" t="n"/>
      <c r="M80" s="9">
        <f>IF(A80="","",IF(OR(J80="",Inputs!$B$59=""),0,IFERROR(INDEX(Elements_hybrides!$F$4:$F$204,MATCH(J80,Elements_hybrides!$A$4:$A$204,0))/(Inputs!$B$59*60),0)))</f>
        <v/>
      </c>
      <c r="N80" s="9">
        <f>IF(A80="","",IF(L80="",Inputs!$B$14,L80)+M80)</f>
        <v/>
      </c>
    </row>
    <row r="81">
      <c r="A81" s="4" t="n"/>
      <c r="B81" s="4" t="n"/>
      <c r="C81" s="4" t="n"/>
      <c r="D81" s="7" t="n"/>
      <c r="E81" s="7" t="n"/>
      <c r="F81" s="8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8">
        <f>IF(A81="","",N81)</f>
        <v/>
      </c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  <c r="L81" s="5" t="n"/>
      <c r="M81" s="9">
        <f>IF(A81="","",IF(OR(J81="",Inputs!$B$59=""),0,IFERROR(INDEX(Elements_hybrides!$F$4:$F$204,MATCH(J81,Elements_hybrides!$A$4:$A$204,0))/(Inputs!$B$59*60),0)))</f>
        <v/>
      </c>
      <c r="N81" s="9">
        <f>IF(A81="","",IF(L81="",Inputs!$B$14,L81)+M81)</f>
        <v/>
      </c>
    </row>
    <row r="82">
      <c r="A82" s="4" t="n"/>
      <c r="B82" s="4" t="n"/>
      <c r="C82" s="4" t="n"/>
      <c r="D82" s="7" t="n"/>
      <c r="E82" s="7" t="n"/>
      <c r="F82" s="8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8">
        <f>IF(A82="","",N82)</f>
        <v/>
      </c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  <c r="L82" s="5" t="n"/>
      <c r="M82" s="9">
        <f>IF(A82="","",IF(OR(J82="",Inputs!$B$59=""),0,IFERROR(INDEX(Elements_hybrides!$F$4:$F$204,MATCH(J82,Elements_hybrides!$A$4:$A$204,0))/(Inputs!$B$59*60),0)))</f>
        <v/>
      </c>
      <c r="N82" s="9">
        <f>IF(A82="","",IF(L82="",Inputs!$B$14,L82)+M82)</f>
        <v/>
      </c>
    </row>
    <row r="83">
      <c r="A83" s="4" t="n"/>
      <c r="B83" s="4" t="n"/>
      <c r="C83" s="4" t="n"/>
      <c r="D83" s="7" t="n"/>
      <c r="E83" s="7" t="n"/>
      <c r="F83" s="8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8">
        <f>IF(A83="","",N83)</f>
        <v/>
      </c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  <c r="L83" s="5" t="n"/>
      <c r="M83" s="9">
        <f>IF(A83="","",IF(OR(J83="",Inputs!$B$59=""),0,IFERROR(INDEX(Elements_hybrides!$F$4:$F$204,MATCH(J83,Elements_hybrides!$A$4:$A$204,0))/(Inputs!$B$59*60),0)))</f>
        <v/>
      </c>
      <c r="N83" s="9">
        <f>IF(A83="","",IF(L83="",Inputs!$B$14,L83)+M83)</f>
        <v/>
      </c>
    </row>
    <row r="84">
      <c r="A84" s="4" t="n"/>
      <c r="B84" s="4" t="n"/>
      <c r="C84" s="4" t="n"/>
      <c r="D84" s="7" t="n"/>
      <c r="E84" s="7" t="n"/>
      <c r="F84" s="8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8">
        <f>IF(A84="","",N84)</f>
        <v/>
      </c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  <c r="L84" s="5" t="n"/>
      <c r="M84" s="9">
        <f>IF(A84="","",IF(OR(J84="",Inputs!$B$59=""),0,IFERROR(INDEX(Elements_hybrides!$F$4:$F$204,MATCH(J84,Elements_hybrides!$A$4:$A$204,0))/(Inputs!$B$59*60),0)))</f>
        <v/>
      </c>
      <c r="N84" s="9">
        <f>IF(A84="","",IF(L84="",Inputs!$B$14,L84)+M84)</f>
        <v/>
      </c>
    </row>
    <row r="85">
      <c r="A85" s="4" t="n"/>
      <c r="B85" s="4" t="n"/>
      <c r="C85" s="4" t="n"/>
      <c r="D85" s="7" t="n"/>
      <c r="E85" s="7" t="n"/>
      <c r="F85" s="8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8">
        <f>IF(A85="","",N85)</f>
        <v/>
      </c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  <c r="L85" s="5" t="n"/>
      <c r="M85" s="9">
        <f>IF(A85="","",IF(OR(J85="",Inputs!$B$59=""),0,IFERROR(INDEX(Elements_hybrides!$F$4:$F$204,MATCH(J85,Elements_hybrides!$A$4:$A$204,0))/(Inputs!$B$59*60),0)))</f>
        <v/>
      </c>
      <c r="N85" s="9">
        <f>IF(A85="","",IF(L85="",Inputs!$B$14,L85)+M85)</f>
        <v/>
      </c>
    </row>
    <row r="86">
      <c r="A86" s="4" t="n"/>
      <c r="B86" s="4" t="n"/>
      <c r="C86" s="4" t="n"/>
      <c r="D86" s="7" t="n"/>
      <c r="E86" s="7" t="n"/>
      <c r="F86" s="8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8">
        <f>IF(A86="","",N86)</f>
        <v/>
      </c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  <c r="L86" s="5" t="n"/>
      <c r="M86" s="9">
        <f>IF(A86="","",IF(OR(J86="",Inputs!$B$59=""),0,IFERROR(INDEX(Elements_hybrides!$F$4:$F$204,MATCH(J86,Elements_hybrides!$A$4:$A$204,0))/(Inputs!$B$59*60),0)))</f>
        <v/>
      </c>
      <c r="N86" s="9">
        <f>IF(A86="","",IF(L86="",Inputs!$B$14,L86)+M86)</f>
        <v/>
      </c>
    </row>
    <row r="87">
      <c r="A87" s="4" t="n"/>
      <c r="B87" s="4" t="n"/>
      <c r="C87" s="4" t="n"/>
      <c r="D87" s="7" t="n"/>
      <c r="E87" s="7" t="n"/>
      <c r="F87" s="8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8">
        <f>IF(A87="","",N87)</f>
        <v/>
      </c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  <c r="L87" s="5" t="n"/>
      <c r="M87" s="9">
        <f>IF(A87="","",IF(OR(J87="",Inputs!$B$59=""),0,IFERROR(INDEX(Elements_hybrides!$F$4:$F$204,MATCH(J87,Elements_hybrides!$A$4:$A$204,0))/(Inputs!$B$59*60),0)))</f>
        <v/>
      </c>
      <c r="N87" s="9">
        <f>IF(A87="","",IF(L87="",Inputs!$B$14,L87)+M87)</f>
        <v/>
      </c>
    </row>
    <row r="88">
      <c r="A88" s="4" t="n"/>
      <c r="B88" s="4" t="n"/>
      <c r="C88" s="4" t="n"/>
      <c r="D88" s="7" t="n"/>
      <c r="E88" s="7" t="n"/>
      <c r="F88" s="8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8">
        <f>IF(A88="","",N88)</f>
        <v/>
      </c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  <c r="L88" s="5" t="n"/>
      <c r="M88" s="9">
        <f>IF(A88="","",IF(OR(J88="",Inputs!$B$59=""),0,IFERROR(INDEX(Elements_hybrides!$F$4:$F$204,MATCH(J88,Elements_hybrides!$A$4:$A$204,0))/(Inputs!$B$59*60),0)))</f>
        <v/>
      </c>
      <c r="N88" s="9">
        <f>IF(A88="","",IF(L88="",Inputs!$B$14,L88)+M88)</f>
        <v/>
      </c>
    </row>
    <row r="89">
      <c r="A89" s="4" t="n"/>
      <c r="B89" s="4" t="n"/>
      <c r="C89" s="4" t="n"/>
      <c r="D89" s="7" t="n"/>
      <c r="E89" s="7" t="n"/>
      <c r="F89" s="8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8">
        <f>IF(A89="","",N89)</f>
        <v/>
      </c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  <c r="L89" s="5" t="n"/>
      <c r="M89" s="9">
        <f>IF(A89="","",IF(OR(J89="",Inputs!$B$59=""),0,IFERROR(INDEX(Elements_hybrides!$F$4:$F$204,MATCH(J89,Elements_hybrides!$A$4:$A$204,0))/(Inputs!$B$59*60),0)))</f>
        <v/>
      </c>
      <c r="N89" s="9">
        <f>IF(A89="","",IF(L89="",Inputs!$B$14,L89)+M89)</f>
        <v/>
      </c>
    </row>
    <row r="90">
      <c r="A90" s="4" t="n"/>
      <c r="B90" s="4" t="n"/>
      <c r="C90" s="4" t="n"/>
      <c r="D90" s="7" t="n"/>
      <c r="E90" s="7" t="n"/>
      <c r="F90" s="8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8">
        <f>IF(A90="","",N90)</f>
        <v/>
      </c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  <c r="L90" s="5" t="n"/>
      <c r="M90" s="9">
        <f>IF(A90="","",IF(OR(J90="",Inputs!$B$59=""),0,IFERROR(INDEX(Elements_hybrides!$F$4:$F$204,MATCH(J90,Elements_hybrides!$A$4:$A$204,0))/(Inputs!$B$59*60),0)))</f>
        <v/>
      </c>
      <c r="N90" s="9">
        <f>IF(A90="","",IF(L90="",Inputs!$B$14,L90)+M90)</f>
        <v/>
      </c>
    </row>
    <row r="91">
      <c r="A91" s="4" t="n"/>
      <c r="B91" s="4" t="n"/>
      <c r="C91" s="4" t="n"/>
      <c r="D91" s="7" t="n"/>
      <c r="E91" s="7" t="n"/>
      <c r="F91" s="8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8">
        <f>IF(A91="","",N91)</f>
        <v/>
      </c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  <c r="L91" s="5" t="n"/>
      <c r="M91" s="9">
        <f>IF(A91="","",IF(OR(J91="",Inputs!$B$59=""),0,IFERROR(INDEX(Elements_hybrides!$F$4:$F$204,MATCH(J91,Elements_hybrides!$A$4:$A$204,0))/(Inputs!$B$59*60),0)))</f>
        <v/>
      </c>
      <c r="N91" s="9">
        <f>IF(A91="","",IF(L91="",Inputs!$B$14,L91)+M91)</f>
        <v/>
      </c>
    </row>
    <row r="92">
      <c r="A92" s="4" t="n"/>
      <c r="B92" s="4" t="n"/>
      <c r="C92" s="4" t="n"/>
      <c r="D92" s="7" t="n"/>
      <c r="E92" s="7" t="n"/>
      <c r="F92" s="8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8">
        <f>IF(A92="","",N92)</f>
        <v/>
      </c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  <c r="L92" s="5" t="n"/>
      <c r="M92" s="9">
        <f>IF(A92="","",IF(OR(J92="",Inputs!$B$59=""),0,IFERROR(INDEX(Elements_hybrides!$F$4:$F$204,MATCH(J92,Elements_hybrides!$A$4:$A$204,0))/(Inputs!$B$59*60),0)))</f>
        <v/>
      </c>
      <c r="N92" s="9">
        <f>IF(A92="","",IF(L92="",Inputs!$B$14,L92)+M92)</f>
        <v/>
      </c>
    </row>
    <row r="93">
      <c r="A93" s="4" t="n"/>
      <c r="B93" s="4" t="n"/>
      <c r="C93" s="4" t="n"/>
      <c r="D93" s="7" t="n"/>
      <c r="E93" s="7" t="n"/>
      <c r="F93" s="8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8">
        <f>IF(A93="","",N93)</f>
        <v/>
      </c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  <c r="L93" s="5" t="n"/>
      <c r="M93" s="9">
        <f>IF(A93="","",IF(OR(J93="",Inputs!$B$59=""),0,IFERROR(INDEX(Elements_hybrides!$F$4:$F$204,MATCH(J93,Elements_hybrides!$A$4:$A$204,0))/(Inputs!$B$59*60),0)))</f>
        <v/>
      </c>
      <c r="N93" s="9">
        <f>IF(A93="","",IF(L93="",Inputs!$B$14,L93)+M93)</f>
        <v/>
      </c>
    </row>
    <row r="94">
      <c r="A94" s="4" t="n"/>
      <c r="B94" s="4" t="n"/>
      <c r="C94" s="4" t="n"/>
      <c r="D94" s="7" t="n"/>
      <c r="E94" s="7" t="n"/>
      <c r="F94" s="8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8">
        <f>IF(A94="","",N94)</f>
        <v/>
      </c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  <c r="L94" s="5" t="n"/>
      <c r="M94" s="9">
        <f>IF(A94="","",IF(OR(J94="",Inputs!$B$59=""),0,IFERROR(INDEX(Elements_hybrides!$F$4:$F$204,MATCH(J94,Elements_hybrides!$A$4:$A$204,0))/(Inputs!$B$59*60),0)))</f>
        <v/>
      </c>
      <c r="N94" s="9">
        <f>IF(A94="","",IF(L94="",Inputs!$B$14,L94)+M94)</f>
        <v/>
      </c>
    </row>
    <row r="95">
      <c r="A95" s="4" t="n"/>
      <c r="B95" s="4" t="n"/>
      <c r="C95" s="4" t="n"/>
      <c r="D95" s="7" t="n"/>
      <c r="E95" s="7" t="n"/>
      <c r="F95" s="8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8">
        <f>IF(A95="","",N95)</f>
        <v/>
      </c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  <c r="L95" s="5" t="n"/>
      <c r="M95" s="9">
        <f>IF(A95="","",IF(OR(J95="",Inputs!$B$59=""),0,IFERROR(INDEX(Elements_hybrides!$F$4:$F$204,MATCH(J95,Elements_hybrides!$A$4:$A$204,0))/(Inputs!$B$59*60),0)))</f>
        <v/>
      </c>
      <c r="N95" s="9">
        <f>IF(A95="","",IF(L95="",Inputs!$B$14,L95)+M95)</f>
        <v/>
      </c>
    </row>
    <row r="96">
      <c r="A96" s="4" t="n"/>
      <c r="B96" s="4" t="n"/>
      <c r="C96" s="4" t="n"/>
      <c r="D96" s="7" t="n"/>
      <c r="E96" s="7" t="n"/>
      <c r="F96" s="8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8">
        <f>IF(A96="","",N96)</f>
        <v/>
      </c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  <c r="L96" s="5" t="n"/>
      <c r="M96" s="9">
        <f>IF(A96="","",IF(OR(J96="",Inputs!$B$59=""),0,IFERROR(INDEX(Elements_hybrides!$F$4:$F$204,MATCH(J96,Elements_hybrides!$A$4:$A$204,0))/(Inputs!$B$59*60),0)))</f>
        <v/>
      </c>
      <c r="N96" s="9">
        <f>IF(A96="","",IF(L96="",Inputs!$B$14,L96)+M96)</f>
        <v/>
      </c>
    </row>
    <row r="97">
      <c r="A97" s="4" t="n"/>
      <c r="B97" s="4" t="n"/>
      <c r="C97" s="4" t="n"/>
      <c r="D97" s="7" t="n"/>
      <c r="E97" s="7" t="n"/>
      <c r="F97" s="8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8">
        <f>IF(A97="","",N97)</f>
        <v/>
      </c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  <c r="L97" s="5" t="n"/>
      <c r="M97" s="9">
        <f>IF(A97="","",IF(OR(J97="",Inputs!$B$59=""),0,IFERROR(INDEX(Elements_hybrides!$F$4:$F$204,MATCH(J97,Elements_hybrides!$A$4:$A$204,0))/(Inputs!$B$59*60),0)))</f>
        <v/>
      </c>
      <c r="N97" s="9">
        <f>IF(A97="","",IF(L97="",Inputs!$B$14,L97)+M97)</f>
        <v/>
      </c>
    </row>
    <row r="98">
      <c r="A98" s="4" t="n"/>
      <c r="B98" s="4" t="n"/>
      <c r="C98" s="4" t="n"/>
      <c r="D98" s="7" t="n"/>
      <c r="E98" s="7" t="n"/>
      <c r="F98" s="8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8">
        <f>IF(A98="","",N98)</f>
        <v/>
      </c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  <c r="L98" s="5" t="n"/>
      <c r="M98" s="9">
        <f>IF(A98="","",IF(OR(J98="",Inputs!$B$59=""),0,IFERROR(INDEX(Elements_hybrides!$F$4:$F$204,MATCH(J98,Elements_hybrides!$A$4:$A$204,0))/(Inputs!$B$59*60),0)))</f>
        <v/>
      </c>
      <c r="N98" s="9">
        <f>IF(A98="","",IF(L98="",Inputs!$B$14,L98)+M98)</f>
        <v/>
      </c>
    </row>
    <row r="99">
      <c r="A99" s="4" t="n"/>
      <c r="B99" s="4" t="n"/>
      <c r="C99" s="4" t="n"/>
      <c r="D99" s="7" t="n"/>
      <c r="E99" s="7" t="n"/>
      <c r="F99" s="8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8">
        <f>IF(A99="","",N99)</f>
        <v/>
      </c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  <c r="L99" s="5" t="n"/>
      <c r="M99" s="9">
        <f>IF(A99="","",IF(OR(J99="",Inputs!$B$59=""),0,IFERROR(INDEX(Elements_hybrides!$F$4:$F$204,MATCH(J99,Elements_hybrides!$A$4:$A$204,0))/(Inputs!$B$59*60),0)))</f>
        <v/>
      </c>
      <c r="N99" s="9">
        <f>IF(A99="","",IF(L99="",Inputs!$B$14,L99)+M99)</f>
        <v/>
      </c>
    </row>
    <row r="100">
      <c r="A100" s="4" t="n"/>
      <c r="B100" s="4" t="n"/>
      <c r="C100" s="4" t="n"/>
      <c r="D100" s="7" t="n"/>
      <c r="E100" s="7" t="n"/>
      <c r="F100" s="8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8">
        <f>IF(A100="","",N100)</f>
        <v/>
      </c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  <c r="L100" s="5" t="n"/>
      <c r="M100" s="9">
        <f>IF(A100="","",IF(OR(J100="",Inputs!$B$59=""),0,IFERROR(INDEX(Elements_hybrides!$F$4:$F$204,MATCH(J100,Elements_hybrides!$A$4:$A$204,0))/(Inputs!$B$59*60),0)))</f>
        <v/>
      </c>
      <c r="N100" s="9">
        <f>IF(A100="","",IF(L100="",Inputs!$B$14,L100)+M100)</f>
        <v/>
      </c>
    </row>
    <row r="101">
      <c r="A101" s="4" t="n"/>
      <c r="B101" s="4" t="n"/>
      <c r="C101" s="4" t="n"/>
      <c r="D101" s="7" t="n"/>
      <c r="E101" s="7" t="n"/>
      <c r="F101" s="8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8">
        <f>IF(A101="","",N101)</f>
        <v/>
      </c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  <c r="L101" s="5" t="n"/>
      <c r="M101" s="9">
        <f>IF(A101="","",IF(OR(J101="",Inputs!$B$59=""),0,IFERROR(INDEX(Elements_hybrides!$F$4:$F$204,MATCH(J101,Elements_hybrides!$A$4:$A$204,0))/(Inputs!$B$59*60),0)))</f>
        <v/>
      </c>
      <c r="N101" s="9">
        <f>IF(A101="","",IF(L101="",Inputs!$B$14,L101)+M101)</f>
        <v/>
      </c>
    </row>
    <row r="102">
      <c r="A102" s="4" t="n"/>
      <c r="B102" s="4" t="n"/>
      <c r="C102" s="4" t="n"/>
      <c r="D102" s="7" t="n"/>
      <c r="E102" s="7" t="n"/>
      <c r="F102" s="8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8">
        <f>IF(A102="","",N102)</f>
        <v/>
      </c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  <c r="L102" s="5" t="n"/>
      <c r="M102" s="9">
        <f>IF(A102="","",IF(OR(J102="",Inputs!$B$59=""),0,IFERROR(INDEX(Elements_hybrides!$F$4:$F$204,MATCH(J102,Elements_hybrides!$A$4:$A$204,0))/(Inputs!$B$59*60),0)))</f>
        <v/>
      </c>
      <c r="N102" s="9">
        <f>IF(A102="","",IF(L102="",Inputs!$B$14,L102)+M102)</f>
        <v/>
      </c>
    </row>
    <row r="103">
      <c r="A103" s="4" t="n"/>
      <c r="B103" s="4" t="n"/>
      <c r="C103" s="4" t="n"/>
      <c r="D103" s="7" t="n"/>
      <c r="E103" s="7" t="n"/>
      <c r="F103" s="8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8">
        <f>IF(A103="","",N103)</f>
        <v/>
      </c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  <c r="L103" s="5" t="n"/>
      <c r="M103" s="9">
        <f>IF(A103="","",IF(OR(J103="",Inputs!$B$59=""),0,IFERROR(INDEX(Elements_hybrides!$F$4:$F$204,MATCH(J103,Elements_hybrides!$A$4:$A$204,0))/(Inputs!$B$59*60),0)))</f>
        <v/>
      </c>
      <c r="N103" s="9">
        <f>IF(A103="","",IF(L103="",Inputs!$B$14,L103)+M103)</f>
        <v/>
      </c>
    </row>
    <row r="104">
      <c r="A104" s="4" t="n"/>
      <c r="B104" s="4" t="n"/>
      <c r="C104" s="4" t="n"/>
      <c r="D104" s="7" t="n"/>
      <c r="E104" s="7" t="n"/>
      <c r="F104" s="8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8">
        <f>IF(A104="","",N104)</f>
        <v/>
      </c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  <c r="L104" s="5" t="n"/>
      <c r="M104" s="9">
        <f>IF(A104="","",IF(OR(J104="",Inputs!$B$59=""),0,IFERROR(INDEX(Elements_hybrides!$F$4:$F$204,MATCH(J104,Elements_hybrides!$A$4:$A$204,0))/(Inputs!$B$59*60),0)))</f>
        <v/>
      </c>
      <c r="N104" s="9">
        <f>IF(A104="","",IF(L104="",Inputs!$B$14,L104)+M104)</f>
        <v/>
      </c>
    </row>
    <row r="105">
      <c r="A105" s="4" t="n"/>
      <c r="B105" s="4" t="n"/>
      <c r="C105" s="4" t="n"/>
      <c r="D105" s="7" t="n"/>
      <c r="E105" s="7" t="n"/>
      <c r="F105" s="8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8">
        <f>IF(A105="","",N105)</f>
        <v/>
      </c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  <c r="L105" s="5" t="n"/>
      <c r="M105" s="9">
        <f>IF(A105="","",IF(OR(J105="",Inputs!$B$59=""),0,IFERROR(INDEX(Elements_hybrides!$F$4:$F$204,MATCH(J105,Elements_hybrides!$A$4:$A$204,0))/(Inputs!$B$59*60),0)))</f>
        <v/>
      </c>
      <c r="N105" s="9">
        <f>IF(A105="","",IF(L105="",Inputs!$B$14,L105)+M105)</f>
        <v/>
      </c>
    </row>
    <row r="106">
      <c r="A106" s="4" t="n"/>
      <c r="B106" s="4" t="n"/>
      <c r="C106" s="4" t="n"/>
      <c r="D106" s="7" t="n"/>
      <c r="E106" s="7" t="n"/>
      <c r="F106" s="8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8">
        <f>IF(A106="","",N106)</f>
        <v/>
      </c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  <c r="L106" s="5" t="n"/>
      <c r="M106" s="9">
        <f>IF(A106="","",IF(OR(J106="",Inputs!$B$59=""),0,IFERROR(INDEX(Elements_hybrides!$F$4:$F$204,MATCH(J106,Elements_hybrides!$A$4:$A$204,0))/(Inputs!$B$59*60),0)))</f>
        <v/>
      </c>
      <c r="N106" s="9">
        <f>IF(A106="","",IF(L106="",Inputs!$B$14,L106)+M106)</f>
        <v/>
      </c>
    </row>
    <row r="107">
      <c r="A107" s="4" t="n"/>
      <c r="B107" s="4" t="n"/>
      <c r="C107" s="4" t="n"/>
      <c r="D107" s="7" t="n"/>
      <c r="E107" s="7" t="n"/>
      <c r="F107" s="8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8">
        <f>IF(A107="","",N107)</f>
        <v/>
      </c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  <c r="L107" s="5" t="n"/>
      <c r="M107" s="9">
        <f>IF(A107="","",IF(OR(J107="",Inputs!$B$59=""),0,IFERROR(INDEX(Elements_hybrides!$F$4:$F$204,MATCH(J107,Elements_hybrides!$A$4:$A$204,0))/(Inputs!$B$59*60),0)))</f>
        <v/>
      </c>
      <c r="N107" s="9">
        <f>IF(A107="","",IF(L107="",Inputs!$B$14,L107)+M107)</f>
        <v/>
      </c>
    </row>
    <row r="108">
      <c r="A108" s="4" t="n"/>
      <c r="B108" s="4" t="n"/>
      <c r="C108" s="4" t="n"/>
      <c r="D108" s="7" t="n"/>
      <c r="E108" s="7" t="n"/>
      <c r="F108" s="8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8">
        <f>IF(A108="","",N108)</f>
        <v/>
      </c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  <c r="L108" s="5" t="n"/>
      <c r="M108" s="9">
        <f>IF(A108="","",IF(OR(J108="",Inputs!$B$59=""),0,IFERROR(INDEX(Elements_hybrides!$F$4:$F$204,MATCH(J108,Elements_hybrides!$A$4:$A$204,0))/(Inputs!$B$59*60),0)))</f>
        <v/>
      </c>
      <c r="N108" s="9">
        <f>IF(A108="","",IF(L108="",Inputs!$B$14,L108)+M108)</f>
        <v/>
      </c>
    </row>
    <row r="109">
      <c r="A109" s="4" t="n"/>
      <c r="B109" s="4" t="n"/>
      <c r="C109" s="4" t="n"/>
      <c r="D109" s="7" t="n"/>
      <c r="E109" s="7" t="n"/>
      <c r="F109" s="8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8">
        <f>IF(A109="","",N109)</f>
        <v/>
      </c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  <c r="L109" s="5" t="n"/>
      <c r="M109" s="9">
        <f>IF(A109="","",IF(OR(J109="",Inputs!$B$59=""),0,IFERROR(INDEX(Elements_hybrides!$F$4:$F$204,MATCH(J109,Elements_hybrides!$A$4:$A$204,0))/(Inputs!$B$59*60),0)))</f>
        <v/>
      </c>
      <c r="N109" s="9">
        <f>IF(A109="","",IF(L109="",Inputs!$B$14,L109)+M109)</f>
        <v/>
      </c>
    </row>
    <row r="110">
      <c r="A110" s="4" t="n"/>
      <c r="B110" s="4" t="n"/>
      <c r="C110" s="4" t="n"/>
      <c r="D110" s="7" t="n"/>
      <c r="E110" s="7" t="n"/>
      <c r="F110" s="8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8">
        <f>IF(A110="","",N110)</f>
        <v/>
      </c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  <c r="L110" s="5" t="n"/>
      <c r="M110" s="9">
        <f>IF(A110="","",IF(OR(J110="",Inputs!$B$59=""),0,IFERROR(INDEX(Elements_hybrides!$F$4:$F$204,MATCH(J110,Elements_hybrides!$A$4:$A$204,0))/(Inputs!$B$59*60),0)))</f>
        <v/>
      </c>
      <c r="N110" s="9">
        <f>IF(A110="","",IF(L110="",Inputs!$B$14,L110)+M110)</f>
        <v/>
      </c>
    </row>
    <row r="111">
      <c r="A111" s="4" t="n"/>
      <c r="B111" s="4" t="n"/>
      <c r="C111" s="4" t="n"/>
      <c r="D111" s="7" t="n"/>
      <c r="E111" s="7" t="n"/>
      <c r="F111" s="8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8">
        <f>IF(A111="","",N111)</f>
        <v/>
      </c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  <c r="L111" s="5" t="n"/>
      <c r="M111" s="9">
        <f>IF(A111="","",IF(OR(J111="",Inputs!$B$59=""),0,IFERROR(INDEX(Elements_hybrides!$F$4:$F$204,MATCH(J111,Elements_hybrides!$A$4:$A$204,0))/(Inputs!$B$59*60),0)))</f>
        <v/>
      </c>
      <c r="N111" s="9">
        <f>IF(A111="","",IF(L111="",Inputs!$B$14,L111)+M111)</f>
        <v/>
      </c>
    </row>
    <row r="112">
      <c r="A112" s="4" t="n"/>
      <c r="B112" s="4" t="n"/>
      <c r="C112" s="4" t="n"/>
      <c r="D112" s="7" t="n"/>
      <c r="E112" s="7" t="n"/>
      <c r="F112" s="8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8">
        <f>IF(A112="","",N112)</f>
        <v/>
      </c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  <c r="L112" s="5" t="n"/>
      <c r="M112" s="9">
        <f>IF(A112="","",IF(OR(J112="",Inputs!$B$59=""),0,IFERROR(INDEX(Elements_hybrides!$F$4:$F$204,MATCH(J112,Elements_hybrides!$A$4:$A$204,0))/(Inputs!$B$59*60),0)))</f>
        <v/>
      </c>
      <c r="N112" s="9">
        <f>IF(A112="","",IF(L112="",Inputs!$B$14,L112)+M112)</f>
        <v/>
      </c>
    </row>
    <row r="113">
      <c r="A113" s="4" t="n"/>
      <c r="B113" s="4" t="n"/>
      <c r="C113" s="4" t="n"/>
      <c r="D113" s="7" t="n"/>
      <c r="E113" s="7" t="n"/>
      <c r="F113" s="8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8">
        <f>IF(A113="","",N113)</f>
        <v/>
      </c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  <c r="L113" s="5" t="n"/>
      <c r="M113" s="9">
        <f>IF(A113="","",IF(OR(J113="",Inputs!$B$59=""),0,IFERROR(INDEX(Elements_hybrides!$F$4:$F$204,MATCH(J113,Elements_hybrides!$A$4:$A$204,0))/(Inputs!$B$59*60),0)))</f>
        <v/>
      </c>
      <c r="N113" s="9">
        <f>IF(A113="","",IF(L113="",Inputs!$B$14,L113)+M113)</f>
        <v/>
      </c>
    </row>
    <row r="114">
      <c r="A114" s="4" t="n"/>
      <c r="B114" s="4" t="n"/>
      <c r="C114" s="4" t="n"/>
      <c r="D114" s="7" t="n"/>
      <c r="E114" s="7" t="n"/>
      <c r="F114" s="8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8">
        <f>IF(A114="","",N114)</f>
        <v/>
      </c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  <c r="L114" s="5" t="n"/>
      <c r="M114" s="9">
        <f>IF(A114="","",IF(OR(J114="",Inputs!$B$59=""),0,IFERROR(INDEX(Elements_hybrides!$F$4:$F$204,MATCH(J114,Elements_hybrides!$A$4:$A$204,0))/(Inputs!$B$59*60),0)))</f>
        <v/>
      </c>
      <c r="N114" s="9">
        <f>IF(A114="","",IF(L114="",Inputs!$B$14,L114)+M114)</f>
        <v/>
      </c>
    </row>
    <row r="115">
      <c r="A115" s="4" t="n"/>
      <c r="B115" s="4" t="n"/>
      <c r="C115" s="4" t="n"/>
      <c r="D115" s="7" t="n"/>
      <c r="E115" s="7" t="n"/>
      <c r="F115" s="8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8">
        <f>IF(A115="","",N115)</f>
        <v/>
      </c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  <c r="L115" s="5" t="n"/>
      <c r="M115" s="9">
        <f>IF(A115="","",IF(OR(J115="",Inputs!$B$59=""),0,IFERROR(INDEX(Elements_hybrides!$F$4:$F$204,MATCH(J115,Elements_hybrides!$A$4:$A$204,0))/(Inputs!$B$59*60),0)))</f>
        <v/>
      </c>
      <c r="N115" s="9">
        <f>IF(A115="","",IF(L115="",Inputs!$B$14,L115)+M115)</f>
        <v/>
      </c>
    </row>
    <row r="116">
      <c r="A116" s="4" t="n"/>
      <c r="B116" s="4" t="n"/>
      <c r="C116" s="4" t="n"/>
      <c r="D116" s="7" t="n"/>
      <c r="E116" s="7" t="n"/>
      <c r="F116" s="8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8">
        <f>IF(A116="","",N116)</f>
        <v/>
      </c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  <c r="L116" s="5" t="n"/>
      <c r="M116" s="9">
        <f>IF(A116="","",IF(OR(J116="",Inputs!$B$59=""),0,IFERROR(INDEX(Elements_hybrides!$F$4:$F$204,MATCH(J116,Elements_hybrides!$A$4:$A$204,0))/(Inputs!$B$59*60),0)))</f>
        <v/>
      </c>
      <c r="N116" s="9">
        <f>IF(A116="","",IF(L116="",Inputs!$B$14,L116)+M116)</f>
        <v/>
      </c>
    </row>
    <row r="117">
      <c r="A117" s="4" t="n"/>
      <c r="B117" s="4" t="n"/>
      <c r="C117" s="4" t="n"/>
      <c r="D117" s="7" t="n"/>
      <c r="E117" s="7" t="n"/>
      <c r="F117" s="8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8">
        <f>IF(A117="","",N117)</f>
        <v/>
      </c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  <c r="L117" s="5" t="n"/>
      <c r="M117" s="9">
        <f>IF(A117="","",IF(OR(J117="",Inputs!$B$59=""),0,IFERROR(INDEX(Elements_hybrides!$F$4:$F$204,MATCH(J117,Elements_hybrides!$A$4:$A$204,0))/(Inputs!$B$59*60),0)))</f>
        <v/>
      </c>
      <c r="N117" s="9">
        <f>IF(A117="","",IF(L117="",Inputs!$B$14,L117)+M117)</f>
        <v/>
      </c>
    </row>
    <row r="118">
      <c r="A118" s="4" t="n"/>
      <c r="B118" s="4" t="n"/>
      <c r="C118" s="4" t="n"/>
      <c r="D118" s="7" t="n"/>
      <c r="E118" s="7" t="n"/>
      <c r="F118" s="8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8">
        <f>IF(A118="","",N118)</f>
        <v/>
      </c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  <c r="L118" s="5" t="n"/>
      <c r="M118" s="9">
        <f>IF(A118="","",IF(OR(J118="",Inputs!$B$59=""),0,IFERROR(INDEX(Elements_hybrides!$F$4:$F$204,MATCH(J118,Elements_hybrides!$A$4:$A$204,0))/(Inputs!$B$59*60),0)))</f>
        <v/>
      </c>
      <c r="N118" s="9">
        <f>IF(A118="","",IF(L118="",Inputs!$B$14,L118)+M118)</f>
        <v/>
      </c>
    </row>
    <row r="119">
      <c r="A119" s="4" t="n"/>
      <c r="B119" s="4" t="n"/>
      <c r="C119" s="4" t="n"/>
      <c r="D119" s="7" t="n"/>
      <c r="E119" s="7" t="n"/>
      <c r="F119" s="8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8">
        <f>IF(A119="","",N119)</f>
        <v/>
      </c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  <c r="L119" s="5" t="n"/>
      <c r="M119" s="9">
        <f>IF(A119="","",IF(OR(J119="",Inputs!$B$59=""),0,IFERROR(INDEX(Elements_hybrides!$F$4:$F$204,MATCH(J119,Elements_hybrides!$A$4:$A$204,0))/(Inputs!$B$59*60),0)))</f>
        <v/>
      </c>
      <c r="N119" s="9">
        <f>IF(A119="","",IF(L119="",Inputs!$B$14,L119)+M119)</f>
        <v/>
      </c>
    </row>
    <row r="120">
      <c r="A120" s="4" t="n"/>
      <c r="B120" s="4" t="n"/>
      <c r="C120" s="4" t="n"/>
      <c r="D120" s="7" t="n"/>
      <c r="E120" s="7" t="n"/>
      <c r="F120" s="8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8">
        <f>IF(A120="","",N120)</f>
        <v/>
      </c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  <c r="L120" s="5" t="n"/>
      <c r="M120" s="9">
        <f>IF(A120="","",IF(OR(J120="",Inputs!$B$59=""),0,IFERROR(INDEX(Elements_hybrides!$F$4:$F$204,MATCH(J120,Elements_hybrides!$A$4:$A$204,0))/(Inputs!$B$59*60),0)))</f>
        <v/>
      </c>
      <c r="N120" s="9">
        <f>IF(A120="","",IF(L120="",Inputs!$B$14,L120)+M120)</f>
        <v/>
      </c>
    </row>
    <row r="121">
      <c r="A121" s="4" t="n"/>
      <c r="B121" s="4" t="n"/>
      <c r="C121" s="4" t="n"/>
      <c r="D121" s="7" t="n"/>
      <c r="E121" s="7" t="n"/>
      <c r="F121" s="8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8">
        <f>IF(A121="","",N121)</f>
        <v/>
      </c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  <c r="L121" s="5" t="n"/>
      <c r="M121" s="9">
        <f>IF(A121="","",IF(OR(J121="",Inputs!$B$59=""),0,IFERROR(INDEX(Elements_hybrides!$F$4:$F$204,MATCH(J121,Elements_hybrides!$A$4:$A$204,0))/(Inputs!$B$59*60),0)))</f>
        <v/>
      </c>
      <c r="N121" s="9">
        <f>IF(A121="","",IF(L121="",Inputs!$B$14,L121)+M121)</f>
        <v/>
      </c>
    </row>
    <row r="122">
      <c r="A122" s="4" t="n"/>
      <c r="B122" s="4" t="n"/>
      <c r="C122" s="4" t="n"/>
      <c r="D122" s="7" t="n"/>
      <c r="E122" s="7" t="n"/>
      <c r="F122" s="8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8">
        <f>IF(A122="","",N122)</f>
        <v/>
      </c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  <c r="L122" s="5" t="n"/>
      <c r="M122" s="9">
        <f>IF(A122="","",IF(OR(J122="",Inputs!$B$59=""),0,IFERROR(INDEX(Elements_hybrides!$F$4:$F$204,MATCH(J122,Elements_hybrides!$A$4:$A$204,0))/(Inputs!$B$59*60),0)))</f>
        <v/>
      </c>
      <c r="N122" s="9">
        <f>IF(A122="","",IF(L122="",Inputs!$B$14,L122)+M122)</f>
        <v/>
      </c>
    </row>
    <row r="123">
      <c r="A123" s="4" t="n"/>
      <c r="B123" s="4" t="n"/>
      <c r="C123" s="4" t="n"/>
      <c r="D123" s="7" t="n"/>
      <c r="E123" s="7" t="n"/>
      <c r="F123" s="8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8">
        <f>IF(A123="","",N123)</f>
        <v/>
      </c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  <c r="L123" s="5" t="n"/>
      <c r="M123" s="9">
        <f>IF(A123="","",IF(OR(J123="",Inputs!$B$59=""),0,IFERROR(INDEX(Elements_hybrides!$F$4:$F$204,MATCH(J123,Elements_hybrides!$A$4:$A$204,0))/(Inputs!$B$59*60),0)))</f>
        <v/>
      </c>
      <c r="N123" s="9">
        <f>IF(A123="","",IF(L123="",Inputs!$B$14,L123)+M123)</f>
        <v/>
      </c>
    </row>
    <row r="124">
      <c r="A124" s="4" t="n"/>
      <c r="B124" s="4" t="n"/>
      <c r="C124" s="4" t="n"/>
      <c r="D124" s="7" t="n"/>
      <c r="E124" s="7" t="n"/>
      <c r="F124" s="8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8">
        <f>IF(A124="","",N124)</f>
        <v/>
      </c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  <c r="L124" s="5" t="n"/>
      <c r="M124" s="9">
        <f>IF(A124="","",IF(OR(J124="",Inputs!$B$59=""),0,IFERROR(INDEX(Elements_hybrides!$F$4:$F$204,MATCH(J124,Elements_hybrides!$A$4:$A$204,0))/(Inputs!$B$59*60),0)))</f>
        <v/>
      </c>
      <c r="N124" s="9">
        <f>IF(A124="","",IF(L124="",Inputs!$B$14,L124)+M124)</f>
        <v/>
      </c>
    </row>
    <row r="125">
      <c r="A125" s="4" t="n"/>
      <c r="B125" s="4" t="n"/>
      <c r="C125" s="4" t="n"/>
      <c r="D125" s="7" t="n"/>
      <c r="E125" s="7" t="n"/>
      <c r="F125" s="8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8">
        <f>IF(A125="","",N125)</f>
        <v/>
      </c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  <c r="L125" s="5" t="n"/>
      <c r="M125" s="9">
        <f>IF(A125="","",IF(OR(J125="",Inputs!$B$59=""),0,IFERROR(INDEX(Elements_hybrides!$F$4:$F$204,MATCH(J125,Elements_hybrides!$A$4:$A$204,0))/(Inputs!$B$59*60),0)))</f>
        <v/>
      </c>
      <c r="N125" s="9">
        <f>IF(A125="","",IF(L125="",Inputs!$B$14,L125)+M125)</f>
        <v/>
      </c>
    </row>
    <row r="126">
      <c r="A126" s="4" t="n"/>
      <c r="B126" s="4" t="n"/>
      <c r="C126" s="4" t="n"/>
      <c r="D126" s="7" t="n"/>
      <c r="E126" s="7" t="n"/>
      <c r="F126" s="8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8">
        <f>IF(A126="","",N126)</f>
        <v/>
      </c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  <c r="L126" s="5" t="n"/>
      <c r="M126" s="9">
        <f>IF(A126="","",IF(OR(J126="",Inputs!$B$59=""),0,IFERROR(INDEX(Elements_hybrides!$F$4:$F$204,MATCH(J126,Elements_hybrides!$A$4:$A$204,0))/(Inputs!$B$59*60),0)))</f>
        <v/>
      </c>
      <c r="N126" s="9">
        <f>IF(A126="","",IF(L126="",Inputs!$B$14,L126)+M126)</f>
        <v/>
      </c>
    </row>
    <row r="127">
      <c r="A127" s="4" t="n"/>
      <c r="B127" s="4" t="n"/>
      <c r="C127" s="4" t="n"/>
      <c r="D127" s="7" t="n"/>
      <c r="E127" s="7" t="n"/>
      <c r="F127" s="8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8">
        <f>IF(A127="","",N127)</f>
        <v/>
      </c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  <c r="L127" s="5" t="n"/>
      <c r="M127" s="9">
        <f>IF(A127="","",IF(OR(J127="",Inputs!$B$59=""),0,IFERROR(INDEX(Elements_hybrides!$F$4:$F$204,MATCH(J127,Elements_hybrides!$A$4:$A$204,0))/(Inputs!$B$59*60),0)))</f>
        <v/>
      </c>
      <c r="N127" s="9">
        <f>IF(A127="","",IF(L127="",Inputs!$B$14,L127)+M127)</f>
        <v/>
      </c>
    </row>
    <row r="128">
      <c r="A128" s="4" t="n"/>
      <c r="B128" s="4" t="n"/>
      <c r="C128" s="4" t="n"/>
      <c r="D128" s="7" t="n"/>
      <c r="E128" s="7" t="n"/>
      <c r="F128" s="8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8">
        <f>IF(A128="","",N128)</f>
        <v/>
      </c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  <c r="L128" s="5" t="n"/>
      <c r="M128" s="9">
        <f>IF(A128="","",IF(OR(J128="",Inputs!$B$59=""),0,IFERROR(INDEX(Elements_hybrides!$F$4:$F$204,MATCH(J128,Elements_hybrides!$A$4:$A$204,0))/(Inputs!$B$59*60),0)))</f>
        <v/>
      </c>
      <c r="N128" s="9">
        <f>IF(A128="","",IF(L128="",Inputs!$B$14,L128)+M128)</f>
        <v/>
      </c>
    </row>
    <row r="129">
      <c r="A129" s="4" t="n"/>
      <c r="B129" s="4" t="n"/>
      <c r="C129" s="4" t="n"/>
      <c r="D129" s="7" t="n"/>
      <c r="E129" s="7" t="n"/>
      <c r="F129" s="8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8">
        <f>IF(A129="","",N129)</f>
        <v/>
      </c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  <c r="L129" s="5" t="n"/>
      <c r="M129" s="9">
        <f>IF(A129="","",IF(OR(J129="",Inputs!$B$59=""),0,IFERROR(INDEX(Elements_hybrides!$F$4:$F$204,MATCH(J129,Elements_hybrides!$A$4:$A$204,0))/(Inputs!$B$59*60),0)))</f>
        <v/>
      </c>
      <c r="N129" s="9">
        <f>IF(A129="","",IF(L129="",Inputs!$B$14,L129)+M129)</f>
        <v/>
      </c>
    </row>
    <row r="130">
      <c r="A130" s="4" t="n"/>
      <c r="B130" s="4" t="n"/>
      <c r="C130" s="4" t="n"/>
      <c r="D130" s="7" t="n"/>
      <c r="E130" s="7" t="n"/>
      <c r="F130" s="8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8">
        <f>IF(A130="","",N130)</f>
        <v/>
      </c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  <c r="L130" s="5" t="n"/>
      <c r="M130" s="9">
        <f>IF(A130="","",IF(OR(J130="",Inputs!$B$59=""),0,IFERROR(INDEX(Elements_hybrides!$F$4:$F$204,MATCH(J130,Elements_hybrides!$A$4:$A$204,0))/(Inputs!$B$59*60),0)))</f>
        <v/>
      </c>
      <c r="N130" s="9">
        <f>IF(A130="","",IF(L130="",Inputs!$B$14,L130)+M130)</f>
        <v/>
      </c>
    </row>
    <row r="131">
      <c r="A131" s="4" t="n"/>
      <c r="B131" s="4" t="n"/>
      <c r="C131" s="4" t="n"/>
      <c r="D131" s="7" t="n"/>
      <c r="E131" s="7" t="n"/>
      <c r="F131" s="8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8">
        <f>IF(A131="","",N131)</f>
        <v/>
      </c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  <c r="L131" s="5" t="n"/>
      <c r="M131" s="9">
        <f>IF(A131="","",IF(OR(J131="",Inputs!$B$59=""),0,IFERROR(INDEX(Elements_hybrides!$F$4:$F$204,MATCH(J131,Elements_hybrides!$A$4:$A$204,0))/(Inputs!$B$59*60),0)))</f>
        <v/>
      </c>
      <c r="N131" s="9">
        <f>IF(A131="","",IF(L131="",Inputs!$B$14,L131)+M131)</f>
        <v/>
      </c>
    </row>
    <row r="132">
      <c r="A132" s="4" t="n"/>
      <c r="B132" s="4" t="n"/>
      <c r="C132" s="4" t="n"/>
      <c r="D132" s="7" t="n"/>
      <c r="E132" s="7" t="n"/>
      <c r="F132" s="8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8">
        <f>IF(A132="","",N132)</f>
        <v/>
      </c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  <c r="L132" s="5" t="n"/>
      <c r="M132" s="9">
        <f>IF(A132="","",IF(OR(J132="",Inputs!$B$59=""),0,IFERROR(INDEX(Elements_hybrides!$F$4:$F$204,MATCH(J132,Elements_hybrides!$A$4:$A$204,0))/(Inputs!$B$59*60),0)))</f>
        <v/>
      </c>
      <c r="N132" s="9">
        <f>IF(A132="","",IF(L132="",Inputs!$B$14,L132)+M132)</f>
        <v/>
      </c>
    </row>
    <row r="133">
      <c r="A133" s="4" t="n"/>
      <c r="B133" s="4" t="n"/>
      <c r="C133" s="4" t="n"/>
      <c r="D133" s="7" t="n"/>
      <c r="E133" s="7" t="n"/>
      <c r="F133" s="8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8">
        <f>IF(A133="","",N133)</f>
        <v/>
      </c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  <c r="L133" s="5" t="n"/>
      <c r="M133" s="9">
        <f>IF(A133="","",IF(OR(J133="",Inputs!$B$59=""),0,IFERROR(INDEX(Elements_hybrides!$F$4:$F$204,MATCH(J133,Elements_hybrides!$A$4:$A$204,0))/(Inputs!$B$59*60),0)))</f>
        <v/>
      </c>
      <c r="N133" s="9">
        <f>IF(A133="","",IF(L133="",Inputs!$B$14,L133)+M133)</f>
        <v/>
      </c>
    </row>
    <row r="134">
      <c r="A134" s="4" t="n"/>
      <c r="B134" s="4" t="n"/>
      <c r="C134" s="4" t="n"/>
      <c r="D134" s="7" t="n"/>
      <c r="E134" s="7" t="n"/>
      <c r="F134" s="8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8">
        <f>IF(A134="","",N134)</f>
        <v/>
      </c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  <c r="L134" s="5" t="n"/>
      <c r="M134" s="9">
        <f>IF(A134="","",IF(OR(J134="",Inputs!$B$59=""),0,IFERROR(INDEX(Elements_hybrides!$F$4:$F$204,MATCH(J134,Elements_hybrides!$A$4:$A$204,0))/(Inputs!$B$59*60),0)))</f>
        <v/>
      </c>
      <c r="N134" s="9">
        <f>IF(A134="","",IF(L134="",Inputs!$B$14,L134)+M134)</f>
        <v/>
      </c>
    </row>
    <row r="135">
      <c r="A135" s="4" t="n"/>
      <c r="B135" s="4" t="n"/>
      <c r="C135" s="4" t="n"/>
      <c r="D135" s="7" t="n"/>
      <c r="E135" s="7" t="n"/>
      <c r="F135" s="8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8">
        <f>IF(A135="","",N135)</f>
        <v/>
      </c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  <c r="L135" s="5" t="n"/>
      <c r="M135" s="9">
        <f>IF(A135="","",IF(OR(J135="",Inputs!$B$59=""),0,IFERROR(INDEX(Elements_hybrides!$F$4:$F$204,MATCH(J135,Elements_hybrides!$A$4:$A$204,0))/(Inputs!$B$59*60),0)))</f>
        <v/>
      </c>
      <c r="N135" s="9">
        <f>IF(A135="","",IF(L135="",Inputs!$B$14,L135)+M135)</f>
        <v/>
      </c>
    </row>
    <row r="136">
      <c r="A136" s="4" t="n"/>
      <c r="B136" s="4" t="n"/>
      <c r="C136" s="4" t="n"/>
      <c r="D136" s="7" t="n"/>
      <c r="E136" s="7" t="n"/>
      <c r="F136" s="8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8">
        <f>IF(A136="","",N136)</f>
        <v/>
      </c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  <c r="L136" s="5" t="n"/>
      <c r="M136" s="9">
        <f>IF(A136="","",IF(OR(J136="",Inputs!$B$59=""),0,IFERROR(INDEX(Elements_hybrides!$F$4:$F$204,MATCH(J136,Elements_hybrides!$A$4:$A$204,0))/(Inputs!$B$59*60),0)))</f>
        <v/>
      </c>
      <c r="N136" s="9">
        <f>IF(A136="","",IF(L136="",Inputs!$B$14,L136)+M136)</f>
        <v/>
      </c>
    </row>
    <row r="137">
      <c r="A137" s="4" t="n"/>
      <c r="B137" s="4" t="n"/>
      <c r="C137" s="4" t="n"/>
      <c r="D137" s="7" t="n"/>
      <c r="E137" s="7" t="n"/>
      <c r="F137" s="8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8">
        <f>IF(A137="","",N137)</f>
        <v/>
      </c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  <c r="L137" s="5" t="n"/>
      <c r="M137" s="9">
        <f>IF(A137="","",IF(OR(J137="",Inputs!$B$59=""),0,IFERROR(INDEX(Elements_hybrides!$F$4:$F$204,MATCH(J137,Elements_hybrides!$A$4:$A$204,0))/(Inputs!$B$59*60),0)))</f>
        <v/>
      </c>
      <c r="N137" s="9">
        <f>IF(A137="","",IF(L137="",Inputs!$B$14,L137)+M137)</f>
        <v/>
      </c>
    </row>
    <row r="138">
      <c r="A138" s="4" t="n"/>
      <c r="B138" s="4" t="n"/>
      <c r="C138" s="4" t="n"/>
      <c r="D138" s="7" t="n"/>
      <c r="E138" s="7" t="n"/>
      <c r="F138" s="8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8">
        <f>IF(A138="","",N138)</f>
        <v/>
      </c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  <c r="L138" s="5" t="n"/>
      <c r="M138" s="9">
        <f>IF(A138="","",IF(OR(J138="",Inputs!$B$59=""),0,IFERROR(INDEX(Elements_hybrides!$F$4:$F$204,MATCH(J138,Elements_hybrides!$A$4:$A$204,0))/(Inputs!$B$59*60),0)))</f>
        <v/>
      </c>
      <c r="N138" s="9">
        <f>IF(A138="","",IF(L138="",Inputs!$B$14,L138)+M138)</f>
        <v/>
      </c>
    </row>
    <row r="139">
      <c r="A139" s="4" t="n"/>
      <c r="B139" s="4" t="n"/>
      <c r="C139" s="4" t="n"/>
      <c r="D139" s="7" t="n"/>
      <c r="E139" s="7" t="n"/>
      <c r="F139" s="8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8">
        <f>IF(A139="","",N139)</f>
        <v/>
      </c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  <c r="L139" s="5" t="n"/>
      <c r="M139" s="9">
        <f>IF(A139="","",IF(OR(J139="",Inputs!$B$59=""),0,IFERROR(INDEX(Elements_hybrides!$F$4:$F$204,MATCH(J139,Elements_hybrides!$A$4:$A$204,0))/(Inputs!$B$59*60),0)))</f>
        <v/>
      </c>
      <c r="N139" s="9">
        <f>IF(A139="","",IF(L139="",Inputs!$B$14,L139)+M139)</f>
        <v/>
      </c>
    </row>
    <row r="140">
      <c r="A140" s="4" t="n"/>
      <c r="B140" s="4" t="n"/>
      <c r="C140" s="4" t="n"/>
      <c r="D140" s="7" t="n"/>
      <c r="E140" s="7" t="n"/>
      <c r="F140" s="8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8">
        <f>IF(A140="","",N140)</f>
        <v/>
      </c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  <c r="L140" s="5" t="n"/>
      <c r="M140" s="9">
        <f>IF(A140="","",IF(OR(J140="",Inputs!$B$59=""),0,IFERROR(INDEX(Elements_hybrides!$F$4:$F$204,MATCH(J140,Elements_hybrides!$A$4:$A$204,0))/(Inputs!$B$59*60),0)))</f>
        <v/>
      </c>
      <c r="N140" s="9">
        <f>IF(A140="","",IF(L140="",Inputs!$B$14,L140)+M140)</f>
        <v/>
      </c>
    </row>
    <row r="141">
      <c r="A141" s="4" t="n"/>
      <c r="B141" s="4" t="n"/>
      <c r="C141" s="4" t="n"/>
      <c r="D141" s="7" t="n"/>
      <c r="E141" s="7" t="n"/>
      <c r="F141" s="8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8">
        <f>IF(A141="","",N141)</f>
        <v/>
      </c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  <c r="L141" s="5" t="n"/>
      <c r="M141" s="9">
        <f>IF(A141="","",IF(OR(J141="",Inputs!$B$59=""),0,IFERROR(INDEX(Elements_hybrides!$F$4:$F$204,MATCH(J141,Elements_hybrides!$A$4:$A$204,0))/(Inputs!$B$59*60),0)))</f>
        <v/>
      </c>
      <c r="N141" s="9">
        <f>IF(A141="","",IF(L141="",Inputs!$B$14,L141)+M141)</f>
        <v/>
      </c>
    </row>
    <row r="142">
      <c r="A142" s="4" t="n"/>
      <c r="B142" s="4" t="n"/>
      <c r="C142" s="4" t="n"/>
      <c r="D142" s="7" t="n"/>
      <c r="E142" s="7" t="n"/>
      <c r="F142" s="8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8">
        <f>IF(A142="","",N142)</f>
        <v/>
      </c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  <c r="L142" s="5" t="n"/>
      <c r="M142" s="9">
        <f>IF(A142="","",IF(OR(J142="",Inputs!$B$59=""),0,IFERROR(INDEX(Elements_hybrides!$F$4:$F$204,MATCH(J142,Elements_hybrides!$A$4:$A$204,0))/(Inputs!$B$59*60),0)))</f>
        <v/>
      </c>
      <c r="N142" s="9">
        <f>IF(A142="","",IF(L142="",Inputs!$B$14,L142)+M142)</f>
        <v/>
      </c>
    </row>
    <row r="143">
      <c r="A143" s="4" t="n"/>
      <c r="B143" s="4" t="n"/>
      <c r="C143" s="4" t="n"/>
      <c r="D143" s="7" t="n"/>
      <c r="E143" s="7" t="n"/>
      <c r="F143" s="8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8">
        <f>IF(A143="","",N143)</f>
        <v/>
      </c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  <c r="L143" s="5" t="n"/>
      <c r="M143" s="9">
        <f>IF(A143="","",IF(OR(J143="",Inputs!$B$59=""),0,IFERROR(INDEX(Elements_hybrides!$F$4:$F$204,MATCH(J143,Elements_hybrides!$A$4:$A$204,0))/(Inputs!$B$59*60),0)))</f>
        <v/>
      </c>
      <c r="N143" s="9">
        <f>IF(A143="","",IF(L143="",Inputs!$B$14,L143)+M143)</f>
        <v/>
      </c>
    </row>
    <row r="144">
      <c r="A144" s="4" t="n"/>
      <c r="B144" s="4" t="n"/>
      <c r="C144" s="4" t="n"/>
      <c r="D144" s="7" t="n"/>
      <c r="E144" s="7" t="n"/>
      <c r="F144" s="8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8">
        <f>IF(A144="","",N144)</f>
        <v/>
      </c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  <c r="L144" s="5" t="n"/>
      <c r="M144" s="9">
        <f>IF(A144="","",IF(OR(J144="",Inputs!$B$59=""),0,IFERROR(INDEX(Elements_hybrides!$F$4:$F$204,MATCH(J144,Elements_hybrides!$A$4:$A$204,0))/(Inputs!$B$59*60),0)))</f>
        <v/>
      </c>
      <c r="N144" s="9">
        <f>IF(A144="","",IF(L144="",Inputs!$B$14,L144)+M144)</f>
        <v/>
      </c>
    </row>
    <row r="145">
      <c r="A145" s="4" t="n"/>
      <c r="B145" s="4" t="n"/>
      <c r="C145" s="4" t="n"/>
      <c r="D145" s="7" t="n"/>
      <c r="E145" s="7" t="n"/>
      <c r="F145" s="8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8">
        <f>IF(A145="","",N145)</f>
        <v/>
      </c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  <c r="L145" s="5" t="n"/>
      <c r="M145" s="9">
        <f>IF(A145="","",IF(OR(J145="",Inputs!$B$59=""),0,IFERROR(INDEX(Elements_hybrides!$F$4:$F$204,MATCH(J145,Elements_hybrides!$A$4:$A$204,0))/(Inputs!$B$59*60),0)))</f>
        <v/>
      </c>
      <c r="N145" s="9">
        <f>IF(A145="","",IF(L145="",Inputs!$B$14,L145)+M145)</f>
        <v/>
      </c>
    </row>
    <row r="146">
      <c r="A146" s="4" t="n"/>
      <c r="B146" s="4" t="n"/>
      <c r="C146" s="4" t="n"/>
      <c r="D146" s="7" t="n"/>
      <c r="E146" s="7" t="n"/>
      <c r="F146" s="8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8">
        <f>IF(A146="","",N146)</f>
        <v/>
      </c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  <c r="L146" s="5" t="n"/>
      <c r="M146" s="9">
        <f>IF(A146="","",IF(OR(J146="",Inputs!$B$59=""),0,IFERROR(INDEX(Elements_hybrides!$F$4:$F$204,MATCH(J146,Elements_hybrides!$A$4:$A$204,0))/(Inputs!$B$59*60),0)))</f>
        <v/>
      </c>
      <c r="N146" s="9">
        <f>IF(A146="","",IF(L146="",Inputs!$B$14,L146)+M146)</f>
        <v/>
      </c>
    </row>
    <row r="147">
      <c r="A147" s="4" t="n"/>
      <c r="B147" s="4" t="n"/>
      <c r="C147" s="4" t="n"/>
      <c r="D147" s="7" t="n"/>
      <c r="E147" s="7" t="n"/>
      <c r="F147" s="8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8">
        <f>IF(A147="","",N147)</f>
        <v/>
      </c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  <c r="L147" s="5" t="n"/>
      <c r="M147" s="9">
        <f>IF(A147="","",IF(OR(J147="",Inputs!$B$59=""),0,IFERROR(INDEX(Elements_hybrides!$F$4:$F$204,MATCH(J147,Elements_hybrides!$A$4:$A$204,0))/(Inputs!$B$59*60),0)))</f>
        <v/>
      </c>
      <c r="N147" s="9">
        <f>IF(A147="","",IF(L147="",Inputs!$B$14,L147)+M147)</f>
        <v/>
      </c>
    </row>
    <row r="148">
      <c r="A148" s="4" t="n"/>
      <c r="B148" s="4" t="n"/>
      <c r="C148" s="4" t="n"/>
      <c r="D148" s="7" t="n"/>
      <c r="E148" s="7" t="n"/>
      <c r="F148" s="8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8">
        <f>IF(A148="","",N148)</f>
        <v/>
      </c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  <c r="L148" s="5" t="n"/>
      <c r="M148" s="9">
        <f>IF(A148="","",IF(OR(J148="",Inputs!$B$59=""),0,IFERROR(INDEX(Elements_hybrides!$F$4:$F$204,MATCH(J148,Elements_hybrides!$A$4:$A$204,0))/(Inputs!$B$59*60),0)))</f>
        <v/>
      </c>
      <c r="N148" s="9">
        <f>IF(A148="","",IF(L148="",Inputs!$B$14,L148)+M148)</f>
        <v/>
      </c>
    </row>
    <row r="149">
      <c r="A149" s="4" t="n"/>
      <c r="B149" s="4" t="n"/>
      <c r="C149" s="4" t="n"/>
      <c r="D149" s="7" t="n"/>
      <c r="E149" s="7" t="n"/>
      <c r="F149" s="8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8">
        <f>IF(A149="","",N149)</f>
        <v/>
      </c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  <c r="L149" s="5" t="n"/>
      <c r="M149" s="9">
        <f>IF(A149="","",IF(OR(J149="",Inputs!$B$59=""),0,IFERROR(INDEX(Elements_hybrides!$F$4:$F$204,MATCH(J149,Elements_hybrides!$A$4:$A$204,0))/(Inputs!$B$59*60),0)))</f>
        <v/>
      </c>
      <c r="N149" s="9">
        <f>IF(A149="","",IF(L149="",Inputs!$B$14,L149)+M149)</f>
        <v/>
      </c>
    </row>
    <row r="150">
      <c r="A150" s="4" t="n"/>
      <c r="B150" s="4" t="n"/>
      <c r="C150" s="4" t="n"/>
      <c r="D150" s="7" t="n"/>
      <c r="E150" s="7" t="n"/>
      <c r="F150" s="8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8">
        <f>IF(A150="","",N150)</f>
        <v/>
      </c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  <c r="L150" s="5" t="n"/>
      <c r="M150" s="9">
        <f>IF(A150="","",IF(OR(J150="",Inputs!$B$59=""),0,IFERROR(INDEX(Elements_hybrides!$F$4:$F$204,MATCH(J150,Elements_hybrides!$A$4:$A$204,0))/(Inputs!$B$59*60),0)))</f>
        <v/>
      </c>
      <c r="N150" s="9">
        <f>IF(A150="","",IF(L150="",Inputs!$B$14,L150)+M150)</f>
        <v/>
      </c>
    </row>
    <row r="151">
      <c r="A151" s="4" t="n"/>
      <c r="B151" s="4" t="n"/>
      <c r="C151" s="4" t="n"/>
      <c r="D151" s="7" t="n"/>
      <c r="E151" s="7" t="n"/>
      <c r="F151" s="8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8">
        <f>IF(A151="","",N151)</f>
        <v/>
      </c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  <c r="L151" s="5" t="n"/>
      <c r="M151" s="9">
        <f>IF(A151="","",IF(OR(J151="",Inputs!$B$59=""),0,IFERROR(INDEX(Elements_hybrides!$F$4:$F$204,MATCH(J151,Elements_hybrides!$A$4:$A$204,0))/(Inputs!$B$59*60),0)))</f>
        <v/>
      </c>
      <c r="N151" s="9">
        <f>IF(A151="","",IF(L151="",Inputs!$B$14,L151)+M151)</f>
        <v/>
      </c>
    </row>
    <row r="152">
      <c r="A152" s="4" t="n"/>
      <c r="B152" s="4" t="n"/>
      <c r="C152" s="4" t="n"/>
      <c r="D152" s="7" t="n"/>
      <c r="E152" s="7" t="n"/>
      <c r="F152" s="8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8">
        <f>IF(A152="","",N152)</f>
        <v/>
      </c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  <c r="L152" s="5" t="n"/>
      <c r="M152" s="9">
        <f>IF(A152="","",IF(OR(J152="",Inputs!$B$59=""),0,IFERROR(INDEX(Elements_hybrides!$F$4:$F$204,MATCH(J152,Elements_hybrides!$A$4:$A$204,0))/(Inputs!$B$59*60),0)))</f>
        <v/>
      </c>
      <c r="N152" s="9">
        <f>IF(A152="","",IF(L152="",Inputs!$B$14,L152)+M152)</f>
        <v/>
      </c>
    </row>
    <row r="153">
      <c r="A153" s="4" t="n"/>
      <c r="B153" s="4" t="n"/>
      <c r="C153" s="4" t="n"/>
      <c r="D153" s="7" t="n"/>
      <c r="E153" s="7" t="n"/>
      <c r="F153" s="8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8">
        <f>IF(A153="","",N153)</f>
        <v/>
      </c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  <c r="L153" s="5" t="n"/>
      <c r="M153" s="9">
        <f>IF(A153="","",IF(OR(J153="",Inputs!$B$59=""),0,IFERROR(INDEX(Elements_hybrides!$F$4:$F$204,MATCH(J153,Elements_hybrides!$A$4:$A$204,0))/(Inputs!$B$59*60),0)))</f>
        <v/>
      </c>
      <c r="N153" s="9">
        <f>IF(A153="","",IF(L153="",Inputs!$B$14,L153)+M153)</f>
        <v/>
      </c>
    </row>
    <row r="154">
      <c r="A154" s="4" t="n"/>
      <c r="B154" s="4" t="n"/>
      <c r="C154" s="4" t="n"/>
      <c r="D154" s="7" t="n"/>
      <c r="E154" s="7" t="n"/>
      <c r="F154" s="8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8">
        <f>IF(A154="","",N154)</f>
        <v/>
      </c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  <c r="L154" s="5" t="n"/>
      <c r="M154" s="9">
        <f>IF(A154="","",IF(OR(J154="",Inputs!$B$59=""),0,IFERROR(INDEX(Elements_hybrides!$F$4:$F$204,MATCH(J154,Elements_hybrides!$A$4:$A$204,0))/(Inputs!$B$59*60),0)))</f>
        <v/>
      </c>
      <c r="N154" s="9">
        <f>IF(A154="","",IF(L154="",Inputs!$B$14,L154)+M154)</f>
        <v/>
      </c>
    </row>
    <row r="155">
      <c r="A155" s="4" t="n"/>
      <c r="B155" s="4" t="n"/>
      <c r="C155" s="4" t="n"/>
      <c r="D155" s="7" t="n"/>
      <c r="E155" s="7" t="n"/>
      <c r="F155" s="8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8">
        <f>IF(A155="","",N155)</f>
        <v/>
      </c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  <c r="L155" s="5" t="n"/>
      <c r="M155" s="9">
        <f>IF(A155="","",IF(OR(J155="",Inputs!$B$59=""),0,IFERROR(INDEX(Elements_hybrides!$F$4:$F$204,MATCH(J155,Elements_hybrides!$A$4:$A$204,0))/(Inputs!$B$59*60),0)))</f>
        <v/>
      </c>
      <c r="N155" s="9">
        <f>IF(A155="","",IF(L155="",Inputs!$B$14,L155)+M155)</f>
        <v/>
      </c>
    </row>
    <row r="156">
      <c r="A156" s="4" t="n"/>
      <c r="B156" s="4" t="n"/>
      <c r="C156" s="4" t="n"/>
      <c r="D156" s="7" t="n"/>
      <c r="E156" s="7" t="n"/>
      <c r="F156" s="8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8">
        <f>IF(A156="","",N156)</f>
        <v/>
      </c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  <c r="L156" s="5" t="n"/>
      <c r="M156" s="9">
        <f>IF(A156="","",IF(OR(J156="",Inputs!$B$59=""),0,IFERROR(INDEX(Elements_hybrides!$F$4:$F$204,MATCH(J156,Elements_hybrides!$A$4:$A$204,0))/(Inputs!$B$59*60),0)))</f>
        <v/>
      </c>
      <c r="N156" s="9">
        <f>IF(A156="","",IF(L156="",Inputs!$B$14,L156)+M156)</f>
        <v/>
      </c>
    </row>
    <row r="157">
      <c r="A157" s="4" t="n"/>
      <c r="B157" s="4" t="n"/>
      <c r="C157" s="4" t="n"/>
      <c r="D157" s="7" t="n"/>
      <c r="E157" s="7" t="n"/>
      <c r="F157" s="8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8">
        <f>IF(A157="","",N157)</f>
        <v/>
      </c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  <c r="L157" s="5" t="n"/>
      <c r="M157" s="9">
        <f>IF(A157="","",IF(OR(J157="",Inputs!$B$59=""),0,IFERROR(INDEX(Elements_hybrides!$F$4:$F$204,MATCH(J157,Elements_hybrides!$A$4:$A$204,0))/(Inputs!$B$59*60),0)))</f>
        <v/>
      </c>
      <c r="N157" s="9">
        <f>IF(A157="","",IF(L157="",Inputs!$B$14,L157)+M157)</f>
        <v/>
      </c>
    </row>
    <row r="158">
      <c r="A158" s="4" t="n"/>
      <c r="B158" s="4" t="n"/>
      <c r="C158" s="4" t="n"/>
      <c r="D158" s="7" t="n"/>
      <c r="E158" s="7" t="n"/>
      <c r="F158" s="8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8">
        <f>IF(A158="","",N158)</f>
        <v/>
      </c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  <c r="L158" s="5" t="n"/>
      <c r="M158" s="9">
        <f>IF(A158="","",IF(OR(J158="",Inputs!$B$59=""),0,IFERROR(INDEX(Elements_hybrides!$F$4:$F$204,MATCH(J158,Elements_hybrides!$A$4:$A$204,0))/(Inputs!$B$59*60),0)))</f>
        <v/>
      </c>
      <c r="N158" s="9">
        <f>IF(A158="","",IF(L158="",Inputs!$B$14,L158)+M158)</f>
        <v/>
      </c>
    </row>
    <row r="159">
      <c r="A159" s="4" t="n"/>
      <c r="B159" s="4" t="n"/>
      <c r="C159" s="4" t="n"/>
      <c r="D159" s="7" t="n"/>
      <c r="E159" s="7" t="n"/>
      <c r="F159" s="8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8">
        <f>IF(A159="","",N159)</f>
        <v/>
      </c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  <c r="L159" s="5" t="n"/>
      <c r="M159" s="9">
        <f>IF(A159="","",IF(OR(J159="",Inputs!$B$59=""),0,IFERROR(INDEX(Elements_hybrides!$F$4:$F$204,MATCH(J159,Elements_hybrides!$A$4:$A$204,0))/(Inputs!$B$59*60),0)))</f>
        <v/>
      </c>
      <c r="N159" s="9">
        <f>IF(A159="","",IF(L159="",Inputs!$B$14,L159)+M159)</f>
        <v/>
      </c>
    </row>
    <row r="160">
      <c r="A160" s="4" t="n"/>
      <c r="B160" s="4" t="n"/>
      <c r="C160" s="4" t="n"/>
      <c r="D160" s="7" t="n"/>
      <c r="E160" s="7" t="n"/>
      <c r="F160" s="8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8">
        <f>IF(A160="","",N160)</f>
        <v/>
      </c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  <c r="L160" s="5" t="n"/>
      <c r="M160" s="9">
        <f>IF(A160="","",IF(OR(J160="",Inputs!$B$59=""),0,IFERROR(INDEX(Elements_hybrides!$F$4:$F$204,MATCH(J160,Elements_hybrides!$A$4:$A$204,0))/(Inputs!$B$59*60),0)))</f>
        <v/>
      </c>
      <c r="N160" s="9">
        <f>IF(A160="","",IF(L160="",Inputs!$B$14,L160)+M160)</f>
        <v/>
      </c>
    </row>
    <row r="161">
      <c r="A161" s="4" t="n"/>
      <c r="B161" s="4" t="n"/>
      <c r="C161" s="4" t="n"/>
      <c r="D161" s="7" t="n"/>
      <c r="E161" s="7" t="n"/>
      <c r="F161" s="8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8">
        <f>IF(A161="","",N161)</f>
        <v/>
      </c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  <c r="L161" s="5" t="n"/>
      <c r="M161" s="9">
        <f>IF(A161="","",IF(OR(J161="",Inputs!$B$59=""),0,IFERROR(INDEX(Elements_hybrides!$F$4:$F$204,MATCH(J161,Elements_hybrides!$A$4:$A$204,0))/(Inputs!$B$59*60),0)))</f>
        <v/>
      </c>
      <c r="N161" s="9">
        <f>IF(A161="","",IF(L161="",Inputs!$B$14,L161)+M161)</f>
        <v/>
      </c>
    </row>
    <row r="162">
      <c r="A162" s="4" t="n"/>
      <c r="B162" s="4" t="n"/>
      <c r="C162" s="4" t="n"/>
      <c r="D162" s="7" t="n"/>
      <c r="E162" s="7" t="n"/>
      <c r="F162" s="8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8">
        <f>IF(A162="","",N162)</f>
        <v/>
      </c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  <c r="L162" s="5" t="n"/>
      <c r="M162" s="9">
        <f>IF(A162="","",IF(OR(J162="",Inputs!$B$59=""),0,IFERROR(INDEX(Elements_hybrides!$F$4:$F$204,MATCH(J162,Elements_hybrides!$A$4:$A$204,0))/(Inputs!$B$59*60),0)))</f>
        <v/>
      </c>
      <c r="N162" s="9">
        <f>IF(A162="","",IF(L162="",Inputs!$B$14,L162)+M162)</f>
        <v/>
      </c>
    </row>
    <row r="163">
      <c r="A163" s="4" t="n"/>
      <c r="B163" s="4" t="n"/>
      <c r="C163" s="4" t="n"/>
      <c r="D163" s="7" t="n"/>
      <c r="E163" s="7" t="n"/>
      <c r="F163" s="8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8">
        <f>IF(A163="","",N163)</f>
        <v/>
      </c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  <c r="L163" s="5" t="n"/>
      <c r="M163" s="9">
        <f>IF(A163="","",IF(OR(J163="",Inputs!$B$59=""),0,IFERROR(INDEX(Elements_hybrides!$F$4:$F$204,MATCH(J163,Elements_hybrides!$A$4:$A$204,0))/(Inputs!$B$59*60),0)))</f>
        <v/>
      </c>
      <c r="N163" s="9">
        <f>IF(A163="","",IF(L163="",Inputs!$B$14,L163)+M163)</f>
        <v/>
      </c>
    </row>
    <row r="164">
      <c r="A164" s="4" t="n"/>
      <c r="B164" s="4" t="n"/>
      <c r="C164" s="4" t="n"/>
      <c r="D164" s="7" t="n"/>
      <c r="E164" s="7" t="n"/>
      <c r="F164" s="8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8">
        <f>IF(A164="","",N164)</f>
        <v/>
      </c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  <c r="L164" s="5" t="n"/>
      <c r="M164" s="9">
        <f>IF(A164="","",IF(OR(J164="",Inputs!$B$59=""),0,IFERROR(INDEX(Elements_hybrides!$F$4:$F$204,MATCH(J164,Elements_hybrides!$A$4:$A$204,0))/(Inputs!$B$59*60),0)))</f>
        <v/>
      </c>
      <c r="N164" s="9">
        <f>IF(A164="","",IF(L164="",Inputs!$B$14,L164)+M164)</f>
        <v/>
      </c>
    </row>
    <row r="165">
      <c r="A165" s="4" t="n"/>
      <c r="B165" s="4" t="n"/>
      <c r="C165" s="4" t="n"/>
      <c r="D165" s="7" t="n"/>
      <c r="E165" s="7" t="n"/>
      <c r="F165" s="8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8">
        <f>IF(A165="","",N165)</f>
        <v/>
      </c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  <c r="L165" s="5" t="n"/>
      <c r="M165" s="9">
        <f>IF(A165="","",IF(OR(J165="",Inputs!$B$59=""),0,IFERROR(INDEX(Elements_hybrides!$F$4:$F$204,MATCH(J165,Elements_hybrides!$A$4:$A$204,0))/(Inputs!$B$59*60),0)))</f>
        <v/>
      </c>
      <c r="N165" s="9">
        <f>IF(A165="","",IF(L165="",Inputs!$B$14,L165)+M165)</f>
        <v/>
      </c>
    </row>
    <row r="166">
      <c r="A166" s="4" t="n"/>
      <c r="B166" s="4" t="n"/>
      <c r="C166" s="4" t="n"/>
      <c r="D166" s="7" t="n"/>
      <c r="E166" s="7" t="n"/>
      <c r="F166" s="8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8">
        <f>IF(A166="","",N166)</f>
        <v/>
      </c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  <c r="L166" s="5" t="n"/>
      <c r="M166" s="9">
        <f>IF(A166="","",IF(OR(J166="",Inputs!$B$59=""),0,IFERROR(INDEX(Elements_hybrides!$F$4:$F$204,MATCH(J166,Elements_hybrides!$A$4:$A$204,0))/(Inputs!$B$59*60),0)))</f>
        <v/>
      </c>
      <c r="N166" s="9">
        <f>IF(A166="","",IF(L166="",Inputs!$B$14,L166)+M166)</f>
        <v/>
      </c>
    </row>
    <row r="167">
      <c r="A167" s="4" t="n"/>
      <c r="B167" s="4" t="n"/>
      <c r="C167" s="4" t="n"/>
      <c r="D167" s="7" t="n"/>
      <c r="E167" s="7" t="n"/>
      <c r="F167" s="8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8">
        <f>IF(A167="","",N167)</f>
        <v/>
      </c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  <c r="L167" s="5" t="n"/>
      <c r="M167" s="9">
        <f>IF(A167="","",IF(OR(J167="",Inputs!$B$59=""),0,IFERROR(INDEX(Elements_hybrides!$F$4:$F$204,MATCH(J167,Elements_hybrides!$A$4:$A$204,0))/(Inputs!$B$59*60),0)))</f>
        <v/>
      </c>
      <c r="N167" s="9">
        <f>IF(A167="","",IF(L167="",Inputs!$B$14,L167)+M167)</f>
        <v/>
      </c>
    </row>
    <row r="168">
      <c r="A168" s="4" t="n"/>
      <c r="B168" s="4" t="n"/>
      <c r="C168" s="4" t="n"/>
      <c r="D168" s="7" t="n"/>
      <c r="E168" s="7" t="n"/>
      <c r="F168" s="8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8">
        <f>IF(A168="","",N168)</f>
        <v/>
      </c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  <c r="L168" s="5" t="n"/>
      <c r="M168" s="9">
        <f>IF(A168="","",IF(OR(J168="",Inputs!$B$59=""),0,IFERROR(INDEX(Elements_hybrides!$F$4:$F$204,MATCH(J168,Elements_hybrides!$A$4:$A$204,0))/(Inputs!$B$59*60),0)))</f>
        <v/>
      </c>
      <c r="N168" s="9">
        <f>IF(A168="","",IF(L168="",Inputs!$B$14,L168)+M168)</f>
        <v/>
      </c>
    </row>
    <row r="169">
      <c r="A169" s="4" t="n"/>
      <c r="B169" s="4" t="n"/>
      <c r="C169" s="4" t="n"/>
      <c r="D169" s="7" t="n"/>
      <c r="E169" s="7" t="n"/>
      <c r="F169" s="8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8">
        <f>IF(A169="","",N169)</f>
        <v/>
      </c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  <c r="L169" s="5" t="n"/>
      <c r="M169" s="9">
        <f>IF(A169="","",IF(OR(J169="",Inputs!$B$59=""),0,IFERROR(INDEX(Elements_hybrides!$F$4:$F$204,MATCH(J169,Elements_hybrides!$A$4:$A$204,0))/(Inputs!$B$59*60),0)))</f>
        <v/>
      </c>
      <c r="N169" s="9">
        <f>IF(A169="","",IF(L169="",Inputs!$B$14,L169)+M169)</f>
        <v/>
      </c>
    </row>
    <row r="170">
      <c r="A170" s="4" t="n"/>
      <c r="B170" s="4" t="n"/>
      <c r="C170" s="4" t="n"/>
      <c r="D170" s="7" t="n"/>
      <c r="E170" s="7" t="n"/>
      <c r="F170" s="8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8">
        <f>IF(A170="","",N170)</f>
        <v/>
      </c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  <c r="L170" s="5" t="n"/>
      <c r="M170" s="9">
        <f>IF(A170="","",IF(OR(J170="",Inputs!$B$59=""),0,IFERROR(INDEX(Elements_hybrides!$F$4:$F$204,MATCH(J170,Elements_hybrides!$A$4:$A$204,0))/(Inputs!$B$59*60),0)))</f>
        <v/>
      </c>
      <c r="N170" s="9">
        <f>IF(A170="","",IF(L170="",Inputs!$B$14,L170)+M170)</f>
        <v/>
      </c>
    </row>
    <row r="171">
      <c r="A171" s="4" t="n"/>
      <c r="B171" s="4" t="n"/>
      <c r="C171" s="4" t="n"/>
      <c r="D171" s="7" t="n"/>
      <c r="E171" s="7" t="n"/>
      <c r="F171" s="8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8">
        <f>IF(A171="","",N171)</f>
        <v/>
      </c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  <c r="L171" s="5" t="n"/>
      <c r="M171" s="9">
        <f>IF(A171="","",IF(OR(J171="",Inputs!$B$59=""),0,IFERROR(INDEX(Elements_hybrides!$F$4:$F$204,MATCH(J171,Elements_hybrides!$A$4:$A$204,0))/(Inputs!$B$59*60),0)))</f>
        <v/>
      </c>
      <c r="N171" s="9">
        <f>IF(A171="","",IF(L171="",Inputs!$B$14,L171)+M171)</f>
        <v/>
      </c>
    </row>
    <row r="172">
      <c r="A172" s="4" t="n"/>
      <c r="B172" s="4" t="n"/>
      <c r="C172" s="4" t="n"/>
      <c r="D172" s="7" t="n"/>
      <c r="E172" s="7" t="n"/>
      <c r="F172" s="8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8">
        <f>IF(A172="","",N172)</f>
        <v/>
      </c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  <c r="L172" s="5" t="n"/>
      <c r="M172" s="9">
        <f>IF(A172="","",IF(OR(J172="",Inputs!$B$59=""),0,IFERROR(INDEX(Elements_hybrides!$F$4:$F$204,MATCH(J172,Elements_hybrides!$A$4:$A$204,0))/(Inputs!$B$59*60),0)))</f>
        <v/>
      </c>
      <c r="N172" s="9">
        <f>IF(A172="","",IF(L172="",Inputs!$B$14,L172)+M172)</f>
        <v/>
      </c>
    </row>
    <row r="173">
      <c r="A173" s="4" t="n"/>
      <c r="B173" s="4" t="n"/>
      <c r="C173" s="4" t="n"/>
      <c r="D173" s="7" t="n"/>
      <c r="E173" s="7" t="n"/>
      <c r="F173" s="8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8">
        <f>IF(A173="","",N173)</f>
        <v/>
      </c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  <c r="L173" s="5" t="n"/>
      <c r="M173" s="9">
        <f>IF(A173="","",IF(OR(J173="",Inputs!$B$59=""),0,IFERROR(INDEX(Elements_hybrides!$F$4:$F$204,MATCH(J173,Elements_hybrides!$A$4:$A$204,0))/(Inputs!$B$59*60),0)))</f>
        <v/>
      </c>
      <c r="N173" s="9">
        <f>IF(A173="","",IF(L173="",Inputs!$B$14,L173)+M173)</f>
        <v/>
      </c>
    </row>
    <row r="174">
      <c r="A174" s="4" t="n"/>
      <c r="B174" s="4" t="n"/>
      <c r="C174" s="4" t="n"/>
      <c r="D174" s="7" t="n"/>
      <c r="E174" s="7" t="n"/>
      <c r="F174" s="8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8">
        <f>IF(A174="","",N174)</f>
        <v/>
      </c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  <c r="L174" s="5" t="n"/>
      <c r="M174" s="9">
        <f>IF(A174="","",IF(OR(J174="",Inputs!$B$59=""),0,IFERROR(INDEX(Elements_hybrides!$F$4:$F$204,MATCH(J174,Elements_hybrides!$A$4:$A$204,0))/(Inputs!$B$59*60),0)))</f>
        <v/>
      </c>
      <c r="N174" s="9">
        <f>IF(A174="","",IF(L174="",Inputs!$B$14,L174)+M174)</f>
        <v/>
      </c>
    </row>
    <row r="175">
      <c r="A175" s="4" t="n"/>
      <c r="B175" s="4" t="n"/>
      <c r="C175" s="4" t="n"/>
      <c r="D175" s="7" t="n"/>
      <c r="E175" s="7" t="n"/>
      <c r="F175" s="8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8">
        <f>IF(A175="","",N175)</f>
        <v/>
      </c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  <c r="L175" s="5" t="n"/>
      <c r="M175" s="9">
        <f>IF(A175="","",IF(OR(J175="",Inputs!$B$59=""),0,IFERROR(INDEX(Elements_hybrides!$F$4:$F$204,MATCH(J175,Elements_hybrides!$A$4:$A$204,0))/(Inputs!$B$59*60),0)))</f>
        <v/>
      </c>
      <c r="N175" s="9">
        <f>IF(A175="","",IF(L175="",Inputs!$B$14,L175)+M175)</f>
        <v/>
      </c>
    </row>
    <row r="176">
      <c r="A176" s="4" t="n"/>
      <c r="B176" s="4" t="n"/>
      <c r="C176" s="4" t="n"/>
      <c r="D176" s="7" t="n"/>
      <c r="E176" s="7" t="n"/>
      <c r="F176" s="8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8">
        <f>IF(A176="","",N176)</f>
        <v/>
      </c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  <c r="L176" s="5" t="n"/>
      <c r="M176" s="9">
        <f>IF(A176="","",IF(OR(J176="",Inputs!$B$59=""),0,IFERROR(INDEX(Elements_hybrides!$F$4:$F$204,MATCH(J176,Elements_hybrides!$A$4:$A$204,0))/(Inputs!$B$59*60),0)))</f>
        <v/>
      </c>
      <c r="N176" s="9">
        <f>IF(A176="","",IF(L176="",Inputs!$B$14,L176)+M176)</f>
        <v/>
      </c>
    </row>
    <row r="177">
      <c r="A177" s="4" t="n"/>
      <c r="B177" s="4" t="n"/>
      <c r="C177" s="4" t="n"/>
      <c r="D177" s="7" t="n"/>
      <c r="E177" s="7" t="n"/>
      <c r="F177" s="8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8">
        <f>IF(A177="","",N177)</f>
        <v/>
      </c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  <c r="L177" s="5" t="n"/>
      <c r="M177" s="9">
        <f>IF(A177="","",IF(OR(J177="",Inputs!$B$59=""),0,IFERROR(INDEX(Elements_hybrides!$F$4:$F$204,MATCH(J177,Elements_hybrides!$A$4:$A$204,0))/(Inputs!$B$59*60),0)))</f>
        <v/>
      </c>
      <c r="N177" s="9">
        <f>IF(A177="","",IF(L177="",Inputs!$B$14,L177)+M177)</f>
        <v/>
      </c>
    </row>
    <row r="178">
      <c r="A178" s="4" t="n"/>
      <c r="B178" s="4" t="n"/>
      <c r="C178" s="4" t="n"/>
      <c r="D178" s="7" t="n"/>
      <c r="E178" s="7" t="n"/>
      <c r="F178" s="8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8">
        <f>IF(A178="","",N178)</f>
        <v/>
      </c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  <c r="L178" s="5" t="n"/>
      <c r="M178" s="9">
        <f>IF(A178="","",IF(OR(J178="",Inputs!$B$59=""),0,IFERROR(INDEX(Elements_hybrides!$F$4:$F$204,MATCH(J178,Elements_hybrides!$A$4:$A$204,0))/(Inputs!$B$59*60),0)))</f>
        <v/>
      </c>
      <c r="N178" s="9">
        <f>IF(A178="","",IF(L178="",Inputs!$B$14,L178)+M178)</f>
        <v/>
      </c>
    </row>
    <row r="179">
      <c r="A179" s="4" t="n"/>
      <c r="B179" s="4" t="n"/>
      <c r="C179" s="4" t="n"/>
      <c r="D179" s="7" t="n"/>
      <c r="E179" s="7" t="n"/>
      <c r="F179" s="8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8">
        <f>IF(A179="","",N179)</f>
        <v/>
      </c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  <c r="L179" s="5" t="n"/>
      <c r="M179" s="9">
        <f>IF(A179="","",IF(OR(J179="",Inputs!$B$59=""),0,IFERROR(INDEX(Elements_hybrides!$F$4:$F$204,MATCH(J179,Elements_hybrides!$A$4:$A$204,0))/(Inputs!$B$59*60),0)))</f>
        <v/>
      </c>
      <c r="N179" s="9">
        <f>IF(A179="","",IF(L179="",Inputs!$B$14,L179)+M179)</f>
        <v/>
      </c>
    </row>
    <row r="180">
      <c r="A180" s="4" t="n"/>
      <c r="B180" s="4" t="n"/>
      <c r="C180" s="4" t="n"/>
      <c r="D180" s="7" t="n"/>
      <c r="E180" s="7" t="n"/>
      <c r="F180" s="8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8">
        <f>IF(A180="","",N180)</f>
        <v/>
      </c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  <c r="L180" s="5" t="n"/>
      <c r="M180" s="9">
        <f>IF(A180="","",IF(OR(J180="",Inputs!$B$59=""),0,IFERROR(INDEX(Elements_hybrides!$F$4:$F$204,MATCH(J180,Elements_hybrides!$A$4:$A$204,0))/(Inputs!$B$59*60),0)))</f>
        <v/>
      </c>
      <c r="N180" s="9">
        <f>IF(A180="","",IF(L180="",Inputs!$B$14,L180)+M180)</f>
        <v/>
      </c>
    </row>
    <row r="181">
      <c r="A181" s="4" t="n"/>
      <c r="B181" s="4" t="n"/>
      <c r="C181" s="4" t="n"/>
      <c r="D181" s="7" t="n"/>
      <c r="E181" s="7" t="n"/>
      <c r="F181" s="8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8">
        <f>IF(A181="","",N181)</f>
        <v/>
      </c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  <c r="L181" s="5" t="n"/>
      <c r="M181" s="9">
        <f>IF(A181="","",IF(OR(J181="",Inputs!$B$59=""),0,IFERROR(INDEX(Elements_hybrides!$F$4:$F$204,MATCH(J181,Elements_hybrides!$A$4:$A$204,0))/(Inputs!$B$59*60),0)))</f>
        <v/>
      </c>
      <c r="N181" s="9">
        <f>IF(A181="","",IF(L181="",Inputs!$B$14,L181)+M181)</f>
        <v/>
      </c>
    </row>
    <row r="182">
      <c r="A182" s="4" t="n"/>
      <c r="B182" s="4" t="n"/>
      <c r="C182" s="4" t="n"/>
      <c r="D182" s="7" t="n"/>
      <c r="E182" s="7" t="n"/>
      <c r="F182" s="8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8">
        <f>IF(A182="","",N182)</f>
        <v/>
      </c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  <c r="L182" s="5" t="n"/>
      <c r="M182" s="9">
        <f>IF(A182="","",IF(OR(J182="",Inputs!$B$59=""),0,IFERROR(INDEX(Elements_hybrides!$F$4:$F$204,MATCH(J182,Elements_hybrides!$A$4:$A$204,0))/(Inputs!$B$59*60),0)))</f>
        <v/>
      </c>
      <c r="N182" s="9">
        <f>IF(A182="","",IF(L182="",Inputs!$B$14,L182)+M182)</f>
        <v/>
      </c>
    </row>
    <row r="183">
      <c r="A183" s="4" t="n"/>
      <c r="B183" s="4" t="n"/>
      <c r="C183" s="4" t="n"/>
      <c r="D183" s="7" t="n"/>
      <c r="E183" s="7" t="n"/>
      <c r="F183" s="8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8">
        <f>IF(A183="","",N183)</f>
        <v/>
      </c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  <c r="L183" s="5" t="n"/>
      <c r="M183" s="9">
        <f>IF(A183="","",IF(OR(J183="",Inputs!$B$59=""),0,IFERROR(INDEX(Elements_hybrides!$F$4:$F$204,MATCH(J183,Elements_hybrides!$A$4:$A$204,0))/(Inputs!$B$59*60),0)))</f>
        <v/>
      </c>
      <c r="N183" s="9">
        <f>IF(A183="","",IF(L183="",Inputs!$B$14,L183)+M183)</f>
        <v/>
      </c>
    </row>
    <row r="184">
      <c r="A184" s="4" t="n"/>
      <c r="B184" s="4" t="n"/>
      <c r="C184" s="4" t="n"/>
      <c r="D184" s="7" t="n"/>
      <c r="E184" s="7" t="n"/>
      <c r="F184" s="8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8">
        <f>IF(A184="","",N184)</f>
        <v/>
      </c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  <c r="L184" s="5" t="n"/>
      <c r="M184" s="9">
        <f>IF(A184="","",IF(OR(J184="",Inputs!$B$59=""),0,IFERROR(INDEX(Elements_hybrides!$F$4:$F$204,MATCH(J184,Elements_hybrides!$A$4:$A$204,0))/(Inputs!$B$59*60),0)))</f>
        <v/>
      </c>
      <c r="N184" s="9">
        <f>IF(A184="","",IF(L184="",Inputs!$B$14,L184)+M184)</f>
        <v/>
      </c>
    </row>
    <row r="185">
      <c r="A185" s="4" t="n"/>
      <c r="B185" s="4" t="n"/>
      <c r="C185" s="4" t="n"/>
      <c r="D185" s="7" t="n"/>
      <c r="E185" s="7" t="n"/>
      <c r="F185" s="8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8">
        <f>IF(A185="","",N185)</f>
        <v/>
      </c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  <c r="L185" s="5" t="n"/>
      <c r="M185" s="9">
        <f>IF(A185="","",IF(OR(J185="",Inputs!$B$59=""),0,IFERROR(INDEX(Elements_hybrides!$F$4:$F$204,MATCH(J185,Elements_hybrides!$A$4:$A$204,0))/(Inputs!$B$59*60),0)))</f>
        <v/>
      </c>
      <c r="N185" s="9">
        <f>IF(A185="","",IF(L185="",Inputs!$B$14,L185)+M185)</f>
        <v/>
      </c>
    </row>
    <row r="186">
      <c r="A186" s="4" t="n"/>
      <c r="B186" s="4" t="n"/>
      <c r="C186" s="4" t="n"/>
      <c r="D186" s="7" t="n"/>
      <c r="E186" s="7" t="n"/>
      <c r="F186" s="8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8">
        <f>IF(A186="","",N186)</f>
        <v/>
      </c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  <c r="L186" s="5" t="n"/>
      <c r="M186" s="9">
        <f>IF(A186="","",IF(OR(J186="",Inputs!$B$59=""),0,IFERROR(INDEX(Elements_hybrides!$F$4:$F$204,MATCH(J186,Elements_hybrides!$A$4:$A$204,0))/(Inputs!$B$59*60),0)))</f>
        <v/>
      </c>
      <c r="N186" s="9">
        <f>IF(A186="","",IF(L186="",Inputs!$B$14,L186)+M186)</f>
        <v/>
      </c>
    </row>
    <row r="187">
      <c r="A187" s="4" t="n"/>
      <c r="B187" s="4" t="n"/>
      <c r="C187" s="4" t="n"/>
      <c r="D187" s="7" t="n"/>
      <c r="E187" s="7" t="n"/>
      <c r="F187" s="8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8">
        <f>IF(A187="","",N187)</f>
        <v/>
      </c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  <c r="L187" s="5" t="n"/>
      <c r="M187" s="9">
        <f>IF(A187="","",IF(OR(J187="",Inputs!$B$59=""),0,IFERROR(INDEX(Elements_hybrides!$F$4:$F$204,MATCH(J187,Elements_hybrides!$A$4:$A$204,0))/(Inputs!$B$59*60),0)))</f>
        <v/>
      </c>
      <c r="N187" s="9">
        <f>IF(A187="","",IF(L187="",Inputs!$B$14,L187)+M187)</f>
        <v/>
      </c>
    </row>
    <row r="188">
      <c r="A188" s="4" t="n"/>
      <c r="B188" s="4" t="n"/>
      <c r="C188" s="4" t="n"/>
      <c r="D188" s="7" t="n"/>
      <c r="E188" s="7" t="n"/>
      <c r="F188" s="8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8">
        <f>IF(A188="","",N188)</f>
        <v/>
      </c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  <c r="L188" s="5" t="n"/>
      <c r="M188" s="9">
        <f>IF(A188="","",IF(OR(J188="",Inputs!$B$59=""),0,IFERROR(INDEX(Elements_hybrides!$F$4:$F$204,MATCH(J188,Elements_hybrides!$A$4:$A$204,0))/(Inputs!$B$59*60),0)))</f>
        <v/>
      </c>
      <c r="N188" s="9">
        <f>IF(A188="","",IF(L188="",Inputs!$B$14,L188)+M188)</f>
        <v/>
      </c>
    </row>
    <row r="189">
      <c r="A189" s="4" t="n"/>
      <c r="B189" s="4" t="n"/>
      <c r="C189" s="4" t="n"/>
      <c r="D189" s="7" t="n"/>
      <c r="E189" s="7" t="n"/>
      <c r="F189" s="8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8">
        <f>IF(A189="","",N189)</f>
        <v/>
      </c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  <c r="L189" s="5" t="n"/>
      <c r="M189" s="9">
        <f>IF(A189="","",IF(OR(J189="",Inputs!$B$59=""),0,IFERROR(INDEX(Elements_hybrides!$F$4:$F$204,MATCH(J189,Elements_hybrides!$A$4:$A$204,0))/(Inputs!$B$59*60),0)))</f>
        <v/>
      </c>
      <c r="N189" s="9">
        <f>IF(A189="","",IF(L189="",Inputs!$B$14,L189)+M189)</f>
        <v/>
      </c>
    </row>
    <row r="190">
      <c r="A190" s="4" t="n"/>
      <c r="B190" s="4" t="n"/>
      <c r="C190" s="4" t="n"/>
      <c r="D190" s="7" t="n"/>
      <c r="E190" s="7" t="n"/>
      <c r="F190" s="8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8">
        <f>IF(A190="","",N190)</f>
        <v/>
      </c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  <c r="L190" s="5" t="n"/>
      <c r="M190" s="9">
        <f>IF(A190="","",IF(OR(J190="",Inputs!$B$59=""),0,IFERROR(INDEX(Elements_hybrides!$F$4:$F$204,MATCH(J190,Elements_hybrides!$A$4:$A$204,0))/(Inputs!$B$59*60),0)))</f>
        <v/>
      </c>
      <c r="N190" s="9">
        <f>IF(A190="","",IF(L190="",Inputs!$B$14,L190)+M190)</f>
        <v/>
      </c>
    </row>
    <row r="191">
      <c r="A191" s="4" t="n"/>
      <c r="B191" s="4" t="n"/>
      <c r="C191" s="4" t="n"/>
      <c r="D191" s="7" t="n"/>
      <c r="E191" s="7" t="n"/>
      <c r="F191" s="8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8">
        <f>IF(A191="","",N191)</f>
        <v/>
      </c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  <c r="L191" s="5" t="n"/>
      <c r="M191" s="9">
        <f>IF(A191="","",IF(OR(J191="",Inputs!$B$59=""),0,IFERROR(INDEX(Elements_hybrides!$F$4:$F$204,MATCH(J191,Elements_hybrides!$A$4:$A$204,0))/(Inputs!$B$59*60),0)))</f>
        <v/>
      </c>
      <c r="N191" s="9">
        <f>IF(A191="","",IF(L191="",Inputs!$B$14,L191)+M191)</f>
        <v/>
      </c>
    </row>
    <row r="192">
      <c r="A192" s="4" t="n"/>
      <c r="B192" s="4" t="n"/>
      <c r="C192" s="4" t="n"/>
      <c r="D192" s="7" t="n"/>
      <c r="E192" s="7" t="n"/>
      <c r="F192" s="8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8">
        <f>IF(A192="","",N192)</f>
        <v/>
      </c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  <c r="L192" s="5" t="n"/>
      <c r="M192" s="9">
        <f>IF(A192="","",IF(OR(J192="",Inputs!$B$59=""),0,IFERROR(INDEX(Elements_hybrides!$F$4:$F$204,MATCH(J192,Elements_hybrides!$A$4:$A$204,0))/(Inputs!$B$59*60),0)))</f>
        <v/>
      </c>
      <c r="N192" s="9">
        <f>IF(A192="","",IF(L192="",Inputs!$B$14,L192)+M192)</f>
        <v/>
      </c>
    </row>
    <row r="193">
      <c r="A193" s="4" t="n"/>
      <c r="B193" s="4" t="n"/>
      <c r="C193" s="4" t="n"/>
      <c r="D193" s="7" t="n"/>
      <c r="E193" s="7" t="n"/>
      <c r="F193" s="8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8">
        <f>IF(A193="","",N193)</f>
        <v/>
      </c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  <c r="L193" s="5" t="n"/>
      <c r="M193" s="9">
        <f>IF(A193="","",IF(OR(J193="",Inputs!$B$59=""),0,IFERROR(INDEX(Elements_hybrides!$F$4:$F$204,MATCH(J193,Elements_hybrides!$A$4:$A$204,0))/(Inputs!$B$59*60),0)))</f>
        <v/>
      </c>
      <c r="N193" s="9">
        <f>IF(A193="","",IF(L193="",Inputs!$B$14,L193)+M193)</f>
        <v/>
      </c>
    </row>
    <row r="194">
      <c r="A194" s="4" t="n"/>
      <c r="B194" s="4" t="n"/>
      <c r="C194" s="4" t="n"/>
      <c r="D194" s="7" t="n"/>
      <c r="E194" s="7" t="n"/>
      <c r="F194" s="8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8">
        <f>IF(A194="","",N194)</f>
        <v/>
      </c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  <c r="L194" s="5" t="n"/>
      <c r="M194" s="9">
        <f>IF(A194="","",IF(OR(J194="",Inputs!$B$59=""),0,IFERROR(INDEX(Elements_hybrides!$F$4:$F$204,MATCH(J194,Elements_hybrides!$A$4:$A$204,0))/(Inputs!$B$59*60),0)))</f>
        <v/>
      </c>
      <c r="N194" s="9">
        <f>IF(A194="","",IF(L194="",Inputs!$B$14,L194)+M194)</f>
        <v/>
      </c>
    </row>
    <row r="195">
      <c r="A195" s="4" t="n"/>
      <c r="B195" s="4" t="n"/>
      <c r="C195" s="4" t="n"/>
      <c r="D195" s="7" t="n"/>
      <c r="E195" s="7" t="n"/>
      <c r="F195" s="8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8">
        <f>IF(A195="","",N195)</f>
        <v/>
      </c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  <c r="L195" s="5" t="n"/>
      <c r="M195" s="9">
        <f>IF(A195="","",IF(OR(J195="",Inputs!$B$59=""),0,IFERROR(INDEX(Elements_hybrides!$F$4:$F$204,MATCH(J195,Elements_hybrides!$A$4:$A$204,0))/(Inputs!$B$59*60),0)))</f>
        <v/>
      </c>
      <c r="N195" s="9">
        <f>IF(A195="","",IF(L195="",Inputs!$B$14,L195)+M195)</f>
        <v/>
      </c>
    </row>
    <row r="196">
      <c r="A196" s="4" t="n"/>
      <c r="B196" s="4" t="n"/>
      <c r="C196" s="4" t="n"/>
      <c r="D196" s="7" t="n"/>
      <c r="E196" s="7" t="n"/>
      <c r="F196" s="8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8">
        <f>IF(A196="","",N196)</f>
        <v/>
      </c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  <c r="L196" s="5" t="n"/>
      <c r="M196" s="9">
        <f>IF(A196="","",IF(OR(J196="",Inputs!$B$59=""),0,IFERROR(INDEX(Elements_hybrides!$F$4:$F$204,MATCH(J196,Elements_hybrides!$A$4:$A$204,0))/(Inputs!$B$59*60),0)))</f>
        <v/>
      </c>
      <c r="N196" s="9">
        <f>IF(A196="","",IF(L196="",Inputs!$B$14,L196)+M196)</f>
        <v/>
      </c>
    </row>
    <row r="197">
      <c r="A197" s="4" t="n"/>
      <c r="B197" s="4" t="n"/>
      <c r="C197" s="4" t="n"/>
      <c r="D197" s="7" t="n"/>
      <c r="E197" s="7" t="n"/>
      <c r="F197" s="8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8">
        <f>IF(A197="","",N197)</f>
        <v/>
      </c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  <c r="L197" s="5" t="n"/>
      <c r="M197" s="9">
        <f>IF(A197="","",IF(OR(J197="",Inputs!$B$59=""),0,IFERROR(INDEX(Elements_hybrides!$F$4:$F$204,MATCH(J197,Elements_hybrides!$A$4:$A$204,0))/(Inputs!$B$59*60),0)))</f>
        <v/>
      </c>
      <c r="N197" s="9">
        <f>IF(A197="","",IF(L197="",Inputs!$B$14,L197)+M197)</f>
        <v/>
      </c>
    </row>
    <row r="198">
      <c r="A198" s="4" t="n"/>
      <c r="B198" s="4" t="n"/>
      <c r="C198" s="4" t="n"/>
      <c r="D198" s="7" t="n"/>
      <c r="E198" s="7" t="n"/>
      <c r="F198" s="8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8">
        <f>IF(A198="","",N198)</f>
        <v/>
      </c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  <c r="L198" s="5" t="n"/>
      <c r="M198" s="9">
        <f>IF(A198="","",IF(OR(J198="",Inputs!$B$59=""),0,IFERROR(INDEX(Elements_hybrides!$F$4:$F$204,MATCH(J198,Elements_hybrides!$A$4:$A$204,0))/(Inputs!$B$59*60),0)))</f>
        <v/>
      </c>
      <c r="N198" s="9">
        <f>IF(A198="","",IF(L198="",Inputs!$B$14,L198)+M198)</f>
        <v/>
      </c>
    </row>
    <row r="199">
      <c r="A199" s="4" t="n"/>
      <c r="B199" s="4" t="n"/>
      <c r="C199" s="4" t="n"/>
      <c r="D199" s="7" t="n"/>
      <c r="E199" s="7" t="n"/>
      <c r="F199" s="8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8">
        <f>IF(A199="","",N199)</f>
        <v/>
      </c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  <c r="L199" s="5" t="n"/>
      <c r="M199" s="9">
        <f>IF(A199="","",IF(OR(J199="",Inputs!$B$59=""),0,IFERROR(INDEX(Elements_hybrides!$F$4:$F$204,MATCH(J199,Elements_hybrides!$A$4:$A$204,0))/(Inputs!$B$59*60),0)))</f>
        <v/>
      </c>
      <c r="N199" s="9">
        <f>IF(A199="","",IF(L199="",Inputs!$B$14,L199)+M199)</f>
        <v/>
      </c>
    </row>
    <row r="200">
      <c r="A200" s="4" t="n"/>
      <c r="B200" s="4" t="n"/>
      <c r="C200" s="4" t="n"/>
      <c r="D200" s="7" t="n"/>
      <c r="E200" s="7" t="n"/>
      <c r="F200" s="8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8">
        <f>IF(A200="","",N200)</f>
        <v/>
      </c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  <c r="L200" s="5" t="n"/>
      <c r="M200" s="9">
        <f>IF(A200="","",IF(OR(J200="",Inputs!$B$59=""),0,IFERROR(INDEX(Elements_hybrides!$F$4:$F$204,MATCH(J200,Elements_hybrides!$A$4:$A$204,0))/(Inputs!$B$59*60),0)))</f>
        <v/>
      </c>
      <c r="N200" s="9">
        <f>IF(A200="","",IF(L200="",Inputs!$B$14,L200)+M200)</f>
        <v/>
      </c>
    </row>
    <row r="201">
      <c r="A201" s="4" t="n"/>
      <c r="B201" s="4" t="n"/>
      <c r="C201" s="4" t="n"/>
      <c r="D201" s="7" t="n"/>
      <c r="E201" s="7" t="n"/>
      <c r="F201" s="8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8">
        <f>IF(A201="","",N201)</f>
        <v/>
      </c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  <c r="L201" s="5" t="n"/>
      <c r="M201" s="9">
        <f>IF(A201="","",IF(OR(J201="",Inputs!$B$59=""),0,IFERROR(INDEX(Elements_hybrides!$F$4:$F$204,MATCH(J201,Elements_hybrides!$A$4:$A$204,0))/(Inputs!$B$59*60),0)))</f>
        <v/>
      </c>
      <c r="N201" s="9">
        <f>IF(A201="","",IF(L201="",Inputs!$B$14,L201)+M201)</f>
        <v/>
      </c>
    </row>
    <row r="202">
      <c r="A202" s="4" t="n"/>
      <c r="B202" s="4" t="n"/>
      <c r="C202" s="4" t="n"/>
      <c r="D202" s="7" t="n"/>
      <c r="E202" s="7" t="n"/>
      <c r="F202" s="8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8">
        <f>IF(A202="","",N202)</f>
        <v/>
      </c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  <c r="L202" s="5" t="n"/>
      <c r="M202" s="9">
        <f>IF(A202="","",IF(OR(J202="",Inputs!$B$59=""),0,IFERROR(INDEX(Elements_hybrides!$F$4:$F$204,MATCH(J202,Elements_hybrides!$A$4:$A$204,0))/(Inputs!$B$59*60),0)))</f>
        <v/>
      </c>
      <c r="N202" s="9">
        <f>IF(A202="","",IF(L202="",Inputs!$B$14,L202)+M202)</f>
        <v/>
      </c>
    </row>
    <row r="203">
      <c r="A203" s="4" t="n"/>
      <c r="B203" s="4" t="n"/>
      <c r="C203" s="4" t="n"/>
      <c r="D203" s="7" t="n"/>
      <c r="E203" s="7" t="n"/>
      <c r="F203" s="8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8">
        <f>IF(A203="","",N203)</f>
        <v/>
      </c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  <c r="L203" s="5" t="n"/>
      <c r="M203" s="9">
        <f>IF(A203="","",IF(OR(J203="",Inputs!$B$59=""),0,IFERROR(INDEX(Elements_hybrides!$F$4:$F$204,MATCH(J203,Elements_hybrides!$A$4:$A$204,0))/(Inputs!$B$59*60),0)))</f>
        <v/>
      </c>
      <c r="N203" s="9">
        <f>IF(A203="","",IF(L203="",Inputs!$B$14,L203)+M203)</f>
        <v/>
      </c>
    </row>
    <row r="204">
      <c r="A204" s="4" t="n"/>
      <c r="B204" s="4" t="n"/>
      <c r="C204" s="4" t="n"/>
      <c r="D204" s="7" t="n"/>
      <c r="E204" s="7" t="n"/>
      <c r="F204" s="8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8">
        <f>IF(A204="","",N204)</f>
        <v/>
      </c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  <c r="L204" s="5" t="n"/>
      <c r="M204" s="9">
        <f>IF(A204="","",IF(OR(J204="",Inputs!$B$59=""),0,IFERROR(INDEX(Elements_hybrides!$F$4:$F$204,MATCH(J204,Elements_hybrides!$A$4:$A$204,0))/(Inputs!$B$59*60),0)))</f>
        <v/>
      </c>
      <c r="N204" s="9">
        <f>IF(A204="","",IF(L204="",Inputs!$B$14,L204)+M204)</f>
        <v/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CHECK=red; AH connection status and AL drop check use Inputs!B54:B56 thresholds.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  <c r="AI3" s="6" t="inlineStr">
        <is>
          <t>Downstream_type</t>
        </is>
      </c>
      <c r="AJ3" s="6" t="inlineStr">
        <is>
          <t>Drop_min_req_m</t>
        </is>
      </c>
      <c r="AK3" s="6" t="inlineStr">
        <is>
          <t>Drop_max_req_m</t>
        </is>
      </c>
      <c r="AL3" s="6" t="inlineStr">
        <is>
          <t>Drop_check_status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7">
        <f>IF(A4="","",IF(E4="","",IFERROR(INDEX($B$4:$B$204,MATCH(E4,$A$4:$A$204,0)),"")))</f>
        <v/>
      </c>
      <c r="AJ4" s="17">
        <f>IF(A4="","",IF(OR(AND(UPPER(TRIM(B4))="SWALE",UPPER(TRIM(AI4))="PIPE"),AND(UPPER(TRIM(B4))="TRENCH",UPPER(TRIM(AI4))="PIPE")),Inputs!$B$55,0))</f>
        <v/>
      </c>
      <c r="AK4" s="17">
        <f>IF(A4="","",IF(OR(AND(UPPER(TRIM(B4))="SWALE",UPPER(TRIM(AI4))="PIPE"),AND(UPPER(TRIM(B4))="TRENCH",UPPER(TRIM(AI4))="PIPE")),Inputs!$B$56,Inputs!$B$54))</f>
        <v/>
      </c>
      <c r="AL4" s="4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7">
        <f>IF(A5="","",IF(E5="","",IFERROR(INDEX($B$4:$B$204,MATCH(E5,$A$4:$A$204,0)),"")))</f>
        <v/>
      </c>
      <c r="AJ5" s="17">
        <f>IF(A5="","",IF(OR(AND(UPPER(TRIM(B5))="SWALE",UPPER(TRIM(AI5))="PIPE"),AND(UPPER(TRIM(B5))="TRENCH",UPPER(TRIM(AI5))="PIPE")),Inputs!$B$55,0))</f>
        <v/>
      </c>
      <c r="AK5" s="17">
        <f>IF(A5="","",IF(OR(AND(UPPER(TRIM(B5))="SWALE",UPPER(TRIM(AI5))="PIPE"),AND(UPPER(TRIM(B5))="TRENCH",UPPER(TRIM(AI5))="PIPE")),Inputs!$B$56,Inputs!$B$54))</f>
        <v/>
      </c>
      <c r="AL5" s="4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Entree EST: P-03 -&gt; J-BASSIN-IN (16.1 m).</t>
        </is>
      </c>
      <c r="AC6" s="7" t="n"/>
      <c r="AD6" s="8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7">
        <f>IF(A6="","",IF(E6="","",IFERROR(INDEX($B$4:$B$204,MATCH(E6,$A$4:$A$204,0)),"")))</f>
        <v/>
      </c>
      <c r="AJ6" s="17">
        <f>IF(A6="","",IF(OR(AND(UPPER(TRIM(B6))="SWALE",UPPER(TRIM(AI6))="PIPE"),AND(UPPER(TRIM(B6))="TRENCH",UPPER(TRIM(AI6))="PIPE")),Inputs!$B$55,0))</f>
        <v/>
      </c>
      <c r="AK6" s="17">
        <f>IF(A6="","",IF(OR(AND(UPPER(TRIM(B6))="SWALE",UPPER(TRIM(AI6))="PIPE"),AND(UPPER(TRIM(B6))="TRENCH",UPPER(TRIM(AI6))="PIPE")),Inputs!$B$56,Inputs!$B$54))</f>
        <v/>
      </c>
      <c r="AL6" s="4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J-OUEST-AVAL</t>
        </is>
      </c>
      <c r="D7" s="4" t="inlineStr">
        <is>
          <t>J-BASSIN-OUEST</t>
        </is>
      </c>
      <c r="E7" s="4" t="inlineStr">
        <is>
          <t>E08</t>
        </is>
      </c>
      <c r="F7" s="7">
        <f>Inputs!$B$53</f>
        <v/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 t="n">
        <v>0.8</v>
      </c>
      <c r="L7" s="7" t="n">
        <v>0.12</v>
      </c>
      <c r="M7" s="7" t="n">
        <v>3</v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Corrige: liaison ouest courte vers entree ouest bassin (4.7 m mesure).</t>
        </is>
      </c>
      <c r="AC7" s="7" t="n"/>
      <c r="AD7" s="8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7">
        <f>IF(A7="","",IF(E7="","",IFERROR(INDEX($B$4:$B$204,MATCH(E7,$A$4:$A$204,0)),"")))</f>
        <v/>
      </c>
      <c r="AJ7" s="17">
        <f>IF(A7="","",IF(OR(AND(UPPER(TRIM(B7))="SWALE",UPPER(TRIM(AI7))="PIPE"),AND(UPPER(TRIM(B7))="TRENCH",UPPER(TRIM(AI7))="PIPE")),Inputs!$B$55,0))</f>
        <v/>
      </c>
      <c r="AK7" s="17">
        <f>IF(A7="","",IF(OR(AND(UPPER(TRIM(B7))="SWALE",UPPER(TRIM(AI7))="PIPE"),AND(UPPER(TRIM(B7))="TRENCH",UPPER(TRIM(AI7))="PIPE")),Inputs!$B$56,Inputs!$B$54))</f>
        <v/>
      </c>
      <c r="AL7" s="4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7">
        <f>IF(A8="","",IF(E8="","",IFERROR(INDEX($B$4:$B$204,MATCH(E8,$A$4:$A$204,0)),"")))</f>
        <v/>
      </c>
      <c r="AJ8" s="17">
        <f>IF(A8="","",IF(OR(AND(UPPER(TRIM(B8))="SWALE",UPPER(TRIM(AI8))="PIPE"),AND(UPPER(TRIM(B8))="TRENCH",UPPER(TRIM(AI8))="PIPE")),Inputs!$B$55,0))</f>
        <v/>
      </c>
      <c r="AK8" s="17">
        <f>IF(A8="","",IF(OR(AND(UPPER(TRIM(B8))="SWALE",UPPER(TRIM(AI8))="PIPE"),AND(UPPER(TRIM(B8))="TRENCH",UPPER(TRIM(AI8))="PIPE")),Inputs!$B$56,Inputs!$B$54))</f>
        <v/>
      </c>
      <c r="AL8" s="4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 court via caniveau/grille + conduite (DN250).</t>
        </is>
      </c>
      <c r="AC9" s="7" t="n"/>
      <c r="AD9" s="8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7">
        <f>IF(A9="","",IF(E9="","",IFERROR(INDEX($B$4:$B$204,MATCH(E9,$A$4:$A$204,0)),"")))</f>
        <v/>
      </c>
      <c r="AJ9" s="17">
        <f>IF(A9="","",IF(OR(AND(UPPER(TRIM(B9))="SWALE",UPPER(TRIM(AI9))="PIPE"),AND(UPPER(TRIM(B9))="TRENCH",UPPER(TRIM(AI9))="PIPE")),Inputs!$B$55,0))</f>
        <v/>
      </c>
      <c r="AK9" s="17">
        <f>IF(A9="","",IF(OR(AND(UPPER(TRIM(B9))="SWALE",UPPER(TRIM(AI9))="PIPE"),AND(UPPER(TRIM(B9))="TRENCH",UPPER(TRIM(AI9))="PIPE")),Inputs!$B$56,Inputs!$B$54))</f>
        <v/>
      </c>
      <c r="AL9" s="4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7">
        <f>IF(A10="","",IF(E10="","",IFERROR(INDEX($B$4:$B$204,MATCH(E10,$A$4:$A$204,0)),"")))</f>
        <v/>
      </c>
      <c r="AJ10" s="17">
        <f>IF(A10="","",IF(OR(AND(UPPER(TRIM(B10))="SWALE",UPPER(TRIM(AI10))="PIPE"),AND(UPPER(TRIM(B10))="TRENCH",UPPER(TRIM(AI10))="PIPE")),Inputs!$B$55,0))</f>
        <v/>
      </c>
      <c r="AK10" s="17">
        <f>IF(A10="","",IF(OR(AND(UPPER(TRIM(B10))="SWALE",UPPER(TRIM(AI10))="PIPE"),AND(UPPER(TRIM(B10))="TRENCH",UPPER(TRIM(AI10))="PIPE")),Inputs!$B$56,Inputs!$B$54))</f>
        <v/>
      </c>
      <c r="AL10" s="4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 principal via caniveau/grille + conduite (DN300).</t>
        </is>
      </c>
      <c r="AC11" s="7" t="n"/>
      <c r="AD11" s="8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7">
        <f>IF(A11="","",IF(E11="","",IFERROR(INDEX($B$4:$B$204,MATCH(E11,$A$4:$A$204,0)),"")))</f>
        <v/>
      </c>
      <c r="AJ11" s="17">
        <f>IF(A11="","",IF(OR(AND(UPPER(TRIM(B11))="SWALE",UPPER(TRIM(AI11))="PIPE"),AND(UPPER(TRIM(B11))="TRENCH",UPPER(TRIM(AI11))="PIPE")),Inputs!$B$55,0))</f>
        <v/>
      </c>
      <c r="AK11" s="17">
        <f>IF(A11="","",IF(OR(AND(UPPER(TRIM(B11))="SWALE",UPPER(TRIM(AI11))="PIPE"),AND(UPPER(TRIM(B11))="TRENCH",UPPER(TRIM(AI11))="PIPE")),Inputs!$B$56,Inputs!$B$54))</f>
        <v/>
      </c>
      <c r="AL11" s="4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7">
        <f>IF(A12="","",IF(E12="","",IFERROR(INDEX($B$4:$B$204,MATCH(E12,$A$4:$A$204,0)),"")))</f>
        <v/>
      </c>
      <c r="AJ12" s="17">
        <f>IF(A12="","",IF(OR(AND(UPPER(TRIM(B12))="SWALE",UPPER(TRIM(AI12))="PIPE"),AND(UPPER(TRIM(B12))="TRENCH",UPPER(TRIM(AI12))="PIPE")),Inputs!$B$55,0))</f>
        <v/>
      </c>
      <c r="AK12" s="17">
        <f>IF(A12="","",IF(OR(AND(UPPER(TRIM(B12))="SWALE",UPPER(TRIM(AI12))="PIPE"),AND(UPPER(TRIM(B12))="TRENCH",UPPER(TRIM(AI12))="PIPE")),Inputs!$B$56,Inputs!$B$54))</f>
        <v/>
      </c>
      <c r="AL12" s="4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7">
        <f>IF(A13="","",IF(E13="","",IFERROR(INDEX($B$4:$B$204,MATCH(E13,$A$4:$A$204,0)),"")))</f>
        <v/>
      </c>
      <c r="AJ13" s="17">
        <f>IF(A13="","",IF(OR(AND(UPPER(TRIM(B13))="SWALE",UPPER(TRIM(AI13))="PIPE"),AND(UPPER(TRIM(B13))="TRENCH",UPPER(TRIM(AI13))="PIPE")),Inputs!$B$55,0))</f>
        <v/>
      </c>
      <c r="AK13" s="17">
        <f>IF(A13="","",IF(OR(AND(UPPER(TRIM(B13))="SWALE",UPPER(TRIM(AI13))="PIPE"),AND(UPPER(TRIM(B13))="TRENCH",UPPER(TRIM(AI13))="PIPE")),Inputs!$B$56,Inputs!$B$54))</f>
        <v/>
      </c>
      <c r="AL13" s="4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7">
        <f>IF(A14="","",IF(E14="","",IFERROR(INDEX($B$4:$B$204,MATCH(E14,$A$4:$A$204,0)),"")))</f>
        <v/>
      </c>
      <c r="AJ14" s="17">
        <f>IF(A14="","",IF(OR(AND(UPPER(TRIM(B14))="SWALE",UPPER(TRIM(AI14))="PIPE"),AND(UPPER(TRIM(B14))="TRENCH",UPPER(TRIM(AI14))="PIPE")),Inputs!$B$55,0))</f>
        <v/>
      </c>
      <c r="AK14" s="17">
        <f>IF(A14="","",IF(OR(AND(UPPER(TRIM(B14))="SWALE",UPPER(TRIM(AI14))="PIPE"),AND(UPPER(TRIM(B14))="TRENCH",UPPER(TRIM(AI14))="PIPE")),Inputs!$B$56,Inputs!$B$54))</f>
        <v/>
      </c>
      <c r="AL14" s="4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</row>
    <row r="15">
      <c r="A15" s="4" t="inlineStr">
        <is>
          <t>E08</t>
        </is>
      </c>
      <c r="B15" s="4" t="inlineStr">
        <is>
          <t>PIPE</t>
        </is>
      </c>
      <c r="C15" s="4" t="inlineStr">
        <is>
          <t>J-BASSIN-OUEST</t>
        </is>
      </c>
      <c r="D15" s="4" t="inlineStr">
        <is>
          <t>BASSIN-RET</t>
        </is>
      </c>
      <c r="E15" s="4" t="inlineStr"/>
      <c r="F15" s="7" t="n">
        <v>1</v>
      </c>
      <c r="G15" s="7" t="n">
        <v>0.005</v>
      </c>
      <c r="H15" s="7" t="n"/>
      <c r="I15" s="8">
        <f>IF(A15="","",IF(H15&lt;&gt;"",H15,IF(UPPER(TRIM(B15))="PIPE",Inputs!$B$7,IF(UPPER(TRIM(B15))="SWALE",Inputs!$B$8,Inputs!$B$9))))</f>
        <v/>
      </c>
      <c r="J15" s="7" t="n">
        <v>375</v>
      </c>
      <c r="K15" s="7" t="inlineStr"/>
      <c r="L15" s="7" t="inlineStr"/>
      <c r="M15" s="7" t="inlineStr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inlineStr">
        <is>
          <t>Entree OUEST: liaison caniveau/ouvrage vers bassin (2e entree).</t>
        </is>
      </c>
      <c r="AC15" s="7" t="n"/>
      <c r="AD15" s="8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7">
        <f>IF(A15="","",IF(E15="","",IFERROR(INDEX($B$4:$B$204,MATCH(E15,$A$4:$A$204,0)),"")))</f>
        <v/>
      </c>
      <c r="AJ15" s="17">
        <f>IF(A15="","",IF(OR(AND(UPPER(TRIM(B15))="SWALE",UPPER(TRIM(AI15))="PIPE"),AND(UPPER(TRIM(B15))="TRENCH",UPPER(TRIM(AI15))="PIPE")),Inputs!$B$55,0))</f>
        <v/>
      </c>
      <c r="AK15" s="17">
        <f>IF(A15="","",IF(OR(AND(UPPER(TRIM(B15))="SWALE",UPPER(TRIM(AI15))="PIPE"),AND(UPPER(TRIM(B15))="TRENCH",UPPER(TRIM(AI15))="PIPE")),Inputs!$B$56,Inputs!$B$54))</f>
        <v/>
      </c>
      <c r="AL15" s="4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7">
        <f>IF(A16="","",IF(E16="","",IFERROR(INDEX($B$4:$B$204,MATCH(E16,$A$4:$A$204,0)),"")))</f>
        <v/>
      </c>
      <c r="AJ16" s="17">
        <f>IF(A16="","",IF(OR(AND(UPPER(TRIM(B16))="SWALE",UPPER(TRIM(AI16))="PIPE"),AND(UPPER(TRIM(B16))="TRENCH",UPPER(TRIM(AI16))="PIPE")),Inputs!$B$55,0))</f>
        <v/>
      </c>
      <c r="AK16" s="17">
        <f>IF(A16="","",IF(OR(AND(UPPER(TRIM(B16))="SWALE",UPPER(TRIM(AI16))="PIPE"),AND(UPPER(TRIM(B16))="TRENCH",UPPER(TRIM(AI16))="PIPE")),Inputs!$B$56,Inputs!$B$54))</f>
        <v/>
      </c>
      <c r="AL16" s="4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7">
        <f>IF(A17="","",IF(E17="","",IFERROR(INDEX($B$4:$B$204,MATCH(E17,$A$4:$A$204,0)),"")))</f>
        <v/>
      </c>
      <c r="AJ17" s="17">
        <f>IF(A17="","",IF(OR(AND(UPPER(TRIM(B17))="SWALE",UPPER(TRIM(AI17))="PIPE"),AND(UPPER(TRIM(B17))="TRENCH",UPPER(TRIM(AI17))="PIPE")),Inputs!$B$55,0))</f>
        <v/>
      </c>
      <c r="AK17" s="17">
        <f>IF(A17="","",IF(OR(AND(UPPER(TRIM(B17))="SWALE",UPPER(TRIM(AI17))="PIPE"),AND(UPPER(TRIM(B17))="TRENCH",UPPER(TRIM(AI17))="PIPE")),Inputs!$B$56,Inputs!$B$54))</f>
        <v/>
      </c>
      <c r="AL17" s="4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7">
        <f>IF(A18="","",IF(E18="","",IFERROR(INDEX($B$4:$B$204,MATCH(E18,$A$4:$A$204,0)),"")))</f>
        <v/>
      </c>
      <c r="AJ18" s="17">
        <f>IF(A18="","",IF(OR(AND(UPPER(TRIM(B18))="SWALE",UPPER(TRIM(AI18))="PIPE"),AND(UPPER(TRIM(B18))="TRENCH",UPPER(TRIM(AI18))="PIPE")),Inputs!$B$55,0))</f>
        <v/>
      </c>
      <c r="AK18" s="17">
        <f>IF(A18="","",IF(OR(AND(UPPER(TRIM(B18))="SWALE",UPPER(TRIM(AI18))="PIPE"),AND(UPPER(TRIM(B18))="TRENCH",UPPER(TRIM(AI18))="PIPE")),Inputs!$B$56,Inputs!$B$54))</f>
        <v/>
      </c>
      <c r="AL18" s="4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7">
        <f>IF(A19="","",IF(E19="","",IFERROR(INDEX($B$4:$B$204,MATCH(E19,$A$4:$A$204,0)),"")))</f>
        <v/>
      </c>
      <c r="AJ19" s="17">
        <f>IF(A19="","",IF(OR(AND(UPPER(TRIM(B19))="SWALE",UPPER(TRIM(AI19))="PIPE"),AND(UPPER(TRIM(B19))="TRENCH",UPPER(TRIM(AI19))="PIPE")),Inputs!$B$55,0))</f>
        <v/>
      </c>
      <c r="AK19" s="17">
        <f>IF(A19="","",IF(OR(AND(UPPER(TRIM(B19))="SWALE",UPPER(TRIM(AI19))="PIPE"),AND(UPPER(TRIM(B19))="TRENCH",UPPER(TRIM(AI19))="PIPE")),Inputs!$B$56,Inputs!$B$54))</f>
        <v/>
      </c>
      <c r="AL19" s="4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7">
        <f>IF(A20="","",IF(E20="","",IFERROR(INDEX($B$4:$B$204,MATCH(E20,$A$4:$A$204,0)),"")))</f>
        <v/>
      </c>
      <c r="AJ20" s="17">
        <f>IF(A20="","",IF(OR(AND(UPPER(TRIM(B20))="SWALE",UPPER(TRIM(AI20))="PIPE"),AND(UPPER(TRIM(B20))="TRENCH",UPPER(TRIM(AI20))="PIPE")),Inputs!$B$55,0))</f>
        <v/>
      </c>
      <c r="AK20" s="17">
        <f>IF(A20="","",IF(OR(AND(UPPER(TRIM(B20))="SWALE",UPPER(TRIM(AI20))="PIPE"),AND(UPPER(TRIM(B20))="TRENCH",UPPER(TRIM(AI20))="PIPE")),Inputs!$B$56,Inputs!$B$54))</f>
        <v/>
      </c>
      <c r="AL20" s="4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7">
        <f>IF(A21="","",IF(E21="","",IFERROR(INDEX($B$4:$B$204,MATCH(E21,$A$4:$A$204,0)),"")))</f>
        <v/>
      </c>
      <c r="AJ21" s="17">
        <f>IF(A21="","",IF(OR(AND(UPPER(TRIM(B21))="SWALE",UPPER(TRIM(AI21))="PIPE"),AND(UPPER(TRIM(B21))="TRENCH",UPPER(TRIM(AI21))="PIPE")),Inputs!$B$55,0))</f>
        <v/>
      </c>
      <c r="AK21" s="17">
        <f>IF(A21="","",IF(OR(AND(UPPER(TRIM(B21))="SWALE",UPPER(TRIM(AI21))="PIPE"),AND(UPPER(TRIM(B21))="TRENCH",UPPER(TRIM(AI21))="PIPE")),Inputs!$B$56,Inputs!$B$54))</f>
        <v/>
      </c>
      <c r="AL21" s="4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7">
        <f>IF(A22="","",IF(E22="","",IFERROR(INDEX($B$4:$B$204,MATCH(E22,$A$4:$A$204,0)),"")))</f>
        <v/>
      </c>
      <c r="AJ22" s="17">
        <f>IF(A22="","",IF(OR(AND(UPPER(TRIM(B22))="SWALE",UPPER(TRIM(AI22))="PIPE"),AND(UPPER(TRIM(B22))="TRENCH",UPPER(TRIM(AI22))="PIPE")),Inputs!$B$55,0))</f>
        <v/>
      </c>
      <c r="AK22" s="17">
        <f>IF(A22="","",IF(OR(AND(UPPER(TRIM(B22))="SWALE",UPPER(TRIM(AI22))="PIPE"),AND(UPPER(TRIM(B22))="TRENCH",UPPER(TRIM(AI22))="PIPE")),Inputs!$B$56,Inputs!$B$54))</f>
        <v/>
      </c>
      <c r="AL22" s="4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7">
        <f>IF(A23="","",IF(E23="","",IFERROR(INDEX($B$4:$B$204,MATCH(E23,$A$4:$A$204,0)),"")))</f>
        <v/>
      </c>
      <c r="AJ23" s="17">
        <f>IF(A23="","",IF(OR(AND(UPPER(TRIM(B23))="SWALE",UPPER(TRIM(AI23))="PIPE"),AND(UPPER(TRIM(B23))="TRENCH",UPPER(TRIM(AI23))="PIPE")),Inputs!$B$55,0))</f>
        <v/>
      </c>
      <c r="AK23" s="17">
        <f>IF(A23="","",IF(OR(AND(UPPER(TRIM(B23))="SWALE",UPPER(TRIM(AI23))="PIPE"),AND(UPPER(TRIM(B23))="TRENCH",UPPER(TRIM(AI23))="PIPE")),Inputs!$B$56,Inputs!$B$54))</f>
        <v/>
      </c>
      <c r="AL23" s="4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7">
        <f>IF(A24="","",IF(E24="","",IFERROR(INDEX($B$4:$B$204,MATCH(E24,$A$4:$A$204,0)),"")))</f>
        <v/>
      </c>
      <c r="AJ24" s="17">
        <f>IF(A24="","",IF(OR(AND(UPPER(TRIM(B24))="SWALE",UPPER(TRIM(AI24))="PIPE"),AND(UPPER(TRIM(B24))="TRENCH",UPPER(TRIM(AI24))="PIPE")),Inputs!$B$55,0))</f>
        <v/>
      </c>
      <c r="AK24" s="17">
        <f>IF(A24="","",IF(OR(AND(UPPER(TRIM(B24))="SWALE",UPPER(TRIM(AI24))="PIPE"),AND(UPPER(TRIM(B24))="TRENCH",UPPER(TRIM(AI24))="PIPE")),Inputs!$B$56,Inputs!$B$54))</f>
        <v/>
      </c>
      <c r="AL24" s="4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7">
        <f>IF(A25="","",IF(E25="","",IFERROR(INDEX($B$4:$B$204,MATCH(E25,$A$4:$A$204,0)),"")))</f>
        <v/>
      </c>
      <c r="AJ25" s="17">
        <f>IF(A25="","",IF(OR(AND(UPPER(TRIM(B25))="SWALE",UPPER(TRIM(AI25))="PIPE"),AND(UPPER(TRIM(B25))="TRENCH",UPPER(TRIM(AI25))="PIPE")),Inputs!$B$55,0))</f>
        <v/>
      </c>
      <c r="AK25" s="17">
        <f>IF(A25="","",IF(OR(AND(UPPER(TRIM(B25))="SWALE",UPPER(TRIM(AI25))="PIPE"),AND(UPPER(TRIM(B25))="TRENCH",UPPER(TRIM(AI25))="PIPE")),Inputs!$B$56,Inputs!$B$54))</f>
        <v/>
      </c>
      <c r="AL25" s="4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7">
        <f>IF(A26="","",IF(E26="","",IFERROR(INDEX($B$4:$B$204,MATCH(E26,$A$4:$A$204,0)),"")))</f>
        <v/>
      </c>
      <c r="AJ26" s="17">
        <f>IF(A26="","",IF(OR(AND(UPPER(TRIM(B26))="SWALE",UPPER(TRIM(AI26))="PIPE"),AND(UPPER(TRIM(B26))="TRENCH",UPPER(TRIM(AI26))="PIPE")),Inputs!$B$55,0))</f>
        <v/>
      </c>
      <c r="AK26" s="17">
        <f>IF(A26="","",IF(OR(AND(UPPER(TRIM(B26))="SWALE",UPPER(TRIM(AI26))="PIPE"),AND(UPPER(TRIM(B26))="TRENCH",UPPER(TRIM(AI26))="PIPE")),Inputs!$B$56,Inputs!$B$54))</f>
        <v/>
      </c>
      <c r="AL26" s="4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7">
        <f>IF(A27="","",IF(E27="","",IFERROR(INDEX($B$4:$B$204,MATCH(E27,$A$4:$A$204,0)),"")))</f>
        <v/>
      </c>
      <c r="AJ27" s="17">
        <f>IF(A27="","",IF(OR(AND(UPPER(TRIM(B27))="SWALE",UPPER(TRIM(AI27))="PIPE"),AND(UPPER(TRIM(B27))="TRENCH",UPPER(TRIM(AI27))="PIPE")),Inputs!$B$55,0))</f>
        <v/>
      </c>
      <c r="AK27" s="17">
        <f>IF(A27="","",IF(OR(AND(UPPER(TRIM(B27))="SWALE",UPPER(TRIM(AI27))="PIPE"),AND(UPPER(TRIM(B27))="TRENCH",UPPER(TRIM(AI27))="PIPE")),Inputs!$B$56,Inputs!$B$54))</f>
        <v/>
      </c>
      <c r="AL27" s="4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7">
        <f>IF(A28="","",IF(E28="","",IFERROR(INDEX($B$4:$B$204,MATCH(E28,$A$4:$A$204,0)),"")))</f>
        <v/>
      </c>
      <c r="AJ28" s="17">
        <f>IF(A28="","",IF(OR(AND(UPPER(TRIM(B28))="SWALE",UPPER(TRIM(AI28))="PIPE"),AND(UPPER(TRIM(B28))="TRENCH",UPPER(TRIM(AI28))="PIPE")),Inputs!$B$55,0))</f>
        <v/>
      </c>
      <c r="AK28" s="17">
        <f>IF(A28="","",IF(OR(AND(UPPER(TRIM(B28))="SWALE",UPPER(TRIM(AI28))="PIPE"),AND(UPPER(TRIM(B28))="TRENCH",UPPER(TRIM(AI28))="PIPE")),Inputs!$B$56,Inputs!$B$54))</f>
        <v/>
      </c>
      <c r="AL28" s="4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7">
        <f>IF(A29="","",IF(E29="","",IFERROR(INDEX($B$4:$B$204,MATCH(E29,$A$4:$A$204,0)),"")))</f>
        <v/>
      </c>
      <c r="AJ29" s="17">
        <f>IF(A29="","",IF(OR(AND(UPPER(TRIM(B29))="SWALE",UPPER(TRIM(AI29))="PIPE"),AND(UPPER(TRIM(B29))="TRENCH",UPPER(TRIM(AI29))="PIPE")),Inputs!$B$55,0))</f>
        <v/>
      </c>
      <c r="AK29" s="17">
        <f>IF(A29="","",IF(OR(AND(UPPER(TRIM(B29))="SWALE",UPPER(TRIM(AI29))="PIPE"),AND(UPPER(TRIM(B29))="TRENCH",UPPER(TRIM(AI29))="PIPE")),Inputs!$B$56,Inputs!$B$54))</f>
        <v/>
      </c>
      <c r="AL29" s="4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7">
        <f>IF(A30="","",IF(E30="","",IFERROR(INDEX($B$4:$B$204,MATCH(E30,$A$4:$A$204,0)),"")))</f>
        <v/>
      </c>
      <c r="AJ30" s="17">
        <f>IF(A30="","",IF(OR(AND(UPPER(TRIM(B30))="SWALE",UPPER(TRIM(AI30))="PIPE"),AND(UPPER(TRIM(B30))="TRENCH",UPPER(TRIM(AI30))="PIPE")),Inputs!$B$55,0))</f>
        <v/>
      </c>
      <c r="AK30" s="17">
        <f>IF(A30="","",IF(OR(AND(UPPER(TRIM(B30))="SWALE",UPPER(TRIM(AI30))="PIPE"),AND(UPPER(TRIM(B30))="TRENCH",UPPER(TRIM(AI30))="PIPE")),Inputs!$B$56,Inputs!$B$54))</f>
        <v/>
      </c>
      <c r="AL30" s="4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7">
        <f>IF(A31="","",IF(E31="","",IFERROR(INDEX($B$4:$B$204,MATCH(E31,$A$4:$A$204,0)),"")))</f>
        <v/>
      </c>
      <c r="AJ31" s="17">
        <f>IF(A31="","",IF(OR(AND(UPPER(TRIM(B31))="SWALE",UPPER(TRIM(AI31))="PIPE"),AND(UPPER(TRIM(B31))="TRENCH",UPPER(TRIM(AI31))="PIPE")),Inputs!$B$55,0))</f>
        <v/>
      </c>
      <c r="AK31" s="17">
        <f>IF(A31="","",IF(OR(AND(UPPER(TRIM(B31))="SWALE",UPPER(TRIM(AI31))="PIPE"),AND(UPPER(TRIM(B31))="TRENCH",UPPER(TRIM(AI31))="PIPE")),Inputs!$B$56,Inputs!$B$54))</f>
        <v/>
      </c>
      <c r="AL31" s="4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7">
        <f>IF(A32="","",IF(E32="","",IFERROR(INDEX($B$4:$B$204,MATCH(E32,$A$4:$A$204,0)),"")))</f>
        <v/>
      </c>
      <c r="AJ32" s="17">
        <f>IF(A32="","",IF(OR(AND(UPPER(TRIM(B32))="SWALE",UPPER(TRIM(AI32))="PIPE"),AND(UPPER(TRIM(B32))="TRENCH",UPPER(TRIM(AI32))="PIPE")),Inputs!$B$55,0))</f>
        <v/>
      </c>
      <c r="AK32" s="17">
        <f>IF(A32="","",IF(OR(AND(UPPER(TRIM(B32))="SWALE",UPPER(TRIM(AI32))="PIPE"),AND(UPPER(TRIM(B32))="TRENCH",UPPER(TRIM(AI32))="PIPE")),Inputs!$B$56,Inputs!$B$54))</f>
        <v/>
      </c>
      <c r="AL32" s="4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7">
        <f>IF(A33="","",IF(E33="","",IFERROR(INDEX($B$4:$B$204,MATCH(E33,$A$4:$A$204,0)),"")))</f>
        <v/>
      </c>
      <c r="AJ33" s="17">
        <f>IF(A33="","",IF(OR(AND(UPPER(TRIM(B33))="SWALE",UPPER(TRIM(AI33))="PIPE"),AND(UPPER(TRIM(B33))="TRENCH",UPPER(TRIM(AI33))="PIPE")),Inputs!$B$55,0))</f>
        <v/>
      </c>
      <c r="AK33" s="17">
        <f>IF(A33="","",IF(OR(AND(UPPER(TRIM(B33))="SWALE",UPPER(TRIM(AI33))="PIPE"),AND(UPPER(TRIM(B33))="TRENCH",UPPER(TRIM(AI33))="PIPE")),Inputs!$B$56,Inputs!$B$54))</f>
        <v/>
      </c>
      <c r="AL33" s="4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7">
        <f>IF(A34="","",IF(E34="","",IFERROR(INDEX($B$4:$B$204,MATCH(E34,$A$4:$A$204,0)),"")))</f>
        <v/>
      </c>
      <c r="AJ34" s="17">
        <f>IF(A34="","",IF(OR(AND(UPPER(TRIM(B34))="SWALE",UPPER(TRIM(AI34))="PIPE"),AND(UPPER(TRIM(B34))="TRENCH",UPPER(TRIM(AI34))="PIPE")),Inputs!$B$55,0))</f>
        <v/>
      </c>
      <c r="AK34" s="17">
        <f>IF(A34="","",IF(OR(AND(UPPER(TRIM(B34))="SWALE",UPPER(TRIM(AI34))="PIPE"),AND(UPPER(TRIM(B34))="TRENCH",UPPER(TRIM(AI34))="PIPE")),Inputs!$B$56,Inputs!$B$54))</f>
        <v/>
      </c>
      <c r="AL34" s="4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7">
        <f>IF(A35="","",IF(E35="","",IFERROR(INDEX($B$4:$B$204,MATCH(E35,$A$4:$A$204,0)),"")))</f>
        <v/>
      </c>
      <c r="AJ35" s="17">
        <f>IF(A35="","",IF(OR(AND(UPPER(TRIM(B35))="SWALE",UPPER(TRIM(AI35))="PIPE"),AND(UPPER(TRIM(B35))="TRENCH",UPPER(TRIM(AI35))="PIPE")),Inputs!$B$55,0))</f>
        <v/>
      </c>
      <c r="AK35" s="17">
        <f>IF(A35="","",IF(OR(AND(UPPER(TRIM(B35))="SWALE",UPPER(TRIM(AI35))="PIPE"),AND(UPPER(TRIM(B35))="TRENCH",UPPER(TRIM(AI35))="PIPE")),Inputs!$B$56,Inputs!$B$54))</f>
        <v/>
      </c>
      <c r="AL35" s="4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7">
        <f>IF(A36="","",IF(E36="","",IFERROR(INDEX($B$4:$B$204,MATCH(E36,$A$4:$A$204,0)),"")))</f>
        <v/>
      </c>
      <c r="AJ36" s="17">
        <f>IF(A36="","",IF(OR(AND(UPPER(TRIM(B36))="SWALE",UPPER(TRIM(AI36))="PIPE"),AND(UPPER(TRIM(B36))="TRENCH",UPPER(TRIM(AI36))="PIPE")),Inputs!$B$55,0))</f>
        <v/>
      </c>
      <c r="AK36" s="17">
        <f>IF(A36="","",IF(OR(AND(UPPER(TRIM(B36))="SWALE",UPPER(TRIM(AI36))="PIPE"),AND(UPPER(TRIM(B36))="TRENCH",UPPER(TRIM(AI36))="PIPE")),Inputs!$B$56,Inputs!$B$54))</f>
        <v/>
      </c>
      <c r="AL36" s="4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7">
        <f>IF(A37="","",IF(E37="","",IFERROR(INDEX($B$4:$B$204,MATCH(E37,$A$4:$A$204,0)),"")))</f>
        <v/>
      </c>
      <c r="AJ37" s="17">
        <f>IF(A37="","",IF(OR(AND(UPPER(TRIM(B37))="SWALE",UPPER(TRIM(AI37))="PIPE"),AND(UPPER(TRIM(B37))="TRENCH",UPPER(TRIM(AI37))="PIPE")),Inputs!$B$55,0))</f>
        <v/>
      </c>
      <c r="AK37" s="17">
        <f>IF(A37="","",IF(OR(AND(UPPER(TRIM(B37))="SWALE",UPPER(TRIM(AI37))="PIPE"),AND(UPPER(TRIM(B37))="TRENCH",UPPER(TRIM(AI37))="PIPE")),Inputs!$B$56,Inputs!$B$54))</f>
        <v/>
      </c>
      <c r="AL37" s="4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7">
        <f>IF(A38="","",IF(E38="","",IFERROR(INDEX($B$4:$B$204,MATCH(E38,$A$4:$A$204,0)),"")))</f>
        <v/>
      </c>
      <c r="AJ38" s="17">
        <f>IF(A38="","",IF(OR(AND(UPPER(TRIM(B38))="SWALE",UPPER(TRIM(AI38))="PIPE"),AND(UPPER(TRIM(B38))="TRENCH",UPPER(TRIM(AI38))="PIPE")),Inputs!$B$55,0))</f>
        <v/>
      </c>
      <c r="AK38" s="17">
        <f>IF(A38="","",IF(OR(AND(UPPER(TRIM(B38))="SWALE",UPPER(TRIM(AI38))="PIPE"),AND(UPPER(TRIM(B38))="TRENCH",UPPER(TRIM(AI38))="PIPE")),Inputs!$B$56,Inputs!$B$54))</f>
        <v/>
      </c>
      <c r="AL38" s="4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7">
        <f>IF(A39="","",IF(E39="","",IFERROR(INDEX($B$4:$B$204,MATCH(E39,$A$4:$A$204,0)),"")))</f>
        <v/>
      </c>
      <c r="AJ39" s="17">
        <f>IF(A39="","",IF(OR(AND(UPPER(TRIM(B39))="SWALE",UPPER(TRIM(AI39))="PIPE"),AND(UPPER(TRIM(B39))="TRENCH",UPPER(TRIM(AI39))="PIPE")),Inputs!$B$55,0))</f>
        <v/>
      </c>
      <c r="AK39" s="17">
        <f>IF(A39="","",IF(OR(AND(UPPER(TRIM(B39))="SWALE",UPPER(TRIM(AI39))="PIPE"),AND(UPPER(TRIM(B39))="TRENCH",UPPER(TRIM(AI39))="PIPE")),Inputs!$B$56,Inputs!$B$54))</f>
        <v/>
      </c>
      <c r="AL39" s="4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7">
        <f>IF(A40="","",IF(E40="","",IFERROR(INDEX($B$4:$B$204,MATCH(E40,$A$4:$A$204,0)),"")))</f>
        <v/>
      </c>
      <c r="AJ40" s="17">
        <f>IF(A40="","",IF(OR(AND(UPPER(TRIM(B40))="SWALE",UPPER(TRIM(AI40))="PIPE"),AND(UPPER(TRIM(B40))="TRENCH",UPPER(TRIM(AI40))="PIPE")),Inputs!$B$55,0))</f>
        <v/>
      </c>
      <c r="AK40" s="17">
        <f>IF(A40="","",IF(OR(AND(UPPER(TRIM(B40))="SWALE",UPPER(TRIM(AI40))="PIPE"),AND(UPPER(TRIM(B40))="TRENCH",UPPER(TRIM(AI40))="PIPE")),Inputs!$B$56,Inputs!$B$54))</f>
        <v/>
      </c>
      <c r="AL40" s="4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7">
        <f>IF(A41="","",IF(E41="","",IFERROR(INDEX($B$4:$B$204,MATCH(E41,$A$4:$A$204,0)),"")))</f>
        <v/>
      </c>
      <c r="AJ41" s="17">
        <f>IF(A41="","",IF(OR(AND(UPPER(TRIM(B41))="SWALE",UPPER(TRIM(AI41))="PIPE"),AND(UPPER(TRIM(B41))="TRENCH",UPPER(TRIM(AI41))="PIPE")),Inputs!$B$55,0))</f>
        <v/>
      </c>
      <c r="AK41" s="17">
        <f>IF(A41="","",IF(OR(AND(UPPER(TRIM(B41))="SWALE",UPPER(TRIM(AI41))="PIPE"),AND(UPPER(TRIM(B41))="TRENCH",UPPER(TRIM(AI41))="PIPE")),Inputs!$B$56,Inputs!$B$54))</f>
        <v/>
      </c>
      <c r="AL41" s="4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7">
        <f>IF(A42="","",IF(E42="","",IFERROR(INDEX($B$4:$B$204,MATCH(E42,$A$4:$A$204,0)),"")))</f>
        <v/>
      </c>
      <c r="AJ42" s="17">
        <f>IF(A42="","",IF(OR(AND(UPPER(TRIM(B42))="SWALE",UPPER(TRIM(AI42))="PIPE"),AND(UPPER(TRIM(B42))="TRENCH",UPPER(TRIM(AI42))="PIPE")),Inputs!$B$55,0))</f>
        <v/>
      </c>
      <c r="AK42" s="17">
        <f>IF(A42="","",IF(OR(AND(UPPER(TRIM(B42))="SWALE",UPPER(TRIM(AI42))="PIPE"),AND(UPPER(TRIM(B42))="TRENCH",UPPER(TRIM(AI42))="PIPE")),Inputs!$B$56,Inputs!$B$54))</f>
        <v/>
      </c>
      <c r="AL42" s="4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7">
        <f>IF(A43="","",IF(E43="","",IFERROR(INDEX($B$4:$B$204,MATCH(E43,$A$4:$A$204,0)),"")))</f>
        <v/>
      </c>
      <c r="AJ43" s="17">
        <f>IF(A43="","",IF(OR(AND(UPPER(TRIM(B43))="SWALE",UPPER(TRIM(AI43))="PIPE"),AND(UPPER(TRIM(B43))="TRENCH",UPPER(TRIM(AI43))="PIPE")),Inputs!$B$55,0))</f>
        <v/>
      </c>
      <c r="AK43" s="17">
        <f>IF(A43="","",IF(OR(AND(UPPER(TRIM(B43))="SWALE",UPPER(TRIM(AI43))="PIPE"),AND(UPPER(TRIM(B43))="TRENCH",UPPER(TRIM(AI43))="PIPE")),Inputs!$B$56,Inputs!$B$54))</f>
        <v/>
      </c>
      <c r="AL43" s="4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7">
        <f>IF(A44="","",IF(E44="","",IFERROR(INDEX($B$4:$B$204,MATCH(E44,$A$4:$A$204,0)),"")))</f>
        <v/>
      </c>
      <c r="AJ44" s="17">
        <f>IF(A44="","",IF(OR(AND(UPPER(TRIM(B44))="SWALE",UPPER(TRIM(AI44))="PIPE"),AND(UPPER(TRIM(B44))="TRENCH",UPPER(TRIM(AI44))="PIPE")),Inputs!$B$55,0))</f>
        <v/>
      </c>
      <c r="AK44" s="17">
        <f>IF(A44="","",IF(OR(AND(UPPER(TRIM(B44))="SWALE",UPPER(TRIM(AI44))="PIPE"),AND(UPPER(TRIM(B44))="TRENCH",UPPER(TRIM(AI44))="PIPE")),Inputs!$B$56,Inputs!$B$54))</f>
        <v/>
      </c>
      <c r="AL44" s="4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7">
        <f>IF(A45="","",IF(E45="","",IFERROR(INDEX($B$4:$B$204,MATCH(E45,$A$4:$A$204,0)),"")))</f>
        <v/>
      </c>
      <c r="AJ45" s="17">
        <f>IF(A45="","",IF(OR(AND(UPPER(TRIM(B45))="SWALE",UPPER(TRIM(AI45))="PIPE"),AND(UPPER(TRIM(B45))="TRENCH",UPPER(TRIM(AI45))="PIPE")),Inputs!$B$55,0))</f>
        <v/>
      </c>
      <c r="AK45" s="17">
        <f>IF(A45="","",IF(OR(AND(UPPER(TRIM(B45))="SWALE",UPPER(TRIM(AI45))="PIPE"),AND(UPPER(TRIM(B45))="TRENCH",UPPER(TRIM(AI45))="PIPE")),Inputs!$B$56,Inputs!$B$54))</f>
        <v/>
      </c>
      <c r="AL45" s="4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7">
        <f>IF(A46="","",IF(E46="","",IFERROR(INDEX($B$4:$B$204,MATCH(E46,$A$4:$A$204,0)),"")))</f>
        <v/>
      </c>
      <c r="AJ46" s="17">
        <f>IF(A46="","",IF(OR(AND(UPPER(TRIM(B46))="SWALE",UPPER(TRIM(AI46))="PIPE"),AND(UPPER(TRIM(B46))="TRENCH",UPPER(TRIM(AI46))="PIPE")),Inputs!$B$55,0))</f>
        <v/>
      </c>
      <c r="AK46" s="17">
        <f>IF(A46="","",IF(OR(AND(UPPER(TRIM(B46))="SWALE",UPPER(TRIM(AI46))="PIPE"),AND(UPPER(TRIM(B46))="TRENCH",UPPER(TRIM(AI46))="PIPE")),Inputs!$B$56,Inputs!$B$54))</f>
        <v/>
      </c>
      <c r="AL46" s="4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7">
        <f>IF(A47="","",IF(E47="","",IFERROR(INDEX($B$4:$B$204,MATCH(E47,$A$4:$A$204,0)),"")))</f>
        <v/>
      </c>
      <c r="AJ47" s="17">
        <f>IF(A47="","",IF(OR(AND(UPPER(TRIM(B47))="SWALE",UPPER(TRIM(AI47))="PIPE"),AND(UPPER(TRIM(B47))="TRENCH",UPPER(TRIM(AI47))="PIPE")),Inputs!$B$55,0))</f>
        <v/>
      </c>
      <c r="AK47" s="17">
        <f>IF(A47="","",IF(OR(AND(UPPER(TRIM(B47))="SWALE",UPPER(TRIM(AI47))="PIPE"),AND(UPPER(TRIM(B47))="TRENCH",UPPER(TRIM(AI47))="PIPE")),Inputs!$B$56,Inputs!$B$54))</f>
        <v/>
      </c>
      <c r="AL47" s="4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7">
        <f>IF(A48="","",IF(E48="","",IFERROR(INDEX($B$4:$B$204,MATCH(E48,$A$4:$A$204,0)),"")))</f>
        <v/>
      </c>
      <c r="AJ48" s="17">
        <f>IF(A48="","",IF(OR(AND(UPPER(TRIM(B48))="SWALE",UPPER(TRIM(AI48))="PIPE"),AND(UPPER(TRIM(B48))="TRENCH",UPPER(TRIM(AI48))="PIPE")),Inputs!$B$55,0))</f>
        <v/>
      </c>
      <c r="AK48" s="17">
        <f>IF(A48="","",IF(OR(AND(UPPER(TRIM(B48))="SWALE",UPPER(TRIM(AI48))="PIPE"),AND(UPPER(TRIM(B48))="TRENCH",UPPER(TRIM(AI48))="PIPE")),Inputs!$B$56,Inputs!$B$54))</f>
        <v/>
      </c>
      <c r="AL48" s="4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7">
        <f>IF(A49="","",IF(E49="","",IFERROR(INDEX($B$4:$B$204,MATCH(E49,$A$4:$A$204,0)),"")))</f>
        <v/>
      </c>
      <c r="AJ49" s="17">
        <f>IF(A49="","",IF(OR(AND(UPPER(TRIM(B49))="SWALE",UPPER(TRIM(AI49))="PIPE"),AND(UPPER(TRIM(B49))="TRENCH",UPPER(TRIM(AI49))="PIPE")),Inputs!$B$55,0))</f>
        <v/>
      </c>
      <c r="AK49" s="17">
        <f>IF(A49="","",IF(OR(AND(UPPER(TRIM(B49))="SWALE",UPPER(TRIM(AI49))="PIPE"),AND(UPPER(TRIM(B49))="TRENCH",UPPER(TRIM(AI49))="PIPE")),Inputs!$B$56,Inputs!$B$54))</f>
        <v/>
      </c>
      <c r="AL49" s="4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7">
        <f>IF(A50="","",IF(E50="","",IFERROR(INDEX($B$4:$B$204,MATCH(E50,$A$4:$A$204,0)),"")))</f>
        <v/>
      </c>
      <c r="AJ50" s="17">
        <f>IF(A50="","",IF(OR(AND(UPPER(TRIM(B50))="SWALE",UPPER(TRIM(AI50))="PIPE"),AND(UPPER(TRIM(B50))="TRENCH",UPPER(TRIM(AI50))="PIPE")),Inputs!$B$55,0))</f>
        <v/>
      </c>
      <c r="AK50" s="17">
        <f>IF(A50="","",IF(OR(AND(UPPER(TRIM(B50))="SWALE",UPPER(TRIM(AI50))="PIPE"),AND(UPPER(TRIM(B50))="TRENCH",UPPER(TRIM(AI50))="PIPE")),Inputs!$B$56,Inputs!$B$54))</f>
        <v/>
      </c>
      <c r="AL50" s="4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7">
        <f>IF(A51="","",IF(E51="","",IFERROR(INDEX($B$4:$B$204,MATCH(E51,$A$4:$A$204,0)),"")))</f>
        <v/>
      </c>
      <c r="AJ51" s="17">
        <f>IF(A51="","",IF(OR(AND(UPPER(TRIM(B51))="SWALE",UPPER(TRIM(AI51))="PIPE"),AND(UPPER(TRIM(B51))="TRENCH",UPPER(TRIM(AI51))="PIPE")),Inputs!$B$55,0))</f>
        <v/>
      </c>
      <c r="AK51" s="17">
        <f>IF(A51="","",IF(OR(AND(UPPER(TRIM(B51))="SWALE",UPPER(TRIM(AI51))="PIPE"),AND(UPPER(TRIM(B51))="TRENCH",UPPER(TRIM(AI51))="PIPE")),Inputs!$B$56,Inputs!$B$54))</f>
        <v/>
      </c>
      <c r="AL51" s="4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7">
        <f>IF(A52="","",IF(E52="","",IFERROR(INDEX($B$4:$B$204,MATCH(E52,$A$4:$A$204,0)),"")))</f>
        <v/>
      </c>
      <c r="AJ52" s="17">
        <f>IF(A52="","",IF(OR(AND(UPPER(TRIM(B52))="SWALE",UPPER(TRIM(AI52))="PIPE"),AND(UPPER(TRIM(B52))="TRENCH",UPPER(TRIM(AI52))="PIPE")),Inputs!$B$55,0))</f>
        <v/>
      </c>
      <c r="AK52" s="17">
        <f>IF(A52="","",IF(OR(AND(UPPER(TRIM(B52))="SWALE",UPPER(TRIM(AI52))="PIPE"),AND(UPPER(TRIM(B52))="TRENCH",UPPER(TRIM(AI52))="PIPE")),Inputs!$B$56,Inputs!$B$54))</f>
        <v/>
      </c>
      <c r="AL52" s="4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7">
        <f>IF(A53="","",IF(E53="","",IFERROR(INDEX($B$4:$B$204,MATCH(E53,$A$4:$A$204,0)),"")))</f>
        <v/>
      </c>
      <c r="AJ53" s="17">
        <f>IF(A53="","",IF(OR(AND(UPPER(TRIM(B53))="SWALE",UPPER(TRIM(AI53))="PIPE"),AND(UPPER(TRIM(B53))="TRENCH",UPPER(TRIM(AI53))="PIPE")),Inputs!$B$55,0))</f>
        <v/>
      </c>
      <c r="AK53" s="17">
        <f>IF(A53="","",IF(OR(AND(UPPER(TRIM(B53))="SWALE",UPPER(TRIM(AI53))="PIPE"),AND(UPPER(TRIM(B53))="TRENCH",UPPER(TRIM(AI53))="PIPE")),Inputs!$B$56,Inputs!$B$54))</f>
        <v/>
      </c>
      <c r="AL53" s="4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7">
        <f>IF(A54="","",IF(E54="","",IFERROR(INDEX($B$4:$B$204,MATCH(E54,$A$4:$A$204,0)),"")))</f>
        <v/>
      </c>
      <c r="AJ54" s="17">
        <f>IF(A54="","",IF(OR(AND(UPPER(TRIM(B54))="SWALE",UPPER(TRIM(AI54))="PIPE"),AND(UPPER(TRIM(B54))="TRENCH",UPPER(TRIM(AI54))="PIPE")),Inputs!$B$55,0))</f>
        <v/>
      </c>
      <c r="AK54" s="17">
        <f>IF(A54="","",IF(OR(AND(UPPER(TRIM(B54))="SWALE",UPPER(TRIM(AI54))="PIPE"),AND(UPPER(TRIM(B54))="TRENCH",UPPER(TRIM(AI54))="PIPE")),Inputs!$B$56,Inputs!$B$54))</f>
        <v/>
      </c>
      <c r="AL54" s="4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7">
        <f>IF(A55="","",IF(E55="","",IFERROR(INDEX($B$4:$B$204,MATCH(E55,$A$4:$A$204,0)),"")))</f>
        <v/>
      </c>
      <c r="AJ55" s="17">
        <f>IF(A55="","",IF(OR(AND(UPPER(TRIM(B55))="SWALE",UPPER(TRIM(AI55))="PIPE"),AND(UPPER(TRIM(B55))="TRENCH",UPPER(TRIM(AI55))="PIPE")),Inputs!$B$55,0))</f>
        <v/>
      </c>
      <c r="AK55" s="17">
        <f>IF(A55="","",IF(OR(AND(UPPER(TRIM(B55))="SWALE",UPPER(TRIM(AI55))="PIPE"),AND(UPPER(TRIM(B55))="TRENCH",UPPER(TRIM(AI55))="PIPE")),Inputs!$B$56,Inputs!$B$54))</f>
        <v/>
      </c>
      <c r="AL55" s="4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7">
        <f>IF(A56="","",IF(E56="","",IFERROR(INDEX($B$4:$B$204,MATCH(E56,$A$4:$A$204,0)),"")))</f>
        <v/>
      </c>
      <c r="AJ56" s="17">
        <f>IF(A56="","",IF(OR(AND(UPPER(TRIM(B56))="SWALE",UPPER(TRIM(AI56))="PIPE"),AND(UPPER(TRIM(B56))="TRENCH",UPPER(TRIM(AI56))="PIPE")),Inputs!$B$55,0))</f>
        <v/>
      </c>
      <c r="AK56" s="17">
        <f>IF(A56="","",IF(OR(AND(UPPER(TRIM(B56))="SWALE",UPPER(TRIM(AI56))="PIPE"),AND(UPPER(TRIM(B56))="TRENCH",UPPER(TRIM(AI56))="PIPE")),Inputs!$B$56,Inputs!$B$54))</f>
        <v/>
      </c>
      <c r="AL56" s="4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7">
        <f>IF(A57="","",IF(E57="","",IFERROR(INDEX($B$4:$B$204,MATCH(E57,$A$4:$A$204,0)),"")))</f>
        <v/>
      </c>
      <c r="AJ57" s="17">
        <f>IF(A57="","",IF(OR(AND(UPPER(TRIM(B57))="SWALE",UPPER(TRIM(AI57))="PIPE"),AND(UPPER(TRIM(B57))="TRENCH",UPPER(TRIM(AI57))="PIPE")),Inputs!$B$55,0))</f>
        <v/>
      </c>
      <c r="AK57" s="17">
        <f>IF(A57="","",IF(OR(AND(UPPER(TRIM(B57))="SWALE",UPPER(TRIM(AI57))="PIPE"),AND(UPPER(TRIM(B57))="TRENCH",UPPER(TRIM(AI57))="PIPE")),Inputs!$B$56,Inputs!$B$54))</f>
        <v/>
      </c>
      <c r="AL57" s="4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7">
        <f>IF(A58="","",IF(E58="","",IFERROR(INDEX($B$4:$B$204,MATCH(E58,$A$4:$A$204,0)),"")))</f>
        <v/>
      </c>
      <c r="AJ58" s="17">
        <f>IF(A58="","",IF(OR(AND(UPPER(TRIM(B58))="SWALE",UPPER(TRIM(AI58))="PIPE"),AND(UPPER(TRIM(B58))="TRENCH",UPPER(TRIM(AI58))="PIPE")),Inputs!$B$55,0))</f>
        <v/>
      </c>
      <c r="AK58" s="17">
        <f>IF(A58="","",IF(OR(AND(UPPER(TRIM(B58))="SWALE",UPPER(TRIM(AI58))="PIPE"),AND(UPPER(TRIM(B58))="TRENCH",UPPER(TRIM(AI58))="PIPE")),Inputs!$B$56,Inputs!$B$54))</f>
        <v/>
      </c>
      <c r="AL58" s="4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7">
        <f>IF(A59="","",IF(E59="","",IFERROR(INDEX($B$4:$B$204,MATCH(E59,$A$4:$A$204,0)),"")))</f>
        <v/>
      </c>
      <c r="AJ59" s="17">
        <f>IF(A59="","",IF(OR(AND(UPPER(TRIM(B59))="SWALE",UPPER(TRIM(AI59))="PIPE"),AND(UPPER(TRIM(B59))="TRENCH",UPPER(TRIM(AI59))="PIPE")),Inputs!$B$55,0))</f>
        <v/>
      </c>
      <c r="AK59" s="17">
        <f>IF(A59="","",IF(OR(AND(UPPER(TRIM(B59))="SWALE",UPPER(TRIM(AI59))="PIPE"),AND(UPPER(TRIM(B59))="TRENCH",UPPER(TRIM(AI59))="PIPE")),Inputs!$B$56,Inputs!$B$54))</f>
        <v/>
      </c>
      <c r="AL59" s="4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7">
        <f>IF(A60="","",IF(E60="","",IFERROR(INDEX($B$4:$B$204,MATCH(E60,$A$4:$A$204,0)),"")))</f>
        <v/>
      </c>
      <c r="AJ60" s="17">
        <f>IF(A60="","",IF(OR(AND(UPPER(TRIM(B60))="SWALE",UPPER(TRIM(AI60))="PIPE"),AND(UPPER(TRIM(B60))="TRENCH",UPPER(TRIM(AI60))="PIPE")),Inputs!$B$55,0))</f>
        <v/>
      </c>
      <c r="AK60" s="17">
        <f>IF(A60="","",IF(OR(AND(UPPER(TRIM(B60))="SWALE",UPPER(TRIM(AI60))="PIPE"),AND(UPPER(TRIM(B60))="TRENCH",UPPER(TRIM(AI60))="PIPE")),Inputs!$B$56,Inputs!$B$54))</f>
        <v/>
      </c>
      <c r="AL60" s="4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7">
        <f>IF(A61="","",IF(E61="","",IFERROR(INDEX($B$4:$B$204,MATCH(E61,$A$4:$A$204,0)),"")))</f>
        <v/>
      </c>
      <c r="AJ61" s="17">
        <f>IF(A61="","",IF(OR(AND(UPPER(TRIM(B61))="SWALE",UPPER(TRIM(AI61))="PIPE"),AND(UPPER(TRIM(B61))="TRENCH",UPPER(TRIM(AI61))="PIPE")),Inputs!$B$55,0))</f>
        <v/>
      </c>
      <c r="AK61" s="17">
        <f>IF(A61="","",IF(OR(AND(UPPER(TRIM(B61))="SWALE",UPPER(TRIM(AI61))="PIPE"),AND(UPPER(TRIM(B61))="TRENCH",UPPER(TRIM(AI61))="PIPE")),Inputs!$B$56,Inputs!$B$54))</f>
        <v/>
      </c>
      <c r="AL61" s="4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7">
        <f>IF(A62="","",IF(E62="","",IFERROR(INDEX($B$4:$B$204,MATCH(E62,$A$4:$A$204,0)),"")))</f>
        <v/>
      </c>
      <c r="AJ62" s="17">
        <f>IF(A62="","",IF(OR(AND(UPPER(TRIM(B62))="SWALE",UPPER(TRIM(AI62))="PIPE"),AND(UPPER(TRIM(B62))="TRENCH",UPPER(TRIM(AI62))="PIPE")),Inputs!$B$55,0))</f>
        <v/>
      </c>
      <c r="AK62" s="17">
        <f>IF(A62="","",IF(OR(AND(UPPER(TRIM(B62))="SWALE",UPPER(TRIM(AI62))="PIPE"),AND(UPPER(TRIM(B62))="TRENCH",UPPER(TRIM(AI62))="PIPE")),Inputs!$B$56,Inputs!$B$54))</f>
        <v/>
      </c>
      <c r="AL62" s="4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7">
        <f>IF(A63="","",IF(E63="","",IFERROR(INDEX($B$4:$B$204,MATCH(E63,$A$4:$A$204,0)),"")))</f>
        <v/>
      </c>
      <c r="AJ63" s="17">
        <f>IF(A63="","",IF(OR(AND(UPPER(TRIM(B63))="SWALE",UPPER(TRIM(AI63))="PIPE"),AND(UPPER(TRIM(B63))="TRENCH",UPPER(TRIM(AI63))="PIPE")),Inputs!$B$55,0))</f>
        <v/>
      </c>
      <c r="AK63" s="17">
        <f>IF(A63="","",IF(OR(AND(UPPER(TRIM(B63))="SWALE",UPPER(TRIM(AI63))="PIPE"),AND(UPPER(TRIM(B63))="TRENCH",UPPER(TRIM(AI63))="PIPE")),Inputs!$B$56,Inputs!$B$54))</f>
        <v/>
      </c>
      <c r="AL63" s="4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7">
        <f>IF(A64="","",IF(E64="","",IFERROR(INDEX($B$4:$B$204,MATCH(E64,$A$4:$A$204,0)),"")))</f>
        <v/>
      </c>
      <c r="AJ64" s="17">
        <f>IF(A64="","",IF(OR(AND(UPPER(TRIM(B64))="SWALE",UPPER(TRIM(AI64))="PIPE"),AND(UPPER(TRIM(B64))="TRENCH",UPPER(TRIM(AI64))="PIPE")),Inputs!$B$55,0))</f>
        <v/>
      </c>
      <c r="AK64" s="17">
        <f>IF(A64="","",IF(OR(AND(UPPER(TRIM(B64))="SWALE",UPPER(TRIM(AI64))="PIPE"),AND(UPPER(TRIM(B64))="TRENCH",UPPER(TRIM(AI64))="PIPE")),Inputs!$B$56,Inputs!$B$54))</f>
        <v/>
      </c>
      <c r="AL64" s="4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7">
        <f>IF(A65="","",IF(E65="","",IFERROR(INDEX($B$4:$B$204,MATCH(E65,$A$4:$A$204,0)),"")))</f>
        <v/>
      </c>
      <c r="AJ65" s="17">
        <f>IF(A65="","",IF(OR(AND(UPPER(TRIM(B65))="SWALE",UPPER(TRIM(AI65))="PIPE"),AND(UPPER(TRIM(B65))="TRENCH",UPPER(TRIM(AI65))="PIPE")),Inputs!$B$55,0))</f>
        <v/>
      </c>
      <c r="AK65" s="17">
        <f>IF(A65="","",IF(OR(AND(UPPER(TRIM(B65))="SWALE",UPPER(TRIM(AI65))="PIPE"),AND(UPPER(TRIM(B65))="TRENCH",UPPER(TRIM(AI65))="PIPE")),Inputs!$B$56,Inputs!$B$54))</f>
        <v/>
      </c>
      <c r="AL65" s="4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7">
        <f>IF(A66="","",IF(E66="","",IFERROR(INDEX($B$4:$B$204,MATCH(E66,$A$4:$A$204,0)),"")))</f>
        <v/>
      </c>
      <c r="AJ66" s="17">
        <f>IF(A66="","",IF(OR(AND(UPPER(TRIM(B66))="SWALE",UPPER(TRIM(AI66))="PIPE"),AND(UPPER(TRIM(B66))="TRENCH",UPPER(TRIM(AI66))="PIPE")),Inputs!$B$55,0))</f>
        <v/>
      </c>
      <c r="AK66" s="17">
        <f>IF(A66="","",IF(OR(AND(UPPER(TRIM(B66))="SWALE",UPPER(TRIM(AI66))="PIPE"),AND(UPPER(TRIM(B66))="TRENCH",UPPER(TRIM(AI66))="PIPE")),Inputs!$B$56,Inputs!$B$54))</f>
        <v/>
      </c>
      <c r="AL66" s="4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7">
        <f>IF(A67="","",IF(E67="","",IFERROR(INDEX($B$4:$B$204,MATCH(E67,$A$4:$A$204,0)),"")))</f>
        <v/>
      </c>
      <c r="AJ67" s="17">
        <f>IF(A67="","",IF(OR(AND(UPPER(TRIM(B67))="SWALE",UPPER(TRIM(AI67))="PIPE"),AND(UPPER(TRIM(B67))="TRENCH",UPPER(TRIM(AI67))="PIPE")),Inputs!$B$55,0))</f>
        <v/>
      </c>
      <c r="AK67" s="17">
        <f>IF(A67="","",IF(OR(AND(UPPER(TRIM(B67))="SWALE",UPPER(TRIM(AI67))="PIPE"),AND(UPPER(TRIM(B67))="TRENCH",UPPER(TRIM(AI67))="PIPE")),Inputs!$B$56,Inputs!$B$54))</f>
        <v/>
      </c>
      <c r="AL67" s="4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7">
        <f>IF(A68="","",IF(E68="","",IFERROR(INDEX($B$4:$B$204,MATCH(E68,$A$4:$A$204,0)),"")))</f>
        <v/>
      </c>
      <c r="AJ68" s="17">
        <f>IF(A68="","",IF(OR(AND(UPPER(TRIM(B68))="SWALE",UPPER(TRIM(AI68))="PIPE"),AND(UPPER(TRIM(B68))="TRENCH",UPPER(TRIM(AI68))="PIPE")),Inputs!$B$55,0))</f>
        <v/>
      </c>
      <c r="AK68" s="17">
        <f>IF(A68="","",IF(OR(AND(UPPER(TRIM(B68))="SWALE",UPPER(TRIM(AI68))="PIPE"),AND(UPPER(TRIM(B68))="TRENCH",UPPER(TRIM(AI68))="PIPE")),Inputs!$B$56,Inputs!$B$54))</f>
        <v/>
      </c>
      <c r="AL68" s="4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7">
        <f>IF(A69="","",IF(E69="","",IFERROR(INDEX($B$4:$B$204,MATCH(E69,$A$4:$A$204,0)),"")))</f>
        <v/>
      </c>
      <c r="AJ69" s="17">
        <f>IF(A69="","",IF(OR(AND(UPPER(TRIM(B69))="SWALE",UPPER(TRIM(AI69))="PIPE"),AND(UPPER(TRIM(B69))="TRENCH",UPPER(TRIM(AI69))="PIPE")),Inputs!$B$55,0))</f>
        <v/>
      </c>
      <c r="AK69" s="17">
        <f>IF(A69="","",IF(OR(AND(UPPER(TRIM(B69))="SWALE",UPPER(TRIM(AI69))="PIPE"),AND(UPPER(TRIM(B69))="TRENCH",UPPER(TRIM(AI69))="PIPE")),Inputs!$B$56,Inputs!$B$54))</f>
        <v/>
      </c>
      <c r="AL69" s="4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7">
        <f>IF(A70="","",IF(E70="","",IFERROR(INDEX($B$4:$B$204,MATCH(E70,$A$4:$A$204,0)),"")))</f>
        <v/>
      </c>
      <c r="AJ70" s="17">
        <f>IF(A70="","",IF(OR(AND(UPPER(TRIM(B70))="SWALE",UPPER(TRIM(AI70))="PIPE"),AND(UPPER(TRIM(B70))="TRENCH",UPPER(TRIM(AI70))="PIPE")),Inputs!$B$55,0))</f>
        <v/>
      </c>
      <c r="AK70" s="17">
        <f>IF(A70="","",IF(OR(AND(UPPER(TRIM(B70))="SWALE",UPPER(TRIM(AI70))="PIPE"),AND(UPPER(TRIM(B70))="TRENCH",UPPER(TRIM(AI70))="PIPE")),Inputs!$B$56,Inputs!$B$54))</f>
        <v/>
      </c>
      <c r="AL70" s="4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7">
        <f>IF(A71="","",IF(E71="","",IFERROR(INDEX($B$4:$B$204,MATCH(E71,$A$4:$A$204,0)),"")))</f>
        <v/>
      </c>
      <c r="AJ71" s="17">
        <f>IF(A71="","",IF(OR(AND(UPPER(TRIM(B71))="SWALE",UPPER(TRIM(AI71))="PIPE"),AND(UPPER(TRIM(B71))="TRENCH",UPPER(TRIM(AI71))="PIPE")),Inputs!$B$55,0))</f>
        <v/>
      </c>
      <c r="AK71" s="17">
        <f>IF(A71="","",IF(OR(AND(UPPER(TRIM(B71))="SWALE",UPPER(TRIM(AI71))="PIPE"),AND(UPPER(TRIM(B71))="TRENCH",UPPER(TRIM(AI71))="PIPE")),Inputs!$B$56,Inputs!$B$54))</f>
        <v/>
      </c>
      <c r="AL71" s="4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7">
        <f>IF(A72="","",IF(E72="","",IFERROR(INDEX($B$4:$B$204,MATCH(E72,$A$4:$A$204,0)),"")))</f>
        <v/>
      </c>
      <c r="AJ72" s="17">
        <f>IF(A72="","",IF(OR(AND(UPPER(TRIM(B72))="SWALE",UPPER(TRIM(AI72))="PIPE"),AND(UPPER(TRIM(B72))="TRENCH",UPPER(TRIM(AI72))="PIPE")),Inputs!$B$55,0))</f>
        <v/>
      </c>
      <c r="AK72" s="17">
        <f>IF(A72="","",IF(OR(AND(UPPER(TRIM(B72))="SWALE",UPPER(TRIM(AI72))="PIPE"),AND(UPPER(TRIM(B72))="TRENCH",UPPER(TRIM(AI72))="PIPE")),Inputs!$B$56,Inputs!$B$54))</f>
        <v/>
      </c>
      <c r="AL72" s="4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7">
        <f>IF(A73="","",IF(E73="","",IFERROR(INDEX($B$4:$B$204,MATCH(E73,$A$4:$A$204,0)),"")))</f>
        <v/>
      </c>
      <c r="AJ73" s="17">
        <f>IF(A73="","",IF(OR(AND(UPPER(TRIM(B73))="SWALE",UPPER(TRIM(AI73))="PIPE"),AND(UPPER(TRIM(B73))="TRENCH",UPPER(TRIM(AI73))="PIPE")),Inputs!$B$55,0))</f>
        <v/>
      </c>
      <c r="AK73" s="17">
        <f>IF(A73="","",IF(OR(AND(UPPER(TRIM(B73))="SWALE",UPPER(TRIM(AI73))="PIPE"),AND(UPPER(TRIM(B73))="TRENCH",UPPER(TRIM(AI73))="PIPE")),Inputs!$B$56,Inputs!$B$54))</f>
        <v/>
      </c>
      <c r="AL73" s="4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7">
        <f>IF(A74="","",IF(E74="","",IFERROR(INDEX($B$4:$B$204,MATCH(E74,$A$4:$A$204,0)),"")))</f>
        <v/>
      </c>
      <c r="AJ74" s="17">
        <f>IF(A74="","",IF(OR(AND(UPPER(TRIM(B74))="SWALE",UPPER(TRIM(AI74))="PIPE"),AND(UPPER(TRIM(B74))="TRENCH",UPPER(TRIM(AI74))="PIPE")),Inputs!$B$55,0))</f>
        <v/>
      </c>
      <c r="AK74" s="17">
        <f>IF(A74="","",IF(OR(AND(UPPER(TRIM(B74))="SWALE",UPPER(TRIM(AI74))="PIPE"),AND(UPPER(TRIM(B74))="TRENCH",UPPER(TRIM(AI74))="PIPE")),Inputs!$B$56,Inputs!$B$54))</f>
        <v/>
      </c>
      <c r="AL74" s="4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7">
        <f>IF(A75="","",IF(E75="","",IFERROR(INDEX($B$4:$B$204,MATCH(E75,$A$4:$A$204,0)),"")))</f>
        <v/>
      </c>
      <c r="AJ75" s="17">
        <f>IF(A75="","",IF(OR(AND(UPPER(TRIM(B75))="SWALE",UPPER(TRIM(AI75))="PIPE"),AND(UPPER(TRIM(B75))="TRENCH",UPPER(TRIM(AI75))="PIPE")),Inputs!$B$55,0))</f>
        <v/>
      </c>
      <c r="AK75" s="17">
        <f>IF(A75="","",IF(OR(AND(UPPER(TRIM(B75))="SWALE",UPPER(TRIM(AI75))="PIPE"),AND(UPPER(TRIM(B75))="TRENCH",UPPER(TRIM(AI75))="PIPE")),Inputs!$B$56,Inputs!$B$54))</f>
        <v/>
      </c>
      <c r="AL75" s="4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7">
        <f>IF(A76="","",IF(E76="","",IFERROR(INDEX($B$4:$B$204,MATCH(E76,$A$4:$A$204,0)),"")))</f>
        <v/>
      </c>
      <c r="AJ76" s="17">
        <f>IF(A76="","",IF(OR(AND(UPPER(TRIM(B76))="SWALE",UPPER(TRIM(AI76))="PIPE"),AND(UPPER(TRIM(B76))="TRENCH",UPPER(TRIM(AI76))="PIPE")),Inputs!$B$55,0))</f>
        <v/>
      </c>
      <c r="AK76" s="17">
        <f>IF(A76="","",IF(OR(AND(UPPER(TRIM(B76))="SWALE",UPPER(TRIM(AI76))="PIPE"),AND(UPPER(TRIM(B76))="TRENCH",UPPER(TRIM(AI76))="PIPE")),Inputs!$B$56,Inputs!$B$54))</f>
        <v/>
      </c>
      <c r="AL76" s="4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7">
        <f>IF(A77="","",IF(E77="","",IFERROR(INDEX($B$4:$B$204,MATCH(E77,$A$4:$A$204,0)),"")))</f>
        <v/>
      </c>
      <c r="AJ77" s="17">
        <f>IF(A77="","",IF(OR(AND(UPPER(TRIM(B77))="SWALE",UPPER(TRIM(AI77))="PIPE"),AND(UPPER(TRIM(B77))="TRENCH",UPPER(TRIM(AI77))="PIPE")),Inputs!$B$55,0))</f>
        <v/>
      </c>
      <c r="AK77" s="17">
        <f>IF(A77="","",IF(OR(AND(UPPER(TRIM(B77))="SWALE",UPPER(TRIM(AI77))="PIPE"),AND(UPPER(TRIM(B77))="TRENCH",UPPER(TRIM(AI77))="PIPE")),Inputs!$B$56,Inputs!$B$54))</f>
        <v/>
      </c>
      <c r="AL77" s="4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7">
        <f>IF(A78="","",IF(E78="","",IFERROR(INDEX($B$4:$B$204,MATCH(E78,$A$4:$A$204,0)),"")))</f>
        <v/>
      </c>
      <c r="AJ78" s="17">
        <f>IF(A78="","",IF(OR(AND(UPPER(TRIM(B78))="SWALE",UPPER(TRIM(AI78))="PIPE"),AND(UPPER(TRIM(B78))="TRENCH",UPPER(TRIM(AI78))="PIPE")),Inputs!$B$55,0))</f>
        <v/>
      </c>
      <c r="AK78" s="17">
        <f>IF(A78="","",IF(OR(AND(UPPER(TRIM(B78))="SWALE",UPPER(TRIM(AI78))="PIPE"),AND(UPPER(TRIM(B78))="TRENCH",UPPER(TRIM(AI78))="PIPE")),Inputs!$B$56,Inputs!$B$54))</f>
        <v/>
      </c>
      <c r="AL78" s="4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7">
        <f>IF(A79="","",IF(E79="","",IFERROR(INDEX($B$4:$B$204,MATCH(E79,$A$4:$A$204,0)),"")))</f>
        <v/>
      </c>
      <c r="AJ79" s="17">
        <f>IF(A79="","",IF(OR(AND(UPPER(TRIM(B79))="SWALE",UPPER(TRIM(AI79))="PIPE"),AND(UPPER(TRIM(B79))="TRENCH",UPPER(TRIM(AI79))="PIPE")),Inputs!$B$55,0))</f>
        <v/>
      </c>
      <c r="AK79" s="17">
        <f>IF(A79="","",IF(OR(AND(UPPER(TRIM(B79))="SWALE",UPPER(TRIM(AI79))="PIPE"),AND(UPPER(TRIM(B79))="TRENCH",UPPER(TRIM(AI79))="PIPE")),Inputs!$B$56,Inputs!$B$54))</f>
        <v/>
      </c>
      <c r="AL79" s="4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7">
        <f>IF(A80="","",IF(E80="","",IFERROR(INDEX($B$4:$B$204,MATCH(E80,$A$4:$A$204,0)),"")))</f>
        <v/>
      </c>
      <c r="AJ80" s="17">
        <f>IF(A80="","",IF(OR(AND(UPPER(TRIM(B80))="SWALE",UPPER(TRIM(AI80))="PIPE"),AND(UPPER(TRIM(B80))="TRENCH",UPPER(TRIM(AI80))="PIPE")),Inputs!$B$55,0))</f>
        <v/>
      </c>
      <c r="AK80" s="17">
        <f>IF(A80="","",IF(OR(AND(UPPER(TRIM(B80))="SWALE",UPPER(TRIM(AI80))="PIPE"),AND(UPPER(TRIM(B80))="TRENCH",UPPER(TRIM(AI80))="PIPE")),Inputs!$B$56,Inputs!$B$54))</f>
        <v/>
      </c>
      <c r="AL80" s="4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7">
        <f>IF(A81="","",IF(E81="","",IFERROR(INDEX($B$4:$B$204,MATCH(E81,$A$4:$A$204,0)),"")))</f>
        <v/>
      </c>
      <c r="AJ81" s="17">
        <f>IF(A81="","",IF(OR(AND(UPPER(TRIM(B81))="SWALE",UPPER(TRIM(AI81))="PIPE"),AND(UPPER(TRIM(B81))="TRENCH",UPPER(TRIM(AI81))="PIPE")),Inputs!$B$55,0))</f>
        <v/>
      </c>
      <c r="AK81" s="17">
        <f>IF(A81="","",IF(OR(AND(UPPER(TRIM(B81))="SWALE",UPPER(TRIM(AI81))="PIPE"),AND(UPPER(TRIM(B81))="TRENCH",UPPER(TRIM(AI81))="PIPE")),Inputs!$B$56,Inputs!$B$54))</f>
        <v/>
      </c>
      <c r="AL81" s="4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7">
        <f>IF(A82="","",IF(E82="","",IFERROR(INDEX($B$4:$B$204,MATCH(E82,$A$4:$A$204,0)),"")))</f>
        <v/>
      </c>
      <c r="AJ82" s="17">
        <f>IF(A82="","",IF(OR(AND(UPPER(TRIM(B82))="SWALE",UPPER(TRIM(AI82))="PIPE"),AND(UPPER(TRIM(B82))="TRENCH",UPPER(TRIM(AI82))="PIPE")),Inputs!$B$55,0))</f>
        <v/>
      </c>
      <c r="AK82" s="17">
        <f>IF(A82="","",IF(OR(AND(UPPER(TRIM(B82))="SWALE",UPPER(TRIM(AI82))="PIPE"),AND(UPPER(TRIM(B82))="TRENCH",UPPER(TRIM(AI82))="PIPE")),Inputs!$B$56,Inputs!$B$54))</f>
        <v/>
      </c>
      <c r="AL82" s="4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7">
        <f>IF(A83="","",IF(E83="","",IFERROR(INDEX($B$4:$B$204,MATCH(E83,$A$4:$A$204,0)),"")))</f>
        <v/>
      </c>
      <c r="AJ83" s="17">
        <f>IF(A83="","",IF(OR(AND(UPPER(TRIM(B83))="SWALE",UPPER(TRIM(AI83))="PIPE"),AND(UPPER(TRIM(B83))="TRENCH",UPPER(TRIM(AI83))="PIPE")),Inputs!$B$55,0))</f>
        <v/>
      </c>
      <c r="AK83" s="17">
        <f>IF(A83="","",IF(OR(AND(UPPER(TRIM(B83))="SWALE",UPPER(TRIM(AI83))="PIPE"),AND(UPPER(TRIM(B83))="TRENCH",UPPER(TRIM(AI83))="PIPE")),Inputs!$B$56,Inputs!$B$54))</f>
        <v/>
      </c>
      <c r="AL83" s="4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7">
        <f>IF(A84="","",IF(E84="","",IFERROR(INDEX($B$4:$B$204,MATCH(E84,$A$4:$A$204,0)),"")))</f>
        <v/>
      </c>
      <c r="AJ84" s="17">
        <f>IF(A84="","",IF(OR(AND(UPPER(TRIM(B84))="SWALE",UPPER(TRIM(AI84))="PIPE"),AND(UPPER(TRIM(B84))="TRENCH",UPPER(TRIM(AI84))="PIPE")),Inputs!$B$55,0))</f>
        <v/>
      </c>
      <c r="AK84" s="17">
        <f>IF(A84="","",IF(OR(AND(UPPER(TRIM(B84))="SWALE",UPPER(TRIM(AI84))="PIPE"),AND(UPPER(TRIM(B84))="TRENCH",UPPER(TRIM(AI84))="PIPE")),Inputs!$B$56,Inputs!$B$54))</f>
        <v/>
      </c>
      <c r="AL84" s="4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7">
        <f>IF(A85="","",IF(E85="","",IFERROR(INDEX($B$4:$B$204,MATCH(E85,$A$4:$A$204,0)),"")))</f>
        <v/>
      </c>
      <c r="AJ85" s="17">
        <f>IF(A85="","",IF(OR(AND(UPPER(TRIM(B85))="SWALE",UPPER(TRIM(AI85))="PIPE"),AND(UPPER(TRIM(B85))="TRENCH",UPPER(TRIM(AI85))="PIPE")),Inputs!$B$55,0))</f>
        <v/>
      </c>
      <c r="AK85" s="17">
        <f>IF(A85="","",IF(OR(AND(UPPER(TRIM(B85))="SWALE",UPPER(TRIM(AI85))="PIPE"),AND(UPPER(TRIM(B85))="TRENCH",UPPER(TRIM(AI85))="PIPE")),Inputs!$B$56,Inputs!$B$54))</f>
        <v/>
      </c>
      <c r="AL85" s="4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7">
        <f>IF(A86="","",IF(E86="","",IFERROR(INDEX($B$4:$B$204,MATCH(E86,$A$4:$A$204,0)),"")))</f>
        <v/>
      </c>
      <c r="AJ86" s="17">
        <f>IF(A86="","",IF(OR(AND(UPPER(TRIM(B86))="SWALE",UPPER(TRIM(AI86))="PIPE"),AND(UPPER(TRIM(B86))="TRENCH",UPPER(TRIM(AI86))="PIPE")),Inputs!$B$55,0))</f>
        <v/>
      </c>
      <c r="AK86" s="17">
        <f>IF(A86="","",IF(OR(AND(UPPER(TRIM(B86))="SWALE",UPPER(TRIM(AI86))="PIPE"),AND(UPPER(TRIM(B86))="TRENCH",UPPER(TRIM(AI86))="PIPE")),Inputs!$B$56,Inputs!$B$54))</f>
        <v/>
      </c>
      <c r="AL86" s="4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7">
        <f>IF(A87="","",IF(E87="","",IFERROR(INDEX($B$4:$B$204,MATCH(E87,$A$4:$A$204,0)),"")))</f>
        <v/>
      </c>
      <c r="AJ87" s="17">
        <f>IF(A87="","",IF(OR(AND(UPPER(TRIM(B87))="SWALE",UPPER(TRIM(AI87))="PIPE"),AND(UPPER(TRIM(B87))="TRENCH",UPPER(TRIM(AI87))="PIPE")),Inputs!$B$55,0))</f>
        <v/>
      </c>
      <c r="AK87" s="17">
        <f>IF(A87="","",IF(OR(AND(UPPER(TRIM(B87))="SWALE",UPPER(TRIM(AI87))="PIPE"),AND(UPPER(TRIM(B87))="TRENCH",UPPER(TRIM(AI87))="PIPE")),Inputs!$B$56,Inputs!$B$54))</f>
        <v/>
      </c>
      <c r="AL87" s="4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7">
        <f>IF(A88="","",IF(E88="","",IFERROR(INDEX($B$4:$B$204,MATCH(E88,$A$4:$A$204,0)),"")))</f>
        <v/>
      </c>
      <c r="AJ88" s="17">
        <f>IF(A88="","",IF(OR(AND(UPPER(TRIM(B88))="SWALE",UPPER(TRIM(AI88))="PIPE"),AND(UPPER(TRIM(B88))="TRENCH",UPPER(TRIM(AI88))="PIPE")),Inputs!$B$55,0))</f>
        <v/>
      </c>
      <c r="AK88" s="17">
        <f>IF(A88="","",IF(OR(AND(UPPER(TRIM(B88))="SWALE",UPPER(TRIM(AI88))="PIPE"),AND(UPPER(TRIM(B88))="TRENCH",UPPER(TRIM(AI88))="PIPE")),Inputs!$B$56,Inputs!$B$54))</f>
        <v/>
      </c>
      <c r="AL88" s="4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7">
        <f>IF(A89="","",IF(E89="","",IFERROR(INDEX($B$4:$B$204,MATCH(E89,$A$4:$A$204,0)),"")))</f>
        <v/>
      </c>
      <c r="AJ89" s="17">
        <f>IF(A89="","",IF(OR(AND(UPPER(TRIM(B89))="SWALE",UPPER(TRIM(AI89))="PIPE"),AND(UPPER(TRIM(B89))="TRENCH",UPPER(TRIM(AI89))="PIPE")),Inputs!$B$55,0))</f>
        <v/>
      </c>
      <c r="AK89" s="17">
        <f>IF(A89="","",IF(OR(AND(UPPER(TRIM(B89))="SWALE",UPPER(TRIM(AI89))="PIPE"),AND(UPPER(TRIM(B89))="TRENCH",UPPER(TRIM(AI89))="PIPE")),Inputs!$B$56,Inputs!$B$54))</f>
        <v/>
      </c>
      <c r="AL89" s="4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7">
        <f>IF(A90="","",IF(E90="","",IFERROR(INDEX($B$4:$B$204,MATCH(E90,$A$4:$A$204,0)),"")))</f>
        <v/>
      </c>
      <c r="AJ90" s="17">
        <f>IF(A90="","",IF(OR(AND(UPPER(TRIM(B90))="SWALE",UPPER(TRIM(AI90))="PIPE"),AND(UPPER(TRIM(B90))="TRENCH",UPPER(TRIM(AI90))="PIPE")),Inputs!$B$55,0))</f>
        <v/>
      </c>
      <c r="AK90" s="17">
        <f>IF(A90="","",IF(OR(AND(UPPER(TRIM(B90))="SWALE",UPPER(TRIM(AI90))="PIPE"),AND(UPPER(TRIM(B90))="TRENCH",UPPER(TRIM(AI90))="PIPE")),Inputs!$B$56,Inputs!$B$54))</f>
        <v/>
      </c>
      <c r="AL90" s="4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7">
        <f>IF(A91="","",IF(E91="","",IFERROR(INDEX($B$4:$B$204,MATCH(E91,$A$4:$A$204,0)),"")))</f>
        <v/>
      </c>
      <c r="AJ91" s="17">
        <f>IF(A91="","",IF(OR(AND(UPPER(TRIM(B91))="SWALE",UPPER(TRIM(AI91))="PIPE"),AND(UPPER(TRIM(B91))="TRENCH",UPPER(TRIM(AI91))="PIPE")),Inputs!$B$55,0))</f>
        <v/>
      </c>
      <c r="AK91" s="17">
        <f>IF(A91="","",IF(OR(AND(UPPER(TRIM(B91))="SWALE",UPPER(TRIM(AI91))="PIPE"),AND(UPPER(TRIM(B91))="TRENCH",UPPER(TRIM(AI91))="PIPE")),Inputs!$B$56,Inputs!$B$54))</f>
        <v/>
      </c>
      <c r="AL91" s="4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7">
        <f>IF(A92="","",IF(E92="","",IFERROR(INDEX($B$4:$B$204,MATCH(E92,$A$4:$A$204,0)),"")))</f>
        <v/>
      </c>
      <c r="AJ92" s="17">
        <f>IF(A92="","",IF(OR(AND(UPPER(TRIM(B92))="SWALE",UPPER(TRIM(AI92))="PIPE"),AND(UPPER(TRIM(B92))="TRENCH",UPPER(TRIM(AI92))="PIPE")),Inputs!$B$55,0))</f>
        <v/>
      </c>
      <c r="AK92" s="17">
        <f>IF(A92="","",IF(OR(AND(UPPER(TRIM(B92))="SWALE",UPPER(TRIM(AI92))="PIPE"),AND(UPPER(TRIM(B92))="TRENCH",UPPER(TRIM(AI92))="PIPE")),Inputs!$B$56,Inputs!$B$54))</f>
        <v/>
      </c>
      <c r="AL92" s="4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7">
        <f>IF(A93="","",IF(E93="","",IFERROR(INDEX($B$4:$B$204,MATCH(E93,$A$4:$A$204,0)),"")))</f>
        <v/>
      </c>
      <c r="AJ93" s="17">
        <f>IF(A93="","",IF(OR(AND(UPPER(TRIM(B93))="SWALE",UPPER(TRIM(AI93))="PIPE"),AND(UPPER(TRIM(B93))="TRENCH",UPPER(TRIM(AI93))="PIPE")),Inputs!$B$55,0))</f>
        <v/>
      </c>
      <c r="AK93" s="17">
        <f>IF(A93="","",IF(OR(AND(UPPER(TRIM(B93))="SWALE",UPPER(TRIM(AI93))="PIPE"),AND(UPPER(TRIM(B93))="TRENCH",UPPER(TRIM(AI93))="PIPE")),Inputs!$B$56,Inputs!$B$54))</f>
        <v/>
      </c>
      <c r="AL93" s="4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7">
        <f>IF(A94="","",IF(E94="","",IFERROR(INDEX($B$4:$B$204,MATCH(E94,$A$4:$A$204,0)),"")))</f>
        <v/>
      </c>
      <c r="AJ94" s="17">
        <f>IF(A94="","",IF(OR(AND(UPPER(TRIM(B94))="SWALE",UPPER(TRIM(AI94))="PIPE"),AND(UPPER(TRIM(B94))="TRENCH",UPPER(TRIM(AI94))="PIPE")),Inputs!$B$55,0))</f>
        <v/>
      </c>
      <c r="AK94" s="17">
        <f>IF(A94="","",IF(OR(AND(UPPER(TRIM(B94))="SWALE",UPPER(TRIM(AI94))="PIPE"),AND(UPPER(TRIM(B94))="TRENCH",UPPER(TRIM(AI94))="PIPE")),Inputs!$B$56,Inputs!$B$54))</f>
        <v/>
      </c>
      <c r="AL94" s="4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7">
        <f>IF(A95="","",IF(E95="","",IFERROR(INDEX($B$4:$B$204,MATCH(E95,$A$4:$A$204,0)),"")))</f>
        <v/>
      </c>
      <c r="AJ95" s="17">
        <f>IF(A95="","",IF(OR(AND(UPPER(TRIM(B95))="SWALE",UPPER(TRIM(AI95))="PIPE"),AND(UPPER(TRIM(B95))="TRENCH",UPPER(TRIM(AI95))="PIPE")),Inputs!$B$55,0))</f>
        <v/>
      </c>
      <c r="AK95" s="17">
        <f>IF(A95="","",IF(OR(AND(UPPER(TRIM(B95))="SWALE",UPPER(TRIM(AI95))="PIPE"),AND(UPPER(TRIM(B95))="TRENCH",UPPER(TRIM(AI95))="PIPE")),Inputs!$B$56,Inputs!$B$54))</f>
        <v/>
      </c>
      <c r="AL95" s="4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7">
        <f>IF(A96="","",IF(E96="","",IFERROR(INDEX($B$4:$B$204,MATCH(E96,$A$4:$A$204,0)),"")))</f>
        <v/>
      </c>
      <c r="AJ96" s="17">
        <f>IF(A96="","",IF(OR(AND(UPPER(TRIM(B96))="SWALE",UPPER(TRIM(AI96))="PIPE"),AND(UPPER(TRIM(B96))="TRENCH",UPPER(TRIM(AI96))="PIPE")),Inputs!$B$55,0))</f>
        <v/>
      </c>
      <c r="AK96" s="17">
        <f>IF(A96="","",IF(OR(AND(UPPER(TRIM(B96))="SWALE",UPPER(TRIM(AI96))="PIPE"),AND(UPPER(TRIM(B96))="TRENCH",UPPER(TRIM(AI96))="PIPE")),Inputs!$B$56,Inputs!$B$54))</f>
        <v/>
      </c>
      <c r="AL96" s="4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7">
        <f>IF(A97="","",IF(E97="","",IFERROR(INDEX($B$4:$B$204,MATCH(E97,$A$4:$A$204,0)),"")))</f>
        <v/>
      </c>
      <c r="AJ97" s="17">
        <f>IF(A97="","",IF(OR(AND(UPPER(TRIM(B97))="SWALE",UPPER(TRIM(AI97))="PIPE"),AND(UPPER(TRIM(B97))="TRENCH",UPPER(TRIM(AI97))="PIPE")),Inputs!$B$55,0))</f>
        <v/>
      </c>
      <c r="AK97" s="17">
        <f>IF(A97="","",IF(OR(AND(UPPER(TRIM(B97))="SWALE",UPPER(TRIM(AI97))="PIPE"),AND(UPPER(TRIM(B97))="TRENCH",UPPER(TRIM(AI97))="PIPE")),Inputs!$B$56,Inputs!$B$54))</f>
        <v/>
      </c>
      <c r="AL97" s="4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7">
        <f>IF(A98="","",IF(E98="","",IFERROR(INDEX($B$4:$B$204,MATCH(E98,$A$4:$A$204,0)),"")))</f>
        <v/>
      </c>
      <c r="AJ98" s="17">
        <f>IF(A98="","",IF(OR(AND(UPPER(TRIM(B98))="SWALE",UPPER(TRIM(AI98))="PIPE"),AND(UPPER(TRIM(B98))="TRENCH",UPPER(TRIM(AI98))="PIPE")),Inputs!$B$55,0))</f>
        <v/>
      </c>
      <c r="AK98" s="17">
        <f>IF(A98="","",IF(OR(AND(UPPER(TRIM(B98))="SWALE",UPPER(TRIM(AI98))="PIPE"),AND(UPPER(TRIM(B98))="TRENCH",UPPER(TRIM(AI98))="PIPE")),Inputs!$B$56,Inputs!$B$54))</f>
        <v/>
      </c>
      <c r="AL98" s="4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7">
        <f>IF(A99="","",IF(E99="","",IFERROR(INDEX($B$4:$B$204,MATCH(E99,$A$4:$A$204,0)),"")))</f>
        <v/>
      </c>
      <c r="AJ99" s="17">
        <f>IF(A99="","",IF(OR(AND(UPPER(TRIM(B99))="SWALE",UPPER(TRIM(AI99))="PIPE"),AND(UPPER(TRIM(B99))="TRENCH",UPPER(TRIM(AI99))="PIPE")),Inputs!$B$55,0))</f>
        <v/>
      </c>
      <c r="AK99" s="17">
        <f>IF(A99="","",IF(OR(AND(UPPER(TRIM(B99))="SWALE",UPPER(TRIM(AI99))="PIPE"),AND(UPPER(TRIM(B99))="TRENCH",UPPER(TRIM(AI99))="PIPE")),Inputs!$B$56,Inputs!$B$54))</f>
        <v/>
      </c>
      <c r="AL99" s="4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7">
        <f>IF(A100="","",IF(E100="","",IFERROR(INDEX($B$4:$B$204,MATCH(E100,$A$4:$A$204,0)),"")))</f>
        <v/>
      </c>
      <c r="AJ100" s="17">
        <f>IF(A100="","",IF(OR(AND(UPPER(TRIM(B100))="SWALE",UPPER(TRIM(AI100))="PIPE"),AND(UPPER(TRIM(B100))="TRENCH",UPPER(TRIM(AI100))="PIPE")),Inputs!$B$55,0))</f>
        <v/>
      </c>
      <c r="AK100" s="17">
        <f>IF(A100="","",IF(OR(AND(UPPER(TRIM(B100))="SWALE",UPPER(TRIM(AI100))="PIPE"),AND(UPPER(TRIM(B100))="TRENCH",UPPER(TRIM(AI100))="PIPE")),Inputs!$B$56,Inputs!$B$54))</f>
        <v/>
      </c>
      <c r="AL100" s="4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7">
        <f>IF(A101="","",IF(E101="","",IFERROR(INDEX($B$4:$B$204,MATCH(E101,$A$4:$A$204,0)),"")))</f>
        <v/>
      </c>
      <c r="AJ101" s="17">
        <f>IF(A101="","",IF(OR(AND(UPPER(TRIM(B101))="SWALE",UPPER(TRIM(AI101))="PIPE"),AND(UPPER(TRIM(B101))="TRENCH",UPPER(TRIM(AI101))="PIPE")),Inputs!$B$55,0))</f>
        <v/>
      </c>
      <c r="AK101" s="17">
        <f>IF(A101="","",IF(OR(AND(UPPER(TRIM(B101))="SWALE",UPPER(TRIM(AI101))="PIPE"),AND(UPPER(TRIM(B101))="TRENCH",UPPER(TRIM(AI101))="PIPE")),Inputs!$B$56,Inputs!$B$54))</f>
        <v/>
      </c>
      <c r="AL101" s="4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7">
        <f>IF(A102="","",IF(E102="","",IFERROR(INDEX($B$4:$B$204,MATCH(E102,$A$4:$A$204,0)),"")))</f>
        <v/>
      </c>
      <c r="AJ102" s="17">
        <f>IF(A102="","",IF(OR(AND(UPPER(TRIM(B102))="SWALE",UPPER(TRIM(AI102))="PIPE"),AND(UPPER(TRIM(B102))="TRENCH",UPPER(TRIM(AI102))="PIPE")),Inputs!$B$55,0))</f>
        <v/>
      </c>
      <c r="AK102" s="17">
        <f>IF(A102="","",IF(OR(AND(UPPER(TRIM(B102))="SWALE",UPPER(TRIM(AI102))="PIPE"),AND(UPPER(TRIM(B102))="TRENCH",UPPER(TRIM(AI102))="PIPE")),Inputs!$B$56,Inputs!$B$54))</f>
        <v/>
      </c>
      <c r="AL102" s="4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7">
        <f>IF(A103="","",IF(E103="","",IFERROR(INDEX($B$4:$B$204,MATCH(E103,$A$4:$A$204,0)),"")))</f>
        <v/>
      </c>
      <c r="AJ103" s="17">
        <f>IF(A103="","",IF(OR(AND(UPPER(TRIM(B103))="SWALE",UPPER(TRIM(AI103))="PIPE"),AND(UPPER(TRIM(B103))="TRENCH",UPPER(TRIM(AI103))="PIPE")),Inputs!$B$55,0))</f>
        <v/>
      </c>
      <c r="AK103" s="17">
        <f>IF(A103="","",IF(OR(AND(UPPER(TRIM(B103))="SWALE",UPPER(TRIM(AI103))="PIPE"),AND(UPPER(TRIM(B103))="TRENCH",UPPER(TRIM(AI103))="PIPE")),Inputs!$B$56,Inputs!$B$54))</f>
        <v/>
      </c>
      <c r="AL103" s="4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7">
        <f>IF(A104="","",IF(E104="","",IFERROR(INDEX($B$4:$B$204,MATCH(E104,$A$4:$A$204,0)),"")))</f>
        <v/>
      </c>
      <c r="AJ104" s="17">
        <f>IF(A104="","",IF(OR(AND(UPPER(TRIM(B104))="SWALE",UPPER(TRIM(AI104))="PIPE"),AND(UPPER(TRIM(B104))="TRENCH",UPPER(TRIM(AI104))="PIPE")),Inputs!$B$55,0))</f>
        <v/>
      </c>
      <c r="AK104" s="17">
        <f>IF(A104="","",IF(OR(AND(UPPER(TRIM(B104))="SWALE",UPPER(TRIM(AI104))="PIPE"),AND(UPPER(TRIM(B104))="TRENCH",UPPER(TRIM(AI104))="PIPE")),Inputs!$B$56,Inputs!$B$54))</f>
        <v/>
      </c>
      <c r="AL104" s="4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7">
        <f>IF(A105="","",IF(E105="","",IFERROR(INDEX($B$4:$B$204,MATCH(E105,$A$4:$A$204,0)),"")))</f>
        <v/>
      </c>
      <c r="AJ105" s="17">
        <f>IF(A105="","",IF(OR(AND(UPPER(TRIM(B105))="SWALE",UPPER(TRIM(AI105))="PIPE"),AND(UPPER(TRIM(B105))="TRENCH",UPPER(TRIM(AI105))="PIPE")),Inputs!$B$55,0))</f>
        <v/>
      </c>
      <c r="AK105" s="17">
        <f>IF(A105="","",IF(OR(AND(UPPER(TRIM(B105))="SWALE",UPPER(TRIM(AI105))="PIPE"),AND(UPPER(TRIM(B105))="TRENCH",UPPER(TRIM(AI105))="PIPE")),Inputs!$B$56,Inputs!$B$54))</f>
        <v/>
      </c>
      <c r="AL105" s="4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7">
        <f>IF(A106="","",IF(E106="","",IFERROR(INDEX($B$4:$B$204,MATCH(E106,$A$4:$A$204,0)),"")))</f>
        <v/>
      </c>
      <c r="AJ106" s="17">
        <f>IF(A106="","",IF(OR(AND(UPPER(TRIM(B106))="SWALE",UPPER(TRIM(AI106))="PIPE"),AND(UPPER(TRIM(B106))="TRENCH",UPPER(TRIM(AI106))="PIPE")),Inputs!$B$55,0))</f>
        <v/>
      </c>
      <c r="AK106" s="17">
        <f>IF(A106="","",IF(OR(AND(UPPER(TRIM(B106))="SWALE",UPPER(TRIM(AI106))="PIPE"),AND(UPPER(TRIM(B106))="TRENCH",UPPER(TRIM(AI106))="PIPE")),Inputs!$B$56,Inputs!$B$54))</f>
        <v/>
      </c>
      <c r="AL106" s="4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7">
        <f>IF(A107="","",IF(E107="","",IFERROR(INDEX($B$4:$B$204,MATCH(E107,$A$4:$A$204,0)),"")))</f>
        <v/>
      </c>
      <c r="AJ107" s="17">
        <f>IF(A107="","",IF(OR(AND(UPPER(TRIM(B107))="SWALE",UPPER(TRIM(AI107))="PIPE"),AND(UPPER(TRIM(B107))="TRENCH",UPPER(TRIM(AI107))="PIPE")),Inputs!$B$55,0))</f>
        <v/>
      </c>
      <c r="AK107" s="17">
        <f>IF(A107="","",IF(OR(AND(UPPER(TRIM(B107))="SWALE",UPPER(TRIM(AI107))="PIPE"),AND(UPPER(TRIM(B107))="TRENCH",UPPER(TRIM(AI107))="PIPE")),Inputs!$B$56,Inputs!$B$54))</f>
        <v/>
      </c>
      <c r="AL107" s="4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7">
        <f>IF(A108="","",IF(E108="","",IFERROR(INDEX($B$4:$B$204,MATCH(E108,$A$4:$A$204,0)),"")))</f>
        <v/>
      </c>
      <c r="AJ108" s="17">
        <f>IF(A108="","",IF(OR(AND(UPPER(TRIM(B108))="SWALE",UPPER(TRIM(AI108))="PIPE"),AND(UPPER(TRIM(B108))="TRENCH",UPPER(TRIM(AI108))="PIPE")),Inputs!$B$55,0))</f>
        <v/>
      </c>
      <c r="AK108" s="17">
        <f>IF(A108="","",IF(OR(AND(UPPER(TRIM(B108))="SWALE",UPPER(TRIM(AI108))="PIPE"),AND(UPPER(TRIM(B108))="TRENCH",UPPER(TRIM(AI108))="PIPE")),Inputs!$B$56,Inputs!$B$54))</f>
        <v/>
      </c>
      <c r="AL108" s="4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7">
        <f>IF(A109="","",IF(E109="","",IFERROR(INDEX($B$4:$B$204,MATCH(E109,$A$4:$A$204,0)),"")))</f>
        <v/>
      </c>
      <c r="AJ109" s="17">
        <f>IF(A109="","",IF(OR(AND(UPPER(TRIM(B109))="SWALE",UPPER(TRIM(AI109))="PIPE"),AND(UPPER(TRIM(B109))="TRENCH",UPPER(TRIM(AI109))="PIPE")),Inputs!$B$55,0))</f>
        <v/>
      </c>
      <c r="AK109" s="17">
        <f>IF(A109="","",IF(OR(AND(UPPER(TRIM(B109))="SWALE",UPPER(TRIM(AI109))="PIPE"),AND(UPPER(TRIM(B109))="TRENCH",UPPER(TRIM(AI109))="PIPE")),Inputs!$B$56,Inputs!$B$54))</f>
        <v/>
      </c>
      <c r="AL109" s="4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7">
        <f>IF(A110="","",IF(E110="","",IFERROR(INDEX($B$4:$B$204,MATCH(E110,$A$4:$A$204,0)),"")))</f>
        <v/>
      </c>
      <c r="AJ110" s="17">
        <f>IF(A110="","",IF(OR(AND(UPPER(TRIM(B110))="SWALE",UPPER(TRIM(AI110))="PIPE"),AND(UPPER(TRIM(B110))="TRENCH",UPPER(TRIM(AI110))="PIPE")),Inputs!$B$55,0))</f>
        <v/>
      </c>
      <c r="AK110" s="17">
        <f>IF(A110="","",IF(OR(AND(UPPER(TRIM(B110))="SWALE",UPPER(TRIM(AI110))="PIPE"),AND(UPPER(TRIM(B110))="TRENCH",UPPER(TRIM(AI110))="PIPE")),Inputs!$B$56,Inputs!$B$54))</f>
        <v/>
      </c>
      <c r="AL110" s="4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7">
        <f>IF(A111="","",IF(E111="","",IFERROR(INDEX($B$4:$B$204,MATCH(E111,$A$4:$A$204,0)),"")))</f>
        <v/>
      </c>
      <c r="AJ111" s="17">
        <f>IF(A111="","",IF(OR(AND(UPPER(TRIM(B111))="SWALE",UPPER(TRIM(AI111))="PIPE"),AND(UPPER(TRIM(B111))="TRENCH",UPPER(TRIM(AI111))="PIPE")),Inputs!$B$55,0))</f>
        <v/>
      </c>
      <c r="AK111" s="17">
        <f>IF(A111="","",IF(OR(AND(UPPER(TRIM(B111))="SWALE",UPPER(TRIM(AI111))="PIPE"),AND(UPPER(TRIM(B111))="TRENCH",UPPER(TRIM(AI111))="PIPE")),Inputs!$B$56,Inputs!$B$54))</f>
        <v/>
      </c>
      <c r="AL111" s="4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7">
        <f>IF(A112="","",IF(E112="","",IFERROR(INDEX($B$4:$B$204,MATCH(E112,$A$4:$A$204,0)),"")))</f>
        <v/>
      </c>
      <c r="AJ112" s="17">
        <f>IF(A112="","",IF(OR(AND(UPPER(TRIM(B112))="SWALE",UPPER(TRIM(AI112))="PIPE"),AND(UPPER(TRIM(B112))="TRENCH",UPPER(TRIM(AI112))="PIPE")),Inputs!$B$55,0))</f>
        <v/>
      </c>
      <c r="AK112" s="17">
        <f>IF(A112="","",IF(OR(AND(UPPER(TRIM(B112))="SWALE",UPPER(TRIM(AI112))="PIPE"),AND(UPPER(TRIM(B112))="TRENCH",UPPER(TRIM(AI112))="PIPE")),Inputs!$B$56,Inputs!$B$54))</f>
        <v/>
      </c>
      <c r="AL112" s="4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7">
        <f>IF(A113="","",IF(E113="","",IFERROR(INDEX($B$4:$B$204,MATCH(E113,$A$4:$A$204,0)),"")))</f>
        <v/>
      </c>
      <c r="AJ113" s="17">
        <f>IF(A113="","",IF(OR(AND(UPPER(TRIM(B113))="SWALE",UPPER(TRIM(AI113))="PIPE"),AND(UPPER(TRIM(B113))="TRENCH",UPPER(TRIM(AI113))="PIPE")),Inputs!$B$55,0))</f>
        <v/>
      </c>
      <c r="AK113" s="17">
        <f>IF(A113="","",IF(OR(AND(UPPER(TRIM(B113))="SWALE",UPPER(TRIM(AI113))="PIPE"),AND(UPPER(TRIM(B113))="TRENCH",UPPER(TRIM(AI113))="PIPE")),Inputs!$B$56,Inputs!$B$54))</f>
        <v/>
      </c>
      <c r="AL113" s="4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7">
        <f>IF(A114="","",IF(E114="","",IFERROR(INDEX($B$4:$B$204,MATCH(E114,$A$4:$A$204,0)),"")))</f>
        <v/>
      </c>
      <c r="AJ114" s="17">
        <f>IF(A114="","",IF(OR(AND(UPPER(TRIM(B114))="SWALE",UPPER(TRIM(AI114))="PIPE"),AND(UPPER(TRIM(B114))="TRENCH",UPPER(TRIM(AI114))="PIPE")),Inputs!$B$55,0))</f>
        <v/>
      </c>
      <c r="AK114" s="17">
        <f>IF(A114="","",IF(OR(AND(UPPER(TRIM(B114))="SWALE",UPPER(TRIM(AI114))="PIPE"),AND(UPPER(TRIM(B114))="TRENCH",UPPER(TRIM(AI114))="PIPE")),Inputs!$B$56,Inputs!$B$54))</f>
        <v/>
      </c>
      <c r="AL114" s="4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7">
        <f>IF(A115="","",IF(E115="","",IFERROR(INDEX($B$4:$B$204,MATCH(E115,$A$4:$A$204,0)),"")))</f>
        <v/>
      </c>
      <c r="AJ115" s="17">
        <f>IF(A115="","",IF(OR(AND(UPPER(TRIM(B115))="SWALE",UPPER(TRIM(AI115))="PIPE"),AND(UPPER(TRIM(B115))="TRENCH",UPPER(TRIM(AI115))="PIPE")),Inputs!$B$55,0))</f>
        <v/>
      </c>
      <c r="AK115" s="17">
        <f>IF(A115="","",IF(OR(AND(UPPER(TRIM(B115))="SWALE",UPPER(TRIM(AI115))="PIPE"),AND(UPPER(TRIM(B115))="TRENCH",UPPER(TRIM(AI115))="PIPE")),Inputs!$B$56,Inputs!$B$54))</f>
        <v/>
      </c>
      <c r="AL115" s="4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7">
        <f>IF(A116="","",IF(E116="","",IFERROR(INDEX($B$4:$B$204,MATCH(E116,$A$4:$A$204,0)),"")))</f>
        <v/>
      </c>
      <c r="AJ116" s="17">
        <f>IF(A116="","",IF(OR(AND(UPPER(TRIM(B116))="SWALE",UPPER(TRIM(AI116))="PIPE"),AND(UPPER(TRIM(B116))="TRENCH",UPPER(TRIM(AI116))="PIPE")),Inputs!$B$55,0))</f>
        <v/>
      </c>
      <c r="AK116" s="17">
        <f>IF(A116="","",IF(OR(AND(UPPER(TRIM(B116))="SWALE",UPPER(TRIM(AI116))="PIPE"),AND(UPPER(TRIM(B116))="TRENCH",UPPER(TRIM(AI116))="PIPE")),Inputs!$B$56,Inputs!$B$54))</f>
        <v/>
      </c>
      <c r="AL116" s="4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7">
        <f>IF(A117="","",IF(E117="","",IFERROR(INDEX($B$4:$B$204,MATCH(E117,$A$4:$A$204,0)),"")))</f>
        <v/>
      </c>
      <c r="AJ117" s="17">
        <f>IF(A117="","",IF(OR(AND(UPPER(TRIM(B117))="SWALE",UPPER(TRIM(AI117))="PIPE"),AND(UPPER(TRIM(B117))="TRENCH",UPPER(TRIM(AI117))="PIPE")),Inputs!$B$55,0))</f>
        <v/>
      </c>
      <c r="AK117" s="17">
        <f>IF(A117="","",IF(OR(AND(UPPER(TRIM(B117))="SWALE",UPPER(TRIM(AI117))="PIPE"),AND(UPPER(TRIM(B117))="TRENCH",UPPER(TRIM(AI117))="PIPE")),Inputs!$B$56,Inputs!$B$54))</f>
        <v/>
      </c>
      <c r="AL117" s="4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7">
        <f>IF(A118="","",IF(E118="","",IFERROR(INDEX($B$4:$B$204,MATCH(E118,$A$4:$A$204,0)),"")))</f>
        <v/>
      </c>
      <c r="AJ118" s="17">
        <f>IF(A118="","",IF(OR(AND(UPPER(TRIM(B118))="SWALE",UPPER(TRIM(AI118))="PIPE"),AND(UPPER(TRIM(B118))="TRENCH",UPPER(TRIM(AI118))="PIPE")),Inputs!$B$55,0))</f>
        <v/>
      </c>
      <c r="AK118" s="17">
        <f>IF(A118="","",IF(OR(AND(UPPER(TRIM(B118))="SWALE",UPPER(TRIM(AI118))="PIPE"),AND(UPPER(TRIM(B118))="TRENCH",UPPER(TRIM(AI118))="PIPE")),Inputs!$B$56,Inputs!$B$54))</f>
        <v/>
      </c>
      <c r="AL118" s="4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7">
        <f>IF(A119="","",IF(E119="","",IFERROR(INDEX($B$4:$B$204,MATCH(E119,$A$4:$A$204,0)),"")))</f>
        <v/>
      </c>
      <c r="AJ119" s="17">
        <f>IF(A119="","",IF(OR(AND(UPPER(TRIM(B119))="SWALE",UPPER(TRIM(AI119))="PIPE"),AND(UPPER(TRIM(B119))="TRENCH",UPPER(TRIM(AI119))="PIPE")),Inputs!$B$55,0))</f>
        <v/>
      </c>
      <c r="AK119" s="17">
        <f>IF(A119="","",IF(OR(AND(UPPER(TRIM(B119))="SWALE",UPPER(TRIM(AI119))="PIPE"),AND(UPPER(TRIM(B119))="TRENCH",UPPER(TRIM(AI119))="PIPE")),Inputs!$B$56,Inputs!$B$54))</f>
        <v/>
      </c>
      <c r="AL119" s="4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7">
        <f>IF(A120="","",IF(E120="","",IFERROR(INDEX($B$4:$B$204,MATCH(E120,$A$4:$A$204,0)),"")))</f>
        <v/>
      </c>
      <c r="AJ120" s="17">
        <f>IF(A120="","",IF(OR(AND(UPPER(TRIM(B120))="SWALE",UPPER(TRIM(AI120))="PIPE"),AND(UPPER(TRIM(B120))="TRENCH",UPPER(TRIM(AI120))="PIPE")),Inputs!$B$55,0))</f>
        <v/>
      </c>
      <c r="AK120" s="17">
        <f>IF(A120="","",IF(OR(AND(UPPER(TRIM(B120))="SWALE",UPPER(TRIM(AI120))="PIPE"),AND(UPPER(TRIM(B120))="TRENCH",UPPER(TRIM(AI120))="PIPE")),Inputs!$B$56,Inputs!$B$54))</f>
        <v/>
      </c>
      <c r="AL120" s="4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7">
        <f>IF(A121="","",IF(E121="","",IFERROR(INDEX($B$4:$B$204,MATCH(E121,$A$4:$A$204,0)),"")))</f>
        <v/>
      </c>
      <c r="AJ121" s="17">
        <f>IF(A121="","",IF(OR(AND(UPPER(TRIM(B121))="SWALE",UPPER(TRIM(AI121))="PIPE"),AND(UPPER(TRIM(B121))="TRENCH",UPPER(TRIM(AI121))="PIPE")),Inputs!$B$55,0))</f>
        <v/>
      </c>
      <c r="AK121" s="17">
        <f>IF(A121="","",IF(OR(AND(UPPER(TRIM(B121))="SWALE",UPPER(TRIM(AI121))="PIPE"),AND(UPPER(TRIM(B121))="TRENCH",UPPER(TRIM(AI121))="PIPE")),Inputs!$B$56,Inputs!$B$54))</f>
        <v/>
      </c>
      <c r="AL121" s="4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7">
        <f>IF(A122="","",IF(E122="","",IFERROR(INDEX($B$4:$B$204,MATCH(E122,$A$4:$A$204,0)),"")))</f>
        <v/>
      </c>
      <c r="AJ122" s="17">
        <f>IF(A122="","",IF(OR(AND(UPPER(TRIM(B122))="SWALE",UPPER(TRIM(AI122))="PIPE"),AND(UPPER(TRIM(B122))="TRENCH",UPPER(TRIM(AI122))="PIPE")),Inputs!$B$55,0))</f>
        <v/>
      </c>
      <c r="AK122" s="17">
        <f>IF(A122="","",IF(OR(AND(UPPER(TRIM(B122))="SWALE",UPPER(TRIM(AI122))="PIPE"),AND(UPPER(TRIM(B122))="TRENCH",UPPER(TRIM(AI122))="PIPE")),Inputs!$B$56,Inputs!$B$54))</f>
        <v/>
      </c>
      <c r="AL122" s="4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7">
        <f>IF(A123="","",IF(E123="","",IFERROR(INDEX($B$4:$B$204,MATCH(E123,$A$4:$A$204,0)),"")))</f>
        <v/>
      </c>
      <c r="AJ123" s="17">
        <f>IF(A123="","",IF(OR(AND(UPPER(TRIM(B123))="SWALE",UPPER(TRIM(AI123))="PIPE"),AND(UPPER(TRIM(B123))="TRENCH",UPPER(TRIM(AI123))="PIPE")),Inputs!$B$55,0))</f>
        <v/>
      </c>
      <c r="AK123" s="17">
        <f>IF(A123="","",IF(OR(AND(UPPER(TRIM(B123))="SWALE",UPPER(TRIM(AI123))="PIPE"),AND(UPPER(TRIM(B123))="TRENCH",UPPER(TRIM(AI123))="PIPE")),Inputs!$B$56,Inputs!$B$54))</f>
        <v/>
      </c>
      <c r="AL123" s="4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7">
        <f>IF(A124="","",IF(E124="","",IFERROR(INDEX($B$4:$B$204,MATCH(E124,$A$4:$A$204,0)),"")))</f>
        <v/>
      </c>
      <c r="AJ124" s="17">
        <f>IF(A124="","",IF(OR(AND(UPPER(TRIM(B124))="SWALE",UPPER(TRIM(AI124))="PIPE"),AND(UPPER(TRIM(B124))="TRENCH",UPPER(TRIM(AI124))="PIPE")),Inputs!$B$55,0))</f>
        <v/>
      </c>
      <c r="AK124" s="17">
        <f>IF(A124="","",IF(OR(AND(UPPER(TRIM(B124))="SWALE",UPPER(TRIM(AI124))="PIPE"),AND(UPPER(TRIM(B124))="TRENCH",UPPER(TRIM(AI124))="PIPE")),Inputs!$B$56,Inputs!$B$54))</f>
        <v/>
      </c>
      <c r="AL124" s="4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7">
        <f>IF(A125="","",IF(E125="","",IFERROR(INDEX($B$4:$B$204,MATCH(E125,$A$4:$A$204,0)),"")))</f>
        <v/>
      </c>
      <c r="AJ125" s="17">
        <f>IF(A125="","",IF(OR(AND(UPPER(TRIM(B125))="SWALE",UPPER(TRIM(AI125))="PIPE"),AND(UPPER(TRIM(B125))="TRENCH",UPPER(TRIM(AI125))="PIPE")),Inputs!$B$55,0))</f>
        <v/>
      </c>
      <c r="AK125" s="17">
        <f>IF(A125="","",IF(OR(AND(UPPER(TRIM(B125))="SWALE",UPPER(TRIM(AI125))="PIPE"),AND(UPPER(TRIM(B125))="TRENCH",UPPER(TRIM(AI125))="PIPE")),Inputs!$B$56,Inputs!$B$54))</f>
        <v/>
      </c>
      <c r="AL125" s="4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7">
        <f>IF(A126="","",IF(E126="","",IFERROR(INDEX($B$4:$B$204,MATCH(E126,$A$4:$A$204,0)),"")))</f>
        <v/>
      </c>
      <c r="AJ126" s="17">
        <f>IF(A126="","",IF(OR(AND(UPPER(TRIM(B126))="SWALE",UPPER(TRIM(AI126))="PIPE"),AND(UPPER(TRIM(B126))="TRENCH",UPPER(TRIM(AI126))="PIPE")),Inputs!$B$55,0))</f>
        <v/>
      </c>
      <c r="AK126" s="17">
        <f>IF(A126="","",IF(OR(AND(UPPER(TRIM(B126))="SWALE",UPPER(TRIM(AI126))="PIPE"),AND(UPPER(TRIM(B126))="TRENCH",UPPER(TRIM(AI126))="PIPE")),Inputs!$B$56,Inputs!$B$54))</f>
        <v/>
      </c>
      <c r="AL126" s="4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7">
        <f>IF(A127="","",IF(E127="","",IFERROR(INDEX($B$4:$B$204,MATCH(E127,$A$4:$A$204,0)),"")))</f>
        <v/>
      </c>
      <c r="AJ127" s="17">
        <f>IF(A127="","",IF(OR(AND(UPPER(TRIM(B127))="SWALE",UPPER(TRIM(AI127))="PIPE"),AND(UPPER(TRIM(B127))="TRENCH",UPPER(TRIM(AI127))="PIPE")),Inputs!$B$55,0))</f>
        <v/>
      </c>
      <c r="AK127" s="17">
        <f>IF(A127="","",IF(OR(AND(UPPER(TRIM(B127))="SWALE",UPPER(TRIM(AI127))="PIPE"),AND(UPPER(TRIM(B127))="TRENCH",UPPER(TRIM(AI127))="PIPE")),Inputs!$B$56,Inputs!$B$54))</f>
        <v/>
      </c>
      <c r="AL127" s="4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7">
        <f>IF(A128="","",IF(E128="","",IFERROR(INDEX($B$4:$B$204,MATCH(E128,$A$4:$A$204,0)),"")))</f>
        <v/>
      </c>
      <c r="AJ128" s="17">
        <f>IF(A128="","",IF(OR(AND(UPPER(TRIM(B128))="SWALE",UPPER(TRIM(AI128))="PIPE"),AND(UPPER(TRIM(B128))="TRENCH",UPPER(TRIM(AI128))="PIPE")),Inputs!$B$55,0))</f>
        <v/>
      </c>
      <c r="AK128" s="17">
        <f>IF(A128="","",IF(OR(AND(UPPER(TRIM(B128))="SWALE",UPPER(TRIM(AI128))="PIPE"),AND(UPPER(TRIM(B128))="TRENCH",UPPER(TRIM(AI128))="PIPE")),Inputs!$B$56,Inputs!$B$54))</f>
        <v/>
      </c>
      <c r="AL128" s="4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7">
        <f>IF(A129="","",IF(E129="","",IFERROR(INDEX($B$4:$B$204,MATCH(E129,$A$4:$A$204,0)),"")))</f>
        <v/>
      </c>
      <c r="AJ129" s="17">
        <f>IF(A129="","",IF(OR(AND(UPPER(TRIM(B129))="SWALE",UPPER(TRIM(AI129))="PIPE"),AND(UPPER(TRIM(B129))="TRENCH",UPPER(TRIM(AI129))="PIPE")),Inputs!$B$55,0))</f>
        <v/>
      </c>
      <c r="AK129" s="17">
        <f>IF(A129="","",IF(OR(AND(UPPER(TRIM(B129))="SWALE",UPPER(TRIM(AI129))="PIPE"),AND(UPPER(TRIM(B129))="TRENCH",UPPER(TRIM(AI129))="PIPE")),Inputs!$B$56,Inputs!$B$54))</f>
        <v/>
      </c>
      <c r="AL129" s="4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7">
        <f>IF(A130="","",IF(E130="","",IFERROR(INDEX($B$4:$B$204,MATCH(E130,$A$4:$A$204,0)),"")))</f>
        <v/>
      </c>
      <c r="AJ130" s="17">
        <f>IF(A130="","",IF(OR(AND(UPPER(TRIM(B130))="SWALE",UPPER(TRIM(AI130))="PIPE"),AND(UPPER(TRIM(B130))="TRENCH",UPPER(TRIM(AI130))="PIPE")),Inputs!$B$55,0))</f>
        <v/>
      </c>
      <c r="AK130" s="17">
        <f>IF(A130="","",IF(OR(AND(UPPER(TRIM(B130))="SWALE",UPPER(TRIM(AI130))="PIPE"),AND(UPPER(TRIM(B130))="TRENCH",UPPER(TRIM(AI130))="PIPE")),Inputs!$B$56,Inputs!$B$54))</f>
        <v/>
      </c>
      <c r="AL130" s="4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7">
        <f>IF(A131="","",IF(E131="","",IFERROR(INDEX($B$4:$B$204,MATCH(E131,$A$4:$A$204,0)),"")))</f>
        <v/>
      </c>
      <c r="AJ131" s="17">
        <f>IF(A131="","",IF(OR(AND(UPPER(TRIM(B131))="SWALE",UPPER(TRIM(AI131))="PIPE"),AND(UPPER(TRIM(B131))="TRENCH",UPPER(TRIM(AI131))="PIPE")),Inputs!$B$55,0))</f>
        <v/>
      </c>
      <c r="AK131" s="17">
        <f>IF(A131="","",IF(OR(AND(UPPER(TRIM(B131))="SWALE",UPPER(TRIM(AI131))="PIPE"),AND(UPPER(TRIM(B131))="TRENCH",UPPER(TRIM(AI131))="PIPE")),Inputs!$B$56,Inputs!$B$54))</f>
        <v/>
      </c>
      <c r="AL131" s="4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7">
        <f>IF(A132="","",IF(E132="","",IFERROR(INDEX($B$4:$B$204,MATCH(E132,$A$4:$A$204,0)),"")))</f>
        <v/>
      </c>
      <c r="AJ132" s="17">
        <f>IF(A132="","",IF(OR(AND(UPPER(TRIM(B132))="SWALE",UPPER(TRIM(AI132))="PIPE"),AND(UPPER(TRIM(B132))="TRENCH",UPPER(TRIM(AI132))="PIPE")),Inputs!$B$55,0))</f>
        <v/>
      </c>
      <c r="AK132" s="17">
        <f>IF(A132="","",IF(OR(AND(UPPER(TRIM(B132))="SWALE",UPPER(TRIM(AI132))="PIPE"),AND(UPPER(TRIM(B132))="TRENCH",UPPER(TRIM(AI132))="PIPE")),Inputs!$B$56,Inputs!$B$54))</f>
        <v/>
      </c>
      <c r="AL132" s="4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7">
        <f>IF(A133="","",IF(E133="","",IFERROR(INDEX($B$4:$B$204,MATCH(E133,$A$4:$A$204,0)),"")))</f>
        <v/>
      </c>
      <c r="AJ133" s="17">
        <f>IF(A133="","",IF(OR(AND(UPPER(TRIM(B133))="SWALE",UPPER(TRIM(AI133))="PIPE"),AND(UPPER(TRIM(B133))="TRENCH",UPPER(TRIM(AI133))="PIPE")),Inputs!$B$55,0))</f>
        <v/>
      </c>
      <c r="AK133" s="17">
        <f>IF(A133="","",IF(OR(AND(UPPER(TRIM(B133))="SWALE",UPPER(TRIM(AI133))="PIPE"),AND(UPPER(TRIM(B133))="TRENCH",UPPER(TRIM(AI133))="PIPE")),Inputs!$B$56,Inputs!$B$54))</f>
        <v/>
      </c>
      <c r="AL133" s="4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7">
        <f>IF(A134="","",IF(E134="","",IFERROR(INDEX($B$4:$B$204,MATCH(E134,$A$4:$A$204,0)),"")))</f>
        <v/>
      </c>
      <c r="AJ134" s="17">
        <f>IF(A134="","",IF(OR(AND(UPPER(TRIM(B134))="SWALE",UPPER(TRIM(AI134))="PIPE"),AND(UPPER(TRIM(B134))="TRENCH",UPPER(TRIM(AI134))="PIPE")),Inputs!$B$55,0))</f>
        <v/>
      </c>
      <c r="AK134" s="17">
        <f>IF(A134="","",IF(OR(AND(UPPER(TRIM(B134))="SWALE",UPPER(TRIM(AI134))="PIPE"),AND(UPPER(TRIM(B134))="TRENCH",UPPER(TRIM(AI134))="PIPE")),Inputs!$B$56,Inputs!$B$54))</f>
        <v/>
      </c>
      <c r="AL134" s="4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7">
        <f>IF(A135="","",IF(E135="","",IFERROR(INDEX($B$4:$B$204,MATCH(E135,$A$4:$A$204,0)),"")))</f>
        <v/>
      </c>
      <c r="AJ135" s="17">
        <f>IF(A135="","",IF(OR(AND(UPPER(TRIM(B135))="SWALE",UPPER(TRIM(AI135))="PIPE"),AND(UPPER(TRIM(B135))="TRENCH",UPPER(TRIM(AI135))="PIPE")),Inputs!$B$55,0))</f>
        <v/>
      </c>
      <c r="AK135" s="17">
        <f>IF(A135="","",IF(OR(AND(UPPER(TRIM(B135))="SWALE",UPPER(TRIM(AI135))="PIPE"),AND(UPPER(TRIM(B135))="TRENCH",UPPER(TRIM(AI135))="PIPE")),Inputs!$B$56,Inputs!$B$54))</f>
        <v/>
      </c>
      <c r="AL135" s="4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7">
        <f>IF(A136="","",IF(E136="","",IFERROR(INDEX($B$4:$B$204,MATCH(E136,$A$4:$A$204,0)),"")))</f>
        <v/>
      </c>
      <c r="AJ136" s="17">
        <f>IF(A136="","",IF(OR(AND(UPPER(TRIM(B136))="SWALE",UPPER(TRIM(AI136))="PIPE"),AND(UPPER(TRIM(B136))="TRENCH",UPPER(TRIM(AI136))="PIPE")),Inputs!$B$55,0))</f>
        <v/>
      </c>
      <c r="AK136" s="17">
        <f>IF(A136="","",IF(OR(AND(UPPER(TRIM(B136))="SWALE",UPPER(TRIM(AI136))="PIPE"),AND(UPPER(TRIM(B136))="TRENCH",UPPER(TRIM(AI136))="PIPE")),Inputs!$B$56,Inputs!$B$54))</f>
        <v/>
      </c>
      <c r="AL136" s="4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7">
        <f>IF(A137="","",IF(E137="","",IFERROR(INDEX($B$4:$B$204,MATCH(E137,$A$4:$A$204,0)),"")))</f>
        <v/>
      </c>
      <c r="AJ137" s="17">
        <f>IF(A137="","",IF(OR(AND(UPPER(TRIM(B137))="SWALE",UPPER(TRIM(AI137))="PIPE"),AND(UPPER(TRIM(B137))="TRENCH",UPPER(TRIM(AI137))="PIPE")),Inputs!$B$55,0))</f>
        <v/>
      </c>
      <c r="AK137" s="17">
        <f>IF(A137="","",IF(OR(AND(UPPER(TRIM(B137))="SWALE",UPPER(TRIM(AI137))="PIPE"),AND(UPPER(TRIM(B137))="TRENCH",UPPER(TRIM(AI137))="PIPE")),Inputs!$B$56,Inputs!$B$54))</f>
        <v/>
      </c>
      <c r="AL137" s="4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7">
        <f>IF(A138="","",IF(E138="","",IFERROR(INDEX($B$4:$B$204,MATCH(E138,$A$4:$A$204,0)),"")))</f>
        <v/>
      </c>
      <c r="AJ138" s="17">
        <f>IF(A138="","",IF(OR(AND(UPPER(TRIM(B138))="SWALE",UPPER(TRIM(AI138))="PIPE"),AND(UPPER(TRIM(B138))="TRENCH",UPPER(TRIM(AI138))="PIPE")),Inputs!$B$55,0))</f>
        <v/>
      </c>
      <c r="AK138" s="17">
        <f>IF(A138="","",IF(OR(AND(UPPER(TRIM(B138))="SWALE",UPPER(TRIM(AI138))="PIPE"),AND(UPPER(TRIM(B138))="TRENCH",UPPER(TRIM(AI138))="PIPE")),Inputs!$B$56,Inputs!$B$54))</f>
        <v/>
      </c>
      <c r="AL138" s="4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7">
        <f>IF(A139="","",IF(E139="","",IFERROR(INDEX($B$4:$B$204,MATCH(E139,$A$4:$A$204,0)),"")))</f>
        <v/>
      </c>
      <c r="AJ139" s="17">
        <f>IF(A139="","",IF(OR(AND(UPPER(TRIM(B139))="SWALE",UPPER(TRIM(AI139))="PIPE"),AND(UPPER(TRIM(B139))="TRENCH",UPPER(TRIM(AI139))="PIPE")),Inputs!$B$55,0))</f>
        <v/>
      </c>
      <c r="AK139" s="17">
        <f>IF(A139="","",IF(OR(AND(UPPER(TRIM(B139))="SWALE",UPPER(TRIM(AI139))="PIPE"),AND(UPPER(TRIM(B139))="TRENCH",UPPER(TRIM(AI139))="PIPE")),Inputs!$B$56,Inputs!$B$54))</f>
        <v/>
      </c>
      <c r="AL139" s="4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7">
        <f>IF(A140="","",IF(E140="","",IFERROR(INDEX($B$4:$B$204,MATCH(E140,$A$4:$A$204,0)),"")))</f>
        <v/>
      </c>
      <c r="AJ140" s="17">
        <f>IF(A140="","",IF(OR(AND(UPPER(TRIM(B140))="SWALE",UPPER(TRIM(AI140))="PIPE"),AND(UPPER(TRIM(B140))="TRENCH",UPPER(TRIM(AI140))="PIPE")),Inputs!$B$55,0))</f>
        <v/>
      </c>
      <c r="AK140" s="17">
        <f>IF(A140="","",IF(OR(AND(UPPER(TRIM(B140))="SWALE",UPPER(TRIM(AI140))="PIPE"),AND(UPPER(TRIM(B140))="TRENCH",UPPER(TRIM(AI140))="PIPE")),Inputs!$B$56,Inputs!$B$54))</f>
        <v/>
      </c>
      <c r="AL140" s="4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7">
        <f>IF(A141="","",IF(E141="","",IFERROR(INDEX($B$4:$B$204,MATCH(E141,$A$4:$A$204,0)),"")))</f>
        <v/>
      </c>
      <c r="AJ141" s="17">
        <f>IF(A141="","",IF(OR(AND(UPPER(TRIM(B141))="SWALE",UPPER(TRIM(AI141))="PIPE"),AND(UPPER(TRIM(B141))="TRENCH",UPPER(TRIM(AI141))="PIPE")),Inputs!$B$55,0))</f>
        <v/>
      </c>
      <c r="AK141" s="17">
        <f>IF(A141="","",IF(OR(AND(UPPER(TRIM(B141))="SWALE",UPPER(TRIM(AI141))="PIPE"),AND(UPPER(TRIM(B141))="TRENCH",UPPER(TRIM(AI141))="PIPE")),Inputs!$B$56,Inputs!$B$54))</f>
        <v/>
      </c>
      <c r="AL141" s="4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7">
        <f>IF(A142="","",IF(E142="","",IFERROR(INDEX($B$4:$B$204,MATCH(E142,$A$4:$A$204,0)),"")))</f>
        <v/>
      </c>
      <c r="AJ142" s="17">
        <f>IF(A142="","",IF(OR(AND(UPPER(TRIM(B142))="SWALE",UPPER(TRIM(AI142))="PIPE"),AND(UPPER(TRIM(B142))="TRENCH",UPPER(TRIM(AI142))="PIPE")),Inputs!$B$55,0))</f>
        <v/>
      </c>
      <c r="AK142" s="17">
        <f>IF(A142="","",IF(OR(AND(UPPER(TRIM(B142))="SWALE",UPPER(TRIM(AI142))="PIPE"),AND(UPPER(TRIM(B142))="TRENCH",UPPER(TRIM(AI142))="PIPE")),Inputs!$B$56,Inputs!$B$54))</f>
        <v/>
      </c>
      <c r="AL142" s="4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7">
        <f>IF(A143="","",IF(E143="","",IFERROR(INDEX($B$4:$B$204,MATCH(E143,$A$4:$A$204,0)),"")))</f>
        <v/>
      </c>
      <c r="AJ143" s="17">
        <f>IF(A143="","",IF(OR(AND(UPPER(TRIM(B143))="SWALE",UPPER(TRIM(AI143))="PIPE"),AND(UPPER(TRIM(B143))="TRENCH",UPPER(TRIM(AI143))="PIPE")),Inputs!$B$55,0))</f>
        <v/>
      </c>
      <c r="AK143" s="17">
        <f>IF(A143="","",IF(OR(AND(UPPER(TRIM(B143))="SWALE",UPPER(TRIM(AI143))="PIPE"),AND(UPPER(TRIM(B143))="TRENCH",UPPER(TRIM(AI143))="PIPE")),Inputs!$B$56,Inputs!$B$54))</f>
        <v/>
      </c>
      <c r="AL143" s="4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7">
        <f>IF(A144="","",IF(E144="","",IFERROR(INDEX($B$4:$B$204,MATCH(E144,$A$4:$A$204,0)),"")))</f>
        <v/>
      </c>
      <c r="AJ144" s="17">
        <f>IF(A144="","",IF(OR(AND(UPPER(TRIM(B144))="SWALE",UPPER(TRIM(AI144))="PIPE"),AND(UPPER(TRIM(B144))="TRENCH",UPPER(TRIM(AI144))="PIPE")),Inputs!$B$55,0))</f>
        <v/>
      </c>
      <c r="AK144" s="17">
        <f>IF(A144="","",IF(OR(AND(UPPER(TRIM(B144))="SWALE",UPPER(TRIM(AI144))="PIPE"),AND(UPPER(TRIM(B144))="TRENCH",UPPER(TRIM(AI144))="PIPE")),Inputs!$B$56,Inputs!$B$54))</f>
        <v/>
      </c>
      <c r="AL144" s="4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7">
        <f>IF(A145="","",IF(E145="","",IFERROR(INDEX($B$4:$B$204,MATCH(E145,$A$4:$A$204,0)),"")))</f>
        <v/>
      </c>
      <c r="AJ145" s="17">
        <f>IF(A145="","",IF(OR(AND(UPPER(TRIM(B145))="SWALE",UPPER(TRIM(AI145))="PIPE"),AND(UPPER(TRIM(B145))="TRENCH",UPPER(TRIM(AI145))="PIPE")),Inputs!$B$55,0))</f>
        <v/>
      </c>
      <c r="AK145" s="17">
        <f>IF(A145="","",IF(OR(AND(UPPER(TRIM(B145))="SWALE",UPPER(TRIM(AI145))="PIPE"),AND(UPPER(TRIM(B145))="TRENCH",UPPER(TRIM(AI145))="PIPE")),Inputs!$B$56,Inputs!$B$54))</f>
        <v/>
      </c>
      <c r="AL145" s="4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7">
        <f>IF(A146="","",IF(E146="","",IFERROR(INDEX($B$4:$B$204,MATCH(E146,$A$4:$A$204,0)),"")))</f>
        <v/>
      </c>
      <c r="AJ146" s="17">
        <f>IF(A146="","",IF(OR(AND(UPPER(TRIM(B146))="SWALE",UPPER(TRIM(AI146))="PIPE"),AND(UPPER(TRIM(B146))="TRENCH",UPPER(TRIM(AI146))="PIPE")),Inputs!$B$55,0))</f>
        <v/>
      </c>
      <c r="AK146" s="17">
        <f>IF(A146="","",IF(OR(AND(UPPER(TRIM(B146))="SWALE",UPPER(TRIM(AI146))="PIPE"),AND(UPPER(TRIM(B146))="TRENCH",UPPER(TRIM(AI146))="PIPE")),Inputs!$B$56,Inputs!$B$54))</f>
        <v/>
      </c>
      <c r="AL146" s="4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7">
        <f>IF(A147="","",IF(E147="","",IFERROR(INDEX($B$4:$B$204,MATCH(E147,$A$4:$A$204,0)),"")))</f>
        <v/>
      </c>
      <c r="AJ147" s="17">
        <f>IF(A147="","",IF(OR(AND(UPPER(TRIM(B147))="SWALE",UPPER(TRIM(AI147))="PIPE"),AND(UPPER(TRIM(B147))="TRENCH",UPPER(TRIM(AI147))="PIPE")),Inputs!$B$55,0))</f>
        <v/>
      </c>
      <c r="AK147" s="17">
        <f>IF(A147="","",IF(OR(AND(UPPER(TRIM(B147))="SWALE",UPPER(TRIM(AI147))="PIPE"),AND(UPPER(TRIM(B147))="TRENCH",UPPER(TRIM(AI147))="PIPE")),Inputs!$B$56,Inputs!$B$54))</f>
        <v/>
      </c>
      <c r="AL147" s="4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7">
        <f>IF(A148="","",IF(E148="","",IFERROR(INDEX($B$4:$B$204,MATCH(E148,$A$4:$A$204,0)),"")))</f>
        <v/>
      </c>
      <c r="AJ148" s="17">
        <f>IF(A148="","",IF(OR(AND(UPPER(TRIM(B148))="SWALE",UPPER(TRIM(AI148))="PIPE"),AND(UPPER(TRIM(B148))="TRENCH",UPPER(TRIM(AI148))="PIPE")),Inputs!$B$55,0))</f>
        <v/>
      </c>
      <c r="AK148" s="17">
        <f>IF(A148="","",IF(OR(AND(UPPER(TRIM(B148))="SWALE",UPPER(TRIM(AI148))="PIPE"),AND(UPPER(TRIM(B148))="TRENCH",UPPER(TRIM(AI148))="PIPE")),Inputs!$B$56,Inputs!$B$54))</f>
        <v/>
      </c>
      <c r="AL148" s="4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7">
        <f>IF(A149="","",IF(E149="","",IFERROR(INDEX($B$4:$B$204,MATCH(E149,$A$4:$A$204,0)),"")))</f>
        <v/>
      </c>
      <c r="AJ149" s="17">
        <f>IF(A149="","",IF(OR(AND(UPPER(TRIM(B149))="SWALE",UPPER(TRIM(AI149))="PIPE"),AND(UPPER(TRIM(B149))="TRENCH",UPPER(TRIM(AI149))="PIPE")),Inputs!$B$55,0))</f>
        <v/>
      </c>
      <c r="AK149" s="17">
        <f>IF(A149="","",IF(OR(AND(UPPER(TRIM(B149))="SWALE",UPPER(TRIM(AI149))="PIPE"),AND(UPPER(TRIM(B149))="TRENCH",UPPER(TRIM(AI149))="PIPE")),Inputs!$B$56,Inputs!$B$54))</f>
        <v/>
      </c>
      <c r="AL149" s="4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7">
        <f>IF(A150="","",IF(E150="","",IFERROR(INDEX($B$4:$B$204,MATCH(E150,$A$4:$A$204,0)),"")))</f>
        <v/>
      </c>
      <c r="AJ150" s="17">
        <f>IF(A150="","",IF(OR(AND(UPPER(TRIM(B150))="SWALE",UPPER(TRIM(AI150))="PIPE"),AND(UPPER(TRIM(B150))="TRENCH",UPPER(TRIM(AI150))="PIPE")),Inputs!$B$55,0))</f>
        <v/>
      </c>
      <c r="AK150" s="17">
        <f>IF(A150="","",IF(OR(AND(UPPER(TRIM(B150))="SWALE",UPPER(TRIM(AI150))="PIPE"),AND(UPPER(TRIM(B150))="TRENCH",UPPER(TRIM(AI150))="PIPE")),Inputs!$B$56,Inputs!$B$54))</f>
        <v/>
      </c>
      <c r="AL150" s="4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7">
        <f>IF(A151="","",IF(E151="","",IFERROR(INDEX($B$4:$B$204,MATCH(E151,$A$4:$A$204,0)),"")))</f>
        <v/>
      </c>
      <c r="AJ151" s="17">
        <f>IF(A151="","",IF(OR(AND(UPPER(TRIM(B151))="SWALE",UPPER(TRIM(AI151))="PIPE"),AND(UPPER(TRIM(B151))="TRENCH",UPPER(TRIM(AI151))="PIPE")),Inputs!$B$55,0))</f>
        <v/>
      </c>
      <c r="AK151" s="17">
        <f>IF(A151="","",IF(OR(AND(UPPER(TRIM(B151))="SWALE",UPPER(TRIM(AI151))="PIPE"),AND(UPPER(TRIM(B151))="TRENCH",UPPER(TRIM(AI151))="PIPE")),Inputs!$B$56,Inputs!$B$54))</f>
        <v/>
      </c>
      <c r="AL151" s="4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7">
        <f>IF(A152="","",IF(E152="","",IFERROR(INDEX($B$4:$B$204,MATCH(E152,$A$4:$A$204,0)),"")))</f>
        <v/>
      </c>
      <c r="AJ152" s="17">
        <f>IF(A152="","",IF(OR(AND(UPPER(TRIM(B152))="SWALE",UPPER(TRIM(AI152))="PIPE"),AND(UPPER(TRIM(B152))="TRENCH",UPPER(TRIM(AI152))="PIPE")),Inputs!$B$55,0))</f>
        <v/>
      </c>
      <c r="AK152" s="17">
        <f>IF(A152="","",IF(OR(AND(UPPER(TRIM(B152))="SWALE",UPPER(TRIM(AI152))="PIPE"),AND(UPPER(TRIM(B152))="TRENCH",UPPER(TRIM(AI152))="PIPE")),Inputs!$B$56,Inputs!$B$54))</f>
        <v/>
      </c>
      <c r="AL152" s="4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7">
        <f>IF(A153="","",IF(E153="","",IFERROR(INDEX($B$4:$B$204,MATCH(E153,$A$4:$A$204,0)),"")))</f>
        <v/>
      </c>
      <c r="AJ153" s="17">
        <f>IF(A153="","",IF(OR(AND(UPPER(TRIM(B153))="SWALE",UPPER(TRIM(AI153))="PIPE"),AND(UPPER(TRIM(B153))="TRENCH",UPPER(TRIM(AI153))="PIPE")),Inputs!$B$55,0))</f>
        <v/>
      </c>
      <c r="AK153" s="17">
        <f>IF(A153="","",IF(OR(AND(UPPER(TRIM(B153))="SWALE",UPPER(TRIM(AI153))="PIPE"),AND(UPPER(TRIM(B153))="TRENCH",UPPER(TRIM(AI153))="PIPE")),Inputs!$B$56,Inputs!$B$54))</f>
        <v/>
      </c>
      <c r="AL153" s="4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7">
        <f>IF(A154="","",IF(E154="","",IFERROR(INDEX($B$4:$B$204,MATCH(E154,$A$4:$A$204,0)),"")))</f>
        <v/>
      </c>
      <c r="AJ154" s="17">
        <f>IF(A154="","",IF(OR(AND(UPPER(TRIM(B154))="SWALE",UPPER(TRIM(AI154))="PIPE"),AND(UPPER(TRIM(B154))="TRENCH",UPPER(TRIM(AI154))="PIPE")),Inputs!$B$55,0))</f>
        <v/>
      </c>
      <c r="AK154" s="17">
        <f>IF(A154="","",IF(OR(AND(UPPER(TRIM(B154))="SWALE",UPPER(TRIM(AI154))="PIPE"),AND(UPPER(TRIM(B154))="TRENCH",UPPER(TRIM(AI154))="PIPE")),Inputs!$B$56,Inputs!$B$54))</f>
        <v/>
      </c>
      <c r="AL154" s="4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7">
        <f>IF(A155="","",IF(E155="","",IFERROR(INDEX($B$4:$B$204,MATCH(E155,$A$4:$A$204,0)),"")))</f>
        <v/>
      </c>
      <c r="AJ155" s="17">
        <f>IF(A155="","",IF(OR(AND(UPPER(TRIM(B155))="SWALE",UPPER(TRIM(AI155))="PIPE"),AND(UPPER(TRIM(B155))="TRENCH",UPPER(TRIM(AI155))="PIPE")),Inputs!$B$55,0))</f>
        <v/>
      </c>
      <c r="AK155" s="17">
        <f>IF(A155="","",IF(OR(AND(UPPER(TRIM(B155))="SWALE",UPPER(TRIM(AI155))="PIPE"),AND(UPPER(TRIM(B155))="TRENCH",UPPER(TRIM(AI155))="PIPE")),Inputs!$B$56,Inputs!$B$54))</f>
        <v/>
      </c>
      <c r="AL155" s="4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7">
        <f>IF(A156="","",IF(E156="","",IFERROR(INDEX($B$4:$B$204,MATCH(E156,$A$4:$A$204,0)),"")))</f>
        <v/>
      </c>
      <c r="AJ156" s="17">
        <f>IF(A156="","",IF(OR(AND(UPPER(TRIM(B156))="SWALE",UPPER(TRIM(AI156))="PIPE"),AND(UPPER(TRIM(B156))="TRENCH",UPPER(TRIM(AI156))="PIPE")),Inputs!$B$55,0))</f>
        <v/>
      </c>
      <c r="AK156" s="17">
        <f>IF(A156="","",IF(OR(AND(UPPER(TRIM(B156))="SWALE",UPPER(TRIM(AI156))="PIPE"),AND(UPPER(TRIM(B156))="TRENCH",UPPER(TRIM(AI156))="PIPE")),Inputs!$B$56,Inputs!$B$54))</f>
        <v/>
      </c>
      <c r="AL156" s="4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7">
        <f>IF(A157="","",IF(E157="","",IFERROR(INDEX($B$4:$B$204,MATCH(E157,$A$4:$A$204,0)),"")))</f>
        <v/>
      </c>
      <c r="AJ157" s="17">
        <f>IF(A157="","",IF(OR(AND(UPPER(TRIM(B157))="SWALE",UPPER(TRIM(AI157))="PIPE"),AND(UPPER(TRIM(B157))="TRENCH",UPPER(TRIM(AI157))="PIPE")),Inputs!$B$55,0))</f>
        <v/>
      </c>
      <c r="AK157" s="17">
        <f>IF(A157="","",IF(OR(AND(UPPER(TRIM(B157))="SWALE",UPPER(TRIM(AI157))="PIPE"),AND(UPPER(TRIM(B157))="TRENCH",UPPER(TRIM(AI157))="PIPE")),Inputs!$B$56,Inputs!$B$54))</f>
        <v/>
      </c>
      <c r="AL157" s="4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7">
        <f>IF(A158="","",IF(E158="","",IFERROR(INDEX($B$4:$B$204,MATCH(E158,$A$4:$A$204,0)),"")))</f>
        <v/>
      </c>
      <c r="AJ158" s="17">
        <f>IF(A158="","",IF(OR(AND(UPPER(TRIM(B158))="SWALE",UPPER(TRIM(AI158))="PIPE"),AND(UPPER(TRIM(B158))="TRENCH",UPPER(TRIM(AI158))="PIPE")),Inputs!$B$55,0))</f>
        <v/>
      </c>
      <c r="AK158" s="17">
        <f>IF(A158="","",IF(OR(AND(UPPER(TRIM(B158))="SWALE",UPPER(TRIM(AI158))="PIPE"),AND(UPPER(TRIM(B158))="TRENCH",UPPER(TRIM(AI158))="PIPE")),Inputs!$B$56,Inputs!$B$54))</f>
        <v/>
      </c>
      <c r="AL158" s="4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7">
        <f>IF(A159="","",IF(E159="","",IFERROR(INDEX($B$4:$B$204,MATCH(E159,$A$4:$A$204,0)),"")))</f>
        <v/>
      </c>
      <c r="AJ159" s="17">
        <f>IF(A159="","",IF(OR(AND(UPPER(TRIM(B159))="SWALE",UPPER(TRIM(AI159))="PIPE"),AND(UPPER(TRIM(B159))="TRENCH",UPPER(TRIM(AI159))="PIPE")),Inputs!$B$55,0))</f>
        <v/>
      </c>
      <c r="AK159" s="17">
        <f>IF(A159="","",IF(OR(AND(UPPER(TRIM(B159))="SWALE",UPPER(TRIM(AI159))="PIPE"),AND(UPPER(TRIM(B159))="TRENCH",UPPER(TRIM(AI159))="PIPE")),Inputs!$B$56,Inputs!$B$54))</f>
        <v/>
      </c>
      <c r="AL159" s="4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7">
        <f>IF(A160="","",IF(E160="","",IFERROR(INDEX($B$4:$B$204,MATCH(E160,$A$4:$A$204,0)),"")))</f>
        <v/>
      </c>
      <c r="AJ160" s="17">
        <f>IF(A160="","",IF(OR(AND(UPPER(TRIM(B160))="SWALE",UPPER(TRIM(AI160))="PIPE"),AND(UPPER(TRIM(B160))="TRENCH",UPPER(TRIM(AI160))="PIPE")),Inputs!$B$55,0))</f>
        <v/>
      </c>
      <c r="AK160" s="17">
        <f>IF(A160="","",IF(OR(AND(UPPER(TRIM(B160))="SWALE",UPPER(TRIM(AI160))="PIPE"),AND(UPPER(TRIM(B160))="TRENCH",UPPER(TRIM(AI160))="PIPE")),Inputs!$B$56,Inputs!$B$54))</f>
        <v/>
      </c>
      <c r="AL160" s="4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7">
        <f>IF(A161="","",IF(E161="","",IFERROR(INDEX($B$4:$B$204,MATCH(E161,$A$4:$A$204,0)),"")))</f>
        <v/>
      </c>
      <c r="AJ161" s="17">
        <f>IF(A161="","",IF(OR(AND(UPPER(TRIM(B161))="SWALE",UPPER(TRIM(AI161))="PIPE"),AND(UPPER(TRIM(B161))="TRENCH",UPPER(TRIM(AI161))="PIPE")),Inputs!$B$55,0))</f>
        <v/>
      </c>
      <c r="AK161" s="17">
        <f>IF(A161="","",IF(OR(AND(UPPER(TRIM(B161))="SWALE",UPPER(TRIM(AI161))="PIPE"),AND(UPPER(TRIM(B161))="TRENCH",UPPER(TRIM(AI161))="PIPE")),Inputs!$B$56,Inputs!$B$54))</f>
        <v/>
      </c>
      <c r="AL161" s="4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7">
        <f>IF(A162="","",IF(E162="","",IFERROR(INDEX($B$4:$B$204,MATCH(E162,$A$4:$A$204,0)),"")))</f>
        <v/>
      </c>
      <c r="AJ162" s="17">
        <f>IF(A162="","",IF(OR(AND(UPPER(TRIM(B162))="SWALE",UPPER(TRIM(AI162))="PIPE"),AND(UPPER(TRIM(B162))="TRENCH",UPPER(TRIM(AI162))="PIPE")),Inputs!$B$55,0))</f>
        <v/>
      </c>
      <c r="AK162" s="17">
        <f>IF(A162="","",IF(OR(AND(UPPER(TRIM(B162))="SWALE",UPPER(TRIM(AI162))="PIPE"),AND(UPPER(TRIM(B162))="TRENCH",UPPER(TRIM(AI162))="PIPE")),Inputs!$B$56,Inputs!$B$54))</f>
        <v/>
      </c>
      <c r="AL162" s="4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7">
        <f>IF(A163="","",IF(E163="","",IFERROR(INDEX($B$4:$B$204,MATCH(E163,$A$4:$A$204,0)),"")))</f>
        <v/>
      </c>
      <c r="AJ163" s="17">
        <f>IF(A163="","",IF(OR(AND(UPPER(TRIM(B163))="SWALE",UPPER(TRIM(AI163))="PIPE"),AND(UPPER(TRIM(B163))="TRENCH",UPPER(TRIM(AI163))="PIPE")),Inputs!$B$55,0))</f>
        <v/>
      </c>
      <c r="AK163" s="17">
        <f>IF(A163="","",IF(OR(AND(UPPER(TRIM(B163))="SWALE",UPPER(TRIM(AI163))="PIPE"),AND(UPPER(TRIM(B163))="TRENCH",UPPER(TRIM(AI163))="PIPE")),Inputs!$B$56,Inputs!$B$54))</f>
        <v/>
      </c>
      <c r="AL163" s="4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7">
        <f>IF(A164="","",IF(E164="","",IFERROR(INDEX($B$4:$B$204,MATCH(E164,$A$4:$A$204,0)),"")))</f>
        <v/>
      </c>
      <c r="AJ164" s="17">
        <f>IF(A164="","",IF(OR(AND(UPPER(TRIM(B164))="SWALE",UPPER(TRIM(AI164))="PIPE"),AND(UPPER(TRIM(B164))="TRENCH",UPPER(TRIM(AI164))="PIPE")),Inputs!$B$55,0))</f>
        <v/>
      </c>
      <c r="AK164" s="17">
        <f>IF(A164="","",IF(OR(AND(UPPER(TRIM(B164))="SWALE",UPPER(TRIM(AI164))="PIPE"),AND(UPPER(TRIM(B164))="TRENCH",UPPER(TRIM(AI164))="PIPE")),Inputs!$B$56,Inputs!$B$54))</f>
        <v/>
      </c>
      <c r="AL164" s="4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7">
        <f>IF(A165="","",IF(E165="","",IFERROR(INDEX($B$4:$B$204,MATCH(E165,$A$4:$A$204,0)),"")))</f>
        <v/>
      </c>
      <c r="AJ165" s="17">
        <f>IF(A165="","",IF(OR(AND(UPPER(TRIM(B165))="SWALE",UPPER(TRIM(AI165))="PIPE"),AND(UPPER(TRIM(B165))="TRENCH",UPPER(TRIM(AI165))="PIPE")),Inputs!$B$55,0))</f>
        <v/>
      </c>
      <c r="AK165" s="17">
        <f>IF(A165="","",IF(OR(AND(UPPER(TRIM(B165))="SWALE",UPPER(TRIM(AI165))="PIPE"),AND(UPPER(TRIM(B165))="TRENCH",UPPER(TRIM(AI165))="PIPE")),Inputs!$B$56,Inputs!$B$54))</f>
        <v/>
      </c>
      <c r="AL165" s="4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7">
        <f>IF(A166="","",IF(E166="","",IFERROR(INDEX($B$4:$B$204,MATCH(E166,$A$4:$A$204,0)),"")))</f>
        <v/>
      </c>
      <c r="AJ166" s="17">
        <f>IF(A166="","",IF(OR(AND(UPPER(TRIM(B166))="SWALE",UPPER(TRIM(AI166))="PIPE"),AND(UPPER(TRIM(B166))="TRENCH",UPPER(TRIM(AI166))="PIPE")),Inputs!$B$55,0))</f>
        <v/>
      </c>
      <c r="AK166" s="17">
        <f>IF(A166="","",IF(OR(AND(UPPER(TRIM(B166))="SWALE",UPPER(TRIM(AI166))="PIPE"),AND(UPPER(TRIM(B166))="TRENCH",UPPER(TRIM(AI166))="PIPE")),Inputs!$B$56,Inputs!$B$54))</f>
        <v/>
      </c>
      <c r="AL166" s="4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7">
        <f>IF(A167="","",IF(E167="","",IFERROR(INDEX($B$4:$B$204,MATCH(E167,$A$4:$A$204,0)),"")))</f>
        <v/>
      </c>
      <c r="AJ167" s="17">
        <f>IF(A167="","",IF(OR(AND(UPPER(TRIM(B167))="SWALE",UPPER(TRIM(AI167))="PIPE"),AND(UPPER(TRIM(B167))="TRENCH",UPPER(TRIM(AI167))="PIPE")),Inputs!$B$55,0))</f>
        <v/>
      </c>
      <c r="AK167" s="17">
        <f>IF(A167="","",IF(OR(AND(UPPER(TRIM(B167))="SWALE",UPPER(TRIM(AI167))="PIPE"),AND(UPPER(TRIM(B167))="TRENCH",UPPER(TRIM(AI167))="PIPE")),Inputs!$B$56,Inputs!$B$54))</f>
        <v/>
      </c>
      <c r="AL167" s="4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7">
        <f>IF(A168="","",IF(E168="","",IFERROR(INDEX($B$4:$B$204,MATCH(E168,$A$4:$A$204,0)),"")))</f>
        <v/>
      </c>
      <c r="AJ168" s="17">
        <f>IF(A168="","",IF(OR(AND(UPPER(TRIM(B168))="SWALE",UPPER(TRIM(AI168))="PIPE"),AND(UPPER(TRIM(B168))="TRENCH",UPPER(TRIM(AI168))="PIPE")),Inputs!$B$55,0))</f>
        <v/>
      </c>
      <c r="AK168" s="17">
        <f>IF(A168="","",IF(OR(AND(UPPER(TRIM(B168))="SWALE",UPPER(TRIM(AI168))="PIPE"),AND(UPPER(TRIM(B168))="TRENCH",UPPER(TRIM(AI168))="PIPE")),Inputs!$B$56,Inputs!$B$54))</f>
        <v/>
      </c>
      <c r="AL168" s="4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7">
        <f>IF(A169="","",IF(E169="","",IFERROR(INDEX($B$4:$B$204,MATCH(E169,$A$4:$A$204,0)),"")))</f>
        <v/>
      </c>
      <c r="AJ169" s="17">
        <f>IF(A169="","",IF(OR(AND(UPPER(TRIM(B169))="SWALE",UPPER(TRIM(AI169))="PIPE"),AND(UPPER(TRIM(B169))="TRENCH",UPPER(TRIM(AI169))="PIPE")),Inputs!$B$55,0))</f>
        <v/>
      </c>
      <c r="AK169" s="17">
        <f>IF(A169="","",IF(OR(AND(UPPER(TRIM(B169))="SWALE",UPPER(TRIM(AI169))="PIPE"),AND(UPPER(TRIM(B169))="TRENCH",UPPER(TRIM(AI169))="PIPE")),Inputs!$B$56,Inputs!$B$54))</f>
        <v/>
      </c>
      <c r="AL169" s="4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7">
        <f>IF(A170="","",IF(E170="","",IFERROR(INDEX($B$4:$B$204,MATCH(E170,$A$4:$A$204,0)),"")))</f>
        <v/>
      </c>
      <c r="AJ170" s="17">
        <f>IF(A170="","",IF(OR(AND(UPPER(TRIM(B170))="SWALE",UPPER(TRIM(AI170))="PIPE"),AND(UPPER(TRIM(B170))="TRENCH",UPPER(TRIM(AI170))="PIPE")),Inputs!$B$55,0))</f>
        <v/>
      </c>
      <c r="AK170" s="17">
        <f>IF(A170="","",IF(OR(AND(UPPER(TRIM(B170))="SWALE",UPPER(TRIM(AI170))="PIPE"),AND(UPPER(TRIM(B170))="TRENCH",UPPER(TRIM(AI170))="PIPE")),Inputs!$B$56,Inputs!$B$54))</f>
        <v/>
      </c>
      <c r="AL170" s="4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7">
        <f>IF(A171="","",IF(E171="","",IFERROR(INDEX($B$4:$B$204,MATCH(E171,$A$4:$A$204,0)),"")))</f>
        <v/>
      </c>
      <c r="AJ171" s="17">
        <f>IF(A171="","",IF(OR(AND(UPPER(TRIM(B171))="SWALE",UPPER(TRIM(AI171))="PIPE"),AND(UPPER(TRIM(B171))="TRENCH",UPPER(TRIM(AI171))="PIPE")),Inputs!$B$55,0))</f>
        <v/>
      </c>
      <c r="AK171" s="17">
        <f>IF(A171="","",IF(OR(AND(UPPER(TRIM(B171))="SWALE",UPPER(TRIM(AI171))="PIPE"),AND(UPPER(TRIM(B171))="TRENCH",UPPER(TRIM(AI171))="PIPE")),Inputs!$B$56,Inputs!$B$54))</f>
        <v/>
      </c>
      <c r="AL171" s="4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7">
        <f>IF(A172="","",IF(E172="","",IFERROR(INDEX($B$4:$B$204,MATCH(E172,$A$4:$A$204,0)),"")))</f>
        <v/>
      </c>
      <c r="AJ172" s="17">
        <f>IF(A172="","",IF(OR(AND(UPPER(TRIM(B172))="SWALE",UPPER(TRIM(AI172))="PIPE"),AND(UPPER(TRIM(B172))="TRENCH",UPPER(TRIM(AI172))="PIPE")),Inputs!$B$55,0))</f>
        <v/>
      </c>
      <c r="AK172" s="17">
        <f>IF(A172="","",IF(OR(AND(UPPER(TRIM(B172))="SWALE",UPPER(TRIM(AI172))="PIPE"),AND(UPPER(TRIM(B172))="TRENCH",UPPER(TRIM(AI172))="PIPE")),Inputs!$B$56,Inputs!$B$54))</f>
        <v/>
      </c>
      <c r="AL172" s="4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7">
        <f>IF(A173="","",IF(E173="","",IFERROR(INDEX($B$4:$B$204,MATCH(E173,$A$4:$A$204,0)),"")))</f>
        <v/>
      </c>
      <c r="AJ173" s="17">
        <f>IF(A173="","",IF(OR(AND(UPPER(TRIM(B173))="SWALE",UPPER(TRIM(AI173))="PIPE"),AND(UPPER(TRIM(B173))="TRENCH",UPPER(TRIM(AI173))="PIPE")),Inputs!$B$55,0))</f>
        <v/>
      </c>
      <c r="AK173" s="17">
        <f>IF(A173="","",IF(OR(AND(UPPER(TRIM(B173))="SWALE",UPPER(TRIM(AI173))="PIPE"),AND(UPPER(TRIM(B173))="TRENCH",UPPER(TRIM(AI173))="PIPE")),Inputs!$B$56,Inputs!$B$54))</f>
        <v/>
      </c>
      <c r="AL173" s="4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7">
        <f>IF(A174="","",IF(E174="","",IFERROR(INDEX($B$4:$B$204,MATCH(E174,$A$4:$A$204,0)),"")))</f>
        <v/>
      </c>
      <c r="AJ174" s="17">
        <f>IF(A174="","",IF(OR(AND(UPPER(TRIM(B174))="SWALE",UPPER(TRIM(AI174))="PIPE"),AND(UPPER(TRIM(B174))="TRENCH",UPPER(TRIM(AI174))="PIPE")),Inputs!$B$55,0))</f>
        <v/>
      </c>
      <c r="AK174" s="17">
        <f>IF(A174="","",IF(OR(AND(UPPER(TRIM(B174))="SWALE",UPPER(TRIM(AI174))="PIPE"),AND(UPPER(TRIM(B174))="TRENCH",UPPER(TRIM(AI174))="PIPE")),Inputs!$B$56,Inputs!$B$54))</f>
        <v/>
      </c>
      <c r="AL174" s="4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7">
        <f>IF(A175="","",IF(E175="","",IFERROR(INDEX($B$4:$B$204,MATCH(E175,$A$4:$A$204,0)),"")))</f>
        <v/>
      </c>
      <c r="AJ175" s="17">
        <f>IF(A175="","",IF(OR(AND(UPPER(TRIM(B175))="SWALE",UPPER(TRIM(AI175))="PIPE"),AND(UPPER(TRIM(B175))="TRENCH",UPPER(TRIM(AI175))="PIPE")),Inputs!$B$55,0))</f>
        <v/>
      </c>
      <c r="AK175" s="17">
        <f>IF(A175="","",IF(OR(AND(UPPER(TRIM(B175))="SWALE",UPPER(TRIM(AI175))="PIPE"),AND(UPPER(TRIM(B175))="TRENCH",UPPER(TRIM(AI175))="PIPE")),Inputs!$B$56,Inputs!$B$54))</f>
        <v/>
      </c>
      <c r="AL175" s="4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7">
        <f>IF(A176="","",IF(E176="","",IFERROR(INDEX($B$4:$B$204,MATCH(E176,$A$4:$A$204,0)),"")))</f>
        <v/>
      </c>
      <c r="AJ176" s="17">
        <f>IF(A176="","",IF(OR(AND(UPPER(TRIM(B176))="SWALE",UPPER(TRIM(AI176))="PIPE"),AND(UPPER(TRIM(B176))="TRENCH",UPPER(TRIM(AI176))="PIPE")),Inputs!$B$55,0))</f>
        <v/>
      </c>
      <c r="AK176" s="17">
        <f>IF(A176="","",IF(OR(AND(UPPER(TRIM(B176))="SWALE",UPPER(TRIM(AI176))="PIPE"),AND(UPPER(TRIM(B176))="TRENCH",UPPER(TRIM(AI176))="PIPE")),Inputs!$B$56,Inputs!$B$54))</f>
        <v/>
      </c>
      <c r="AL176" s="4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7">
        <f>IF(A177="","",IF(E177="","",IFERROR(INDEX($B$4:$B$204,MATCH(E177,$A$4:$A$204,0)),"")))</f>
        <v/>
      </c>
      <c r="AJ177" s="17">
        <f>IF(A177="","",IF(OR(AND(UPPER(TRIM(B177))="SWALE",UPPER(TRIM(AI177))="PIPE"),AND(UPPER(TRIM(B177))="TRENCH",UPPER(TRIM(AI177))="PIPE")),Inputs!$B$55,0))</f>
        <v/>
      </c>
      <c r="AK177" s="17">
        <f>IF(A177="","",IF(OR(AND(UPPER(TRIM(B177))="SWALE",UPPER(TRIM(AI177))="PIPE"),AND(UPPER(TRIM(B177))="TRENCH",UPPER(TRIM(AI177))="PIPE")),Inputs!$B$56,Inputs!$B$54))</f>
        <v/>
      </c>
      <c r="AL177" s="4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7">
        <f>IF(A178="","",IF(E178="","",IFERROR(INDEX($B$4:$B$204,MATCH(E178,$A$4:$A$204,0)),"")))</f>
        <v/>
      </c>
      <c r="AJ178" s="17">
        <f>IF(A178="","",IF(OR(AND(UPPER(TRIM(B178))="SWALE",UPPER(TRIM(AI178))="PIPE"),AND(UPPER(TRIM(B178))="TRENCH",UPPER(TRIM(AI178))="PIPE")),Inputs!$B$55,0))</f>
        <v/>
      </c>
      <c r="AK178" s="17">
        <f>IF(A178="","",IF(OR(AND(UPPER(TRIM(B178))="SWALE",UPPER(TRIM(AI178))="PIPE"),AND(UPPER(TRIM(B178))="TRENCH",UPPER(TRIM(AI178))="PIPE")),Inputs!$B$56,Inputs!$B$54))</f>
        <v/>
      </c>
      <c r="AL178" s="4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7">
        <f>IF(A179="","",IF(E179="","",IFERROR(INDEX($B$4:$B$204,MATCH(E179,$A$4:$A$204,0)),"")))</f>
        <v/>
      </c>
      <c r="AJ179" s="17">
        <f>IF(A179="","",IF(OR(AND(UPPER(TRIM(B179))="SWALE",UPPER(TRIM(AI179))="PIPE"),AND(UPPER(TRIM(B179))="TRENCH",UPPER(TRIM(AI179))="PIPE")),Inputs!$B$55,0))</f>
        <v/>
      </c>
      <c r="AK179" s="17">
        <f>IF(A179="","",IF(OR(AND(UPPER(TRIM(B179))="SWALE",UPPER(TRIM(AI179))="PIPE"),AND(UPPER(TRIM(B179))="TRENCH",UPPER(TRIM(AI179))="PIPE")),Inputs!$B$56,Inputs!$B$54))</f>
        <v/>
      </c>
      <c r="AL179" s="4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7">
        <f>IF(A180="","",IF(E180="","",IFERROR(INDEX($B$4:$B$204,MATCH(E180,$A$4:$A$204,0)),"")))</f>
        <v/>
      </c>
      <c r="AJ180" s="17">
        <f>IF(A180="","",IF(OR(AND(UPPER(TRIM(B180))="SWALE",UPPER(TRIM(AI180))="PIPE"),AND(UPPER(TRIM(B180))="TRENCH",UPPER(TRIM(AI180))="PIPE")),Inputs!$B$55,0))</f>
        <v/>
      </c>
      <c r="AK180" s="17">
        <f>IF(A180="","",IF(OR(AND(UPPER(TRIM(B180))="SWALE",UPPER(TRIM(AI180))="PIPE"),AND(UPPER(TRIM(B180))="TRENCH",UPPER(TRIM(AI180))="PIPE")),Inputs!$B$56,Inputs!$B$54))</f>
        <v/>
      </c>
      <c r="AL180" s="4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7">
        <f>IF(A181="","",IF(E181="","",IFERROR(INDEX($B$4:$B$204,MATCH(E181,$A$4:$A$204,0)),"")))</f>
        <v/>
      </c>
      <c r="AJ181" s="17">
        <f>IF(A181="","",IF(OR(AND(UPPER(TRIM(B181))="SWALE",UPPER(TRIM(AI181))="PIPE"),AND(UPPER(TRIM(B181))="TRENCH",UPPER(TRIM(AI181))="PIPE")),Inputs!$B$55,0))</f>
        <v/>
      </c>
      <c r="AK181" s="17">
        <f>IF(A181="","",IF(OR(AND(UPPER(TRIM(B181))="SWALE",UPPER(TRIM(AI181))="PIPE"),AND(UPPER(TRIM(B181))="TRENCH",UPPER(TRIM(AI181))="PIPE")),Inputs!$B$56,Inputs!$B$54))</f>
        <v/>
      </c>
      <c r="AL181" s="4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7">
        <f>IF(A182="","",IF(E182="","",IFERROR(INDEX($B$4:$B$204,MATCH(E182,$A$4:$A$204,0)),"")))</f>
        <v/>
      </c>
      <c r="AJ182" s="17">
        <f>IF(A182="","",IF(OR(AND(UPPER(TRIM(B182))="SWALE",UPPER(TRIM(AI182))="PIPE"),AND(UPPER(TRIM(B182))="TRENCH",UPPER(TRIM(AI182))="PIPE")),Inputs!$B$55,0))</f>
        <v/>
      </c>
      <c r="AK182" s="17">
        <f>IF(A182="","",IF(OR(AND(UPPER(TRIM(B182))="SWALE",UPPER(TRIM(AI182))="PIPE"),AND(UPPER(TRIM(B182))="TRENCH",UPPER(TRIM(AI182))="PIPE")),Inputs!$B$56,Inputs!$B$54))</f>
        <v/>
      </c>
      <c r="AL182" s="4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7">
        <f>IF(A183="","",IF(E183="","",IFERROR(INDEX($B$4:$B$204,MATCH(E183,$A$4:$A$204,0)),"")))</f>
        <v/>
      </c>
      <c r="AJ183" s="17">
        <f>IF(A183="","",IF(OR(AND(UPPER(TRIM(B183))="SWALE",UPPER(TRIM(AI183))="PIPE"),AND(UPPER(TRIM(B183))="TRENCH",UPPER(TRIM(AI183))="PIPE")),Inputs!$B$55,0))</f>
        <v/>
      </c>
      <c r="AK183" s="17">
        <f>IF(A183="","",IF(OR(AND(UPPER(TRIM(B183))="SWALE",UPPER(TRIM(AI183))="PIPE"),AND(UPPER(TRIM(B183))="TRENCH",UPPER(TRIM(AI183))="PIPE")),Inputs!$B$56,Inputs!$B$54))</f>
        <v/>
      </c>
      <c r="AL183" s="4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7">
        <f>IF(A184="","",IF(E184="","",IFERROR(INDEX($B$4:$B$204,MATCH(E184,$A$4:$A$204,0)),"")))</f>
        <v/>
      </c>
      <c r="AJ184" s="17">
        <f>IF(A184="","",IF(OR(AND(UPPER(TRIM(B184))="SWALE",UPPER(TRIM(AI184))="PIPE"),AND(UPPER(TRIM(B184))="TRENCH",UPPER(TRIM(AI184))="PIPE")),Inputs!$B$55,0))</f>
        <v/>
      </c>
      <c r="AK184" s="17">
        <f>IF(A184="","",IF(OR(AND(UPPER(TRIM(B184))="SWALE",UPPER(TRIM(AI184))="PIPE"),AND(UPPER(TRIM(B184))="TRENCH",UPPER(TRIM(AI184))="PIPE")),Inputs!$B$56,Inputs!$B$54))</f>
        <v/>
      </c>
      <c r="AL184" s="4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7">
        <f>IF(A185="","",IF(E185="","",IFERROR(INDEX($B$4:$B$204,MATCH(E185,$A$4:$A$204,0)),"")))</f>
        <v/>
      </c>
      <c r="AJ185" s="17">
        <f>IF(A185="","",IF(OR(AND(UPPER(TRIM(B185))="SWALE",UPPER(TRIM(AI185))="PIPE"),AND(UPPER(TRIM(B185))="TRENCH",UPPER(TRIM(AI185))="PIPE")),Inputs!$B$55,0))</f>
        <v/>
      </c>
      <c r="AK185" s="17">
        <f>IF(A185="","",IF(OR(AND(UPPER(TRIM(B185))="SWALE",UPPER(TRIM(AI185))="PIPE"),AND(UPPER(TRIM(B185))="TRENCH",UPPER(TRIM(AI185))="PIPE")),Inputs!$B$56,Inputs!$B$54))</f>
        <v/>
      </c>
      <c r="AL185" s="4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7">
        <f>IF(A186="","",IF(E186="","",IFERROR(INDEX($B$4:$B$204,MATCH(E186,$A$4:$A$204,0)),"")))</f>
        <v/>
      </c>
      <c r="AJ186" s="17">
        <f>IF(A186="","",IF(OR(AND(UPPER(TRIM(B186))="SWALE",UPPER(TRIM(AI186))="PIPE"),AND(UPPER(TRIM(B186))="TRENCH",UPPER(TRIM(AI186))="PIPE")),Inputs!$B$55,0))</f>
        <v/>
      </c>
      <c r="AK186" s="17">
        <f>IF(A186="","",IF(OR(AND(UPPER(TRIM(B186))="SWALE",UPPER(TRIM(AI186))="PIPE"),AND(UPPER(TRIM(B186))="TRENCH",UPPER(TRIM(AI186))="PIPE")),Inputs!$B$56,Inputs!$B$54))</f>
        <v/>
      </c>
      <c r="AL186" s="4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7">
        <f>IF(A187="","",IF(E187="","",IFERROR(INDEX($B$4:$B$204,MATCH(E187,$A$4:$A$204,0)),"")))</f>
        <v/>
      </c>
      <c r="AJ187" s="17">
        <f>IF(A187="","",IF(OR(AND(UPPER(TRIM(B187))="SWALE",UPPER(TRIM(AI187))="PIPE"),AND(UPPER(TRIM(B187))="TRENCH",UPPER(TRIM(AI187))="PIPE")),Inputs!$B$55,0))</f>
        <v/>
      </c>
      <c r="AK187" s="17">
        <f>IF(A187="","",IF(OR(AND(UPPER(TRIM(B187))="SWALE",UPPER(TRIM(AI187))="PIPE"),AND(UPPER(TRIM(B187))="TRENCH",UPPER(TRIM(AI187))="PIPE")),Inputs!$B$56,Inputs!$B$54))</f>
        <v/>
      </c>
      <c r="AL187" s="4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7">
        <f>IF(A188="","",IF(E188="","",IFERROR(INDEX($B$4:$B$204,MATCH(E188,$A$4:$A$204,0)),"")))</f>
        <v/>
      </c>
      <c r="AJ188" s="17">
        <f>IF(A188="","",IF(OR(AND(UPPER(TRIM(B188))="SWALE",UPPER(TRIM(AI188))="PIPE"),AND(UPPER(TRIM(B188))="TRENCH",UPPER(TRIM(AI188))="PIPE")),Inputs!$B$55,0))</f>
        <v/>
      </c>
      <c r="AK188" s="17">
        <f>IF(A188="","",IF(OR(AND(UPPER(TRIM(B188))="SWALE",UPPER(TRIM(AI188))="PIPE"),AND(UPPER(TRIM(B188))="TRENCH",UPPER(TRIM(AI188))="PIPE")),Inputs!$B$56,Inputs!$B$54))</f>
        <v/>
      </c>
      <c r="AL188" s="4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7">
        <f>IF(A189="","",IF(E189="","",IFERROR(INDEX($B$4:$B$204,MATCH(E189,$A$4:$A$204,0)),"")))</f>
        <v/>
      </c>
      <c r="AJ189" s="17">
        <f>IF(A189="","",IF(OR(AND(UPPER(TRIM(B189))="SWALE",UPPER(TRIM(AI189))="PIPE"),AND(UPPER(TRIM(B189))="TRENCH",UPPER(TRIM(AI189))="PIPE")),Inputs!$B$55,0))</f>
        <v/>
      </c>
      <c r="AK189" s="17">
        <f>IF(A189="","",IF(OR(AND(UPPER(TRIM(B189))="SWALE",UPPER(TRIM(AI189))="PIPE"),AND(UPPER(TRIM(B189))="TRENCH",UPPER(TRIM(AI189))="PIPE")),Inputs!$B$56,Inputs!$B$54))</f>
        <v/>
      </c>
      <c r="AL189" s="4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7">
        <f>IF(A190="","",IF(E190="","",IFERROR(INDEX($B$4:$B$204,MATCH(E190,$A$4:$A$204,0)),"")))</f>
        <v/>
      </c>
      <c r="AJ190" s="17">
        <f>IF(A190="","",IF(OR(AND(UPPER(TRIM(B190))="SWALE",UPPER(TRIM(AI190))="PIPE"),AND(UPPER(TRIM(B190))="TRENCH",UPPER(TRIM(AI190))="PIPE")),Inputs!$B$55,0))</f>
        <v/>
      </c>
      <c r="AK190" s="17">
        <f>IF(A190="","",IF(OR(AND(UPPER(TRIM(B190))="SWALE",UPPER(TRIM(AI190))="PIPE"),AND(UPPER(TRIM(B190))="TRENCH",UPPER(TRIM(AI190))="PIPE")),Inputs!$B$56,Inputs!$B$54))</f>
        <v/>
      </c>
      <c r="AL190" s="4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7">
        <f>IF(A191="","",IF(E191="","",IFERROR(INDEX($B$4:$B$204,MATCH(E191,$A$4:$A$204,0)),"")))</f>
        <v/>
      </c>
      <c r="AJ191" s="17">
        <f>IF(A191="","",IF(OR(AND(UPPER(TRIM(B191))="SWALE",UPPER(TRIM(AI191))="PIPE"),AND(UPPER(TRIM(B191))="TRENCH",UPPER(TRIM(AI191))="PIPE")),Inputs!$B$55,0))</f>
        <v/>
      </c>
      <c r="AK191" s="17">
        <f>IF(A191="","",IF(OR(AND(UPPER(TRIM(B191))="SWALE",UPPER(TRIM(AI191))="PIPE"),AND(UPPER(TRIM(B191))="TRENCH",UPPER(TRIM(AI191))="PIPE")),Inputs!$B$56,Inputs!$B$54))</f>
        <v/>
      </c>
      <c r="AL191" s="4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7">
        <f>IF(A192="","",IF(E192="","",IFERROR(INDEX($B$4:$B$204,MATCH(E192,$A$4:$A$204,0)),"")))</f>
        <v/>
      </c>
      <c r="AJ192" s="17">
        <f>IF(A192="","",IF(OR(AND(UPPER(TRIM(B192))="SWALE",UPPER(TRIM(AI192))="PIPE"),AND(UPPER(TRIM(B192))="TRENCH",UPPER(TRIM(AI192))="PIPE")),Inputs!$B$55,0))</f>
        <v/>
      </c>
      <c r="AK192" s="17">
        <f>IF(A192="","",IF(OR(AND(UPPER(TRIM(B192))="SWALE",UPPER(TRIM(AI192))="PIPE"),AND(UPPER(TRIM(B192))="TRENCH",UPPER(TRIM(AI192))="PIPE")),Inputs!$B$56,Inputs!$B$54))</f>
        <v/>
      </c>
      <c r="AL192" s="4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7">
        <f>IF(A193="","",IF(E193="","",IFERROR(INDEX($B$4:$B$204,MATCH(E193,$A$4:$A$204,0)),"")))</f>
        <v/>
      </c>
      <c r="AJ193" s="17">
        <f>IF(A193="","",IF(OR(AND(UPPER(TRIM(B193))="SWALE",UPPER(TRIM(AI193))="PIPE"),AND(UPPER(TRIM(B193))="TRENCH",UPPER(TRIM(AI193))="PIPE")),Inputs!$B$55,0))</f>
        <v/>
      </c>
      <c r="AK193" s="17">
        <f>IF(A193="","",IF(OR(AND(UPPER(TRIM(B193))="SWALE",UPPER(TRIM(AI193))="PIPE"),AND(UPPER(TRIM(B193))="TRENCH",UPPER(TRIM(AI193))="PIPE")),Inputs!$B$56,Inputs!$B$54))</f>
        <v/>
      </c>
      <c r="AL193" s="4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7">
        <f>IF(A194="","",IF(E194="","",IFERROR(INDEX($B$4:$B$204,MATCH(E194,$A$4:$A$204,0)),"")))</f>
        <v/>
      </c>
      <c r="AJ194" s="17">
        <f>IF(A194="","",IF(OR(AND(UPPER(TRIM(B194))="SWALE",UPPER(TRIM(AI194))="PIPE"),AND(UPPER(TRIM(B194))="TRENCH",UPPER(TRIM(AI194))="PIPE")),Inputs!$B$55,0))</f>
        <v/>
      </c>
      <c r="AK194" s="17">
        <f>IF(A194="","",IF(OR(AND(UPPER(TRIM(B194))="SWALE",UPPER(TRIM(AI194))="PIPE"),AND(UPPER(TRIM(B194))="TRENCH",UPPER(TRIM(AI194))="PIPE")),Inputs!$B$56,Inputs!$B$54))</f>
        <v/>
      </c>
      <c r="AL194" s="4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7">
        <f>IF(A195="","",IF(E195="","",IFERROR(INDEX($B$4:$B$204,MATCH(E195,$A$4:$A$204,0)),"")))</f>
        <v/>
      </c>
      <c r="AJ195" s="17">
        <f>IF(A195="","",IF(OR(AND(UPPER(TRIM(B195))="SWALE",UPPER(TRIM(AI195))="PIPE"),AND(UPPER(TRIM(B195))="TRENCH",UPPER(TRIM(AI195))="PIPE")),Inputs!$B$55,0))</f>
        <v/>
      </c>
      <c r="AK195" s="17">
        <f>IF(A195="","",IF(OR(AND(UPPER(TRIM(B195))="SWALE",UPPER(TRIM(AI195))="PIPE"),AND(UPPER(TRIM(B195))="TRENCH",UPPER(TRIM(AI195))="PIPE")),Inputs!$B$56,Inputs!$B$54))</f>
        <v/>
      </c>
      <c r="AL195" s="4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7">
        <f>IF(A196="","",IF(E196="","",IFERROR(INDEX($B$4:$B$204,MATCH(E196,$A$4:$A$204,0)),"")))</f>
        <v/>
      </c>
      <c r="AJ196" s="17">
        <f>IF(A196="","",IF(OR(AND(UPPER(TRIM(B196))="SWALE",UPPER(TRIM(AI196))="PIPE"),AND(UPPER(TRIM(B196))="TRENCH",UPPER(TRIM(AI196))="PIPE")),Inputs!$B$55,0))</f>
        <v/>
      </c>
      <c r="AK196" s="17">
        <f>IF(A196="","",IF(OR(AND(UPPER(TRIM(B196))="SWALE",UPPER(TRIM(AI196))="PIPE"),AND(UPPER(TRIM(B196))="TRENCH",UPPER(TRIM(AI196))="PIPE")),Inputs!$B$56,Inputs!$B$54))</f>
        <v/>
      </c>
      <c r="AL196" s="4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7">
        <f>IF(A197="","",IF(E197="","",IFERROR(INDEX($B$4:$B$204,MATCH(E197,$A$4:$A$204,0)),"")))</f>
        <v/>
      </c>
      <c r="AJ197" s="17">
        <f>IF(A197="","",IF(OR(AND(UPPER(TRIM(B197))="SWALE",UPPER(TRIM(AI197))="PIPE"),AND(UPPER(TRIM(B197))="TRENCH",UPPER(TRIM(AI197))="PIPE")),Inputs!$B$55,0))</f>
        <v/>
      </c>
      <c r="AK197" s="17">
        <f>IF(A197="","",IF(OR(AND(UPPER(TRIM(B197))="SWALE",UPPER(TRIM(AI197))="PIPE"),AND(UPPER(TRIM(B197))="TRENCH",UPPER(TRIM(AI197))="PIPE")),Inputs!$B$56,Inputs!$B$54))</f>
        <v/>
      </c>
      <c r="AL197" s="4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7">
        <f>IF(A198="","",IF(E198="","",IFERROR(INDEX($B$4:$B$204,MATCH(E198,$A$4:$A$204,0)),"")))</f>
        <v/>
      </c>
      <c r="AJ198" s="17">
        <f>IF(A198="","",IF(OR(AND(UPPER(TRIM(B198))="SWALE",UPPER(TRIM(AI198))="PIPE"),AND(UPPER(TRIM(B198))="TRENCH",UPPER(TRIM(AI198))="PIPE")),Inputs!$B$55,0))</f>
        <v/>
      </c>
      <c r="AK198" s="17">
        <f>IF(A198="","",IF(OR(AND(UPPER(TRIM(B198))="SWALE",UPPER(TRIM(AI198))="PIPE"),AND(UPPER(TRIM(B198))="TRENCH",UPPER(TRIM(AI198))="PIPE")),Inputs!$B$56,Inputs!$B$54))</f>
        <v/>
      </c>
      <c r="AL198" s="4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7">
        <f>IF(A199="","",IF(E199="","",IFERROR(INDEX($B$4:$B$204,MATCH(E199,$A$4:$A$204,0)),"")))</f>
        <v/>
      </c>
      <c r="AJ199" s="17">
        <f>IF(A199="","",IF(OR(AND(UPPER(TRIM(B199))="SWALE",UPPER(TRIM(AI199))="PIPE"),AND(UPPER(TRIM(B199))="TRENCH",UPPER(TRIM(AI199))="PIPE")),Inputs!$B$55,0))</f>
        <v/>
      </c>
      <c r="AK199" s="17">
        <f>IF(A199="","",IF(OR(AND(UPPER(TRIM(B199))="SWALE",UPPER(TRIM(AI199))="PIPE"),AND(UPPER(TRIM(B199))="TRENCH",UPPER(TRIM(AI199))="PIPE")),Inputs!$B$56,Inputs!$B$54))</f>
        <v/>
      </c>
      <c r="AL199" s="4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7">
        <f>IF(A200="","",IF(E200="","",IFERROR(INDEX($B$4:$B$204,MATCH(E200,$A$4:$A$204,0)),"")))</f>
        <v/>
      </c>
      <c r="AJ200" s="17">
        <f>IF(A200="","",IF(OR(AND(UPPER(TRIM(B200))="SWALE",UPPER(TRIM(AI200))="PIPE"),AND(UPPER(TRIM(B200))="TRENCH",UPPER(TRIM(AI200))="PIPE")),Inputs!$B$55,0))</f>
        <v/>
      </c>
      <c r="AK200" s="17">
        <f>IF(A200="","",IF(OR(AND(UPPER(TRIM(B200))="SWALE",UPPER(TRIM(AI200))="PIPE"),AND(UPPER(TRIM(B200))="TRENCH",UPPER(TRIM(AI200))="PIPE")),Inputs!$B$56,Inputs!$B$54))</f>
        <v/>
      </c>
      <c r="AL200" s="4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7">
        <f>IF(A201="","",IF(E201="","",IFERROR(INDEX($B$4:$B$204,MATCH(E201,$A$4:$A$204,0)),"")))</f>
        <v/>
      </c>
      <c r="AJ201" s="17">
        <f>IF(A201="","",IF(OR(AND(UPPER(TRIM(B201))="SWALE",UPPER(TRIM(AI201))="PIPE"),AND(UPPER(TRIM(B201))="TRENCH",UPPER(TRIM(AI201))="PIPE")),Inputs!$B$55,0))</f>
        <v/>
      </c>
      <c r="AK201" s="17">
        <f>IF(A201="","",IF(OR(AND(UPPER(TRIM(B201))="SWALE",UPPER(TRIM(AI201))="PIPE"),AND(UPPER(TRIM(B201))="TRENCH",UPPER(TRIM(AI201))="PIPE")),Inputs!$B$56,Inputs!$B$54))</f>
        <v/>
      </c>
      <c r="AL201" s="4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7">
        <f>IF(A202="","",IF(E202="","",IFERROR(INDEX($B$4:$B$204,MATCH(E202,$A$4:$A$204,0)),"")))</f>
        <v/>
      </c>
      <c r="AJ202" s="17">
        <f>IF(A202="","",IF(OR(AND(UPPER(TRIM(B202))="SWALE",UPPER(TRIM(AI202))="PIPE"),AND(UPPER(TRIM(B202))="TRENCH",UPPER(TRIM(AI202))="PIPE")),Inputs!$B$55,0))</f>
        <v/>
      </c>
      <c r="AK202" s="17">
        <f>IF(A202="","",IF(OR(AND(UPPER(TRIM(B202))="SWALE",UPPER(TRIM(AI202))="PIPE"),AND(UPPER(TRIM(B202))="TRENCH",UPPER(TRIM(AI202))="PIPE")),Inputs!$B$56,Inputs!$B$54))</f>
        <v/>
      </c>
      <c r="AL202" s="4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7">
        <f>IF(A203="","",IF(E203="","",IFERROR(INDEX($B$4:$B$204,MATCH(E203,$A$4:$A$204,0)),"")))</f>
        <v/>
      </c>
      <c r="AJ203" s="17">
        <f>IF(A203="","",IF(OR(AND(UPPER(TRIM(B203))="SWALE",UPPER(TRIM(AI203))="PIPE"),AND(UPPER(TRIM(B203))="TRENCH",UPPER(TRIM(AI203))="PIPE")),Inputs!$B$55,0))</f>
        <v/>
      </c>
      <c r="AK203" s="17">
        <f>IF(A203="","",IF(OR(AND(UPPER(TRIM(B203))="SWALE",UPPER(TRIM(AI203))="PIPE"),AND(UPPER(TRIM(B203))="TRENCH",UPPER(TRIM(AI203))="PIPE")),Inputs!$B$56,Inputs!$B$54))</f>
        <v/>
      </c>
      <c r="AL203" s="4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7">
        <f>IF(A204="","",IF(E204="","",IFERROR(INDEX($B$4:$B$204,MATCH(E204,$A$4:$A$204,0)),"")))</f>
        <v/>
      </c>
      <c r="AJ204" s="17">
        <f>IF(A204="","",IF(OR(AND(UPPER(TRIM(B204))="SWALE",UPPER(TRIM(AI204))="PIPE"),AND(UPPER(TRIM(B204))="TRENCH",UPPER(TRIM(AI204))="PIPE")),Inputs!$B$55,0))</f>
        <v/>
      </c>
      <c r="AK204" s="17">
        <f>IF(A204="","",IF(OR(AND(UPPER(TRIM(B204))="SWALE",UPPER(TRIM(AI204))="PIPE"),AND(UPPER(TRIM(B204))="TRENCH",UPPER(TRIM(AI204))="PIPE")),Inputs!$B$56,Inputs!$B$54))</f>
        <v/>
      </c>
      <c r="AL204" s="4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conditionalFormatting sqref="AL4:AL204">
    <cfRule type="expression" priority="6" dxfId="3">
      <formula>=$AL4="CHECK"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inlineStr">
        <is>
          <t>J-BASSIN-OUEST</t>
        </is>
      </c>
      <c r="B17" s="4" t="inlineStr">
        <is>
          <t>MH</t>
        </is>
      </c>
      <c r="C17" s="7" t="n"/>
      <c r="D17" s="7" t="n"/>
      <c r="E17" s="8">
        <f>IF(OR(C17="",D17=""),"",MAX(0,C17-D17))</f>
        <v/>
      </c>
      <c r="F17" s="7" t="inlineStr">
        <is>
          <t>CIRC</t>
        </is>
      </c>
      <c r="G17" s="7" t="n">
        <v>1.2</v>
      </c>
      <c r="H17" s="7" t="inlineStr"/>
      <c r="I17" s="8">
        <f>IF(A17="","",IF(UPPER(TRIM(F17))="CIRC",PI()*(G17/2)^2*E17,IF(UPPER(TRIM(F17))="RECT",G17*H17*E17,"")))</f>
        <v/>
      </c>
      <c r="J17" s="7">
        <f>Inputs!$B$23</f>
        <v/>
      </c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Deux entrees au bassin: EST (J-BASSIN-IN) et OUEST (J-BASSIN-OUEST) vers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West connector to basin inlet (m)</t>
        </is>
      </c>
      <c r="B14" s="9">
        <f>Inputs!B53</f>
        <v/>
      </c>
      <c r="C14" s="4" t="inlineStr">
        <is>
          <t>Measured corner link J-OUEST-AVAL -&gt; J-BASSIN-OUEST</t>
        </is>
      </c>
      <c r="D14" s="4" t="n"/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Retention basin corridor width x length (m)</t>
        </is>
      </c>
      <c r="B15" s="9">
        <f>Inputs!B34&amp;" x "&amp;Inputs!B35</f>
        <v/>
      </c>
      <c r="C15" s="4" t="inlineStr">
        <is>
          <t>Storage geometry at node BASSIN-RET (not an E04 reach).</t>
        </is>
      </c>
      <c r="D15" s="4" t="n"/>
      <c r="E15" s="4" t="inlineStr"/>
      <c r="F15" s="18" t="inlineStr">
        <is>
          <t>BASSIN-RET (node)</t>
        </is>
      </c>
      <c r="G15" s="13" t="inlineStr"/>
      <c r="H15" s="4" t="inlineStr">
        <is>
          <t>N/A</t>
        </is>
      </c>
    </row>
    <row r="16">
      <c r="A16" s="4" t="inlineStr">
        <is>
          <t>East inlet pipe length to basin (m)</t>
        </is>
      </c>
      <c r="B16" s="9">
        <f>IFERROR(INDEX(Elements_hybrides!$F$4:$F$204,MATCH("E07",Elements_hybrides!$A$4:$A$204,0)),"")</f>
        <v/>
      </c>
      <c r="C16" s="4" t="inlineStr">
        <is>
          <t>J-BASSIN-IN -&gt; BASSIN-RET</t>
        </is>
      </c>
      <c r="D16" s="4" t="n"/>
      <c r="E16" s="4" t="inlineStr">
        <is>
          <t>E07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A17" s="4" t="inlineStr">
        <is>
          <t>West inlet pipe length to basin (m)</t>
        </is>
      </c>
      <c r="B17" s="4">
        <f>IFERROR(INDEX(Elements_hybrides!$F$4:$F$204,MATCH("E08",Elements_hybrides!$A$4:$A$204,0)),"")</f>
        <v/>
      </c>
      <c r="C17" s="4" t="inlineStr">
        <is>
          <t>J-BASSIN-OUEST -&gt; BASSIN-RET</t>
        </is>
      </c>
      <c r="D17" s="4" t="n"/>
      <c r="E17" s="4" t="inlineStr">
        <is>
          <t>E08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2026-07-05T22:28:35Z</dcterms:modified>
</cp:coreProperties>
</file>