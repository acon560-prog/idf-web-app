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&lt;1]0.000;0.00"/>
    <numFmt numFmtId="165" formatCode="0.000"/>
    <numFmt numFmtId="166" formatCode="[&lt;1]0.0000;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1" pivotButton="0" quotePrefix="0" xfId="0"/>
    <xf numFmtId="0" fontId="2" fillId="0" borderId="1" pivotButton="0" quotePrefix="0" xfId="0"/>
    <xf numFmtId="166" fontId="0" fillId="5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2) Bande sud (2.0 m): conduite/collecte vers volume de retention dans le corridor contraint.</t>
        </is>
      </c>
    </row>
    <row r="6">
      <c r="A6" t="inlineStr">
        <is>
          <t>3) Ouest: strategie revisee en conduites (pas de noues) vers E04 puis E08 et bassin.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  <row r="51">
      <c r="A51" t="inlineStr">
        <is>
          <t>Strategie ouest revisee: traverses pave-uni traitees en caniveaux de surface (E05B, E05D), pas en conduites enterrees.</t>
        </is>
      </c>
    </row>
    <row r="52">
      <c r="A52" t="inlineStr">
        <is>
          <t>Objectif: eviter cas pipe profond -&gt; noue aval plus haute, et garder un profil gravitaire lisible.</t>
        </is>
      </c>
    </row>
    <row r="53">
      <c r="A53" t="inlineStr">
        <is>
          <t>Changement concept: zone grise est (tresfond) drainee vers puisards et reseau interne mecanique jusqu'a sortie sud pres bassin (E09).</t>
        </is>
      </c>
    </row>
    <row r="54">
      <c r="A54" t="inlineStr">
        <is>
          <t>Resume surfaces disponibles dans Decision_Summary (A34:B37) et Resume_checks (B10:B12).</t>
        </is>
      </c>
    </row>
    <row r="55">
      <c r="A55" t="inlineStr">
        <is>
          <t>Mise a jour: bande est verte scindee -&gt; 164.7 m2 vers E01/E02 + 40.8 m2 (Z13) vers puisard PEHD central/reseau mecanique (E09).</t>
        </is>
      </c>
    </row>
    <row r="56">
      <c r="A56" t="inlineStr">
        <is>
          <t>Affichage decimal harmonise: format [&lt;1]0.0000;0.000 applique aux champs calcules Tc/temps/Q.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7423.67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33.5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1.148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7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  <row r="58">
      <c r="A58" s="3" t="inlineStr">
        <is>
          <t>C_pavage</t>
        </is>
      </c>
      <c r="B58" s="5" t="n">
        <v>0.85</v>
      </c>
      <c r="C58" s="4" t="inlineStr">
        <is>
          <t>-</t>
        </is>
      </c>
      <c r="D58" s="4" t="inlineStr">
        <is>
          <t>Coefficient ruissellement pour surfaces pavees (pave-uni/pavage).</t>
        </is>
      </c>
    </row>
    <row r="59">
      <c r="A59" s="3" t="inlineStr">
        <is>
          <t>Tc_travel_velocity_mps</t>
        </is>
      </c>
      <c r="B59" s="5" t="n">
        <v>1</v>
      </c>
      <c r="C59" s="4" t="inlineStr">
        <is>
          <t>m/s</t>
        </is>
      </c>
      <c r="D59" s="4" t="inlineStr">
        <is>
          <t>Vitesse adoptee pour calcul temps de transit dans element route (evite references circulaires).</t>
        </is>
      </c>
    </row>
    <row r="60">
      <c r="A60" s="3" t="inlineStr">
        <is>
          <t>Mech_internal_outlet_length_m</t>
        </is>
      </c>
      <c r="B60" s="5" t="n">
        <v>12</v>
      </c>
      <c r="C60" s="4" t="inlineStr">
        <is>
          <t>m</t>
        </is>
      </c>
      <c r="D60" s="4" t="inlineStr">
        <is>
          <t>Longueur approximative conduite interne mecanique (puisards est -&gt; sortie sud pres bassin).</t>
        </is>
      </c>
    </row>
    <row r="61">
      <c r="A61" s="3" t="inlineStr">
        <is>
          <t>Mech_internal_outlet_diameter_mm</t>
        </is>
      </c>
      <c r="B61" s="5" t="n">
        <v>300</v>
      </c>
      <c r="C61" s="4" t="inlineStr">
        <is>
          <t>mm</t>
        </is>
      </c>
      <c r="D61" s="4" t="inlineStr">
        <is>
          <t>Diametre indicatif conduite mecanique interne (a confirmer par equipe mecanique).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  <col width="18" customWidth="1" min="12" max="12"/>
    <col width="24" customWidth="1" min="13" max="13"/>
    <col width="17" customWidth="1" min="14" max="14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  <c r="L3" s="6" t="inlineStr">
        <is>
          <t>Tc_base_override_min</t>
        </is>
      </c>
      <c r="M3" s="6" t="inlineStr">
        <is>
          <t>Travel_time_routed_element_min</t>
        </is>
      </c>
      <c r="N3" s="6" t="inlineStr">
        <is>
          <t>Tc_auto_used_min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20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20">
        <f>IF(A4="","",N4)</f>
        <v/>
      </c>
      <c r="H4" s="20">
        <f>IF(A4="","",Inputs!$B$3/((IF(G4="",Inputs!$B$14,G4)+Inputs!$B$4)^Inputs!$B$5))</f>
        <v/>
      </c>
      <c r="I4" s="20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  <c r="L4" s="5" t="n">
        <v>12</v>
      </c>
      <c r="M4" s="20">
        <f>IF(A4="","",IF(OR(J4="",Inputs!$B$59=""),0,IFERROR(INDEX(Elements_hybrides!$F$4:$F$204,MATCH(J4,Elements_hybrides!$A$4:$A$204,0))/(Inputs!$B$59*60),0)))</f>
        <v/>
      </c>
      <c r="N4" s="20">
        <f>IF(A4="","",IF(L4="",Inputs!$B$14,L4)+M4)</f>
        <v/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20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20">
        <f>IF(A5="","",N5)</f>
        <v/>
      </c>
      <c r="H5" s="20">
        <f>IF(A5="","",Inputs!$B$3/((IF(G5="",Inputs!$B$14,G5)+Inputs!$B$4)^Inputs!$B$5))</f>
        <v/>
      </c>
      <c r="I5" s="20">
        <f>IF(A5="","",2.78E-7*F5*D5*H5)</f>
        <v/>
      </c>
      <c r="J5" s="4" t="inlineStr">
        <is>
          <t>E09</t>
        </is>
      </c>
      <c r="K5" s="4" t="inlineStr">
        <is>
          <t>Puisards zone grise est -&gt; reseau interne mecanique -&gt; sortie sud pres bassin (pas vers bande est).</t>
        </is>
      </c>
      <c r="L5" s="5" t="n">
        <v>8</v>
      </c>
      <c r="M5" s="20">
        <f>IF(A5="","",IF(OR(J5="",Inputs!$B$59=""),0,IFERROR(INDEX(Elements_hybrides!$F$4:$F$204,MATCH(J5,Elements_hybrides!$A$4:$A$204,0))/(Inputs!$B$59*60),0)))</f>
        <v/>
      </c>
      <c r="N5" s="20">
        <f>IF(A5="","",IF(L5="",Inputs!$B$14,L5)+M5)</f>
        <v/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164.7</v>
      </c>
      <c r="E6" s="7" t="inlineStr"/>
      <c r="F6" s="20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20">
        <f>IF(A6="","",N6)</f>
        <v/>
      </c>
      <c r="H6" s="20">
        <f>IF(A6="","",Inputs!$B$3/((IF(G6="",Inputs!$B$14,G6)+Inputs!$B$4)^Inputs!$B$5))</f>
        <v/>
      </c>
      <c r="I6" s="20">
        <f>IF(A6="","",2.78E-7*F6*D6*H6)</f>
        <v/>
      </c>
      <c r="J6" s="4" t="inlineStr">
        <is>
          <t>E01</t>
        </is>
      </c>
      <c r="K6" s="4" t="inlineStr">
        <is>
          <t>Bande est verte reduite: 205.5 - 40.8 = 164.7 m2 (partie haute deviee vers puisard PEHD central).</t>
        </is>
      </c>
      <c r="L6" s="5" t="n">
        <v>10</v>
      </c>
      <c r="M6" s="20">
        <f>IF(A6="","",IF(OR(J6="",Inputs!$B$59=""),0,IFERROR(INDEX(Elements_hybrides!$F$4:$F$204,MATCH(J6,Elements_hybrides!$A$4:$A$204,0))/(Inputs!$B$59*60),0)))</f>
        <v/>
      </c>
      <c r="N6" s="20">
        <f>IF(A6="","",IF(L6="",Inputs!$B$14,L6)+M6)</f>
        <v/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20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20">
        <f>IF(A7="","",N7)</f>
        <v/>
      </c>
      <c r="H7" s="20">
        <f>IF(A7="","",Inputs!$B$3/((IF(G7="",Inputs!$B$14,G7)+Inputs!$B$4)^Inputs!$B$5))</f>
        <v/>
      </c>
      <c r="I7" s="20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  <c r="L7" s="5" t="n">
        <v>10</v>
      </c>
      <c r="M7" s="20">
        <f>IF(A7="","",IF(OR(J7="",Inputs!$B$59=""),0,IFERROR(INDEX(Elements_hybrides!$F$4:$F$204,MATCH(J7,Elements_hybrides!$A$4:$A$204,0))/(Inputs!$B$59*60),0)))</f>
        <v/>
      </c>
      <c r="N7" s="20">
        <f>IF(A7="","",IF(L7="",Inputs!$B$14,L7)+M7)</f>
        <v/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PAVAGE</t>
        </is>
      </c>
      <c r="D8" s="7" t="n">
        <v>6.7</v>
      </c>
      <c r="E8" s="7" t="inlineStr"/>
      <c r="F8" s="20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20">
        <f>IF(A8="","",N8)</f>
        <v/>
      </c>
      <c r="H8" s="20">
        <f>IF(A8="","",Inputs!$B$3/((IF(G8="",Inputs!$B$14,G8)+Inputs!$B$4)^Inputs!$B$5))</f>
        <v/>
      </c>
      <c r="I8" s="20">
        <f>IF(A8="","",2.78E-7*F8*D8*H8)</f>
        <v/>
      </c>
      <c r="J8" s="4" t="inlineStr">
        <is>
          <t>E05B</t>
        </is>
      </c>
      <c r="K8" s="4" t="inlineStr">
        <is>
          <t>Surface pavage (pas tresfond).</t>
        </is>
      </c>
      <c r="L8" s="5" t="n">
        <v>10</v>
      </c>
      <c r="M8" s="20">
        <f>IF(A8="","",IF(OR(J8="",Inputs!$B$59=""),0,IFERROR(INDEX(Elements_hybrides!$F$4:$F$204,MATCH(J8,Elements_hybrides!$A$4:$A$204,0))/(Inputs!$B$59*60),0)))</f>
        <v/>
      </c>
      <c r="N8" s="20">
        <f>IF(A8="","",IF(L8="",Inputs!$B$14,L8)+M8)</f>
        <v/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20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20">
        <f>IF(A9="","",N9)</f>
        <v/>
      </c>
      <c r="H9" s="20">
        <f>IF(A9="","",Inputs!$B$3/((IF(G9="",Inputs!$B$14,G9)+Inputs!$B$4)^Inputs!$B$5))</f>
        <v/>
      </c>
      <c r="I9" s="20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  <c r="L9" s="5" t="n">
        <v>10</v>
      </c>
      <c r="M9" s="20">
        <f>IF(A9="","",IF(OR(J9="",Inputs!$B$59=""),0,IFERROR(INDEX(Elements_hybrides!$F$4:$F$204,MATCH(J9,Elements_hybrides!$A$4:$A$204,0))/(Inputs!$B$59*60),0)))</f>
        <v/>
      </c>
      <c r="N9" s="20">
        <f>IF(A9="","",IF(L9="",Inputs!$B$14,L9)+M9)</f>
        <v/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PAVAGE</t>
        </is>
      </c>
      <c r="D10" s="7" t="n">
        <v>37.5</v>
      </c>
      <c r="E10" s="7" t="inlineStr"/>
      <c r="F10" s="20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20">
        <f>IF(A10="","",N10)</f>
        <v/>
      </c>
      <c r="H10" s="20">
        <f>IF(A10="","",Inputs!$B$3/((IF(G10="",Inputs!$B$14,G10)+Inputs!$B$4)^Inputs!$B$5))</f>
        <v/>
      </c>
      <c r="I10" s="20">
        <f>IF(A10="","",2.78E-7*F10*D10*H10)</f>
        <v/>
      </c>
      <c r="J10" s="4" t="inlineStr">
        <is>
          <t>E05D</t>
        </is>
      </c>
      <c r="K10" s="4" t="inlineStr">
        <is>
          <t>Surface pavage principal (pave-uni), entre Z05 et Z06.</t>
        </is>
      </c>
      <c r="L10" s="5" t="n">
        <v>9</v>
      </c>
      <c r="M10" s="20">
        <f>IF(A10="","",IF(OR(J10="",Inputs!$B$59=""),0,IFERROR(INDEX(Elements_hybrides!$F$4:$F$204,MATCH(J10,Elements_hybrides!$A$4:$A$204,0))/(Inputs!$B$59*60),0)))</f>
        <v/>
      </c>
      <c r="N10" s="20">
        <f>IF(A10="","",IF(L10="",Inputs!$B$14,L10)+M10)</f>
        <v/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20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20">
        <f>IF(A11="","",N11)</f>
        <v/>
      </c>
      <c r="H11" s="20">
        <f>IF(A11="","",Inputs!$B$3/((IF(G11="",Inputs!$B$14,G11)+Inputs!$B$4)^Inputs!$B$5))</f>
        <v/>
      </c>
      <c r="I11" s="20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  <c r="L11" s="5" t="n">
        <v>10</v>
      </c>
      <c r="M11" s="20">
        <f>IF(A11="","",IF(OR(J11="",Inputs!$B$59=""),0,IFERROR(INDEX(Elements_hybrides!$F$4:$F$204,MATCH(J11,Elements_hybrides!$A$4:$A$204,0))/(Inputs!$B$59*60),0)))</f>
        <v/>
      </c>
      <c r="N11" s="20">
        <f>IF(A11="","",IF(L11="",Inputs!$B$14,L11)+M11)</f>
        <v/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20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20">
        <f>IF(A12="","",N12)</f>
        <v/>
      </c>
      <c r="H12" s="20">
        <f>IF(A12="","",Inputs!$B$3/((IF(G12="",Inputs!$B$14,G12)+Inputs!$B$4)^Inputs!$B$5))</f>
        <v/>
      </c>
      <c r="I12" s="20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  <c r="L12" s="5" t="n">
        <v>10</v>
      </c>
      <c r="M12" s="20">
        <f>IF(A12="","",IF(OR(J12="",Inputs!$B$59=""),0,IFERROR(INDEX(Elements_hybrides!$F$4:$F$204,MATCH(J12,Elements_hybrides!$A$4:$A$204,0))/(Inputs!$B$59*60),0)))</f>
        <v/>
      </c>
      <c r="N12" s="20">
        <f>IF(A12="","",IF(L12="",Inputs!$B$14,L12)+M12)</f>
        <v/>
      </c>
    </row>
    <row r="13">
      <c r="A13" s="4" t="inlineStr">
        <is>
          <t>Z10</t>
        </is>
      </c>
      <c r="B13" s="4" t="inlineStr">
        <is>
          <t>Sud gris local (pavage)</t>
        </is>
      </c>
      <c r="C13" s="4" t="inlineStr">
        <is>
          <t>PAVAGE</t>
        </is>
      </c>
      <c r="D13" s="7" t="n">
        <v>44.3</v>
      </c>
      <c r="E13" s="7" t="inlineStr"/>
      <c r="F13" s="20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20">
        <f>IF(A13="","",N13)</f>
        <v/>
      </c>
      <c r="H13" s="20">
        <f>IF(A13="","",Inputs!$B$3/((IF(G13="",Inputs!$B$14,G13)+Inputs!$B$4)^Inputs!$B$5))</f>
        <v/>
      </c>
      <c r="I13" s="20">
        <f>IF(A13="","",2.78E-7*F13*D13*H13)</f>
        <v/>
      </c>
      <c r="J13" s="4" t="inlineStr">
        <is>
          <t>E03</t>
        </is>
      </c>
      <c r="K13" s="4" t="inlineStr">
        <is>
          <t>Surface pavage locale (pas tresfond), routage vers entree EST.</t>
        </is>
      </c>
      <c r="L13" s="5" t="n">
        <v>8</v>
      </c>
      <c r="M13" s="20">
        <f>IF(A13="","",IF(OR(J13="",Inputs!$B$59=""),0,IFERROR(INDEX(Elements_hybrides!$F$4:$F$204,MATCH(J13,Elements_hybrides!$A$4:$A$204,0))/(Inputs!$B$59*60),0)))</f>
        <v/>
      </c>
      <c r="N13" s="20">
        <f>IF(A13="","",IF(L13="",Inputs!$B$14,L13)+M13)</f>
        <v/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20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20">
        <f>IF(A14="","",N14)</f>
        <v/>
      </c>
      <c r="H14" s="20">
        <f>IF(A14="","",Inputs!$B$3/((IF(G14="",Inputs!$B$14,G14)+Inputs!$B$4)^Inputs!$B$5))</f>
        <v/>
      </c>
      <c r="I14" s="20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  <c r="L14" s="5" t="n">
        <v>10</v>
      </c>
      <c r="M14" s="20">
        <f>IF(A14="","",IF(OR(J14="",Inputs!$B$59=""),0,IFERROR(INDEX(Elements_hybrides!$F$4:$F$204,MATCH(J14,Elements_hybrides!$A$4:$A$204,0))/(Inputs!$B$59*60),0)))</f>
        <v/>
      </c>
      <c r="N14" s="20">
        <f>IF(A14="","",IF(L14="",Inputs!$B$14,L14)+M14)</f>
        <v/>
      </c>
    </row>
    <row r="15">
      <c r="A15" s="4" t="inlineStr">
        <is>
          <t>Z12</t>
        </is>
      </c>
      <c r="B15" s="4" t="inlineStr">
        <is>
          <t>Sud est gris petit (pavage)</t>
        </is>
      </c>
      <c r="C15" s="4" t="inlineStr">
        <is>
          <t>PAVAGE</t>
        </is>
      </c>
      <c r="D15" s="7" t="n">
        <v>5.8</v>
      </c>
      <c r="E15" s="7" t="inlineStr"/>
      <c r="F15" s="20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20">
        <f>IF(A15="","",N15)</f>
        <v/>
      </c>
      <c r="H15" s="20">
        <f>IF(A15="","",Inputs!$B$3/((IF(G15="",Inputs!$B$14,G15)+Inputs!$B$4)^Inputs!$B$5))</f>
        <v/>
      </c>
      <c r="I15" s="20">
        <f>IF(A15="","",2.78E-7*F15*D15*H15)</f>
        <v/>
      </c>
      <c r="J15" s="4" t="inlineStr">
        <is>
          <t>E03</t>
        </is>
      </c>
      <c r="K15" s="4" t="inlineStr">
        <is>
          <t>Surface pavage petite zone sud-est (pas tresfond).</t>
        </is>
      </c>
      <c r="L15" s="5" t="n">
        <v>8</v>
      </c>
      <c r="M15" s="20">
        <f>IF(A15="","",IF(OR(J15="",Inputs!$B$59=""),0,IFERROR(INDEX(Elements_hybrides!$F$4:$F$204,MATCH(J15,Elements_hybrides!$A$4:$A$204,0))/(Inputs!$B$59*60),0)))</f>
        <v/>
      </c>
      <c r="N15" s="20">
        <f>IF(A15="","",IF(L15="",Inputs!$B$14,L15)+M15)</f>
        <v/>
      </c>
    </row>
    <row r="16">
      <c r="A16" s="4" t="inlineStr">
        <is>
          <t>Z13</t>
        </is>
      </c>
      <c r="B16" s="4" t="inlineStr">
        <is>
          <t>Petit strip vert nord (vers puisard PEHD central)</t>
        </is>
      </c>
      <c r="C16" s="4" t="inlineStr">
        <is>
          <t>GRASS</t>
        </is>
      </c>
      <c r="D16" s="7" t="n">
        <v>40.8</v>
      </c>
      <c r="E16" s="7" t="inlineStr"/>
      <c r="F16" s="20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20">
        <f>IF(A16="","",N16)</f>
        <v/>
      </c>
      <c r="H16" s="20">
        <f>IF(A16="","",Inputs!$B$3/((IF(G16="",Inputs!$B$14,G16)+Inputs!$B$4)^Inputs!$B$5))</f>
        <v/>
      </c>
      <c r="I16" s="20">
        <f>IF(A16="","",2.78E-7*F16*D16*H16)</f>
        <v/>
      </c>
      <c r="J16" s="4" t="inlineStr">
        <is>
          <t>E09</t>
        </is>
      </c>
      <c r="K16" s="4" t="inlineStr">
        <is>
          <t>Devie vers puisard PEHD central puis reseau interne mecanique vers bassin (pas via bande est).</t>
        </is>
      </c>
      <c r="L16" s="5" t="n"/>
      <c r="M16" s="20">
        <f>IF(A16="","",IF(OR(J16="",Inputs!$B$59=""),0,IFERROR(INDEX(Elements_hybrides!$F$4:$F$204,MATCH(J16,Elements_hybrides!$A$4:$A$204,0))/(Inputs!$B$59*60),0)))</f>
        <v/>
      </c>
      <c r="N16" s="20">
        <f>IF(A16="","",IF(L16="",Inputs!$B$14,L16)+M16)</f>
        <v/>
      </c>
    </row>
    <row r="17">
      <c r="A17" s="4" t="n"/>
      <c r="B17" s="4" t="n"/>
      <c r="C17" s="4" t="n"/>
      <c r="D17" s="7" t="n"/>
      <c r="E17" s="7" t="n"/>
      <c r="F17" s="20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20">
        <f>IF(A17="","",N17)</f>
        <v/>
      </c>
      <c r="H17" s="20">
        <f>IF(A17="","",Inputs!$B$3/((IF(G17="",Inputs!$B$14,G17)+Inputs!$B$4)^Inputs!$B$5))</f>
        <v/>
      </c>
      <c r="I17" s="20">
        <f>IF(A17="","",2.78E-7*F17*D17*H17)</f>
        <v/>
      </c>
      <c r="J17" s="4" t="n"/>
      <c r="K17" s="4" t="n"/>
      <c r="L17" s="5" t="n"/>
      <c r="M17" s="20">
        <f>IF(A17="","",IF(OR(J17="",Inputs!$B$59=""),0,IFERROR(INDEX(Elements_hybrides!$F$4:$F$204,MATCH(J17,Elements_hybrides!$A$4:$A$204,0))/(Inputs!$B$59*60),0)))</f>
        <v/>
      </c>
      <c r="N17" s="20">
        <f>IF(A17="","",IF(L17="",Inputs!$B$14,L17)+M17)</f>
        <v/>
      </c>
    </row>
    <row r="18">
      <c r="A18" s="4" t="n"/>
      <c r="B18" s="4" t="n"/>
      <c r="C18" s="4" t="n"/>
      <c r="D18" s="7" t="n"/>
      <c r="E18" s="7" t="n"/>
      <c r="F18" s="20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20">
        <f>IF(A18="","",N18)</f>
        <v/>
      </c>
      <c r="H18" s="20">
        <f>IF(A18="","",Inputs!$B$3/((IF(G18="",Inputs!$B$14,G18)+Inputs!$B$4)^Inputs!$B$5))</f>
        <v/>
      </c>
      <c r="I18" s="20">
        <f>IF(A18="","",2.78E-7*F18*D18*H18)</f>
        <v/>
      </c>
      <c r="J18" s="4" t="n"/>
      <c r="K18" s="4" t="n"/>
      <c r="L18" s="5" t="n"/>
      <c r="M18" s="20">
        <f>IF(A18="","",IF(OR(J18="",Inputs!$B$59=""),0,IFERROR(INDEX(Elements_hybrides!$F$4:$F$204,MATCH(J18,Elements_hybrides!$A$4:$A$204,0))/(Inputs!$B$59*60),0)))</f>
        <v/>
      </c>
      <c r="N18" s="20">
        <f>IF(A18="","",IF(L18="",Inputs!$B$14,L18)+M18)</f>
        <v/>
      </c>
    </row>
    <row r="19">
      <c r="A19" s="4" t="n"/>
      <c r="B19" s="4" t="n"/>
      <c r="C19" s="4" t="n"/>
      <c r="D19" s="7" t="n"/>
      <c r="E19" s="7" t="n"/>
      <c r="F19" s="20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20">
        <f>IF(A19="","",N19)</f>
        <v/>
      </c>
      <c r="H19" s="20">
        <f>IF(A19="","",Inputs!$B$3/((IF(G19="",Inputs!$B$14,G19)+Inputs!$B$4)^Inputs!$B$5))</f>
        <v/>
      </c>
      <c r="I19" s="20">
        <f>IF(A19="","",2.78E-7*F19*D19*H19)</f>
        <v/>
      </c>
      <c r="J19" s="4" t="n"/>
      <c r="K19" s="4" t="n"/>
      <c r="L19" s="5" t="n"/>
      <c r="M19" s="20">
        <f>IF(A19="","",IF(OR(J19="",Inputs!$B$59=""),0,IFERROR(INDEX(Elements_hybrides!$F$4:$F$204,MATCH(J19,Elements_hybrides!$A$4:$A$204,0))/(Inputs!$B$59*60),0)))</f>
        <v/>
      </c>
      <c r="N19" s="20">
        <f>IF(A19="","",IF(L19="",Inputs!$B$14,L19)+M19)</f>
        <v/>
      </c>
    </row>
    <row r="20">
      <c r="A20" s="4" t="n"/>
      <c r="B20" s="4" t="n"/>
      <c r="C20" s="4" t="n"/>
      <c r="D20" s="7" t="n"/>
      <c r="E20" s="7" t="n"/>
      <c r="F20" s="20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20">
        <f>IF(A20="","",N20)</f>
        <v/>
      </c>
      <c r="H20" s="20">
        <f>IF(A20="","",Inputs!$B$3/((IF(G20="",Inputs!$B$14,G20)+Inputs!$B$4)^Inputs!$B$5))</f>
        <v/>
      </c>
      <c r="I20" s="20">
        <f>IF(A20="","",2.78E-7*F20*D20*H20)</f>
        <v/>
      </c>
      <c r="J20" s="4" t="n"/>
      <c r="K20" s="4" t="n"/>
      <c r="L20" s="5" t="n"/>
      <c r="M20" s="20">
        <f>IF(A20="","",IF(OR(J20="",Inputs!$B$59=""),0,IFERROR(INDEX(Elements_hybrides!$F$4:$F$204,MATCH(J20,Elements_hybrides!$A$4:$A$204,0))/(Inputs!$B$59*60),0)))</f>
        <v/>
      </c>
      <c r="N20" s="20">
        <f>IF(A20="","",IF(L20="",Inputs!$B$14,L20)+M20)</f>
        <v/>
      </c>
    </row>
    <row r="21">
      <c r="A21" s="4" t="n"/>
      <c r="B21" s="4" t="n"/>
      <c r="C21" s="4" t="n"/>
      <c r="D21" s="7" t="n"/>
      <c r="E21" s="7" t="n"/>
      <c r="F21" s="20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20">
        <f>IF(A21="","",N21)</f>
        <v/>
      </c>
      <c r="H21" s="20">
        <f>IF(A21="","",Inputs!$B$3/((IF(G21="",Inputs!$B$14,G21)+Inputs!$B$4)^Inputs!$B$5))</f>
        <v/>
      </c>
      <c r="I21" s="20">
        <f>IF(A21="","",2.78E-7*F21*D21*H21)</f>
        <v/>
      </c>
      <c r="J21" s="4" t="n"/>
      <c r="K21" s="4" t="n"/>
      <c r="L21" s="5" t="n"/>
      <c r="M21" s="20">
        <f>IF(A21="","",IF(OR(J21="",Inputs!$B$59=""),0,IFERROR(INDEX(Elements_hybrides!$F$4:$F$204,MATCH(J21,Elements_hybrides!$A$4:$A$204,0))/(Inputs!$B$59*60),0)))</f>
        <v/>
      </c>
      <c r="N21" s="20">
        <f>IF(A21="","",IF(L21="",Inputs!$B$14,L21)+M21)</f>
        <v/>
      </c>
    </row>
    <row r="22">
      <c r="A22" s="4" t="n"/>
      <c r="B22" s="4" t="n"/>
      <c r="C22" s="4" t="n"/>
      <c r="D22" s="7" t="n"/>
      <c r="E22" s="7" t="n"/>
      <c r="F22" s="20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20">
        <f>IF(A22="","",N22)</f>
        <v/>
      </c>
      <c r="H22" s="20">
        <f>IF(A22="","",Inputs!$B$3/((IF(G22="",Inputs!$B$14,G22)+Inputs!$B$4)^Inputs!$B$5))</f>
        <v/>
      </c>
      <c r="I22" s="20">
        <f>IF(A22="","",2.78E-7*F22*D22*H22)</f>
        <v/>
      </c>
      <c r="J22" s="4" t="n"/>
      <c r="K22" s="4" t="n"/>
      <c r="L22" s="5" t="n"/>
      <c r="M22" s="20">
        <f>IF(A22="","",IF(OR(J22="",Inputs!$B$59=""),0,IFERROR(INDEX(Elements_hybrides!$F$4:$F$204,MATCH(J22,Elements_hybrides!$A$4:$A$204,0))/(Inputs!$B$59*60),0)))</f>
        <v/>
      </c>
      <c r="N22" s="20">
        <f>IF(A22="","",IF(L22="",Inputs!$B$14,L22)+M22)</f>
        <v/>
      </c>
    </row>
    <row r="23">
      <c r="A23" s="4" t="n"/>
      <c r="B23" s="4" t="n"/>
      <c r="C23" s="4" t="n"/>
      <c r="D23" s="7" t="n"/>
      <c r="E23" s="7" t="n"/>
      <c r="F23" s="20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20">
        <f>IF(A23="","",N23)</f>
        <v/>
      </c>
      <c r="H23" s="20">
        <f>IF(A23="","",Inputs!$B$3/((IF(G23="",Inputs!$B$14,G23)+Inputs!$B$4)^Inputs!$B$5))</f>
        <v/>
      </c>
      <c r="I23" s="20">
        <f>IF(A23="","",2.78E-7*F23*D23*H23)</f>
        <v/>
      </c>
      <c r="J23" s="4" t="n"/>
      <c r="K23" s="4" t="n"/>
      <c r="L23" s="5" t="n"/>
      <c r="M23" s="20">
        <f>IF(A23="","",IF(OR(J23="",Inputs!$B$59=""),0,IFERROR(INDEX(Elements_hybrides!$F$4:$F$204,MATCH(J23,Elements_hybrides!$A$4:$A$204,0))/(Inputs!$B$59*60),0)))</f>
        <v/>
      </c>
      <c r="N23" s="20">
        <f>IF(A23="","",IF(L23="",Inputs!$B$14,L23)+M23)</f>
        <v/>
      </c>
    </row>
    <row r="24">
      <c r="A24" s="4" t="n"/>
      <c r="B24" s="4" t="n"/>
      <c r="C24" s="4" t="n"/>
      <c r="D24" s="7" t="n"/>
      <c r="E24" s="7" t="n"/>
      <c r="F24" s="20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20">
        <f>IF(A24="","",N24)</f>
        <v/>
      </c>
      <c r="H24" s="20">
        <f>IF(A24="","",Inputs!$B$3/((IF(G24="",Inputs!$B$14,G24)+Inputs!$B$4)^Inputs!$B$5))</f>
        <v/>
      </c>
      <c r="I24" s="20">
        <f>IF(A24="","",2.78E-7*F24*D24*H24)</f>
        <v/>
      </c>
      <c r="J24" s="4" t="n"/>
      <c r="K24" s="4" t="n"/>
      <c r="L24" s="5" t="n"/>
      <c r="M24" s="20">
        <f>IF(A24="","",IF(OR(J24="",Inputs!$B$59=""),0,IFERROR(INDEX(Elements_hybrides!$F$4:$F$204,MATCH(J24,Elements_hybrides!$A$4:$A$204,0))/(Inputs!$B$59*60),0)))</f>
        <v/>
      </c>
      <c r="N24" s="20">
        <f>IF(A24="","",IF(L24="",Inputs!$B$14,L24)+M24)</f>
        <v/>
      </c>
    </row>
    <row r="25">
      <c r="A25" s="4" t="n"/>
      <c r="B25" s="4" t="n"/>
      <c r="C25" s="4" t="n"/>
      <c r="D25" s="7" t="n"/>
      <c r="E25" s="7" t="n"/>
      <c r="F25" s="20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20">
        <f>IF(A25="","",N25)</f>
        <v/>
      </c>
      <c r="H25" s="20">
        <f>IF(A25="","",Inputs!$B$3/((IF(G25="",Inputs!$B$14,G25)+Inputs!$B$4)^Inputs!$B$5))</f>
        <v/>
      </c>
      <c r="I25" s="20">
        <f>IF(A25="","",2.78E-7*F25*D25*H25)</f>
        <v/>
      </c>
      <c r="J25" s="4" t="n"/>
      <c r="K25" s="4" t="n"/>
      <c r="L25" s="5" t="n"/>
      <c r="M25" s="20">
        <f>IF(A25="","",IF(OR(J25="",Inputs!$B$59=""),0,IFERROR(INDEX(Elements_hybrides!$F$4:$F$204,MATCH(J25,Elements_hybrides!$A$4:$A$204,0))/(Inputs!$B$59*60),0)))</f>
        <v/>
      </c>
      <c r="N25" s="20">
        <f>IF(A25="","",IF(L25="",Inputs!$B$14,L25)+M25)</f>
        <v/>
      </c>
    </row>
    <row r="26">
      <c r="A26" s="4" t="n"/>
      <c r="B26" s="4" t="n"/>
      <c r="C26" s="4" t="n"/>
      <c r="D26" s="7" t="n"/>
      <c r="E26" s="7" t="n"/>
      <c r="F26" s="20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20">
        <f>IF(A26="","",N26)</f>
        <v/>
      </c>
      <c r="H26" s="20">
        <f>IF(A26="","",Inputs!$B$3/((IF(G26="",Inputs!$B$14,G26)+Inputs!$B$4)^Inputs!$B$5))</f>
        <v/>
      </c>
      <c r="I26" s="20">
        <f>IF(A26="","",2.78E-7*F26*D26*H26)</f>
        <v/>
      </c>
      <c r="J26" s="4" t="n"/>
      <c r="K26" s="4" t="n"/>
      <c r="L26" s="5" t="n"/>
      <c r="M26" s="20">
        <f>IF(A26="","",IF(OR(J26="",Inputs!$B$59=""),0,IFERROR(INDEX(Elements_hybrides!$F$4:$F$204,MATCH(J26,Elements_hybrides!$A$4:$A$204,0))/(Inputs!$B$59*60),0)))</f>
        <v/>
      </c>
      <c r="N26" s="20">
        <f>IF(A26="","",IF(L26="",Inputs!$B$14,L26)+M26)</f>
        <v/>
      </c>
    </row>
    <row r="27">
      <c r="A27" s="4" t="n"/>
      <c r="B27" s="4" t="n"/>
      <c r="C27" s="4" t="n"/>
      <c r="D27" s="7" t="n"/>
      <c r="E27" s="7" t="n"/>
      <c r="F27" s="20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20">
        <f>IF(A27="","",N27)</f>
        <v/>
      </c>
      <c r="H27" s="20">
        <f>IF(A27="","",Inputs!$B$3/((IF(G27="",Inputs!$B$14,G27)+Inputs!$B$4)^Inputs!$B$5))</f>
        <v/>
      </c>
      <c r="I27" s="20">
        <f>IF(A27="","",2.78E-7*F27*D27*H27)</f>
        <v/>
      </c>
      <c r="J27" s="4" t="n"/>
      <c r="K27" s="4" t="n"/>
      <c r="L27" s="5" t="n"/>
      <c r="M27" s="20">
        <f>IF(A27="","",IF(OR(J27="",Inputs!$B$59=""),0,IFERROR(INDEX(Elements_hybrides!$F$4:$F$204,MATCH(J27,Elements_hybrides!$A$4:$A$204,0))/(Inputs!$B$59*60),0)))</f>
        <v/>
      </c>
      <c r="N27" s="20">
        <f>IF(A27="","",IF(L27="",Inputs!$B$14,L27)+M27)</f>
        <v/>
      </c>
    </row>
    <row r="28">
      <c r="A28" s="4" t="n"/>
      <c r="B28" s="4" t="n"/>
      <c r="C28" s="4" t="n"/>
      <c r="D28" s="7" t="n"/>
      <c r="E28" s="7" t="n"/>
      <c r="F28" s="20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20">
        <f>IF(A28="","",N28)</f>
        <v/>
      </c>
      <c r="H28" s="20">
        <f>IF(A28="","",Inputs!$B$3/((IF(G28="",Inputs!$B$14,G28)+Inputs!$B$4)^Inputs!$B$5))</f>
        <v/>
      </c>
      <c r="I28" s="20">
        <f>IF(A28="","",2.78E-7*F28*D28*H28)</f>
        <v/>
      </c>
      <c r="J28" s="4" t="n"/>
      <c r="K28" s="4" t="n"/>
      <c r="L28" s="5" t="n"/>
      <c r="M28" s="20">
        <f>IF(A28="","",IF(OR(J28="",Inputs!$B$59=""),0,IFERROR(INDEX(Elements_hybrides!$F$4:$F$204,MATCH(J28,Elements_hybrides!$A$4:$A$204,0))/(Inputs!$B$59*60),0)))</f>
        <v/>
      </c>
      <c r="N28" s="20">
        <f>IF(A28="","",IF(L28="",Inputs!$B$14,L28)+M28)</f>
        <v/>
      </c>
    </row>
    <row r="29">
      <c r="A29" s="4" t="n"/>
      <c r="B29" s="4" t="n"/>
      <c r="C29" s="4" t="n"/>
      <c r="D29" s="7" t="n"/>
      <c r="E29" s="7" t="n"/>
      <c r="F29" s="20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20">
        <f>IF(A29="","",N29)</f>
        <v/>
      </c>
      <c r="H29" s="20">
        <f>IF(A29="","",Inputs!$B$3/((IF(G29="",Inputs!$B$14,G29)+Inputs!$B$4)^Inputs!$B$5))</f>
        <v/>
      </c>
      <c r="I29" s="20">
        <f>IF(A29="","",2.78E-7*F29*D29*H29)</f>
        <v/>
      </c>
      <c r="J29" s="4" t="n"/>
      <c r="K29" s="4" t="n"/>
      <c r="L29" s="5" t="n"/>
      <c r="M29" s="20">
        <f>IF(A29="","",IF(OR(J29="",Inputs!$B$59=""),0,IFERROR(INDEX(Elements_hybrides!$F$4:$F$204,MATCH(J29,Elements_hybrides!$A$4:$A$204,0))/(Inputs!$B$59*60),0)))</f>
        <v/>
      </c>
      <c r="N29" s="20">
        <f>IF(A29="","",IF(L29="",Inputs!$B$14,L29)+M29)</f>
        <v/>
      </c>
    </row>
    <row r="30">
      <c r="A30" s="4" t="n"/>
      <c r="B30" s="4" t="n"/>
      <c r="C30" s="4" t="n"/>
      <c r="D30" s="7" t="n"/>
      <c r="E30" s="7" t="n"/>
      <c r="F30" s="20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20">
        <f>IF(A30="","",N30)</f>
        <v/>
      </c>
      <c r="H30" s="20">
        <f>IF(A30="","",Inputs!$B$3/((IF(G30="",Inputs!$B$14,G30)+Inputs!$B$4)^Inputs!$B$5))</f>
        <v/>
      </c>
      <c r="I30" s="20">
        <f>IF(A30="","",2.78E-7*F30*D30*H30)</f>
        <v/>
      </c>
      <c r="J30" s="4" t="n"/>
      <c r="K30" s="4" t="n"/>
      <c r="L30" s="5" t="n"/>
      <c r="M30" s="20">
        <f>IF(A30="","",IF(OR(J30="",Inputs!$B$59=""),0,IFERROR(INDEX(Elements_hybrides!$F$4:$F$204,MATCH(J30,Elements_hybrides!$A$4:$A$204,0))/(Inputs!$B$59*60),0)))</f>
        <v/>
      </c>
      <c r="N30" s="20">
        <f>IF(A30="","",IF(L30="",Inputs!$B$14,L30)+M30)</f>
        <v/>
      </c>
    </row>
    <row r="31">
      <c r="A31" s="4" t="n"/>
      <c r="B31" s="4" t="n"/>
      <c r="C31" s="4" t="n"/>
      <c r="D31" s="7" t="n"/>
      <c r="E31" s="7" t="n"/>
      <c r="F31" s="20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20">
        <f>IF(A31="","",N31)</f>
        <v/>
      </c>
      <c r="H31" s="20">
        <f>IF(A31="","",Inputs!$B$3/((IF(G31="",Inputs!$B$14,G31)+Inputs!$B$4)^Inputs!$B$5))</f>
        <v/>
      </c>
      <c r="I31" s="20">
        <f>IF(A31="","",2.78E-7*F31*D31*H31)</f>
        <v/>
      </c>
      <c r="J31" s="4" t="n"/>
      <c r="K31" s="4" t="n"/>
      <c r="L31" s="5" t="n"/>
      <c r="M31" s="20">
        <f>IF(A31="","",IF(OR(J31="",Inputs!$B$59=""),0,IFERROR(INDEX(Elements_hybrides!$F$4:$F$204,MATCH(J31,Elements_hybrides!$A$4:$A$204,0))/(Inputs!$B$59*60),0)))</f>
        <v/>
      </c>
      <c r="N31" s="20">
        <f>IF(A31="","",IF(L31="",Inputs!$B$14,L31)+M31)</f>
        <v/>
      </c>
    </row>
    <row r="32">
      <c r="A32" s="4" t="n"/>
      <c r="B32" s="4" t="n"/>
      <c r="C32" s="4" t="n"/>
      <c r="D32" s="7" t="n"/>
      <c r="E32" s="7" t="n"/>
      <c r="F32" s="20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20">
        <f>IF(A32="","",N32)</f>
        <v/>
      </c>
      <c r="H32" s="20">
        <f>IF(A32="","",Inputs!$B$3/((IF(G32="",Inputs!$B$14,G32)+Inputs!$B$4)^Inputs!$B$5))</f>
        <v/>
      </c>
      <c r="I32" s="20">
        <f>IF(A32="","",2.78E-7*F32*D32*H32)</f>
        <v/>
      </c>
      <c r="J32" s="4" t="n"/>
      <c r="K32" s="4" t="n"/>
      <c r="L32" s="5" t="n"/>
      <c r="M32" s="20">
        <f>IF(A32="","",IF(OR(J32="",Inputs!$B$59=""),0,IFERROR(INDEX(Elements_hybrides!$F$4:$F$204,MATCH(J32,Elements_hybrides!$A$4:$A$204,0))/(Inputs!$B$59*60),0)))</f>
        <v/>
      </c>
      <c r="N32" s="20">
        <f>IF(A32="","",IF(L32="",Inputs!$B$14,L32)+M32)</f>
        <v/>
      </c>
    </row>
    <row r="33">
      <c r="A33" s="4" t="n"/>
      <c r="B33" s="4" t="n"/>
      <c r="C33" s="4" t="n"/>
      <c r="D33" s="7" t="n"/>
      <c r="E33" s="7" t="n"/>
      <c r="F33" s="20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20">
        <f>IF(A33="","",N33)</f>
        <v/>
      </c>
      <c r="H33" s="20">
        <f>IF(A33="","",Inputs!$B$3/((IF(G33="",Inputs!$B$14,G33)+Inputs!$B$4)^Inputs!$B$5))</f>
        <v/>
      </c>
      <c r="I33" s="20">
        <f>IF(A33="","",2.78E-7*F33*D33*H33)</f>
        <v/>
      </c>
      <c r="J33" s="4" t="n"/>
      <c r="K33" s="4" t="n"/>
      <c r="L33" s="5" t="n"/>
      <c r="M33" s="20">
        <f>IF(A33="","",IF(OR(J33="",Inputs!$B$59=""),0,IFERROR(INDEX(Elements_hybrides!$F$4:$F$204,MATCH(J33,Elements_hybrides!$A$4:$A$204,0))/(Inputs!$B$59*60),0)))</f>
        <v/>
      </c>
      <c r="N33" s="20">
        <f>IF(A33="","",IF(L33="",Inputs!$B$14,L33)+M33)</f>
        <v/>
      </c>
    </row>
    <row r="34">
      <c r="A34" s="4" t="n"/>
      <c r="B34" s="4" t="n"/>
      <c r="C34" s="4" t="n"/>
      <c r="D34" s="7" t="n"/>
      <c r="E34" s="7" t="n"/>
      <c r="F34" s="20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20">
        <f>IF(A34="","",N34)</f>
        <v/>
      </c>
      <c r="H34" s="20">
        <f>IF(A34="","",Inputs!$B$3/((IF(G34="",Inputs!$B$14,G34)+Inputs!$B$4)^Inputs!$B$5))</f>
        <v/>
      </c>
      <c r="I34" s="20">
        <f>IF(A34="","",2.78E-7*F34*D34*H34)</f>
        <v/>
      </c>
      <c r="J34" s="4" t="n"/>
      <c r="K34" s="4" t="n"/>
      <c r="L34" s="5" t="n"/>
      <c r="M34" s="20">
        <f>IF(A34="","",IF(OR(J34="",Inputs!$B$59=""),0,IFERROR(INDEX(Elements_hybrides!$F$4:$F$204,MATCH(J34,Elements_hybrides!$A$4:$A$204,0))/(Inputs!$B$59*60),0)))</f>
        <v/>
      </c>
      <c r="N34" s="20">
        <f>IF(A34="","",IF(L34="",Inputs!$B$14,L34)+M34)</f>
        <v/>
      </c>
    </row>
    <row r="35">
      <c r="A35" s="4" t="n"/>
      <c r="B35" s="4" t="n"/>
      <c r="C35" s="4" t="n"/>
      <c r="D35" s="7" t="n"/>
      <c r="E35" s="7" t="n"/>
      <c r="F35" s="20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20">
        <f>IF(A35="","",N35)</f>
        <v/>
      </c>
      <c r="H35" s="20">
        <f>IF(A35="","",Inputs!$B$3/((IF(G35="",Inputs!$B$14,G35)+Inputs!$B$4)^Inputs!$B$5))</f>
        <v/>
      </c>
      <c r="I35" s="20">
        <f>IF(A35="","",2.78E-7*F35*D35*H35)</f>
        <v/>
      </c>
      <c r="J35" s="4" t="n"/>
      <c r="K35" s="4" t="n"/>
      <c r="L35" s="5" t="n"/>
      <c r="M35" s="20">
        <f>IF(A35="","",IF(OR(J35="",Inputs!$B$59=""),0,IFERROR(INDEX(Elements_hybrides!$F$4:$F$204,MATCH(J35,Elements_hybrides!$A$4:$A$204,0))/(Inputs!$B$59*60),0)))</f>
        <v/>
      </c>
      <c r="N35" s="20">
        <f>IF(A35="","",IF(L35="",Inputs!$B$14,L35)+M35)</f>
        <v/>
      </c>
    </row>
    <row r="36">
      <c r="A36" s="4" t="n"/>
      <c r="B36" s="4" t="n"/>
      <c r="C36" s="4" t="n"/>
      <c r="D36" s="7" t="n"/>
      <c r="E36" s="7" t="n"/>
      <c r="F36" s="20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20">
        <f>IF(A36="","",N36)</f>
        <v/>
      </c>
      <c r="H36" s="20">
        <f>IF(A36="","",Inputs!$B$3/((IF(G36="",Inputs!$B$14,G36)+Inputs!$B$4)^Inputs!$B$5))</f>
        <v/>
      </c>
      <c r="I36" s="20">
        <f>IF(A36="","",2.78E-7*F36*D36*H36)</f>
        <v/>
      </c>
      <c r="J36" s="4" t="n"/>
      <c r="K36" s="4" t="n"/>
      <c r="L36" s="5" t="n"/>
      <c r="M36" s="20">
        <f>IF(A36="","",IF(OR(J36="",Inputs!$B$59=""),0,IFERROR(INDEX(Elements_hybrides!$F$4:$F$204,MATCH(J36,Elements_hybrides!$A$4:$A$204,0))/(Inputs!$B$59*60),0)))</f>
        <v/>
      </c>
      <c r="N36" s="20">
        <f>IF(A36="","",IF(L36="",Inputs!$B$14,L36)+M36)</f>
        <v/>
      </c>
    </row>
    <row r="37">
      <c r="A37" s="4" t="n"/>
      <c r="B37" s="4" t="n"/>
      <c r="C37" s="4" t="n"/>
      <c r="D37" s="7" t="n"/>
      <c r="E37" s="7" t="n"/>
      <c r="F37" s="20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20">
        <f>IF(A37="","",N37)</f>
        <v/>
      </c>
      <c r="H37" s="20">
        <f>IF(A37="","",Inputs!$B$3/((IF(G37="",Inputs!$B$14,G37)+Inputs!$B$4)^Inputs!$B$5))</f>
        <v/>
      </c>
      <c r="I37" s="20">
        <f>IF(A37="","",2.78E-7*F37*D37*H37)</f>
        <v/>
      </c>
      <c r="J37" s="4" t="n"/>
      <c r="K37" s="4" t="n"/>
      <c r="L37" s="5" t="n"/>
      <c r="M37" s="20">
        <f>IF(A37="","",IF(OR(J37="",Inputs!$B$59=""),0,IFERROR(INDEX(Elements_hybrides!$F$4:$F$204,MATCH(J37,Elements_hybrides!$A$4:$A$204,0))/(Inputs!$B$59*60),0)))</f>
        <v/>
      </c>
      <c r="N37" s="20">
        <f>IF(A37="","",IF(L37="",Inputs!$B$14,L37)+M37)</f>
        <v/>
      </c>
    </row>
    <row r="38">
      <c r="A38" s="4" t="n"/>
      <c r="B38" s="4" t="n"/>
      <c r="C38" s="4" t="n"/>
      <c r="D38" s="7" t="n"/>
      <c r="E38" s="7" t="n"/>
      <c r="F38" s="20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20">
        <f>IF(A38="","",N38)</f>
        <v/>
      </c>
      <c r="H38" s="20">
        <f>IF(A38="","",Inputs!$B$3/((IF(G38="",Inputs!$B$14,G38)+Inputs!$B$4)^Inputs!$B$5))</f>
        <v/>
      </c>
      <c r="I38" s="20">
        <f>IF(A38="","",2.78E-7*F38*D38*H38)</f>
        <v/>
      </c>
      <c r="J38" s="4" t="n"/>
      <c r="K38" s="4" t="n"/>
      <c r="L38" s="5" t="n"/>
      <c r="M38" s="20">
        <f>IF(A38="","",IF(OR(J38="",Inputs!$B$59=""),0,IFERROR(INDEX(Elements_hybrides!$F$4:$F$204,MATCH(J38,Elements_hybrides!$A$4:$A$204,0))/(Inputs!$B$59*60),0)))</f>
        <v/>
      </c>
      <c r="N38" s="20">
        <f>IF(A38="","",IF(L38="",Inputs!$B$14,L38)+M38)</f>
        <v/>
      </c>
    </row>
    <row r="39">
      <c r="A39" s="4" t="n"/>
      <c r="B39" s="4" t="n"/>
      <c r="C39" s="4" t="n"/>
      <c r="D39" s="7" t="n"/>
      <c r="E39" s="7" t="n"/>
      <c r="F39" s="20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20">
        <f>IF(A39="","",N39)</f>
        <v/>
      </c>
      <c r="H39" s="20">
        <f>IF(A39="","",Inputs!$B$3/((IF(G39="",Inputs!$B$14,G39)+Inputs!$B$4)^Inputs!$B$5))</f>
        <v/>
      </c>
      <c r="I39" s="20">
        <f>IF(A39="","",2.78E-7*F39*D39*H39)</f>
        <v/>
      </c>
      <c r="J39" s="4" t="n"/>
      <c r="K39" s="4" t="n"/>
      <c r="L39" s="5" t="n"/>
      <c r="M39" s="20">
        <f>IF(A39="","",IF(OR(J39="",Inputs!$B$59=""),0,IFERROR(INDEX(Elements_hybrides!$F$4:$F$204,MATCH(J39,Elements_hybrides!$A$4:$A$204,0))/(Inputs!$B$59*60),0)))</f>
        <v/>
      </c>
      <c r="N39" s="20">
        <f>IF(A39="","",IF(L39="",Inputs!$B$14,L39)+M39)</f>
        <v/>
      </c>
    </row>
    <row r="40">
      <c r="A40" s="4" t="n"/>
      <c r="B40" s="4" t="n"/>
      <c r="C40" s="4" t="n"/>
      <c r="D40" s="7" t="n"/>
      <c r="E40" s="7" t="n"/>
      <c r="F40" s="20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20">
        <f>IF(A40="","",N40)</f>
        <v/>
      </c>
      <c r="H40" s="20">
        <f>IF(A40="","",Inputs!$B$3/((IF(G40="",Inputs!$B$14,G40)+Inputs!$B$4)^Inputs!$B$5))</f>
        <v/>
      </c>
      <c r="I40" s="20">
        <f>IF(A40="","",2.78E-7*F40*D40*H40)</f>
        <v/>
      </c>
      <c r="J40" s="4" t="n"/>
      <c r="K40" s="4" t="n"/>
      <c r="L40" s="5" t="n"/>
      <c r="M40" s="20">
        <f>IF(A40="","",IF(OR(J40="",Inputs!$B$59=""),0,IFERROR(INDEX(Elements_hybrides!$F$4:$F$204,MATCH(J40,Elements_hybrides!$A$4:$A$204,0))/(Inputs!$B$59*60),0)))</f>
        <v/>
      </c>
      <c r="N40" s="20">
        <f>IF(A40="","",IF(L40="",Inputs!$B$14,L40)+M40)</f>
        <v/>
      </c>
    </row>
    <row r="41">
      <c r="A41" s="4" t="n"/>
      <c r="B41" s="4" t="n"/>
      <c r="C41" s="4" t="n"/>
      <c r="D41" s="7" t="n"/>
      <c r="E41" s="7" t="n"/>
      <c r="F41" s="20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20">
        <f>IF(A41="","",N41)</f>
        <v/>
      </c>
      <c r="H41" s="20">
        <f>IF(A41="","",Inputs!$B$3/((IF(G41="",Inputs!$B$14,G41)+Inputs!$B$4)^Inputs!$B$5))</f>
        <v/>
      </c>
      <c r="I41" s="20">
        <f>IF(A41="","",2.78E-7*F41*D41*H41)</f>
        <v/>
      </c>
      <c r="J41" s="4" t="n"/>
      <c r="K41" s="4" t="n"/>
      <c r="L41" s="5" t="n"/>
      <c r="M41" s="20">
        <f>IF(A41="","",IF(OR(J41="",Inputs!$B$59=""),0,IFERROR(INDEX(Elements_hybrides!$F$4:$F$204,MATCH(J41,Elements_hybrides!$A$4:$A$204,0))/(Inputs!$B$59*60),0)))</f>
        <v/>
      </c>
      <c r="N41" s="20">
        <f>IF(A41="","",IF(L41="",Inputs!$B$14,L41)+M41)</f>
        <v/>
      </c>
    </row>
    <row r="42">
      <c r="A42" s="4" t="n"/>
      <c r="B42" s="4" t="n"/>
      <c r="C42" s="4" t="n"/>
      <c r="D42" s="7" t="n"/>
      <c r="E42" s="7" t="n"/>
      <c r="F42" s="20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20">
        <f>IF(A42="","",N42)</f>
        <v/>
      </c>
      <c r="H42" s="20">
        <f>IF(A42="","",Inputs!$B$3/((IF(G42="",Inputs!$B$14,G42)+Inputs!$B$4)^Inputs!$B$5))</f>
        <v/>
      </c>
      <c r="I42" s="20">
        <f>IF(A42="","",2.78E-7*F42*D42*H42)</f>
        <v/>
      </c>
      <c r="J42" s="4" t="n"/>
      <c r="K42" s="4" t="n"/>
      <c r="L42" s="5" t="n"/>
      <c r="M42" s="20">
        <f>IF(A42="","",IF(OR(J42="",Inputs!$B$59=""),0,IFERROR(INDEX(Elements_hybrides!$F$4:$F$204,MATCH(J42,Elements_hybrides!$A$4:$A$204,0))/(Inputs!$B$59*60),0)))</f>
        <v/>
      </c>
      <c r="N42" s="20">
        <f>IF(A42="","",IF(L42="",Inputs!$B$14,L42)+M42)</f>
        <v/>
      </c>
    </row>
    <row r="43">
      <c r="A43" s="4" t="n"/>
      <c r="B43" s="4" t="n"/>
      <c r="C43" s="4" t="n"/>
      <c r="D43" s="7" t="n"/>
      <c r="E43" s="7" t="n"/>
      <c r="F43" s="20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20">
        <f>IF(A43="","",N43)</f>
        <v/>
      </c>
      <c r="H43" s="20">
        <f>IF(A43="","",Inputs!$B$3/((IF(G43="",Inputs!$B$14,G43)+Inputs!$B$4)^Inputs!$B$5))</f>
        <v/>
      </c>
      <c r="I43" s="20">
        <f>IF(A43="","",2.78E-7*F43*D43*H43)</f>
        <v/>
      </c>
      <c r="J43" s="4" t="n"/>
      <c r="K43" s="4" t="n"/>
      <c r="L43" s="5" t="n"/>
      <c r="M43" s="20">
        <f>IF(A43="","",IF(OR(J43="",Inputs!$B$59=""),0,IFERROR(INDEX(Elements_hybrides!$F$4:$F$204,MATCH(J43,Elements_hybrides!$A$4:$A$204,0))/(Inputs!$B$59*60),0)))</f>
        <v/>
      </c>
      <c r="N43" s="20">
        <f>IF(A43="","",IF(L43="",Inputs!$B$14,L43)+M43)</f>
        <v/>
      </c>
    </row>
    <row r="44">
      <c r="A44" s="4" t="n"/>
      <c r="B44" s="4" t="n"/>
      <c r="C44" s="4" t="n"/>
      <c r="D44" s="7" t="n"/>
      <c r="E44" s="7" t="n"/>
      <c r="F44" s="20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20">
        <f>IF(A44="","",N44)</f>
        <v/>
      </c>
      <c r="H44" s="20">
        <f>IF(A44="","",Inputs!$B$3/((IF(G44="",Inputs!$B$14,G44)+Inputs!$B$4)^Inputs!$B$5))</f>
        <v/>
      </c>
      <c r="I44" s="20">
        <f>IF(A44="","",2.78E-7*F44*D44*H44)</f>
        <v/>
      </c>
      <c r="J44" s="4" t="n"/>
      <c r="K44" s="4" t="n"/>
      <c r="L44" s="5" t="n"/>
      <c r="M44" s="20">
        <f>IF(A44="","",IF(OR(J44="",Inputs!$B$59=""),0,IFERROR(INDEX(Elements_hybrides!$F$4:$F$204,MATCH(J44,Elements_hybrides!$A$4:$A$204,0))/(Inputs!$B$59*60),0)))</f>
        <v/>
      </c>
      <c r="N44" s="20">
        <f>IF(A44="","",IF(L44="",Inputs!$B$14,L44)+M44)</f>
        <v/>
      </c>
    </row>
    <row r="45">
      <c r="A45" s="4" t="n"/>
      <c r="B45" s="4" t="n"/>
      <c r="C45" s="4" t="n"/>
      <c r="D45" s="7" t="n"/>
      <c r="E45" s="7" t="n"/>
      <c r="F45" s="20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20">
        <f>IF(A45="","",N45)</f>
        <v/>
      </c>
      <c r="H45" s="20">
        <f>IF(A45="","",Inputs!$B$3/((IF(G45="",Inputs!$B$14,G45)+Inputs!$B$4)^Inputs!$B$5))</f>
        <v/>
      </c>
      <c r="I45" s="20">
        <f>IF(A45="","",2.78E-7*F45*D45*H45)</f>
        <v/>
      </c>
      <c r="J45" s="4" t="n"/>
      <c r="K45" s="4" t="n"/>
      <c r="L45" s="5" t="n"/>
      <c r="M45" s="20">
        <f>IF(A45="","",IF(OR(J45="",Inputs!$B$59=""),0,IFERROR(INDEX(Elements_hybrides!$F$4:$F$204,MATCH(J45,Elements_hybrides!$A$4:$A$204,0))/(Inputs!$B$59*60),0)))</f>
        <v/>
      </c>
      <c r="N45" s="20">
        <f>IF(A45="","",IF(L45="",Inputs!$B$14,L45)+M45)</f>
        <v/>
      </c>
    </row>
    <row r="46">
      <c r="A46" s="4" t="n"/>
      <c r="B46" s="4" t="n"/>
      <c r="C46" s="4" t="n"/>
      <c r="D46" s="7" t="n"/>
      <c r="E46" s="7" t="n"/>
      <c r="F46" s="20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20">
        <f>IF(A46="","",N46)</f>
        <v/>
      </c>
      <c r="H46" s="20">
        <f>IF(A46="","",Inputs!$B$3/((IF(G46="",Inputs!$B$14,G46)+Inputs!$B$4)^Inputs!$B$5))</f>
        <v/>
      </c>
      <c r="I46" s="20">
        <f>IF(A46="","",2.78E-7*F46*D46*H46)</f>
        <v/>
      </c>
      <c r="J46" s="4" t="n"/>
      <c r="K46" s="4" t="n"/>
      <c r="L46" s="5" t="n"/>
      <c r="M46" s="20">
        <f>IF(A46="","",IF(OR(J46="",Inputs!$B$59=""),0,IFERROR(INDEX(Elements_hybrides!$F$4:$F$204,MATCH(J46,Elements_hybrides!$A$4:$A$204,0))/(Inputs!$B$59*60),0)))</f>
        <v/>
      </c>
      <c r="N46" s="20">
        <f>IF(A46="","",IF(L46="",Inputs!$B$14,L46)+M46)</f>
        <v/>
      </c>
    </row>
    <row r="47">
      <c r="A47" s="4" t="n"/>
      <c r="B47" s="4" t="n"/>
      <c r="C47" s="4" t="n"/>
      <c r="D47" s="7" t="n"/>
      <c r="E47" s="7" t="n"/>
      <c r="F47" s="20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20">
        <f>IF(A47="","",N47)</f>
        <v/>
      </c>
      <c r="H47" s="20">
        <f>IF(A47="","",Inputs!$B$3/((IF(G47="",Inputs!$B$14,G47)+Inputs!$B$4)^Inputs!$B$5))</f>
        <v/>
      </c>
      <c r="I47" s="20">
        <f>IF(A47="","",2.78E-7*F47*D47*H47)</f>
        <v/>
      </c>
      <c r="J47" s="4" t="n"/>
      <c r="K47" s="4" t="n"/>
      <c r="L47" s="5" t="n"/>
      <c r="M47" s="20">
        <f>IF(A47="","",IF(OR(J47="",Inputs!$B$59=""),0,IFERROR(INDEX(Elements_hybrides!$F$4:$F$204,MATCH(J47,Elements_hybrides!$A$4:$A$204,0))/(Inputs!$B$59*60),0)))</f>
        <v/>
      </c>
      <c r="N47" s="20">
        <f>IF(A47="","",IF(L47="",Inputs!$B$14,L47)+M47)</f>
        <v/>
      </c>
    </row>
    <row r="48">
      <c r="A48" s="4" t="n"/>
      <c r="B48" s="4" t="n"/>
      <c r="C48" s="4" t="n"/>
      <c r="D48" s="7" t="n"/>
      <c r="E48" s="7" t="n"/>
      <c r="F48" s="20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20">
        <f>IF(A48="","",N48)</f>
        <v/>
      </c>
      <c r="H48" s="20">
        <f>IF(A48="","",Inputs!$B$3/((IF(G48="",Inputs!$B$14,G48)+Inputs!$B$4)^Inputs!$B$5))</f>
        <v/>
      </c>
      <c r="I48" s="20">
        <f>IF(A48="","",2.78E-7*F48*D48*H48)</f>
        <v/>
      </c>
      <c r="J48" s="4" t="n"/>
      <c r="K48" s="4" t="n"/>
      <c r="L48" s="5" t="n"/>
      <c r="M48" s="20">
        <f>IF(A48="","",IF(OR(J48="",Inputs!$B$59=""),0,IFERROR(INDEX(Elements_hybrides!$F$4:$F$204,MATCH(J48,Elements_hybrides!$A$4:$A$204,0))/(Inputs!$B$59*60),0)))</f>
        <v/>
      </c>
      <c r="N48" s="20">
        <f>IF(A48="","",IF(L48="",Inputs!$B$14,L48)+M48)</f>
        <v/>
      </c>
    </row>
    <row r="49">
      <c r="A49" s="4" t="n"/>
      <c r="B49" s="4" t="n"/>
      <c r="C49" s="4" t="n"/>
      <c r="D49" s="7" t="n"/>
      <c r="E49" s="7" t="n"/>
      <c r="F49" s="20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20">
        <f>IF(A49="","",N49)</f>
        <v/>
      </c>
      <c r="H49" s="20">
        <f>IF(A49="","",Inputs!$B$3/((IF(G49="",Inputs!$B$14,G49)+Inputs!$B$4)^Inputs!$B$5))</f>
        <v/>
      </c>
      <c r="I49" s="20">
        <f>IF(A49="","",2.78E-7*F49*D49*H49)</f>
        <v/>
      </c>
      <c r="J49" s="4" t="n"/>
      <c r="K49" s="4" t="n"/>
      <c r="L49" s="5" t="n"/>
      <c r="M49" s="20">
        <f>IF(A49="","",IF(OR(J49="",Inputs!$B$59=""),0,IFERROR(INDEX(Elements_hybrides!$F$4:$F$204,MATCH(J49,Elements_hybrides!$A$4:$A$204,0))/(Inputs!$B$59*60),0)))</f>
        <v/>
      </c>
      <c r="N49" s="20">
        <f>IF(A49="","",IF(L49="",Inputs!$B$14,L49)+M49)</f>
        <v/>
      </c>
    </row>
    <row r="50">
      <c r="A50" s="4" t="n"/>
      <c r="B50" s="4" t="n"/>
      <c r="C50" s="4" t="n"/>
      <c r="D50" s="7" t="n"/>
      <c r="E50" s="7" t="n"/>
      <c r="F50" s="20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20">
        <f>IF(A50="","",N50)</f>
        <v/>
      </c>
      <c r="H50" s="20">
        <f>IF(A50="","",Inputs!$B$3/((IF(G50="",Inputs!$B$14,G50)+Inputs!$B$4)^Inputs!$B$5))</f>
        <v/>
      </c>
      <c r="I50" s="20">
        <f>IF(A50="","",2.78E-7*F50*D50*H50)</f>
        <v/>
      </c>
      <c r="J50" s="4" t="n"/>
      <c r="K50" s="4" t="n"/>
      <c r="L50" s="5" t="n"/>
      <c r="M50" s="20">
        <f>IF(A50="","",IF(OR(J50="",Inputs!$B$59=""),0,IFERROR(INDEX(Elements_hybrides!$F$4:$F$204,MATCH(J50,Elements_hybrides!$A$4:$A$204,0))/(Inputs!$B$59*60),0)))</f>
        <v/>
      </c>
      <c r="N50" s="20">
        <f>IF(A50="","",IF(L50="",Inputs!$B$14,L50)+M50)</f>
        <v/>
      </c>
    </row>
    <row r="51">
      <c r="A51" s="4" t="n"/>
      <c r="B51" s="4" t="n"/>
      <c r="C51" s="4" t="n"/>
      <c r="D51" s="7" t="n"/>
      <c r="E51" s="7" t="n"/>
      <c r="F51" s="20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20">
        <f>IF(A51="","",N51)</f>
        <v/>
      </c>
      <c r="H51" s="20">
        <f>IF(A51="","",Inputs!$B$3/((IF(G51="",Inputs!$B$14,G51)+Inputs!$B$4)^Inputs!$B$5))</f>
        <v/>
      </c>
      <c r="I51" s="20">
        <f>IF(A51="","",2.78E-7*F51*D51*H51)</f>
        <v/>
      </c>
      <c r="J51" s="4" t="n"/>
      <c r="K51" s="4" t="n"/>
      <c r="L51" s="5" t="n"/>
      <c r="M51" s="20">
        <f>IF(A51="","",IF(OR(J51="",Inputs!$B$59=""),0,IFERROR(INDEX(Elements_hybrides!$F$4:$F$204,MATCH(J51,Elements_hybrides!$A$4:$A$204,0))/(Inputs!$B$59*60),0)))</f>
        <v/>
      </c>
      <c r="N51" s="20">
        <f>IF(A51="","",IF(L51="",Inputs!$B$14,L51)+M51)</f>
        <v/>
      </c>
    </row>
    <row r="52">
      <c r="A52" s="4" t="n"/>
      <c r="B52" s="4" t="n"/>
      <c r="C52" s="4" t="n"/>
      <c r="D52" s="7" t="n"/>
      <c r="E52" s="7" t="n"/>
      <c r="F52" s="20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20">
        <f>IF(A52="","",N52)</f>
        <v/>
      </c>
      <c r="H52" s="20">
        <f>IF(A52="","",Inputs!$B$3/((IF(G52="",Inputs!$B$14,G52)+Inputs!$B$4)^Inputs!$B$5))</f>
        <v/>
      </c>
      <c r="I52" s="20">
        <f>IF(A52="","",2.78E-7*F52*D52*H52)</f>
        <v/>
      </c>
      <c r="J52" s="4" t="n"/>
      <c r="K52" s="4" t="n"/>
      <c r="L52" s="5" t="n"/>
      <c r="M52" s="20">
        <f>IF(A52="","",IF(OR(J52="",Inputs!$B$59=""),0,IFERROR(INDEX(Elements_hybrides!$F$4:$F$204,MATCH(J52,Elements_hybrides!$A$4:$A$204,0))/(Inputs!$B$59*60),0)))</f>
        <v/>
      </c>
      <c r="N52" s="20">
        <f>IF(A52="","",IF(L52="",Inputs!$B$14,L52)+M52)</f>
        <v/>
      </c>
    </row>
    <row r="53">
      <c r="A53" s="4" t="n"/>
      <c r="B53" s="4" t="n"/>
      <c r="C53" s="4" t="n"/>
      <c r="D53" s="7" t="n"/>
      <c r="E53" s="7" t="n"/>
      <c r="F53" s="20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20">
        <f>IF(A53="","",N53)</f>
        <v/>
      </c>
      <c r="H53" s="20">
        <f>IF(A53="","",Inputs!$B$3/((IF(G53="",Inputs!$B$14,G53)+Inputs!$B$4)^Inputs!$B$5))</f>
        <v/>
      </c>
      <c r="I53" s="20">
        <f>IF(A53="","",2.78E-7*F53*D53*H53)</f>
        <v/>
      </c>
      <c r="J53" s="4" t="n"/>
      <c r="K53" s="4" t="n"/>
      <c r="L53" s="5" t="n"/>
      <c r="M53" s="20">
        <f>IF(A53="","",IF(OR(J53="",Inputs!$B$59=""),0,IFERROR(INDEX(Elements_hybrides!$F$4:$F$204,MATCH(J53,Elements_hybrides!$A$4:$A$204,0))/(Inputs!$B$59*60),0)))</f>
        <v/>
      </c>
      <c r="N53" s="20">
        <f>IF(A53="","",IF(L53="",Inputs!$B$14,L53)+M53)</f>
        <v/>
      </c>
    </row>
    <row r="54">
      <c r="A54" s="4" t="n"/>
      <c r="B54" s="4" t="n"/>
      <c r="C54" s="4" t="n"/>
      <c r="D54" s="7" t="n"/>
      <c r="E54" s="7" t="n"/>
      <c r="F54" s="20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20">
        <f>IF(A54="","",N54)</f>
        <v/>
      </c>
      <c r="H54" s="20">
        <f>IF(A54="","",Inputs!$B$3/((IF(G54="",Inputs!$B$14,G54)+Inputs!$B$4)^Inputs!$B$5))</f>
        <v/>
      </c>
      <c r="I54" s="20">
        <f>IF(A54="","",2.78E-7*F54*D54*H54)</f>
        <v/>
      </c>
      <c r="J54" s="4" t="n"/>
      <c r="K54" s="4" t="n"/>
      <c r="L54" s="5" t="n"/>
      <c r="M54" s="20">
        <f>IF(A54="","",IF(OR(J54="",Inputs!$B$59=""),0,IFERROR(INDEX(Elements_hybrides!$F$4:$F$204,MATCH(J54,Elements_hybrides!$A$4:$A$204,0))/(Inputs!$B$59*60),0)))</f>
        <v/>
      </c>
      <c r="N54" s="20">
        <f>IF(A54="","",IF(L54="",Inputs!$B$14,L54)+M54)</f>
        <v/>
      </c>
    </row>
    <row r="55">
      <c r="A55" s="4" t="n"/>
      <c r="B55" s="4" t="n"/>
      <c r="C55" s="4" t="n"/>
      <c r="D55" s="7" t="n"/>
      <c r="E55" s="7" t="n"/>
      <c r="F55" s="20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20">
        <f>IF(A55="","",N55)</f>
        <v/>
      </c>
      <c r="H55" s="20">
        <f>IF(A55="","",Inputs!$B$3/((IF(G55="",Inputs!$B$14,G55)+Inputs!$B$4)^Inputs!$B$5))</f>
        <v/>
      </c>
      <c r="I55" s="20">
        <f>IF(A55="","",2.78E-7*F55*D55*H55)</f>
        <v/>
      </c>
      <c r="J55" s="4" t="n"/>
      <c r="K55" s="4" t="n"/>
      <c r="L55" s="5" t="n"/>
      <c r="M55" s="20">
        <f>IF(A55="","",IF(OR(J55="",Inputs!$B$59=""),0,IFERROR(INDEX(Elements_hybrides!$F$4:$F$204,MATCH(J55,Elements_hybrides!$A$4:$A$204,0))/(Inputs!$B$59*60),0)))</f>
        <v/>
      </c>
      <c r="N55" s="20">
        <f>IF(A55="","",IF(L55="",Inputs!$B$14,L55)+M55)</f>
        <v/>
      </c>
    </row>
    <row r="56">
      <c r="A56" s="4" t="n"/>
      <c r="B56" s="4" t="n"/>
      <c r="C56" s="4" t="n"/>
      <c r="D56" s="7" t="n"/>
      <c r="E56" s="7" t="n"/>
      <c r="F56" s="20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20">
        <f>IF(A56="","",N56)</f>
        <v/>
      </c>
      <c r="H56" s="20">
        <f>IF(A56="","",Inputs!$B$3/((IF(G56="",Inputs!$B$14,G56)+Inputs!$B$4)^Inputs!$B$5))</f>
        <v/>
      </c>
      <c r="I56" s="20">
        <f>IF(A56="","",2.78E-7*F56*D56*H56)</f>
        <v/>
      </c>
      <c r="J56" s="4" t="n"/>
      <c r="K56" s="4" t="n"/>
      <c r="L56" s="5" t="n"/>
      <c r="M56" s="20">
        <f>IF(A56="","",IF(OR(J56="",Inputs!$B$59=""),0,IFERROR(INDEX(Elements_hybrides!$F$4:$F$204,MATCH(J56,Elements_hybrides!$A$4:$A$204,0))/(Inputs!$B$59*60),0)))</f>
        <v/>
      </c>
      <c r="N56" s="20">
        <f>IF(A56="","",IF(L56="",Inputs!$B$14,L56)+M56)</f>
        <v/>
      </c>
    </row>
    <row r="57">
      <c r="A57" s="4" t="n"/>
      <c r="B57" s="4" t="n"/>
      <c r="C57" s="4" t="n"/>
      <c r="D57" s="7" t="n"/>
      <c r="E57" s="7" t="n"/>
      <c r="F57" s="20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20">
        <f>IF(A57="","",N57)</f>
        <v/>
      </c>
      <c r="H57" s="20">
        <f>IF(A57="","",Inputs!$B$3/((IF(G57="",Inputs!$B$14,G57)+Inputs!$B$4)^Inputs!$B$5))</f>
        <v/>
      </c>
      <c r="I57" s="20">
        <f>IF(A57="","",2.78E-7*F57*D57*H57)</f>
        <v/>
      </c>
      <c r="J57" s="4" t="n"/>
      <c r="K57" s="4" t="n"/>
      <c r="L57" s="5" t="n"/>
      <c r="M57" s="20">
        <f>IF(A57="","",IF(OR(J57="",Inputs!$B$59=""),0,IFERROR(INDEX(Elements_hybrides!$F$4:$F$204,MATCH(J57,Elements_hybrides!$A$4:$A$204,0))/(Inputs!$B$59*60),0)))</f>
        <v/>
      </c>
      <c r="N57" s="20">
        <f>IF(A57="","",IF(L57="",Inputs!$B$14,L57)+M57)</f>
        <v/>
      </c>
    </row>
    <row r="58">
      <c r="A58" s="4" t="n"/>
      <c r="B58" s="4" t="n"/>
      <c r="C58" s="4" t="n"/>
      <c r="D58" s="7" t="n"/>
      <c r="E58" s="7" t="n"/>
      <c r="F58" s="20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20">
        <f>IF(A58="","",N58)</f>
        <v/>
      </c>
      <c r="H58" s="20">
        <f>IF(A58="","",Inputs!$B$3/((IF(G58="",Inputs!$B$14,G58)+Inputs!$B$4)^Inputs!$B$5))</f>
        <v/>
      </c>
      <c r="I58" s="20">
        <f>IF(A58="","",2.78E-7*F58*D58*H58)</f>
        <v/>
      </c>
      <c r="J58" s="4" t="n"/>
      <c r="K58" s="4" t="n"/>
      <c r="L58" s="5" t="n"/>
      <c r="M58" s="20">
        <f>IF(A58="","",IF(OR(J58="",Inputs!$B$59=""),0,IFERROR(INDEX(Elements_hybrides!$F$4:$F$204,MATCH(J58,Elements_hybrides!$A$4:$A$204,0))/(Inputs!$B$59*60),0)))</f>
        <v/>
      </c>
      <c r="N58" s="20">
        <f>IF(A58="","",IF(L58="",Inputs!$B$14,L58)+M58)</f>
        <v/>
      </c>
    </row>
    <row r="59">
      <c r="A59" s="4" t="n"/>
      <c r="B59" s="4" t="n"/>
      <c r="C59" s="4" t="n"/>
      <c r="D59" s="7" t="n"/>
      <c r="E59" s="7" t="n"/>
      <c r="F59" s="20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20">
        <f>IF(A59="","",N59)</f>
        <v/>
      </c>
      <c r="H59" s="20">
        <f>IF(A59="","",Inputs!$B$3/((IF(G59="",Inputs!$B$14,G59)+Inputs!$B$4)^Inputs!$B$5))</f>
        <v/>
      </c>
      <c r="I59" s="20">
        <f>IF(A59="","",2.78E-7*F59*D59*H59)</f>
        <v/>
      </c>
      <c r="J59" s="4" t="n"/>
      <c r="K59" s="4" t="n"/>
      <c r="L59" s="5" t="n"/>
      <c r="M59" s="20">
        <f>IF(A59="","",IF(OR(J59="",Inputs!$B$59=""),0,IFERROR(INDEX(Elements_hybrides!$F$4:$F$204,MATCH(J59,Elements_hybrides!$A$4:$A$204,0))/(Inputs!$B$59*60),0)))</f>
        <v/>
      </c>
      <c r="N59" s="20">
        <f>IF(A59="","",IF(L59="",Inputs!$B$14,L59)+M59)</f>
        <v/>
      </c>
    </row>
    <row r="60">
      <c r="A60" s="4" t="n"/>
      <c r="B60" s="4" t="n"/>
      <c r="C60" s="4" t="n"/>
      <c r="D60" s="7" t="n"/>
      <c r="E60" s="7" t="n"/>
      <c r="F60" s="20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20">
        <f>IF(A60="","",N60)</f>
        <v/>
      </c>
      <c r="H60" s="20">
        <f>IF(A60="","",Inputs!$B$3/((IF(G60="",Inputs!$B$14,G60)+Inputs!$B$4)^Inputs!$B$5))</f>
        <v/>
      </c>
      <c r="I60" s="20">
        <f>IF(A60="","",2.78E-7*F60*D60*H60)</f>
        <v/>
      </c>
      <c r="J60" s="4" t="n"/>
      <c r="K60" s="4" t="n"/>
      <c r="L60" s="5" t="n"/>
      <c r="M60" s="20">
        <f>IF(A60="","",IF(OR(J60="",Inputs!$B$59=""),0,IFERROR(INDEX(Elements_hybrides!$F$4:$F$204,MATCH(J60,Elements_hybrides!$A$4:$A$204,0))/(Inputs!$B$59*60),0)))</f>
        <v/>
      </c>
      <c r="N60" s="20">
        <f>IF(A60="","",IF(L60="",Inputs!$B$14,L60)+M60)</f>
        <v/>
      </c>
    </row>
    <row r="61">
      <c r="A61" s="4" t="n"/>
      <c r="B61" s="4" t="n"/>
      <c r="C61" s="4" t="n"/>
      <c r="D61" s="7" t="n"/>
      <c r="E61" s="7" t="n"/>
      <c r="F61" s="20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20">
        <f>IF(A61="","",N61)</f>
        <v/>
      </c>
      <c r="H61" s="20">
        <f>IF(A61="","",Inputs!$B$3/((IF(G61="",Inputs!$B$14,G61)+Inputs!$B$4)^Inputs!$B$5))</f>
        <v/>
      </c>
      <c r="I61" s="20">
        <f>IF(A61="","",2.78E-7*F61*D61*H61)</f>
        <v/>
      </c>
      <c r="J61" s="4" t="n"/>
      <c r="K61" s="4" t="n"/>
      <c r="L61" s="5" t="n"/>
      <c r="M61" s="20">
        <f>IF(A61="","",IF(OR(J61="",Inputs!$B$59=""),0,IFERROR(INDEX(Elements_hybrides!$F$4:$F$204,MATCH(J61,Elements_hybrides!$A$4:$A$204,0))/(Inputs!$B$59*60),0)))</f>
        <v/>
      </c>
      <c r="N61" s="20">
        <f>IF(A61="","",IF(L61="",Inputs!$B$14,L61)+M61)</f>
        <v/>
      </c>
    </row>
    <row r="62">
      <c r="A62" s="4" t="n"/>
      <c r="B62" s="4" t="n"/>
      <c r="C62" s="4" t="n"/>
      <c r="D62" s="7" t="n"/>
      <c r="E62" s="7" t="n"/>
      <c r="F62" s="20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20">
        <f>IF(A62="","",N62)</f>
        <v/>
      </c>
      <c r="H62" s="20">
        <f>IF(A62="","",Inputs!$B$3/((IF(G62="",Inputs!$B$14,G62)+Inputs!$B$4)^Inputs!$B$5))</f>
        <v/>
      </c>
      <c r="I62" s="20">
        <f>IF(A62="","",2.78E-7*F62*D62*H62)</f>
        <v/>
      </c>
      <c r="J62" s="4" t="n"/>
      <c r="K62" s="4" t="n"/>
      <c r="L62" s="5" t="n"/>
      <c r="M62" s="20">
        <f>IF(A62="","",IF(OR(J62="",Inputs!$B$59=""),0,IFERROR(INDEX(Elements_hybrides!$F$4:$F$204,MATCH(J62,Elements_hybrides!$A$4:$A$204,0))/(Inputs!$B$59*60),0)))</f>
        <v/>
      </c>
      <c r="N62" s="20">
        <f>IF(A62="","",IF(L62="",Inputs!$B$14,L62)+M62)</f>
        <v/>
      </c>
    </row>
    <row r="63">
      <c r="A63" s="4" t="n"/>
      <c r="B63" s="4" t="n"/>
      <c r="C63" s="4" t="n"/>
      <c r="D63" s="7" t="n"/>
      <c r="E63" s="7" t="n"/>
      <c r="F63" s="20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20">
        <f>IF(A63="","",N63)</f>
        <v/>
      </c>
      <c r="H63" s="20">
        <f>IF(A63="","",Inputs!$B$3/((IF(G63="",Inputs!$B$14,G63)+Inputs!$B$4)^Inputs!$B$5))</f>
        <v/>
      </c>
      <c r="I63" s="20">
        <f>IF(A63="","",2.78E-7*F63*D63*H63)</f>
        <v/>
      </c>
      <c r="J63" s="4" t="n"/>
      <c r="K63" s="4" t="n"/>
      <c r="L63" s="5" t="n"/>
      <c r="M63" s="20">
        <f>IF(A63="","",IF(OR(J63="",Inputs!$B$59=""),0,IFERROR(INDEX(Elements_hybrides!$F$4:$F$204,MATCH(J63,Elements_hybrides!$A$4:$A$204,0))/(Inputs!$B$59*60),0)))</f>
        <v/>
      </c>
      <c r="N63" s="20">
        <f>IF(A63="","",IF(L63="",Inputs!$B$14,L63)+M63)</f>
        <v/>
      </c>
    </row>
    <row r="64">
      <c r="A64" s="4" t="n"/>
      <c r="B64" s="4" t="n"/>
      <c r="C64" s="4" t="n"/>
      <c r="D64" s="7" t="n"/>
      <c r="E64" s="7" t="n"/>
      <c r="F64" s="20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20">
        <f>IF(A64="","",N64)</f>
        <v/>
      </c>
      <c r="H64" s="20">
        <f>IF(A64="","",Inputs!$B$3/((IF(G64="",Inputs!$B$14,G64)+Inputs!$B$4)^Inputs!$B$5))</f>
        <v/>
      </c>
      <c r="I64" s="20">
        <f>IF(A64="","",2.78E-7*F64*D64*H64)</f>
        <v/>
      </c>
      <c r="J64" s="4" t="n"/>
      <c r="K64" s="4" t="n"/>
      <c r="L64" s="5" t="n"/>
      <c r="M64" s="20">
        <f>IF(A64="","",IF(OR(J64="",Inputs!$B$59=""),0,IFERROR(INDEX(Elements_hybrides!$F$4:$F$204,MATCH(J64,Elements_hybrides!$A$4:$A$204,0))/(Inputs!$B$59*60),0)))</f>
        <v/>
      </c>
      <c r="N64" s="20">
        <f>IF(A64="","",IF(L64="",Inputs!$B$14,L64)+M64)</f>
        <v/>
      </c>
    </row>
    <row r="65">
      <c r="A65" s="4" t="n"/>
      <c r="B65" s="4" t="n"/>
      <c r="C65" s="4" t="n"/>
      <c r="D65" s="7" t="n"/>
      <c r="E65" s="7" t="n"/>
      <c r="F65" s="20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20">
        <f>IF(A65="","",N65)</f>
        <v/>
      </c>
      <c r="H65" s="20">
        <f>IF(A65="","",Inputs!$B$3/((IF(G65="",Inputs!$B$14,G65)+Inputs!$B$4)^Inputs!$B$5))</f>
        <v/>
      </c>
      <c r="I65" s="20">
        <f>IF(A65="","",2.78E-7*F65*D65*H65)</f>
        <v/>
      </c>
      <c r="J65" s="4" t="n"/>
      <c r="K65" s="4" t="n"/>
      <c r="L65" s="5" t="n"/>
      <c r="M65" s="20">
        <f>IF(A65="","",IF(OR(J65="",Inputs!$B$59=""),0,IFERROR(INDEX(Elements_hybrides!$F$4:$F$204,MATCH(J65,Elements_hybrides!$A$4:$A$204,0))/(Inputs!$B$59*60),0)))</f>
        <v/>
      </c>
      <c r="N65" s="20">
        <f>IF(A65="","",IF(L65="",Inputs!$B$14,L65)+M65)</f>
        <v/>
      </c>
    </row>
    <row r="66">
      <c r="A66" s="4" t="n"/>
      <c r="B66" s="4" t="n"/>
      <c r="C66" s="4" t="n"/>
      <c r="D66" s="7" t="n"/>
      <c r="E66" s="7" t="n"/>
      <c r="F66" s="20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20">
        <f>IF(A66="","",N66)</f>
        <v/>
      </c>
      <c r="H66" s="20">
        <f>IF(A66="","",Inputs!$B$3/((IF(G66="",Inputs!$B$14,G66)+Inputs!$B$4)^Inputs!$B$5))</f>
        <v/>
      </c>
      <c r="I66" s="20">
        <f>IF(A66="","",2.78E-7*F66*D66*H66)</f>
        <v/>
      </c>
      <c r="J66" s="4" t="n"/>
      <c r="K66" s="4" t="n"/>
      <c r="L66" s="5" t="n"/>
      <c r="M66" s="20">
        <f>IF(A66="","",IF(OR(J66="",Inputs!$B$59=""),0,IFERROR(INDEX(Elements_hybrides!$F$4:$F$204,MATCH(J66,Elements_hybrides!$A$4:$A$204,0))/(Inputs!$B$59*60),0)))</f>
        <v/>
      </c>
      <c r="N66" s="20">
        <f>IF(A66="","",IF(L66="",Inputs!$B$14,L66)+M66)</f>
        <v/>
      </c>
    </row>
    <row r="67">
      <c r="A67" s="4" t="n"/>
      <c r="B67" s="4" t="n"/>
      <c r="C67" s="4" t="n"/>
      <c r="D67" s="7" t="n"/>
      <c r="E67" s="7" t="n"/>
      <c r="F67" s="20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20">
        <f>IF(A67="","",N67)</f>
        <v/>
      </c>
      <c r="H67" s="20">
        <f>IF(A67="","",Inputs!$B$3/((IF(G67="",Inputs!$B$14,G67)+Inputs!$B$4)^Inputs!$B$5))</f>
        <v/>
      </c>
      <c r="I67" s="20">
        <f>IF(A67="","",2.78E-7*F67*D67*H67)</f>
        <v/>
      </c>
      <c r="J67" s="4" t="n"/>
      <c r="K67" s="4" t="n"/>
      <c r="L67" s="5" t="n"/>
      <c r="M67" s="20">
        <f>IF(A67="","",IF(OR(J67="",Inputs!$B$59=""),0,IFERROR(INDEX(Elements_hybrides!$F$4:$F$204,MATCH(J67,Elements_hybrides!$A$4:$A$204,0))/(Inputs!$B$59*60),0)))</f>
        <v/>
      </c>
      <c r="N67" s="20">
        <f>IF(A67="","",IF(L67="",Inputs!$B$14,L67)+M67)</f>
        <v/>
      </c>
    </row>
    <row r="68">
      <c r="A68" s="4" t="n"/>
      <c r="B68" s="4" t="n"/>
      <c r="C68" s="4" t="n"/>
      <c r="D68" s="7" t="n"/>
      <c r="E68" s="7" t="n"/>
      <c r="F68" s="20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20">
        <f>IF(A68="","",N68)</f>
        <v/>
      </c>
      <c r="H68" s="20">
        <f>IF(A68="","",Inputs!$B$3/((IF(G68="",Inputs!$B$14,G68)+Inputs!$B$4)^Inputs!$B$5))</f>
        <v/>
      </c>
      <c r="I68" s="20">
        <f>IF(A68="","",2.78E-7*F68*D68*H68)</f>
        <v/>
      </c>
      <c r="J68" s="4" t="n"/>
      <c r="K68" s="4" t="n"/>
      <c r="L68" s="5" t="n"/>
      <c r="M68" s="20">
        <f>IF(A68="","",IF(OR(J68="",Inputs!$B$59=""),0,IFERROR(INDEX(Elements_hybrides!$F$4:$F$204,MATCH(J68,Elements_hybrides!$A$4:$A$204,0))/(Inputs!$B$59*60),0)))</f>
        <v/>
      </c>
      <c r="N68" s="20">
        <f>IF(A68="","",IF(L68="",Inputs!$B$14,L68)+M68)</f>
        <v/>
      </c>
    </row>
    <row r="69">
      <c r="A69" s="4" t="n"/>
      <c r="B69" s="4" t="n"/>
      <c r="C69" s="4" t="n"/>
      <c r="D69" s="7" t="n"/>
      <c r="E69" s="7" t="n"/>
      <c r="F69" s="20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20">
        <f>IF(A69="","",N69)</f>
        <v/>
      </c>
      <c r="H69" s="20">
        <f>IF(A69="","",Inputs!$B$3/((IF(G69="",Inputs!$B$14,G69)+Inputs!$B$4)^Inputs!$B$5))</f>
        <v/>
      </c>
      <c r="I69" s="20">
        <f>IF(A69="","",2.78E-7*F69*D69*H69)</f>
        <v/>
      </c>
      <c r="J69" s="4" t="n"/>
      <c r="K69" s="4" t="n"/>
      <c r="L69" s="5" t="n"/>
      <c r="M69" s="20">
        <f>IF(A69="","",IF(OR(J69="",Inputs!$B$59=""),0,IFERROR(INDEX(Elements_hybrides!$F$4:$F$204,MATCH(J69,Elements_hybrides!$A$4:$A$204,0))/(Inputs!$B$59*60),0)))</f>
        <v/>
      </c>
      <c r="N69" s="20">
        <f>IF(A69="","",IF(L69="",Inputs!$B$14,L69)+M69)</f>
        <v/>
      </c>
    </row>
    <row r="70">
      <c r="A70" s="4" t="n"/>
      <c r="B70" s="4" t="n"/>
      <c r="C70" s="4" t="n"/>
      <c r="D70" s="7" t="n"/>
      <c r="E70" s="7" t="n"/>
      <c r="F70" s="20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20">
        <f>IF(A70="","",N70)</f>
        <v/>
      </c>
      <c r="H70" s="20">
        <f>IF(A70="","",Inputs!$B$3/((IF(G70="",Inputs!$B$14,G70)+Inputs!$B$4)^Inputs!$B$5))</f>
        <v/>
      </c>
      <c r="I70" s="20">
        <f>IF(A70="","",2.78E-7*F70*D70*H70)</f>
        <v/>
      </c>
      <c r="J70" s="4" t="n"/>
      <c r="K70" s="4" t="n"/>
      <c r="L70" s="5" t="n"/>
      <c r="M70" s="20">
        <f>IF(A70="","",IF(OR(J70="",Inputs!$B$59=""),0,IFERROR(INDEX(Elements_hybrides!$F$4:$F$204,MATCH(J70,Elements_hybrides!$A$4:$A$204,0))/(Inputs!$B$59*60),0)))</f>
        <v/>
      </c>
      <c r="N70" s="20">
        <f>IF(A70="","",IF(L70="",Inputs!$B$14,L70)+M70)</f>
        <v/>
      </c>
    </row>
    <row r="71">
      <c r="A71" s="4" t="n"/>
      <c r="B71" s="4" t="n"/>
      <c r="C71" s="4" t="n"/>
      <c r="D71" s="7" t="n"/>
      <c r="E71" s="7" t="n"/>
      <c r="F71" s="20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20">
        <f>IF(A71="","",N71)</f>
        <v/>
      </c>
      <c r="H71" s="20">
        <f>IF(A71="","",Inputs!$B$3/((IF(G71="",Inputs!$B$14,G71)+Inputs!$B$4)^Inputs!$B$5))</f>
        <v/>
      </c>
      <c r="I71" s="20">
        <f>IF(A71="","",2.78E-7*F71*D71*H71)</f>
        <v/>
      </c>
      <c r="J71" s="4" t="n"/>
      <c r="K71" s="4" t="n"/>
      <c r="L71" s="5" t="n"/>
      <c r="M71" s="20">
        <f>IF(A71="","",IF(OR(J71="",Inputs!$B$59=""),0,IFERROR(INDEX(Elements_hybrides!$F$4:$F$204,MATCH(J71,Elements_hybrides!$A$4:$A$204,0))/(Inputs!$B$59*60),0)))</f>
        <v/>
      </c>
      <c r="N71" s="20">
        <f>IF(A71="","",IF(L71="",Inputs!$B$14,L71)+M71)</f>
        <v/>
      </c>
    </row>
    <row r="72">
      <c r="A72" s="4" t="n"/>
      <c r="B72" s="4" t="n"/>
      <c r="C72" s="4" t="n"/>
      <c r="D72" s="7" t="n"/>
      <c r="E72" s="7" t="n"/>
      <c r="F72" s="20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20">
        <f>IF(A72="","",N72)</f>
        <v/>
      </c>
      <c r="H72" s="20">
        <f>IF(A72="","",Inputs!$B$3/((IF(G72="",Inputs!$B$14,G72)+Inputs!$B$4)^Inputs!$B$5))</f>
        <v/>
      </c>
      <c r="I72" s="20">
        <f>IF(A72="","",2.78E-7*F72*D72*H72)</f>
        <v/>
      </c>
      <c r="J72" s="4" t="n"/>
      <c r="K72" s="4" t="n"/>
      <c r="L72" s="5" t="n"/>
      <c r="M72" s="20">
        <f>IF(A72="","",IF(OR(J72="",Inputs!$B$59=""),0,IFERROR(INDEX(Elements_hybrides!$F$4:$F$204,MATCH(J72,Elements_hybrides!$A$4:$A$204,0))/(Inputs!$B$59*60),0)))</f>
        <v/>
      </c>
      <c r="N72" s="20">
        <f>IF(A72="","",IF(L72="",Inputs!$B$14,L72)+M72)</f>
        <v/>
      </c>
    </row>
    <row r="73">
      <c r="A73" s="4" t="n"/>
      <c r="B73" s="4" t="n"/>
      <c r="C73" s="4" t="n"/>
      <c r="D73" s="7" t="n"/>
      <c r="E73" s="7" t="n"/>
      <c r="F73" s="20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20">
        <f>IF(A73="","",N73)</f>
        <v/>
      </c>
      <c r="H73" s="20">
        <f>IF(A73="","",Inputs!$B$3/((IF(G73="",Inputs!$B$14,G73)+Inputs!$B$4)^Inputs!$B$5))</f>
        <v/>
      </c>
      <c r="I73" s="20">
        <f>IF(A73="","",2.78E-7*F73*D73*H73)</f>
        <v/>
      </c>
      <c r="J73" s="4" t="n"/>
      <c r="K73" s="4" t="n"/>
      <c r="L73" s="5" t="n"/>
      <c r="M73" s="20">
        <f>IF(A73="","",IF(OR(J73="",Inputs!$B$59=""),0,IFERROR(INDEX(Elements_hybrides!$F$4:$F$204,MATCH(J73,Elements_hybrides!$A$4:$A$204,0))/(Inputs!$B$59*60),0)))</f>
        <v/>
      </c>
      <c r="N73" s="20">
        <f>IF(A73="","",IF(L73="",Inputs!$B$14,L73)+M73)</f>
        <v/>
      </c>
    </row>
    <row r="74">
      <c r="A74" s="4" t="n"/>
      <c r="B74" s="4" t="n"/>
      <c r="C74" s="4" t="n"/>
      <c r="D74" s="7" t="n"/>
      <c r="E74" s="7" t="n"/>
      <c r="F74" s="20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20">
        <f>IF(A74="","",N74)</f>
        <v/>
      </c>
      <c r="H74" s="20">
        <f>IF(A74="","",Inputs!$B$3/((IF(G74="",Inputs!$B$14,G74)+Inputs!$B$4)^Inputs!$B$5))</f>
        <v/>
      </c>
      <c r="I74" s="20">
        <f>IF(A74="","",2.78E-7*F74*D74*H74)</f>
        <v/>
      </c>
      <c r="J74" s="4" t="n"/>
      <c r="K74" s="4" t="n"/>
      <c r="L74" s="5" t="n"/>
      <c r="M74" s="20">
        <f>IF(A74="","",IF(OR(J74="",Inputs!$B$59=""),0,IFERROR(INDEX(Elements_hybrides!$F$4:$F$204,MATCH(J74,Elements_hybrides!$A$4:$A$204,0))/(Inputs!$B$59*60),0)))</f>
        <v/>
      </c>
      <c r="N74" s="20">
        <f>IF(A74="","",IF(L74="",Inputs!$B$14,L74)+M74)</f>
        <v/>
      </c>
    </row>
    <row r="75">
      <c r="A75" s="4" t="n"/>
      <c r="B75" s="4" t="n"/>
      <c r="C75" s="4" t="n"/>
      <c r="D75" s="7" t="n"/>
      <c r="E75" s="7" t="n"/>
      <c r="F75" s="20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20">
        <f>IF(A75="","",N75)</f>
        <v/>
      </c>
      <c r="H75" s="20">
        <f>IF(A75="","",Inputs!$B$3/((IF(G75="",Inputs!$B$14,G75)+Inputs!$B$4)^Inputs!$B$5))</f>
        <v/>
      </c>
      <c r="I75" s="20">
        <f>IF(A75="","",2.78E-7*F75*D75*H75)</f>
        <v/>
      </c>
      <c r="J75" s="4" t="n"/>
      <c r="K75" s="4" t="n"/>
      <c r="L75" s="5" t="n"/>
      <c r="M75" s="20">
        <f>IF(A75="","",IF(OR(J75="",Inputs!$B$59=""),0,IFERROR(INDEX(Elements_hybrides!$F$4:$F$204,MATCH(J75,Elements_hybrides!$A$4:$A$204,0))/(Inputs!$B$59*60),0)))</f>
        <v/>
      </c>
      <c r="N75" s="20">
        <f>IF(A75="","",IF(L75="",Inputs!$B$14,L75)+M75)</f>
        <v/>
      </c>
    </row>
    <row r="76">
      <c r="A76" s="4" t="n"/>
      <c r="B76" s="4" t="n"/>
      <c r="C76" s="4" t="n"/>
      <c r="D76" s="7" t="n"/>
      <c r="E76" s="7" t="n"/>
      <c r="F76" s="20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20">
        <f>IF(A76="","",N76)</f>
        <v/>
      </c>
      <c r="H76" s="20">
        <f>IF(A76="","",Inputs!$B$3/((IF(G76="",Inputs!$B$14,G76)+Inputs!$B$4)^Inputs!$B$5))</f>
        <v/>
      </c>
      <c r="I76" s="20">
        <f>IF(A76="","",2.78E-7*F76*D76*H76)</f>
        <v/>
      </c>
      <c r="J76" s="4" t="n"/>
      <c r="K76" s="4" t="n"/>
      <c r="L76" s="5" t="n"/>
      <c r="M76" s="20">
        <f>IF(A76="","",IF(OR(J76="",Inputs!$B$59=""),0,IFERROR(INDEX(Elements_hybrides!$F$4:$F$204,MATCH(J76,Elements_hybrides!$A$4:$A$204,0))/(Inputs!$B$59*60),0)))</f>
        <v/>
      </c>
      <c r="N76" s="20">
        <f>IF(A76="","",IF(L76="",Inputs!$B$14,L76)+M76)</f>
        <v/>
      </c>
    </row>
    <row r="77">
      <c r="A77" s="4" t="n"/>
      <c r="B77" s="4" t="n"/>
      <c r="C77" s="4" t="n"/>
      <c r="D77" s="7" t="n"/>
      <c r="E77" s="7" t="n"/>
      <c r="F77" s="20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20">
        <f>IF(A77="","",N77)</f>
        <v/>
      </c>
      <c r="H77" s="20">
        <f>IF(A77="","",Inputs!$B$3/((IF(G77="",Inputs!$B$14,G77)+Inputs!$B$4)^Inputs!$B$5))</f>
        <v/>
      </c>
      <c r="I77" s="20">
        <f>IF(A77="","",2.78E-7*F77*D77*H77)</f>
        <v/>
      </c>
      <c r="J77" s="4" t="n"/>
      <c r="K77" s="4" t="n"/>
      <c r="L77" s="5" t="n"/>
      <c r="M77" s="20">
        <f>IF(A77="","",IF(OR(J77="",Inputs!$B$59=""),0,IFERROR(INDEX(Elements_hybrides!$F$4:$F$204,MATCH(J77,Elements_hybrides!$A$4:$A$204,0))/(Inputs!$B$59*60),0)))</f>
        <v/>
      </c>
      <c r="N77" s="20">
        <f>IF(A77="","",IF(L77="",Inputs!$B$14,L77)+M77)</f>
        <v/>
      </c>
    </row>
    <row r="78">
      <c r="A78" s="4" t="n"/>
      <c r="B78" s="4" t="n"/>
      <c r="C78" s="4" t="n"/>
      <c r="D78" s="7" t="n"/>
      <c r="E78" s="7" t="n"/>
      <c r="F78" s="20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20">
        <f>IF(A78="","",N78)</f>
        <v/>
      </c>
      <c r="H78" s="20">
        <f>IF(A78="","",Inputs!$B$3/((IF(G78="",Inputs!$B$14,G78)+Inputs!$B$4)^Inputs!$B$5))</f>
        <v/>
      </c>
      <c r="I78" s="20">
        <f>IF(A78="","",2.78E-7*F78*D78*H78)</f>
        <v/>
      </c>
      <c r="J78" s="4" t="n"/>
      <c r="K78" s="4" t="n"/>
      <c r="L78" s="5" t="n"/>
      <c r="M78" s="20">
        <f>IF(A78="","",IF(OR(J78="",Inputs!$B$59=""),0,IFERROR(INDEX(Elements_hybrides!$F$4:$F$204,MATCH(J78,Elements_hybrides!$A$4:$A$204,0))/(Inputs!$B$59*60),0)))</f>
        <v/>
      </c>
      <c r="N78" s="20">
        <f>IF(A78="","",IF(L78="",Inputs!$B$14,L78)+M78)</f>
        <v/>
      </c>
    </row>
    <row r="79">
      <c r="A79" s="4" t="n"/>
      <c r="B79" s="4" t="n"/>
      <c r="C79" s="4" t="n"/>
      <c r="D79" s="7" t="n"/>
      <c r="E79" s="7" t="n"/>
      <c r="F79" s="20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20">
        <f>IF(A79="","",N79)</f>
        <v/>
      </c>
      <c r="H79" s="20">
        <f>IF(A79="","",Inputs!$B$3/((IF(G79="",Inputs!$B$14,G79)+Inputs!$B$4)^Inputs!$B$5))</f>
        <v/>
      </c>
      <c r="I79" s="20">
        <f>IF(A79="","",2.78E-7*F79*D79*H79)</f>
        <v/>
      </c>
      <c r="J79" s="4" t="n"/>
      <c r="K79" s="4" t="n"/>
      <c r="L79" s="5" t="n"/>
      <c r="M79" s="20">
        <f>IF(A79="","",IF(OR(J79="",Inputs!$B$59=""),0,IFERROR(INDEX(Elements_hybrides!$F$4:$F$204,MATCH(J79,Elements_hybrides!$A$4:$A$204,0))/(Inputs!$B$59*60),0)))</f>
        <v/>
      </c>
      <c r="N79" s="20">
        <f>IF(A79="","",IF(L79="",Inputs!$B$14,L79)+M79)</f>
        <v/>
      </c>
    </row>
    <row r="80">
      <c r="A80" s="4" t="n"/>
      <c r="B80" s="4" t="n"/>
      <c r="C80" s="4" t="n"/>
      <c r="D80" s="7" t="n"/>
      <c r="E80" s="7" t="n"/>
      <c r="F80" s="20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20">
        <f>IF(A80="","",N80)</f>
        <v/>
      </c>
      <c r="H80" s="20">
        <f>IF(A80="","",Inputs!$B$3/((IF(G80="",Inputs!$B$14,G80)+Inputs!$B$4)^Inputs!$B$5))</f>
        <v/>
      </c>
      <c r="I80" s="20">
        <f>IF(A80="","",2.78E-7*F80*D80*H80)</f>
        <v/>
      </c>
      <c r="J80" s="4" t="n"/>
      <c r="K80" s="4" t="n"/>
      <c r="L80" s="5" t="n"/>
      <c r="M80" s="20">
        <f>IF(A80="","",IF(OR(J80="",Inputs!$B$59=""),0,IFERROR(INDEX(Elements_hybrides!$F$4:$F$204,MATCH(J80,Elements_hybrides!$A$4:$A$204,0))/(Inputs!$B$59*60),0)))</f>
        <v/>
      </c>
      <c r="N80" s="20">
        <f>IF(A80="","",IF(L80="",Inputs!$B$14,L80)+M80)</f>
        <v/>
      </c>
    </row>
    <row r="81">
      <c r="A81" s="4" t="n"/>
      <c r="B81" s="4" t="n"/>
      <c r="C81" s="4" t="n"/>
      <c r="D81" s="7" t="n"/>
      <c r="E81" s="7" t="n"/>
      <c r="F81" s="20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20">
        <f>IF(A81="","",N81)</f>
        <v/>
      </c>
      <c r="H81" s="20">
        <f>IF(A81="","",Inputs!$B$3/((IF(G81="",Inputs!$B$14,G81)+Inputs!$B$4)^Inputs!$B$5))</f>
        <v/>
      </c>
      <c r="I81" s="20">
        <f>IF(A81="","",2.78E-7*F81*D81*H81)</f>
        <v/>
      </c>
      <c r="J81" s="4" t="n"/>
      <c r="K81" s="4" t="n"/>
      <c r="L81" s="5" t="n"/>
      <c r="M81" s="20">
        <f>IF(A81="","",IF(OR(J81="",Inputs!$B$59=""),0,IFERROR(INDEX(Elements_hybrides!$F$4:$F$204,MATCH(J81,Elements_hybrides!$A$4:$A$204,0))/(Inputs!$B$59*60),0)))</f>
        <v/>
      </c>
      <c r="N81" s="20">
        <f>IF(A81="","",IF(L81="",Inputs!$B$14,L81)+M81)</f>
        <v/>
      </c>
    </row>
    <row r="82">
      <c r="A82" s="4" t="n"/>
      <c r="B82" s="4" t="n"/>
      <c r="C82" s="4" t="n"/>
      <c r="D82" s="7" t="n"/>
      <c r="E82" s="7" t="n"/>
      <c r="F82" s="20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20">
        <f>IF(A82="","",N82)</f>
        <v/>
      </c>
      <c r="H82" s="20">
        <f>IF(A82="","",Inputs!$B$3/((IF(G82="",Inputs!$B$14,G82)+Inputs!$B$4)^Inputs!$B$5))</f>
        <v/>
      </c>
      <c r="I82" s="20">
        <f>IF(A82="","",2.78E-7*F82*D82*H82)</f>
        <v/>
      </c>
      <c r="J82" s="4" t="n"/>
      <c r="K82" s="4" t="n"/>
      <c r="L82" s="5" t="n"/>
      <c r="M82" s="20">
        <f>IF(A82="","",IF(OR(J82="",Inputs!$B$59=""),0,IFERROR(INDEX(Elements_hybrides!$F$4:$F$204,MATCH(J82,Elements_hybrides!$A$4:$A$204,0))/(Inputs!$B$59*60),0)))</f>
        <v/>
      </c>
      <c r="N82" s="20">
        <f>IF(A82="","",IF(L82="",Inputs!$B$14,L82)+M82)</f>
        <v/>
      </c>
    </row>
    <row r="83">
      <c r="A83" s="4" t="n"/>
      <c r="B83" s="4" t="n"/>
      <c r="C83" s="4" t="n"/>
      <c r="D83" s="7" t="n"/>
      <c r="E83" s="7" t="n"/>
      <c r="F83" s="20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20">
        <f>IF(A83="","",N83)</f>
        <v/>
      </c>
      <c r="H83" s="20">
        <f>IF(A83="","",Inputs!$B$3/((IF(G83="",Inputs!$B$14,G83)+Inputs!$B$4)^Inputs!$B$5))</f>
        <v/>
      </c>
      <c r="I83" s="20">
        <f>IF(A83="","",2.78E-7*F83*D83*H83)</f>
        <v/>
      </c>
      <c r="J83" s="4" t="n"/>
      <c r="K83" s="4" t="n"/>
      <c r="L83" s="5" t="n"/>
      <c r="M83" s="20">
        <f>IF(A83="","",IF(OR(J83="",Inputs!$B$59=""),0,IFERROR(INDEX(Elements_hybrides!$F$4:$F$204,MATCH(J83,Elements_hybrides!$A$4:$A$204,0))/(Inputs!$B$59*60),0)))</f>
        <v/>
      </c>
      <c r="N83" s="20">
        <f>IF(A83="","",IF(L83="",Inputs!$B$14,L83)+M83)</f>
        <v/>
      </c>
    </row>
    <row r="84">
      <c r="A84" s="4" t="n"/>
      <c r="B84" s="4" t="n"/>
      <c r="C84" s="4" t="n"/>
      <c r="D84" s="7" t="n"/>
      <c r="E84" s="7" t="n"/>
      <c r="F84" s="20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20">
        <f>IF(A84="","",N84)</f>
        <v/>
      </c>
      <c r="H84" s="20">
        <f>IF(A84="","",Inputs!$B$3/((IF(G84="",Inputs!$B$14,G84)+Inputs!$B$4)^Inputs!$B$5))</f>
        <v/>
      </c>
      <c r="I84" s="20">
        <f>IF(A84="","",2.78E-7*F84*D84*H84)</f>
        <v/>
      </c>
      <c r="J84" s="4" t="n"/>
      <c r="K84" s="4" t="n"/>
      <c r="L84" s="5" t="n"/>
      <c r="M84" s="20">
        <f>IF(A84="","",IF(OR(J84="",Inputs!$B$59=""),0,IFERROR(INDEX(Elements_hybrides!$F$4:$F$204,MATCH(J84,Elements_hybrides!$A$4:$A$204,0))/(Inputs!$B$59*60),0)))</f>
        <v/>
      </c>
      <c r="N84" s="20">
        <f>IF(A84="","",IF(L84="",Inputs!$B$14,L84)+M84)</f>
        <v/>
      </c>
    </row>
    <row r="85">
      <c r="A85" s="4" t="n"/>
      <c r="B85" s="4" t="n"/>
      <c r="C85" s="4" t="n"/>
      <c r="D85" s="7" t="n"/>
      <c r="E85" s="7" t="n"/>
      <c r="F85" s="20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20">
        <f>IF(A85="","",N85)</f>
        <v/>
      </c>
      <c r="H85" s="20">
        <f>IF(A85="","",Inputs!$B$3/((IF(G85="",Inputs!$B$14,G85)+Inputs!$B$4)^Inputs!$B$5))</f>
        <v/>
      </c>
      <c r="I85" s="20">
        <f>IF(A85="","",2.78E-7*F85*D85*H85)</f>
        <v/>
      </c>
      <c r="J85" s="4" t="n"/>
      <c r="K85" s="4" t="n"/>
      <c r="L85" s="5" t="n"/>
      <c r="M85" s="20">
        <f>IF(A85="","",IF(OR(J85="",Inputs!$B$59=""),0,IFERROR(INDEX(Elements_hybrides!$F$4:$F$204,MATCH(J85,Elements_hybrides!$A$4:$A$204,0))/(Inputs!$B$59*60),0)))</f>
        <v/>
      </c>
      <c r="N85" s="20">
        <f>IF(A85="","",IF(L85="",Inputs!$B$14,L85)+M85)</f>
        <v/>
      </c>
    </row>
    <row r="86">
      <c r="A86" s="4" t="n"/>
      <c r="B86" s="4" t="n"/>
      <c r="C86" s="4" t="n"/>
      <c r="D86" s="7" t="n"/>
      <c r="E86" s="7" t="n"/>
      <c r="F86" s="20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20">
        <f>IF(A86="","",N86)</f>
        <v/>
      </c>
      <c r="H86" s="20">
        <f>IF(A86="","",Inputs!$B$3/((IF(G86="",Inputs!$B$14,G86)+Inputs!$B$4)^Inputs!$B$5))</f>
        <v/>
      </c>
      <c r="I86" s="20">
        <f>IF(A86="","",2.78E-7*F86*D86*H86)</f>
        <v/>
      </c>
      <c r="J86" s="4" t="n"/>
      <c r="K86" s="4" t="n"/>
      <c r="L86" s="5" t="n"/>
      <c r="M86" s="20">
        <f>IF(A86="","",IF(OR(J86="",Inputs!$B$59=""),0,IFERROR(INDEX(Elements_hybrides!$F$4:$F$204,MATCH(J86,Elements_hybrides!$A$4:$A$204,0))/(Inputs!$B$59*60),0)))</f>
        <v/>
      </c>
      <c r="N86" s="20">
        <f>IF(A86="","",IF(L86="",Inputs!$B$14,L86)+M86)</f>
        <v/>
      </c>
    </row>
    <row r="87">
      <c r="A87" s="4" t="n"/>
      <c r="B87" s="4" t="n"/>
      <c r="C87" s="4" t="n"/>
      <c r="D87" s="7" t="n"/>
      <c r="E87" s="7" t="n"/>
      <c r="F87" s="20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20">
        <f>IF(A87="","",N87)</f>
        <v/>
      </c>
      <c r="H87" s="20">
        <f>IF(A87="","",Inputs!$B$3/((IF(G87="",Inputs!$B$14,G87)+Inputs!$B$4)^Inputs!$B$5))</f>
        <v/>
      </c>
      <c r="I87" s="20">
        <f>IF(A87="","",2.78E-7*F87*D87*H87)</f>
        <v/>
      </c>
      <c r="J87" s="4" t="n"/>
      <c r="K87" s="4" t="n"/>
      <c r="L87" s="5" t="n"/>
      <c r="M87" s="20">
        <f>IF(A87="","",IF(OR(J87="",Inputs!$B$59=""),0,IFERROR(INDEX(Elements_hybrides!$F$4:$F$204,MATCH(J87,Elements_hybrides!$A$4:$A$204,0))/(Inputs!$B$59*60),0)))</f>
        <v/>
      </c>
      <c r="N87" s="20">
        <f>IF(A87="","",IF(L87="",Inputs!$B$14,L87)+M87)</f>
        <v/>
      </c>
    </row>
    <row r="88">
      <c r="A88" s="4" t="n"/>
      <c r="B88" s="4" t="n"/>
      <c r="C88" s="4" t="n"/>
      <c r="D88" s="7" t="n"/>
      <c r="E88" s="7" t="n"/>
      <c r="F88" s="20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20">
        <f>IF(A88="","",N88)</f>
        <v/>
      </c>
      <c r="H88" s="20">
        <f>IF(A88="","",Inputs!$B$3/((IF(G88="",Inputs!$B$14,G88)+Inputs!$B$4)^Inputs!$B$5))</f>
        <v/>
      </c>
      <c r="I88" s="20">
        <f>IF(A88="","",2.78E-7*F88*D88*H88)</f>
        <v/>
      </c>
      <c r="J88" s="4" t="n"/>
      <c r="K88" s="4" t="n"/>
      <c r="L88" s="5" t="n"/>
      <c r="M88" s="20">
        <f>IF(A88="","",IF(OR(J88="",Inputs!$B$59=""),0,IFERROR(INDEX(Elements_hybrides!$F$4:$F$204,MATCH(J88,Elements_hybrides!$A$4:$A$204,0))/(Inputs!$B$59*60),0)))</f>
        <v/>
      </c>
      <c r="N88" s="20">
        <f>IF(A88="","",IF(L88="",Inputs!$B$14,L88)+M88)</f>
        <v/>
      </c>
    </row>
    <row r="89">
      <c r="A89" s="4" t="n"/>
      <c r="B89" s="4" t="n"/>
      <c r="C89" s="4" t="n"/>
      <c r="D89" s="7" t="n"/>
      <c r="E89" s="7" t="n"/>
      <c r="F89" s="20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20">
        <f>IF(A89="","",N89)</f>
        <v/>
      </c>
      <c r="H89" s="20">
        <f>IF(A89="","",Inputs!$B$3/((IF(G89="",Inputs!$B$14,G89)+Inputs!$B$4)^Inputs!$B$5))</f>
        <v/>
      </c>
      <c r="I89" s="20">
        <f>IF(A89="","",2.78E-7*F89*D89*H89)</f>
        <v/>
      </c>
      <c r="J89" s="4" t="n"/>
      <c r="K89" s="4" t="n"/>
      <c r="L89" s="5" t="n"/>
      <c r="M89" s="20">
        <f>IF(A89="","",IF(OR(J89="",Inputs!$B$59=""),0,IFERROR(INDEX(Elements_hybrides!$F$4:$F$204,MATCH(J89,Elements_hybrides!$A$4:$A$204,0))/(Inputs!$B$59*60),0)))</f>
        <v/>
      </c>
      <c r="N89" s="20">
        <f>IF(A89="","",IF(L89="",Inputs!$B$14,L89)+M89)</f>
        <v/>
      </c>
    </row>
    <row r="90">
      <c r="A90" s="4" t="n"/>
      <c r="B90" s="4" t="n"/>
      <c r="C90" s="4" t="n"/>
      <c r="D90" s="7" t="n"/>
      <c r="E90" s="7" t="n"/>
      <c r="F90" s="20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20">
        <f>IF(A90="","",N90)</f>
        <v/>
      </c>
      <c r="H90" s="20">
        <f>IF(A90="","",Inputs!$B$3/((IF(G90="",Inputs!$B$14,G90)+Inputs!$B$4)^Inputs!$B$5))</f>
        <v/>
      </c>
      <c r="I90" s="20">
        <f>IF(A90="","",2.78E-7*F90*D90*H90)</f>
        <v/>
      </c>
      <c r="J90" s="4" t="n"/>
      <c r="K90" s="4" t="n"/>
      <c r="L90" s="5" t="n"/>
      <c r="M90" s="20">
        <f>IF(A90="","",IF(OR(J90="",Inputs!$B$59=""),0,IFERROR(INDEX(Elements_hybrides!$F$4:$F$204,MATCH(J90,Elements_hybrides!$A$4:$A$204,0))/(Inputs!$B$59*60),0)))</f>
        <v/>
      </c>
      <c r="N90" s="20">
        <f>IF(A90="","",IF(L90="",Inputs!$B$14,L90)+M90)</f>
        <v/>
      </c>
    </row>
    <row r="91">
      <c r="A91" s="4" t="n"/>
      <c r="B91" s="4" t="n"/>
      <c r="C91" s="4" t="n"/>
      <c r="D91" s="7" t="n"/>
      <c r="E91" s="7" t="n"/>
      <c r="F91" s="20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20">
        <f>IF(A91="","",N91)</f>
        <v/>
      </c>
      <c r="H91" s="20">
        <f>IF(A91="","",Inputs!$B$3/((IF(G91="",Inputs!$B$14,G91)+Inputs!$B$4)^Inputs!$B$5))</f>
        <v/>
      </c>
      <c r="I91" s="20">
        <f>IF(A91="","",2.78E-7*F91*D91*H91)</f>
        <v/>
      </c>
      <c r="J91" s="4" t="n"/>
      <c r="K91" s="4" t="n"/>
      <c r="L91" s="5" t="n"/>
      <c r="M91" s="20">
        <f>IF(A91="","",IF(OR(J91="",Inputs!$B$59=""),0,IFERROR(INDEX(Elements_hybrides!$F$4:$F$204,MATCH(J91,Elements_hybrides!$A$4:$A$204,0))/(Inputs!$B$59*60),0)))</f>
        <v/>
      </c>
      <c r="N91" s="20">
        <f>IF(A91="","",IF(L91="",Inputs!$B$14,L91)+M91)</f>
        <v/>
      </c>
    </row>
    <row r="92">
      <c r="A92" s="4" t="n"/>
      <c r="B92" s="4" t="n"/>
      <c r="C92" s="4" t="n"/>
      <c r="D92" s="7" t="n"/>
      <c r="E92" s="7" t="n"/>
      <c r="F92" s="20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20">
        <f>IF(A92="","",N92)</f>
        <v/>
      </c>
      <c r="H92" s="20">
        <f>IF(A92="","",Inputs!$B$3/((IF(G92="",Inputs!$B$14,G92)+Inputs!$B$4)^Inputs!$B$5))</f>
        <v/>
      </c>
      <c r="I92" s="20">
        <f>IF(A92="","",2.78E-7*F92*D92*H92)</f>
        <v/>
      </c>
      <c r="J92" s="4" t="n"/>
      <c r="K92" s="4" t="n"/>
      <c r="L92" s="5" t="n"/>
      <c r="M92" s="20">
        <f>IF(A92="","",IF(OR(J92="",Inputs!$B$59=""),0,IFERROR(INDEX(Elements_hybrides!$F$4:$F$204,MATCH(J92,Elements_hybrides!$A$4:$A$204,0))/(Inputs!$B$59*60),0)))</f>
        <v/>
      </c>
      <c r="N92" s="20">
        <f>IF(A92="","",IF(L92="",Inputs!$B$14,L92)+M92)</f>
        <v/>
      </c>
    </row>
    <row r="93">
      <c r="A93" s="4" t="n"/>
      <c r="B93" s="4" t="n"/>
      <c r="C93" s="4" t="n"/>
      <c r="D93" s="7" t="n"/>
      <c r="E93" s="7" t="n"/>
      <c r="F93" s="20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20">
        <f>IF(A93="","",N93)</f>
        <v/>
      </c>
      <c r="H93" s="20">
        <f>IF(A93="","",Inputs!$B$3/((IF(G93="",Inputs!$B$14,G93)+Inputs!$B$4)^Inputs!$B$5))</f>
        <v/>
      </c>
      <c r="I93" s="20">
        <f>IF(A93="","",2.78E-7*F93*D93*H93)</f>
        <v/>
      </c>
      <c r="J93" s="4" t="n"/>
      <c r="K93" s="4" t="n"/>
      <c r="L93" s="5" t="n"/>
      <c r="M93" s="20">
        <f>IF(A93="","",IF(OR(J93="",Inputs!$B$59=""),0,IFERROR(INDEX(Elements_hybrides!$F$4:$F$204,MATCH(J93,Elements_hybrides!$A$4:$A$204,0))/(Inputs!$B$59*60),0)))</f>
        <v/>
      </c>
      <c r="N93" s="20">
        <f>IF(A93="","",IF(L93="",Inputs!$B$14,L93)+M93)</f>
        <v/>
      </c>
    </row>
    <row r="94">
      <c r="A94" s="4" t="n"/>
      <c r="B94" s="4" t="n"/>
      <c r="C94" s="4" t="n"/>
      <c r="D94" s="7" t="n"/>
      <c r="E94" s="7" t="n"/>
      <c r="F94" s="20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20">
        <f>IF(A94="","",N94)</f>
        <v/>
      </c>
      <c r="H94" s="20">
        <f>IF(A94="","",Inputs!$B$3/((IF(G94="",Inputs!$B$14,G94)+Inputs!$B$4)^Inputs!$B$5))</f>
        <v/>
      </c>
      <c r="I94" s="20">
        <f>IF(A94="","",2.78E-7*F94*D94*H94)</f>
        <v/>
      </c>
      <c r="J94" s="4" t="n"/>
      <c r="K94" s="4" t="n"/>
      <c r="L94" s="5" t="n"/>
      <c r="M94" s="20">
        <f>IF(A94="","",IF(OR(J94="",Inputs!$B$59=""),0,IFERROR(INDEX(Elements_hybrides!$F$4:$F$204,MATCH(J94,Elements_hybrides!$A$4:$A$204,0))/(Inputs!$B$59*60),0)))</f>
        <v/>
      </c>
      <c r="N94" s="20">
        <f>IF(A94="","",IF(L94="",Inputs!$B$14,L94)+M94)</f>
        <v/>
      </c>
    </row>
    <row r="95">
      <c r="A95" s="4" t="n"/>
      <c r="B95" s="4" t="n"/>
      <c r="C95" s="4" t="n"/>
      <c r="D95" s="7" t="n"/>
      <c r="E95" s="7" t="n"/>
      <c r="F95" s="20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20">
        <f>IF(A95="","",N95)</f>
        <v/>
      </c>
      <c r="H95" s="20">
        <f>IF(A95="","",Inputs!$B$3/((IF(G95="",Inputs!$B$14,G95)+Inputs!$B$4)^Inputs!$B$5))</f>
        <v/>
      </c>
      <c r="I95" s="20">
        <f>IF(A95="","",2.78E-7*F95*D95*H95)</f>
        <v/>
      </c>
      <c r="J95" s="4" t="n"/>
      <c r="K95" s="4" t="n"/>
      <c r="L95" s="5" t="n"/>
      <c r="M95" s="20">
        <f>IF(A95="","",IF(OR(J95="",Inputs!$B$59=""),0,IFERROR(INDEX(Elements_hybrides!$F$4:$F$204,MATCH(J95,Elements_hybrides!$A$4:$A$204,0))/(Inputs!$B$59*60),0)))</f>
        <v/>
      </c>
      <c r="N95" s="20">
        <f>IF(A95="","",IF(L95="",Inputs!$B$14,L95)+M95)</f>
        <v/>
      </c>
    </row>
    <row r="96">
      <c r="A96" s="4" t="n"/>
      <c r="B96" s="4" t="n"/>
      <c r="C96" s="4" t="n"/>
      <c r="D96" s="7" t="n"/>
      <c r="E96" s="7" t="n"/>
      <c r="F96" s="20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20">
        <f>IF(A96="","",N96)</f>
        <v/>
      </c>
      <c r="H96" s="20">
        <f>IF(A96="","",Inputs!$B$3/((IF(G96="",Inputs!$B$14,G96)+Inputs!$B$4)^Inputs!$B$5))</f>
        <v/>
      </c>
      <c r="I96" s="20">
        <f>IF(A96="","",2.78E-7*F96*D96*H96)</f>
        <v/>
      </c>
      <c r="J96" s="4" t="n"/>
      <c r="K96" s="4" t="n"/>
      <c r="L96" s="5" t="n"/>
      <c r="M96" s="20">
        <f>IF(A96="","",IF(OR(J96="",Inputs!$B$59=""),0,IFERROR(INDEX(Elements_hybrides!$F$4:$F$204,MATCH(J96,Elements_hybrides!$A$4:$A$204,0))/(Inputs!$B$59*60),0)))</f>
        <v/>
      </c>
      <c r="N96" s="20">
        <f>IF(A96="","",IF(L96="",Inputs!$B$14,L96)+M96)</f>
        <v/>
      </c>
    </row>
    <row r="97">
      <c r="A97" s="4" t="n"/>
      <c r="B97" s="4" t="n"/>
      <c r="C97" s="4" t="n"/>
      <c r="D97" s="7" t="n"/>
      <c r="E97" s="7" t="n"/>
      <c r="F97" s="20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20">
        <f>IF(A97="","",N97)</f>
        <v/>
      </c>
      <c r="H97" s="20">
        <f>IF(A97="","",Inputs!$B$3/((IF(G97="",Inputs!$B$14,G97)+Inputs!$B$4)^Inputs!$B$5))</f>
        <v/>
      </c>
      <c r="I97" s="20">
        <f>IF(A97="","",2.78E-7*F97*D97*H97)</f>
        <v/>
      </c>
      <c r="J97" s="4" t="n"/>
      <c r="K97" s="4" t="n"/>
      <c r="L97" s="5" t="n"/>
      <c r="M97" s="20">
        <f>IF(A97="","",IF(OR(J97="",Inputs!$B$59=""),0,IFERROR(INDEX(Elements_hybrides!$F$4:$F$204,MATCH(J97,Elements_hybrides!$A$4:$A$204,0))/(Inputs!$B$59*60),0)))</f>
        <v/>
      </c>
      <c r="N97" s="20">
        <f>IF(A97="","",IF(L97="",Inputs!$B$14,L97)+M97)</f>
        <v/>
      </c>
    </row>
    <row r="98">
      <c r="A98" s="4" t="n"/>
      <c r="B98" s="4" t="n"/>
      <c r="C98" s="4" t="n"/>
      <c r="D98" s="7" t="n"/>
      <c r="E98" s="7" t="n"/>
      <c r="F98" s="20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20">
        <f>IF(A98="","",N98)</f>
        <v/>
      </c>
      <c r="H98" s="20">
        <f>IF(A98="","",Inputs!$B$3/((IF(G98="",Inputs!$B$14,G98)+Inputs!$B$4)^Inputs!$B$5))</f>
        <v/>
      </c>
      <c r="I98" s="20">
        <f>IF(A98="","",2.78E-7*F98*D98*H98)</f>
        <v/>
      </c>
      <c r="J98" s="4" t="n"/>
      <c r="K98" s="4" t="n"/>
      <c r="L98" s="5" t="n"/>
      <c r="M98" s="20">
        <f>IF(A98="","",IF(OR(J98="",Inputs!$B$59=""),0,IFERROR(INDEX(Elements_hybrides!$F$4:$F$204,MATCH(J98,Elements_hybrides!$A$4:$A$204,0))/(Inputs!$B$59*60),0)))</f>
        <v/>
      </c>
      <c r="N98" s="20">
        <f>IF(A98="","",IF(L98="",Inputs!$B$14,L98)+M98)</f>
        <v/>
      </c>
    </row>
    <row r="99">
      <c r="A99" s="4" t="n"/>
      <c r="B99" s="4" t="n"/>
      <c r="C99" s="4" t="n"/>
      <c r="D99" s="7" t="n"/>
      <c r="E99" s="7" t="n"/>
      <c r="F99" s="20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20">
        <f>IF(A99="","",N99)</f>
        <v/>
      </c>
      <c r="H99" s="20">
        <f>IF(A99="","",Inputs!$B$3/((IF(G99="",Inputs!$B$14,G99)+Inputs!$B$4)^Inputs!$B$5))</f>
        <v/>
      </c>
      <c r="I99" s="20">
        <f>IF(A99="","",2.78E-7*F99*D99*H99)</f>
        <v/>
      </c>
      <c r="J99" s="4" t="n"/>
      <c r="K99" s="4" t="n"/>
      <c r="L99" s="5" t="n"/>
      <c r="M99" s="20">
        <f>IF(A99="","",IF(OR(J99="",Inputs!$B$59=""),0,IFERROR(INDEX(Elements_hybrides!$F$4:$F$204,MATCH(J99,Elements_hybrides!$A$4:$A$204,0))/(Inputs!$B$59*60),0)))</f>
        <v/>
      </c>
      <c r="N99" s="20">
        <f>IF(A99="","",IF(L99="",Inputs!$B$14,L99)+M99)</f>
        <v/>
      </c>
    </row>
    <row r="100">
      <c r="A100" s="4" t="n"/>
      <c r="B100" s="4" t="n"/>
      <c r="C100" s="4" t="n"/>
      <c r="D100" s="7" t="n"/>
      <c r="E100" s="7" t="n"/>
      <c r="F100" s="20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20">
        <f>IF(A100="","",N100)</f>
        <v/>
      </c>
      <c r="H100" s="20">
        <f>IF(A100="","",Inputs!$B$3/((IF(G100="",Inputs!$B$14,G100)+Inputs!$B$4)^Inputs!$B$5))</f>
        <v/>
      </c>
      <c r="I100" s="20">
        <f>IF(A100="","",2.78E-7*F100*D100*H100)</f>
        <v/>
      </c>
      <c r="J100" s="4" t="n"/>
      <c r="K100" s="4" t="n"/>
      <c r="L100" s="5" t="n"/>
      <c r="M100" s="20">
        <f>IF(A100="","",IF(OR(J100="",Inputs!$B$59=""),0,IFERROR(INDEX(Elements_hybrides!$F$4:$F$204,MATCH(J100,Elements_hybrides!$A$4:$A$204,0))/(Inputs!$B$59*60),0)))</f>
        <v/>
      </c>
      <c r="N100" s="20">
        <f>IF(A100="","",IF(L100="",Inputs!$B$14,L100)+M100)</f>
        <v/>
      </c>
    </row>
    <row r="101">
      <c r="A101" s="4" t="n"/>
      <c r="B101" s="4" t="n"/>
      <c r="C101" s="4" t="n"/>
      <c r="D101" s="7" t="n"/>
      <c r="E101" s="7" t="n"/>
      <c r="F101" s="20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20">
        <f>IF(A101="","",N101)</f>
        <v/>
      </c>
      <c r="H101" s="20">
        <f>IF(A101="","",Inputs!$B$3/((IF(G101="",Inputs!$B$14,G101)+Inputs!$B$4)^Inputs!$B$5))</f>
        <v/>
      </c>
      <c r="I101" s="20">
        <f>IF(A101="","",2.78E-7*F101*D101*H101)</f>
        <v/>
      </c>
      <c r="J101" s="4" t="n"/>
      <c r="K101" s="4" t="n"/>
      <c r="L101" s="5" t="n"/>
      <c r="M101" s="20">
        <f>IF(A101="","",IF(OR(J101="",Inputs!$B$59=""),0,IFERROR(INDEX(Elements_hybrides!$F$4:$F$204,MATCH(J101,Elements_hybrides!$A$4:$A$204,0))/(Inputs!$B$59*60),0)))</f>
        <v/>
      </c>
      <c r="N101" s="20">
        <f>IF(A101="","",IF(L101="",Inputs!$B$14,L101)+M101)</f>
        <v/>
      </c>
    </row>
    <row r="102">
      <c r="A102" s="4" t="n"/>
      <c r="B102" s="4" t="n"/>
      <c r="C102" s="4" t="n"/>
      <c r="D102" s="7" t="n"/>
      <c r="E102" s="7" t="n"/>
      <c r="F102" s="20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20">
        <f>IF(A102="","",N102)</f>
        <v/>
      </c>
      <c r="H102" s="20">
        <f>IF(A102="","",Inputs!$B$3/((IF(G102="",Inputs!$B$14,G102)+Inputs!$B$4)^Inputs!$B$5))</f>
        <v/>
      </c>
      <c r="I102" s="20">
        <f>IF(A102="","",2.78E-7*F102*D102*H102)</f>
        <v/>
      </c>
      <c r="J102" s="4" t="n"/>
      <c r="K102" s="4" t="n"/>
      <c r="L102" s="5" t="n"/>
      <c r="M102" s="20">
        <f>IF(A102="","",IF(OR(J102="",Inputs!$B$59=""),0,IFERROR(INDEX(Elements_hybrides!$F$4:$F$204,MATCH(J102,Elements_hybrides!$A$4:$A$204,0))/(Inputs!$B$59*60),0)))</f>
        <v/>
      </c>
      <c r="N102" s="20">
        <f>IF(A102="","",IF(L102="",Inputs!$B$14,L102)+M102)</f>
        <v/>
      </c>
    </row>
    <row r="103">
      <c r="A103" s="4" t="n"/>
      <c r="B103" s="4" t="n"/>
      <c r="C103" s="4" t="n"/>
      <c r="D103" s="7" t="n"/>
      <c r="E103" s="7" t="n"/>
      <c r="F103" s="20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20">
        <f>IF(A103="","",N103)</f>
        <v/>
      </c>
      <c r="H103" s="20">
        <f>IF(A103="","",Inputs!$B$3/((IF(G103="",Inputs!$B$14,G103)+Inputs!$B$4)^Inputs!$B$5))</f>
        <v/>
      </c>
      <c r="I103" s="20">
        <f>IF(A103="","",2.78E-7*F103*D103*H103)</f>
        <v/>
      </c>
      <c r="J103" s="4" t="n"/>
      <c r="K103" s="4" t="n"/>
      <c r="L103" s="5" t="n"/>
      <c r="M103" s="20">
        <f>IF(A103="","",IF(OR(J103="",Inputs!$B$59=""),0,IFERROR(INDEX(Elements_hybrides!$F$4:$F$204,MATCH(J103,Elements_hybrides!$A$4:$A$204,0))/(Inputs!$B$59*60),0)))</f>
        <v/>
      </c>
      <c r="N103" s="20">
        <f>IF(A103="","",IF(L103="",Inputs!$B$14,L103)+M103)</f>
        <v/>
      </c>
    </row>
    <row r="104">
      <c r="A104" s="4" t="n"/>
      <c r="B104" s="4" t="n"/>
      <c r="C104" s="4" t="n"/>
      <c r="D104" s="7" t="n"/>
      <c r="E104" s="7" t="n"/>
      <c r="F104" s="20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20">
        <f>IF(A104="","",N104)</f>
        <v/>
      </c>
      <c r="H104" s="20">
        <f>IF(A104="","",Inputs!$B$3/((IF(G104="",Inputs!$B$14,G104)+Inputs!$B$4)^Inputs!$B$5))</f>
        <v/>
      </c>
      <c r="I104" s="20">
        <f>IF(A104="","",2.78E-7*F104*D104*H104)</f>
        <v/>
      </c>
      <c r="J104" s="4" t="n"/>
      <c r="K104" s="4" t="n"/>
      <c r="L104" s="5" t="n"/>
      <c r="M104" s="20">
        <f>IF(A104="","",IF(OR(J104="",Inputs!$B$59=""),0,IFERROR(INDEX(Elements_hybrides!$F$4:$F$204,MATCH(J104,Elements_hybrides!$A$4:$A$204,0))/(Inputs!$B$59*60),0)))</f>
        <v/>
      </c>
      <c r="N104" s="20">
        <f>IF(A104="","",IF(L104="",Inputs!$B$14,L104)+M104)</f>
        <v/>
      </c>
    </row>
    <row r="105">
      <c r="A105" s="4" t="n"/>
      <c r="B105" s="4" t="n"/>
      <c r="C105" s="4" t="n"/>
      <c r="D105" s="7" t="n"/>
      <c r="E105" s="7" t="n"/>
      <c r="F105" s="20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20">
        <f>IF(A105="","",N105)</f>
        <v/>
      </c>
      <c r="H105" s="20">
        <f>IF(A105="","",Inputs!$B$3/((IF(G105="",Inputs!$B$14,G105)+Inputs!$B$4)^Inputs!$B$5))</f>
        <v/>
      </c>
      <c r="I105" s="20">
        <f>IF(A105="","",2.78E-7*F105*D105*H105)</f>
        <v/>
      </c>
      <c r="J105" s="4" t="n"/>
      <c r="K105" s="4" t="n"/>
      <c r="L105" s="5" t="n"/>
      <c r="M105" s="20">
        <f>IF(A105="","",IF(OR(J105="",Inputs!$B$59=""),0,IFERROR(INDEX(Elements_hybrides!$F$4:$F$204,MATCH(J105,Elements_hybrides!$A$4:$A$204,0))/(Inputs!$B$59*60),0)))</f>
        <v/>
      </c>
      <c r="N105" s="20">
        <f>IF(A105="","",IF(L105="",Inputs!$B$14,L105)+M105)</f>
        <v/>
      </c>
    </row>
    <row r="106">
      <c r="A106" s="4" t="n"/>
      <c r="B106" s="4" t="n"/>
      <c r="C106" s="4" t="n"/>
      <c r="D106" s="7" t="n"/>
      <c r="E106" s="7" t="n"/>
      <c r="F106" s="20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20">
        <f>IF(A106="","",N106)</f>
        <v/>
      </c>
      <c r="H106" s="20">
        <f>IF(A106="","",Inputs!$B$3/((IF(G106="",Inputs!$B$14,G106)+Inputs!$B$4)^Inputs!$B$5))</f>
        <v/>
      </c>
      <c r="I106" s="20">
        <f>IF(A106="","",2.78E-7*F106*D106*H106)</f>
        <v/>
      </c>
      <c r="J106" s="4" t="n"/>
      <c r="K106" s="4" t="n"/>
      <c r="L106" s="5" t="n"/>
      <c r="M106" s="20">
        <f>IF(A106="","",IF(OR(J106="",Inputs!$B$59=""),0,IFERROR(INDEX(Elements_hybrides!$F$4:$F$204,MATCH(J106,Elements_hybrides!$A$4:$A$204,0))/(Inputs!$B$59*60),0)))</f>
        <v/>
      </c>
      <c r="N106" s="20">
        <f>IF(A106="","",IF(L106="",Inputs!$B$14,L106)+M106)</f>
        <v/>
      </c>
    </row>
    <row r="107">
      <c r="A107" s="4" t="n"/>
      <c r="B107" s="4" t="n"/>
      <c r="C107" s="4" t="n"/>
      <c r="D107" s="7" t="n"/>
      <c r="E107" s="7" t="n"/>
      <c r="F107" s="20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20">
        <f>IF(A107="","",N107)</f>
        <v/>
      </c>
      <c r="H107" s="20">
        <f>IF(A107="","",Inputs!$B$3/((IF(G107="",Inputs!$B$14,G107)+Inputs!$B$4)^Inputs!$B$5))</f>
        <v/>
      </c>
      <c r="I107" s="20">
        <f>IF(A107="","",2.78E-7*F107*D107*H107)</f>
        <v/>
      </c>
      <c r="J107" s="4" t="n"/>
      <c r="K107" s="4" t="n"/>
      <c r="L107" s="5" t="n"/>
      <c r="M107" s="20">
        <f>IF(A107="","",IF(OR(J107="",Inputs!$B$59=""),0,IFERROR(INDEX(Elements_hybrides!$F$4:$F$204,MATCH(J107,Elements_hybrides!$A$4:$A$204,0))/(Inputs!$B$59*60),0)))</f>
        <v/>
      </c>
      <c r="N107" s="20">
        <f>IF(A107="","",IF(L107="",Inputs!$B$14,L107)+M107)</f>
        <v/>
      </c>
    </row>
    <row r="108">
      <c r="A108" s="4" t="n"/>
      <c r="B108" s="4" t="n"/>
      <c r="C108" s="4" t="n"/>
      <c r="D108" s="7" t="n"/>
      <c r="E108" s="7" t="n"/>
      <c r="F108" s="20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20">
        <f>IF(A108="","",N108)</f>
        <v/>
      </c>
      <c r="H108" s="20">
        <f>IF(A108="","",Inputs!$B$3/((IF(G108="",Inputs!$B$14,G108)+Inputs!$B$4)^Inputs!$B$5))</f>
        <v/>
      </c>
      <c r="I108" s="20">
        <f>IF(A108="","",2.78E-7*F108*D108*H108)</f>
        <v/>
      </c>
      <c r="J108" s="4" t="n"/>
      <c r="K108" s="4" t="n"/>
      <c r="L108" s="5" t="n"/>
      <c r="M108" s="20">
        <f>IF(A108="","",IF(OR(J108="",Inputs!$B$59=""),0,IFERROR(INDEX(Elements_hybrides!$F$4:$F$204,MATCH(J108,Elements_hybrides!$A$4:$A$204,0))/(Inputs!$B$59*60),0)))</f>
        <v/>
      </c>
      <c r="N108" s="20">
        <f>IF(A108="","",IF(L108="",Inputs!$B$14,L108)+M108)</f>
        <v/>
      </c>
    </row>
    <row r="109">
      <c r="A109" s="4" t="n"/>
      <c r="B109" s="4" t="n"/>
      <c r="C109" s="4" t="n"/>
      <c r="D109" s="7" t="n"/>
      <c r="E109" s="7" t="n"/>
      <c r="F109" s="20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20">
        <f>IF(A109="","",N109)</f>
        <v/>
      </c>
      <c r="H109" s="20">
        <f>IF(A109="","",Inputs!$B$3/((IF(G109="",Inputs!$B$14,G109)+Inputs!$B$4)^Inputs!$B$5))</f>
        <v/>
      </c>
      <c r="I109" s="20">
        <f>IF(A109="","",2.78E-7*F109*D109*H109)</f>
        <v/>
      </c>
      <c r="J109" s="4" t="n"/>
      <c r="K109" s="4" t="n"/>
      <c r="L109" s="5" t="n"/>
      <c r="M109" s="20">
        <f>IF(A109="","",IF(OR(J109="",Inputs!$B$59=""),0,IFERROR(INDEX(Elements_hybrides!$F$4:$F$204,MATCH(J109,Elements_hybrides!$A$4:$A$204,0))/(Inputs!$B$59*60),0)))</f>
        <v/>
      </c>
      <c r="N109" s="20">
        <f>IF(A109="","",IF(L109="",Inputs!$B$14,L109)+M109)</f>
        <v/>
      </c>
    </row>
    <row r="110">
      <c r="A110" s="4" t="n"/>
      <c r="B110" s="4" t="n"/>
      <c r="C110" s="4" t="n"/>
      <c r="D110" s="7" t="n"/>
      <c r="E110" s="7" t="n"/>
      <c r="F110" s="20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20">
        <f>IF(A110="","",N110)</f>
        <v/>
      </c>
      <c r="H110" s="20">
        <f>IF(A110="","",Inputs!$B$3/((IF(G110="",Inputs!$B$14,G110)+Inputs!$B$4)^Inputs!$B$5))</f>
        <v/>
      </c>
      <c r="I110" s="20">
        <f>IF(A110="","",2.78E-7*F110*D110*H110)</f>
        <v/>
      </c>
      <c r="J110" s="4" t="n"/>
      <c r="K110" s="4" t="n"/>
      <c r="L110" s="5" t="n"/>
      <c r="M110" s="20">
        <f>IF(A110="","",IF(OR(J110="",Inputs!$B$59=""),0,IFERROR(INDEX(Elements_hybrides!$F$4:$F$204,MATCH(J110,Elements_hybrides!$A$4:$A$204,0))/(Inputs!$B$59*60),0)))</f>
        <v/>
      </c>
      <c r="N110" s="20">
        <f>IF(A110="","",IF(L110="",Inputs!$B$14,L110)+M110)</f>
        <v/>
      </c>
    </row>
    <row r="111">
      <c r="A111" s="4" t="n"/>
      <c r="B111" s="4" t="n"/>
      <c r="C111" s="4" t="n"/>
      <c r="D111" s="7" t="n"/>
      <c r="E111" s="7" t="n"/>
      <c r="F111" s="20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20">
        <f>IF(A111="","",N111)</f>
        <v/>
      </c>
      <c r="H111" s="20">
        <f>IF(A111="","",Inputs!$B$3/((IF(G111="",Inputs!$B$14,G111)+Inputs!$B$4)^Inputs!$B$5))</f>
        <v/>
      </c>
      <c r="I111" s="20">
        <f>IF(A111="","",2.78E-7*F111*D111*H111)</f>
        <v/>
      </c>
      <c r="J111" s="4" t="n"/>
      <c r="K111" s="4" t="n"/>
      <c r="L111" s="5" t="n"/>
      <c r="M111" s="20">
        <f>IF(A111="","",IF(OR(J111="",Inputs!$B$59=""),0,IFERROR(INDEX(Elements_hybrides!$F$4:$F$204,MATCH(J111,Elements_hybrides!$A$4:$A$204,0))/(Inputs!$B$59*60),0)))</f>
        <v/>
      </c>
      <c r="N111" s="20">
        <f>IF(A111="","",IF(L111="",Inputs!$B$14,L111)+M111)</f>
        <v/>
      </c>
    </row>
    <row r="112">
      <c r="A112" s="4" t="n"/>
      <c r="B112" s="4" t="n"/>
      <c r="C112" s="4" t="n"/>
      <c r="D112" s="7" t="n"/>
      <c r="E112" s="7" t="n"/>
      <c r="F112" s="20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20">
        <f>IF(A112="","",N112)</f>
        <v/>
      </c>
      <c r="H112" s="20">
        <f>IF(A112="","",Inputs!$B$3/((IF(G112="",Inputs!$B$14,G112)+Inputs!$B$4)^Inputs!$B$5))</f>
        <v/>
      </c>
      <c r="I112" s="20">
        <f>IF(A112="","",2.78E-7*F112*D112*H112)</f>
        <v/>
      </c>
      <c r="J112" s="4" t="n"/>
      <c r="K112" s="4" t="n"/>
      <c r="L112" s="5" t="n"/>
      <c r="M112" s="20">
        <f>IF(A112="","",IF(OR(J112="",Inputs!$B$59=""),0,IFERROR(INDEX(Elements_hybrides!$F$4:$F$204,MATCH(J112,Elements_hybrides!$A$4:$A$204,0))/(Inputs!$B$59*60),0)))</f>
        <v/>
      </c>
      <c r="N112" s="20">
        <f>IF(A112="","",IF(L112="",Inputs!$B$14,L112)+M112)</f>
        <v/>
      </c>
    </row>
    <row r="113">
      <c r="A113" s="4" t="n"/>
      <c r="B113" s="4" t="n"/>
      <c r="C113" s="4" t="n"/>
      <c r="D113" s="7" t="n"/>
      <c r="E113" s="7" t="n"/>
      <c r="F113" s="20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20">
        <f>IF(A113="","",N113)</f>
        <v/>
      </c>
      <c r="H113" s="20">
        <f>IF(A113="","",Inputs!$B$3/((IF(G113="",Inputs!$B$14,G113)+Inputs!$B$4)^Inputs!$B$5))</f>
        <v/>
      </c>
      <c r="I113" s="20">
        <f>IF(A113="","",2.78E-7*F113*D113*H113)</f>
        <v/>
      </c>
      <c r="J113" s="4" t="n"/>
      <c r="K113" s="4" t="n"/>
      <c r="L113" s="5" t="n"/>
      <c r="M113" s="20">
        <f>IF(A113="","",IF(OR(J113="",Inputs!$B$59=""),0,IFERROR(INDEX(Elements_hybrides!$F$4:$F$204,MATCH(J113,Elements_hybrides!$A$4:$A$204,0))/(Inputs!$B$59*60),0)))</f>
        <v/>
      </c>
      <c r="N113" s="20">
        <f>IF(A113="","",IF(L113="",Inputs!$B$14,L113)+M113)</f>
        <v/>
      </c>
    </row>
    <row r="114">
      <c r="A114" s="4" t="n"/>
      <c r="B114" s="4" t="n"/>
      <c r="C114" s="4" t="n"/>
      <c r="D114" s="7" t="n"/>
      <c r="E114" s="7" t="n"/>
      <c r="F114" s="20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20">
        <f>IF(A114="","",N114)</f>
        <v/>
      </c>
      <c r="H114" s="20">
        <f>IF(A114="","",Inputs!$B$3/((IF(G114="",Inputs!$B$14,G114)+Inputs!$B$4)^Inputs!$B$5))</f>
        <v/>
      </c>
      <c r="I114" s="20">
        <f>IF(A114="","",2.78E-7*F114*D114*H114)</f>
        <v/>
      </c>
      <c r="J114" s="4" t="n"/>
      <c r="K114" s="4" t="n"/>
      <c r="L114" s="5" t="n"/>
      <c r="M114" s="20">
        <f>IF(A114="","",IF(OR(J114="",Inputs!$B$59=""),0,IFERROR(INDEX(Elements_hybrides!$F$4:$F$204,MATCH(J114,Elements_hybrides!$A$4:$A$204,0))/(Inputs!$B$59*60),0)))</f>
        <v/>
      </c>
      <c r="N114" s="20">
        <f>IF(A114="","",IF(L114="",Inputs!$B$14,L114)+M114)</f>
        <v/>
      </c>
    </row>
    <row r="115">
      <c r="A115" s="4" t="n"/>
      <c r="B115" s="4" t="n"/>
      <c r="C115" s="4" t="n"/>
      <c r="D115" s="7" t="n"/>
      <c r="E115" s="7" t="n"/>
      <c r="F115" s="20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20">
        <f>IF(A115="","",N115)</f>
        <v/>
      </c>
      <c r="H115" s="20">
        <f>IF(A115="","",Inputs!$B$3/((IF(G115="",Inputs!$B$14,G115)+Inputs!$B$4)^Inputs!$B$5))</f>
        <v/>
      </c>
      <c r="I115" s="20">
        <f>IF(A115="","",2.78E-7*F115*D115*H115)</f>
        <v/>
      </c>
      <c r="J115" s="4" t="n"/>
      <c r="K115" s="4" t="n"/>
      <c r="L115" s="5" t="n"/>
      <c r="M115" s="20">
        <f>IF(A115="","",IF(OR(J115="",Inputs!$B$59=""),0,IFERROR(INDEX(Elements_hybrides!$F$4:$F$204,MATCH(J115,Elements_hybrides!$A$4:$A$204,0))/(Inputs!$B$59*60),0)))</f>
        <v/>
      </c>
      <c r="N115" s="20">
        <f>IF(A115="","",IF(L115="",Inputs!$B$14,L115)+M115)</f>
        <v/>
      </c>
    </row>
    <row r="116">
      <c r="A116" s="4" t="n"/>
      <c r="B116" s="4" t="n"/>
      <c r="C116" s="4" t="n"/>
      <c r="D116" s="7" t="n"/>
      <c r="E116" s="7" t="n"/>
      <c r="F116" s="20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20">
        <f>IF(A116="","",N116)</f>
        <v/>
      </c>
      <c r="H116" s="20">
        <f>IF(A116="","",Inputs!$B$3/((IF(G116="",Inputs!$B$14,G116)+Inputs!$B$4)^Inputs!$B$5))</f>
        <v/>
      </c>
      <c r="I116" s="20">
        <f>IF(A116="","",2.78E-7*F116*D116*H116)</f>
        <v/>
      </c>
      <c r="J116" s="4" t="n"/>
      <c r="K116" s="4" t="n"/>
      <c r="L116" s="5" t="n"/>
      <c r="M116" s="20">
        <f>IF(A116="","",IF(OR(J116="",Inputs!$B$59=""),0,IFERROR(INDEX(Elements_hybrides!$F$4:$F$204,MATCH(J116,Elements_hybrides!$A$4:$A$204,0))/(Inputs!$B$59*60),0)))</f>
        <v/>
      </c>
      <c r="N116" s="20">
        <f>IF(A116="","",IF(L116="",Inputs!$B$14,L116)+M116)</f>
        <v/>
      </c>
    </row>
    <row r="117">
      <c r="A117" s="4" t="n"/>
      <c r="B117" s="4" t="n"/>
      <c r="C117" s="4" t="n"/>
      <c r="D117" s="7" t="n"/>
      <c r="E117" s="7" t="n"/>
      <c r="F117" s="20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20">
        <f>IF(A117="","",N117)</f>
        <v/>
      </c>
      <c r="H117" s="20">
        <f>IF(A117="","",Inputs!$B$3/((IF(G117="",Inputs!$B$14,G117)+Inputs!$B$4)^Inputs!$B$5))</f>
        <v/>
      </c>
      <c r="I117" s="20">
        <f>IF(A117="","",2.78E-7*F117*D117*H117)</f>
        <v/>
      </c>
      <c r="J117" s="4" t="n"/>
      <c r="K117" s="4" t="n"/>
      <c r="L117" s="5" t="n"/>
      <c r="M117" s="20">
        <f>IF(A117="","",IF(OR(J117="",Inputs!$B$59=""),0,IFERROR(INDEX(Elements_hybrides!$F$4:$F$204,MATCH(J117,Elements_hybrides!$A$4:$A$204,0))/(Inputs!$B$59*60),0)))</f>
        <v/>
      </c>
      <c r="N117" s="20">
        <f>IF(A117="","",IF(L117="",Inputs!$B$14,L117)+M117)</f>
        <v/>
      </c>
    </row>
    <row r="118">
      <c r="A118" s="4" t="n"/>
      <c r="B118" s="4" t="n"/>
      <c r="C118" s="4" t="n"/>
      <c r="D118" s="7" t="n"/>
      <c r="E118" s="7" t="n"/>
      <c r="F118" s="20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20">
        <f>IF(A118="","",N118)</f>
        <v/>
      </c>
      <c r="H118" s="20">
        <f>IF(A118="","",Inputs!$B$3/((IF(G118="",Inputs!$B$14,G118)+Inputs!$B$4)^Inputs!$B$5))</f>
        <v/>
      </c>
      <c r="I118" s="20">
        <f>IF(A118="","",2.78E-7*F118*D118*H118)</f>
        <v/>
      </c>
      <c r="J118" s="4" t="n"/>
      <c r="K118" s="4" t="n"/>
      <c r="L118" s="5" t="n"/>
      <c r="M118" s="20">
        <f>IF(A118="","",IF(OR(J118="",Inputs!$B$59=""),0,IFERROR(INDEX(Elements_hybrides!$F$4:$F$204,MATCH(J118,Elements_hybrides!$A$4:$A$204,0))/(Inputs!$B$59*60),0)))</f>
        <v/>
      </c>
      <c r="N118" s="20">
        <f>IF(A118="","",IF(L118="",Inputs!$B$14,L118)+M118)</f>
        <v/>
      </c>
    </row>
    <row r="119">
      <c r="A119" s="4" t="n"/>
      <c r="B119" s="4" t="n"/>
      <c r="C119" s="4" t="n"/>
      <c r="D119" s="7" t="n"/>
      <c r="E119" s="7" t="n"/>
      <c r="F119" s="20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20">
        <f>IF(A119="","",N119)</f>
        <v/>
      </c>
      <c r="H119" s="20">
        <f>IF(A119="","",Inputs!$B$3/((IF(G119="",Inputs!$B$14,G119)+Inputs!$B$4)^Inputs!$B$5))</f>
        <v/>
      </c>
      <c r="I119" s="20">
        <f>IF(A119="","",2.78E-7*F119*D119*H119)</f>
        <v/>
      </c>
      <c r="J119" s="4" t="n"/>
      <c r="K119" s="4" t="n"/>
      <c r="L119" s="5" t="n"/>
      <c r="M119" s="20">
        <f>IF(A119="","",IF(OR(J119="",Inputs!$B$59=""),0,IFERROR(INDEX(Elements_hybrides!$F$4:$F$204,MATCH(J119,Elements_hybrides!$A$4:$A$204,0))/(Inputs!$B$59*60),0)))</f>
        <v/>
      </c>
      <c r="N119" s="20">
        <f>IF(A119="","",IF(L119="",Inputs!$B$14,L119)+M119)</f>
        <v/>
      </c>
    </row>
    <row r="120">
      <c r="A120" s="4" t="n"/>
      <c r="B120" s="4" t="n"/>
      <c r="C120" s="4" t="n"/>
      <c r="D120" s="7" t="n"/>
      <c r="E120" s="7" t="n"/>
      <c r="F120" s="20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20">
        <f>IF(A120="","",N120)</f>
        <v/>
      </c>
      <c r="H120" s="20">
        <f>IF(A120="","",Inputs!$B$3/((IF(G120="",Inputs!$B$14,G120)+Inputs!$B$4)^Inputs!$B$5))</f>
        <v/>
      </c>
      <c r="I120" s="20">
        <f>IF(A120="","",2.78E-7*F120*D120*H120)</f>
        <v/>
      </c>
      <c r="J120" s="4" t="n"/>
      <c r="K120" s="4" t="n"/>
      <c r="L120" s="5" t="n"/>
      <c r="M120" s="20">
        <f>IF(A120="","",IF(OR(J120="",Inputs!$B$59=""),0,IFERROR(INDEX(Elements_hybrides!$F$4:$F$204,MATCH(J120,Elements_hybrides!$A$4:$A$204,0))/(Inputs!$B$59*60),0)))</f>
        <v/>
      </c>
      <c r="N120" s="20">
        <f>IF(A120="","",IF(L120="",Inputs!$B$14,L120)+M120)</f>
        <v/>
      </c>
    </row>
    <row r="121">
      <c r="A121" s="4" t="n"/>
      <c r="B121" s="4" t="n"/>
      <c r="C121" s="4" t="n"/>
      <c r="D121" s="7" t="n"/>
      <c r="E121" s="7" t="n"/>
      <c r="F121" s="20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20">
        <f>IF(A121="","",N121)</f>
        <v/>
      </c>
      <c r="H121" s="20">
        <f>IF(A121="","",Inputs!$B$3/((IF(G121="",Inputs!$B$14,G121)+Inputs!$B$4)^Inputs!$B$5))</f>
        <v/>
      </c>
      <c r="I121" s="20">
        <f>IF(A121="","",2.78E-7*F121*D121*H121)</f>
        <v/>
      </c>
      <c r="J121" s="4" t="n"/>
      <c r="K121" s="4" t="n"/>
      <c r="L121" s="5" t="n"/>
      <c r="M121" s="20">
        <f>IF(A121="","",IF(OR(J121="",Inputs!$B$59=""),0,IFERROR(INDEX(Elements_hybrides!$F$4:$F$204,MATCH(J121,Elements_hybrides!$A$4:$A$204,0))/(Inputs!$B$59*60),0)))</f>
        <v/>
      </c>
      <c r="N121" s="20">
        <f>IF(A121="","",IF(L121="",Inputs!$B$14,L121)+M121)</f>
        <v/>
      </c>
    </row>
    <row r="122">
      <c r="A122" s="4" t="n"/>
      <c r="B122" s="4" t="n"/>
      <c r="C122" s="4" t="n"/>
      <c r="D122" s="7" t="n"/>
      <c r="E122" s="7" t="n"/>
      <c r="F122" s="20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20">
        <f>IF(A122="","",N122)</f>
        <v/>
      </c>
      <c r="H122" s="20">
        <f>IF(A122="","",Inputs!$B$3/((IF(G122="",Inputs!$B$14,G122)+Inputs!$B$4)^Inputs!$B$5))</f>
        <v/>
      </c>
      <c r="I122" s="20">
        <f>IF(A122="","",2.78E-7*F122*D122*H122)</f>
        <v/>
      </c>
      <c r="J122" s="4" t="n"/>
      <c r="K122" s="4" t="n"/>
      <c r="L122" s="5" t="n"/>
      <c r="M122" s="20">
        <f>IF(A122="","",IF(OR(J122="",Inputs!$B$59=""),0,IFERROR(INDEX(Elements_hybrides!$F$4:$F$204,MATCH(J122,Elements_hybrides!$A$4:$A$204,0))/(Inputs!$B$59*60),0)))</f>
        <v/>
      </c>
      <c r="N122" s="20">
        <f>IF(A122="","",IF(L122="",Inputs!$B$14,L122)+M122)</f>
        <v/>
      </c>
    </row>
    <row r="123">
      <c r="A123" s="4" t="n"/>
      <c r="B123" s="4" t="n"/>
      <c r="C123" s="4" t="n"/>
      <c r="D123" s="7" t="n"/>
      <c r="E123" s="7" t="n"/>
      <c r="F123" s="20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20">
        <f>IF(A123="","",N123)</f>
        <v/>
      </c>
      <c r="H123" s="20">
        <f>IF(A123="","",Inputs!$B$3/((IF(G123="",Inputs!$B$14,G123)+Inputs!$B$4)^Inputs!$B$5))</f>
        <v/>
      </c>
      <c r="I123" s="20">
        <f>IF(A123="","",2.78E-7*F123*D123*H123)</f>
        <v/>
      </c>
      <c r="J123" s="4" t="n"/>
      <c r="K123" s="4" t="n"/>
      <c r="L123" s="5" t="n"/>
      <c r="M123" s="20">
        <f>IF(A123="","",IF(OR(J123="",Inputs!$B$59=""),0,IFERROR(INDEX(Elements_hybrides!$F$4:$F$204,MATCH(J123,Elements_hybrides!$A$4:$A$204,0))/(Inputs!$B$59*60),0)))</f>
        <v/>
      </c>
      <c r="N123" s="20">
        <f>IF(A123="","",IF(L123="",Inputs!$B$14,L123)+M123)</f>
        <v/>
      </c>
    </row>
    <row r="124">
      <c r="A124" s="4" t="n"/>
      <c r="B124" s="4" t="n"/>
      <c r="C124" s="4" t="n"/>
      <c r="D124" s="7" t="n"/>
      <c r="E124" s="7" t="n"/>
      <c r="F124" s="20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20">
        <f>IF(A124="","",N124)</f>
        <v/>
      </c>
      <c r="H124" s="20">
        <f>IF(A124="","",Inputs!$B$3/((IF(G124="",Inputs!$B$14,G124)+Inputs!$B$4)^Inputs!$B$5))</f>
        <v/>
      </c>
      <c r="I124" s="20">
        <f>IF(A124="","",2.78E-7*F124*D124*H124)</f>
        <v/>
      </c>
      <c r="J124" s="4" t="n"/>
      <c r="K124" s="4" t="n"/>
      <c r="L124" s="5" t="n"/>
      <c r="M124" s="20">
        <f>IF(A124="","",IF(OR(J124="",Inputs!$B$59=""),0,IFERROR(INDEX(Elements_hybrides!$F$4:$F$204,MATCH(J124,Elements_hybrides!$A$4:$A$204,0))/(Inputs!$B$59*60),0)))</f>
        <v/>
      </c>
      <c r="N124" s="20">
        <f>IF(A124="","",IF(L124="",Inputs!$B$14,L124)+M124)</f>
        <v/>
      </c>
    </row>
    <row r="125">
      <c r="A125" s="4" t="n"/>
      <c r="B125" s="4" t="n"/>
      <c r="C125" s="4" t="n"/>
      <c r="D125" s="7" t="n"/>
      <c r="E125" s="7" t="n"/>
      <c r="F125" s="20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20">
        <f>IF(A125="","",N125)</f>
        <v/>
      </c>
      <c r="H125" s="20">
        <f>IF(A125="","",Inputs!$B$3/((IF(G125="",Inputs!$B$14,G125)+Inputs!$B$4)^Inputs!$B$5))</f>
        <v/>
      </c>
      <c r="I125" s="20">
        <f>IF(A125="","",2.78E-7*F125*D125*H125)</f>
        <v/>
      </c>
      <c r="J125" s="4" t="n"/>
      <c r="K125" s="4" t="n"/>
      <c r="L125" s="5" t="n"/>
      <c r="M125" s="20">
        <f>IF(A125="","",IF(OR(J125="",Inputs!$B$59=""),0,IFERROR(INDEX(Elements_hybrides!$F$4:$F$204,MATCH(J125,Elements_hybrides!$A$4:$A$204,0))/(Inputs!$B$59*60),0)))</f>
        <v/>
      </c>
      <c r="N125" s="20">
        <f>IF(A125="","",IF(L125="",Inputs!$B$14,L125)+M125)</f>
        <v/>
      </c>
    </row>
    <row r="126">
      <c r="A126" s="4" t="n"/>
      <c r="B126" s="4" t="n"/>
      <c r="C126" s="4" t="n"/>
      <c r="D126" s="7" t="n"/>
      <c r="E126" s="7" t="n"/>
      <c r="F126" s="20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20">
        <f>IF(A126="","",N126)</f>
        <v/>
      </c>
      <c r="H126" s="20">
        <f>IF(A126="","",Inputs!$B$3/((IF(G126="",Inputs!$B$14,G126)+Inputs!$B$4)^Inputs!$B$5))</f>
        <v/>
      </c>
      <c r="I126" s="20">
        <f>IF(A126="","",2.78E-7*F126*D126*H126)</f>
        <v/>
      </c>
      <c r="J126" s="4" t="n"/>
      <c r="K126" s="4" t="n"/>
      <c r="L126" s="5" t="n"/>
      <c r="M126" s="20">
        <f>IF(A126="","",IF(OR(J126="",Inputs!$B$59=""),0,IFERROR(INDEX(Elements_hybrides!$F$4:$F$204,MATCH(J126,Elements_hybrides!$A$4:$A$204,0))/(Inputs!$B$59*60),0)))</f>
        <v/>
      </c>
      <c r="N126" s="20">
        <f>IF(A126="","",IF(L126="",Inputs!$B$14,L126)+M126)</f>
        <v/>
      </c>
    </row>
    <row r="127">
      <c r="A127" s="4" t="n"/>
      <c r="B127" s="4" t="n"/>
      <c r="C127" s="4" t="n"/>
      <c r="D127" s="7" t="n"/>
      <c r="E127" s="7" t="n"/>
      <c r="F127" s="20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20">
        <f>IF(A127="","",N127)</f>
        <v/>
      </c>
      <c r="H127" s="20">
        <f>IF(A127="","",Inputs!$B$3/((IF(G127="",Inputs!$B$14,G127)+Inputs!$B$4)^Inputs!$B$5))</f>
        <v/>
      </c>
      <c r="I127" s="20">
        <f>IF(A127="","",2.78E-7*F127*D127*H127)</f>
        <v/>
      </c>
      <c r="J127" s="4" t="n"/>
      <c r="K127" s="4" t="n"/>
      <c r="L127" s="5" t="n"/>
      <c r="M127" s="20">
        <f>IF(A127="","",IF(OR(J127="",Inputs!$B$59=""),0,IFERROR(INDEX(Elements_hybrides!$F$4:$F$204,MATCH(J127,Elements_hybrides!$A$4:$A$204,0))/(Inputs!$B$59*60),0)))</f>
        <v/>
      </c>
      <c r="N127" s="20">
        <f>IF(A127="","",IF(L127="",Inputs!$B$14,L127)+M127)</f>
        <v/>
      </c>
    </row>
    <row r="128">
      <c r="A128" s="4" t="n"/>
      <c r="B128" s="4" t="n"/>
      <c r="C128" s="4" t="n"/>
      <c r="D128" s="7" t="n"/>
      <c r="E128" s="7" t="n"/>
      <c r="F128" s="20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20">
        <f>IF(A128="","",N128)</f>
        <v/>
      </c>
      <c r="H128" s="20">
        <f>IF(A128="","",Inputs!$B$3/((IF(G128="",Inputs!$B$14,G128)+Inputs!$B$4)^Inputs!$B$5))</f>
        <v/>
      </c>
      <c r="I128" s="20">
        <f>IF(A128="","",2.78E-7*F128*D128*H128)</f>
        <v/>
      </c>
      <c r="J128" s="4" t="n"/>
      <c r="K128" s="4" t="n"/>
      <c r="L128" s="5" t="n"/>
      <c r="M128" s="20">
        <f>IF(A128="","",IF(OR(J128="",Inputs!$B$59=""),0,IFERROR(INDEX(Elements_hybrides!$F$4:$F$204,MATCH(J128,Elements_hybrides!$A$4:$A$204,0))/(Inputs!$B$59*60),0)))</f>
        <v/>
      </c>
      <c r="N128" s="20">
        <f>IF(A128="","",IF(L128="",Inputs!$B$14,L128)+M128)</f>
        <v/>
      </c>
    </row>
    <row r="129">
      <c r="A129" s="4" t="n"/>
      <c r="B129" s="4" t="n"/>
      <c r="C129" s="4" t="n"/>
      <c r="D129" s="7" t="n"/>
      <c r="E129" s="7" t="n"/>
      <c r="F129" s="20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20">
        <f>IF(A129="","",N129)</f>
        <v/>
      </c>
      <c r="H129" s="20">
        <f>IF(A129="","",Inputs!$B$3/((IF(G129="",Inputs!$B$14,G129)+Inputs!$B$4)^Inputs!$B$5))</f>
        <v/>
      </c>
      <c r="I129" s="20">
        <f>IF(A129="","",2.78E-7*F129*D129*H129)</f>
        <v/>
      </c>
      <c r="J129" s="4" t="n"/>
      <c r="K129" s="4" t="n"/>
      <c r="L129" s="5" t="n"/>
      <c r="M129" s="20">
        <f>IF(A129="","",IF(OR(J129="",Inputs!$B$59=""),0,IFERROR(INDEX(Elements_hybrides!$F$4:$F$204,MATCH(J129,Elements_hybrides!$A$4:$A$204,0))/(Inputs!$B$59*60),0)))</f>
        <v/>
      </c>
      <c r="N129" s="20">
        <f>IF(A129="","",IF(L129="",Inputs!$B$14,L129)+M129)</f>
        <v/>
      </c>
    </row>
    <row r="130">
      <c r="A130" s="4" t="n"/>
      <c r="B130" s="4" t="n"/>
      <c r="C130" s="4" t="n"/>
      <c r="D130" s="7" t="n"/>
      <c r="E130" s="7" t="n"/>
      <c r="F130" s="20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20">
        <f>IF(A130="","",N130)</f>
        <v/>
      </c>
      <c r="H130" s="20">
        <f>IF(A130="","",Inputs!$B$3/((IF(G130="",Inputs!$B$14,G130)+Inputs!$B$4)^Inputs!$B$5))</f>
        <v/>
      </c>
      <c r="I130" s="20">
        <f>IF(A130="","",2.78E-7*F130*D130*H130)</f>
        <v/>
      </c>
      <c r="J130" s="4" t="n"/>
      <c r="K130" s="4" t="n"/>
      <c r="L130" s="5" t="n"/>
      <c r="M130" s="20">
        <f>IF(A130="","",IF(OR(J130="",Inputs!$B$59=""),0,IFERROR(INDEX(Elements_hybrides!$F$4:$F$204,MATCH(J130,Elements_hybrides!$A$4:$A$204,0))/(Inputs!$B$59*60),0)))</f>
        <v/>
      </c>
      <c r="N130" s="20">
        <f>IF(A130="","",IF(L130="",Inputs!$B$14,L130)+M130)</f>
        <v/>
      </c>
    </row>
    <row r="131">
      <c r="A131" s="4" t="n"/>
      <c r="B131" s="4" t="n"/>
      <c r="C131" s="4" t="n"/>
      <c r="D131" s="7" t="n"/>
      <c r="E131" s="7" t="n"/>
      <c r="F131" s="20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20">
        <f>IF(A131="","",N131)</f>
        <v/>
      </c>
      <c r="H131" s="20">
        <f>IF(A131="","",Inputs!$B$3/((IF(G131="",Inputs!$B$14,G131)+Inputs!$B$4)^Inputs!$B$5))</f>
        <v/>
      </c>
      <c r="I131" s="20">
        <f>IF(A131="","",2.78E-7*F131*D131*H131)</f>
        <v/>
      </c>
      <c r="J131" s="4" t="n"/>
      <c r="K131" s="4" t="n"/>
      <c r="L131" s="5" t="n"/>
      <c r="M131" s="20">
        <f>IF(A131="","",IF(OR(J131="",Inputs!$B$59=""),0,IFERROR(INDEX(Elements_hybrides!$F$4:$F$204,MATCH(J131,Elements_hybrides!$A$4:$A$204,0))/(Inputs!$B$59*60),0)))</f>
        <v/>
      </c>
      <c r="N131" s="20">
        <f>IF(A131="","",IF(L131="",Inputs!$B$14,L131)+M131)</f>
        <v/>
      </c>
    </row>
    <row r="132">
      <c r="A132" s="4" t="n"/>
      <c r="B132" s="4" t="n"/>
      <c r="C132" s="4" t="n"/>
      <c r="D132" s="7" t="n"/>
      <c r="E132" s="7" t="n"/>
      <c r="F132" s="20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20">
        <f>IF(A132="","",N132)</f>
        <v/>
      </c>
      <c r="H132" s="20">
        <f>IF(A132="","",Inputs!$B$3/((IF(G132="",Inputs!$B$14,G132)+Inputs!$B$4)^Inputs!$B$5))</f>
        <v/>
      </c>
      <c r="I132" s="20">
        <f>IF(A132="","",2.78E-7*F132*D132*H132)</f>
        <v/>
      </c>
      <c r="J132" s="4" t="n"/>
      <c r="K132" s="4" t="n"/>
      <c r="L132" s="5" t="n"/>
      <c r="M132" s="20">
        <f>IF(A132="","",IF(OR(J132="",Inputs!$B$59=""),0,IFERROR(INDEX(Elements_hybrides!$F$4:$F$204,MATCH(J132,Elements_hybrides!$A$4:$A$204,0))/(Inputs!$B$59*60),0)))</f>
        <v/>
      </c>
      <c r="N132" s="20">
        <f>IF(A132="","",IF(L132="",Inputs!$B$14,L132)+M132)</f>
        <v/>
      </c>
    </row>
    <row r="133">
      <c r="A133" s="4" t="n"/>
      <c r="B133" s="4" t="n"/>
      <c r="C133" s="4" t="n"/>
      <c r="D133" s="7" t="n"/>
      <c r="E133" s="7" t="n"/>
      <c r="F133" s="20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20">
        <f>IF(A133="","",N133)</f>
        <v/>
      </c>
      <c r="H133" s="20">
        <f>IF(A133="","",Inputs!$B$3/((IF(G133="",Inputs!$B$14,G133)+Inputs!$B$4)^Inputs!$B$5))</f>
        <v/>
      </c>
      <c r="I133" s="20">
        <f>IF(A133="","",2.78E-7*F133*D133*H133)</f>
        <v/>
      </c>
      <c r="J133" s="4" t="n"/>
      <c r="K133" s="4" t="n"/>
      <c r="L133" s="5" t="n"/>
      <c r="M133" s="20">
        <f>IF(A133="","",IF(OR(J133="",Inputs!$B$59=""),0,IFERROR(INDEX(Elements_hybrides!$F$4:$F$204,MATCH(J133,Elements_hybrides!$A$4:$A$204,0))/(Inputs!$B$59*60),0)))</f>
        <v/>
      </c>
      <c r="N133" s="20">
        <f>IF(A133="","",IF(L133="",Inputs!$B$14,L133)+M133)</f>
        <v/>
      </c>
    </row>
    <row r="134">
      <c r="A134" s="4" t="n"/>
      <c r="B134" s="4" t="n"/>
      <c r="C134" s="4" t="n"/>
      <c r="D134" s="7" t="n"/>
      <c r="E134" s="7" t="n"/>
      <c r="F134" s="20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20">
        <f>IF(A134="","",N134)</f>
        <v/>
      </c>
      <c r="H134" s="20">
        <f>IF(A134="","",Inputs!$B$3/((IF(G134="",Inputs!$B$14,G134)+Inputs!$B$4)^Inputs!$B$5))</f>
        <v/>
      </c>
      <c r="I134" s="20">
        <f>IF(A134="","",2.78E-7*F134*D134*H134)</f>
        <v/>
      </c>
      <c r="J134" s="4" t="n"/>
      <c r="K134" s="4" t="n"/>
      <c r="L134" s="5" t="n"/>
      <c r="M134" s="20">
        <f>IF(A134="","",IF(OR(J134="",Inputs!$B$59=""),0,IFERROR(INDEX(Elements_hybrides!$F$4:$F$204,MATCH(J134,Elements_hybrides!$A$4:$A$204,0))/(Inputs!$B$59*60),0)))</f>
        <v/>
      </c>
      <c r="N134" s="20">
        <f>IF(A134="","",IF(L134="",Inputs!$B$14,L134)+M134)</f>
        <v/>
      </c>
    </row>
    <row r="135">
      <c r="A135" s="4" t="n"/>
      <c r="B135" s="4" t="n"/>
      <c r="C135" s="4" t="n"/>
      <c r="D135" s="7" t="n"/>
      <c r="E135" s="7" t="n"/>
      <c r="F135" s="20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20">
        <f>IF(A135="","",N135)</f>
        <v/>
      </c>
      <c r="H135" s="20">
        <f>IF(A135="","",Inputs!$B$3/((IF(G135="",Inputs!$B$14,G135)+Inputs!$B$4)^Inputs!$B$5))</f>
        <v/>
      </c>
      <c r="I135" s="20">
        <f>IF(A135="","",2.78E-7*F135*D135*H135)</f>
        <v/>
      </c>
      <c r="J135" s="4" t="n"/>
      <c r="K135" s="4" t="n"/>
      <c r="L135" s="5" t="n"/>
      <c r="M135" s="20">
        <f>IF(A135="","",IF(OR(J135="",Inputs!$B$59=""),0,IFERROR(INDEX(Elements_hybrides!$F$4:$F$204,MATCH(J135,Elements_hybrides!$A$4:$A$204,0))/(Inputs!$B$59*60),0)))</f>
        <v/>
      </c>
      <c r="N135" s="20">
        <f>IF(A135="","",IF(L135="",Inputs!$B$14,L135)+M135)</f>
        <v/>
      </c>
    </row>
    <row r="136">
      <c r="A136" s="4" t="n"/>
      <c r="B136" s="4" t="n"/>
      <c r="C136" s="4" t="n"/>
      <c r="D136" s="7" t="n"/>
      <c r="E136" s="7" t="n"/>
      <c r="F136" s="20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20">
        <f>IF(A136="","",N136)</f>
        <v/>
      </c>
      <c r="H136" s="20">
        <f>IF(A136="","",Inputs!$B$3/((IF(G136="",Inputs!$B$14,G136)+Inputs!$B$4)^Inputs!$B$5))</f>
        <v/>
      </c>
      <c r="I136" s="20">
        <f>IF(A136="","",2.78E-7*F136*D136*H136)</f>
        <v/>
      </c>
      <c r="J136" s="4" t="n"/>
      <c r="K136" s="4" t="n"/>
      <c r="L136" s="5" t="n"/>
      <c r="M136" s="20">
        <f>IF(A136="","",IF(OR(J136="",Inputs!$B$59=""),0,IFERROR(INDEX(Elements_hybrides!$F$4:$F$204,MATCH(J136,Elements_hybrides!$A$4:$A$204,0))/(Inputs!$B$59*60),0)))</f>
        <v/>
      </c>
      <c r="N136" s="20">
        <f>IF(A136="","",IF(L136="",Inputs!$B$14,L136)+M136)</f>
        <v/>
      </c>
    </row>
    <row r="137">
      <c r="A137" s="4" t="n"/>
      <c r="B137" s="4" t="n"/>
      <c r="C137" s="4" t="n"/>
      <c r="D137" s="7" t="n"/>
      <c r="E137" s="7" t="n"/>
      <c r="F137" s="20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20">
        <f>IF(A137="","",N137)</f>
        <v/>
      </c>
      <c r="H137" s="20">
        <f>IF(A137="","",Inputs!$B$3/((IF(G137="",Inputs!$B$14,G137)+Inputs!$B$4)^Inputs!$B$5))</f>
        <v/>
      </c>
      <c r="I137" s="20">
        <f>IF(A137="","",2.78E-7*F137*D137*H137)</f>
        <v/>
      </c>
      <c r="J137" s="4" t="n"/>
      <c r="K137" s="4" t="n"/>
      <c r="L137" s="5" t="n"/>
      <c r="M137" s="20">
        <f>IF(A137="","",IF(OR(J137="",Inputs!$B$59=""),0,IFERROR(INDEX(Elements_hybrides!$F$4:$F$204,MATCH(J137,Elements_hybrides!$A$4:$A$204,0))/(Inputs!$B$59*60),0)))</f>
        <v/>
      </c>
      <c r="N137" s="20">
        <f>IF(A137="","",IF(L137="",Inputs!$B$14,L137)+M137)</f>
        <v/>
      </c>
    </row>
    <row r="138">
      <c r="A138" s="4" t="n"/>
      <c r="B138" s="4" t="n"/>
      <c r="C138" s="4" t="n"/>
      <c r="D138" s="7" t="n"/>
      <c r="E138" s="7" t="n"/>
      <c r="F138" s="20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20">
        <f>IF(A138="","",N138)</f>
        <v/>
      </c>
      <c r="H138" s="20">
        <f>IF(A138="","",Inputs!$B$3/((IF(G138="",Inputs!$B$14,G138)+Inputs!$B$4)^Inputs!$B$5))</f>
        <v/>
      </c>
      <c r="I138" s="20">
        <f>IF(A138="","",2.78E-7*F138*D138*H138)</f>
        <v/>
      </c>
      <c r="J138" s="4" t="n"/>
      <c r="K138" s="4" t="n"/>
      <c r="L138" s="5" t="n"/>
      <c r="M138" s="20">
        <f>IF(A138="","",IF(OR(J138="",Inputs!$B$59=""),0,IFERROR(INDEX(Elements_hybrides!$F$4:$F$204,MATCH(J138,Elements_hybrides!$A$4:$A$204,0))/(Inputs!$B$59*60),0)))</f>
        <v/>
      </c>
      <c r="N138" s="20">
        <f>IF(A138="","",IF(L138="",Inputs!$B$14,L138)+M138)</f>
        <v/>
      </c>
    </row>
    <row r="139">
      <c r="A139" s="4" t="n"/>
      <c r="B139" s="4" t="n"/>
      <c r="C139" s="4" t="n"/>
      <c r="D139" s="7" t="n"/>
      <c r="E139" s="7" t="n"/>
      <c r="F139" s="20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20">
        <f>IF(A139="","",N139)</f>
        <v/>
      </c>
      <c r="H139" s="20">
        <f>IF(A139="","",Inputs!$B$3/((IF(G139="",Inputs!$B$14,G139)+Inputs!$B$4)^Inputs!$B$5))</f>
        <v/>
      </c>
      <c r="I139" s="20">
        <f>IF(A139="","",2.78E-7*F139*D139*H139)</f>
        <v/>
      </c>
      <c r="J139" s="4" t="n"/>
      <c r="K139" s="4" t="n"/>
      <c r="L139" s="5" t="n"/>
      <c r="M139" s="20">
        <f>IF(A139="","",IF(OR(J139="",Inputs!$B$59=""),0,IFERROR(INDEX(Elements_hybrides!$F$4:$F$204,MATCH(J139,Elements_hybrides!$A$4:$A$204,0))/(Inputs!$B$59*60),0)))</f>
        <v/>
      </c>
      <c r="N139" s="20">
        <f>IF(A139="","",IF(L139="",Inputs!$B$14,L139)+M139)</f>
        <v/>
      </c>
    </row>
    <row r="140">
      <c r="A140" s="4" t="n"/>
      <c r="B140" s="4" t="n"/>
      <c r="C140" s="4" t="n"/>
      <c r="D140" s="7" t="n"/>
      <c r="E140" s="7" t="n"/>
      <c r="F140" s="20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20">
        <f>IF(A140="","",N140)</f>
        <v/>
      </c>
      <c r="H140" s="20">
        <f>IF(A140="","",Inputs!$B$3/((IF(G140="",Inputs!$B$14,G140)+Inputs!$B$4)^Inputs!$B$5))</f>
        <v/>
      </c>
      <c r="I140" s="20">
        <f>IF(A140="","",2.78E-7*F140*D140*H140)</f>
        <v/>
      </c>
      <c r="J140" s="4" t="n"/>
      <c r="K140" s="4" t="n"/>
      <c r="L140" s="5" t="n"/>
      <c r="M140" s="20">
        <f>IF(A140="","",IF(OR(J140="",Inputs!$B$59=""),0,IFERROR(INDEX(Elements_hybrides!$F$4:$F$204,MATCH(J140,Elements_hybrides!$A$4:$A$204,0))/(Inputs!$B$59*60),0)))</f>
        <v/>
      </c>
      <c r="N140" s="20">
        <f>IF(A140="","",IF(L140="",Inputs!$B$14,L140)+M140)</f>
        <v/>
      </c>
    </row>
    <row r="141">
      <c r="A141" s="4" t="n"/>
      <c r="B141" s="4" t="n"/>
      <c r="C141" s="4" t="n"/>
      <c r="D141" s="7" t="n"/>
      <c r="E141" s="7" t="n"/>
      <c r="F141" s="20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20">
        <f>IF(A141="","",N141)</f>
        <v/>
      </c>
      <c r="H141" s="20">
        <f>IF(A141="","",Inputs!$B$3/((IF(G141="",Inputs!$B$14,G141)+Inputs!$B$4)^Inputs!$B$5))</f>
        <v/>
      </c>
      <c r="I141" s="20">
        <f>IF(A141="","",2.78E-7*F141*D141*H141)</f>
        <v/>
      </c>
      <c r="J141" s="4" t="n"/>
      <c r="K141" s="4" t="n"/>
      <c r="L141" s="5" t="n"/>
      <c r="M141" s="20">
        <f>IF(A141="","",IF(OR(J141="",Inputs!$B$59=""),0,IFERROR(INDEX(Elements_hybrides!$F$4:$F$204,MATCH(J141,Elements_hybrides!$A$4:$A$204,0))/(Inputs!$B$59*60),0)))</f>
        <v/>
      </c>
      <c r="N141" s="20">
        <f>IF(A141="","",IF(L141="",Inputs!$B$14,L141)+M141)</f>
        <v/>
      </c>
    </row>
    <row r="142">
      <c r="A142" s="4" t="n"/>
      <c r="B142" s="4" t="n"/>
      <c r="C142" s="4" t="n"/>
      <c r="D142" s="7" t="n"/>
      <c r="E142" s="7" t="n"/>
      <c r="F142" s="20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20">
        <f>IF(A142="","",N142)</f>
        <v/>
      </c>
      <c r="H142" s="20">
        <f>IF(A142="","",Inputs!$B$3/((IF(G142="",Inputs!$B$14,G142)+Inputs!$B$4)^Inputs!$B$5))</f>
        <v/>
      </c>
      <c r="I142" s="20">
        <f>IF(A142="","",2.78E-7*F142*D142*H142)</f>
        <v/>
      </c>
      <c r="J142" s="4" t="n"/>
      <c r="K142" s="4" t="n"/>
      <c r="L142" s="5" t="n"/>
      <c r="M142" s="20">
        <f>IF(A142="","",IF(OR(J142="",Inputs!$B$59=""),0,IFERROR(INDEX(Elements_hybrides!$F$4:$F$204,MATCH(J142,Elements_hybrides!$A$4:$A$204,0))/(Inputs!$B$59*60),0)))</f>
        <v/>
      </c>
      <c r="N142" s="20">
        <f>IF(A142="","",IF(L142="",Inputs!$B$14,L142)+M142)</f>
        <v/>
      </c>
    </row>
    <row r="143">
      <c r="A143" s="4" t="n"/>
      <c r="B143" s="4" t="n"/>
      <c r="C143" s="4" t="n"/>
      <c r="D143" s="7" t="n"/>
      <c r="E143" s="7" t="n"/>
      <c r="F143" s="20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20">
        <f>IF(A143="","",N143)</f>
        <v/>
      </c>
      <c r="H143" s="20">
        <f>IF(A143="","",Inputs!$B$3/((IF(G143="",Inputs!$B$14,G143)+Inputs!$B$4)^Inputs!$B$5))</f>
        <v/>
      </c>
      <c r="I143" s="20">
        <f>IF(A143="","",2.78E-7*F143*D143*H143)</f>
        <v/>
      </c>
      <c r="J143" s="4" t="n"/>
      <c r="K143" s="4" t="n"/>
      <c r="L143" s="5" t="n"/>
      <c r="M143" s="20">
        <f>IF(A143="","",IF(OR(J143="",Inputs!$B$59=""),0,IFERROR(INDEX(Elements_hybrides!$F$4:$F$204,MATCH(J143,Elements_hybrides!$A$4:$A$204,0))/(Inputs!$B$59*60),0)))</f>
        <v/>
      </c>
      <c r="N143" s="20">
        <f>IF(A143="","",IF(L143="",Inputs!$B$14,L143)+M143)</f>
        <v/>
      </c>
    </row>
    <row r="144">
      <c r="A144" s="4" t="n"/>
      <c r="B144" s="4" t="n"/>
      <c r="C144" s="4" t="n"/>
      <c r="D144" s="7" t="n"/>
      <c r="E144" s="7" t="n"/>
      <c r="F144" s="20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20">
        <f>IF(A144="","",N144)</f>
        <v/>
      </c>
      <c r="H144" s="20">
        <f>IF(A144="","",Inputs!$B$3/((IF(G144="",Inputs!$B$14,G144)+Inputs!$B$4)^Inputs!$B$5))</f>
        <v/>
      </c>
      <c r="I144" s="20">
        <f>IF(A144="","",2.78E-7*F144*D144*H144)</f>
        <v/>
      </c>
      <c r="J144" s="4" t="n"/>
      <c r="K144" s="4" t="n"/>
      <c r="L144" s="5" t="n"/>
      <c r="M144" s="20">
        <f>IF(A144="","",IF(OR(J144="",Inputs!$B$59=""),0,IFERROR(INDEX(Elements_hybrides!$F$4:$F$204,MATCH(J144,Elements_hybrides!$A$4:$A$204,0))/(Inputs!$B$59*60),0)))</f>
        <v/>
      </c>
      <c r="N144" s="20">
        <f>IF(A144="","",IF(L144="",Inputs!$B$14,L144)+M144)</f>
        <v/>
      </c>
    </row>
    <row r="145">
      <c r="A145" s="4" t="n"/>
      <c r="B145" s="4" t="n"/>
      <c r="C145" s="4" t="n"/>
      <c r="D145" s="7" t="n"/>
      <c r="E145" s="7" t="n"/>
      <c r="F145" s="20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20">
        <f>IF(A145="","",N145)</f>
        <v/>
      </c>
      <c r="H145" s="20">
        <f>IF(A145="","",Inputs!$B$3/((IF(G145="",Inputs!$B$14,G145)+Inputs!$B$4)^Inputs!$B$5))</f>
        <v/>
      </c>
      <c r="I145" s="20">
        <f>IF(A145="","",2.78E-7*F145*D145*H145)</f>
        <v/>
      </c>
      <c r="J145" s="4" t="n"/>
      <c r="K145" s="4" t="n"/>
      <c r="L145" s="5" t="n"/>
      <c r="M145" s="20">
        <f>IF(A145="","",IF(OR(J145="",Inputs!$B$59=""),0,IFERROR(INDEX(Elements_hybrides!$F$4:$F$204,MATCH(J145,Elements_hybrides!$A$4:$A$204,0))/(Inputs!$B$59*60),0)))</f>
        <v/>
      </c>
      <c r="N145" s="20">
        <f>IF(A145="","",IF(L145="",Inputs!$B$14,L145)+M145)</f>
        <v/>
      </c>
    </row>
    <row r="146">
      <c r="A146" s="4" t="n"/>
      <c r="B146" s="4" t="n"/>
      <c r="C146" s="4" t="n"/>
      <c r="D146" s="7" t="n"/>
      <c r="E146" s="7" t="n"/>
      <c r="F146" s="20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20">
        <f>IF(A146="","",N146)</f>
        <v/>
      </c>
      <c r="H146" s="20">
        <f>IF(A146="","",Inputs!$B$3/((IF(G146="",Inputs!$B$14,G146)+Inputs!$B$4)^Inputs!$B$5))</f>
        <v/>
      </c>
      <c r="I146" s="20">
        <f>IF(A146="","",2.78E-7*F146*D146*H146)</f>
        <v/>
      </c>
      <c r="J146" s="4" t="n"/>
      <c r="K146" s="4" t="n"/>
      <c r="L146" s="5" t="n"/>
      <c r="M146" s="20">
        <f>IF(A146="","",IF(OR(J146="",Inputs!$B$59=""),0,IFERROR(INDEX(Elements_hybrides!$F$4:$F$204,MATCH(J146,Elements_hybrides!$A$4:$A$204,0))/(Inputs!$B$59*60),0)))</f>
        <v/>
      </c>
      <c r="N146" s="20">
        <f>IF(A146="","",IF(L146="",Inputs!$B$14,L146)+M146)</f>
        <v/>
      </c>
    </row>
    <row r="147">
      <c r="A147" s="4" t="n"/>
      <c r="B147" s="4" t="n"/>
      <c r="C147" s="4" t="n"/>
      <c r="D147" s="7" t="n"/>
      <c r="E147" s="7" t="n"/>
      <c r="F147" s="20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20">
        <f>IF(A147="","",N147)</f>
        <v/>
      </c>
      <c r="H147" s="20">
        <f>IF(A147="","",Inputs!$B$3/((IF(G147="",Inputs!$B$14,G147)+Inputs!$B$4)^Inputs!$B$5))</f>
        <v/>
      </c>
      <c r="I147" s="20">
        <f>IF(A147="","",2.78E-7*F147*D147*H147)</f>
        <v/>
      </c>
      <c r="J147" s="4" t="n"/>
      <c r="K147" s="4" t="n"/>
      <c r="L147" s="5" t="n"/>
      <c r="M147" s="20">
        <f>IF(A147="","",IF(OR(J147="",Inputs!$B$59=""),0,IFERROR(INDEX(Elements_hybrides!$F$4:$F$204,MATCH(J147,Elements_hybrides!$A$4:$A$204,0))/(Inputs!$B$59*60),0)))</f>
        <v/>
      </c>
      <c r="N147" s="20">
        <f>IF(A147="","",IF(L147="",Inputs!$B$14,L147)+M147)</f>
        <v/>
      </c>
    </row>
    <row r="148">
      <c r="A148" s="4" t="n"/>
      <c r="B148" s="4" t="n"/>
      <c r="C148" s="4" t="n"/>
      <c r="D148" s="7" t="n"/>
      <c r="E148" s="7" t="n"/>
      <c r="F148" s="20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20">
        <f>IF(A148="","",N148)</f>
        <v/>
      </c>
      <c r="H148" s="20">
        <f>IF(A148="","",Inputs!$B$3/((IF(G148="",Inputs!$B$14,G148)+Inputs!$B$4)^Inputs!$B$5))</f>
        <v/>
      </c>
      <c r="I148" s="20">
        <f>IF(A148="","",2.78E-7*F148*D148*H148)</f>
        <v/>
      </c>
      <c r="J148" s="4" t="n"/>
      <c r="K148" s="4" t="n"/>
      <c r="L148" s="5" t="n"/>
      <c r="M148" s="20">
        <f>IF(A148="","",IF(OR(J148="",Inputs!$B$59=""),0,IFERROR(INDEX(Elements_hybrides!$F$4:$F$204,MATCH(J148,Elements_hybrides!$A$4:$A$204,0))/(Inputs!$B$59*60),0)))</f>
        <v/>
      </c>
      <c r="N148" s="20">
        <f>IF(A148="","",IF(L148="",Inputs!$B$14,L148)+M148)</f>
        <v/>
      </c>
    </row>
    <row r="149">
      <c r="A149" s="4" t="n"/>
      <c r="B149" s="4" t="n"/>
      <c r="C149" s="4" t="n"/>
      <c r="D149" s="7" t="n"/>
      <c r="E149" s="7" t="n"/>
      <c r="F149" s="20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20">
        <f>IF(A149="","",N149)</f>
        <v/>
      </c>
      <c r="H149" s="20">
        <f>IF(A149="","",Inputs!$B$3/((IF(G149="",Inputs!$B$14,G149)+Inputs!$B$4)^Inputs!$B$5))</f>
        <v/>
      </c>
      <c r="I149" s="20">
        <f>IF(A149="","",2.78E-7*F149*D149*H149)</f>
        <v/>
      </c>
      <c r="J149" s="4" t="n"/>
      <c r="K149" s="4" t="n"/>
      <c r="L149" s="5" t="n"/>
      <c r="M149" s="20">
        <f>IF(A149="","",IF(OR(J149="",Inputs!$B$59=""),0,IFERROR(INDEX(Elements_hybrides!$F$4:$F$204,MATCH(J149,Elements_hybrides!$A$4:$A$204,0))/(Inputs!$B$59*60),0)))</f>
        <v/>
      </c>
      <c r="N149" s="20">
        <f>IF(A149="","",IF(L149="",Inputs!$B$14,L149)+M149)</f>
        <v/>
      </c>
    </row>
    <row r="150">
      <c r="A150" s="4" t="n"/>
      <c r="B150" s="4" t="n"/>
      <c r="C150" s="4" t="n"/>
      <c r="D150" s="7" t="n"/>
      <c r="E150" s="7" t="n"/>
      <c r="F150" s="20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20">
        <f>IF(A150="","",N150)</f>
        <v/>
      </c>
      <c r="H150" s="20">
        <f>IF(A150="","",Inputs!$B$3/((IF(G150="",Inputs!$B$14,G150)+Inputs!$B$4)^Inputs!$B$5))</f>
        <v/>
      </c>
      <c r="I150" s="20">
        <f>IF(A150="","",2.78E-7*F150*D150*H150)</f>
        <v/>
      </c>
      <c r="J150" s="4" t="n"/>
      <c r="K150" s="4" t="n"/>
      <c r="L150" s="5" t="n"/>
      <c r="M150" s="20">
        <f>IF(A150="","",IF(OR(J150="",Inputs!$B$59=""),0,IFERROR(INDEX(Elements_hybrides!$F$4:$F$204,MATCH(J150,Elements_hybrides!$A$4:$A$204,0))/(Inputs!$B$59*60),0)))</f>
        <v/>
      </c>
      <c r="N150" s="20">
        <f>IF(A150="","",IF(L150="",Inputs!$B$14,L150)+M150)</f>
        <v/>
      </c>
    </row>
    <row r="151">
      <c r="A151" s="4" t="n"/>
      <c r="B151" s="4" t="n"/>
      <c r="C151" s="4" t="n"/>
      <c r="D151" s="7" t="n"/>
      <c r="E151" s="7" t="n"/>
      <c r="F151" s="20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20">
        <f>IF(A151="","",N151)</f>
        <v/>
      </c>
      <c r="H151" s="20">
        <f>IF(A151="","",Inputs!$B$3/((IF(G151="",Inputs!$B$14,G151)+Inputs!$B$4)^Inputs!$B$5))</f>
        <v/>
      </c>
      <c r="I151" s="20">
        <f>IF(A151="","",2.78E-7*F151*D151*H151)</f>
        <v/>
      </c>
      <c r="J151" s="4" t="n"/>
      <c r="K151" s="4" t="n"/>
      <c r="L151" s="5" t="n"/>
      <c r="M151" s="20">
        <f>IF(A151="","",IF(OR(J151="",Inputs!$B$59=""),0,IFERROR(INDEX(Elements_hybrides!$F$4:$F$204,MATCH(J151,Elements_hybrides!$A$4:$A$204,0))/(Inputs!$B$59*60),0)))</f>
        <v/>
      </c>
      <c r="N151" s="20">
        <f>IF(A151="","",IF(L151="",Inputs!$B$14,L151)+M151)</f>
        <v/>
      </c>
    </row>
    <row r="152">
      <c r="A152" s="4" t="n"/>
      <c r="B152" s="4" t="n"/>
      <c r="C152" s="4" t="n"/>
      <c r="D152" s="7" t="n"/>
      <c r="E152" s="7" t="n"/>
      <c r="F152" s="20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20">
        <f>IF(A152="","",N152)</f>
        <v/>
      </c>
      <c r="H152" s="20">
        <f>IF(A152="","",Inputs!$B$3/((IF(G152="",Inputs!$B$14,G152)+Inputs!$B$4)^Inputs!$B$5))</f>
        <v/>
      </c>
      <c r="I152" s="20">
        <f>IF(A152="","",2.78E-7*F152*D152*H152)</f>
        <v/>
      </c>
      <c r="J152" s="4" t="n"/>
      <c r="K152" s="4" t="n"/>
      <c r="L152" s="5" t="n"/>
      <c r="M152" s="20">
        <f>IF(A152="","",IF(OR(J152="",Inputs!$B$59=""),0,IFERROR(INDEX(Elements_hybrides!$F$4:$F$204,MATCH(J152,Elements_hybrides!$A$4:$A$204,0))/(Inputs!$B$59*60),0)))</f>
        <v/>
      </c>
      <c r="N152" s="20">
        <f>IF(A152="","",IF(L152="",Inputs!$B$14,L152)+M152)</f>
        <v/>
      </c>
    </row>
    <row r="153">
      <c r="A153" s="4" t="n"/>
      <c r="B153" s="4" t="n"/>
      <c r="C153" s="4" t="n"/>
      <c r="D153" s="7" t="n"/>
      <c r="E153" s="7" t="n"/>
      <c r="F153" s="20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20">
        <f>IF(A153="","",N153)</f>
        <v/>
      </c>
      <c r="H153" s="20">
        <f>IF(A153="","",Inputs!$B$3/((IF(G153="",Inputs!$B$14,G153)+Inputs!$B$4)^Inputs!$B$5))</f>
        <v/>
      </c>
      <c r="I153" s="20">
        <f>IF(A153="","",2.78E-7*F153*D153*H153)</f>
        <v/>
      </c>
      <c r="J153" s="4" t="n"/>
      <c r="K153" s="4" t="n"/>
      <c r="L153" s="5" t="n"/>
      <c r="M153" s="20">
        <f>IF(A153="","",IF(OR(J153="",Inputs!$B$59=""),0,IFERROR(INDEX(Elements_hybrides!$F$4:$F$204,MATCH(J153,Elements_hybrides!$A$4:$A$204,0))/(Inputs!$B$59*60),0)))</f>
        <v/>
      </c>
      <c r="N153" s="20">
        <f>IF(A153="","",IF(L153="",Inputs!$B$14,L153)+M153)</f>
        <v/>
      </c>
    </row>
    <row r="154">
      <c r="A154" s="4" t="n"/>
      <c r="B154" s="4" t="n"/>
      <c r="C154" s="4" t="n"/>
      <c r="D154" s="7" t="n"/>
      <c r="E154" s="7" t="n"/>
      <c r="F154" s="20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20">
        <f>IF(A154="","",N154)</f>
        <v/>
      </c>
      <c r="H154" s="20">
        <f>IF(A154="","",Inputs!$B$3/((IF(G154="",Inputs!$B$14,G154)+Inputs!$B$4)^Inputs!$B$5))</f>
        <v/>
      </c>
      <c r="I154" s="20">
        <f>IF(A154="","",2.78E-7*F154*D154*H154)</f>
        <v/>
      </c>
      <c r="J154" s="4" t="n"/>
      <c r="K154" s="4" t="n"/>
      <c r="L154" s="5" t="n"/>
      <c r="M154" s="20">
        <f>IF(A154="","",IF(OR(J154="",Inputs!$B$59=""),0,IFERROR(INDEX(Elements_hybrides!$F$4:$F$204,MATCH(J154,Elements_hybrides!$A$4:$A$204,0))/(Inputs!$B$59*60),0)))</f>
        <v/>
      </c>
      <c r="N154" s="20">
        <f>IF(A154="","",IF(L154="",Inputs!$B$14,L154)+M154)</f>
        <v/>
      </c>
    </row>
    <row r="155">
      <c r="A155" s="4" t="n"/>
      <c r="B155" s="4" t="n"/>
      <c r="C155" s="4" t="n"/>
      <c r="D155" s="7" t="n"/>
      <c r="E155" s="7" t="n"/>
      <c r="F155" s="20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20">
        <f>IF(A155="","",N155)</f>
        <v/>
      </c>
      <c r="H155" s="20">
        <f>IF(A155="","",Inputs!$B$3/((IF(G155="",Inputs!$B$14,G155)+Inputs!$B$4)^Inputs!$B$5))</f>
        <v/>
      </c>
      <c r="I155" s="20">
        <f>IF(A155="","",2.78E-7*F155*D155*H155)</f>
        <v/>
      </c>
      <c r="J155" s="4" t="n"/>
      <c r="K155" s="4" t="n"/>
      <c r="L155" s="5" t="n"/>
      <c r="M155" s="20">
        <f>IF(A155="","",IF(OR(J155="",Inputs!$B$59=""),0,IFERROR(INDEX(Elements_hybrides!$F$4:$F$204,MATCH(J155,Elements_hybrides!$A$4:$A$204,0))/(Inputs!$B$59*60),0)))</f>
        <v/>
      </c>
      <c r="N155" s="20">
        <f>IF(A155="","",IF(L155="",Inputs!$B$14,L155)+M155)</f>
        <v/>
      </c>
    </row>
    <row r="156">
      <c r="A156" s="4" t="n"/>
      <c r="B156" s="4" t="n"/>
      <c r="C156" s="4" t="n"/>
      <c r="D156" s="7" t="n"/>
      <c r="E156" s="7" t="n"/>
      <c r="F156" s="20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20">
        <f>IF(A156="","",N156)</f>
        <v/>
      </c>
      <c r="H156" s="20">
        <f>IF(A156="","",Inputs!$B$3/((IF(G156="",Inputs!$B$14,G156)+Inputs!$B$4)^Inputs!$B$5))</f>
        <v/>
      </c>
      <c r="I156" s="20">
        <f>IF(A156="","",2.78E-7*F156*D156*H156)</f>
        <v/>
      </c>
      <c r="J156" s="4" t="n"/>
      <c r="K156" s="4" t="n"/>
      <c r="L156" s="5" t="n"/>
      <c r="M156" s="20">
        <f>IF(A156="","",IF(OR(J156="",Inputs!$B$59=""),0,IFERROR(INDEX(Elements_hybrides!$F$4:$F$204,MATCH(J156,Elements_hybrides!$A$4:$A$204,0))/(Inputs!$B$59*60),0)))</f>
        <v/>
      </c>
      <c r="N156" s="20">
        <f>IF(A156="","",IF(L156="",Inputs!$B$14,L156)+M156)</f>
        <v/>
      </c>
    </row>
    <row r="157">
      <c r="A157" s="4" t="n"/>
      <c r="B157" s="4" t="n"/>
      <c r="C157" s="4" t="n"/>
      <c r="D157" s="7" t="n"/>
      <c r="E157" s="7" t="n"/>
      <c r="F157" s="20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20">
        <f>IF(A157="","",N157)</f>
        <v/>
      </c>
      <c r="H157" s="20">
        <f>IF(A157="","",Inputs!$B$3/((IF(G157="",Inputs!$B$14,G157)+Inputs!$B$4)^Inputs!$B$5))</f>
        <v/>
      </c>
      <c r="I157" s="20">
        <f>IF(A157="","",2.78E-7*F157*D157*H157)</f>
        <v/>
      </c>
      <c r="J157" s="4" t="n"/>
      <c r="K157" s="4" t="n"/>
      <c r="L157" s="5" t="n"/>
      <c r="M157" s="20">
        <f>IF(A157="","",IF(OR(J157="",Inputs!$B$59=""),0,IFERROR(INDEX(Elements_hybrides!$F$4:$F$204,MATCH(J157,Elements_hybrides!$A$4:$A$204,0))/(Inputs!$B$59*60),0)))</f>
        <v/>
      </c>
      <c r="N157" s="20">
        <f>IF(A157="","",IF(L157="",Inputs!$B$14,L157)+M157)</f>
        <v/>
      </c>
    </row>
    <row r="158">
      <c r="A158" s="4" t="n"/>
      <c r="B158" s="4" t="n"/>
      <c r="C158" s="4" t="n"/>
      <c r="D158" s="7" t="n"/>
      <c r="E158" s="7" t="n"/>
      <c r="F158" s="20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20">
        <f>IF(A158="","",N158)</f>
        <v/>
      </c>
      <c r="H158" s="20">
        <f>IF(A158="","",Inputs!$B$3/((IF(G158="",Inputs!$B$14,G158)+Inputs!$B$4)^Inputs!$B$5))</f>
        <v/>
      </c>
      <c r="I158" s="20">
        <f>IF(A158="","",2.78E-7*F158*D158*H158)</f>
        <v/>
      </c>
      <c r="J158" s="4" t="n"/>
      <c r="K158" s="4" t="n"/>
      <c r="L158" s="5" t="n"/>
      <c r="M158" s="20">
        <f>IF(A158="","",IF(OR(J158="",Inputs!$B$59=""),0,IFERROR(INDEX(Elements_hybrides!$F$4:$F$204,MATCH(J158,Elements_hybrides!$A$4:$A$204,0))/(Inputs!$B$59*60),0)))</f>
        <v/>
      </c>
      <c r="N158" s="20">
        <f>IF(A158="","",IF(L158="",Inputs!$B$14,L158)+M158)</f>
        <v/>
      </c>
    </row>
    <row r="159">
      <c r="A159" s="4" t="n"/>
      <c r="B159" s="4" t="n"/>
      <c r="C159" s="4" t="n"/>
      <c r="D159" s="7" t="n"/>
      <c r="E159" s="7" t="n"/>
      <c r="F159" s="20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20">
        <f>IF(A159="","",N159)</f>
        <v/>
      </c>
      <c r="H159" s="20">
        <f>IF(A159="","",Inputs!$B$3/((IF(G159="",Inputs!$B$14,G159)+Inputs!$B$4)^Inputs!$B$5))</f>
        <v/>
      </c>
      <c r="I159" s="20">
        <f>IF(A159="","",2.78E-7*F159*D159*H159)</f>
        <v/>
      </c>
      <c r="J159" s="4" t="n"/>
      <c r="K159" s="4" t="n"/>
      <c r="L159" s="5" t="n"/>
      <c r="M159" s="20">
        <f>IF(A159="","",IF(OR(J159="",Inputs!$B$59=""),0,IFERROR(INDEX(Elements_hybrides!$F$4:$F$204,MATCH(J159,Elements_hybrides!$A$4:$A$204,0))/(Inputs!$B$59*60),0)))</f>
        <v/>
      </c>
      <c r="N159" s="20">
        <f>IF(A159="","",IF(L159="",Inputs!$B$14,L159)+M159)</f>
        <v/>
      </c>
    </row>
    <row r="160">
      <c r="A160" s="4" t="n"/>
      <c r="B160" s="4" t="n"/>
      <c r="C160" s="4" t="n"/>
      <c r="D160" s="7" t="n"/>
      <c r="E160" s="7" t="n"/>
      <c r="F160" s="20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20">
        <f>IF(A160="","",N160)</f>
        <v/>
      </c>
      <c r="H160" s="20">
        <f>IF(A160="","",Inputs!$B$3/((IF(G160="",Inputs!$B$14,G160)+Inputs!$B$4)^Inputs!$B$5))</f>
        <v/>
      </c>
      <c r="I160" s="20">
        <f>IF(A160="","",2.78E-7*F160*D160*H160)</f>
        <v/>
      </c>
      <c r="J160" s="4" t="n"/>
      <c r="K160" s="4" t="n"/>
      <c r="L160" s="5" t="n"/>
      <c r="M160" s="20">
        <f>IF(A160="","",IF(OR(J160="",Inputs!$B$59=""),0,IFERROR(INDEX(Elements_hybrides!$F$4:$F$204,MATCH(J160,Elements_hybrides!$A$4:$A$204,0))/(Inputs!$B$59*60),0)))</f>
        <v/>
      </c>
      <c r="N160" s="20">
        <f>IF(A160="","",IF(L160="",Inputs!$B$14,L160)+M160)</f>
        <v/>
      </c>
    </row>
    <row r="161">
      <c r="A161" s="4" t="n"/>
      <c r="B161" s="4" t="n"/>
      <c r="C161" s="4" t="n"/>
      <c r="D161" s="7" t="n"/>
      <c r="E161" s="7" t="n"/>
      <c r="F161" s="20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20">
        <f>IF(A161="","",N161)</f>
        <v/>
      </c>
      <c r="H161" s="20">
        <f>IF(A161="","",Inputs!$B$3/((IF(G161="",Inputs!$B$14,G161)+Inputs!$B$4)^Inputs!$B$5))</f>
        <v/>
      </c>
      <c r="I161" s="20">
        <f>IF(A161="","",2.78E-7*F161*D161*H161)</f>
        <v/>
      </c>
      <c r="J161" s="4" t="n"/>
      <c r="K161" s="4" t="n"/>
      <c r="L161" s="5" t="n"/>
      <c r="M161" s="20">
        <f>IF(A161="","",IF(OR(J161="",Inputs!$B$59=""),0,IFERROR(INDEX(Elements_hybrides!$F$4:$F$204,MATCH(J161,Elements_hybrides!$A$4:$A$204,0))/(Inputs!$B$59*60),0)))</f>
        <v/>
      </c>
      <c r="N161" s="20">
        <f>IF(A161="","",IF(L161="",Inputs!$B$14,L161)+M161)</f>
        <v/>
      </c>
    </row>
    <row r="162">
      <c r="A162" s="4" t="n"/>
      <c r="B162" s="4" t="n"/>
      <c r="C162" s="4" t="n"/>
      <c r="D162" s="7" t="n"/>
      <c r="E162" s="7" t="n"/>
      <c r="F162" s="20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20">
        <f>IF(A162="","",N162)</f>
        <v/>
      </c>
      <c r="H162" s="20">
        <f>IF(A162="","",Inputs!$B$3/((IF(G162="",Inputs!$B$14,G162)+Inputs!$B$4)^Inputs!$B$5))</f>
        <v/>
      </c>
      <c r="I162" s="20">
        <f>IF(A162="","",2.78E-7*F162*D162*H162)</f>
        <v/>
      </c>
      <c r="J162" s="4" t="n"/>
      <c r="K162" s="4" t="n"/>
      <c r="L162" s="5" t="n"/>
      <c r="M162" s="20">
        <f>IF(A162="","",IF(OR(J162="",Inputs!$B$59=""),0,IFERROR(INDEX(Elements_hybrides!$F$4:$F$204,MATCH(J162,Elements_hybrides!$A$4:$A$204,0))/(Inputs!$B$59*60),0)))</f>
        <v/>
      </c>
      <c r="N162" s="20">
        <f>IF(A162="","",IF(L162="",Inputs!$B$14,L162)+M162)</f>
        <v/>
      </c>
    </row>
    <row r="163">
      <c r="A163" s="4" t="n"/>
      <c r="B163" s="4" t="n"/>
      <c r="C163" s="4" t="n"/>
      <c r="D163" s="7" t="n"/>
      <c r="E163" s="7" t="n"/>
      <c r="F163" s="20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20">
        <f>IF(A163="","",N163)</f>
        <v/>
      </c>
      <c r="H163" s="20">
        <f>IF(A163="","",Inputs!$B$3/((IF(G163="",Inputs!$B$14,G163)+Inputs!$B$4)^Inputs!$B$5))</f>
        <v/>
      </c>
      <c r="I163" s="20">
        <f>IF(A163="","",2.78E-7*F163*D163*H163)</f>
        <v/>
      </c>
      <c r="J163" s="4" t="n"/>
      <c r="K163" s="4" t="n"/>
      <c r="L163" s="5" t="n"/>
      <c r="M163" s="20">
        <f>IF(A163="","",IF(OR(J163="",Inputs!$B$59=""),0,IFERROR(INDEX(Elements_hybrides!$F$4:$F$204,MATCH(J163,Elements_hybrides!$A$4:$A$204,0))/(Inputs!$B$59*60),0)))</f>
        <v/>
      </c>
      <c r="N163" s="20">
        <f>IF(A163="","",IF(L163="",Inputs!$B$14,L163)+M163)</f>
        <v/>
      </c>
    </row>
    <row r="164">
      <c r="A164" s="4" t="n"/>
      <c r="B164" s="4" t="n"/>
      <c r="C164" s="4" t="n"/>
      <c r="D164" s="7" t="n"/>
      <c r="E164" s="7" t="n"/>
      <c r="F164" s="20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20">
        <f>IF(A164="","",N164)</f>
        <v/>
      </c>
      <c r="H164" s="20">
        <f>IF(A164="","",Inputs!$B$3/((IF(G164="",Inputs!$B$14,G164)+Inputs!$B$4)^Inputs!$B$5))</f>
        <v/>
      </c>
      <c r="I164" s="20">
        <f>IF(A164="","",2.78E-7*F164*D164*H164)</f>
        <v/>
      </c>
      <c r="J164" s="4" t="n"/>
      <c r="K164" s="4" t="n"/>
      <c r="L164" s="5" t="n"/>
      <c r="M164" s="20">
        <f>IF(A164="","",IF(OR(J164="",Inputs!$B$59=""),0,IFERROR(INDEX(Elements_hybrides!$F$4:$F$204,MATCH(J164,Elements_hybrides!$A$4:$A$204,0))/(Inputs!$B$59*60),0)))</f>
        <v/>
      </c>
      <c r="N164" s="20">
        <f>IF(A164="","",IF(L164="",Inputs!$B$14,L164)+M164)</f>
        <v/>
      </c>
    </row>
    <row r="165">
      <c r="A165" s="4" t="n"/>
      <c r="B165" s="4" t="n"/>
      <c r="C165" s="4" t="n"/>
      <c r="D165" s="7" t="n"/>
      <c r="E165" s="7" t="n"/>
      <c r="F165" s="20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20">
        <f>IF(A165="","",N165)</f>
        <v/>
      </c>
      <c r="H165" s="20">
        <f>IF(A165="","",Inputs!$B$3/((IF(G165="",Inputs!$B$14,G165)+Inputs!$B$4)^Inputs!$B$5))</f>
        <v/>
      </c>
      <c r="I165" s="20">
        <f>IF(A165="","",2.78E-7*F165*D165*H165)</f>
        <v/>
      </c>
      <c r="J165" s="4" t="n"/>
      <c r="K165" s="4" t="n"/>
      <c r="L165" s="5" t="n"/>
      <c r="M165" s="20">
        <f>IF(A165="","",IF(OR(J165="",Inputs!$B$59=""),0,IFERROR(INDEX(Elements_hybrides!$F$4:$F$204,MATCH(J165,Elements_hybrides!$A$4:$A$204,0))/(Inputs!$B$59*60),0)))</f>
        <v/>
      </c>
      <c r="N165" s="20">
        <f>IF(A165="","",IF(L165="",Inputs!$B$14,L165)+M165)</f>
        <v/>
      </c>
    </row>
    <row r="166">
      <c r="A166" s="4" t="n"/>
      <c r="B166" s="4" t="n"/>
      <c r="C166" s="4" t="n"/>
      <c r="D166" s="7" t="n"/>
      <c r="E166" s="7" t="n"/>
      <c r="F166" s="20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20">
        <f>IF(A166="","",N166)</f>
        <v/>
      </c>
      <c r="H166" s="20">
        <f>IF(A166="","",Inputs!$B$3/((IF(G166="",Inputs!$B$14,G166)+Inputs!$B$4)^Inputs!$B$5))</f>
        <v/>
      </c>
      <c r="I166" s="20">
        <f>IF(A166="","",2.78E-7*F166*D166*H166)</f>
        <v/>
      </c>
      <c r="J166" s="4" t="n"/>
      <c r="K166" s="4" t="n"/>
      <c r="L166" s="5" t="n"/>
      <c r="M166" s="20">
        <f>IF(A166="","",IF(OR(J166="",Inputs!$B$59=""),0,IFERROR(INDEX(Elements_hybrides!$F$4:$F$204,MATCH(J166,Elements_hybrides!$A$4:$A$204,0))/(Inputs!$B$59*60),0)))</f>
        <v/>
      </c>
      <c r="N166" s="20">
        <f>IF(A166="","",IF(L166="",Inputs!$B$14,L166)+M166)</f>
        <v/>
      </c>
    </row>
    <row r="167">
      <c r="A167" s="4" t="n"/>
      <c r="B167" s="4" t="n"/>
      <c r="C167" s="4" t="n"/>
      <c r="D167" s="7" t="n"/>
      <c r="E167" s="7" t="n"/>
      <c r="F167" s="20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20">
        <f>IF(A167="","",N167)</f>
        <v/>
      </c>
      <c r="H167" s="20">
        <f>IF(A167="","",Inputs!$B$3/((IF(G167="",Inputs!$B$14,G167)+Inputs!$B$4)^Inputs!$B$5))</f>
        <v/>
      </c>
      <c r="I167" s="20">
        <f>IF(A167="","",2.78E-7*F167*D167*H167)</f>
        <v/>
      </c>
      <c r="J167" s="4" t="n"/>
      <c r="K167" s="4" t="n"/>
      <c r="L167" s="5" t="n"/>
      <c r="M167" s="20">
        <f>IF(A167="","",IF(OR(J167="",Inputs!$B$59=""),0,IFERROR(INDEX(Elements_hybrides!$F$4:$F$204,MATCH(J167,Elements_hybrides!$A$4:$A$204,0))/(Inputs!$B$59*60),0)))</f>
        <v/>
      </c>
      <c r="N167" s="20">
        <f>IF(A167="","",IF(L167="",Inputs!$B$14,L167)+M167)</f>
        <v/>
      </c>
    </row>
    <row r="168">
      <c r="A168" s="4" t="n"/>
      <c r="B168" s="4" t="n"/>
      <c r="C168" s="4" t="n"/>
      <c r="D168" s="7" t="n"/>
      <c r="E168" s="7" t="n"/>
      <c r="F168" s="20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20">
        <f>IF(A168="","",N168)</f>
        <v/>
      </c>
      <c r="H168" s="20">
        <f>IF(A168="","",Inputs!$B$3/((IF(G168="",Inputs!$B$14,G168)+Inputs!$B$4)^Inputs!$B$5))</f>
        <v/>
      </c>
      <c r="I168" s="20">
        <f>IF(A168="","",2.78E-7*F168*D168*H168)</f>
        <v/>
      </c>
      <c r="J168" s="4" t="n"/>
      <c r="K168" s="4" t="n"/>
      <c r="L168" s="5" t="n"/>
      <c r="M168" s="20">
        <f>IF(A168="","",IF(OR(J168="",Inputs!$B$59=""),0,IFERROR(INDEX(Elements_hybrides!$F$4:$F$204,MATCH(J168,Elements_hybrides!$A$4:$A$204,0))/(Inputs!$B$59*60),0)))</f>
        <v/>
      </c>
      <c r="N168" s="20">
        <f>IF(A168="","",IF(L168="",Inputs!$B$14,L168)+M168)</f>
        <v/>
      </c>
    </row>
    <row r="169">
      <c r="A169" s="4" t="n"/>
      <c r="B169" s="4" t="n"/>
      <c r="C169" s="4" t="n"/>
      <c r="D169" s="7" t="n"/>
      <c r="E169" s="7" t="n"/>
      <c r="F169" s="20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20">
        <f>IF(A169="","",N169)</f>
        <v/>
      </c>
      <c r="H169" s="20">
        <f>IF(A169="","",Inputs!$B$3/((IF(G169="",Inputs!$B$14,G169)+Inputs!$B$4)^Inputs!$B$5))</f>
        <v/>
      </c>
      <c r="I169" s="20">
        <f>IF(A169="","",2.78E-7*F169*D169*H169)</f>
        <v/>
      </c>
      <c r="J169" s="4" t="n"/>
      <c r="K169" s="4" t="n"/>
      <c r="L169" s="5" t="n"/>
      <c r="M169" s="20">
        <f>IF(A169="","",IF(OR(J169="",Inputs!$B$59=""),0,IFERROR(INDEX(Elements_hybrides!$F$4:$F$204,MATCH(J169,Elements_hybrides!$A$4:$A$204,0))/(Inputs!$B$59*60),0)))</f>
        <v/>
      </c>
      <c r="N169" s="20">
        <f>IF(A169="","",IF(L169="",Inputs!$B$14,L169)+M169)</f>
        <v/>
      </c>
    </row>
    <row r="170">
      <c r="A170" s="4" t="n"/>
      <c r="B170" s="4" t="n"/>
      <c r="C170" s="4" t="n"/>
      <c r="D170" s="7" t="n"/>
      <c r="E170" s="7" t="n"/>
      <c r="F170" s="20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20">
        <f>IF(A170="","",N170)</f>
        <v/>
      </c>
      <c r="H170" s="20">
        <f>IF(A170="","",Inputs!$B$3/((IF(G170="",Inputs!$B$14,G170)+Inputs!$B$4)^Inputs!$B$5))</f>
        <v/>
      </c>
      <c r="I170" s="20">
        <f>IF(A170="","",2.78E-7*F170*D170*H170)</f>
        <v/>
      </c>
      <c r="J170" s="4" t="n"/>
      <c r="K170" s="4" t="n"/>
      <c r="L170" s="5" t="n"/>
      <c r="M170" s="20">
        <f>IF(A170="","",IF(OR(J170="",Inputs!$B$59=""),0,IFERROR(INDEX(Elements_hybrides!$F$4:$F$204,MATCH(J170,Elements_hybrides!$A$4:$A$204,0))/(Inputs!$B$59*60),0)))</f>
        <v/>
      </c>
      <c r="N170" s="20">
        <f>IF(A170="","",IF(L170="",Inputs!$B$14,L170)+M170)</f>
        <v/>
      </c>
    </row>
    <row r="171">
      <c r="A171" s="4" t="n"/>
      <c r="B171" s="4" t="n"/>
      <c r="C171" s="4" t="n"/>
      <c r="D171" s="7" t="n"/>
      <c r="E171" s="7" t="n"/>
      <c r="F171" s="20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20">
        <f>IF(A171="","",N171)</f>
        <v/>
      </c>
      <c r="H171" s="20">
        <f>IF(A171="","",Inputs!$B$3/((IF(G171="",Inputs!$B$14,G171)+Inputs!$B$4)^Inputs!$B$5))</f>
        <v/>
      </c>
      <c r="I171" s="20">
        <f>IF(A171="","",2.78E-7*F171*D171*H171)</f>
        <v/>
      </c>
      <c r="J171" s="4" t="n"/>
      <c r="K171" s="4" t="n"/>
      <c r="L171" s="5" t="n"/>
      <c r="M171" s="20">
        <f>IF(A171="","",IF(OR(J171="",Inputs!$B$59=""),0,IFERROR(INDEX(Elements_hybrides!$F$4:$F$204,MATCH(J171,Elements_hybrides!$A$4:$A$204,0))/(Inputs!$B$59*60),0)))</f>
        <v/>
      </c>
      <c r="N171" s="20">
        <f>IF(A171="","",IF(L171="",Inputs!$B$14,L171)+M171)</f>
        <v/>
      </c>
    </row>
    <row r="172">
      <c r="A172" s="4" t="n"/>
      <c r="B172" s="4" t="n"/>
      <c r="C172" s="4" t="n"/>
      <c r="D172" s="7" t="n"/>
      <c r="E172" s="7" t="n"/>
      <c r="F172" s="20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20">
        <f>IF(A172="","",N172)</f>
        <v/>
      </c>
      <c r="H172" s="20">
        <f>IF(A172="","",Inputs!$B$3/((IF(G172="",Inputs!$B$14,G172)+Inputs!$B$4)^Inputs!$B$5))</f>
        <v/>
      </c>
      <c r="I172" s="20">
        <f>IF(A172="","",2.78E-7*F172*D172*H172)</f>
        <v/>
      </c>
      <c r="J172" s="4" t="n"/>
      <c r="K172" s="4" t="n"/>
      <c r="L172" s="5" t="n"/>
      <c r="M172" s="20">
        <f>IF(A172="","",IF(OR(J172="",Inputs!$B$59=""),0,IFERROR(INDEX(Elements_hybrides!$F$4:$F$204,MATCH(J172,Elements_hybrides!$A$4:$A$204,0))/(Inputs!$B$59*60),0)))</f>
        <v/>
      </c>
      <c r="N172" s="20">
        <f>IF(A172="","",IF(L172="",Inputs!$B$14,L172)+M172)</f>
        <v/>
      </c>
    </row>
    <row r="173">
      <c r="A173" s="4" t="n"/>
      <c r="B173" s="4" t="n"/>
      <c r="C173" s="4" t="n"/>
      <c r="D173" s="7" t="n"/>
      <c r="E173" s="7" t="n"/>
      <c r="F173" s="20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20">
        <f>IF(A173="","",N173)</f>
        <v/>
      </c>
      <c r="H173" s="20">
        <f>IF(A173="","",Inputs!$B$3/((IF(G173="",Inputs!$B$14,G173)+Inputs!$B$4)^Inputs!$B$5))</f>
        <v/>
      </c>
      <c r="I173" s="20">
        <f>IF(A173="","",2.78E-7*F173*D173*H173)</f>
        <v/>
      </c>
      <c r="J173" s="4" t="n"/>
      <c r="K173" s="4" t="n"/>
      <c r="L173" s="5" t="n"/>
      <c r="M173" s="20">
        <f>IF(A173="","",IF(OR(J173="",Inputs!$B$59=""),0,IFERROR(INDEX(Elements_hybrides!$F$4:$F$204,MATCH(J173,Elements_hybrides!$A$4:$A$204,0))/(Inputs!$B$59*60),0)))</f>
        <v/>
      </c>
      <c r="N173" s="20">
        <f>IF(A173="","",IF(L173="",Inputs!$B$14,L173)+M173)</f>
        <v/>
      </c>
    </row>
    <row r="174">
      <c r="A174" s="4" t="n"/>
      <c r="B174" s="4" t="n"/>
      <c r="C174" s="4" t="n"/>
      <c r="D174" s="7" t="n"/>
      <c r="E174" s="7" t="n"/>
      <c r="F174" s="20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20">
        <f>IF(A174="","",N174)</f>
        <v/>
      </c>
      <c r="H174" s="20">
        <f>IF(A174="","",Inputs!$B$3/((IF(G174="",Inputs!$B$14,G174)+Inputs!$B$4)^Inputs!$B$5))</f>
        <v/>
      </c>
      <c r="I174" s="20">
        <f>IF(A174="","",2.78E-7*F174*D174*H174)</f>
        <v/>
      </c>
      <c r="J174" s="4" t="n"/>
      <c r="K174" s="4" t="n"/>
      <c r="L174" s="5" t="n"/>
      <c r="M174" s="20">
        <f>IF(A174="","",IF(OR(J174="",Inputs!$B$59=""),0,IFERROR(INDEX(Elements_hybrides!$F$4:$F$204,MATCH(J174,Elements_hybrides!$A$4:$A$204,0))/(Inputs!$B$59*60),0)))</f>
        <v/>
      </c>
      <c r="N174" s="20">
        <f>IF(A174="","",IF(L174="",Inputs!$B$14,L174)+M174)</f>
        <v/>
      </c>
    </row>
    <row r="175">
      <c r="A175" s="4" t="n"/>
      <c r="B175" s="4" t="n"/>
      <c r="C175" s="4" t="n"/>
      <c r="D175" s="7" t="n"/>
      <c r="E175" s="7" t="n"/>
      <c r="F175" s="20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20">
        <f>IF(A175="","",N175)</f>
        <v/>
      </c>
      <c r="H175" s="20">
        <f>IF(A175="","",Inputs!$B$3/((IF(G175="",Inputs!$B$14,G175)+Inputs!$B$4)^Inputs!$B$5))</f>
        <v/>
      </c>
      <c r="I175" s="20">
        <f>IF(A175="","",2.78E-7*F175*D175*H175)</f>
        <v/>
      </c>
      <c r="J175" s="4" t="n"/>
      <c r="K175" s="4" t="n"/>
      <c r="L175" s="5" t="n"/>
      <c r="M175" s="20">
        <f>IF(A175="","",IF(OR(J175="",Inputs!$B$59=""),0,IFERROR(INDEX(Elements_hybrides!$F$4:$F$204,MATCH(J175,Elements_hybrides!$A$4:$A$204,0))/(Inputs!$B$59*60),0)))</f>
        <v/>
      </c>
      <c r="N175" s="20">
        <f>IF(A175="","",IF(L175="",Inputs!$B$14,L175)+M175)</f>
        <v/>
      </c>
    </row>
    <row r="176">
      <c r="A176" s="4" t="n"/>
      <c r="B176" s="4" t="n"/>
      <c r="C176" s="4" t="n"/>
      <c r="D176" s="7" t="n"/>
      <c r="E176" s="7" t="n"/>
      <c r="F176" s="20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20">
        <f>IF(A176="","",N176)</f>
        <v/>
      </c>
      <c r="H176" s="20">
        <f>IF(A176="","",Inputs!$B$3/((IF(G176="",Inputs!$B$14,G176)+Inputs!$B$4)^Inputs!$B$5))</f>
        <v/>
      </c>
      <c r="I176" s="20">
        <f>IF(A176="","",2.78E-7*F176*D176*H176)</f>
        <v/>
      </c>
      <c r="J176" s="4" t="n"/>
      <c r="K176" s="4" t="n"/>
      <c r="L176" s="5" t="n"/>
      <c r="M176" s="20">
        <f>IF(A176="","",IF(OR(J176="",Inputs!$B$59=""),0,IFERROR(INDEX(Elements_hybrides!$F$4:$F$204,MATCH(J176,Elements_hybrides!$A$4:$A$204,0))/(Inputs!$B$59*60),0)))</f>
        <v/>
      </c>
      <c r="N176" s="20">
        <f>IF(A176="","",IF(L176="",Inputs!$B$14,L176)+M176)</f>
        <v/>
      </c>
    </row>
    <row r="177">
      <c r="A177" s="4" t="n"/>
      <c r="B177" s="4" t="n"/>
      <c r="C177" s="4" t="n"/>
      <c r="D177" s="7" t="n"/>
      <c r="E177" s="7" t="n"/>
      <c r="F177" s="20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20">
        <f>IF(A177="","",N177)</f>
        <v/>
      </c>
      <c r="H177" s="20">
        <f>IF(A177="","",Inputs!$B$3/((IF(G177="",Inputs!$B$14,G177)+Inputs!$B$4)^Inputs!$B$5))</f>
        <v/>
      </c>
      <c r="I177" s="20">
        <f>IF(A177="","",2.78E-7*F177*D177*H177)</f>
        <v/>
      </c>
      <c r="J177" s="4" t="n"/>
      <c r="K177" s="4" t="n"/>
      <c r="L177" s="5" t="n"/>
      <c r="M177" s="20">
        <f>IF(A177="","",IF(OR(J177="",Inputs!$B$59=""),0,IFERROR(INDEX(Elements_hybrides!$F$4:$F$204,MATCH(J177,Elements_hybrides!$A$4:$A$204,0))/(Inputs!$B$59*60),0)))</f>
        <v/>
      </c>
      <c r="N177" s="20">
        <f>IF(A177="","",IF(L177="",Inputs!$B$14,L177)+M177)</f>
        <v/>
      </c>
    </row>
    <row r="178">
      <c r="A178" s="4" t="n"/>
      <c r="B178" s="4" t="n"/>
      <c r="C178" s="4" t="n"/>
      <c r="D178" s="7" t="n"/>
      <c r="E178" s="7" t="n"/>
      <c r="F178" s="20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20">
        <f>IF(A178="","",N178)</f>
        <v/>
      </c>
      <c r="H178" s="20">
        <f>IF(A178="","",Inputs!$B$3/((IF(G178="",Inputs!$B$14,G178)+Inputs!$B$4)^Inputs!$B$5))</f>
        <v/>
      </c>
      <c r="I178" s="20">
        <f>IF(A178="","",2.78E-7*F178*D178*H178)</f>
        <v/>
      </c>
      <c r="J178" s="4" t="n"/>
      <c r="K178" s="4" t="n"/>
      <c r="L178" s="5" t="n"/>
      <c r="M178" s="20">
        <f>IF(A178="","",IF(OR(J178="",Inputs!$B$59=""),0,IFERROR(INDEX(Elements_hybrides!$F$4:$F$204,MATCH(J178,Elements_hybrides!$A$4:$A$204,0))/(Inputs!$B$59*60),0)))</f>
        <v/>
      </c>
      <c r="N178" s="20">
        <f>IF(A178="","",IF(L178="",Inputs!$B$14,L178)+M178)</f>
        <v/>
      </c>
    </row>
    <row r="179">
      <c r="A179" s="4" t="n"/>
      <c r="B179" s="4" t="n"/>
      <c r="C179" s="4" t="n"/>
      <c r="D179" s="7" t="n"/>
      <c r="E179" s="7" t="n"/>
      <c r="F179" s="20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20">
        <f>IF(A179="","",N179)</f>
        <v/>
      </c>
      <c r="H179" s="20">
        <f>IF(A179="","",Inputs!$B$3/((IF(G179="",Inputs!$B$14,G179)+Inputs!$B$4)^Inputs!$B$5))</f>
        <v/>
      </c>
      <c r="I179" s="20">
        <f>IF(A179="","",2.78E-7*F179*D179*H179)</f>
        <v/>
      </c>
      <c r="J179" s="4" t="n"/>
      <c r="K179" s="4" t="n"/>
      <c r="L179" s="5" t="n"/>
      <c r="M179" s="20">
        <f>IF(A179="","",IF(OR(J179="",Inputs!$B$59=""),0,IFERROR(INDEX(Elements_hybrides!$F$4:$F$204,MATCH(J179,Elements_hybrides!$A$4:$A$204,0))/(Inputs!$B$59*60),0)))</f>
        <v/>
      </c>
      <c r="N179" s="20">
        <f>IF(A179="","",IF(L179="",Inputs!$B$14,L179)+M179)</f>
        <v/>
      </c>
    </row>
    <row r="180">
      <c r="A180" s="4" t="n"/>
      <c r="B180" s="4" t="n"/>
      <c r="C180" s="4" t="n"/>
      <c r="D180" s="7" t="n"/>
      <c r="E180" s="7" t="n"/>
      <c r="F180" s="20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20">
        <f>IF(A180="","",N180)</f>
        <v/>
      </c>
      <c r="H180" s="20">
        <f>IF(A180="","",Inputs!$B$3/((IF(G180="",Inputs!$B$14,G180)+Inputs!$B$4)^Inputs!$B$5))</f>
        <v/>
      </c>
      <c r="I180" s="20">
        <f>IF(A180="","",2.78E-7*F180*D180*H180)</f>
        <v/>
      </c>
      <c r="J180" s="4" t="n"/>
      <c r="K180" s="4" t="n"/>
      <c r="L180" s="5" t="n"/>
      <c r="M180" s="20">
        <f>IF(A180="","",IF(OR(J180="",Inputs!$B$59=""),0,IFERROR(INDEX(Elements_hybrides!$F$4:$F$204,MATCH(J180,Elements_hybrides!$A$4:$A$204,0))/(Inputs!$B$59*60),0)))</f>
        <v/>
      </c>
      <c r="N180" s="20">
        <f>IF(A180="","",IF(L180="",Inputs!$B$14,L180)+M180)</f>
        <v/>
      </c>
    </row>
    <row r="181">
      <c r="A181" s="4" t="n"/>
      <c r="B181" s="4" t="n"/>
      <c r="C181" s="4" t="n"/>
      <c r="D181" s="7" t="n"/>
      <c r="E181" s="7" t="n"/>
      <c r="F181" s="20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20">
        <f>IF(A181="","",N181)</f>
        <v/>
      </c>
      <c r="H181" s="20">
        <f>IF(A181="","",Inputs!$B$3/((IF(G181="",Inputs!$B$14,G181)+Inputs!$B$4)^Inputs!$B$5))</f>
        <v/>
      </c>
      <c r="I181" s="20">
        <f>IF(A181="","",2.78E-7*F181*D181*H181)</f>
        <v/>
      </c>
      <c r="J181" s="4" t="n"/>
      <c r="K181" s="4" t="n"/>
      <c r="L181" s="5" t="n"/>
      <c r="M181" s="20">
        <f>IF(A181="","",IF(OR(J181="",Inputs!$B$59=""),0,IFERROR(INDEX(Elements_hybrides!$F$4:$F$204,MATCH(J181,Elements_hybrides!$A$4:$A$204,0))/(Inputs!$B$59*60),0)))</f>
        <v/>
      </c>
      <c r="N181" s="20">
        <f>IF(A181="","",IF(L181="",Inputs!$B$14,L181)+M181)</f>
        <v/>
      </c>
    </row>
    <row r="182">
      <c r="A182" s="4" t="n"/>
      <c r="B182" s="4" t="n"/>
      <c r="C182" s="4" t="n"/>
      <c r="D182" s="7" t="n"/>
      <c r="E182" s="7" t="n"/>
      <c r="F182" s="20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20">
        <f>IF(A182="","",N182)</f>
        <v/>
      </c>
      <c r="H182" s="20">
        <f>IF(A182="","",Inputs!$B$3/((IF(G182="",Inputs!$B$14,G182)+Inputs!$B$4)^Inputs!$B$5))</f>
        <v/>
      </c>
      <c r="I182" s="20">
        <f>IF(A182="","",2.78E-7*F182*D182*H182)</f>
        <v/>
      </c>
      <c r="J182" s="4" t="n"/>
      <c r="K182" s="4" t="n"/>
      <c r="L182" s="5" t="n"/>
      <c r="M182" s="20">
        <f>IF(A182="","",IF(OR(J182="",Inputs!$B$59=""),0,IFERROR(INDEX(Elements_hybrides!$F$4:$F$204,MATCH(J182,Elements_hybrides!$A$4:$A$204,0))/(Inputs!$B$59*60),0)))</f>
        <v/>
      </c>
      <c r="N182" s="20">
        <f>IF(A182="","",IF(L182="",Inputs!$B$14,L182)+M182)</f>
        <v/>
      </c>
    </row>
    <row r="183">
      <c r="A183" s="4" t="n"/>
      <c r="B183" s="4" t="n"/>
      <c r="C183" s="4" t="n"/>
      <c r="D183" s="7" t="n"/>
      <c r="E183" s="7" t="n"/>
      <c r="F183" s="20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20">
        <f>IF(A183="","",N183)</f>
        <v/>
      </c>
      <c r="H183" s="20">
        <f>IF(A183="","",Inputs!$B$3/((IF(G183="",Inputs!$B$14,G183)+Inputs!$B$4)^Inputs!$B$5))</f>
        <v/>
      </c>
      <c r="I183" s="20">
        <f>IF(A183="","",2.78E-7*F183*D183*H183)</f>
        <v/>
      </c>
      <c r="J183" s="4" t="n"/>
      <c r="K183" s="4" t="n"/>
      <c r="L183" s="5" t="n"/>
      <c r="M183" s="20">
        <f>IF(A183="","",IF(OR(J183="",Inputs!$B$59=""),0,IFERROR(INDEX(Elements_hybrides!$F$4:$F$204,MATCH(J183,Elements_hybrides!$A$4:$A$204,0))/(Inputs!$B$59*60),0)))</f>
        <v/>
      </c>
      <c r="N183" s="20">
        <f>IF(A183="","",IF(L183="",Inputs!$B$14,L183)+M183)</f>
        <v/>
      </c>
    </row>
    <row r="184">
      <c r="A184" s="4" t="n"/>
      <c r="B184" s="4" t="n"/>
      <c r="C184" s="4" t="n"/>
      <c r="D184" s="7" t="n"/>
      <c r="E184" s="7" t="n"/>
      <c r="F184" s="20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20">
        <f>IF(A184="","",N184)</f>
        <v/>
      </c>
      <c r="H184" s="20">
        <f>IF(A184="","",Inputs!$B$3/((IF(G184="",Inputs!$B$14,G184)+Inputs!$B$4)^Inputs!$B$5))</f>
        <v/>
      </c>
      <c r="I184" s="20">
        <f>IF(A184="","",2.78E-7*F184*D184*H184)</f>
        <v/>
      </c>
      <c r="J184" s="4" t="n"/>
      <c r="K184" s="4" t="n"/>
      <c r="L184" s="5" t="n"/>
      <c r="M184" s="20">
        <f>IF(A184="","",IF(OR(J184="",Inputs!$B$59=""),0,IFERROR(INDEX(Elements_hybrides!$F$4:$F$204,MATCH(J184,Elements_hybrides!$A$4:$A$204,0))/(Inputs!$B$59*60),0)))</f>
        <v/>
      </c>
      <c r="N184" s="20">
        <f>IF(A184="","",IF(L184="",Inputs!$B$14,L184)+M184)</f>
        <v/>
      </c>
    </row>
    <row r="185">
      <c r="A185" s="4" t="n"/>
      <c r="B185" s="4" t="n"/>
      <c r="C185" s="4" t="n"/>
      <c r="D185" s="7" t="n"/>
      <c r="E185" s="7" t="n"/>
      <c r="F185" s="20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20">
        <f>IF(A185="","",N185)</f>
        <v/>
      </c>
      <c r="H185" s="20">
        <f>IF(A185="","",Inputs!$B$3/((IF(G185="",Inputs!$B$14,G185)+Inputs!$B$4)^Inputs!$B$5))</f>
        <v/>
      </c>
      <c r="I185" s="20">
        <f>IF(A185="","",2.78E-7*F185*D185*H185)</f>
        <v/>
      </c>
      <c r="J185" s="4" t="n"/>
      <c r="K185" s="4" t="n"/>
      <c r="L185" s="5" t="n"/>
      <c r="M185" s="20">
        <f>IF(A185="","",IF(OR(J185="",Inputs!$B$59=""),0,IFERROR(INDEX(Elements_hybrides!$F$4:$F$204,MATCH(J185,Elements_hybrides!$A$4:$A$204,0))/(Inputs!$B$59*60),0)))</f>
        <v/>
      </c>
      <c r="N185" s="20">
        <f>IF(A185="","",IF(L185="",Inputs!$B$14,L185)+M185)</f>
        <v/>
      </c>
    </row>
    <row r="186">
      <c r="A186" s="4" t="n"/>
      <c r="B186" s="4" t="n"/>
      <c r="C186" s="4" t="n"/>
      <c r="D186" s="7" t="n"/>
      <c r="E186" s="7" t="n"/>
      <c r="F186" s="20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20">
        <f>IF(A186="","",N186)</f>
        <v/>
      </c>
      <c r="H186" s="20">
        <f>IF(A186="","",Inputs!$B$3/((IF(G186="",Inputs!$B$14,G186)+Inputs!$B$4)^Inputs!$B$5))</f>
        <v/>
      </c>
      <c r="I186" s="20">
        <f>IF(A186="","",2.78E-7*F186*D186*H186)</f>
        <v/>
      </c>
      <c r="J186" s="4" t="n"/>
      <c r="K186" s="4" t="n"/>
      <c r="L186" s="5" t="n"/>
      <c r="M186" s="20">
        <f>IF(A186="","",IF(OR(J186="",Inputs!$B$59=""),0,IFERROR(INDEX(Elements_hybrides!$F$4:$F$204,MATCH(J186,Elements_hybrides!$A$4:$A$204,0))/(Inputs!$B$59*60),0)))</f>
        <v/>
      </c>
      <c r="N186" s="20">
        <f>IF(A186="","",IF(L186="",Inputs!$B$14,L186)+M186)</f>
        <v/>
      </c>
    </row>
    <row r="187">
      <c r="A187" s="4" t="n"/>
      <c r="B187" s="4" t="n"/>
      <c r="C187" s="4" t="n"/>
      <c r="D187" s="7" t="n"/>
      <c r="E187" s="7" t="n"/>
      <c r="F187" s="20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20">
        <f>IF(A187="","",N187)</f>
        <v/>
      </c>
      <c r="H187" s="20">
        <f>IF(A187="","",Inputs!$B$3/((IF(G187="",Inputs!$B$14,G187)+Inputs!$B$4)^Inputs!$B$5))</f>
        <v/>
      </c>
      <c r="I187" s="20">
        <f>IF(A187="","",2.78E-7*F187*D187*H187)</f>
        <v/>
      </c>
      <c r="J187" s="4" t="n"/>
      <c r="K187" s="4" t="n"/>
      <c r="L187" s="5" t="n"/>
      <c r="M187" s="20">
        <f>IF(A187="","",IF(OR(J187="",Inputs!$B$59=""),0,IFERROR(INDEX(Elements_hybrides!$F$4:$F$204,MATCH(J187,Elements_hybrides!$A$4:$A$204,0))/(Inputs!$B$59*60),0)))</f>
        <v/>
      </c>
      <c r="N187" s="20">
        <f>IF(A187="","",IF(L187="",Inputs!$B$14,L187)+M187)</f>
        <v/>
      </c>
    </row>
    <row r="188">
      <c r="A188" s="4" t="n"/>
      <c r="B188" s="4" t="n"/>
      <c r="C188" s="4" t="n"/>
      <c r="D188" s="7" t="n"/>
      <c r="E188" s="7" t="n"/>
      <c r="F188" s="20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20">
        <f>IF(A188="","",N188)</f>
        <v/>
      </c>
      <c r="H188" s="20">
        <f>IF(A188="","",Inputs!$B$3/((IF(G188="",Inputs!$B$14,G188)+Inputs!$B$4)^Inputs!$B$5))</f>
        <v/>
      </c>
      <c r="I188" s="20">
        <f>IF(A188="","",2.78E-7*F188*D188*H188)</f>
        <v/>
      </c>
      <c r="J188" s="4" t="n"/>
      <c r="K188" s="4" t="n"/>
      <c r="L188" s="5" t="n"/>
      <c r="M188" s="20">
        <f>IF(A188="","",IF(OR(J188="",Inputs!$B$59=""),0,IFERROR(INDEX(Elements_hybrides!$F$4:$F$204,MATCH(J188,Elements_hybrides!$A$4:$A$204,0))/(Inputs!$B$59*60),0)))</f>
        <v/>
      </c>
      <c r="N188" s="20">
        <f>IF(A188="","",IF(L188="",Inputs!$B$14,L188)+M188)</f>
        <v/>
      </c>
    </row>
    <row r="189">
      <c r="A189" s="4" t="n"/>
      <c r="B189" s="4" t="n"/>
      <c r="C189" s="4" t="n"/>
      <c r="D189" s="7" t="n"/>
      <c r="E189" s="7" t="n"/>
      <c r="F189" s="20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20">
        <f>IF(A189="","",N189)</f>
        <v/>
      </c>
      <c r="H189" s="20">
        <f>IF(A189="","",Inputs!$B$3/((IF(G189="",Inputs!$B$14,G189)+Inputs!$B$4)^Inputs!$B$5))</f>
        <v/>
      </c>
      <c r="I189" s="20">
        <f>IF(A189="","",2.78E-7*F189*D189*H189)</f>
        <v/>
      </c>
      <c r="J189" s="4" t="n"/>
      <c r="K189" s="4" t="n"/>
      <c r="L189" s="5" t="n"/>
      <c r="M189" s="20">
        <f>IF(A189="","",IF(OR(J189="",Inputs!$B$59=""),0,IFERROR(INDEX(Elements_hybrides!$F$4:$F$204,MATCH(J189,Elements_hybrides!$A$4:$A$204,0))/(Inputs!$B$59*60),0)))</f>
        <v/>
      </c>
      <c r="N189" s="20">
        <f>IF(A189="","",IF(L189="",Inputs!$B$14,L189)+M189)</f>
        <v/>
      </c>
    </row>
    <row r="190">
      <c r="A190" s="4" t="n"/>
      <c r="B190" s="4" t="n"/>
      <c r="C190" s="4" t="n"/>
      <c r="D190" s="7" t="n"/>
      <c r="E190" s="7" t="n"/>
      <c r="F190" s="20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20">
        <f>IF(A190="","",N190)</f>
        <v/>
      </c>
      <c r="H190" s="20">
        <f>IF(A190="","",Inputs!$B$3/((IF(G190="",Inputs!$B$14,G190)+Inputs!$B$4)^Inputs!$B$5))</f>
        <v/>
      </c>
      <c r="I190" s="20">
        <f>IF(A190="","",2.78E-7*F190*D190*H190)</f>
        <v/>
      </c>
      <c r="J190" s="4" t="n"/>
      <c r="K190" s="4" t="n"/>
      <c r="L190" s="5" t="n"/>
      <c r="M190" s="20">
        <f>IF(A190="","",IF(OR(J190="",Inputs!$B$59=""),0,IFERROR(INDEX(Elements_hybrides!$F$4:$F$204,MATCH(J190,Elements_hybrides!$A$4:$A$204,0))/(Inputs!$B$59*60),0)))</f>
        <v/>
      </c>
      <c r="N190" s="20">
        <f>IF(A190="","",IF(L190="",Inputs!$B$14,L190)+M190)</f>
        <v/>
      </c>
    </row>
    <row r="191">
      <c r="A191" s="4" t="n"/>
      <c r="B191" s="4" t="n"/>
      <c r="C191" s="4" t="n"/>
      <c r="D191" s="7" t="n"/>
      <c r="E191" s="7" t="n"/>
      <c r="F191" s="20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20">
        <f>IF(A191="","",N191)</f>
        <v/>
      </c>
      <c r="H191" s="20">
        <f>IF(A191="","",Inputs!$B$3/((IF(G191="",Inputs!$B$14,G191)+Inputs!$B$4)^Inputs!$B$5))</f>
        <v/>
      </c>
      <c r="I191" s="20">
        <f>IF(A191="","",2.78E-7*F191*D191*H191)</f>
        <v/>
      </c>
      <c r="J191" s="4" t="n"/>
      <c r="K191" s="4" t="n"/>
      <c r="L191" s="5" t="n"/>
      <c r="M191" s="20">
        <f>IF(A191="","",IF(OR(J191="",Inputs!$B$59=""),0,IFERROR(INDEX(Elements_hybrides!$F$4:$F$204,MATCH(J191,Elements_hybrides!$A$4:$A$204,0))/(Inputs!$B$59*60),0)))</f>
        <v/>
      </c>
      <c r="N191" s="20">
        <f>IF(A191="","",IF(L191="",Inputs!$B$14,L191)+M191)</f>
        <v/>
      </c>
    </row>
    <row r="192">
      <c r="A192" s="4" t="n"/>
      <c r="B192" s="4" t="n"/>
      <c r="C192" s="4" t="n"/>
      <c r="D192" s="7" t="n"/>
      <c r="E192" s="7" t="n"/>
      <c r="F192" s="20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20">
        <f>IF(A192="","",N192)</f>
        <v/>
      </c>
      <c r="H192" s="20">
        <f>IF(A192="","",Inputs!$B$3/((IF(G192="",Inputs!$B$14,G192)+Inputs!$B$4)^Inputs!$B$5))</f>
        <v/>
      </c>
      <c r="I192" s="20">
        <f>IF(A192="","",2.78E-7*F192*D192*H192)</f>
        <v/>
      </c>
      <c r="J192" s="4" t="n"/>
      <c r="K192" s="4" t="n"/>
      <c r="L192" s="5" t="n"/>
      <c r="M192" s="20">
        <f>IF(A192="","",IF(OR(J192="",Inputs!$B$59=""),0,IFERROR(INDEX(Elements_hybrides!$F$4:$F$204,MATCH(J192,Elements_hybrides!$A$4:$A$204,0))/(Inputs!$B$59*60),0)))</f>
        <v/>
      </c>
      <c r="N192" s="20">
        <f>IF(A192="","",IF(L192="",Inputs!$B$14,L192)+M192)</f>
        <v/>
      </c>
    </row>
    <row r="193">
      <c r="A193" s="4" t="n"/>
      <c r="B193" s="4" t="n"/>
      <c r="C193" s="4" t="n"/>
      <c r="D193" s="7" t="n"/>
      <c r="E193" s="7" t="n"/>
      <c r="F193" s="20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20">
        <f>IF(A193="","",N193)</f>
        <v/>
      </c>
      <c r="H193" s="20">
        <f>IF(A193="","",Inputs!$B$3/((IF(G193="",Inputs!$B$14,G193)+Inputs!$B$4)^Inputs!$B$5))</f>
        <v/>
      </c>
      <c r="I193" s="20">
        <f>IF(A193="","",2.78E-7*F193*D193*H193)</f>
        <v/>
      </c>
      <c r="J193" s="4" t="n"/>
      <c r="K193" s="4" t="n"/>
      <c r="L193" s="5" t="n"/>
      <c r="M193" s="20">
        <f>IF(A193="","",IF(OR(J193="",Inputs!$B$59=""),0,IFERROR(INDEX(Elements_hybrides!$F$4:$F$204,MATCH(J193,Elements_hybrides!$A$4:$A$204,0))/(Inputs!$B$59*60),0)))</f>
        <v/>
      </c>
      <c r="N193" s="20">
        <f>IF(A193="","",IF(L193="",Inputs!$B$14,L193)+M193)</f>
        <v/>
      </c>
    </row>
    <row r="194">
      <c r="A194" s="4" t="n"/>
      <c r="B194" s="4" t="n"/>
      <c r="C194" s="4" t="n"/>
      <c r="D194" s="7" t="n"/>
      <c r="E194" s="7" t="n"/>
      <c r="F194" s="20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20">
        <f>IF(A194="","",N194)</f>
        <v/>
      </c>
      <c r="H194" s="20">
        <f>IF(A194="","",Inputs!$B$3/((IF(G194="",Inputs!$B$14,G194)+Inputs!$B$4)^Inputs!$B$5))</f>
        <v/>
      </c>
      <c r="I194" s="20">
        <f>IF(A194="","",2.78E-7*F194*D194*H194)</f>
        <v/>
      </c>
      <c r="J194" s="4" t="n"/>
      <c r="K194" s="4" t="n"/>
      <c r="L194" s="5" t="n"/>
      <c r="M194" s="20">
        <f>IF(A194="","",IF(OR(J194="",Inputs!$B$59=""),0,IFERROR(INDEX(Elements_hybrides!$F$4:$F$204,MATCH(J194,Elements_hybrides!$A$4:$A$204,0))/(Inputs!$B$59*60),0)))</f>
        <v/>
      </c>
      <c r="N194" s="20">
        <f>IF(A194="","",IF(L194="",Inputs!$B$14,L194)+M194)</f>
        <v/>
      </c>
    </row>
    <row r="195">
      <c r="A195" s="4" t="n"/>
      <c r="B195" s="4" t="n"/>
      <c r="C195" s="4" t="n"/>
      <c r="D195" s="7" t="n"/>
      <c r="E195" s="7" t="n"/>
      <c r="F195" s="20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20">
        <f>IF(A195="","",N195)</f>
        <v/>
      </c>
      <c r="H195" s="20">
        <f>IF(A195="","",Inputs!$B$3/((IF(G195="",Inputs!$B$14,G195)+Inputs!$B$4)^Inputs!$B$5))</f>
        <v/>
      </c>
      <c r="I195" s="20">
        <f>IF(A195="","",2.78E-7*F195*D195*H195)</f>
        <v/>
      </c>
      <c r="J195" s="4" t="n"/>
      <c r="K195" s="4" t="n"/>
      <c r="L195" s="5" t="n"/>
      <c r="M195" s="20">
        <f>IF(A195="","",IF(OR(J195="",Inputs!$B$59=""),0,IFERROR(INDEX(Elements_hybrides!$F$4:$F$204,MATCH(J195,Elements_hybrides!$A$4:$A$204,0))/(Inputs!$B$59*60),0)))</f>
        <v/>
      </c>
      <c r="N195" s="20">
        <f>IF(A195="","",IF(L195="",Inputs!$B$14,L195)+M195)</f>
        <v/>
      </c>
    </row>
    <row r="196">
      <c r="A196" s="4" t="n"/>
      <c r="B196" s="4" t="n"/>
      <c r="C196" s="4" t="n"/>
      <c r="D196" s="7" t="n"/>
      <c r="E196" s="7" t="n"/>
      <c r="F196" s="20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20">
        <f>IF(A196="","",N196)</f>
        <v/>
      </c>
      <c r="H196" s="20">
        <f>IF(A196="","",Inputs!$B$3/((IF(G196="",Inputs!$B$14,G196)+Inputs!$B$4)^Inputs!$B$5))</f>
        <v/>
      </c>
      <c r="I196" s="20">
        <f>IF(A196="","",2.78E-7*F196*D196*H196)</f>
        <v/>
      </c>
      <c r="J196" s="4" t="n"/>
      <c r="K196" s="4" t="n"/>
      <c r="L196" s="5" t="n"/>
      <c r="M196" s="20">
        <f>IF(A196="","",IF(OR(J196="",Inputs!$B$59=""),0,IFERROR(INDEX(Elements_hybrides!$F$4:$F$204,MATCH(J196,Elements_hybrides!$A$4:$A$204,0))/(Inputs!$B$59*60),0)))</f>
        <v/>
      </c>
      <c r="N196" s="20">
        <f>IF(A196="","",IF(L196="",Inputs!$B$14,L196)+M196)</f>
        <v/>
      </c>
    </row>
    <row r="197">
      <c r="A197" s="4" t="n"/>
      <c r="B197" s="4" t="n"/>
      <c r="C197" s="4" t="n"/>
      <c r="D197" s="7" t="n"/>
      <c r="E197" s="7" t="n"/>
      <c r="F197" s="20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20">
        <f>IF(A197="","",N197)</f>
        <v/>
      </c>
      <c r="H197" s="20">
        <f>IF(A197="","",Inputs!$B$3/((IF(G197="",Inputs!$B$14,G197)+Inputs!$B$4)^Inputs!$B$5))</f>
        <v/>
      </c>
      <c r="I197" s="20">
        <f>IF(A197="","",2.78E-7*F197*D197*H197)</f>
        <v/>
      </c>
      <c r="J197" s="4" t="n"/>
      <c r="K197" s="4" t="n"/>
      <c r="L197" s="5" t="n"/>
      <c r="M197" s="20">
        <f>IF(A197="","",IF(OR(J197="",Inputs!$B$59=""),0,IFERROR(INDEX(Elements_hybrides!$F$4:$F$204,MATCH(J197,Elements_hybrides!$A$4:$A$204,0))/(Inputs!$B$59*60),0)))</f>
        <v/>
      </c>
      <c r="N197" s="20">
        <f>IF(A197="","",IF(L197="",Inputs!$B$14,L197)+M197)</f>
        <v/>
      </c>
    </row>
    <row r="198">
      <c r="A198" s="4" t="n"/>
      <c r="B198" s="4" t="n"/>
      <c r="C198" s="4" t="n"/>
      <c r="D198" s="7" t="n"/>
      <c r="E198" s="7" t="n"/>
      <c r="F198" s="20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20">
        <f>IF(A198="","",N198)</f>
        <v/>
      </c>
      <c r="H198" s="20">
        <f>IF(A198="","",Inputs!$B$3/((IF(G198="",Inputs!$B$14,G198)+Inputs!$B$4)^Inputs!$B$5))</f>
        <v/>
      </c>
      <c r="I198" s="20">
        <f>IF(A198="","",2.78E-7*F198*D198*H198)</f>
        <v/>
      </c>
      <c r="J198" s="4" t="n"/>
      <c r="K198" s="4" t="n"/>
      <c r="L198" s="5" t="n"/>
      <c r="M198" s="20">
        <f>IF(A198="","",IF(OR(J198="",Inputs!$B$59=""),0,IFERROR(INDEX(Elements_hybrides!$F$4:$F$204,MATCH(J198,Elements_hybrides!$A$4:$A$204,0))/(Inputs!$B$59*60),0)))</f>
        <v/>
      </c>
      <c r="N198" s="20">
        <f>IF(A198="","",IF(L198="",Inputs!$B$14,L198)+M198)</f>
        <v/>
      </c>
    </row>
    <row r="199">
      <c r="A199" s="4" t="n"/>
      <c r="B199" s="4" t="n"/>
      <c r="C199" s="4" t="n"/>
      <c r="D199" s="7" t="n"/>
      <c r="E199" s="7" t="n"/>
      <c r="F199" s="20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20">
        <f>IF(A199="","",N199)</f>
        <v/>
      </c>
      <c r="H199" s="20">
        <f>IF(A199="","",Inputs!$B$3/((IF(G199="",Inputs!$B$14,G199)+Inputs!$B$4)^Inputs!$B$5))</f>
        <v/>
      </c>
      <c r="I199" s="20">
        <f>IF(A199="","",2.78E-7*F199*D199*H199)</f>
        <v/>
      </c>
      <c r="J199" s="4" t="n"/>
      <c r="K199" s="4" t="n"/>
      <c r="L199" s="5" t="n"/>
      <c r="M199" s="20">
        <f>IF(A199="","",IF(OR(J199="",Inputs!$B$59=""),0,IFERROR(INDEX(Elements_hybrides!$F$4:$F$204,MATCH(J199,Elements_hybrides!$A$4:$A$204,0))/(Inputs!$B$59*60),0)))</f>
        <v/>
      </c>
      <c r="N199" s="20">
        <f>IF(A199="","",IF(L199="",Inputs!$B$14,L199)+M199)</f>
        <v/>
      </c>
    </row>
    <row r="200">
      <c r="A200" s="4" t="n"/>
      <c r="B200" s="4" t="n"/>
      <c r="C200" s="4" t="n"/>
      <c r="D200" s="7" t="n"/>
      <c r="E200" s="7" t="n"/>
      <c r="F200" s="20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20">
        <f>IF(A200="","",N200)</f>
        <v/>
      </c>
      <c r="H200" s="20">
        <f>IF(A200="","",Inputs!$B$3/((IF(G200="",Inputs!$B$14,G200)+Inputs!$B$4)^Inputs!$B$5))</f>
        <v/>
      </c>
      <c r="I200" s="20">
        <f>IF(A200="","",2.78E-7*F200*D200*H200)</f>
        <v/>
      </c>
      <c r="J200" s="4" t="n"/>
      <c r="K200" s="4" t="n"/>
      <c r="L200" s="5" t="n"/>
      <c r="M200" s="20">
        <f>IF(A200="","",IF(OR(J200="",Inputs!$B$59=""),0,IFERROR(INDEX(Elements_hybrides!$F$4:$F$204,MATCH(J200,Elements_hybrides!$A$4:$A$204,0))/(Inputs!$B$59*60),0)))</f>
        <v/>
      </c>
      <c r="N200" s="20">
        <f>IF(A200="","",IF(L200="",Inputs!$B$14,L200)+M200)</f>
        <v/>
      </c>
    </row>
    <row r="201">
      <c r="A201" s="4" t="n"/>
      <c r="B201" s="4" t="n"/>
      <c r="C201" s="4" t="n"/>
      <c r="D201" s="7" t="n"/>
      <c r="E201" s="7" t="n"/>
      <c r="F201" s="20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20">
        <f>IF(A201="","",N201)</f>
        <v/>
      </c>
      <c r="H201" s="20">
        <f>IF(A201="","",Inputs!$B$3/((IF(G201="",Inputs!$B$14,G201)+Inputs!$B$4)^Inputs!$B$5))</f>
        <v/>
      </c>
      <c r="I201" s="20">
        <f>IF(A201="","",2.78E-7*F201*D201*H201)</f>
        <v/>
      </c>
      <c r="J201" s="4" t="n"/>
      <c r="K201" s="4" t="n"/>
      <c r="L201" s="5" t="n"/>
      <c r="M201" s="20">
        <f>IF(A201="","",IF(OR(J201="",Inputs!$B$59=""),0,IFERROR(INDEX(Elements_hybrides!$F$4:$F$204,MATCH(J201,Elements_hybrides!$A$4:$A$204,0))/(Inputs!$B$59*60),0)))</f>
        <v/>
      </c>
      <c r="N201" s="20">
        <f>IF(A201="","",IF(L201="",Inputs!$B$14,L201)+M201)</f>
        <v/>
      </c>
    </row>
    <row r="202">
      <c r="A202" s="4" t="n"/>
      <c r="B202" s="4" t="n"/>
      <c r="C202" s="4" t="n"/>
      <c r="D202" s="7" t="n"/>
      <c r="E202" s="7" t="n"/>
      <c r="F202" s="20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20">
        <f>IF(A202="","",N202)</f>
        <v/>
      </c>
      <c r="H202" s="20">
        <f>IF(A202="","",Inputs!$B$3/((IF(G202="",Inputs!$B$14,G202)+Inputs!$B$4)^Inputs!$B$5))</f>
        <v/>
      </c>
      <c r="I202" s="20">
        <f>IF(A202="","",2.78E-7*F202*D202*H202)</f>
        <v/>
      </c>
      <c r="J202" s="4" t="n"/>
      <c r="K202" s="4" t="n"/>
      <c r="L202" s="5" t="n"/>
      <c r="M202" s="20">
        <f>IF(A202="","",IF(OR(J202="",Inputs!$B$59=""),0,IFERROR(INDEX(Elements_hybrides!$F$4:$F$204,MATCH(J202,Elements_hybrides!$A$4:$A$204,0))/(Inputs!$B$59*60),0)))</f>
        <v/>
      </c>
      <c r="N202" s="20">
        <f>IF(A202="","",IF(L202="",Inputs!$B$14,L202)+M202)</f>
        <v/>
      </c>
    </row>
    <row r="203">
      <c r="A203" s="4" t="n"/>
      <c r="B203" s="4" t="n"/>
      <c r="C203" s="4" t="n"/>
      <c r="D203" s="7" t="n"/>
      <c r="E203" s="7" t="n"/>
      <c r="F203" s="20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20">
        <f>IF(A203="","",N203)</f>
        <v/>
      </c>
      <c r="H203" s="20">
        <f>IF(A203="","",Inputs!$B$3/((IF(G203="",Inputs!$B$14,G203)+Inputs!$B$4)^Inputs!$B$5))</f>
        <v/>
      </c>
      <c r="I203" s="20">
        <f>IF(A203="","",2.78E-7*F203*D203*H203)</f>
        <v/>
      </c>
      <c r="J203" s="4" t="n"/>
      <c r="K203" s="4" t="n"/>
      <c r="L203" s="5" t="n"/>
      <c r="M203" s="20">
        <f>IF(A203="","",IF(OR(J203="",Inputs!$B$59=""),0,IFERROR(INDEX(Elements_hybrides!$F$4:$F$204,MATCH(J203,Elements_hybrides!$A$4:$A$204,0))/(Inputs!$B$59*60),0)))</f>
        <v/>
      </c>
      <c r="N203" s="20">
        <f>IF(A203="","",IF(L203="",Inputs!$B$14,L203)+M203)</f>
        <v/>
      </c>
    </row>
    <row r="204">
      <c r="A204" s="4" t="n"/>
      <c r="B204" s="4" t="n"/>
      <c r="C204" s="4" t="n"/>
      <c r="D204" s="7" t="n"/>
      <c r="E204" s="7" t="n"/>
      <c r="F204" s="20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20">
        <f>IF(A204="","",N204)</f>
        <v/>
      </c>
      <c r="H204" s="20">
        <f>IF(A204="","",Inputs!$B$3/((IF(G204="",Inputs!$B$14,G204)+Inputs!$B$4)^Inputs!$B$5))</f>
        <v/>
      </c>
      <c r="I204" s="20">
        <f>IF(A204="","",2.78E-7*F204*D204*H204)</f>
        <v/>
      </c>
      <c r="J204" s="4" t="n"/>
      <c r="K204" s="4" t="n"/>
      <c r="L204" s="5" t="n"/>
      <c r="M204" s="20">
        <f>IF(A204="","",IF(OR(J204="",Inputs!$B$59=""),0,IFERROR(INDEX(Elements_hybrides!$F$4:$F$204,MATCH(J204,Elements_hybrides!$A$4:$A$204,0))/(Inputs!$B$59*60),0)))</f>
        <v/>
      </c>
      <c r="N204" s="20">
        <f>IF(A204="","",IF(L204="",Inputs!$B$14,L204)+M204)</f>
        <v/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9.6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Longueur corrigee selon plan: P-01 -&gt; P-02 = 9.6 m.</t>
        </is>
      </c>
      <c r="AC4" s="7" t="n"/>
      <c r="AD4" s="8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8.699999999999999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Longueur corrigee selon plan: P-02 -&gt; P-03 = 8.7 m.</t>
        </is>
      </c>
      <c r="AC5" s="7" t="n"/>
      <c r="AD5" s="8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PIPE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n">
        <v>375</v>
      </c>
      <c r="K7" s="7" t="inlineStr"/>
      <c r="L7" s="7" t="inlineStr"/>
      <c r="M7" s="7" t="inlineStr"/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Collecteur ouest final en conduite (4.7 m) vers entree ouest bassin.</t>
        </is>
      </c>
      <c r="AC7" s="7" t="n"/>
      <c r="AD7" s="8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PIPE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n">
        <v>250</v>
      </c>
      <c r="K8" s="7" t="inlineStr"/>
      <c r="L8" s="7" t="inlineStr"/>
      <c r="M8" s="7" t="inlineStr"/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segment amont en conduite DN250 vers E05B.</t>
        </is>
      </c>
      <c r="AC8" s="7" t="n"/>
      <c r="AD8" s="8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court en conduite DN250 (strategy ouest tout-pipe).</t>
        </is>
      </c>
      <c r="AC9" s="7" t="n"/>
      <c r="AD9" s="8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PIPE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n">
        <v>300</v>
      </c>
      <c r="K10" s="7" t="inlineStr"/>
      <c r="L10" s="7" t="inlineStr"/>
      <c r="M10" s="7" t="inlineStr"/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segment milieu en conduite DN300 vers E05D.</t>
        </is>
      </c>
      <c r="AC10" s="7" t="n"/>
      <c r="AD10" s="8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en conduite DN300.</t>
        </is>
      </c>
      <c r="AC11" s="7" t="n"/>
      <c r="AD11" s="8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PIPE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n">
        <v>300</v>
      </c>
      <c r="K12" s="7" t="inlineStr"/>
      <c r="L12" s="7" t="inlineStr"/>
      <c r="M12" s="7" t="inlineStr"/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segment aval en conduite DN300 vers E04.</t>
        </is>
      </c>
      <c r="AC12" s="7" t="n"/>
      <c r="AD12" s="8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inlineStr">
        <is>
          <t>E09</t>
        </is>
      </c>
      <c r="B16" s="4" t="inlineStr">
        <is>
          <t>PIPE</t>
        </is>
      </c>
      <c r="C16" s="4" t="inlineStr">
        <is>
          <t>J-MECH-OUT</t>
        </is>
      </c>
      <c r="D16" s="4" t="inlineStr">
        <is>
          <t>BASSIN-RET</t>
        </is>
      </c>
      <c r="E16" s="4" t="inlineStr"/>
      <c r="F16" s="7">
        <f>Inputs!$B$60</f>
        <v/>
      </c>
      <c r="G16" s="7" t="n">
        <v>0.005</v>
      </c>
      <c r="H16" s="7" t="inlineStr"/>
      <c r="I16" s="8">
        <f>IF(A16="","",IF(H16&lt;&gt;"",H16,IF(UPPER(TRIM(B16))="PIPE",Inputs!$B$7,IF(UPPER(TRIM(B16))="SWALE",Inputs!$B$8,Inputs!$B$9))))</f>
        <v/>
      </c>
      <c r="J16" s="7">
        <f>Inputs!$B$61</f>
        <v/>
      </c>
      <c r="K16" s="7" t="inlineStr"/>
      <c r="L16" s="7" t="inlineStr"/>
      <c r="M16" s="7" t="inlineStr"/>
      <c r="N16" s="7" t="n">
        <v>0</v>
      </c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inlineStr">
        <is>
          <t>Apport puisards zone grise est via reseau interne mecanique (traversant batiment) vers bassin sud.</t>
        </is>
      </c>
      <c r="AC16" s="7" t="n"/>
      <c r="AD16" s="8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inlineStr">
        <is>
          <t>J-MECH-OUT</t>
        </is>
      </c>
      <c r="B18" s="4" t="inlineStr">
        <is>
          <t>MH</t>
        </is>
      </c>
      <c r="C18" s="7" t="n"/>
      <c r="D18" s="7" t="n"/>
      <c r="E18" s="8">
        <f>IF(OR(C18="",D18=""),"",MAX(0,C18-D18))</f>
        <v/>
      </c>
      <c r="F18" s="7" t="inlineStr">
        <is>
          <t>CIRC</t>
        </is>
      </c>
      <c r="G18" s="7" t="n">
        <v>1.2</v>
      </c>
      <c r="H18" s="7" t="inlineStr"/>
      <c r="I18" s="8">
        <f>IF(A18="","",IF(UPPER(TRIM(F18))="CIRC",PI()*(G18/2)^2*E18,IF(UPPER(TRIM(F18))="RECT",G18*H18*E18,"")))</f>
        <v/>
      </c>
      <c r="J18" s="7">
        <f>Inputs!$B$23</f>
        <v/>
      </c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20">
        <f>SUM(Zones_tributaires!$I$4:$I$204)</f>
        <v/>
      </c>
    </row>
    <row r="8">
      <c r="A8" s="3" t="inlineStr">
        <is>
          <t>Total_storage_elements_m3</t>
        </is>
      </c>
      <c r="B8" s="20">
        <f>SUM(Elements_hybrides!$Z$4:$Z$204)</f>
        <v/>
      </c>
    </row>
    <row r="9">
      <c r="A9" s="3" t="inlineStr">
        <is>
          <t>Retention_node_storage_m3</t>
        </is>
      </c>
      <c r="B9" s="20">
        <f>IFERROR(INDEX(Noeuds_stockage!$I$4:$I$204,MATCH("BASIN_RET",Noeuds_stockage!$A$4:$A$204,0)),"")</f>
        <v/>
      </c>
    </row>
    <row r="10">
      <c r="A10" s="19" t="inlineStr">
        <is>
          <t>Impervious_area_total_m2 (ROOF+PAVAGE+TRESFOND)</t>
        </is>
      </c>
      <c r="B10" s="21">
        <f>SUMIFS(Zones_tributaires!$D$4:$D$204,Zones_tributaires!$C$4:$C$204,"ROOF")+SUMIFS(Zones_tributaires!$D$4:$D$204,Zones_tributaires!$C$4:$C$204,"PAVAGE")+SUMIFS(Zones_tributaires!$D$4:$D$204,Zones_tributaires!$C$4:$C$204,"TRESFOND")</f>
        <v/>
      </c>
    </row>
    <row r="11">
      <c r="A11" s="19" t="inlineStr">
        <is>
          <t>Grass_area_total_m2</t>
        </is>
      </c>
      <c r="B11" s="21">
        <f>SUMIFS(Zones_tributaires!$D$4:$D$204,Zones_tributaires!$C$4:$C$204,"GRASS")</f>
        <v/>
      </c>
    </row>
    <row r="12">
      <c r="A12" s="19" t="inlineStr">
        <is>
          <t>Impervious_fraction_of_(impervious+grass)</t>
        </is>
      </c>
      <c r="B12" s="21">
        <f>IF((B10+B11)=0,"",B10/(B10+B11))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Conduite enterree peu profonde</t>
        </is>
      </c>
      <c r="D4" s="4" t="inlineStr">
        <is>
          <t>E05A (PIPE)</t>
        </is>
      </c>
      <c r="E4" s="4" t="inlineStr">
        <is>
          <t>DN250, pente ~1.0%</t>
        </is>
      </c>
      <c r="F4" s="4" t="inlineStr">
        <is>
          <t>Strategie client: ouest privilegie en conduites.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Conduite traversee pave-uni</t>
        </is>
      </c>
      <c r="D5" s="4" t="inlineStr">
        <is>
          <t>E05B (PIPE)</t>
        </is>
      </c>
      <c r="E5" s="4" t="inlineStr">
        <is>
          <t>DN250, pente ~1.0%</t>
        </is>
      </c>
      <c r="F5" s="4" t="inlineStr">
        <is>
          <t>Raccord vers regard intermediaire.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Conduite enterree</t>
        </is>
      </c>
      <c r="D6" s="4" t="inlineStr">
        <is>
          <t>E05C (PIPE)</t>
        </is>
      </c>
      <c r="E6" s="4" t="inlineStr">
        <is>
          <t>DN300, pente ~0.9%</t>
        </is>
      </c>
      <c r="F6" s="4" t="inlineStr">
        <is>
          <t>Segment principal vers aval.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Conduite traversee pave-uni</t>
        </is>
      </c>
      <c r="D7" s="4" t="inlineStr">
        <is>
          <t>E05D (PIPE)</t>
        </is>
      </c>
      <c r="E7" s="4" t="inlineStr">
        <is>
          <t>DN300, pente ~0.9%</t>
        </is>
      </c>
      <c r="F7" s="4" t="inlineStr">
        <is>
          <t>Traverse mineralisee en conduite.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Conduite enterree</t>
        </is>
      </c>
      <c r="D8" s="4" t="inlineStr">
        <is>
          <t>E05E (PIPE)</t>
        </is>
      </c>
      <c r="E8" s="4" t="inlineStr">
        <is>
          <t>DN300, pente ~0.8%</t>
        </is>
      </c>
      <c r="F8" s="4" t="inlineStr">
        <is>
          <t>Vers E04 puis E08 et bassin.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Ouest: drainage en conduites (DN250/DN300) vers E04 puis entree ouest bassin.</t>
        </is>
      </c>
    </row>
    <row r="7">
      <c r="A7" t="inlineStr">
        <is>
          <t>4) Zone grise est (tresfond): puisards + reseau interne mecanique vers sortie sud et bassin.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West connector to basin inlet (m)</t>
        </is>
      </c>
      <c r="B14" s="9">
        <f>Inputs!B53</f>
        <v/>
      </c>
      <c r="C14" s="4" t="inlineStr">
        <is>
          <t>Measured corner link J-OUEST-AVAL -&gt; J-BASSIN-OUEST</t>
        </is>
      </c>
      <c r="D14" s="4" t="n"/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Retention basin corridor width x length (m)</t>
        </is>
      </c>
      <c r="B15" s="9">
        <f>Inputs!B34&amp;" x "&amp;Inputs!B35</f>
        <v/>
      </c>
      <c r="C15" s="4" t="inlineStr">
        <is>
          <t>Storage geometry at node BASSIN-RET (not an E04 reach).</t>
        </is>
      </c>
      <c r="D15" s="4" t="n"/>
      <c r="E15" s="4" t="inlineStr"/>
      <c r="F15" s="18" t="inlineStr">
        <is>
          <t>BASSIN-RET (node)</t>
        </is>
      </c>
      <c r="G15" s="13" t="inlineStr"/>
      <c r="H15" s="4" t="inlineStr">
        <is>
          <t>N/A</t>
        </is>
      </c>
    </row>
    <row r="16">
      <c r="A16" s="4" t="inlineStr">
        <is>
          <t>East inlet pipe length to basin (m)</t>
        </is>
      </c>
      <c r="B16" s="9">
        <f>IFERROR(INDEX(Elements_hybrides!$F$4:$F$204,MATCH("E07",Elements_hybrides!$A$4:$A$204,0)),"")</f>
        <v/>
      </c>
      <c r="C16" s="4" t="inlineStr">
        <is>
          <t>J-BASSIN-IN -&gt; BASSIN-RET</t>
        </is>
      </c>
      <c r="D16" s="4" t="n"/>
      <c r="E16" s="4" t="inlineStr">
        <is>
          <t>E07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A17" s="4" t="inlineStr">
        <is>
          <t>West inlet pipe length to basin (m)</t>
        </is>
      </c>
      <c r="B17" s="4">
        <f>IFERROR(INDEX(Elements_hybrides!$F$4:$F$204,MATCH("E08",Elements_hybrides!$A$4:$A$204,0)),"")</f>
        <v/>
      </c>
      <c r="C17" s="4" t="inlineStr">
        <is>
          <t>J-BASSIN-OUEST -&gt; BASSIN-RET</t>
        </is>
      </c>
      <c r="D17" s="4" t="n"/>
      <c r="E17" s="4" t="inlineStr">
        <is>
          <t>E08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  <row r="34">
      <c r="A34" s="19" t="inlineStr">
        <is>
          <t>Surface summary (readable quantities)</t>
        </is>
      </c>
      <c r="B34" s="4" t="n"/>
      <c r="C34" s="4" t="n"/>
      <c r="D34" s="4" t="n"/>
    </row>
    <row r="35">
      <c r="A35" s="4" t="inlineStr">
        <is>
          <t>Impervious area total (m2)</t>
        </is>
      </c>
      <c r="B35" s="4">
        <f>Resume_checks!B10</f>
        <v/>
      </c>
      <c r="C35" s="4" t="inlineStr">
        <is>
          <t>ROOF + PAVAGE + TRESFOND</t>
        </is>
      </c>
      <c r="D35" s="4" t="n"/>
    </row>
    <row r="36">
      <c r="A36" s="4" t="inlineStr">
        <is>
          <t>Grass area total (m2)</t>
        </is>
      </c>
      <c r="B36" s="4">
        <f>Resume_checks!B11</f>
        <v/>
      </c>
      <c r="C36" s="4" t="inlineStr">
        <is>
          <t>GRASS only</t>
        </is>
      </c>
      <c r="D36" s="4" t="n"/>
    </row>
    <row r="37">
      <c r="A37" s="4" t="inlineStr">
        <is>
          <t>Impervious fraction</t>
        </is>
      </c>
      <c r="B37" s="4">
        <f>Resume_checks!B12</f>
        <v/>
      </c>
      <c r="C37" s="4" t="inlineStr">
        <is>
          <t>Impervious/(Impervious+Grass)</t>
        </is>
      </c>
      <c r="D37" s="4" t="n"/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2026-07-08T10:18:07Z</dcterms:modified>
</cp:coreProperties>
</file>